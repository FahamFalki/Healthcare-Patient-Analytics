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d90f02556b1557/Desktop/healthcare_patient_analytics/"/>
    </mc:Choice>
  </mc:AlternateContent>
  <xr:revisionPtr revIDLastSave="0" documentId="8_{7FF1A705-2B72-4B17-A986-08142ABFBDA8}" xr6:coauthVersionLast="47" xr6:coauthVersionMax="47" xr10:uidLastSave="{00000000-0000-0000-0000-000000000000}"/>
  <bookViews>
    <workbookView xWindow="1536" yWindow="720" windowWidth="17496" windowHeight="12240" activeTab="4" xr2:uid="{5A315332-B33B-4614-820F-5F8AF678E6BF}"/>
  </bookViews>
  <sheets>
    <sheet name="Detail1" sheetId="5" r:id="rId1"/>
    <sheet name="PIVOT" sheetId="4" r:id="rId2"/>
    <sheet name="Pivot_no_show" sheetId="6" r:id="rId3"/>
    <sheet name="appointments_analysis" sheetId="1" r:id="rId4"/>
    <sheet name="Summery" sheetId="3" r:id="rId5"/>
    <sheet name="Sheet1" sheetId="2" r:id="rId6"/>
    <sheet name="INSIGHTS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5" i="3" l="1"/>
  <c r="B35" i="3"/>
  <c r="C35" i="3"/>
  <c r="A36" i="3"/>
  <c r="B36" i="3" s="1"/>
  <c r="A37" i="3"/>
  <c r="C37" i="3" s="1"/>
  <c r="B37" i="3"/>
  <c r="A38" i="3"/>
  <c r="B38" i="3"/>
  <c r="C38" i="3"/>
  <c r="A39" i="3"/>
  <c r="B39" i="3"/>
  <c r="C39" i="3"/>
  <c r="C34" i="3"/>
  <c r="B34" i="3"/>
  <c r="A34" i="3"/>
  <c r="D29" i="3"/>
  <c r="C29" i="3"/>
  <c r="B29" i="3"/>
  <c r="B28" i="3"/>
  <c r="C28" i="3"/>
  <c r="D28" i="3" s="1"/>
  <c r="D27" i="3"/>
  <c r="C27" i="3"/>
  <c r="B27" i="3"/>
  <c r="B17" i="3"/>
  <c r="C17" i="3"/>
  <c r="B18" i="3"/>
  <c r="C18" i="3"/>
  <c r="B19" i="3"/>
  <c r="C19" i="3"/>
  <c r="B20" i="3"/>
  <c r="C20" i="3"/>
  <c r="B21" i="3"/>
  <c r="C21" i="3"/>
  <c r="A4" i="3" a="1"/>
  <c r="A2" i="2" a="1"/>
  <c r="A1" i="2"/>
  <c r="C36" i="3" l="1"/>
  <c r="B16" i="3"/>
  <c r="C16" i="3"/>
  <c r="D16" i="3" s="1"/>
  <c r="C22" i="3" s="1"/>
  <c r="D20" i="3"/>
  <c r="D18" i="3"/>
  <c r="D21" i="3"/>
  <c r="D17" i="3"/>
  <c r="D19" i="3"/>
  <c r="C9" i="3"/>
  <c r="C5" i="3"/>
  <c r="B9" i="3"/>
  <c r="B5" i="3"/>
  <c r="C8" i="3"/>
  <c r="B8" i="3"/>
  <c r="C7" i="3"/>
  <c r="D7" i="3" s="1"/>
  <c r="B7" i="3"/>
  <c r="C6" i="3"/>
  <c r="B6" i="3"/>
  <c r="C4" i="3"/>
  <c r="B4" i="3"/>
  <c r="D9" i="3" l="1"/>
  <c r="B22" i="3"/>
  <c r="D22" i="3" s="1"/>
  <c r="D4" i="3"/>
  <c r="C10" i="3"/>
  <c r="D6" i="3"/>
  <c r="B10" i="3"/>
  <c r="D5" i="3"/>
  <c r="D8" i="3"/>
  <c r="D10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<sst xmlns="http://schemas.openxmlformats.org/spreadsheetml/2006/main" count="51795" uniqueCount="153">
  <si>
    <t>patient_id</t>
  </si>
  <si>
    <t>gender</t>
  </si>
  <si>
    <t>age</t>
  </si>
  <si>
    <t>age_group</t>
  </si>
  <si>
    <t>neighbourhood</t>
  </si>
  <si>
    <t>scheduled_date</t>
  </si>
  <si>
    <t>appointment_date</t>
  </si>
  <si>
    <t>appt_weekday</t>
  </si>
  <si>
    <t>wait_days</t>
  </si>
  <si>
    <t>wait_bucket</t>
  </si>
  <si>
    <t>scholarship</t>
  </si>
  <si>
    <t>hypertension</t>
  </si>
  <si>
    <t>diabetes</t>
  </si>
  <si>
    <t>alcoholism</t>
  </si>
  <si>
    <t>handicap_flag</t>
  </si>
  <si>
    <t>sms_received</t>
  </si>
  <si>
    <t>no_show</t>
  </si>
  <si>
    <t>no_show_flag</t>
  </si>
  <si>
    <t>F</t>
  </si>
  <si>
    <t>66+ Senior</t>
  </si>
  <si>
    <t>SAO CRISTOVAO</t>
  </si>
  <si>
    <t>Friday</t>
  </si>
  <si>
    <t>30+ days</t>
  </si>
  <si>
    <t>No</t>
  </si>
  <si>
    <t>SANTA CECILIA</t>
  </si>
  <si>
    <t>Wednesday</t>
  </si>
  <si>
    <t>Yes</t>
  </si>
  <si>
    <t>36-50 Adult</t>
  </si>
  <si>
    <t>M</t>
  </si>
  <si>
    <t>JARDIM DA PENHA</t>
  </si>
  <si>
    <t>Monday</t>
  </si>
  <si>
    <t>0-12 Child</t>
  </si>
  <si>
    <t>RESISTENCIA</t>
  </si>
  <si>
    <t>Thursday</t>
  </si>
  <si>
    <t>INHANGUETA</t>
  </si>
  <si>
    <t>51-65 Mature</t>
  </si>
  <si>
    <t>MARUIPE</t>
  </si>
  <si>
    <t>18-35 Young Adult</t>
  </si>
  <si>
    <t>ANDORINHAS</t>
  </si>
  <si>
    <t>JARDIM CAMBURI</t>
  </si>
  <si>
    <t>CENTRO</t>
  </si>
  <si>
    <t>Tuesday</t>
  </si>
  <si>
    <t>MONTE BELO</t>
  </si>
  <si>
    <t>ILHA DE SANTA MARIA</t>
  </si>
  <si>
    <t>NOVA PALESTINA</t>
  </si>
  <si>
    <t>JESUS DE NAZARETH</t>
  </si>
  <si>
    <t>FONTE GRANDE</t>
  </si>
  <si>
    <t>SANTO ANTONIO</t>
  </si>
  <si>
    <t>FORTE SAO JOAO</t>
  </si>
  <si>
    <t>BENTO FERREIRA</t>
  </si>
  <si>
    <t>ITARARE</t>
  </si>
  <si>
    <t>SANTA TEREZA</t>
  </si>
  <si>
    <t>PARQUE MOSCOSO</t>
  </si>
  <si>
    <t>SANTA CLARA</t>
  </si>
  <si>
    <t>ROMAO</t>
  </si>
  <si>
    <t>JOANA D ARC</t>
  </si>
  <si>
    <t>SANTOS DUMONT</t>
  </si>
  <si>
    <t>SANTA MARTHA</t>
  </si>
  <si>
    <t>CARATOIRA</t>
  </si>
  <si>
    <t>TABUAZEIRO</t>
  </si>
  <si>
    <t>13-17 Teen</t>
  </si>
  <si>
    <t>BELA VISTA</t>
  </si>
  <si>
    <t>JUCUTUQUARA</t>
  </si>
  <si>
    <t>CONSOLACAO</t>
  </si>
  <si>
    <t>REDENCAO</t>
  </si>
  <si>
    <t>PRAIA DO SUA</t>
  </si>
  <si>
    <t>SAO PEDRO</t>
  </si>
  <si>
    <t>JABOUR</t>
  </si>
  <si>
    <t>BONFIM</t>
  </si>
  <si>
    <t>GURIGICA</t>
  </si>
  <si>
    <t>MATA DA PRAIA</t>
  </si>
  <si>
    <t>SANTO ANDRE</t>
  </si>
  <si>
    <t>MARIA ORTIZ</t>
  </si>
  <si>
    <t>CRUZAMENTO</t>
  </si>
  <si>
    <t>DO QUADRO</t>
  </si>
  <si>
    <t>DA PENHA</t>
  </si>
  <si>
    <t>SOLON BORGES</t>
  </si>
  <si>
    <t>15-30 days</t>
  </si>
  <si>
    <t>GRANDE VITORIA</t>
  </si>
  <si>
    <t>ESTRELINHA</t>
  </si>
  <si>
    <t>DO CABRAL</t>
  </si>
  <si>
    <t>VILA RUBIM</t>
  </si>
  <si>
    <t>REPUBLICA</t>
  </si>
  <si>
    <t>NAZARETH</t>
  </si>
  <si>
    <t>SAO JOSE</t>
  </si>
  <si>
    <t>ANTONIO HONORIO</t>
  </si>
  <si>
    <t>SANTOS REIS</t>
  </si>
  <si>
    <t>ILHA DAS CAIEIRAS</t>
  </si>
  <si>
    <t>FRADINHOS</t>
  </si>
  <si>
    <t>DE LOURDES</t>
  </si>
  <si>
    <t>PIEDADE</t>
  </si>
  <si>
    <t>PRAIA DO CANTO</t>
  </si>
  <si>
    <t>8-14 days</t>
  </si>
  <si>
    <t>ARIOVALDO FAVALESSA</t>
  </si>
  <si>
    <t>SANTA LUIZA</t>
  </si>
  <si>
    <t>SANTA LUCIA</t>
  </si>
  <si>
    <t>ILHA DO PRINCIPE</t>
  </si>
  <si>
    <t>BARRO VERMELHO</t>
  </si>
  <si>
    <t>ENSEADA DO SUA</t>
  </si>
  <si>
    <t>DO MOSCOSO</t>
  </si>
  <si>
    <t>GOIABEIRAS</t>
  </si>
  <si>
    <t>MARIO CYPRESTE</t>
  </si>
  <si>
    <t>PONTAL DE CAMBURI</t>
  </si>
  <si>
    <t>COMDUSA</t>
  </si>
  <si>
    <t>SANTA HELENA</t>
  </si>
  <si>
    <t>SAO BENEDITO</t>
  </si>
  <si>
    <t>CONQUISTA</t>
  </si>
  <si>
    <t>4-7 days</t>
  </si>
  <si>
    <t>BOA VISTA</t>
  </si>
  <si>
    <t>1-3 days</t>
  </si>
  <si>
    <t>ILHA DO FRADE</t>
  </si>
  <si>
    <t>Same day</t>
  </si>
  <si>
    <t>HORTO</t>
  </si>
  <si>
    <t>UNIVERSITARIO</t>
  </si>
  <si>
    <t>Saturday</t>
  </si>
  <si>
    <t>SEGURANCA DO LAR</t>
  </si>
  <si>
    <t>MORADA DE CAMBURI</t>
  </si>
  <si>
    <t>ILHA DO BOI</t>
  </si>
  <si>
    <t>total_appointments</t>
  </si>
  <si>
    <t>no_shows</t>
  </si>
  <si>
    <t>no_shows_rate</t>
  </si>
  <si>
    <t>OVER ALL</t>
  </si>
  <si>
    <t>no_show_rate</t>
  </si>
  <si>
    <t>no_sms_rate</t>
  </si>
  <si>
    <t>sms_rate</t>
  </si>
  <si>
    <t>Row Labels</t>
  </si>
  <si>
    <t>Grand Total</t>
  </si>
  <si>
    <t>Details for Sum of sms_received - age_group: 18-35 Young Adult</t>
  </si>
  <si>
    <t>(All)</t>
  </si>
  <si>
    <t>Count of no_show</t>
  </si>
  <si>
    <t>Sum of no_show_flag</t>
  </si>
  <si>
    <t>0-12 Child Total</t>
  </si>
  <si>
    <t>13-17 Teen Total</t>
  </si>
  <si>
    <t>18-35 Young Adult Total</t>
  </si>
  <si>
    <t>36-50 Adult Total</t>
  </si>
  <si>
    <t>51-65 Mature Total</t>
  </si>
  <si>
    <t>66+ Senior Total</t>
  </si>
  <si>
    <t xml:space="preserve"> no_show_flag</t>
  </si>
  <si>
    <t>Average_wait_days</t>
  </si>
  <si>
    <t>Average_alcoholism</t>
  </si>
  <si>
    <t>Average_hypertension</t>
  </si>
  <si>
    <t>Average_diabetes</t>
  </si>
  <si>
    <t>Average_sms_received</t>
  </si>
  <si>
    <t>Average of no_show_flag</t>
  </si>
  <si>
    <t>Key findings</t>
  </si>
  <si>
    <t>Overall no-show rate is 20% (1,392 of 7,000 appointments).</t>
  </si>
  <si>
    <t>Wait time matters most: The rate rises from 4.9% for same-day bookings to 34.2% for waits of 15 to 30 days.</t>
  </si>
  <si>
    <t>Teens (13-17) miss the most appointments at 26.1%, and seniors (66+) miss the fewest at 15.5%.</t>
  </si>
  <si>
    <t>Within every wait group, patients who received an SMS missed fewer appointments, even though their overall rate looked worse (26.9% vs 16.7%).</t>
  </si>
  <si>
    <t>Weekday has little effect (about 19% to 22% from Monday to Friday), and Saturday has only 6 appointments, too few to judge.</t>
  </si>
  <si>
    <t>Hypertension affects 19.2% of patients, diabetes 6.9% and alcoholism 2.7%.</t>
  </si>
  <si>
    <t>Hypertension and diabetes rise sharply with age: 60.6% of seniors (66+) have hypertension and 25.2% have diabetes.</t>
  </si>
  <si>
    <t>Seniors have the heaviest health burden yet the lowest no-show rate (15.5%).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</si>
</sst>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8" fillId="0" borderId="0" xfId="0" applyFont="1"/>
    <xf numFmtId="9" fontId="0" fillId="0" borderId="0" xfId="42" applyFont="1"/>
    <xf numFmtId="165" fontId="0" fillId="0" borderId="0" xfId="42" applyNumberFormat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5" fontId="0" fillId="0" borderId="0" xfId="0" applyNumberFormat="1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19" formatCode="m/d/yyyy"/>
    </dxf>
    <dxf>
      <numFmt numFmtId="19" formatCode="m/d/yyyy"/>
    </dxf>
    <dxf>
      <numFmt numFmtId="1" formatCode="0"/>
    </dxf>
    <dxf>
      <numFmt numFmtId="13" formatCode="0%"/>
    </dxf>
    <dxf>
      <numFmt numFmtId="0" formatCode="General"/>
    </dxf>
    <dxf>
      <numFmt numFmtId="0" formatCode="General"/>
    </dxf>
    <dxf>
      <numFmt numFmtId="2" formatCode="0.00"/>
    </dxf>
    <dxf>
      <numFmt numFmtId="164" formatCode="0.0"/>
    </dxf>
    <dxf>
      <numFmt numFmtId="164" formatCode="0.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ham Falki" refreshedDate="46314.820594675926" createdVersion="8" refreshedVersion="8" minRefreshableVersion="3" recordCount="7000" xr:uid="{E2CB3656-C848-49B5-B342-35EDD3F75877}">
  <cacheSource type="worksheet">
    <worksheetSource name="appointments"/>
  </cacheSource>
  <cacheFields count="18">
    <cacheField name="patient_id" numFmtId="1">
      <sharedItems containsSemiMixedTypes="0" containsString="0" containsNumber="1" containsInteger="1" minValue="211124677" maxValue="998943000000000"/>
    </cacheField>
    <cacheField name="gender" numFmtId="0">
      <sharedItems count="2">
        <s v="F"/>
        <s v="M"/>
      </sharedItems>
    </cacheField>
    <cacheField name="age" numFmtId="0">
      <sharedItems containsSemiMixedTypes="0" containsString="0" containsNumber="1" containsInteger="1" minValue="0" maxValue="96" count="96">
        <n v="80"/>
        <n v="76"/>
        <n v="44"/>
        <n v="83"/>
        <n v="1"/>
        <n v="41"/>
        <n v="66"/>
        <n v="64"/>
        <n v="75"/>
        <n v="77"/>
        <n v="24"/>
        <n v="79"/>
        <n v="55"/>
        <n v="90"/>
        <n v="60"/>
        <n v="56"/>
        <n v="48"/>
        <n v="32"/>
        <n v="68"/>
        <n v="11"/>
        <n v="67"/>
        <n v="50"/>
        <n v="19"/>
        <n v="58"/>
        <n v="49"/>
        <n v="33"/>
        <n v="70"/>
        <n v="62"/>
        <n v="63"/>
        <n v="54"/>
        <n v="57"/>
        <n v="39"/>
        <n v="21"/>
        <n v="35"/>
        <n v="73"/>
        <n v="89"/>
        <n v="59"/>
        <n v="52"/>
        <n v="26"/>
        <n v="28"/>
        <n v="36"/>
        <n v="30"/>
        <n v="51"/>
        <n v="8"/>
        <n v="22"/>
        <n v="45"/>
        <n v="0"/>
        <n v="18"/>
        <n v="61"/>
        <n v="29"/>
        <n v="37"/>
        <n v="10"/>
        <n v="2"/>
        <n v="81"/>
        <n v="43"/>
        <n v="7"/>
        <n v="38"/>
        <n v="6"/>
        <n v="78"/>
        <n v="5"/>
        <n v="4"/>
        <n v="42"/>
        <n v="53"/>
        <n v="72"/>
        <n v="65"/>
        <n v="3"/>
        <n v="9"/>
        <n v="25"/>
        <n v="20"/>
        <n v="34"/>
        <n v="15"/>
        <n v="31"/>
        <n v="14"/>
        <n v="27"/>
        <n v="47"/>
        <n v="13"/>
        <n v="71"/>
        <n v="23"/>
        <n v="74"/>
        <n v="17"/>
        <n v="12"/>
        <n v="16"/>
        <n v="91"/>
        <n v="69"/>
        <n v="46"/>
        <n v="85"/>
        <n v="94"/>
        <n v="40"/>
        <n v="84"/>
        <n v="86"/>
        <n v="87"/>
        <n v="88"/>
        <n v="82"/>
        <n v="92"/>
        <n v="96"/>
        <n v="93"/>
      </sharedItems>
    </cacheField>
    <cacheField name="age_group" numFmtId="0">
      <sharedItems count="6">
        <s v="66+ Senior"/>
        <s v="36-50 Adult"/>
        <s v="0-12 Child"/>
        <s v="51-65 Mature"/>
        <s v="18-35 Young Adult"/>
        <s v="13-17 Teen"/>
      </sharedItems>
    </cacheField>
    <cacheField name="neighbourhood" numFmtId="0">
      <sharedItems/>
    </cacheField>
    <cacheField name="scheduled_date" numFmtId="14">
      <sharedItems containsSemiMixedTypes="0" containsNonDate="0" containsDate="1" containsString="0" minDate="2015-12-07T00:00:00" maxDate="2016-06-09T00:00:00"/>
    </cacheField>
    <cacheField name="appointment_date" numFmtId="14">
      <sharedItems containsSemiMixedTypes="0" containsNonDate="0" containsDate="1" containsString="0" minDate="2016-04-29T00:00:00" maxDate="2016-06-09T00:00:00"/>
    </cacheField>
    <cacheField name="appt_weekday" numFmtId="0">
      <sharedItems count="6">
        <s v="Friday"/>
        <s v="Wednesday"/>
        <s v="Monday"/>
        <s v="Thursday"/>
        <s v="Tuesday"/>
        <s v="Saturday"/>
      </sharedItems>
    </cacheField>
    <cacheField name="wait_days" numFmtId="0">
      <sharedItems containsSemiMixedTypes="0" containsString="0" containsNumber="1" containsInteger="1" minValue="0" maxValue="179" count="95">
        <n v="179"/>
        <n v="155"/>
        <n v="176"/>
        <n v="142"/>
        <n v="108"/>
        <n v="91"/>
        <n v="94"/>
        <n v="98"/>
        <n v="117"/>
        <n v="78"/>
        <n v="67"/>
        <n v="79"/>
        <n v="84"/>
        <n v="75"/>
        <n v="68"/>
        <n v="89"/>
        <n v="63"/>
        <n v="88"/>
        <n v="60"/>
        <n v="62"/>
        <n v="70"/>
        <n v="90"/>
        <n v="69"/>
        <n v="64"/>
        <n v="65"/>
        <n v="66"/>
        <n v="76"/>
        <n v="71"/>
        <n v="73"/>
        <n v="72"/>
        <n v="61"/>
        <n v="59"/>
        <n v="77"/>
        <n v="74"/>
        <n v="57"/>
        <n v="85"/>
        <n v="56"/>
        <n v="58"/>
        <n v="87"/>
        <n v="51"/>
        <n v="53"/>
        <n v="50"/>
        <n v="46"/>
        <n v="49"/>
        <n v="55"/>
        <n v="44"/>
        <n v="48"/>
        <n v="43"/>
        <n v="54"/>
        <n v="42"/>
        <n v="39"/>
        <n v="41"/>
        <n v="38"/>
        <n v="37"/>
        <n v="32"/>
        <n v="36"/>
        <n v="45"/>
        <n v="31"/>
        <n v="34"/>
        <n v="35"/>
        <n v="30"/>
        <n v="47"/>
        <n v="33"/>
        <n v="29"/>
        <n v="28"/>
        <n v="27"/>
        <n v="24"/>
        <n v="23"/>
        <n v="26"/>
        <n v="40"/>
        <n v="25"/>
        <n v="22"/>
        <n v="52"/>
        <n v="21"/>
        <n v="18"/>
        <n v="17"/>
        <n v="20"/>
        <n v="19"/>
        <n v="16"/>
        <n v="15"/>
        <n v="14"/>
        <n v="11"/>
        <n v="13"/>
        <n v="10"/>
        <n v="12"/>
        <n v="9"/>
        <n v="4"/>
        <n v="7"/>
        <n v="8"/>
        <n v="3"/>
        <n v="6"/>
        <n v="2"/>
        <n v="5"/>
        <n v="1"/>
        <n v="0"/>
      </sharedItems>
    </cacheField>
    <cacheField name="wait_bucket" numFmtId="0">
      <sharedItems count="6">
        <s v="30+ days"/>
        <s v="15-30 days"/>
        <s v="8-14 days"/>
        <s v="4-7 days"/>
        <s v="1-3 days"/>
        <s v="Same day"/>
      </sharedItems>
    </cacheField>
    <cacheField name="scholarship" numFmtId="0">
      <sharedItems containsSemiMixedTypes="0" containsString="0" containsNumber="1" containsInteger="1" minValue="0" maxValue="1"/>
    </cacheField>
    <cacheField name="hypertension" numFmtId="0">
      <sharedItems containsSemiMixedTypes="0" containsString="0" containsNumber="1" containsInteger="1" minValue="0" maxValue="1" count="2">
        <n v="1"/>
        <n v="0"/>
      </sharedItems>
    </cacheField>
    <cacheField name="diabetes" numFmtId="0">
      <sharedItems containsSemiMixedTypes="0" containsString="0" containsNumber="1" containsInteger="1" minValue="0" maxValue="1"/>
    </cacheField>
    <cacheField name="alcoholism" numFmtId="0">
      <sharedItems containsSemiMixedTypes="0" containsString="0" containsNumber="1" containsInteger="1" minValue="0" maxValue="1"/>
    </cacheField>
    <cacheField name="handicap_flag" numFmtId="0">
      <sharedItems containsSemiMixedTypes="0" containsString="0" containsNumber="1" containsInteger="1" minValue="0" maxValue="1"/>
    </cacheField>
    <cacheField name="sms_received" numFmtId="0">
      <sharedItems containsSemiMixedTypes="0" containsString="0" containsNumber="1" containsInteger="1" minValue="0" maxValue="1" count="2">
        <n v="1"/>
        <n v="0"/>
      </sharedItems>
    </cacheField>
    <cacheField name="no_show" numFmtId="0">
      <sharedItems count="2">
        <s v="No"/>
        <s v="Yes"/>
      </sharedItems>
    </cacheField>
    <cacheField name="no_show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0">
  <r>
    <n v="9582230000000"/>
    <x v="0"/>
    <x v="0"/>
    <x v="0"/>
    <s v="SAO CRISTOVAO"/>
    <d v="2015-12-07T00:00:00"/>
    <d v="2016-06-03T00:00:00"/>
    <x v="0"/>
    <x v="0"/>
    <x v="0"/>
    <n v="0"/>
    <x v="0"/>
    <n v="1"/>
    <n v="0"/>
    <n v="0"/>
    <x v="0"/>
    <x v="0"/>
    <n v="0"/>
  </r>
  <r>
    <n v="188900000000000"/>
    <x v="0"/>
    <x v="1"/>
    <x v="0"/>
    <s v="SANTA CECILIA"/>
    <d v="2015-12-08T00:00:00"/>
    <d v="2016-05-11T00:00:00"/>
    <x v="1"/>
    <x v="1"/>
    <x v="0"/>
    <n v="0"/>
    <x v="0"/>
    <n v="0"/>
    <n v="0"/>
    <n v="0"/>
    <x v="0"/>
    <x v="0"/>
    <n v="0"/>
  </r>
  <r>
    <n v="939919000000000"/>
    <x v="0"/>
    <x v="1"/>
    <x v="0"/>
    <s v="SANTA CECILIA"/>
    <d v="2015-12-08T00:00:00"/>
    <d v="2016-06-01T00:00:00"/>
    <x v="1"/>
    <x v="2"/>
    <x v="0"/>
    <n v="0"/>
    <x v="0"/>
    <n v="0"/>
    <n v="0"/>
    <n v="0"/>
    <x v="1"/>
    <x v="1"/>
    <n v="1"/>
  </r>
  <r>
    <n v="456682000000000"/>
    <x v="0"/>
    <x v="2"/>
    <x v="1"/>
    <s v="SANTA CECILIA"/>
    <d v="2015-12-14T00:00:00"/>
    <d v="2016-05-04T00:00:00"/>
    <x v="1"/>
    <x v="3"/>
    <x v="0"/>
    <n v="1"/>
    <x v="0"/>
    <n v="0"/>
    <n v="0"/>
    <n v="0"/>
    <x v="0"/>
    <x v="0"/>
    <n v="0"/>
  </r>
  <r>
    <n v="2925910000000"/>
    <x v="1"/>
    <x v="3"/>
    <x v="0"/>
    <s v="JARDIM DA PENHA"/>
    <d v="2016-01-22T00:00:00"/>
    <d v="2016-05-09T00:00:00"/>
    <x v="2"/>
    <x v="4"/>
    <x v="0"/>
    <n v="0"/>
    <x v="0"/>
    <n v="0"/>
    <n v="0"/>
    <n v="0"/>
    <x v="1"/>
    <x v="0"/>
    <n v="0"/>
  </r>
  <r>
    <n v="96467700000000"/>
    <x v="0"/>
    <x v="4"/>
    <x v="2"/>
    <s v="RESISTENCIA"/>
    <d v="2016-01-29T00:00:00"/>
    <d v="2016-04-29T00:00:00"/>
    <x v="0"/>
    <x v="5"/>
    <x v="0"/>
    <n v="0"/>
    <x v="1"/>
    <n v="0"/>
    <n v="0"/>
    <n v="0"/>
    <x v="0"/>
    <x v="0"/>
    <n v="0"/>
  </r>
  <r>
    <n v="4821340000000"/>
    <x v="0"/>
    <x v="5"/>
    <x v="1"/>
    <s v="RESISTENCIA"/>
    <d v="2016-02-01T00:00:00"/>
    <d v="2016-05-05T00:00:00"/>
    <x v="3"/>
    <x v="6"/>
    <x v="0"/>
    <n v="0"/>
    <x v="1"/>
    <n v="0"/>
    <n v="0"/>
    <n v="0"/>
    <x v="0"/>
    <x v="0"/>
    <n v="0"/>
  </r>
  <r>
    <n v="41181400000000"/>
    <x v="0"/>
    <x v="6"/>
    <x v="0"/>
    <s v="INHANGUETA"/>
    <d v="2016-02-05T00:00:00"/>
    <d v="2016-05-13T00:00:00"/>
    <x v="0"/>
    <x v="7"/>
    <x v="0"/>
    <n v="0"/>
    <x v="0"/>
    <n v="0"/>
    <n v="0"/>
    <n v="0"/>
    <x v="1"/>
    <x v="0"/>
    <n v="0"/>
  </r>
  <r>
    <n v="794143000000000"/>
    <x v="0"/>
    <x v="7"/>
    <x v="3"/>
    <s v="SAO CRISTOVAO"/>
    <d v="2016-02-05T00:00:00"/>
    <d v="2016-06-01T00:00:00"/>
    <x v="1"/>
    <x v="8"/>
    <x v="0"/>
    <n v="0"/>
    <x v="0"/>
    <n v="1"/>
    <n v="0"/>
    <n v="0"/>
    <x v="0"/>
    <x v="0"/>
    <n v="0"/>
  </r>
  <r>
    <n v="688679000000000"/>
    <x v="0"/>
    <x v="8"/>
    <x v="0"/>
    <s v="MARUIPE"/>
    <d v="2016-02-12T00:00:00"/>
    <d v="2016-05-13T00:00:00"/>
    <x v="0"/>
    <x v="5"/>
    <x v="0"/>
    <n v="0"/>
    <x v="0"/>
    <n v="1"/>
    <n v="0"/>
    <n v="0"/>
    <x v="1"/>
    <x v="0"/>
    <n v="0"/>
  </r>
  <r>
    <n v="7592950000000"/>
    <x v="0"/>
    <x v="9"/>
    <x v="0"/>
    <s v="RESISTENCIA"/>
    <d v="2016-02-17T00:00:00"/>
    <d v="2016-05-05T00:00:00"/>
    <x v="3"/>
    <x v="9"/>
    <x v="0"/>
    <n v="0"/>
    <x v="0"/>
    <n v="0"/>
    <n v="0"/>
    <n v="0"/>
    <x v="0"/>
    <x v="1"/>
    <n v="1"/>
  </r>
  <r>
    <n v="558799000000000"/>
    <x v="1"/>
    <x v="10"/>
    <x v="4"/>
    <s v="ANDORINHAS"/>
    <d v="2016-02-22T00:00:00"/>
    <d v="2016-04-29T00:00:00"/>
    <x v="0"/>
    <x v="10"/>
    <x v="0"/>
    <n v="0"/>
    <x v="1"/>
    <n v="0"/>
    <n v="0"/>
    <n v="0"/>
    <x v="0"/>
    <x v="0"/>
    <n v="0"/>
  </r>
  <r>
    <n v="47385300000000"/>
    <x v="0"/>
    <x v="10"/>
    <x v="4"/>
    <s v="RESISTENCIA"/>
    <d v="2016-02-24T00:00:00"/>
    <d v="2016-05-13T00:00:00"/>
    <x v="0"/>
    <x v="11"/>
    <x v="0"/>
    <n v="0"/>
    <x v="1"/>
    <n v="0"/>
    <n v="0"/>
    <n v="0"/>
    <x v="1"/>
    <x v="0"/>
    <n v="0"/>
  </r>
  <r>
    <n v="28867300000000"/>
    <x v="1"/>
    <x v="11"/>
    <x v="0"/>
    <s v="JARDIM CAMBURI"/>
    <d v="2016-02-24T00:00:00"/>
    <d v="2016-05-18T00:00:00"/>
    <x v="1"/>
    <x v="12"/>
    <x v="0"/>
    <n v="0"/>
    <x v="0"/>
    <n v="1"/>
    <n v="0"/>
    <n v="0"/>
    <x v="1"/>
    <x v="0"/>
    <n v="0"/>
  </r>
  <r>
    <n v="5443250000000"/>
    <x v="0"/>
    <x v="0"/>
    <x v="0"/>
    <s v="CENTRO"/>
    <d v="2016-02-25T00:00:00"/>
    <d v="2016-05-10T00:00:00"/>
    <x v="4"/>
    <x v="13"/>
    <x v="0"/>
    <n v="0"/>
    <x v="0"/>
    <n v="1"/>
    <n v="0"/>
    <n v="0"/>
    <x v="1"/>
    <x v="1"/>
    <n v="1"/>
  </r>
  <r>
    <n v="2753470000000"/>
    <x v="1"/>
    <x v="12"/>
    <x v="3"/>
    <s v="RESISTENCIA"/>
    <d v="2016-02-25T00:00:00"/>
    <d v="2016-05-03T00:00:00"/>
    <x v="4"/>
    <x v="14"/>
    <x v="0"/>
    <n v="0"/>
    <x v="1"/>
    <n v="0"/>
    <n v="0"/>
    <n v="0"/>
    <x v="0"/>
    <x v="0"/>
    <n v="0"/>
  </r>
  <r>
    <n v="15369300000000"/>
    <x v="0"/>
    <x v="13"/>
    <x v="0"/>
    <s v="MONTE BELO"/>
    <d v="2016-02-25T00:00:00"/>
    <d v="2016-05-24T00:00:00"/>
    <x v="4"/>
    <x v="15"/>
    <x v="0"/>
    <n v="0"/>
    <x v="1"/>
    <n v="0"/>
    <n v="0"/>
    <n v="0"/>
    <x v="0"/>
    <x v="1"/>
    <n v="1"/>
  </r>
  <r>
    <n v="615676000000"/>
    <x v="0"/>
    <x v="14"/>
    <x v="3"/>
    <s v="ILHA DE SANTA MARIA"/>
    <d v="2016-02-26T00:00:00"/>
    <d v="2016-04-29T00:00:00"/>
    <x v="0"/>
    <x v="16"/>
    <x v="0"/>
    <n v="0"/>
    <x v="1"/>
    <n v="0"/>
    <n v="0"/>
    <n v="0"/>
    <x v="0"/>
    <x v="0"/>
    <n v="0"/>
  </r>
  <r>
    <n v="7238000000000"/>
    <x v="0"/>
    <x v="15"/>
    <x v="3"/>
    <s v="NOVA PALESTINA"/>
    <d v="2016-02-26T00:00:00"/>
    <d v="2016-05-24T00:00:00"/>
    <x v="4"/>
    <x v="17"/>
    <x v="0"/>
    <n v="0"/>
    <x v="0"/>
    <n v="0"/>
    <n v="0"/>
    <n v="0"/>
    <x v="0"/>
    <x v="0"/>
    <n v="0"/>
  </r>
  <r>
    <n v="9386790000000"/>
    <x v="0"/>
    <x v="16"/>
    <x v="1"/>
    <s v="JESUS DE NAZARETH"/>
    <d v="2016-02-26T00:00:00"/>
    <d v="2016-05-03T00:00:00"/>
    <x v="4"/>
    <x v="10"/>
    <x v="0"/>
    <n v="0"/>
    <x v="0"/>
    <n v="0"/>
    <n v="0"/>
    <n v="0"/>
    <x v="0"/>
    <x v="0"/>
    <n v="0"/>
  </r>
  <r>
    <n v="44148300000000"/>
    <x v="0"/>
    <x v="17"/>
    <x v="4"/>
    <s v="NOVA PALESTINA"/>
    <d v="2016-02-29T00:00:00"/>
    <d v="2016-04-29T00:00:00"/>
    <x v="0"/>
    <x v="18"/>
    <x v="0"/>
    <n v="0"/>
    <x v="1"/>
    <n v="0"/>
    <n v="0"/>
    <n v="0"/>
    <x v="0"/>
    <x v="1"/>
    <n v="1"/>
  </r>
  <r>
    <n v="56864900000000"/>
    <x v="0"/>
    <x v="3"/>
    <x v="0"/>
    <s v="JARDIM CAMBURI"/>
    <d v="2016-03-01T00:00:00"/>
    <d v="2016-05-02T00:00:00"/>
    <x v="2"/>
    <x v="19"/>
    <x v="0"/>
    <n v="0"/>
    <x v="1"/>
    <n v="0"/>
    <n v="0"/>
    <n v="0"/>
    <x v="0"/>
    <x v="0"/>
    <n v="0"/>
  </r>
  <r>
    <n v="357498000000000"/>
    <x v="0"/>
    <x v="15"/>
    <x v="3"/>
    <s v="JARDIM CAMBURI"/>
    <d v="2016-03-01T00:00:00"/>
    <d v="2016-05-02T00:00:00"/>
    <x v="2"/>
    <x v="19"/>
    <x v="0"/>
    <n v="0"/>
    <x v="1"/>
    <n v="0"/>
    <n v="0"/>
    <n v="0"/>
    <x v="0"/>
    <x v="0"/>
    <n v="0"/>
  </r>
  <r>
    <n v="495557000000"/>
    <x v="0"/>
    <x v="18"/>
    <x v="0"/>
    <s v="JARDIM CAMBURI"/>
    <d v="2016-03-01T00:00:00"/>
    <d v="2016-05-02T00:00:00"/>
    <x v="2"/>
    <x v="19"/>
    <x v="0"/>
    <n v="0"/>
    <x v="1"/>
    <n v="0"/>
    <n v="0"/>
    <n v="0"/>
    <x v="1"/>
    <x v="0"/>
    <n v="0"/>
  </r>
  <r>
    <n v="691418000000000"/>
    <x v="1"/>
    <x v="12"/>
    <x v="3"/>
    <s v="JARDIM CAMBURI"/>
    <d v="2016-03-01T00:00:00"/>
    <d v="2016-05-02T00:00:00"/>
    <x v="2"/>
    <x v="19"/>
    <x v="0"/>
    <n v="0"/>
    <x v="1"/>
    <n v="0"/>
    <n v="0"/>
    <n v="0"/>
    <x v="0"/>
    <x v="0"/>
    <n v="0"/>
  </r>
  <r>
    <n v="1579250000000"/>
    <x v="0"/>
    <x v="19"/>
    <x v="2"/>
    <s v="FONTE GRANDE"/>
    <d v="2016-03-01T00:00:00"/>
    <d v="2016-05-10T00:00:00"/>
    <x v="4"/>
    <x v="20"/>
    <x v="0"/>
    <n v="0"/>
    <x v="1"/>
    <n v="0"/>
    <n v="0"/>
    <n v="0"/>
    <x v="0"/>
    <x v="0"/>
    <n v="0"/>
  </r>
  <r>
    <n v="89889700000000"/>
    <x v="0"/>
    <x v="20"/>
    <x v="0"/>
    <s v="JARDIM CAMBURI"/>
    <d v="2016-03-01T00:00:00"/>
    <d v="2016-05-30T00:00:00"/>
    <x v="2"/>
    <x v="21"/>
    <x v="0"/>
    <n v="0"/>
    <x v="1"/>
    <n v="0"/>
    <n v="0"/>
    <n v="0"/>
    <x v="0"/>
    <x v="0"/>
    <n v="0"/>
  </r>
  <r>
    <n v="411343000000"/>
    <x v="0"/>
    <x v="21"/>
    <x v="1"/>
    <s v="JARDIM CAMBURI"/>
    <d v="2016-03-01T00:00:00"/>
    <d v="2016-05-02T00:00:00"/>
    <x v="2"/>
    <x v="19"/>
    <x v="0"/>
    <n v="0"/>
    <x v="1"/>
    <n v="0"/>
    <n v="0"/>
    <n v="0"/>
    <x v="0"/>
    <x v="0"/>
    <n v="0"/>
  </r>
  <r>
    <n v="1525990000000"/>
    <x v="0"/>
    <x v="22"/>
    <x v="4"/>
    <s v="JARDIM CAMBURI"/>
    <d v="2016-03-01T00:00:00"/>
    <d v="2016-05-02T00:00:00"/>
    <x v="2"/>
    <x v="19"/>
    <x v="0"/>
    <n v="0"/>
    <x v="1"/>
    <n v="0"/>
    <n v="0"/>
    <n v="0"/>
    <x v="0"/>
    <x v="0"/>
    <n v="0"/>
  </r>
  <r>
    <n v="2687360000000"/>
    <x v="0"/>
    <x v="23"/>
    <x v="3"/>
    <s v="JARDIM CAMBURI"/>
    <d v="2016-03-01T00:00:00"/>
    <d v="2016-05-30T00:00:00"/>
    <x v="2"/>
    <x v="21"/>
    <x v="0"/>
    <n v="0"/>
    <x v="1"/>
    <n v="0"/>
    <n v="0"/>
    <n v="0"/>
    <x v="0"/>
    <x v="0"/>
    <n v="0"/>
  </r>
  <r>
    <n v="89132200000000"/>
    <x v="0"/>
    <x v="24"/>
    <x v="1"/>
    <s v="JARDIM CAMBURI"/>
    <d v="2016-03-01T00:00:00"/>
    <d v="2016-05-09T00:00:00"/>
    <x v="2"/>
    <x v="22"/>
    <x v="0"/>
    <n v="0"/>
    <x v="1"/>
    <n v="0"/>
    <n v="0"/>
    <n v="0"/>
    <x v="1"/>
    <x v="1"/>
    <n v="1"/>
  </r>
  <r>
    <n v="92549300000000"/>
    <x v="0"/>
    <x v="12"/>
    <x v="3"/>
    <s v="JARDIM CAMBURI"/>
    <d v="2016-03-01T00:00:00"/>
    <d v="2016-05-04T00:00:00"/>
    <x v="1"/>
    <x v="23"/>
    <x v="0"/>
    <n v="0"/>
    <x v="1"/>
    <n v="0"/>
    <n v="0"/>
    <n v="0"/>
    <x v="0"/>
    <x v="0"/>
    <n v="0"/>
  </r>
  <r>
    <n v="48685300000000"/>
    <x v="0"/>
    <x v="25"/>
    <x v="4"/>
    <s v="JARDIM CAMBURI"/>
    <d v="2016-03-01T00:00:00"/>
    <d v="2016-05-02T00:00:00"/>
    <x v="2"/>
    <x v="19"/>
    <x v="0"/>
    <n v="0"/>
    <x v="1"/>
    <n v="0"/>
    <n v="0"/>
    <n v="0"/>
    <x v="0"/>
    <x v="0"/>
    <n v="0"/>
  </r>
  <r>
    <n v="8158840000000"/>
    <x v="0"/>
    <x v="18"/>
    <x v="0"/>
    <s v="SANTO ANTONIO"/>
    <d v="2016-03-01T00:00:00"/>
    <d v="2016-05-05T00:00:00"/>
    <x v="3"/>
    <x v="24"/>
    <x v="0"/>
    <n v="0"/>
    <x v="0"/>
    <n v="0"/>
    <n v="0"/>
    <n v="0"/>
    <x v="0"/>
    <x v="1"/>
    <n v="1"/>
  </r>
  <r>
    <n v="61555200000000"/>
    <x v="1"/>
    <x v="26"/>
    <x v="0"/>
    <s v="JARDIM CAMBURI"/>
    <d v="2016-03-01T00:00:00"/>
    <d v="2016-05-02T00:00:00"/>
    <x v="2"/>
    <x v="19"/>
    <x v="0"/>
    <n v="0"/>
    <x v="0"/>
    <n v="1"/>
    <n v="0"/>
    <n v="0"/>
    <x v="0"/>
    <x v="0"/>
    <n v="0"/>
  </r>
  <r>
    <n v="2328560000000"/>
    <x v="0"/>
    <x v="27"/>
    <x v="3"/>
    <s v="JARDIM CAMBURI"/>
    <d v="2016-03-01T00:00:00"/>
    <d v="2016-05-06T00:00:00"/>
    <x v="0"/>
    <x v="25"/>
    <x v="0"/>
    <n v="0"/>
    <x v="1"/>
    <n v="0"/>
    <n v="0"/>
    <n v="0"/>
    <x v="1"/>
    <x v="0"/>
    <n v="0"/>
  </r>
  <r>
    <n v="2328560000000"/>
    <x v="0"/>
    <x v="27"/>
    <x v="3"/>
    <s v="JARDIM CAMBURI"/>
    <d v="2016-03-01T00:00:00"/>
    <d v="2016-05-06T00:00:00"/>
    <x v="0"/>
    <x v="25"/>
    <x v="0"/>
    <n v="0"/>
    <x v="1"/>
    <n v="0"/>
    <n v="0"/>
    <n v="0"/>
    <x v="0"/>
    <x v="0"/>
    <n v="0"/>
  </r>
  <r>
    <n v="778556000000000"/>
    <x v="1"/>
    <x v="28"/>
    <x v="3"/>
    <s v="JARDIM CAMBURI"/>
    <d v="2016-03-01T00:00:00"/>
    <d v="2016-05-06T00:00:00"/>
    <x v="0"/>
    <x v="25"/>
    <x v="0"/>
    <n v="0"/>
    <x v="1"/>
    <n v="1"/>
    <n v="0"/>
    <n v="0"/>
    <x v="0"/>
    <x v="0"/>
    <n v="0"/>
  </r>
  <r>
    <n v="26528600000000"/>
    <x v="0"/>
    <x v="27"/>
    <x v="3"/>
    <s v="JARDIM CAMBURI"/>
    <d v="2016-03-01T00:00:00"/>
    <d v="2016-05-31T00:00:00"/>
    <x v="4"/>
    <x v="5"/>
    <x v="0"/>
    <n v="0"/>
    <x v="1"/>
    <n v="0"/>
    <n v="0"/>
    <n v="0"/>
    <x v="0"/>
    <x v="0"/>
    <n v="0"/>
  </r>
  <r>
    <n v="9336630000000"/>
    <x v="0"/>
    <x v="8"/>
    <x v="0"/>
    <s v="JARDIM CAMBURI"/>
    <d v="2016-03-01T00:00:00"/>
    <d v="2016-05-05T00:00:00"/>
    <x v="3"/>
    <x v="24"/>
    <x v="0"/>
    <n v="0"/>
    <x v="1"/>
    <n v="0"/>
    <n v="0"/>
    <n v="0"/>
    <x v="0"/>
    <x v="0"/>
    <n v="0"/>
  </r>
  <r>
    <n v="79297000000000"/>
    <x v="0"/>
    <x v="28"/>
    <x v="3"/>
    <s v="JARDIM CAMBURI"/>
    <d v="2016-03-01T00:00:00"/>
    <d v="2016-05-06T00:00:00"/>
    <x v="0"/>
    <x v="25"/>
    <x v="0"/>
    <n v="0"/>
    <x v="1"/>
    <n v="0"/>
    <n v="0"/>
    <n v="0"/>
    <x v="0"/>
    <x v="0"/>
    <n v="0"/>
  </r>
  <r>
    <n v="2367830000000"/>
    <x v="0"/>
    <x v="29"/>
    <x v="3"/>
    <s v="JARDIM CAMBURI"/>
    <d v="2016-03-01T00:00:00"/>
    <d v="2016-05-31T00:00:00"/>
    <x v="4"/>
    <x v="5"/>
    <x v="0"/>
    <n v="0"/>
    <x v="1"/>
    <n v="0"/>
    <n v="0"/>
    <n v="0"/>
    <x v="0"/>
    <x v="1"/>
    <n v="1"/>
  </r>
  <r>
    <n v="824433000000000"/>
    <x v="0"/>
    <x v="24"/>
    <x v="1"/>
    <s v="JARDIM CAMBURI"/>
    <d v="2016-03-01T00:00:00"/>
    <d v="2016-05-04T00:00:00"/>
    <x v="1"/>
    <x v="23"/>
    <x v="0"/>
    <n v="0"/>
    <x v="1"/>
    <n v="0"/>
    <n v="0"/>
    <n v="0"/>
    <x v="0"/>
    <x v="0"/>
    <n v="0"/>
  </r>
  <r>
    <n v="2367830000000"/>
    <x v="0"/>
    <x v="29"/>
    <x v="3"/>
    <s v="JARDIM CAMBURI"/>
    <d v="2016-03-01T00:00:00"/>
    <d v="2016-05-04T00:00:00"/>
    <x v="1"/>
    <x v="23"/>
    <x v="0"/>
    <n v="0"/>
    <x v="1"/>
    <n v="0"/>
    <n v="0"/>
    <n v="0"/>
    <x v="0"/>
    <x v="1"/>
    <n v="1"/>
  </r>
  <r>
    <n v="265269000000"/>
    <x v="1"/>
    <x v="30"/>
    <x v="3"/>
    <s v="JARDIM CAMBURI"/>
    <d v="2016-03-01T00:00:00"/>
    <d v="2016-05-03T00:00:00"/>
    <x v="4"/>
    <x v="16"/>
    <x v="0"/>
    <n v="0"/>
    <x v="1"/>
    <n v="0"/>
    <n v="0"/>
    <n v="0"/>
    <x v="0"/>
    <x v="0"/>
    <n v="0"/>
  </r>
  <r>
    <n v="51394500000000"/>
    <x v="1"/>
    <x v="31"/>
    <x v="1"/>
    <s v="JARDIM CAMBURI"/>
    <d v="2016-03-01T00:00:00"/>
    <d v="2016-05-04T00:00:00"/>
    <x v="1"/>
    <x v="23"/>
    <x v="0"/>
    <n v="0"/>
    <x v="1"/>
    <n v="0"/>
    <n v="0"/>
    <n v="0"/>
    <x v="0"/>
    <x v="0"/>
    <n v="0"/>
  </r>
  <r>
    <n v="164163000000000"/>
    <x v="0"/>
    <x v="31"/>
    <x v="1"/>
    <s v="JARDIM CAMBURI"/>
    <d v="2016-03-01T00:00:00"/>
    <d v="2016-05-09T00:00:00"/>
    <x v="2"/>
    <x v="22"/>
    <x v="0"/>
    <n v="0"/>
    <x v="1"/>
    <n v="0"/>
    <n v="0"/>
    <n v="0"/>
    <x v="1"/>
    <x v="1"/>
    <n v="1"/>
  </r>
  <r>
    <n v="23939400000000"/>
    <x v="0"/>
    <x v="32"/>
    <x v="4"/>
    <s v="JARDIM CAMBURI"/>
    <d v="2016-03-01T00:00:00"/>
    <d v="2016-05-16T00:00:00"/>
    <x v="2"/>
    <x v="26"/>
    <x v="0"/>
    <n v="0"/>
    <x v="1"/>
    <n v="0"/>
    <n v="0"/>
    <n v="0"/>
    <x v="1"/>
    <x v="0"/>
    <n v="0"/>
  </r>
  <r>
    <n v="22615228532"/>
    <x v="1"/>
    <x v="15"/>
    <x v="3"/>
    <s v="JARDIM CAMBURI"/>
    <d v="2016-03-01T00:00:00"/>
    <d v="2016-05-18T00:00:00"/>
    <x v="1"/>
    <x v="9"/>
    <x v="0"/>
    <n v="0"/>
    <x v="0"/>
    <n v="0"/>
    <n v="0"/>
    <n v="0"/>
    <x v="1"/>
    <x v="0"/>
    <n v="0"/>
  </r>
  <r>
    <n v="533748000000000"/>
    <x v="0"/>
    <x v="33"/>
    <x v="4"/>
    <s v="JARDIM CAMBURI"/>
    <d v="2016-03-01T00:00:00"/>
    <d v="2016-05-03T00:00:00"/>
    <x v="4"/>
    <x v="16"/>
    <x v="0"/>
    <n v="0"/>
    <x v="1"/>
    <n v="0"/>
    <n v="0"/>
    <n v="0"/>
    <x v="0"/>
    <x v="0"/>
    <n v="0"/>
  </r>
  <r>
    <n v="17385400000000"/>
    <x v="0"/>
    <x v="17"/>
    <x v="4"/>
    <s v="JARDIM CAMBURI"/>
    <d v="2016-03-01T00:00:00"/>
    <d v="2016-05-11T00:00:00"/>
    <x v="1"/>
    <x v="27"/>
    <x v="0"/>
    <n v="0"/>
    <x v="1"/>
    <n v="0"/>
    <n v="0"/>
    <n v="0"/>
    <x v="0"/>
    <x v="0"/>
    <n v="0"/>
  </r>
  <r>
    <n v="4633930000000"/>
    <x v="0"/>
    <x v="6"/>
    <x v="0"/>
    <s v="JARDIM CAMBURI"/>
    <d v="2016-03-01T00:00:00"/>
    <d v="2016-05-09T00:00:00"/>
    <x v="2"/>
    <x v="22"/>
    <x v="0"/>
    <n v="0"/>
    <x v="1"/>
    <n v="0"/>
    <n v="0"/>
    <n v="0"/>
    <x v="1"/>
    <x v="0"/>
    <n v="0"/>
  </r>
  <r>
    <n v="9379320000000"/>
    <x v="0"/>
    <x v="34"/>
    <x v="0"/>
    <s v="JARDIM CAMBURI"/>
    <d v="2016-03-01T00:00:00"/>
    <d v="2016-05-09T00:00:00"/>
    <x v="2"/>
    <x v="22"/>
    <x v="0"/>
    <n v="0"/>
    <x v="1"/>
    <n v="0"/>
    <n v="0"/>
    <n v="0"/>
    <x v="1"/>
    <x v="0"/>
    <n v="0"/>
  </r>
  <r>
    <n v="458923000000000"/>
    <x v="1"/>
    <x v="17"/>
    <x v="4"/>
    <s v="JARDIM CAMBURI"/>
    <d v="2016-03-01T00:00:00"/>
    <d v="2016-05-10T00:00:00"/>
    <x v="4"/>
    <x v="20"/>
    <x v="0"/>
    <n v="0"/>
    <x v="1"/>
    <n v="0"/>
    <n v="0"/>
    <n v="0"/>
    <x v="0"/>
    <x v="0"/>
    <n v="0"/>
  </r>
  <r>
    <n v="826528000000000"/>
    <x v="0"/>
    <x v="35"/>
    <x v="0"/>
    <s v="JARDIM CAMBURI"/>
    <d v="2016-03-01T00:00:00"/>
    <d v="2016-05-06T00:00:00"/>
    <x v="0"/>
    <x v="25"/>
    <x v="0"/>
    <n v="0"/>
    <x v="0"/>
    <n v="0"/>
    <n v="0"/>
    <n v="0"/>
    <x v="0"/>
    <x v="0"/>
    <n v="0"/>
  </r>
  <r>
    <n v="958632000000"/>
    <x v="1"/>
    <x v="14"/>
    <x v="3"/>
    <s v="JARDIM CAMBURI"/>
    <d v="2016-03-01T00:00:00"/>
    <d v="2016-05-11T00:00:00"/>
    <x v="1"/>
    <x v="27"/>
    <x v="0"/>
    <n v="0"/>
    <x v="1"/>
    <n v="0"/>
    <n v="0"/>
    <n v="0"/>
    <x v="0"/>
    <x v="0"/>
    <n v="0"/>
  </r>
  <r>
    <n v="27194500000000"/>
    <x v="0"/>
    <x v="36"/>
    <x v="3"/>
    <s v="JARDIM CAMBURI"/>
    <d v="2016-03-01T00:00:00"/>
    <d v="2016-05-13T00:00:00"/>
    <x v="0"/>
    <x v="28"/>
    <x v="0"/>
    <n v="0"/>
    <x v="1"/>
    <n v="0"/>
    <n v="0"/>
    <n v="0"/>
    <x v="1"/>
    <x v="0"/>
    <n v="0"/>
  </r>
  <r>
    <n v="9693970000000"/>
    <x v="0"/>
    <x v="7"/>
    <x v="3"/>
    <s v="JARDIM CAMBURI"/>
    <d v="2016-03-01T00:00:00"/>
    <d v="2016-05-05T00:00:00"/>
    <x v="3"/>
    <x v="24"/>
    <x v="0"/>
    <n v="0"/>
    <x v="0"/>
    <n v="1"/>
    <n v="0"/>
    <n v="0"/>
    <x v="0"/>
    <x v="0"/>
    <n v="0"/>
  </r>
  <r>
    <n v="618833000000000"/>
    <x v="1"/>
    <x v="37"/>
    <x v="3"/>
    <s v="JARDIM CAMBURI"/>
    <d v="2016-03-01T00:00:00"/>
    <d v="2016-05-10T00:00:00"/>
    <x v="4"/>
    <x v="20"/>
    <x v="0"/>
    <n v="0"/>
    <x v="1"/>
    <n v="0"/>
    <n v="0"/>
    <n v="0"/>
    <x v="0"/>
    <x v="0"/>
    <n v="0"/>
  </r>
  <r>
    <n v="8856700000000"/>
    <x v="0"/>
    <x v="38"/>
    <x v="4"/>
    <s v="JARDIM CAMBURI"/>
    <d v="2016-03-01T00:00:00"/>
    <d v="2016-05-30T00:00:00"/>
    <x v="2"/>
    <x v="21"/>
    <x v="0"/>
    <n v="0"/>
    <x v="1"/>
    <n v="0"/>
    <n v="0"/>
    <n v="0"/>
    <x v="0"/>
    <x v="1"/>
    <n v="1"/>
  </r>
  <r>
    <n v="364246000000000"/>
    <x v="0"/>
    <x v="27"/>
    <x v="3"/>
    <s v="JARDIM CAMBURI"/>
    <d v="2016-03-01T00:00:00"/>
    <d v="2016-05-11T00:00:00"/>
    <x v="1"/>
    <x v="27"/>
    <x v="0"/>
    <n v="0"/>
    <x v="1"/>
    <n v="0"/>
    <n v="0"/>
    <n v="0"/>
    <x v="0"/>
    <x v="0"/>
    <n v="0"/>
  </r>
  <r>
    <n v="4668780000000"/>
    <x v="0"/>
    <x v="10"/>
    <x v="4"/>
    <s v="RESISTENCIA"/>
    <d v="2016-03-02T00:00:00"/>
    <d v="2016-05-20T00:00:00"/>
    <x v="0"/>
    <x v="11"/>
    <x v="0"/>
    <n v="0"/>
    <x v="1"/>
    <n v="0"/>
    <n v="0"/>
    <n v="0"/>
    <x v="1"/>
    <x v="0"/>
    <n v="0"/>
  </r>
  <r>
    <n v="619254000000000"/>
    <x v="1"/>
    <x v="39"/>
    <x v="4"/>
    <s v="FORTE SAO JOAO"/>
    <d v="2016-03-02T00:00:00"/>
    <d v="2016-05-31T00:00:00"/>
    <x v="4"/>
    <x v="21"/>
    <x v="0"/>
    <n v="0"/>
    <x v="1"/>
    <n v="0"/>
    <n v="0"/>
    <n v="0"/>
    <x v="0"/>
    <x v="0"/>
    <n v="0"/>
  </r>
  <r>
    <n v="335837000000"/>
    <x v="0"/>
    <x v="40"/>
    <x v="1"/>
    <s v="JARDIM CAMBURI"/>
    <d v="2016-03-02T00:00:00"/>
    <d v="2016-05-12T00:00:00"/>
    <x v="3"/>
    <x v="27"/>
    <x v="0"/>
    <n v="0"/>
    <x v="1"/>
    <n v="0"/>
    <n v="0"/>
    <n v="0"/>
    <x v="0"/>
    <x v="0"/>
    <n v="0"/>
  </r>
  <r>
    <n v="9132510000000"/>
    <x v="0"/>
    <x v="27"/>
    <x v="3"/>
    <s v="JARDIM CAMBURI"/>
    <d v="2016-03-02T00:00:00"/>
    <d v="2016-05-11T00:00:00"/>
    <x v="1"/>
    <x v="20"/>
    <x v="0"/>
    <n v="0"/>
    <x v="1"/>
    <n v="0"/>
    <n v="0"/>
    <n v="0"/>
    <x v="0"/>
    <x v="0"/>
    <n v="0"/>
  </r>
  <r>
    <n v="87757800000000"/>
    <x v="0"/>
    <x v="41"/>
    <x v="4"/>
    <s v="JARDIM CAMBURI"/>
    <d v="2016-03-02T00:00:00"/>
    <d v="2016-05-13T00:00:00"/>
    <x v="0"/>
    <x v="29"/>
    <x v="0"/>
    <n v="0"/>
    <x v="1"/>
    <n v="0"/>
    <n v="0"/>
    <n v="0"/>
    <x v="1"/>
    <x v="0"/>
    <n v="0"/>
  </r>
  <r>
    <n v="89636500000000"/>
    <x v="0"/>
    <x v="8"/>
    <x v="0"/>
    <s v="CENTRO"/>
    <d v="2016-03-02T00:00:00"/>
    <d v="2016-05-06T00:00:00"/>
    <x v="0"/>
    <x v="24"/>
    <x v="0"/>
    <n v="0"/>
    <x v="0"/>
    <n v="1"/>
    <n v="0"/>
    <n v="0"/>
    <x v="0"/>
    <x v="0"/>
    <n v="0"/>
  </r>
  <r>
    <n v="321486000000"/>
    <x v="0"/>
    <x v="42"/>
    <x v="3"/>
    <s v="JARDIM CAMBURI"/>
    <d v="2016-03-02T00:00:00"/>
    <d v="2016-05-02T00:00:00"/>
    <x v="2"/>
    <x v="30"/>
    <x v="0"/>
    <n v="0"/>
    <x v="1"/>
    <n v="0"/>
    <n v="0"/>
    <n v="0"/>
    <x v="1"/>
    <x v="0"/>
    <n v="0"/>
  </r>
  <r>
    <n v="8831446545"/>
    <x v="0"/>
    <x v="41"/>
    <x v="4"/>
    <s v="JARDIM CAMBURI"/>
    <d v="2016-03-02T00:00:00"/>
    <d v="2016-05-17T00:00:00"/>
    <x v="4"/>
    <x v="26"/>
    <x v="0"/>
    <n v="0"/>
    <x v="1"/>
    <n v="0"/>
    <n v="0"/>
    <n v="0"/>
    <x v="1"/>
    <x v="1"/>
    <n v="1"/>
  </r>
  <r>
    <n v="72347800000000"/>
    <x v="1"/>
    <x v="21"/>
    <x v="1"/>
    <s v="JARDIM CAMBURI"/>
    <d v="2016-03-02T00:00:00"/>
    <d v="2016-05-11T00:00:00"/>
    <x v="1"/>
    <x v="20"/>
    <x v="0"/>
    <n v="0"/>
    <x v="1"/>
    <n v="0"/>
    <n v="0"/>
    <n v="0"/>
    <x v="0"/>
    <x v="0"/>
    <n v="0"/>
  </r>
  <r>
    <n v="3114640000000"/>
    <x v="0"/>
    <x v="5"/>
    <x v="1"/>
    <s v="FONTE GRANDE"/>
    <d v="2016-03-03T00:00:00"/>
    <d v="2016-05-11T00:00:00"/>
    <x v="1"/>
    <x v="22"/>
    <x v="0"/>
    <n v="1"/>
    <x v="1"/>
    <n v="0"/>
    <n v="0"/>
    <n v="0"/>
    <x v="0"/>
    <x v="0"/>
    <n v="0"/>
  </r>
  <r>
    <n v="377278000000"/>
    <x v="0"/>
    <x v="28"/>
    <x v="3"/>
    <s v="FONTE GRANDE"/>
    <d v="2016-03-03T00:00:00"/>
    <d v="2016-05-03T00:00:00"/>
    <x v="4"/>
    <x v="30"/>
    <x v="0"/>
    <n v="0"/>
    <x v="0"/>
    <n v="0"/>
    <n v="0"/>
    <n v="0"/>
    <x v="0"/>
    <x v="0"/>
    <n v="0"/>
  </r>
  <r>
    <n v="3622430000000"/>
    <x v="1"/>
    <x v="17"/>
    <x v="4"/>
    <s v="JARDIM CAMBURI"/>
    <d v="2016-03-03T00:00:00"/>
    <d v="2016-05-30T00:00:00"/>
    <x v="2"/>
    <x v="17"/>
    <x v="0"/>
    <n v="0"/>
    <x v="1"/>
    <n v="0"/>
    <n v="0"/>
    <n v="0"/>
    <x v="0"/>
    <x v="1"/>
    <n v="1"/>
  </r>
  <r>
    <n v="1656200000000"/>
    <x v="0"/>
    <x v="14"/>
    <x v="3"/>
    <s v="JARDIM CAMBURI"/>
    <d v="2016-03-03T00:00:00"/>
    <d v="2016-05-13T00:00:00"/>
    <x v="0"/>
    <x v="27"/>
    <x v="0"/>
    <n v="0"/>
    <x v="1"/>
    <n v="0"/>
    <n v="0"/>
    <n v="0"/>
    <x v="1"/>
    <x v="0"/>
    <n v="0"/>
  </r>
  <r>
    <n v="1428930000000"/>
    <x v="1"/>
    <x v="15"/>
    <x v="3"/>
    <s v="BENTO FERREIRA"/>
    <d v="2016-03-03T00:00:00"/>
    <d v="2016-05-04T00:00:00"/>
    <x v="1"/>
    <x v="19"/>
    <x v="0"/>
    <n v="0"/>
    <x v="1"/>
    <n v="0"/>
    <n v="0"/>
    <n v="1"/>
    <x v="1"/>
    <x v="0"/>
    <n v="0"/>
  </r>
  <r>
    <n v="788719000000000"/>
    <x v="1"/>
    <x v="36"/>
    <x v="3"/>
    <s v="JESUS DE NAZARETH"/>
    <d v="2016-03-03T00:00:00"/>
    <d v="2016-05-13T00:00:00"/>
    <x v="0"/>
    <x v="27"/>
    <x v="0"/>
    <n v="0"/>
    <x v="1"/>
    <n v="0"/>
    <n v="0"/>
    <n v="0"/>
    <x v="1"/>
    <x v="1"/>
    <n v="1"/>
  </r>
  <r>
    <n v="5396820000000"/>
    <x v="0"/>
    <x v="12"/>
    <x v="3"/>
    <s v="BENTO FERREIRA"/>
    <d v="2016-03-03T00:00:00"/>
    <d v="2016-05-04T00:00:00"/>
    <x v="1"/>
    <x v="19"/>
    <x v="0"/>
    <n v="0"/>
    <x v="1"/>
    <n v="0"/>
    <n v="0"/>
    <n v="0"/>
    <x v="0"/>
    <x v="0"/>
    <n v="0"/>
  </r>
  <r>
    <n v="428475000000000"/>
    <x v="0"/>
    <x v="18"/>
    <x v="0"/>
    <s v="JARDIM CAMBURI"/>
    <d v="2016-03-03T00:00:00"/>
    <d v="2016-05-20T00:00:00"/>
    <x v="0"/>
    <x v="9"/>
    <x v="0"/>
    <n v="0"/>
    <x v="0"/>
    <n v="1"/>
    <n v="0"/>
    <n v="0"/>
    <x v="1"/>
    <x v="0"/>
    <n v="0"/>
  </r>
  <r>
    <n v="84136800000000"/>
    <x v="1"/>
    <x v="43"/>
    <x v="2"/>
    <s v="JARDIM CAMBURI"/>
    <d v="2016-03-04T00:00:00"/>
    <d v="2016-05-02T00:00:00"/>
    <x v="2"/>
    <x v="31"/>
    <x v="0"/>
    <n v="0"/>
    <x v="1"/>
    <n v="0"/>
    <n v="0"/>
    <n v="0"/>
    <x v="0"/>
    <x v="0"/>
    <n v="0"/>
  </r>
  <r>
    <n v="828687000000000"/>
    <x v="1"/>
    <x v="12"/>
    <x v="3"/>
    <s v="FONTE GRANDE"/>
    <d v="2016-03-04T00:00:00"/>
    <d v="2016-05-06T00:00:00"/>
    <x v="0"/>
    <x v="16"/>
    <x v="0"/>
    <n v="1"/>
    <x v="0"/>
    <n v="0"/>
    <n v="0"/>
    <n v="0"/>
    <x v="0"/>
    <x v="0"/>
    <n v="0"/>
  </r>
  <r>
    <n v="7489770000000"/>
    <x v="1"/>
    <x v="30"/>
    <x v="3"/>
    <s v="ITARARE"/>
    <d v="2016-03-04T00:00:00"/>
    <d v="2016-05-05T00:00:00"/>
    <x v="3"/>
    <x v="19"/>
    <x v="0"/>
    <n v="0"/>
    <x v="1"/>
    <n v="0"/>
    <n v="0"/>
    <n v="1"/>
    <x v="0"/>
    <x v="0"/>
    <n v="0"/>
  </r>
  <r>
    <n v="6424110000000"/>
    <x v="0"/>
    <x v="37"/>
    <x v="3"/>
    <s v="JARDIM CAMBURI"/>
    <d v="2016-03-04T00:00:00"/>
    <d v="2016-05-18T00:00:00"/>
    <x v="1"/>
    <x v="13"/>
    <x v="0"/>
    <n v="0"/>
    <x v="1"/>
    <n v="0"/>
    <n v="0"/>
    <n v="0"/>
    <x v="1"/>
    <x v="0"/>
    <n v="0"/>
  </r>
  <r>
    <n v="31263700000000"/>
    <x v="0"/>
    <x v="12"/>
    <x v="3"/>
    <s v="JARDIM CAMBURI"/>
    <d v="2016-03-04T00:00:00"/>
    <d v="2016-05-18T00:00:00"/>
    <x v="1"/>
    <x v="13"/>
    <x v="0"/>
    <n v="0"/>
    <x v="1"/>
    <n v="0"/>
    <n v="0"/>
    <n v="0"/>
    <x v="1"/>
    <x v="0"/>
    <n v="0"/>
  </r>
  <r>
    <n v="53192100000000"/>
    <x v="1"/>
    <x v="44"/>
    <x v="4"/>
    <s v="RESISTENCIA"/>
    <d v="2016-03-04T00:00:00"/>
    <d v="2016-05-02T00:00:00"/>
    <x v="2"/>
    <x v="31"/>
    <x v="0"/>
    <n v="0"/>
    <x v="1"/>
    <n v="0"/>
    <n v="0"/>
    <n v="0"/>
    <x v="0"/>
    <x v="0"/>
    <n v="0"/>
  </r>
  <r>
    <n v="62526600000000"/>
    <x v="0"/>
    <x v="36"/>
    <x v="3"/>
    <s v="JARDIM CAMBURI"/>
    <d v="2016-03-04T00:00:00"/>
    <d v="2016-05-18T00:00:00"/>
    <x v="1"/>
    <x v="13"/>
    <x v="0"/>
    <n v="0"/>
    <x v="0"/>
    <n v="1"/>
    <n v="0"/>
    <n v="0"/>
    <x v="1"/>
    <x v="0"/>
    <n v="0"/>
  </r>
  <r>
    <n v="534157000000000"/>
    <x v="0"/>
    <x v="11"/>
    <x v="0"/>
    <s v="SANTA TEREZA"/>
    <d v="2016-03-04T00:00:00"/>
    <d v="2016-05-06T00:00:00"/>
    <x v="0"/>
    <x v="16"/>
    <x v="0"/>
    <n v="0"/>
    <x v="0"/>
    <n v="0"/>
    <n v="0"/>
    <n v="0"/>
    <x v="1"/>
    <x v="1"/>
    <n v="1"/>
  </r>
  <r>
    <n v="33112500000000"/>
    <x v="0"/>
    <x v="45"/>
    <x v="1"/>
    <s v="JARDIM CAMBURI"/>
    <d v="2016-03-04T00:00:00"/>
    <d v="2016-05-12T00:00:00"/>
    <x v="3"/>
    <x v="22"/>
    <x v="0"/>
    <n v="0"/>
    <x v="1"/>
    <n v="0"/>
    <n v="0"/>
    <n v="0"/>
    <x v="0"/>
    <x v="0"/>
    <n v="0"/>
  </r>
  <r>
    <n v="22351300000000"/>
    <x v="1"/>
    <x v="27"/>
    <x v="3"/>
    <s v="JARDIM CAMBURI"/>
    <d v="2016-03-04T00:00:00"/>
    <d v="2016-05-20T00:00:00"/>
    <x v="0"/>
    <x v="32"/>
    <x v="0"/>
    <n v="0"/>
    <x v="1"/>
    <n v="0"/>
    <n v="0"/>
    <n v="0"/>
    <x v="1"/>
    <x v="0"/>
    <n v="0"/>
  </r>
  <r>
    <n v="263783000000"/>
    <x v="1"/>
    <x v="46"/>
    <x v="2"/>
    <s v="JARDIM CAMBURI"/>
    <d v="2016-03-04T00:00:00"/>
    <d v="2016-05-20T00:00:00"/>
    <x v="0"/>
    <x v="32"/>
    <x v="0"/>
    <n v="0"/>
    <x v="1"/>
    <n v="0"/>
    <n v="0"/>
    <n v="0"/>
    <x v="1"/>
    <x v="1"/>
    <n v="1"/>
  </r>
  <r>
    <n v="828436000000000"/>
    <x v="0"/>
    <x v="26"/>
    <x v="0"/>
    <s v="JARDIM CAMBURI"/>
    <d v="2016-03-04T00:00:00"/>
    <d v="2016-05-19T00:00:00"/>
    <x v="3"/>
    <x v="26"/>
    <x v="0"/>
    <n v="0"/>
    <x v="1"/>
    <n v="0"/>
    <n v="0"/>
    <n v="0"/>
    <x v="1"/>
    <x v="0"/>
    <n v="0"/>
  </r>
  <r>
    <n v="47748900000000"/>
    <x v="0"/>
    <x v="47"/>
    <x v="4"/>
    <s v="JARDIM CAMBURI"/>
    <d v="2016-03-04T00:00:00"/>
    <d v="2016-05-19T00:00:00"/>
    <x v="3"/>
    <x v="26"/>
    <x v="0"/>
    <n v="0"/>
    <x v="1"/>
    <n v="0"/>
    <n v="0"/>
    <n v="0"/>
    <x v="1"/>
    <x v="0"/>
    <n v="0"/>
  </r>
  <r>
    <n v="42216300000000"/>
    <x v="1"/>
    <x v="46"/>
    <x v="2"/>
    <s v="RESISTENCIA"/>
    <d v="2016-03-07T00:00:00"/>
    <d v="2016-06-03T00:00:00"/>
    <x v="0"/>
    <x v="17"/>
    <x v="0"/>
    <n v="0"/>
    <x v="1"/>
    <n v="0"/>
    <n v="0"/>
    <n v="0"/>
    <x v="0"/>
    <x v="0"/>
    <n v="0"/>
  </r>
  <r>
    <n v="517145000000000"/>
    <x v="1"/>
    <x v="43"/>
    <x v="2"/>
    <s v="JESUS DE NAZARETH"/>
    <d v="2016-03-07T00:00:00"/>
    <d v="2016-05-20T00:00:00"/>
    <x v="0"/>
    <x v="33"/>
    <x v="0"/>
    <n v="0"/>
    <x v="1"/>
    <n v="0"/>
    <n v="0"/>
    <n v="0"/>
    <x v="1"/>
    <x v="1"/>
    <n v="1"/>
  </r>
  <r>
    <n v="54883500000000"/>
    <x v="0"/>
    <x v="23"/>
    <x v="3"/>
    <s v="PARQUE MOSCOSO"/>
    <d v="2016-03-07T00:00:00"/>
    <d v="2016-05-05T00:00:00"/>
    <x v="3"/>
    <x v="31"/>
    <x v="0"/>
    <n v="0"/>
    <x v="1"/>
    <n v="0"/>
    <n v="0"/>
    <n v="0"/>
    <x v="0"/>
    <x v="0"/>
    <n v="0"/>
  </r>
  <r>
    <n v="44242800000000"/>
    <x v="0"/>
    <x v="18"/>
    <x v="0"/>
    <s v="FONTE GRANDE"/>
    <d v="2016-03-07T00:00:00"/>
    <d v="2016-05-06T00:00:00"/>
    <x v="0"/>
    <x v="18"/>
    <x v="0"/>
    <n v="0"/>
    <x v="0"/>
    <n v="1"/>
    <n v="0"/>
    <n v="0"/>
    <x v="0"/>
    <x v="0"/>
    <n v="0"/>
  </r>
  <r>
    <n v="799833000000000"/>
    <x v="1"/>
    <x v="48"/>
    <x v="3"/>
    <s v="PARQUE MOSCOSO"/>
    <d v="2016-03-07T00:00:00"/>
    <d v="2016-05-05T00:00:00"/>
    <x v="3"/>
    <x v="31"/>
    <x v="0"/>
    <n v="0"/>
    <x v="1"/>
    <n v="0"/>
    <n v="1"/>
    <n v="0"/>
    <x v="0"/>
    <x v="0"/>
    <n v="0"/>
  </r>
  <r>
    <n v="8244270000000"/>
    <x v="0"/>
    <x v="49"/>
    <x v="4"/>
    <s v="SANTA CLARA"/>
    <d v="2016-03-07T00:00:00"/>
    <d v="2016-05-03T00:00:00"/>
    <x v="4"/>
    <x v="34"/>
    <x v="0"/>
    <n v="0"/>
    <x v="1"/>
    <n v="0"/>
    <n v="0"/>
    <n v="0"/>
    <x v="0"/>
    <x v="0"/>
    <n v="0"/>
  </r>
  <r>
    <n v="2173197679"/>
    <x v="1"/>
    <x v="16"/>
    <x v="1"/>
    <s v="JARDIM CAMBURI"/>
    <d v="2016-03-07T00:00:00"/>
    <d v="2016-05-31T00:00:00"/>
    <x v="4"/>
    <x v="35"/>
    <x v="0"/>
    <n v="0"/>
    <x v="1"/>
    <n v="0"/>
    <n v="0"/>
    <n v="0"/>
    <x v="0"/>
    <x v="1"/>
    <n v="1"/>
  </r>
  <r>
    <n v="83463200000000"/>
    <x v="0"/>
    <x v="43"/>
    <x v="2"/>
    <s v="JARDIM CAMBURI"/>
    <d v="2016-03-07T00:00:00"/>
    <d v="2016-05-02T00:00:00"/>
    <x v="2"/>
    <x v="36"/>
    <x v="0"/>
    <n v="0"/>
    <x v="1"/>
    <n v="0"/>
    <n v="0"/>
    <n v="0"/>
    <x v="0"/>
    <x v="0"/>
    <n v="0"/>
  </r>
  <r>
    <n v="91466629612"/>
    <x v="0"/>
    <x v="20"/>
    <x v="0"/>
    <s v="JARDIM CAMBURI"/>
    <d v="2016-03-07T00:00:00"/>
    <d v="2016-05-30T00:00:00"/>
    <x v="2"/>
    <x v="12"/>
    <x v="0"/>
    <n v="0"/>
    <x v="1"/>
    <n v="0"/>
    <n v="0"/>
    <n v="0"/>
    <x v="1"/>
    <x v="0"/>
    <n v="0"/>
  </r>
  <r>
    <n v="8755450000000"/>
    <x v="0"/>
    <x v="47"/>
    <x v="4"/>
    <s v="JARDIM CAMBURI"/>
    <d v="2016-03-07T00:00:00"/>
    <d v="2016-05-31T00:00:00"/>
    <x v="4"/>
    <x v="35"/>
    <x v="0"/>
    <n v="0"/>
    <x v="1"/>
    <n v="0"/>
    <n v="0"/>
    <n v="0"/>
    <x v="0"/>
    <x v="0"/>
    <n v="0"/>
  </r>
  <r>
    <n v="92622400000000"/>
    <x v="0"/>
    <x v="18"/>
    <x v="0"/>
    <s v="FONTE GRANDE"/>
    <d v="2016-03-07T00:00:00"/>
    <d v="2016-05-13T00:00:00"/>
    <x v="0"/>
    <x v="10"/>
    <x v="0"/>
    <n v="1"/>
    <x v="0"/>
    <n v="0"/>
    <n v="0"/>
    <n v="0"/>
    <x v="1"/>
    <x v="1"/>
    <n v="1"/>
  </r>
  <r>
    <n v="285911000000000"/>
    <x v="0"/>
    <x v="1"/>
    <x v="0"/>
    <s v="JARDIM CAMBURI"/>
    <d v="2016-03-07T00:00:00"/>
    <d v="2016-05-12T00:00:00"/>
    <x v="3"/>
    <x v="25"/>
    <x v="0"/>
    <n v="0"/>
    <x v="1"/>
    <n v="0"/>
    <n v="0"/>
    <n v="0"/>
    <x v="0"/>
    <x v="0"/>
    <n v="0"/>
  </r>
  <r>
    <n v="9457460000000"/>
    <x v="0"/>
    <x v="50"/>
    <x v="1"/>
    <s v="JARDIM CAMBURI"/>
    <d v="2016-03-07T00:00:00"/>
    <d v="2016-05-31T00:00:00"/>
    <x v="4"/>
    <x v="35"/>
    <x v="0"/>
    <n v="0"/>
    <x v="1"/>
    <n v="0"/>
    <n v="0"/>
    <n v="0"/>
    <x v="0"/>
    <x v="0"/>
    <n v="0"/>
  </r>
  <r>
    <n v="66567400000000"/>
    <x v="0"/>
    <x v="20"/>
    <x v="0"/>
    <s v="JARDIM CAMBURI"/>
    <d v="2016-03-07T00:00:00"/>
    <d v="2016-05-09T00:00:00"/>
    <x v="2"/>
    <x v="16"/>
    <x v="0"/>
    <n v="0"/>
    <x v="1"/>
    <n v="0"/>
    <n v="0"/>
    <n v="0"/>
    <x v="1"/>
    <x v="0"/>
    <n v="0"/>
  </r>
  <r>
    <n v="951454000000"/>
    <x v="0"/>
    <x v="51"/>
    <x v="2"/>
    <s v="JARDIM CAMBURI"/>
    <d v="2016-03-08T00:00:00"/>
    <d v="2016-05-03T00:00:00"/>
    <x v="4"/>
    <x v="36"/>
    <x v="0"/>
    <n v="0"/>
    <x v="1"/>
    <n v="0"/>
    <n v="0"/>
    <n v="0"/>
    <x v="0"/>
    <x v="1"/>
    <n v="1"/>
  </r>
  <r>
    <n v="734244000000000"/>
    <x v="1"/>
    <x v="41"/>
    <x v="4"/>
    <s v="FONTE GRANDE"/>
    <d v="2016-03-08T00:00:00"/>
    <d v="2016-05-17T00:00:00"/>
    <x v="4"/>
    <x v="20"/>
    <x v="0"/>
    <n v="0"/>
    <x v="1"/>
    <n v="0"/>
    <n v="0"/>
    <n v="0"/>
    <x v="1"/>
    <x v="1"/>
    <n v="1"/>
  </r>
  <r>
    <n v="459592000000"/>
    <x v="1"/>
    <x v="52"/>
    <x v="2"/>
    <s v="JARDIM CAMBURI"/>
    <d v="2016-03-08T00:00:00"/>
    <d v="2016-05-05T00:00:00"/>
    <x v="3"/>
    <x v="37"/>
    <x v="0"/>
    <n v="1"/>
    <x v="1"/>
    <n v="0"/>
    <n v="0"/>
    <n v="0"/>
    <x v="0"/>
    <x v="0"/>
    <n v="0"/>
  </r>
  <r>
    <n v="669575000000000"/>
    <x v="1"/>
    <x v="53"/>
    <x v="0"/>
    <s v="ROMAO"/>
    <d v="2016-03-08T00:00:00"/>
    <d v="2016-06-03T00:00:00"/>
    <x v="0"/>
    <x v="38"/>
    <x v="0"/>
    <n v="0"/>
    <x v="0"/>
    <n v="1"/>
    <n v="0"/>
    <n v="0"/>
    <x v="0"/>
    <x v="0"/>
    <n v="0"/>
  </r>
  <r>
    <n v="54344000000000"/>
    <x v="0"/>
    <x v="34"/>
    <x v="0"/>
    <s v="CENTRO"/>
    <d v="2016-03-08T00:00:00"/>
    <d v="2016-05-17T00:00:00"/>
    <x v="4"/>
    <x v="20"/>
    <x v="0"/>
    <n v="0"/>
    <x v="1"/>
    <n v="0"/>
    <n v="0"/>
    <n v="0"/>
    <x v="1"/>
    <x v="1"/>
    <n v="1"/>
  </r>
  <r>
    <n v="158288000000000"/>
    <x v="0"/>
    <x v="50"/>
    <x v="1"/>
    <s v="MARUIPE"/>
    <d v="2016-03-09T00:00:00"/>
    <d v="2016-05-06T00:00:00"/>
    <x v="0"/>
    <x v="37"/>
    <x v="0"/>
    <n v="0"/>
    <x v="1"/>
    <n v="0"/>
    <n v="0"/>
    <n v="0"/>
    <x v="0"/>
    <x v="1"/>
    <n v="1"/>
  </r>
  <r>
    <n v="8632710000000"/>
    <x v="1"/>
    <x v="7"/>
    <x v="3"/>
    <s v="FORTE SAO JOAO"/>
    <d v="2016-03-09T00:00:00"/>
    <d v="2016-04-29T00:00:00"/>
    <x v="0"/>
    <x v="39"/>
    <x v="0"/>
    <n v="0"/>
    <x v="0"/>
    <n v="1"/>
    <n v="0"/>
    <n v="0"/>
    <x v="0"/>
    <x v="0"/>
    <n v="0"/>
  </r>
  <r>
    <n v="1459420000000"/>
    <x v="1"/>
    <x v="54"/>
    <x v="1"/>
    <s v="CENTRO"/>
    <d v="2016-03-09T00:00:00"/>
    <d v="2016-05-13T00:00:00"/>
    <x v="0"/>
    <x v="24"/>
    <x v="0"/>
    <n v="0"/>
    <x v="0"/>
    <n v="0"/>
    <n v="0"/>
    <n v="0"/>
    <x v="1"/>
    <x v="1"/>
    <n v="1"/>
  </r>
  <r>
    <n v="13344600000000"/>
    <x v="1"/>
    <x v="12"/>
    <x v="3"/>
    <s v="JARDIM CAMBURI"/>
    <d v="2016-03-09T00:00:00"/>
    <d v="2016-05-16T00:00:00"/>
    <x v="2"/>
    <x v="14"/>
    <x v="0"/>
    <n v="0"/>
    <x v="0"/>
    <n v="0"/>
    <n v="0"/>
    <n v="0"/>
    <x v="1"/>
    <x v="0"/>
    <n v="0"/>
  </r>
  <r>
    <n v="46871600000000"/>
    <x v="0"/>
    <x v="51"/>
    <x v="2"/>
    <s v="JARDIM CAMBURI"/>
    <d v="2016-03-10T00:00:00"/>
    <d v="2016-05-09T00:00:00"/>
    <x v="2"/>
    <x v="18"/>
    <x v="0"/>
    <n v="0"/>
    <x v="1"/>
    <n v="0"/>
    <n v="0"/>
    <n v="0"/>
    <x v="1"/>
    <x v="1"/>
    <n v="1"/>
  </r>
  <r>
    <n v="313412000000"/>
    <x v="0"/>
    <x v="55"/>
    <x v="2"/>
    <s v="JOANA D ARC"/>
    <d v="2016-03-10T00:00:00"/>
    <d v="2016-05-02T00:00:00"/>
    <x v="2"/>
    <x v="40"/>
    <x v="0"/>
    <n v="0"/>
    <x v="1"/>
    <n v="0"/>
    <n v="0"/>
    <n v="0"/>
    <x v="1"/>
    <x v="0"/>
    <n v="0"/>
  </r>
  <r>
    <n v="4812620000000"/>
    <x v="0"/>
    <x v="24"/>
    <x v="1"/>
    <s v="JOANA D ARC"/>
    <d v="2016-03-10T00:00:00"/>
    <d v="2016-04-29T00:00:00"/>
    <x v="0"/>
    <x v="41"/>
    <x v="0"/>
    <n v="0"/>
    <x v="0"/>
    <n v="0"/>
    <n v="0"/>
    <n v="0"/>
    <x v="1"/>
    <x v="0"/>
    <n v="0"/>
  </r>
  <r>
    <n v="6761870000000"/>
    <x v="0"/>
    <x v="21"/>
    <x v="1"/>
    <s v="SANTOS DUMONT"/>
    <d v="2016-03-10T00:00:00"/>
    <d v="2016-05-11T00:00:00"/>
    <x v="1"/>
    <x v="19"/>
    <x v="0"/>
    <n v="0"/>
    <x v="1"/>
    <n v="0"/>
    <n v="0"/>
    <n v="0"/>
    <x v="0"/>
    <x v="0"/>
    <n v="0"/>
  </r>
  <r>
    <n v="861519000000"/>
    <x v="0"/>
    <x v="32"/>
    <x v="4"/>
    <s v="RESISTENCIA"/>
    <d v="2016-03-10T00:00:00"/>
    <d v="2016-05-06T00:00:00"/>
    <x v="0"/>
    <x v="34"/>
    <x v="0"/>
    <n v="0"/>
    <x v="1"/>
    <n v="0"/>
    <n v="0"/>
    <n v="0"/>
    <x v="1"/>
    <x v="0"/>
    <n v="0"/>
  </r>
  <r>
    <n v="116589000000"/>
    <x v="0"/>
    <x v="28"/>
    <x v="3"/>
    <s v="CENTRO"/>
    <d v="2016-03-11T00:00:00"/>
    <d v="2016-05-24T00:00:00"/>
    <x v="4"/>
    <x v="33"/>
    <x v="0"/>
    <n v="0"/>
    <x v="1"/>
    <n v="0"/>
    <n v="0"/>
    <n v="0"/>
    <x v="0"/>
    <x v="0"/>
    <n v="0"/>
  </r>
  <r>
    <n v="5339140000000"/>
    <x v="1"/>
    <x v="30"/>
    <x v="3"/>
    <s v="CENTRO"/>
    <d v="2016-03-14T00:00:00"/>
    <d v="2016-05-13T00:00:00"/>
    <x v="0"/>
    <x v="18"/>
    <x v="0"/>
    <n v="0"/>
    <x v="0"/>
    <n v="0"/>
    <n v="0"/>
    <n v="0"/>
    <x v="1"/>
    <x v="1"/>
    <n v="1"/>
  </r>
  <r>
    <n v="54565500000000"/>
    <x v="0"/>
    <x v="56"/>
    <x v="1"/>
    <s v="SANTA MARTHA"/>
    <d v="2016-03-14T00:00:00"/>
    <d v="2016-05-06T00:00:00"/>
    <x v="0"/>
    <x v="40"/>
    <x v="0"/>
    <n v="0"/>
    <x v="1"/>
    <n v="0"/>
    <n v="0"/>
    <n v="0"/>
    <x v="0"/>
    <x v="1"/>
    <n v="1"/>
  </r>
  <r>
    <n v="975942000000000"/>
    <x v="0"/>
    <x v="24"/>
    <x v="1"/>
    <s v="MONTE BELO"/>
    <d v="2016-03-14T00:00:00"/>
    <d v="2016-04-29T00:00:00"/>
    <x v="0"/>
    <x v="42"/>
    <x v="0"/>
    <n v="0"/>
    <x v="1"/>
    <n v="0"/>
    <n v="0"/>
    <n v="0"/>
    <x v="0"/>
    <x v="0"/>
    <n v="0"/>
  </r>
  <r>
    <n v="5126550000000"/>
    <x v="0"/>
    <x v="57"/>
    <x v="2"/>
    <s v="JESUS DE NAZARETH"/>
    <d v="2016-03-14T00:00:00"/>
    <d v="2016-05-13T00:00:00"/>
    <x v="0"/>
    <x v="18"/>
    <x v="0"/>
    <n v="0"/>
    <x v="1"/>
    <n v="0"/>
    <n v="0"/>
    <n v="0"/>
    <x v="1"/>
    <x v="1"/>
    <n v="1"/>
  </r>
  <r>
    <n v="92351789352"/>
    <x v="0"/>
    <x v="7"/>
    <x v="3"/>
    <s v="MARUIPE"/>
    <d v="2016-03-14T00:00:00"/>
    <d v="2016-05-02T00:00:00"/>
    <x v="2"/>
    <x v="43"/>
    <x v="0"/>
    <n v="0"/>
    <x v="0"/>
    <n v="0"/>
    <n v="0"/>
    <n v="0"/>
    <x v="0"/>
    <x v="0"/>
    <n v="0"/>
  </r>
  <r>
    <n v="12528300000000"/>
    <x v="0"/>
    <x v="58"/>
    <x v="0"/>
    <s v="JARDIM CAMBURI"/>
    <d v="2016-03-14T00:00:00"/>
    <d v="2016-05-20T00:00:00"/>
    <x v="0"/>
    <x v="10"/>
    <x v="0"/>
    <n v="0"/>
    <x v="1"/>
    <n v="0"/>
    <n v="0"/>
    <n v="0"/>
    <x v="1"/>
    <x v="0"/>
    <n v="0"/>
  </r>
  <r>
    <n v="63527300000000"/>
    <x v="0"/>
    <x v="14"/>
    <x v="3"/>
    <s v="ILHA DE SANTA MARIA"/>
    <d v="2016-03-15T00:00:00"/>
    <d v="2016-05-03T00:00:00"/>
    <x v="4"/>
    <x v="43"/>
    <x v="0"/>
    <n v="0"/>
    <x v="1"/>
    <n v="0"/>
    <n v="0"/>
    <n v="0"/>
    <x v="0"/>
    <x v="0"/>
    <n v="0"/>
  </r>
  <r>
    <n v="254885000000000"/>
    <x v="0"/>
    <x v="29"/>
    <x v="3"/>
    <s v="JARDIM CAMBURI"/>
    <d v="2016-03-15T00:00:00"/>
    <d v="2016-05-11T00:00:00"/>
    <x v="1"/>
    <x v="34"/>
    <x v="0"/>
    <n v="0"/>
    <x v="0"/>
    <n v="0"/>
    <n v="0"/>
    <n v="0"/>
    <x v="0"/>
    <x v="0"/>
    <n v="0"/>
  </r>
  <r>
    <n v="1485670000000"/>
    <x v="0"/>
    <x v="49"/>
    <x v="4"/>
    <s v="MONTE BELO"/>
    <d v="2016-03-15T00:00:00"/>
    <d v="2016-05-03T00:00:00"/>
    <x v="4"/>
    <x v="43"/>
    <x v="0"/>
    <n v="0"/>
    <x v="1"/>
    <n v="0"/>
    <n v="0"/>
    <n v="0"/>
    <x v="0"/>
    <x v="1"/>
    <n v="1"/>
  </r>
  <r>
    <n v="41312900000000"/>
    <x v="0"/>
    <x v="52"/>
    <x v="2"/>
    <s v="JARDIM CAMBURI"/>
    <d v="2016-03-15T00:00:00"/>
    <d v="2016-05-16T00:00:00"/>
    <x v="2"/>
    <x v="19"/>
    <x v="0"/>
    <n v="0"/>
    <x v="1"/>
    <n v="0"/>
    <n v="0"/>
    <n v="0"/>
    <x v="1"/>
    <x v="1"/>
    <n v="1"/>
  </r>
  <r>
    <n v="73372900000000"/>
    <x v="0"/>
    <x v="59"/>
    <x v="2"/>
    <s v="JARDIM CAMBURI"/>
    <d v="2016-03-16T00:00:00"/>
    <d v="2016-05-10T00:00:00"/>
    <x v="4"/>
    <x v="44"/>
    <x v="0"/>
    <n v="0"/>
    <x v="1"/>
    <n v="0"/>
    <n v="0"/>
    <n v="0"/>
    <x v="0"/>
    <x v="1"/>
    <n v="1"/>
  </r>
  <r>
    <n v="98228900000000"/>
    <x v="1"/>
    <x v="60"/>
    <x v="2"/>
    <s v="JARDIM CAMBURI"/>
    <d v="2016-03-16T00:00:00"/>
    <d v="2016-05-12T00:00:00"/>
    <x v="3"/>
    <x v="34"/>
    <x v="0"/>
    <n v="0"/>
    <x v="1"/>
    <n v="0"/>
    <n v="0"/>
    <n v="0"/>
    <x v="0"/>
    <x v="1"/>
    <n v="1"/>
  </r>
  <r>
    <n v="7317140000000"/>
    <x v="1"/>
    <x v="46"/>
    <x v="2"/>
    <s v="JARDIM CAMBURI"/>
    <d v="2016-03-16T00:00:00"/>
    <d v="2016-05-13T00:00:00"/>
    <x v="0"/>
    <x v="37"/>
    <x v="0"/>
    <n v="0"/>
    <x v="1"/>
    <n v="0"/>
    <n v="0"/>
    <n v="0"/>
    <x v="1"/>
    <x v="0"/>
    <n v="0"/>
  </r>
  <r>
    <n v="418496000000000"/>
    <x v="0"/>
    <x v="61"/>
    <x v="1"/>
    <s v="JARDIM CAMBURI"/>
    <d v="2016-03-16T00:00:00"/>
    <d v="2016-05-11T00:00:00"/>
    <x v="1"/>
    <x v="36"/>
    <x v="0"/>
    <n v="0"/>
    <x v="1"/>
    <n v="0"/>
    <n v="0"/>
    <n v="0"/>
    <x v="0"/>
    <x v="0"/>
    <n v="0"/>
  </r>
  <r>
    <n v="96638900000000"/>
    <x v="1"/>
    <x v="4"/>
    <x v="2"/>
    <s v="JESUS DE NAZARETH"/>
    <d v="2016-03-16T00:00:00"/>
    <d v="2016-06-01T00:00:00"/>
    <x v="1"/>
    <x v="32"/>
    <x v="0"/>
    <n v="0"/>
    <x v="1"/>
    <n v="0"/>
    <n v="0"/>
    <n v="0"/>
    <x v="0"/>
    <x v="1"/>
    <n v="1"/>
  </r>
  <r>
    <n v="78134000000000"/>
    <x v="0"/>
    <x v="46"/>
    <x v="2"/>
    <s v="JARDIM CAMBURI"/>
    <d v="2016-03-16T00:00:00"/>
    <d v="2016-05-11T00:00:00"/>
    <x v="1"/>
    <x v="36"/>
    <x v="0"/>
    <n v="0"/>
    <x v="1"/>
    <n v="0"/>
    <n v="0"/>
    <n v="0"/>
    <x v="0"/>
    <x v="1"/>
    <n v="1"/>
  </r>
  <r>
    <n v="962395000000"/>
    <x v="0"/>
    <x v="47"/>
    <x v="4"/>
    <s v="CARATOIRA"/>
    <d v="2016-03-16T00:00:00"/>
    <d v="2016-04-29T00:00:00"/>
    <x v="0"/>
    <x v="45"/>
    <x v="0"/>
    <n v="0"/>
    <x v="1"/>
    <n v="0"/>
    <n v="0"/>
    <n v="0"/>
    <x v="0"/>
    <x v="1"/>
    <n v="1"/>
  </r>
  <r>
    <n v="545136000000000"/>
    <x v="0"/>
    <x v="62"/>
    <x v="3"/>
    <s v="JARDIM CAMBURI"/>
    <d v="2016-03-16T00:00:00"/>
    <d v="2016-05-03T00:00:00"/>
    <x v="4"/>
    <x v="46"/>
    <x v="0"/>
    <n v="0"/>
    <x v="1"/>
    <n v="0"/>
    <n v="0"/>
    <n v="0"/>
    <x v="0"/>
    <x v="0"/>
    <n v="0"/>
  </r>
  <r>
    <n v="73148900000000"/>
    <x v="1"/>
    <x v="22"/>
    <x v="4"/>
    <s v="ROMAO"/>
    <d v="2016-03-16T00:00:00"/>
    <d v="2016-04-29T00:00:00"/>
    <x v="0"/>
    <x v="45"/>
    <x v="0"/>
    <n v="0"/>
    <x v="1"/>
    <n v="0"/>
    <n v="0"/>
    <n v="0"/>
    <x v="0"/>
    <x v="0"/>
    <n v="0"/>
  </r>
  <r>
    <n v="64928200000000"/>
    <x v="0"/>
    <x v="63"/>
    <x v="0"/>
    <s v="CARATOIRA"/>
    <d v="2016-03-16T00:00:00"/>
    <d v="2016-04-29T00:00:00"/>
    <x v="0"/>
    <x v="45"/>
    <x v="0"/>
    <n v="0"/>
    <x v="1"/>
    <n v="0"/>
    <n v="0"/>
    <n v="0"/>
    <x v="0"/>
    <x v="1"/>
    <n v="1"/>
  </r>
  <r>
    <n v="58484372618"/>
    <x v="0"/>
    <x v="43"/>
    <x v="2"/>
    <s v="ROMAO"/>
    <d v="2016-03-16T00:00:00"/>
    <d v="2016-04-29T00:00:00"/>
    <x v="0"/>
    <x v="45"/>
    <x v="0"/>
    <n v="0"/>
    <x v="1"/>
    <n v="0"/>
    <n v="0"/>
    <n v="0"/>
    <x v="0"/>
    <x v="0"/>
    <n v="0"/>
  </r>
  <r>
    <n v="646819000000000"/>
    <x v="1"/>
    <x v="64"/>
    <x v="3"/>
    <s v="CARATOIRA"/>
    <d v="2016-03-16T00:00:00"/>
    <d v="2016-04-29T00:00:00"/>
    <x v="0"/>
    <x v="45"/>
    <x v="0"/>
    <n v="0"/>
    <x v="0"/>
    <n v="0"/>
    <n v="1"/>
    <n v="0"/>
    <x v="0"/>
    <x v="1"/>
    <n v="1"/>
  </r>
  <r>
    <n v="6844780000000"/>
    <x v="1"/>
    <x v="65"/>
    <x v="2"/>
    <s v="RESISTENCIA"/>
    <d v="2016-03-16T00:00:00"/>
    <d v="2016-04-29T00:00:00"/>
    <x v="0"/>
    <x v="45"/>
    <x v="0"/>
    <n v="0"/>
    <x v="1"/>
    <n v="0"/>
    <n v="0"/>
    <n v="0"/>
    <x v="0"/>
    <x v="0"/>
    <n v="0"/>
  </r>
  <r>
    <n v="96627900000000"/>
    <x v="1"/>
    <x v="12"/>
    <x v="3"/>
    <s v="JARDIM CAMBURI"/>
    <d v="2016-03-17T00:00:00"/>
    <d v="2016-05-06T00:00:00"/>
    <x v="0"/>
    <x v="41"/>
    <x v="0"/>
    <n v="0"/>
    <x v="1"/>
    <n v="0"/>
    <n v="0"/>
    <n v="0"/>
    <x v="0"/>
    <x v="0"/>
    <n v="0"/>
  </r>
  <r>
    <n v="351182000000000"/>
    <x v="1"/>
    <x v="46"/>
    <x v="2"/>
    <s v="RESISTENCIA"/>
    <d v="2016-03-17T00:00:00"/>
    <d v="2016-04-29T00:00:00"/>
    <x v="0"/>
    <x v="47"/>
    <x v="0"/>
    <n v="0"/>
    <x v="1"/>
    <n v="0"/>
    <n v="0"/>
    <n v="0"/>
    <x v="0"/>
    <x v="0"/>
    <n v="0"/>
  </r>
  <r>
    <n v="692517000000"/>
    <x v="0"/>
    <x v="21"/>
    <x v="1"/>
    <s v="MONTE BELO"/>
    <d v="2016-03-17T00:00:00"/>
    <d v="2016-05-04T00:00:00"/>
    <x v="1"/>
    <x v="46"/>
    <x v="0"/>
    <n v="0"/>
    <x v="1"/>
    <n v="0"/>
    <n v="0"/>
    <n v="0"/>
    <x v="0"/>
    <x v="1"/>
    <n v="1"/>
  </r>
  <r>
    <n v="5957620000000"/>
    <x v="0"/>
    <x v="66"/>
    <x v="2"/>
    <s v="SANTOS DUMONT"/>
    <d v="2016-03-17T00:00:00"/>
    <d v="2016-05-13T00:00:00"/>
    <x v="0"/>
    <x v="34"/>
    <x v="0"/>
    <n v="0"/>
    <x v="1"/>
    <n v="0"/>
    <n v="0"/>
    <n v="0"/>
    <x v="1"/>
    <x v="1"/>
    <n v="1"/>
  </r>
  <r>
    <n v="3972150000000"/>
    <x v="1"/>
    <x v="29"/>
    <x v="3"/>
    <s v="RESISTENCIA"/>
    <d v="2016-03-17T00:00:00"/>
    <d v="2016-05-10T00:00:00"/>
    <x v="4"/>
    <x v="48"/>
    <x v="0"/>
    <n v="0"/>
    <x v="1"/>
    <n v="0"/>
    <n v="0"/>
    <n v="0"/>
    <x v="0"/>
    <x v="1"/>
    <n v="1"/>
  </r>
  <r>
    <n v="59548300000000"/>
    <x v="0"/>
    <x v="67"/>
    <x v="4"/>
    <s v="FORTE SAO JOAO"/>
    <d v="2016-03-17T00:00:00"/>
    <d v="2016-04-29T00:00:00"/>
    <x v="0"/>
    <x v="47"/>
    <x v="0"/>
    <n v="0"/>
    <x v="1"/>
    <n v="0"/>
    <n v="0"/>
    <n v="0"/>
    <x v="0"/>
    <x v="1"/>
    <n v="1"/>
  </r>
  <r>
    <n v="6385850000000"/>
    <x v="0"/>
    <x v="62"/>
    <x v="3"/>
    <s v="SANTA CECILIA"/>
    <d v="2016-03-17T00:00:00"/>
    <d v="2016-05-09T00:00:00"/>
    <x v="2"/>
    <x v="40"/>
    <x v="0"/>
    <n v="0"/>
    <x v="1"/>
    <n v="0"/>
    <n v="0"/>
    <n v="0"/>
    <x v="1"/>
    <x v="1"/>
    <n v="1"/>
  </r>
  <r>
    <n v="112874000000000"/>
    <x v="0"/>
    <x v="37"/>
    <x v="3"/>
    <s v="RESISTENCIA"/>
    <d v="2016-03-17T00:00:00"/>
    <d v="2016-06-03T00:00:00"/>
    <x v="0"/>
    <x v="9"/>
    <x v="0"/>
    <n v="1"/>
    <x v="0"/>
    <n v="1"/>
    <n v="0"/>
    <n v="0"/>
    <x v="0"/>
    <x v="1"/>
    <n v="1"/>
  </r>
  <r>
    <n v="8577440000000"/>
    <x v="0"/>
    <x v="16"/>
    <x v="1"/>
    <s v="SANTOS DUMONT"/>
    <d v="2016-03-17T00:00:00"/>
    <d v="2016-05-09T00:00:00"/>
    <x v="2"/>
    <x v="40"/>
    <x v="0"/>
    <n v="0"/>
    <x v="0"/>
    <n v="0"/>
    <n v="0"/>
    <n v="0"/>
    <x v="1"/>
    <x v="0"/>
    <n v="0"/>
  </r>
  <r>
    <n v="635389000000000"/>
    <x v="0"/>
    <x v="68"/>
    <x v="4"/>
    <s v="JESUS DE NAZARETH"/>
    <d v="2016-03-17T00:00:00"/>
    <d v="2016-05-02T00:00:00"/>
    <x v="2"/>
    <x v="42"/>
    <x v="0"/>
    <n v="0"/>
    <x v="1"/>
    <n v="0"/>
    <n v="0"/>
    <n v="0"/>
    <x v="0"/>
    <x v="1"/>
    <n v="1"/>
  </r>
  <r>
    <n v="717788000000"/>
    <x v="0"/>
    <x v="69"/>
    <x v="4"/>
    <s v="TABUAZEIRO"/>
    <d v="2016-03-18T00:00:00"/>
    <d v="2016-04-29T00:00:00"/>
    <x v="0"/>
    <x v="49"/>
    <x v="0"/>
    <n v="0"/>
    <x v="1"/>
    <n v="0"/>
    <n v="0"/>
    <n v="0"/>
    <x v="0"/>
    <x v="1"/>
    <n v="1"/>
  </r>
  <r>
    <n v="726685000000000"/>
    <x v="0"/>
    <x v="70"/>
    <x v="5"/>
    <s v="FORTE SAO JOAO"/>
    <d v="2016-03-18T00:00:00"/>
    <d v="2016-04-29T00:00:00"/>
    <x v="0"/>
    <x v="49"/>
    <x v="0"/>
    <n v="0"/>
    <x v="1"/>
    <n v="0"/>
    <n v="0"/>
    <n v="0"/>
    <x v="1"/>
    <x v="0"/>
    <n v="0"/>
  </r>
  <r>
    <n v="62974300000000"/>
    <x v="1"/>
    <x v="42"/>
    <x v="3"/>
    <s v="SAO CRISTOVAO"/>
    <d v="2016-03-18T00:00:00"/>
    <d v="2016-04-29T00:00:00"/>
    <x v="0"/>
    <x v="49"/>
    <x v="0"/>
    <n v="0"/>
    <x v="1"/>
    <n v="0"/>
    <n v="0"/>
    <n v="0"/>
    <x v="1"/>
    <x v="0"/>
    <n v="0"/>
  </r>
  <r>
    <n v="13528600000000"/>
    <x v="0"/>
    <x v="65"/>
    <x v="2"/>
    <s v="RESISTENCIA"/>
    <d v="2016-03-18T00:00:00"/>
    <d v="2016-05-18T00:00:00"/>
    <x v="1"/>
    <x v="30"/>
    <x v="0"/>
    <n v="0"/>
    <x v="1"/>
    <n v="0"/>
    <n v="0"/>
    <n v="0"/>
    <x v="1"/>
    <x v="1"/>
    <n v="1"/>
  </r>
  <r>
    <n v="99676396336"/>
    <x v="1"/>
    <x v="46"/>
    <x v="2"/>
    <s v="JARDIM CAMBURI"/>
    <d v="2016-03-18T00:00:00"/>
    <d v="2016-05-11T00:00:00"/>
    <x v="1"/>
    <x v="48"/>
    <x v="0"/>
    <n v="0"/>
    <x v="1"/>
    <n v="0"/>
    <n v="0"/>
    <n v="0"/>
    <x v="0"/>
    <x v="1"/>
    <n v="1"/>
  </r>
  <r>
    <n v="42641200000000"/>
    <x v="0"/>
    <x v="71"/>
    <x v="4"/>
    <s v="RESISTENCIA"/>
    <d v="2016-03-18T00:00:00"/>
    <d v="2016-04-29T00:00:00"/>
    <x v="0"/>
    <x v="49"/>
    <x v="0"/>
    <n v="0"/>
    <x v="1"/>
    <n v="0"/>
    <n v="0"/>
    <n v="0"/>
    <x v="0"/>
    <x v="0"/>
    <n v="0"/>
  </r>
  <r>
    <n v="411584000000000"/>
    <x v="1"/>
    <x v="40"/>
    <x v="1"/>
    <s v="BELA VISTA"/>
    <d v="2016-03-21T00:00:00"/>
    <d v="2016-04-29T00:00:00"/>
    <x v="0"/>
    <x v="50"/>
    <x v="0"/>
    <n v="0"/>
    <x v="1"/>
    <n v="0"/>
    <n v="0"/>
    <n v="0"/>
    <x v="0"/>
    <x v="1"/>
    <n v="1"/>
  </r>
  <r>
    <n v="325647000000"/>
    <x v="0"/>
    <x v="40"/>
    <x v="1"/>
    <s v="JARDIM CAMBURI"/>
    <d v="2016-03-21T00:00:00"/>
    <d v="2016-05-04T00:00:00"/>
    <x v="1"/>
    <x v="45"/>
    <x v="0"/>
    <n v="0"/>
    <x v="1"/>
    <n v="0"/>
    <n v="0"/>
    <n v="0"/>
    <x v="0"/>
    <x v="0"/>
    <n v="0"/>
  </r>
  <r>
    <n v="9314500000000"/>
    <x v="0"/>
    <x v="72"/>
    <x v="5"/>
    <s v="SANTA CECILIA"/>
    <d v="2016-03-21T00:00:00"/>
    <d v="2016-05-10T00:00:00"/>
    <x v="4"/>
    <x v="41"/>
    <x v="0"/>
    <n v="1"/>
    <x v="1"/>
    <n v="0"/>
    <n v="0"/>
    <n v="0"/>
    <x v="1"/>
    <x v="1"/>
    <n v="1"/>
  </r>
  <r>
    <n v="8612880000000"/>
    <x v="0"/>
    <x v="54"/>
    <x v="1"/>
    <s v="BELA VISTA"/>
    <d v="2016-03-21T00:00:00"/>
    <d v="2016-04-29T00:00:00"/>
    <x v="0"/>
    <x v="50"/>
    <x v="0"/>
    <n v="0"/>
    <x v="1"/>
    <n v="0"/>
    <n v="0"/>
    <n v="0"/>
    <x v="0"/>
    <x v="1"/>
    <n v="1"/>
  </r>
  <r>
    <n v="8727890000000"/>
    <x v="0"/>
    <x v="63"/>
    <x v="0"/>
    <s v="MARUIPE"/>
    <d v="2016-03-21T00:00:00"/>
    <d v="2016-05-16T00:00:00"/>
    <x v="2"/>
    <x v="36"/>
    <x v="0"/>
    <n v="0"/>
    <x v="0"/>
    <n v="0"/>
    <n v="0"/>
    <n v="0"/>
    <x v="1"/>
    <x v="0"/>
    <n v="0"/>
  </r>
  <r>
    <n v="977416000000"/>
    <x v="1"/>
    <x v="10"/>
    <x v="4"/>
    <s v="JARDIM CAMBURI"/>
    <d v="2016-03-21T00:00:00"/>
    <d v="2016-05-17T00:00:00"/>
    <x v="4"/>
    <x v="34"/>
    <x v="0"/>
    <n v="0"/>
    <x v="1"/>
    <n v="0"/>
    <n v="0"/>
    <n v="0"/>
    <x v="1"/>
    <x v="0"/>
    <n v="0"/>
  </r>
  <r>
    <n v="1719320000000"/>
    <x v="1"/>
    <x v="70"/>
    <x v="5"/>
    <s v="BELA VISTA"/>
    <d v="2016-03-21T00:00:00"/>
    <d v="2016-04-29T00:00:00"/>
    <x v="0"/>
    <x v="50"/>
    <x v="0"/>
    <n v="0"/>
    <x v="1"/>
    <n v="0"/>
    <n v="0"/>
    <n v="0"/>
    <x v="1"/>
    <x v="1"/>
    <n v="1"/>
  </r>
  <r>
    <n v="127395000000000"/>
    <x v="0"/>
    <x v="71"/>
    <x v="4"/>
    <s v="MONTE BELO"/>
    <d v="2016-03-21T00:00:00"/>
    <d v="2016-05-06T00:00:00"/>
    <x v="0"/>
    <x v="42"/>
    <x v="0"/>
    <n v="0"/>
    <x v="1"/>
    <n v="0"/>
    <n v="0"/>
    <n v="0"/>
    <x v="0"/>
    <x v="0"/>
    <n v="0"/>
  </r>
  <r>
    <n v="3741540000000"/>
    <x v="1"/>
    <x v="44"/>
    <x v="4"/>
    <s v="TABUAZEIRO"/>
    <d v="2016-03-21T00:00:00"/>
    <d v="2016-04-29T00:00:00"/>
    <x v="0"/>
    <x v="50"/>
    <x v="0"/>
    <n v="0"/>
    <x v="1"/>
    <n v="0"/>
    <n v="0"/>
    <n v="0"/>
    <x v="0"/>
    <x v="0"/>
    <n v="0"/>
  </r>
  <r>
    <n v="4263660000000"/>
    <x v="0"/>
    <x v="64"/>
    <x v="3"/>
    <s v="MONTE BELO"/>
    <d v="2016-03-21T00:00:00"/>
    <d v="2016-05-06T00:00:00"/>
    <x v="0"/>
    <x v="42"/>
    <x v="0"/>
    <n v="0"/>
    <x v="0"/>
    <n v="0"/>
    <n v="0"/>
    <n v="0"/>
    <x v="1"/>
    <x v="1"/>
    <n v="1"/>
  </r>
  <r>
    <n v="35854200000000"/>
    <x v="0"/>
    <x v="36"/>
    <x v="3"/>
    <s v="JUCUTUQUARA"/>
    <d v="2016-03-21T00:00:00"/>
    <d v="2016-05-19T00:00:00"/>
    <x v="3"/>
    <x v="31"/>
    <x v="0"/>
    <n v="0"/>
    <x v="1"/>
    <n v="0"/>
    <n v="0"/>
    <n v="0"/>
    <x v="1"/>
    <x v="0"/>
    <n v="0"/>
  </r>
  <r>
    <n v="96482200000000"/>
    <x v="0"/>
    <x v="73"/>
    <x v="4"/>
    <s v="CONSOLACAO"/>
    <d v="2016-03-22T00:00:00"/>
    <d v="2016-05-03T00:00:00"/>
    <x v="4"/>
    <x v="49"/>
    <x v="0"/>
    <n v="0"/>
    <x v="1"/>
    <n v="0"/>
    <n v="0"/>
    <n v="0"/>
    <x v="0"/>
    <x v="0"/>
    <n v="0"/>
  </r>
  <r>
    <n v="126632000000000"/>
    <x v="0"/>
    <x v="21"/>
    <x v="1"/>
    <s v="SANTO ANTONIO"/>
    <d v="2016-03-22T00:00:00"/>
    <d v="2016-05-03T00:00:00"/>
    <x v="4"/>
    <x v="49"/>
    <x v="0"/>
    <n v="0"/>
    <x v="1"/>
    <n v="0"/>
    <n v="0"/>
    <n v="0"/>
    <x v="0"/>
    <x v="0"/>
    <n v="0"/>
  </r>
  <r>
    <n v="31214600000000"/>
    <x v="0"/>
    <x v="25"/>
    <x v="4"/>
    <s v="JESUS DE NAZARETH"/>
    <d v="2016-03-22T00:00:00"/>
    <d v="2016-05-02T00:00:00"/>
    <x v="2"/>
    <x v="51"/>
    <x v="0"/>
    <n v="0"/>
    <x v="1"/>
    <n v="0"/>
    <n v="0"/>
    <n v="0"/>
    <x v="0"/>
    <x v="1"/>
    <n v="1"/>
  </r>
  <r>
    <n v="476781000000000"/>
    <x v="0"/>
    <x v="28"/>
    <x v="3"/>
    <s v="JARDIM CAMBURI"/>
    <d v="2016-03-22T00:00:00"/>
    <d v="2016-05-11T00:00:00"/>
    <x v="1"/>
    <x v="41"/>
    <x v="0"/>
    <n v="0"/>
    <x v="1"/>
    <n v="0"/>
    <n v="0"/>
    <n v="0"/>
    <x v="1"/>
    <x v="0"/>
    <n v="0"/>
  </r>
  <r>
    <n v="18865100000000"/>
    <x v="0"/>
    <x v="44"/>
    <x v="4"/>
    <s v="JUCUTUQUARA"/>
    <d v="2016-03-22T00:00:00"/>
    <d v="2016-05-10T00:00:00"/>
    <x v="4"/>
    <x v="43"/>
    <x v="0"/>
    <n v="0"/>
    <x v="1"/>
    <n v="0"/>
    <n v="0"/>
    <n v="0"/>
    <x v="0"/>
    <x v="0"/>
    <n v="0"/>
  </r>
  <r>
    <n v="5947650000000"/>
    <x v="0"/>
    <x v="46"/>
    <x v="2"/>
    <s v="JARDIM CAMBURI"/>
    <d v="2016-03-22T00:00:00"/>
    <d v="2016-05-19T00:00:00"/>
    <x v="3"/>
    <x v="37"/>
    <x v="0"/>
    <n v="0"/>
    <x v="1"/>
    <n v="0"/>
    <n v="0"/>
    <n v="0"/>
    <x v="1"/>
    <x v="1"/>
    <n v="1"/>
  </r>
  <r>
    <n v="95196400000000"/>
    <x v="0"/>
    <x v="46"/>
    <x v="2"/>
    <s v="JARDIM CAMBURI"/>
    <d v="2016-03-22T00:00:00"/>
    <d v="2016-05-05T00:00:00"/>
    <x v="3"/>
    <x v="45"/>
    <x v="0"/>
    <n v="0"/>
    <x v="1"/>
    <n v="0"/>
    <n v="0"/>
    <n v="0"/>
    <x v="0"/>
    <x v="0"/>
    <n v="0"/>
  </r>
  <r>
    <n v="522549000000000"/>
    <x v="0"/>
    <x v="15"/>
    <x v="3"/>
    <s v="ILHA DE SANTA MARIA"/>
    <d v="2016-03-22T00:00:00"/>
    <d v="2016-05-11T00:00:00"/>
    <x v="1"/>
    <x v="41"/>
    <x v="0"/>
    <n v="0"/>
    <x v="1"/>
    <n v="0"/>
    <n v="0"/>
    <n v="0"/>
    <x v="0"/>
    <x v="0"/>
    <n v="0"/>
  </r>
  <r>
    <n v="711634000000000"/>
    <x v="0"/>
    <x v="15"/>
    <x v="3"/>
    <s v="RESISTENCIA"/>
    <d v="2016-03-22T00:00:00"/>
    <d v="2016-04-29T00:00:00"/>
    <x v="0"/>
    <x v="52"/>
    <x v="0"/>
    <n v="0"/>
    <x v="0"/>
    <n v="1"/>
    <n v="0"/>
    <n v="0"/>
    <x v="0"/>
    <x v="0"/>
    <n v="0"/>
  </r>
  <r>
    <n v="56691900000000"/>
    <x v="1"/>
    <x v="38"/>
    <x v="4"/>
    <s v="JARDIM CAMBURI"/>
    <d v="2016-03-22T00:00:00"/>
    <d v="2016-05-10T00:00:00"/>
    <x v="4"/>
    <x v="43"/>
    <x v="0"/>
    <n v="0"/>
    <x v="1"/>
    <n v="0"/>
    <n v="0"/>
    <n v="0"/>
    <x v="1"/>
    <x v="1"/>
    <n v="1"/>
  </r>
  <r>
    <n v="39223800000000"/>
    <x v="0"/>
    <x v="59"/>
    <x v="2"/>
    <s v="BENTO FERREIRA"/>
    <d v="2016-03-23T00:00:00"/>
    <d v="2016-05-04T00:00:00"/>
    <x v="1"/>
    <x v="49"/>
    <x v="0"/>
    <n v="0"/>
    <x v="1"/>
    <n v="0"/>
    <n v="0"/>
    <n v="0"/>
    <x v="0"/>
    <x v="1"/>
    <n v="1"/>
  </r>
  <r>
    <n v="1731654939"/>
    <x v="0"/>
    <x v="40"/>
    <x v="1"/>
    <s v="JUCUTUQUARA"/>
    <d v="2016-03-23T00:00:00"/>
    <d v="2016-05-13T00:00:00"/>
    <x v="0"/>
    <x v="39"/>
    <x v="0"/>
    <n v="0"/>
    <x v="1"/>
    <n v="0"/>
    <n v="0"/>
    <n v="0"/>
    <x v="1"/>
    <x v="1"/>
    <n v="1"/>
  </r>
  <r>
    <n v="78432500000000"/>
    <x v="1"/>
    <x v="72"/>
    <x v="5"/>
    <s v="JARDIM CAMBURI"/>
    <d v="2016-03-23T00:00:00"/>
    <d v="2016-05-10T00:00:00"/>
    <x v="4"/>
    <x v="46"/>
    <x v="0"/>
    <n v="0"/>
    <x v="1"/>
    <n v="0"/>
    <n v="0"/>
    <n v="0"/>
    <x v="0"/>
    <x v="0"/>
    <n v="0"/>
  </r>
  <r>
    <n v="4399920000000"/>
    <x v="1"/>
    <x v="31"/>
    <x v="1"/>
    <s v="JUCUTUQUARA"/>
    <d v="2016-03-23T00:00:00"/>
    <d v="2016-05-20T00:00:00"/>
    <x v="0"/>
    <x v="37"/>
    <x v="0"/>
    <n v="0"/>
    <x v="1"/>
    <n v="0"/>
    <n v="0"/>
    <n v="0"/>
    <x v="1"/>
    <x v="0"/>
    <n v="0"/>
  </r>
  <r>
    <n v="94535400000000"/>
    <x v="0"/>
    <x v="74"/>
    <x v="1"/>
    <s v="JARDIM CAMBURI"/>
    <d v="2016-03-23T00:00:00"/>
    <d v="2016-05-12T00:00:00"/>
    <x v="3"/>
    <x v="41"/>
    <x v="0"/>
    <n v="0"/>
    <x v="1"/>
    <n v="0"/>
    <n v="0"/>
    <n v="0"/>
    <x v="1"/>
    <x v="1"/>
    <n v="1"/>
  </r>
  <r>
    <n v="2651670000000"/>
    <x v="0"/>
    <x v="66"/>
    <x v="2"/>
    <s v="ITARARE"/>
    <d v="2016-03-23T00:00:00"/>
    <d v="2016-05-06T00:00:00"/>
    <x v="0"/>
    <x v="45"/>
    <x v="0"/>
    <n v="0"/>
    <x v="1"/>
    <n v="0"/>
    <n v="0"/>
    <n v="0"/>
    <x v="0"/>
    <x v="1"/>
    <n v="1"/>
  </r>
  <r>
    <n v="32875600000000"/>
    <x v="1"/>
    <x v="74"/>
    <x v="1"/>
    <s v="REDENCAO"/>
    <d v="2016-03-23T00:00:00"/>
    <d v="2016-04-29T00:00:00"/>
    <x v="0"/>
    <x v="53"/>
    <x v="0"/>
    <n v="0"/>
    <x v="1"/>
    <n v="0"/>
    <n v="0"/>
    <n v="0"/>
    <x v="0"/>
    <x v="0"/>
    <n v="0"/>
  </r>
  <r>
    <n v="99576000000000"/>
    <x v="0"/>
    <x v="54"/>
    <x v="1"/>
    <s v="JUCUTUQUARA"/>
    <d v="2016-03-23T00:00:00"/>
    <d v="2016-05-13T00:00:00"/>
    <x v="0"/>
    <x v="39"/>
    <x v="0"/>
    <n v="0"/>
    <x v="1"/>
    <n v="0"/>
    <n v="0"/>
    <n v="0"/>
    <x v="1"/>
    <x v="0"/>
    <n v="0"/>
  </r>
  <r>
    <n v="7293590000000"/>
    <x v="1"/>
    <x v="46"/>
    <x v="2"/>
    <s v="SANTA TEREZA"/>
    <d v="2016-03-23T00:00:00"/>
    <d v="2016-05-19T00:00:00"/>
    <x v="3"/>
    <x v="34"/>
    <x v="0"/>
    <n v="0"/>
    <x v="1"/>
    <n v="0"/>
    <n v="0"/>
    <n v="0"/>
    <x v="1"/>
    <x v="0"/>
    <n v="0"/>
  </r>
  <r>
    <n v="3669410000000"/>
    <x v="0"/>
    <x v="5"/>
    <x v="1"/>
    <s v="PRAIA DO SUA"/>
    <d v="2016-03-23T00:00:00"/>
    <d v="2016-05-06T00:00:00"/>
    <x v="0"/>
    <x v="45"/>
    <x v="0"/>
    <n v="0"/>
    <x v="0"/>
    <n v="0"/>
    <n v="0"/>
    <n v="0"/>
    <x v="0"/>
    <x v="0"/>
    <n v="0"/>
  </r>
  <r>
    <n v="31335100000000"/>
    <x v="0"/>
    <x v="27"/>
    <x v="3"/>
    <s v="SAO PEDRO"/>
    <d v="2016-03-23T00:00:00"/>
    <d v="2016-05-05T00:00:00"/>
    <x v="3"/>
    <x v="47"/>
    <x v="0"/>
    <n v="0"/>
    <x v="1"/>
    <n v="0"/>
    <n v="0"/>
    <n v="0"/>
    <x v="0"/>
    <x v="1"/>
    <n v="1"/>
  </r>
  <r>
    <n v="232442000000000"/>
    <x v="0"/>
    <x v="7"/>
    <x v="3"/>
    <s v="JABOUR"/>
    <d v="2016-03-23T00:00:00"/>
    <d v="2016-04-29T00:00:00"/>
    <x v="0"/>
    <x v="53"/>
    <x v="0"/>
    <n v="0"/>
    <x v="1"/>
    <n v="0"/>
    <n v="0"/>
    <n v="0"/>
    <x v="1"/>
    <x v="0"/>
    <n v="0"/>
  </r>
  <r>
    <n v="76496500000000"/>
    <x v="1"/>
    <x v="40"/>
    <x v="1"/>
    <s v="JARDIM CAMBURI"/>
    <d v="2016-03-23T00:00:00"/>
    <d v="2016-05-13T00:00:00"/>
    <x v="0"/>
    <x v="39"/>
    <x v="0"/>
    <n v="0"/>
    <x v="1"/>
    <n v="0"/>
    <n v="0"/>
    <n v="0"/>
    <x v="1"/>
    <x v="1"/>
    <n v="1"/>
  </r>
  <r>
    <n v="4634890000000"/>
    <x v="0"/>
    <x v="45"/>
    <x v="1"/>
    <s v="JARDIM CAMBURI"/>
    <d v="2016-03-23T00:00:00"/>
    <d v="2016-05-05T00:00:00"/>
    <x v="3"/>
    <x v="47"/>
    <x v="0"/>
    <n v="0"/>
    <x v="1"/>
    <n v="0"/>
    <n v="0"/>
    <n v="0"/>
    <x v="0"/>
    <x v="0"/>
    <n v="0"/>
  </r>
  <r>
    <n v="47239300000000"/>
    <x v="0"/>
    <x v="40"/>
    <x v="1"/>
    <s v="ROMAO"/>
    <d v="2016-03-28T00:00:00"/>
    <d v="2016-05-06T00:00:00"/>
    <x v="0"/>
    <x v="50"/>
    <x v="0"/>
    <n v="0"/>
    <x v="1"/>
    <n v="0"/>
    <n v="0"/>
    <n v="0"/>
    <x v="0"/>
    <x v="1"/>
    <n v="1"/>
  </r>
  <r>
    <n v="77497500000000"/>
    <x v="0"/>
    <x v="75"/>
    <x v="5"/>
    <s v="JESUS DE NAZARETH"/>
    <d v="2016-03-28T00:00:00"/>
    <d v="2016-05-04T00:00:00"/>
    <x v="1"/>
    <x v="53"/>
    <x v="0"/>
    <n v="0"/>
    <x v="1"/>
    <n v="0"/>
    <n v="0"/>
    <n v="0"/>
    <x v="0"/>
    <x v="1"/>
    <n v="1"/>
  </r>
  <r>
    <n v="9757610000000"/>
    <x v="0"/>
    <x v="48"/>
    <x v="3"/>
    <s v="JESUS DE NAZARETH"/>
    <d v="2016-03-28T00:00:00"/>
    <d v="2016-05-06T00:00:00"/>
    <x v="0"/>
    <x v="50"/>
    <x v="0"/>
    <n v="0"/>
    <x v="1"/>
    <n v="0"/>
    <n v="0"/>
    <n v="0"/>
    <x v="0"/>
    <x v="0"/>
    <n v="0"/>
  </r>
  <r>
    <n v="538567000000000"/>
    <x v="1"/>
    <x v="5"/>
    <x v="1"/>
    <s v="PRAIA DO SUA"/>
    <d v="2016-03-28T00:00:00"/>
    <d v="2016-04-29T00:00:00"/>
    <x v="0"/>
    <x v="54"/>
    <x v="0"/>
    <n v="0"/>
    <x v="0"/>
    <n v="0"/>
    <n v="0"/>
    <n v="0"/>
    <x v="0"/>
    <x v="0"/>
    <n v="0"/>
  </r>
  <r>
    <n v="497517000000000"/>
    <x v="0"/>
    <x v="23"/>
    <x v="3"/>
    <s v="JESUS DE NAZARETH"/>
    <d v="2016-03-28T00:00:00"/>
    <d v="2016-05-18T00:00:00"/>
    <x v="1"/>
    <x v="39"/>
    <x v="0"/>
    <n v="0"/>
    <x v="1"/>
    <n v="0"/>
    <n v="0"/>
    <n v="0"/>
    <x v="1"/>
    <x v="0"/>
    <n v="0"/>
  </r>
  <r>
    <n v="33389400000000"/>
    <x v="0"/>
    <x v="71"/>
    <x v="4"/>
    <s v="ILHA DE SANTA MARIA"/>
    <d v="2016-03-28T00:00:00"/>
    <d v="2016-05-17T00:00:00"/>
    <x v="4"/>
    <x v="41"/>
    <x v="0"/>
    <n v="0"/>
    <x v="1"/>
    <n v="0"/>
    <n v="0"/>
    <n v="0"/>
    <x v="1"/>
    <x v="0"/>
    <n v="0"/>
  </r>
  <r>
    <n v="93666300000000"/>
    <x v="0"/>
    <x v="23"/>
    <x v="3"/>
    <s v="MONTE BELO"/>
    <d v="2016-03-28T00:00:00"/>
    <d v="2016-05-16T00:00:00"/>
    <x v="2"/>
    <x v="43"/>
    <x v="0"/>
    <n v="0"/>
    <x v="1"/>
    <n v="0"/>
    <n v="0"/>
    <n v="0"/>
    <x v="1"/>
    <x v="0"/>
    <n v="0"/>
  </r>
  <r>
    <n v="66812200000000"/>
    <x v="0"/>
    <x v="54"/>
    <x v="1"/>
    <s v="RESISTENCIA"/>
    <d v="2016-03-28T00:00:00"/>
    <d v="2016-05-04T00:00:00"/>
    <x v="1"/>
    <x v="53"/>
    <x v="0"/>
    <n v="1"/>
    <x v="1"/>
    <n v="0"/>
    <n v="0"/>
    <n v="0"/>
    <x v="0"/>
    <x v="0"/>
    <n v="0"/>
  </r>
  <r>
    <n v="4968150000000"/>
    <x v="0"/>
    <x v="30"/>
    <x v="3"/>
    <s v="PRAIA DO SUA"/>
    <d v="2016-03-28T00:00:00"/>
    <d v="2016-04-29T00:00:00"/>
    <x v="0"/>
    <x v="54"/>
    <x v="0"/>
    <n v="0"/>
    <x v="1"/>
    <n v="0"/>
    <n v="0"/>
    <n v="0"/>
    <x v="1"/>
    <x v="1"/>
    <n v="1"/>
  </r>
  <r>
    <n v="66898300000000"/>
    <x v="1"/>
    <x v="70"/>
    <x v="5"/>
    <s v="CARATOIRA"/>
    <d v="2016-03-28T00:00:00"/>
    <d v="2016-05-03T00:00:00"/>
    <x v="4"/>
    <x v="55"/>
    <x v="0"/>
    <n v="1"/>
    <x v="1"/>
    <n v="0"/>
    <n v="0"/>
    <n v="0"/>
    <x v="1"/>
    <x v="1"/>
    <n v="1"/>
  </r>
  <r>
    <n v="267788000000000"/>
    <x v="0"/>
    <x v="63"/>
    <x v="0"/>
    <s v="BONFIM"/>
    <d v="2016-03-28T00:00:00"/>
    <d v="2016-06-03T00:00:00"/>
    <x v="0"/>
    <x v="10"/>
    <x v="0"/>
    <n v="0"/>
    <x v="1"/>
    <n v="0"/>
    <n v="0"/>
    <n v="0"/>
    <x v="0"/>
    <x v="0"/>
    <n v="0"/>
  </r>
  <r>
    <n v="7976160000000"/>
    <x v="0"/>
    <x v="47"/>
    <x v="4"/>
    <s v="GURIGICA"/>
    <d v="2016-03-28T00:00:00"/>
    <d v="2016-04-29T00:00:00"/>
    <x v="0"/>
    <x v="54"/>
    <x v="0"/>
    <n v="0"/>
    <x v="1"/>
    <n v="0"/>
    <n v="0"/>
    <n v="0"/>
    <x v="0"/>
    <x v="0"/>
    <n v="0"/>
  </r>
  <r>
    <n v="781845000000000"/>
    <x v="1"/>
    <x v="61"/>
    <x v="1"/>
    <s v="MATA DA PRAIA"/>
    <d v="2016-03-28T00:00:00"/>
    <d v="2016-06-08T00:00:00"/>
    <x v="1"/>
    <x v="29"/>
    <x v="0"/>
    <n v="0"/>
    <x v="1"/>
    <n v="0"/>
    <n v="0"/>
    <n v="0"/>
    <x v="0"/>
    <x v="1"/>
    <n v="1"/>
  </r>
  <r>
    <n v="32882971673"/>
    <x v="0"/>
    <x v="70"/>
    <x v="5"/>
    <s v="SANTA MARTHA"/>
    <d v="2016-03-28T00:00:00"/>
    <d v="2016-05-09T00:00:00"/>
    <x v="2"/>
    <x v="49"/>
    <x v="0"/>
    <n v="0"/>
    <x v="1"/>
    <n v="0"/>
    <n v="0"/>
    <n v="0"/>
    <x v="1"/>
    <x v="1"/>
    <n v="1"/>
  </r>
  <r>
    <n v="42396300000000"/>
    <x v="0"/>
    <x v="38"/>
    <x v="4"/>
    <s v="ILHA DE SANTA MARIA"/>
    <d v="2016-03-28T00:00:00"/>
    <d v="2016-05-12T00:00:00"/>
    <x v="3"/>
    <x v="56"/>
    <x v="0"/>
    <n v="0"/>
    <x v="1"/>
    <n v="0"/>
    <n v="0"/>
    <n v="0"/>
    <x v="0"/>
    <x v="0"/>
    <n v="0"/>
  </r>
  <r>
    <n v="648598000000000"/>
    <x v="1"/>
    <x v="52"/>
    <x v="2"/>
    <s v="ITARARE"/>
    <d v="2016-03-28T00:00:00"/>
    <d v="2016-05-11T00:00:00"/>
    <x v="1"/>
    <x v="45"/>
    <x v="0"/>
    <n v="0"/>
    <x v="1"/>
    <n v="0"/>
    <n v="0"/>
    <n v="0"/>
    <x v="0"/>
    <x v="0"/>
    <n v="0"/>
  </r>
  <r>
    <n v="8978870000000"/>
    <x v="1"/>
    <x v="52"/>
    <x v="2"/>
    <s v="SANTO ANDRE"/>
    <d v="2016-03-28T00:00:00"/>
    <d v="2016-04-29T00:00:00"/>
    <x v="0"/>
    <x v="54"/>
    <x v="0"/>
    <n v="0"/>
    <x v="1"/>
    <n v="0"/>
    <n v="0"/>
    <n v="0"/>
    <x v="0"/>
    <x v="0"/>
    <n v="0"/>
  </r>
  <r>
    <n v="517621000000000"/>
    <x v="0"/>
    <x v="46"/>
    <x v="2"/>
    <s v="RESISTENCIA"/>
    <d v="2016-03-28T00:00:00"/>
    <d v="2016-05-09T00:00:00"/>
    <x v="2"/>
    <x v="49"/>
    <x v="0"/>
    <n v="0"/>
    <x v="1"/>
    <n v="0"/>
    <n v="0"/>
    <n v="0"/>
    <x v="1"/>
    <x v="0"/>
    <n v="0"/>
  </r>
  <r>
    <n v="6478730000000"/>
    <x v="0"/>
    <x v="42"/>
    <x v="3"/>
    <s v="RESISTENCIA"/>
    <d v="2016-03-28T00:00:00"/>
    <d v="2016-05-24T00:00:00"/>
    <x v="4"/>
    <x v="34"/>
    <x v="0"/>
    <n v="0"/>
    <x v="1"/>
    <n v="0"/>
    <n v="0"/>
    <n v="0"/>
    <x v="0"/>
    <x v="1"/>
    <n v="1"/>
  </r>
  <r>
    <n v="52586800000000"/>
    <x v="1"/>
    <x v="24"/>
    <x v="1"/>
    <s v="MARIA ORTIZ"/>
    <d v="2016-03-28T00:00:00"/>
    <d v="2016-05-03T00:00:00"/>
    <x v="4"/>
    <x v="55"/>
    <x v="0"/>
    <n v="0"/>
    <x v="1"/>
    <n v="0"/>
    <n v="0"/>
    <n v="0"/>
    <x v="0"/>
    <x v="1"/>
    <n v="1"/>
  </r>
  <r>
    <n v="35854200000000"/>
    <x v="1"/>
    <x v="48"/>
    <x v="3"/>
    <s v="SANTOS DUMONT"/>
    <d v="2016-03-28T00:00:00"/>
    <d v="2016-05-16T00:00:00"/>
    <x v="2"/>
    <x v="43"/>
    <x v="0"/>
    <n v="0"/>
    <x v="1"/>
    <n v="0"/>
    <n v="0"/>
    <n v="0"/>
    <x v="1"/>
    <x v="1"/>
    <n v="1"/>
  </r>
  <r>
    <n v="842562000000"/>
    <x v="0"/>
    <x v="25"/>
    <x v="4"/>
    <s v="JABOUR"/>
    <d v="2016-03-28T00:00:00"/>
    <d v="2016-05-03T00:00:00"/>
    <x v="4"/>
    <x v="55"/>
    <x v="0"/>
    <n v="0"/>
    <x v="1"/>
    <n v="0"/>
    <n v="0"/>
    <n v="0"/>
    <x v="0"/>
    <x v="0"/>
    <n v="0"/>
  </r>
  <r>
    <n v="466647000000000"/>
    <x v="0"/>
    <x v="45"/>
    <x v="1"/>
    <s v="ILHA DE SANTA MARIA"/>
    <d v="2016-03-29T00:00:00"/>
    <d v="2016-05-18T00:00:00"/>
    <x v="1"/>
    <x v="41"/>
    <x v="0"/>
    <n v="0"/>
    <x v="1"/>
    <n v="0"/>
    <n v="0"/>
    <n v="0"/>
    <x v="1"/>
    <x v="0"/>
    <n v="0"/>
  </r>
  <r>
    <n v="38964500000000"/>
    <x v="0"/>
    <x v="74"/>
    <x v="1"/>
    <s v="RESISTENCIA"/>
    <d v="2016-03-29T00:00:00"/>
    <d v="2016-05-04T00:00:00"/>
    <x v="1"/>
    <x v="55"/>
    <x v="0"/>
    <n v="0"/>
    <x v="0"/>
    <n v="0"/>
    <n v="0"/>
    <n v="0"/>
    <x v="0"/>
    <x v="1"/>
    <n v="1"/>
  </r>
  <r>
    <n v="9469730000000"/>
    <x v="0"/>
    <x v="69"/>
    <x v="4"/>
    <s v="CRUZAMENTO"/>
    <d v="2016-03-29T00:00:00"/>
    <d v="2016-04-29T00:00:00"/>
    <x v="0"/>
    <x v="57"/>
    <x v="0"/>
    <n v="0"/>
    <x v="1"/>
    <n v="0"/>
    <n v="0"/>
    <n v="0"/>
    <x v="0"/>
    <x v="0"/>
    <n v="0"/>
  </r>
  <r>
    <n v="125322000000"/>
    <x v="0"/>
    <x v="14"/>
    <x v="3"/>
    <s v="SANTA TEREZA"/>
    <d v="2016-03-29T00:00:00"/>
    <d v="2016-05-18T00:00:00"/>
    <x v="1"/>
    <x v="41"/>
    <x v="0"/>
    <n v="0"/>
    <x v="1"/>
    <n v="0"/>
    <n v="0"/>
    <n v="0"/>
    <x v="1"/>
    <x v="0"/>
    <n v="0"/>
  </r>
  <r>
    <n v="488644000000"/>
    <x v="0"/>
    <x v="40"/>
    <x v="1"/>
    <s v="RESISTENCIA"/>
    <d v="2016-03-29T00:00:00"/>
    <d v="2016-04-29T00:00:00"/>
    <x v="0"/>
    <x v="57"/>
    <x v="0"/>
    <n v="0"/>
    <x v="1"/>
    <n v="0"/>
    <n v="0"/>
    <n v="0"/>
    <x v="0"/>
    <x v="0"/>
    <n v="0"/>
  </r>
  <r>
    <n v="95938100000000"/>
    <x v="0"/>
    <x v="42"/>
    <x v="3"/>
    <s v="ITARARE"/>
    <d v="2016-03-29T00:00:00"/>
    <d v="2016-05-25T00:00:00"/>
    <x v="1"/>
    <x v="34"/>
    <x v="0"/>
    <n v="1"/>
    <x v="1"/>
    <n v="0"/>
    <n v="0"/>
    <n v="1"/>
    <x v="0"/>
    <x v="1"/>
    <n v="1"/>
  </r>
  <r>
    <n v="9844240000000"/>
    <x v="1"/>
    <x v="18"/>
    <x v="0"/>
    <s v="CRUZAMENTO"/>
    <d v="2016-03-29T00:00:00"/>
    <d v="2016-05-10T00:00:00"/>
    <x v="4"/>
    <x v="49"/>
    <x v="0"/>
    <n v="0"/>
    <x v="1"/>
    <n v="0"/>
    <n v="0"/>
    <n v="0"/>
    <x v="0"/>
    <x v="1"/>
    <n v="1"/>
  </r>
  <r>
    <n v="9153240000000"/>
    <x v="1"/>
    <x v="76"/>
    <x v="0"/>
    <s v="CRUZAMENTO"/>
    <d v="2016-03-29T00:00:00"/>
    <d v="2016-05-31T00:00:00"/>
    <x v="4"/>
    <x v="16"/>
    <x v="0"/>
    <n v="0"/>
    <x v="0"/>
    <n v="0"/>
    <n v="0"/>
    <n v="0"/>
    <x v="0"/>
    <x v="0"/>
    <n v="0"/>
  </r>
  <r>
    <n v="8691830000000"/>
    <x v="1"/>
    <x v="54"/>
    <x v="1"/>
    <s v="CRUZAMENTO"/>
    <d v="2016-03-29T00:00:00"/>
    <d v="2016-05-31T00:00:00"/>
    <x v="4"/>
    <x v="16"/>
    <x v="0"/>
    <n v="0"/>
    <x v="0"/>
    <n v="0"/>
    <n v="0"/>
    <n v="0"/>
    <x v="0"/>
    <x v="0"/>
    <n v="0"/>
  </r>
  <r>
    <n v="56331700000000"/>
    <x v="1"/>
    <x v="4"/>
    <x v="2"/>
    <s v="SANTOS DUMONT"/>
    <d v="2016-03-29T00:00:00"/>
    <d v="2016-04-29T00:00:00"/>
    <x v="0"/>
    <x v="57"/>
    <x v="0"/>
    <n v="0"/>
    <x v="1"/>
    <n v="0"/>
    <n v="0"/>
    <n v="0"/>
    <x v="0"/>
    <x v="0"/>
    <n v="0"/>
  </r>
  <r>
    <n v="3183716914"/>
    <x v="0"/>
    <x v="49"/>
    <x v="4"/>
    <s v="JOANA D ARC"/>
    <d v="2016-03-29T00:00:00"/>
    <d v="2016-04-29T00:00:00"/>
    <x v="0"/>
    <x v="57"/>
    <x v="0"/>
    <n v="0"/>
    <x v="1"/>
    <n v="0"/>
    <n v="0"/>
    <n v="0"/>
    <x v="1"/>
    <x v="0"/>
    <n v="0"/>
  </r>
  <r>
    <n v="94755700000000"/>
    <x v="0"/>
    <x v="21"/>
    <x v="1"/>
    <s v="MARIA ORTIZ"/>
    <d v="2016-03-29T00:00:00"/>
    <d v="2016-04-29T00:00:00"/>
    <x v="0"/>
    <x v="57"/>
    <x v="0"/>
    <n v="0"/>
    <x v="1"/>
    <n v="0"/>
    <n v="0"/>
    <n v="0"/>
    <x v="1"/>
    <x v="0"/>
    <n v="0"/>
  </r>
  <r>
    <n v="92987300000000"/>
    <x v="0"/>
    <x v="41"/>
    <x v="4"/>
    <s v="SANTA MARTHA"/>
    <d v="2016-03-29T00:00:00"/>
    <d v="2016-04-29T00:00:00"/>
    <x v="0"/>
    <x v="57"/>
    <x v="0"/>
    <n v="0"/>
    <x v="1"/>
    <n v="0"/>
    <n v="0"/>
    <n v="0"/>
    <x v="0"/>
    <x v="1"/>
    <n v="1"/>
  </r>
  <r>
    <n v="545589000000"/>
    <x v="1"/>
    <x v="19"/>
    <x v="2"/>
    <s v="RESISTENCIA"/>
    <d v="2016-03-29T00:00:00"/>
    <d v="2016-05-06T00:00:00"/>
    <x v="0"/>
    <x v="52"/>
    <x v="0"/>
    <n v="0"/>
    <x v="1"/>
    <n v="0"/>
    <n v="0"/>
    <n v="0"/>
    <x v="0"/>
    <x v="0"/>
    <n v="0"/>
  </r>
  <r>
    <n v="77316900000000"/>
    <x v="1"/>
    <x v="77"/>
    <x v="4"/>
    <s v="ROMAO"/>
    <d v="2016-03-29T00:00:00"/>
    <d v="2016-05-05T00:00:00"/>
    <x v="3"/>
    <x v="53"/>
    <x v="0"/>
    <n v="0"/>
    <x v="1"/>
    <n v="0"/>
    <n v="0"/>
    <n v="0"/>
    <x v="1"/>
    <x v="0"/>
    <n v="0"/>
  </r>
  <r>
    <n v="47271300000000"/>
    <x v="0"/>
    <x v="67"/>
    <x v="4"/>
    <s v="BELA VISTA"/>
    <d v="2016-03-29T00:00:00"/>
    <d v="2016-05-02T00:00:00"/>
    <x v="2"/>
    <x v="58"/>
    <x v="0"/>
    <n v="0"/>
    <x v="1"/>
    <n v="0"/>
    <n v="0"/>
    <n v="0"/>
    <x v="0"/>
    <x v="0"/>
    <n v="0"/>
  </r>
  <r>
    <n v="574472000000000"/>
    <x v="0"/>
    <x v="78"/>
    <x v="0"/>
    <s v="DO QUADRO"/>
    <d v="2016-03-29T00:00:00"/>
    <d v="2016-05-02T00:00:00"/>
    <x v="2"/>
    <x v="58"/>
    <x v="0"/>
    <n v="0"/>
    <x v="0"/>
    <n v="1"/>
    <n v="0"/>
    <n v="0"/>
    <x v="0"/>
    <x v="0"/>
    <n v="0"/>
  </r>
  <r>
    <n v="37565700000000"/>
    <x v="0"/>
    <x v="45"/>
    <x v="1"/>
    <s v="SANTA TEREZA"/>
    <d v="2016-03-29T00:00:00"/>
    <d v="2016-05-02T00:00:00"/>
    <x v="2"/>
    <x v="58"/>
    <x v="0"/>
    <n v="0"/>
    <x v="1"/>
    <n v="0"/>
    <n v="0"/>
    <n v="0"/>
    <x v="0"/>
    <x v="0"/>
    <n v="0"/>
  </r>
  <r>
    <n v="61575800000000"/>
    <x v="0"/>
    <x v="10"/>
    <x v="4"/>
    <s v="GURIGICA"/>
    <d v="2016-03-29T00:00:00"/>
    <d v="2016-05-02T00:00:00"/>
    <x v="2"/>
    <x v="58"/>
    <x v="0"/>
    <n v="0"/>
    <x v="1"/>
    <n v="0"/>
    <n v="0"/>
    <n v="0"/>
    <x v="1"/>
    <x v="1"/>
    <n v="1"/>
  </r>
  <r>
    <n v="912363000000"/>
    <x v="1"/>
    <x v="46"/>
    <x v="2"/>
    <s v="DA PENHA"/>
    <d v="2016-03-29T00:00:00"/>
    <d v="2016-04-29T00:00:00"/>
    <x v="0"/>
    <x v="57"/>
    <x v="0"/>
    <n v="0"/>
    <x v="1"/>
    <n v="0"/>
    <n v="0"/>
    <n v="0"/>
    <x v="0"/>
    <x v="0"/>
    <n v="0"/>
  </r>
  <r>
    <n v="48962300000000"/>
    <x v="1"/>
    <x v="4"/>
    <x v="2"/>
    <s v="SANTA MARTHA"/>
    <d v="2016-03-29T00:00:00"/>
    <d v="2016-05-04T00:00:00"/>
    <x v="1"/>
    <x v="55"/>
    <x v="0"/>
    <n v="0"/>
    <x v="1"/>
    <n v="0"/>
    <n v="0"/>
    <n v="0"/>
    <x v="0"/>
    <x v="1"/>
    <n v="1"/>
  </r>
  <r>
    <n v="967319000000000"/>
    <x v="0"/>
    <x v="50"/>
    <x v="1"/>
    <s v="RESISTENCIA"/>
    <d v="2016-03-29T00:00:00"/>
    <d v="2016-05-03T00:00:00"/>
    <x v="4"/>
    <x v="59"/>
    <x v="0"/>
    <n v="0"/>
    <x v="1"/>
    <n v="0"/>
    <n v="0"/>
    <n v="0"/>
    <x v="0"/>
    <x v="0"/>
    <n v="0"/>
  </r>
  <r>
    <n v="81939500000000"/>
    <x v="0"/>
    <x v="79"/>
    <x v="5"/>
    <s v="MARIA ORTIZ"/>
    <d v="2016-03-29T00:00:00"/>
    <d v="2016-04-29T00:00:00"/>
    <x v="0"/>
    <x v="57"/>
    <x v="0"/>
    <n v="0"/>
    <x v="1"/>
    <n v="0"/>
    <n v="0"/>
    <n v="0"/>
    <x v="0"/>
    <x v="0"/>
    <n v="0"/>
  </r>
  <r>
    <n v="137742000000"/>
    <x v="0"/>
    <x v="2"/>
    <x v="1"/>
    <s v="SOLON BORGES"/>
    <d v="2016-03-29T00:00:00"/>
    <d v="2016-04-29T00:00:00"/>
    <x v="0"/>
    <x v="57"/>
    <x v="0"/>
    <n v="1"/>
    <x v="1"/>
    <n v="0"/>
    <n v="0"/>
    <n v="0"/>
    <x v="0"/>
    <x v="0"/>
    <n v="0"/>
  </r>
  <r>
    <n v="8118170000000"/>
    <x v="0"/>
    <x v="73"/>
    <x v="4"/>
    <s v="MARIA ORTIZ"/>
    <d v="2016-03-30T00:00:00"/>
    <d v="2016-04-29T00:00:00"/>
    <x v="0"/>
    <x v="60"/>
    <x v="1"/>
    <n v="0"/>
    <x v="1"/>
    <n v="0"/>
    <n v="0"/>
    <n v="0"/>
    <x v="0"/>
    <x v="1"/>
    <n v="1"/>
  </r>
  <r>
    <n v="2267640000000"/>
    <x v="0"/>
    <x v="79"/>
    <x v="5"/>
    <s v="SANTA CECILIA"/>
    <d v="2016-03-30T00:00:00"/>
    <d v="2016-05-16T00:00:00"/>
    <x v="2"/>
    <x v="61"/>
    <x v="0"/>
    <n v="0"/>
    <x v="1"/>
    <n v="0"/>
    <n v="0"/>
    <n v="0"/>
    <x v="1"/>
    <x v="1"/>
    <n v="1"/>
  </r>
  <r>
    <n v="183432000000000"/>
    <x v="1"/>
    <x v="62"/>
    <x v="3"/>
    <s v="JARDIM CAMBURI"/>
    <d v="2016-03-30T00:00:00"/>
    <d v="2016-05-18T00:00:00"/>
    <x v="1"/>
    <x v="43"/>
    <x v="0"/>
    <n v="0"/>
    <x v="1"/>
    <n v="0"/>
    <n v="0"/>
    <n v="0"/>
    <x v="1"/>
    <x v="0"/>
    <n v="0"/>
  </r>
  <r>
    <n v="81126000000000"/>
    <x v="0"/>
    <x v="9"/>
    <x v="0"/>
    <s v="ROMAO"/>
    <d v="2016-03-30T00:00:00"/>
    <d v="2016-06-03T00:00:00"/>
    <x v="0"/>
    <x v="24"/>
    <x v="0"/>
    <n v="0"/>
    <x v="0"/>
    <n v="0"/>
    <n v="0"/>
    <n v="1"/>
    <x v="0"/>
    <x v="0"/>
    <n v="0"/>
  </r>
  <r>
    <n v="838214000000000"/>
    <x v="0"/>
    <x v="23"/>
    <x v="3"/>
    <s v="MARIA ORTIZ"/>
    <d v="2016-03-30T00:00:00"/>
    <d v="2016-05-05T00:00:00"/>
    <x v="3"/>
    <x v="55"/>
    <x v="0"/>
    <n v="0"/>
    <x v="1"/>
    <n v="0"/>
    <n v="0"/>
    <n v="0"/>
    <x v="0"/>
    <x v="1"/>
    <n v="1"/>
  </r>
  <r>
    <n v="43576300000000"/>
    <x v="0"/>
    <x v="65"/>
    <x v="2"/>
    <s v="MARUIPE"/>
    <d v="2016-03-30T00:00:00"/>
    <d v="2016-04-29T00:00:00"/>
    <x v="0"/>
    <x v="60"/>
    <x v="1"/>
    <n v="0"/>
    <x v="1"/>
    <n v="0"/>
    <n v="0"/>
    <n v="0"/>
    <x v="1"/>
    <x v="0"/>
    <n v="0"/>
  </r>
  <r>
    <n v="8985160000000"/>
    <x v="0"/>
    <x v="80"/>
    <x v="2"/>
    <s v="CENTRO"/>
    <d v="2016-03-30T00:00:00"/>
    <d v="2016-05-05T00:00:00"/>
    <x v="3"/>
    <x v="55"/>
    <x v="0"/>
    <n v="1"/>
    <x v="1"/>
    <n v="0"/>
    <n v="0"/>
    <n v="1"/>
    <x v="1"/>
    <x v="1"/>
    <n v="1"/>
  </r>
  <r>
    <n v="6634980000000"/>
    <x v="1"/>
    <x v="77"/>
    <x v="4"/>
    <s v="MARIA ORTIZ"/>
    <d v="2016-03-30T00:00:00"/>
    <d v="2016-05-02T00:00:00"/>
    <x v="2"/>
    <x v="62"/>
    <x v="0"/>
    <n v="0"/>
    <x v="1"/>
    <n v="0"/>
    <n v="0"/>
    <n v="0"/>
    <x v="1"/>
    <x v="0"/>
    <n v="0"/>
  </r>
  <r>
    <n v="366436000000000"/>
    <x v="0"/>
    <x v="21"/>
    <x v="1"/>
    <s v="CENTRO"/>
    <d v="2016-03-31T00:00:00"/>
    <d v="2016-04-29T00:00:00"/>
    <x v="0"/>
    <x v="63"/>
    <x v="1"/>
    <n v="0"/>
    <x v="0"/>
    <n v="0"/>
    <n v="0"/>
    <n v="0"/>
    <x v="0"/>
    <x v="0"/>
    <n v="0"/>
  </r>
  <r>
    <n v="322343000000"/>
    <x v="0"/>
    <x v="56"/>
    <x v="1"/>
    <s v="SANTO ANDRE"/>
    <d v="2016-03-31T00:00:00"/>
    <d v="2016-04-29T00:00:00"/>
    <x v="0"/>
    <x v="63"/>
    <x v="1"/>
    <n v="0"/>
    <x v="0"/>
    <n v="0"/>
    <n v="0"/>
    <n v="0"/>
    <x v="0"/>
    <x v="0"/>
    <n v="0"/>
  </r>
  <r>
    <n v="67917200000000"/>
    <x v="0"/>
    <x v="28"/>
    <x v="3"/>
    <s v="TABUAZEIRO"/>
    <d v="2016-03-31T00:00:00"/>
    <d v="2016-04-29T00:00:00"/>
    <x v="0"/>
    <x v="63"/>
    <x v="1"/>
    <n v="0"/>
    <x v="0"/>
    <n v="0"/>
    <n v="0"/>
    <n v="0"/>
    <x v="0"/>
    <x v="0"/>
    <n v="0"/>
  </r>
  <r>
    <n v="8551680000000"/>
    <x v="1"/>
    <x v="71"/>
    <x v="4"/>
    <s v="JARDIM CAMBURI"/>
    <d v="2016-03-31T00:00:00"/>
    <d v="2016-05-19T00:00:00"/>
    <x v="3"/>
    <x v="43"/>
    <x v="0"/>
    <n v="0"/>
    <x v="1"/>
    <n v="0"/>
    <n v="0"/>
    <n v="0"/>
    <x v="1"/>
    <x v="0"/>
    <n v="0"/>
  </r>
  <r>
    <n v="4783890000000"/>
    <x v="0"/>
    <x v="75"/>
    <x v="5"/>
    <s v="MARIA ORTIZ"/>
    <d v="2016-03-31T00:00:00"/>
    <d v="2016-05-04T00:00:00"/>
    <x v="1"/>
    <x v="58"/>
    <x v="0"/>
    <n v="0"/>
    <x v="1"/>
    <n v="0"/>
    <n v="0"/>
    <n v="0"/>
    <x v="0"/>
    <x v="0"/>
    <n v="0"/>
  </r>
  <r>
    <n v="49839400000000"/>
    <x v="0"/>
    <x v="24"/>
    <x v="1"/>
    <s v="MARIA ORTIZ"/>
    <d v="2016-03-31T00:00:00"/>
    <d v="2016-05-03T00:00:00"/>
    <x v="4"/>
    <x v="62"/>
    <x v="0"/>
    <n v="0"/>
    <x v="1"/>
    <n v="0"/>
    <n v="0"/>
    <n v="0"/>
    <x v="0"/>
    <x v="1"/>
    <n v="1"/>
  </r>
  <r>
    <n v="33466200000000"/>
    <x v="0"/>
    <x v="29"/>
    <x v="3"/>
    <s v="SANTOS DUMONT"/>
    <d v="2016-03-31T00:00:00"/>
    <d v="2016-05-02T00:00:00"/>
    <x v="2"/>
    <x v="54"/>
    <x v="0"/>
    <n v="0"/>
    <x v="0"/>
    <n v="0"/>
    <n v="0"/>
    <n v="0"/>
    <x v="0"/>
    <x v="0"/>
    <n v="0"/>
  </r>
  <r>
    <n v="266555000000"/>
    <x v="1"/>
    <x v="17"/>
    <x v="4"/>
    <s v="CRUZAMENTO"/>
    <d v="2016-03-31T00:00:00"/>
    <d v="2016-05-03T00:00:00"/>
    <x v="4"/>
    <x v="62"/>
    <x v="0"/>
    <n v="0"/>
    <x v="1"/>
    <n v="0"/>
    <n v="0"/>
    <n v="0"/>
    <x v="0"/>
    <x v="0"/>
    <n v="0"/>
  </r>
  <r>
    <n v="154699000000"/>
    <x v="0"/>
    <x v="47"/>
    <x v="4"/>
    <s v="JABOUR"/>
    <d v="2016-03-31T00:00:00"/>
    <d v="2016-04-29T00:00:00"/>
    <x v="0"/>
    <x v="63"/>
    <x v="1"/>
    <n v="0"/>
    <x v="1"/>
    <n v="0"/>
    <n v="0"/>
    <n v="0"/>
    <x v="0"/>
    <x v="1"/>
    <n v="1"/>
  </r>
  <r>
    <n v="21783000000000"/>
    <x v="0"/>
    <x v="15"/>
    <x v="3"/>
    <s v="JOANA D ARC"/>
    <d v="2016-03-31T00:00:00"/>
    <d v="2016-04-29T00:00:00"/>
    <x v="0"/>
    <x v="63"/>
    <x v="1"/>
    <n v="0"/>
    <x v="1"/>
    <n v="0"/>
    <n v="0"/>
    <n v="0"/>
    <x v="0"/>
    <x v="0"/>
    <n v="0"/>
  </r>
  <r>
    <n v="785739000000"/>
    <x v="0"/>
    <x v="71"/>
    <x v="4"/>
    <s v="GRANDE VITORIA"/>
    <d v="2016-03-31T00:00:00"/>
    <d v="2016-04-29T00:00:00"/>
    <x v="0"/>
    <x v="63"/>
    <x v="1"/>
    <n v="0"/>
    <x v="1"/>
    <n v="0"/>
    <n v="0"/>
    <n v="0"/>
    <x v="0"/>
    <x v="0"/>
    <n v="0"/>
  </r>
  <r>
    <n v="5231880000000"/>
    <x v="0"/>
    <x v="30"/>
    <x v="3"/>
    <s v="GRANDE VITORIA"/>
    <d v="2016-03-31T00:00:00"/>
    <d v="2016-04-29T00:00:00"/>
    <x v="0"/>
    <x v="63"/>
    <x v="1"/>
    <n v="0"/>
    <x v="1"/>
    <n v="0"/>
    <n v="0"/>
    <n v="0"/>
    <x v="0"/>
    <x v="0"/>
    <n v="0"/>
  </r>
  <r>
    <n v="92392600000000"/>
    <x v="0"/>
    <x v="81"/>
    <x v="5"/>
    <s v="MARIA ORTIZ"/>
    <d v="2016-03-31T00:00:00"/>
    <d v="2016-05-05T00:00:00"/>
    <x v="3"/>
    <x v="59"/>
    <x v="0"/>
    <n v="0"/>
    <x v="1"/>
    <n v="0"/>
    <n v="0"/>
    <n v="0"/>
    <x v="1"/>
    <x v="0"/>
    <n v="0"/>
  </r>
  <r>
    <n v="49374400000000"/>
    <x v="1"/>
    <x v="20"/>
    <x v="0"/>
    <s v="MARIA ORTIZ"/>
    <d v="2016-03-31T00:00:00"/>
    <d v="2016-05-02T00:00:00"/>
    <x v="2"/>
    <x v="54"/>
    <x v="0"/>
    <n v="0"/>
    <x v="1"/>
    <n v="0"/>
    <n v="0"/>
    <n v="0"/>
    <x v="0"/>
    <x v="0"/>
    <n v="0"/>
  </r>
  <r>
    <n v="281953000000"/>
    <x v="0"/>
    <x v="40"/>
    <x v="1"/>
    <s v="ROMAO"/>
    <d v="2016-03-31T00:00:00"/>
    <d v="2016-05-09T00:00:00"/>
    <x v="2"/>
    <x v="50"/>
    <x v="0"/>
    <n v="0"/>
    <x v="1"/>
    <n v="0"/>
    <n v="1"/>
    <n v="0"/>
    <x v="1"/>
    <x v="1"/>
    <n v="1"/>
  </r>
  <r>
    <n v="4787250000000"/>
    <x v="0"/>
    <x v="37"/>
    <x v="3"/>
    <s v="JARDIM CAMBURI"/>
    <d v="2016-03-31T00:00:00"/>
    <d v="2016-05-20T00:00:00"/>
    <x v="0"/>
    <x v="41"/>
    <x v="0"/>
    <n v="0"/>
    <x v="1"/>
    <n v="0"/>
    <n v="0"/>
    <n v="0"/>
    <x v="1"/>
    <x v="0"/>
    <n v="0"/>
  </r>
  <r>
    <n v="7831760000000"/>
    <x v="0"/>
    <x v="7"/>
    <x v="3"/>
    <s v="MARIA ORTIZ"/>
    <d v="2016-03-31T00:00:00"/>
    <d v="2016-05-02T00:00:00"/>
    <x v="2"/>
    <x v="54"/>
    <x v="0"/>
    <n v="0"/>
    <x v="1"/>
    <n v="0"/>
    <n v="0"/>
    <n v="0"/>
    <x v="0"/>
    <x v="1"/>
    <n v="1"/>
  </r>
  <r>
    <n v="39497800000000"/>
    <x v="0"/>
    <x v="4"/>
    <x v="2"/>
    <s v="JARDIM CAMBURI"/>
    <d v="2016-03-31T00:00:00"/>
    <d v="2016-05-30T00:00:00"/>
    <x v="2"/>
    <x v="18"/>
    <x v="0"/>
    <n v="0"/>
    <x v="1"/>
    <n v="0"/>
    <n v="0"/>
    <n v="0"/>
    <x v="0"/>
    <x v="0"/>
    <n v="0"/>
  </r>
  <r>
    <n v="45294800000000"/>
    <x v="0"/>
    <x v="67"/>
    <x v="4"/>
    <s v="CRUZAMENTO"/>
    <d v="2016-03-31T00:00:00"/>
    <d v="2016-05-04T00:00:00"/>
    <x v="1"/>
    <x v="58"/>
    <x v="0"/>
    <n v="0"/>
    <x v="1"/>
    <n v="0"/>
    <n v="0"/>
    <n v="0"/>
    <x v="0"/>
    <x v="1"/>
    <n v="1"/>
  </r>
  <r>
    <n v="32350000000000"/>
    <x v="1"/>
    <x v="60"/>
    <x v="2"/>
    <s v="MARIA ORTIZ"/>
    <d v="2016-03-31T00:00:00"/>
    <d v="2016-05-02T00:00:00"/>
    <x v="2"/>
    <x v="54"/>
    <x v="0"/>
    <n v="0"/>
    <x v="1"/>
    <n v="0"/>
    <n v="0"/>
    <n v="0"/>
    <x v="0"/>
    <x v="1"/>
    <n v="1"/>
  </r>
  <r>
    <n v="623462000000000"/>
    <x v="0"/>
    <x v="73"/>
    <x v="4"/>
    <s v="SANTA TEREZA"/>
    <d v="2016-03-31T00:00:00"/>
    <d v="2016-04-29T00:00:00"/>
    <x v="0"/>
    <x v="63"/>
    <x v="1"/>
    <n v="0"/>
    <x v="1"/>
    <n v="0"/>
    <n v="0"/>
    <n v="0"/>
    <x v="0"/>
    <x v="1"/>
    <n v="1"/>
  </r>
  <r>
    <n v="6522360000000"/>
    <x v="0"/>
    <x v="77"/>
    <x v="4"/>
    <s v="JESUS DE NAZARETH"/>
    <d v="2016-03-31T00:00:00"/>
    <d v="2016-05-30T00:00:00"/>
    <x v="2"/>
    <x v="18"/>
    <x v="0"/>
    <n v="0"/>
    <x v="1"/>
    <n v="0"/>
    <n v="0"/>
    <n v="0"/>
    <x v="0"/>
    <x v="0"/>
    <n v="0"/>
  </r>
  <r>
    <n v="21358500000000"/>
    <x v="0"/>
    <x v="74"/>
    <x v="1"/>
    <s v="MARUIPE"/>
    <d v="2016-03-31T00:00:00"/>
    <d v="2016-05-17T00:00:00"/>
    <x v="4"/>
    <x v="61"/>
    <x v="0"/>
    <n v="0"/>
    <x v="1"/>
    <n v="0"/>
    <n v="0"/>
    <n v="0"/>
    <x v="1"/>
    <x v="0"/>
    <n v="0"/>
  </r>
  <r>
    <n v="676839000000000"/>
    <x v="0"/>
    <x v="82"/>
    <x v="0"/>
    <s v="JARDIM CAMBURI"/>
    <d v="2016-04-01T00:00:00"/>
    <d v="2016-06-01T00:00:00"/>
    <x v="1"/>
    <x v="30"/>
    <x v="0"/>
    <n v="0"/>
    <x v="1"/>
    <n v="0"/>
    <n v="0"/>
    <n v="0"/>
    <x v="0"/>
    <x v="0"/>
    <n v="0"/>
  </r>
  <r>
    <n v="46818500000000"/>
    <x v="0"/>
    <x v="17"/>
    <x v="4"/>
    <s v="ROMAO"/>
    <d v="2016-04-01T00:00:00"/>
    <d v="2016-05-09T00:00:00"/>
    <x v="2"/>
    <x v="52"/>
    <x v="0"/>
    <n v="0"/>
    <x v="1"/>
    <n v="0"/>
    <n v="0"/>
    <n v="0"/>
    <x v="1"/>
    <x v="0"/>
    <n v="0"/>
  </r>
  <r>
    <n v="1918670000000"/>
    <x v="0"/>
    <x v="28"/>
    <x v="3"/>
    <s v="JARDIM CAMBURI"/>
    <d v="2016-04-01T00:00:00"/>
    <d v="2016-06-01T00:00:00"/>
    <x v="1"/>
    <x v="30"/>
    <x v="0"/>
    <n v="0"/>
    <x v="0"/>
    <n v="1"/>
    <n v="0"/>
    <n v="0"/>
    <x v="0"/>
    <x v="0"/>
    <n v="0"/>
  </r>
  <r>
    <n v="1176230000000"/>
    <x v="0"/>
    <x v="6"/>
    <x v="0"/>
    <s v="JARDIM DA PENHA"/>
    <d v="2016-04-01T00:00:00"/>
    <d v="2016-04-29T00:00:00"/>
    <x v="0"/>
    <x v="64"/>
    <x v="1"/>
    <n v="0"/>
    <x v="1"/>
    <n v="0"/>
    <n v="0"/>
    <n v="0"/>
    <x v="0"/>
    <x v="0"/>
    <n v="0"/>
  </r>
  <r>
    <n v="46311500000000"/>
    <x v="0"/>
    <x v="46"/>
    <x v="2"/>
    <s v="ILHA DE SANTA MARIA"/>
    <d v="2016-04-01T00:00:00"/>
    <d v="2016-05-03T00:00:00"/>
    <x v="4"/>
    <x v="54"/>
    <x v="0"/>
    <n v="0"/>
    <x v="1"/>
    <n v="0"/>
    <n v="0"/>
    <n v="0"/>
    <x v="0"/>
    <x v="1"/>
    <n v="1"/>
  </r>
  <r>
    <n v="588269000000"/>
    <x v="0"/>
    <x v="48"/>
    <x v="3"/>
    <s v="JARDIM CAMBURI"/>
    <d v="2016-04-01T00:00:00"/>
    <d v="2016-06-01T00:00:00"/>
    <x v="1"/>
    <x v="30"/>
    <x v="0"/>
    <n v="0"/>
    <x v="1"/>
    <n v="0"/>
    <n v="0"/>
    <n v="0"/>
    <x v="0"/>
    <x v="0"/>
    <n v="0"/>
  </r>
  <r>
    <n v="61687321977"/>
    <x v="0"/>
    <x v="43"/>
    <x v="2"/>
    <s v="JARDIM CAMBURI"/>
    <d v="2016-04-01T00:00:00"/>
    <d v="2016-06-06T00:00:00"/>
    <x v="2"/>
    <x v="25"/>
    <x v="0"/>
    <n v="0"/>
    <x v="1"/>
    <n v="0"/>
    <n v="0"/>
    <n v="0"/>
    <x v="0"/>
    <x v="0"/>
    <n v="0"/>
  </r>
  <r>
    <n v="9587370000000"/>
    <x v="1"/>
    <x v="36"/>
    <x v="3"/>
    <s v="MARUIPE"/>
    <d v="2016-04-01T00:00:00"/>
    <d v="2016-05-02T00:00:00"/>
    <x v="2"/>
    <x v="57"/>
    <x v="0"/>
    <n v="0"/>
    <x v="1"/>
    <n v="1"/>
    <n v="1"/>
    <n v="0"/>
    <x v="0"/>
    <x v="0"/>
    <n v="0"/>
  </r>
  <r>
    <n v="499516000000000"/>
    <x v="0"/>
    <x v="5"/>
    <x v="1"/>
    <s v="MARIA ORTIZ"/>
    <d v="2016-04-01T00:00:00"/>
    <d v="2016-05-04T00:00:00"/>
    <x v="1"/>
    <x v="62"/>
    <x v="0"/>
    <n v="0"/>
    <x v="1"/>
    <n v="0"/>
    <n v="0"/>
    <n v="0"/>
    <x v="0"/>
    <x v="0"/>
    <n v="0"/>
  </r>
  <r>
    <n v="417779000000000"/>
    <x v="0"/>
    <x v="74"/>
    <x v="1"/>
    <s v="JARDIM CAMBURI"/>
    <d v="2016-04-01T00:00:00"/>
    <d v="2016-06-01T00:00:00"/>
    <x v="1"/>
    <x v="30"/>
    <x v="0"/>
    <n v="0"/>
    <x v="1"/>
    <n v="0"/>
    <n v="0"/>
    <n v="0"/>
    <x v="0"/>
    <x v="0"/>
    <n v="0"/>
  </r>
  <r>
    <n v="428629000000"/>
    <x v="1"/>
    <x v="50"/>
    <x v="1"/>
    <s v="RESISTENCIA"/>
    <d v="2016-04-01T00:00:00"/>
    <d v="2016-06-01T00:00:00"/>
    <x v="1"/>
    <x v="30"/>
    <x v="0"/>
    <n v="0"/>
    <x v="1"/>
    <n v="0"/>
    <n v="0"/>
    <n v="0"/>
    <x v="0"/>
    <x v="1"/>
    <n v="1"/>
  </r>
  <r>
    <n v="717177000000000"/>
    <x v="0"/>
    <x v="37"/>
    <x v="3"/>
    <s v="JARDIM CAMBURI"/>
    <d v="2016-04-01T00:00:00"/>
    <d v="2016-06-06T00:00:00"/>
    <x v="2"/>
    <x v="25"/>
    <x v="0"/>
    <n v="0"/>
    <x v="1"/>
    <n v="0"/>
    <n v="0"/>
    <n v="0"/>
    <x v="0"/>
    <x v="1"/>
    <n v="1"/>
  </r>
  <r>
    <n v="5995930000000"/>
    <x v="0"/>
    <x v="8"/>
    <x v="0"/>
    <s v="JARDIM CAMBURI"/>
    <d v="2016-04-01T00:00:00"/>
    <d v="2016-04-29T00:00:00"/>
    <x v="0"/>
    <x v="64"/>
    <x v="1"/>
    <n v="0"/>
    <x v="1"/>
    <n v="0"/>
    <n v="0"/>
    <n v="0"/>
    <x v="0"/>
    <x v="0"/>
    <n v="0"/>
  </r>
  <r>
    <n v="592838000000000"/>
    <x v="0"/>
    <x v="45"/>
    <x v="1"/>
    <s v="JARDIM CAMBURI"/>
    <d v="2016-04-01T00:00:00"/>
    <d v="2016-06-06T00:00:00"/>
    <x v="2"/>
    <x v="25"/>
    <x v="0"/>
    <n v="0"/>
    <x v="1"/>
    <n v="0"/>
    <n v="0"/>
    <n v="0"/>
    <x v="0"/>
    <x v="0"/>
    <n v="0"/>
  </r>
  <r>
    <n v="97952900000000"/>
    <x v="0"/>
    <x v="7"/>
    <x v="3"/>
    <s v="JOANA D ARC"/>
    <d v="2016-04-01T00:00:00"/>
    <d v="2016-05-06T00:00:00"/>
    <x v="0"/>
    <x v="59"/>
    <x v="0"/>
    <n v="0"/>
    <x v="0"/>
    <n v="1"/>
    <n v="0"/>
    <n v="0"/>
    <x v="0"/>
    <x v="0"/>
    <n v="0"/>
  </r>
  <r>
    <n v="2318920000000"/>
    <x v="1"/>
    <x v="26"/>
    <x v="0"/>
    <s v="JARDIM CAMBURI"/>
    <d v="2016-04-01T00:00:00"/>
    <d v="2016-06-06T00:00:00"/>
    <x v="2"/>
    <x v="25"/>
    <x v="0"/>
    <n v="0"/>
    <x v="0"/>
    <n v="1"/>
    <n v="0"/>
    <n v="0"/>
    <x v="0"/>
    <x v="0"/>
    <n v="0"/>
  </r>
  <r>
    <n v="33153900000000"/>
    <x v="1"/>
    <x v="24"/>
    <x v="1"/>
    <s v="JARDIM CAMBURI"/>
    <d v="2016-04-01T00:00:00"/>
    <d v="2016-06-06T00:00:00"/>
    <x v="2"/>
    <x v="25"/>
    <x v="0"/>
    <n v="0"/>
    <x v="1"/>
    <n v="0"/>
    <n v="0"/>
    <n v="0"/>
    <x v="0"/>
    <x v="0"/>
    <n v="0"/>
  </r>
  <r>
    <n v="35672756311"/>
    <x v="1"/>
    <x v="17"/>
    <x v="4"/>
    <s v="RESISTENCIA"/>
    <d v="2016-04-01T00:00:00"/>
    <d v="2016-06-02T00:00:00"/>
    <x v="3"/>
    <x v="19"/>
    <x v="0"/>
    <n v="0"/>
    <x v="1"/>
    <n v="0"/>
    <n v="0"/>
    <n v="0"/>
    <x v="1"/>
    <x v="1"/>
    <n v="1"/>
  </r>
  <r>
    <n v="51753800000000"/>
    <x v="0"/>
    <x v="28"/>
    <x v="3"/>
    <s v="JARDIM CAMBURI"/>
    <d v="2016-04-01T00:00:00"/>
    <d v="2016-06-02T00:00:00"/>
    <x v="3"/>
    <x v="19"/>
    <x v="0"/>
    <n v="1"/>
    <x v="1"/>
    <n v="0"/>
    <n v="0"/>
    <n v="0"/>
    <x v="0"/>
    <x v="0"/>
    <n v="0"/>
  </r>
  <r>
    <n v="75365900000000"/>
    <x v="1"/>
    <x v="2"/>
    <x v="1"/>
    <s v="MARUIPE"/>
    <d v="2016-04-01T00:00:00"/>
    <d v="2016-05-02T00:00:00"/>
    <x v="2"/>
    <x v="57"/>
    <x v="0"/>
    <n v="1"/>
    <x v="0"/>
    <n v="1"/>
    <n v="0"/>
    <n v="0"/>
    <x v="0"/>
    <x v="0"/>
    <n v="0"/>
  </r>
  <r>
    <n v="4695830000000"/>
    <x v="0"/>
    <x v="23"/>
    <x v="3"/>
    <s v="MARUIPE"/>
    <d v="2016-04-01T00:00:00"/>
    <d v="2016-05-02T00:00:00"/>
    <x v="2"/>
    <x v="57"/>
    <x v="0"/>
    <n v="0"/>
    <x v="0"/>
    <n v="0"/>
    <n v="0"/>
    <n v="0"/>
    <x v="1"/>
    <x v="1"/>
    <n v="1"/>
  </r>
  <r>
    <n v="141699000000000"/>
    <x v="1"/>
    <x v="77"/>
    <x v="4"/>
    <s v="SANTA MARTHA"/>
    <d v="2016-04-01T00:00:00"/>
    <d v="2016-05-03T00:00:00"/>
    <x v="4"/>
    <x v="54"/>
    <x v="0"/>
    <n v="0"/>
    <x v="1"/>
    <n v="0"/>
    <n v="1"/>
    <n v="0"/>
    <x v="0"/>
    <x v="0"/>
    <n v="0"/>
  </r>
  <r>
    <n v="92187884835"/>
    <x v="1"/>
    <x v="28"/>
    <x v="3"/>
    <s v="JARDIM CAMBURI"/>
    <d v="2016-04-01T00:00:00"/>
    <d v="2016-06-01T00:00:00"/>
    <x v="1"/>
    <x v="30"/>
    <x v="0"/>
    <n v="0"/>
    <x v="1"/>
    <n v="0"/>
    <n v="0"/>
    <n v="0"/>
    <x v="0"/>
    <x v="0"/>
    <n v="0"/>
  </r>
  <r>
    <n v="74233900000000"/>
    <x v="1"/>
    <x v="71"/>
    <x v="4"/>
    <s v="JARDIM CAMBURI"/>
    <d v="2016-04-01T00:00:00"/>
    <d v="2016-06-02T00:00:00"/>
    <x v="3"/>
    <x v="19"/>
    <x v="0"/>
    <n v="0"/>
    <x v="1"/>
    <n v="0"/>
    <n v="0"/>
    <n v="0"/>
    <x v="0"/>
    <x v="0"/>
    <n v="0"/>
  </r>
  <r>
    <n v="135980000000000"/>
    <x v="0"/>
    <x v="14"/>
    <x v="3"/>
    <s v="JARDIM CAMBURI"/>
    <d v="2016-04-01T00:00:00"/>
    <d v="2016-06-06T00:00:00"/>
    <x v="2"/>
    <x v="25"/>
    <x v="0"/>
    <n v="0"/>
    <x v="1"/>
    <n v="0"/>
    <n v="0"/>
    <n v="0"/>
    <x v="0"/>
    <x v="0"/>
    <n v="0"/>
  </r>
  <r>
    <n v="959644000000000"/>
    <x v="1"/>
    <x v="22"/>
    <x v="4"/>
    <s v="JARDIM CAMBURI"/>
    <d v="2016-04-01T00:00:00"/>
    <d v="2016-06-02T00:00:00"/>
    <x v="3"/>
    <x v="19"/>
    <x v="0"/>
    <n v="0"/>
    <x v="1"/>
    <n v="0"/>
    <n v="0"/>
    <n v="0"/>
    <x v="0"/>
    <x v="0"/>
    <n v="0"/>
  </r>
  <r>
    <n v="2285200000000"/>
    <x v="0"/>
    <x v="30"/>
    <x v="3"/>
    <s v="JARDIM CAMBURI"/>
    <d v="2016-04-01T00:00:00"/>
    <d v="2016-06-06T00:00:00"/>
    <x v="2"/>
    <x v="25"/>
    <x v="0"/>
    <n v="0"/>
    <x v="1"/>
    <n v="0"/>
    <n v="0"/>
    <n v="0"/>
    <x v="0"/>
    <x v="0"/>
    <n v="0"/>
  </r>
  <r>
    <n v="34433700000000"/>
    <x v="0"/>
    <x v="6"/>
    <x v="0"/>
    <s v="JARDIM CAMBURI"/>
    <d v="2016-04-01T00:00:00"/>
    <d v="2016-06-06T00:00:00"/>
    <x v="2"/>
    <x v="25"/>
    <x v="0"/>
    <n v="0"/>
    <x v="1"/>
    <n v="0"/>
    <n v="0"/>
    <n v="0"/>
    <x v="0"/>
    <x v="0"/>
    <n v="0"/>
  </r>
  <r>
    <n v="543986000000000"/>
    <x v="0"/>
    <x v="62"/>
    <x v="3"/>
    <s v="JARDIM CAMBURI"/>
    <d v="2016-04-01T00:00:00"/>
    <d v="2016-06-07T00:00:00"/>
    <x v="4"/>
    <x v="10"/>
    <x v="0"/>
    <n v="0"/>
    <x v="1"/>
    <n v="0"/>
    <n v="0"/>
    <n v="0"/>
    <x v="0"/>
    <x v="0"/>
    <n v="0"/>
  </r>
  <r>
    <n v="93413700000000"/>
    <x v="0"/>
    <x v="12"/>
    <x v="3"/>
    <s v="JARDIM CAMBURI"/>
    <d v="2016-04-01T00:00:00"/>
    <d v="2016-06-06T00:00:00"/>
    <x v="2"/>
    <x v="25"/>
    <x v="0"/>
    <n v="0"/>
    <x v="0"/>
    <n v="1"/>
    <n v="0"/>
    <n v="0"/>
    <x v="0"/>
    <x v="0"/>
    <n v="0"/>
  </r>
  <r>
    <n v="66494969535"/>
    <x v="0"/>
    <x v="27"/>
    <x v="3"/>
    <s v="JARDIM DA PENHA"/>
    <d v="2016-04-01T00:00:00"/>
    <d v="2016-04-29T00:00:00"/>
    <x v="0"/>
    <x v="64"/>
    <x v="1"/>
    <n v="0"/>
    <x v="1"/>
    <n v="0"/>
    <n v="0"/>
    <n v="0"/>
    <x v="0"/>
    <x v="0"/>
    <n v="0"/>
  </r>
  <r>
    <n v="287593000000"/>
    <x v="0"/>
    <x v="76"/>
    <x v="0"/>
    <s v="JARDIM CAMBURI"/>
    <d v="2016-04-01T00:00:00"/>
    <d v="2016-06-07T00:00:00"/>
    <x v="4"/>
    <x v="10"/>
    <x v="0"/>
    <n v="1"/>
    <x v="1"/>
    <n v="0"/>
    <n v="0"/>
    <n v="0"/>
    <x v="0"/>
    <x v="0"/>
    <n v="0"/>
  </r>
  <r>
    <n v="77919600000000"/>
    <x v="0"/>
    <x v="50"/>
    <x v="1"/>
    <s v="ESTRELINHA"/>
    <d v="2016-04-01T00:00:00"/>
    <d v="2016-04-29T00:00:00"/>
    <x v="0"/>
    <x v="64"/>
    <x v="1"/>
    <n v="0"/>
    <x v="0"/>
    <n v="0"/>
    <n v="0"/>
    <n v="0"/>
    <x v="0"/>
    <x v="0"/>
    <n v="0"/>
  </r>
  <r>
    <n v="55838400000000"/>
    <x v="1"/>
    <x v="28"/>
    <x v="3"/>
    <s v="ITARARE"/>
    <d v="2016-04-01T00:00:00"/>
    <d v="2016-04-29T00:00:00"/>
    <x v="0"/>
    <x v="64"/>
    <x v="1"/>
    <n v="0"/>
    <x v="1"/>
    <n v="0"/>
    <n v="1"/>
    <n v="0"/>
    <x v="0"/>
    <x v="0"/>
    <n v="0"/>
  </r>
  <r>
    <n v="25687200000000"/>
    <x v="1"/>
    <x v="47"/>
    <x v="4"/>
    <s v="JARDIM CAMBURI"/>
    <d v="2016-04-01T00:00:00"/>
    <d v="2016-06-08T00:00:00"/>
    <x v="1"/>
    <x v="14"/>
    <x v="0"/>
    <n v="0"/>
    <x v="1"/>
    <n v="0"/>
    <n v="0"/>
    <n v="0"/>
    <x v="0"/>
    <x v="0"/>
    <n v="0"/>
  </r>
  <r>
    <n v="759917000000"/>
    <x v="1"/>
    <x v="31"/>
    <x v="1"/>
    <s v="JARDIM CAMBURI"/>
    <d v="2016-04-01T00:00:00"/>
    <d v="2016-06-08T00:00:00"/>
    <x v="1"/>
    <x v="14"/>
    <x v="0"/>
    <n v="0"/>
    <x v="1"/>
    <n v="0"/>
    <n v="0"/>
    <n v="0"/>
    <x v="0"/>
    <x v="0"/>
    <n v="0"/>
  </r>
  <r>
    <n v="343168000000000"/>
    <x v="0"/>
    <x v="5"/>
    <x v="1"/>
    <s v="RESISTENCIA"/>
    <d v="2016-04-01T00:00:00"/>
    <d v="2016-05-13T00:00:00"/>
    <x v="0"/>
    <x v="49"/>
    <x v="0"/>
    <n v="0"/>
    <x v="1"/>
    <n v="0"/>
    <n v="0"/>
    <n v="0"/>
    <x v="1"/>
    <x v="1"/>
    <n v="1"/>
  </r>
  <r>
    <n v="221193000000000"/>
    <x v="0"/>
    <x v="58"/>
    <x v="0"/>
    <s v="JARDIM CAMBURI"/>
    <d v="2016-04-01T00:00:00"/>
    <d v="2016-06-07T00:00:00"/>
    <x v="4"/>
    <x v="10"/>
    <x v="0"/>
    <n v="0"/>
    <x v="1"/>
    <n v="0"/>
    <n v="0"/>
    <n v="0"/>
    <x v="0"/>
    <x v="0"/>
    <n v="0"/>
  </r>
  <r>
    <n v="1566480000000"/>
    <x v="0"/>
    <x v="74"/>
    <x v="1"/>
    <s v="SANTA TEREZA"/>
    <d v="2016-04-05T00:00:00"/>
    <d v="2016-05-25T00:00:00"/>
    <x v="1"/>
    <x v="41"/>
    <x v="0"/>
    <n v="1"/>
    <x v="1"/>
    <n v="0"/>
    <n v="1"/>
    <n v="0"/>
    <x v="1"/>
    <x v="0"/>
    <n v="0"/>
  </r>
  <r>
    <n v="12485500000000"/>
    <x v="1"/>
    <x v="14"/>
    <x v="3"/>
    <s v="SANTA TEREZA"/>
    <d v="2016-04-05T00:00:00"/>
    <d v="2016-05-02T00:00:00"/>
    <x v="2"/>
    <x v="65"/>
    <x v="1"/>
    <n v="0"/>
    <x v="0"/>
    <n v="1"/>
    <n v="0"/>
    <n v="0"/>
    <x v="0"/>
    <x v="0"/>
    <n v="0"/>
  </r>
  <r>
    <n v="8444600000000"/>
    <x v="0"/>
    <x v="21"/>
    <x v="1"/>
    <s v="JARDIM CAMBURI"/>
    <d v="2016-04-05T00:00:00"/>
    <d v="2016-06-01T00:00:00"/>
    <x v="1"/>
    <x v="34"/>
    <x v="0"/>
    <n v="0"/>
    <x v="1"/>
    <n v="0"/>
    <n v="0"/>
    <n v="0"/>
    <x v="0"/>
    <x v="1"/>
    <n v="1"/>
  </r>
  <r>
    <n v="839668000000000"/>
    <x v="0"/>
    <x v="37"/>
    <x v="3"/>
    <s v="SANTA MARTHA"/>
    <d v="2016-04-05T00:00:00"/>
    <d v="2016-05-02T00:00:00"/>
    <x v="2"/>
    <x v="65"/>
    <x v="1"/>
    <n v="0"/>
    <x v="1"/>
    <n v="0"/>
    <n v="0"/>
    <n v="0"/>
    <x v="0"/>
    <x v="1"/>
    <n v="1"/>
  </r>
  <r>
    <n v="7852440000000"/>
    <x v="0"/>
    <x v="54"/>
    <x v="1"/>
    <s v="DO CABRAL"/>
    <d v="2016-04-05T00:00:00"/>
    <d v="2016-05-06T00:00:00"/>
    <x v="0"/>
    <x v="57"/>
    <x v="0"/>
    <n v="0"/>
    <x v="1"/>
    <n v="0"/>
    <n v="0"/>
    <n v="0"/>
    <x v="1"/>
    <x v="0"/>
    <n v="0"/>
  </r>
  <r>
    <n v="8565970000000"/>
    <x v="0"/>
    <x v="83"/>
    <x v="0"/>
    <s v="SANTA TEREZA"/>
    <d v="2016-04-05T00:00:00"/>
    <d v="2016-05-05T00:00:00"/>
    <x v="3"/>
    <x v="60"/>
    <x v="1"/>
    <n v="0"/>
    <x v="0"/>
    <n v="1"/>
    <n v="0"/>
    <n v="0"/>
    <x v="0"/>
    <x v="0"/>
    <n v="0"/>
  </r>
  <r>
    <n v="27392000000000"/>
    <x v="0"/>
    <x v="84"/>
    <x v="1"/>
    <s v="VILA RUBIM"/>
    <d v="2016-04-05T00:00:00"/>
    <d v="2016-05-09T00:00:00"/>
    <x v="2"/>
    <x v="58"/>
    <x v="0"/>
    <n v="0"/>
    <x v="1"/>
    <n v="0"/>
    <n v="0"/>
    <n v="0"/>
    <x v="1"/>
    <x v="0"/>
    <n v="0"/>
  </r>
  <r>
    <n v="377433000000000"/>
    <x v="0"/>
    <x v="67"/>
    <x v="4"/>
    <s v="SANTA TEREZA"/>
    <d v="2016-04-05T00:00:00"/>
    <d v="2016-05-18T00:00:00"/>
    <x v="1"/>
    <x v="47"/>
    <x v="0"/>
    <n v="0"/>
    <x v="1"/>
    <n v="0"/>
    <n v="0"/>
    <n v="0"/>
    <x v="1"/>
    <x v="0"/>
    <n v="0"/>
  </r>
  <r>
    <n v="66919500000000"/>
    <x v="0"/>
    <x v="16"/>
    <x v="1"/>
    <s v="SANTA TEREZA"/>
    <d v="2016-04-05T00:00:00"/>
    <d v="2016-05-20T00:00:00"/>
    <x v="0"/>
    <x v="56"/>
    <x v="0"/>
    <n v="0"/>
    <x v="1"/>
    <n v="0"/>
    <n v="0"/>
    <n v="0"/>
    <x v="1"/>
    <x v="0"/>
    <n v="0"/>
  </r>
  <r>
    <n v="134942000000000"/>
    <x v="0"/>
    <x v="18"/>
    <x v="0"/>
    <s v="JUCUTUQUARA"/>
    <d v="2016-04-05T00:00:00"/>
    <d v="2016-05-31T00:00:00"/>
    <x v="4"/>
    <x v="36"/>
    <x v="0"/>
    <n v="0"/>
    <x v="1"/>
    <n v="0"/>
    <n v="0"/>
    <n v="0"/>
    <x v="0"/>
    <x v="0"/>
    <n v="0"/>
  </r>
  <r>
    <n v="13668000000000"/>
    <x v="1"/>
    <x v="33"/>
    <x v="4"/>
    <s v="SANTA TEREZA"/>
    <d v="2016-04-05T00:00:00"/>
    <d v="2016-05-05T00:00:00"/>
    <x v="3"/>
    <x v="60"/>
    <x v="1"/>
    <n v="1"/>
    <x v="1"/>
    <n v="0"/>
    <n v="0"/>
    <n v="0"/>
    <x v="0"/>
    <x v="0"/>
    <n v="0"/>
  </r>
  <r>
    <n v="4317290000000"/>
    <x v="1"/>
    <x v="27"/>
    <x v="3"/>
    <s v="REDENCAO"/>
    <d v="2016-04-05T00:00:00"/>
    <d v="2016-05-03T00:00:00"/>
    <x v="4"/>
    <x v="64"/>
    <x v="1"/>
    <n v="0"/>
    <x v="1"/>
    <n v="0"/>
    <n v="0"/>
    <n v="0"/>
    <x v="0"/>
    <x v="0"/>
    <n v="0"/>
  </r>
  <r>
    <n v="11719800000000"/>
    <x v="0"/>
    <x v="50"/>
    <x v="1"/>
    <s v="SANTOS DUMONT"/>
    <d v="2016-04-05T00:00:00"/>
    <d v="2016-05-17T00:00:00"/>
    <x v="4"/>
    <x v="49"/>
    <x v="0"/>
    <n v="0"/>
    <x v="1"/>
    <n v="0"/>
    <n v="0"/>
    <n v="0"/>
    <x v="1"/>
    <x v="0"/>
    <n v="0"/>
  </r>
  <r>
    <n v="1324450000000"/>
    <x v="0"/>
    <x v="68"/>
    <x v="4"/>
    <s v="JESUS DE NAZARETH"/>
    <d v="2016-04-05T00:00:00"/>
    <d v="2016-05-19T00:00:00"/>
    <x v="3"/>
    <x v="45"/>
    <x v="0"/>
    <n v="0"/>
    <x v="1"/>
    <n v="0"/>
    <n v="0"/>
    <n v="0"/>
    <x v="1"/>
    <x v="0"/>
    <n v="0"/>
  </r>
  <r>
    <n v="63716300000000"/>
    <x v="1"/>
    <x v="83"/>
    <x v="0"/>
    <s v="DO QUADRO"/>
    <d v="2016-04-05T00:00:00"/>
    <d v="2016-05-11T00:00:00"/>
    <x v="1"/>
    <x v="55"/>
    <x v="0"/>
    <n v="0"/>
    <x v="0"/>
    <n v="0"/>
    <n v="0"/>
    <n v="0"/>
    <x v="1"/>
    <x v="0"/>
    <n v="0"/>
  </r>
  <r>
    <n v="9983380000000"/>
    <x v="0"/>
    <x v="41"/>
    <x v="4"/>
    <s v="VILA RUBIM"/>
    <d v="2016-04-05T00:00:00"/>
    <d v="2016-05-16T00:00:00"/>
    <x v="2"/>
    <x v="51"/>
    <x v="0"/>
    <n v="0"/>
    <x v="1"/>
    <n v="0"/>
    <n v="0"/>
    <n v="0"/>
    <x v="1"/>
    <x v="1"/>
    <n v="1"/>
  </r>
  <r>
    <n v="8224580000000"/>
    <x v="0"/>
    <x v="52"/>
    <x v="2"/>
    <s v="DO QUADRO"/>
    <d v="2016-04-05T00:00:00"/>
    <d v="2016-05-05T00:00:00"/>
    <x v="3"/>
    <x v="60"/>
    <x v="1"/>
    <n v="0"/>
    <x v="1"/>
    <n v="0"/>
    <n v="0"/>
    <n v="0"/>
    <x v="0"/>
    <x v="0"/>
    <n v="0"/>
  </r>
  <r>
    <n v="1866190000000"/>
    <x v="0"/>
    <x v="70"/>
    <x v="5"/>
    <s v="DO QUADRO"/>
    <d v="2016-04-05T00:00:00"/>
    <d v="2016-05-04T00:00:00"/>
    <x v="1"/>
    <x v="63"/>
    <x v="1"/>
    <n v="0"/>
    <x v="1"/>
    <n v="0"/>
    <n v="0"/>
    <n v="0"/>
    <x v="0"/>
    <x v="0"/>
    <n v="0"/>
  </r>
  <r>
    <n v="23124500000000"/>
    <x v="1"/>
    <x v="26"/>
    <x v="0"/>
    <s v="SANTA TEREZA"/>
    <d v="2016-04-05T00:00:00"/>
    <d v="2016-05-18T00:00:00"/>
    <x v="1"/>
    <x v="47"/>
    <x v="0"/>
    <n v="0"/>
    <x v="1"/>
    <n v="0"/>
    <n v="0"/>
    <n v="0"/>
    <x v="1"/>
    <x v="0"/>
    <n v="0"/>
  </r>
  <r>
    <n v="38591300000000"/>
    <x v="1"/>
    <x v="64"/>
    <x v="3"/>
    <s v="DO CABRAL"/>
    <d v="2016-04-05T00:00:00"/>
    <d v="2016-05-09T00:00:00"/>
    <x v="2"/>
    <x v="58"/>
    <x v="0"/>
    <n v="0"/>
    <x v="0"/>
    <n v="1"/>
    <n v="0"/>
    <n v="0"/>
    <x v="1"/>
    <x v="0"/>
    <n v="0"/>
  </r>
  <r>
    <n v="51162700000000"/>
    <x v="0"/>
    <x v="46"/>
    <x v="2"/>
    <s v="SANTA TEREZA"/>
    <d v="2016-04-05T00:00:00"/>
    <d v="2016-05-03T00:00:00"/>
    <x v="4"/>
    <x v="64"/>
    <x v="1"/>
    <n v="0"/>
    <x v="1"/>
    <n v="0"/>
    <n v="0"/>
    <n v="0"/>
    <x v="0"/>
    <x v="0"/>
    <n v="0"/>
  </r>
  <r>
    <n v="3663940000000"/>
    <x v="1"/>
    <x v="45"/>
    <x v="1"/>
    <s v="SANTO ANDRE"/>
    <d v="2016-04-05T00:00:00"/>
    <d v="2016-04-29T00:00:00"/>
    <x v="0"/>
    <x v="66"/>
    <x v="1"/>
    <n v="0"/>
    <x v="0"/>
    <n v="1"/>
    <n v="0"/>
    <n v="0"/>
    <x v="0"/>
    <x v="0"/>
    <n v="0"/>
  </r>
  <r>
    <n v="415862000000000"/>
    <x v="0"/>
    <x v="68"/>
    <x v="4"/>
    <s v="BONFIM"/>
    <d v="2016-04-05T00:00:00"/>
    <d v="2016-05-04T00:00:00"/>
    <x v="1"/>
    <x v="63"/>
    <x v="1"/>
    <n v="0"/>
    <x v="1"/>
    <n v="0"/>
    <n v="0"/>
    <n v="0"/>
    <x v="0"/>
    <x v="0"/>
    <n v="0"/>
  </r>
  <r>
    <n v="15415300000000"/>
    <x v="0"/>
    <x v="50"/>
    <x v="1"/>
    <s v="DO QUADRO"/>
    <d v="2016-04-05T00:00:00"/>
    <d v="2016-05-13T00:00:00"/>
    <x v="0"/>
    <x v="52"/>
    <x v="0"/>
    <n v="0"/>
    <x v="1"/>
    <n v="0"/>
    <n v="0"/>
    <n v="0"/>
    <x v="1"/>
    <x v="0"/>
    <n v="0"/>
  </r>
  <r>
    <n v="789884000000000"/>
    <x v="0"/>
    <x v="24"/>
    <x v="1"/>
    <s v="JARDIM CAMBURI"/>
    <d v="2016-04-05T00:00:00"/>
    <d v="2016-06-06T00:00:00"/>
    <x v="2"/>
    <x v="19"/>
    <x v="0"/>
    <n v="0"/>
    <x v="1"/>
    <n v="0"/>
    <n v="0"/>
    <n v="0"/>
    <x v="0"/>
    <x v="0"/>
    <n v="0"/>
  </r>
  <r>
    <n v="4764870000000"/>
    <x v="0"/>
    <x v="44"/>
    <x v="4"/>
    <s v="SANTA TEREZA"/>
    <d v="2016-04-05T00:00:00"/>
    <d v="2016-05-13T00:00:00"/>
    <x v="0"/>
    <x v="52"/>
    <x v="0"/>
    <n v="1"/>
    <x v="1"/>
    <n v="0"/>
    <n v="0"/>
    <n v="0"/>
    <x v="1"/>
    <x v="1"/>
    <n v="1"/>
  </r>
  <r>
    <n v="45922100000000"/>
    <x v="1"/>
    <x v="55"/>
    <x v="2"/>
    <s v="DO QUADRO"/>
    <d v="2016-04-05T00:00:00"/>
    <d v="2016-05-06T00:00:00"/>
    <x v="0"/>
    <x v="57"/>
    <x v="0"/>
    <n v="0"/>
    <x v="1"/>
    <n v="0"/>
    <n v="0"/>
    <n v="0"/>
    <x v="0"/>
    <x v="0"/>
    <n v="0"/>
  </r>
  <r>
    <n v="92391700000000"/>
    <x v="0"/>
    <x v="52"/>
    <x v="2"/>
    <s v="RESISTENCIA"/>
    <d v="2016-04-05T00:00:00"/>
    <d v="2016-05-05T00:00:00"/>
    <x v="3"/>
    <x v="60"/>
    <x v="1"/>
    <n v="0"/>
    <x v="1"/>
    <n v="0"/>
    <n v="0"/>
    <n v="0"/>
    <x v="0"/>
    <x v="1"/>
    <n v="1"/>
  </r>
  <r>
    <n v="51749700000000"/>
    <x v="1"/>
    <x v="81"/>
    <x v="5"/>
    <s v="JARDIM CAMBURI"/>
    <d v="2016-04-05T00:00:00"/>
    <d v="2016-05-19T00:00:00"/>
    <x v="3"/>
    <x v="45"/>
    <x v="0"/>
    <n v="0"/>
    <x v="1"/>
    <n v="0"/>
    <n v="0"/>
    <n v="0"/>
    <x v="1"/>
    <x v="1"/>
    <n v="1"/>
  </r>
  <r>
    <n v="776179000000000"/>
    <x v="0"/>
    <x v="56"/>
    <x v="1"/>
    <s v="JOANA D ARC"/>
    <d v="2016-04-05T00:00:00"/>
    <d v="2016-06-03T00:00:00"/>
    <x v="0"/>
    <x v="31"/>
    <x v="0"/>
    <n v="1"/>
    <x v="1"/>
    <n v="0"/>
    <n v="0"/>
    <n v="0"/>
    <x v="0"/>
    <x v="0"/>
    <n v="0"/>
  </r>
  <r>
    <n v="637678000000000"/>
    <x v="0"/>
    <x v="65"/>
    <x v="2"/>
    <s v="RESISTENCIA"/>
    <d v="2016-04-05T00:00:00"/>
    <d v="2016-05-18T00:00:00"/>
    <x v="1"/>
    <x v="47"/>
    <x v="0"/>
    <n v="0"/>
    <x v="1"/>
    <n v="0"/>
    <n v="0"/>
    <n v="0"/>
    <x v="1"/>
    <x v="0"/>
    <n v="0"/>
  </r>
  <r>
    <n v="684172000000000"/>
    <x v="1"/>
    <x v="4"/>
    <x v="2"/>
    <s v="RESISTENCIA"/>
    <d v="2016-04-05T00:00:00"/>
    <d v="2016-05-18T00:00:00"/>
    <x v="1"/>
    <x v="47"/>
    <x v="0"/>
    <n v="0"/>
    <x v="1"/>
    <n v="0"/>
    <n v="0"/>
    <n v="0"/>
    <x v="1"/>
    <x v="0"/>
    <n v="0"/>
  </r>
  <r>
    <n v="3811890000000"/>
    <x v="0"/>
    <x v="16"/>
    <x v="1"/>
    <s v="MARIA ORTIZ"/>
    <d v="2016-04-05T00:00:00"/>
    <d v="2016-05-06T00:00:00"/>
    <x v="0"/>
    <x v="57"/>
    <x v="0"/>
    <n v="0"/>
    <x v="1"/>
    <n v="0"/>
    <n v="0"/>
    <n v="0"/>
    <x v="0"/>
    <x v="1"/>
    <n v="1"/>
  </r>
  <r>
    <n v="9135930000000"/>
    <x v="1"/>
    <x v="12"/>
    <x v="3"/>
    <s v="MARIA ORTIZ"/>
    <d v="2016-04-05T00:00:00"/>
    <d v="2016-05-06T00:00:00"/>
    <x v="0"/>
    <x v="57"/>
    <x v="0"/>
    <n v="0"/>
    <x v="1"/>
    <n v="0"/>
    <n v="0"/>
    <n v="0"/>
    <x v="0"/>
    <x v="1"/>
    <n v="1"/>
  </r>
  <r>
    <n v="7974620000000"/>
    <x v="0"/>
    <x v="62"/>
    <x v="3"/>
    <s v="JARDIM CAMBURI"/>
    <d v="2016-04-05T00:00:00"/>
    <d v="2016-05-30T00:00:00"/>
    <x v="2"/>
    <x v="44"/>
    <x v="0"/>
    <n v="0"/>
    <x v="1"/>
    <n v="0"/>
    <n v="0"/>
    <n v="0"/>
    <x v="0"/>
    <x v="0"/>
    <n v="0"/>
  </r>
  <r>
    <n v="15122500000000"/>
    <x v="0"/>
    <x v="81"/>
    <x v="5"/>
    <s v="CONSOLACAO"/>
    <d v="2016-04-05T00:00:00"/>
    <d v="2016-05-03T00:00:00"/>
    <x v="4"/>
    <x v="64"/>
    <x v="1"/>
    <n v="0"/>
    <x v="1"/>
    <n v="0"/>
    <n v="0"/>
    <n v="0"/>
    <x v="0"/>
    <x v="0"/>
    <n v="0"/>
  </r>
  <r>
    <n v="95537784493"/>
    <x v="0"/>
    <x v="46"/>
    <x v="2"/>
    <s v="JARDIM CAMBURI"/>
    <d v="2016-04-05T00:00:00"/>
    <d v="2016-06-02T00:00:00"/>
    <x v="3"/>
    <x v="37"/>
    <x v="0"/>
    <n v="0"/>
    <x v="1"/>
    <n v="0"/>
    <n v="0"/>
    <n v="0"/>
    <x v="0"/>
    <x v="0"/>
    <n v="0"/>
  </r>
  <r>
    <n v="72942800000000"/>
    <x v="0"/>
    <x v="52"/>
    <x v="2"/>
    <s v="GURIGICA"/>
    <d v="2016-04-05T00:00:00"/>
    <d v="2016-05-05T00:00:00"/>
    <x v="3"/>
    <x v="60"/>
    <x v="1"/>
    <n v="1"/>
    <x v="1"/>
    <n v="0"/>
    <n v="0"/>
    <n v="0"/>
    <x v="0"/>
    <x v="0"/>
    <n v="0"/>
  </r>
  <r>
    <n v="12835200000000"/>
    <x v="0"/>
    <x v="77"/>
    <x v="4"/>
    <s v="JESUS DE NAZARETH"/>
    <d v="2016-04-05T00:00:00"/>
    <d v="2016-05-20T00:00:00"/>
    <x v="0"/>
    <x v="56"/>
    <x v="0"/>
    <n v="0"/>
    <x v="1"/>
    <n v="0"/>
    <n v="1"/>
    <n v="0"/>
    <x v="1"/>
    <x v="0"/>
    <n v="0"/>
  </r>
  <r>
    <n v="327964000000000"/>
    <x v="0"/>
    <x v="32"/>
    <x v="4"/>
    <s v="MATA DA PRAIA"/>
    <d v="2016-04-05T00:00:00"/>
    <d v="2016-05-02T00:00:00"/>
    <x v="2"/>
    <x v="65"/>
    <x v="1"/>
    <n v="0"/>
    <x v="1"/>
    <n v="0"/>
    <n v="0"/>
    <n v="0"/>
    <x v="0"/>
    <x v="1"/>
    <n v="1"/>
  </r>
  <r>
    <n v="38467900000000"/>
    <x v="1"/>
    <x v="56"/>
    <x v="1"/>
    <s v="JARDIM CAMBURI"/>
    <d v="2016-04-05T00:00:00"/>
    <d v="2016-05-24T00:00:00"/>
    <x v="4"/>
    <x v="43"/>
    <x v="0"/>
    <n v="0"/>
    <x v="1"/>
    <n v="0"/>
    <n v="0"/>
    <n v="0"/>
    <x v="0"/>
    <x v="0"/>
    <n v="0"/>
  </r>
  <r>
    <n v="46656234314"/>
    <x v="0"/>
    <x v="16"/>
    <x v="1"/>
    <s v="DO QUADRO"/>
    <d v="2016-04-05T00:00:00"/>
    <d v="2016-05-18T00:00:00"/>
    <x v="1"/>
    <x v="47"/>
    <x v="0"/>
    <n v="0"/>
    <x v="1"/>
    <n v="0"/>
    <n v="0"/>
    <n v="1"/>
    <x v="1"/>
    <x v="0"/>
    <n v="0"/>
  </r>
  <r>
    <n v="587538000000000"/>
    <x v="0"/>
    <x v="67"/>
    <x v="4"/>
    <s v="MATA DA PRAIA"/>
    <d v="2016-04-05T00:00:00"/>
    <d v="2016-05-05T00:00:00"/>
    <x v="3"/>
    <x v="60"/>
    <x v="1"/>
    <n v="0"/>
    <x v="1"/>
    <n v="0"/>
    <n v="0"/>
    <n v="1"/>
    <x v="1"/>
    <x v="0"/>
    <n v="0"/>
  </r>
  <r>
    <n v="9367890000000"/>
    <x v="1"/>
    <x v="17"/>
    <x v="4"/>
    <s v="ANDORINHAS"/>
    <d v="2016-04-05T00:00:00"/>
    <d v="2016-05-05T00:00:00"/>
    <x v="3"/>
    <x v="60"/>
    <x v="1"/>
    <n v="0"/>
    <x v="1"/>
    <n v="0"/>
    <n v="0"/>
    <n v="0"/>
    <x v="0"/>
    <x v="0"/>
    <n v="0"/>
  </r>
  <r>
    <n v="22482400000000"/>
    <x v="0"/>
    <x v="36"/>
    <x v="3"/>
    <s v="REPUBLICA"/>
    <d v="2016-04-05T00:00:00"/>
    <d v="2016-05-05T00:00:00"/>
    <x v="3"/>
    <x v="60"/>
    <x v="1"/>
    <n v="0"/>
    <x v="1"/>
    <n v="0"/>
    <n v="0"/>
    <n v="0"/>
    <x v="0"/>
    <x v="0"/>
    <n v="0"/>
  </r>
  <r>
    <n v="715332000000"/>
    <x v="1"/>
    <x v="66"/>
    <x v="2"/>
    <s v="SANTA TEREZA"/>
    <d v="2016-04-05T00:00:00"/>
    <d v="2016-05-09T00:00:00"/>
    <x v="2"/>
    <x v="58"/>
    <x v="0"/>
    <n v="1"/>
    <x v="1"/>
    <n v="0"/>
    <n v="0"/>
    <n v="0"/>
    <x v="1"/>
    <x v="0"/>
    <n v="0"/>
  </r>
  <r>
    <n v="6466380000000"/>
    <x v="0"/>
    <x v="16"/>
    <x v="1"/>
    <s v="ILHA DE SANTA MARIA"/>
    <d v="2016-04-05T00:00:00"/>
    <d v="2016-05-19T00:00:00"/>
    <x v="3"/>
    <x v="45"/>
    <x v="0"/>
    <n v="0"/>
    <x v="1"/>
    <n v="0"/>
    <n v="0"/>
    <n v="0"/>
    <x v="1"/>
    <x v="0"/>
    <n v="0"/>
  </r>
  <r>
    <n v="32975400000000"/>
    <x v="0"/>
    <x v="48"/>
    <x v="3"/>
    <s v="JOANA D ARC"/>
    <d v="2016-04-05T00:00:00"/>
    <d v="2016-05-18T00:00:00"/>
    <x v="1"/>
    <x v="47"/>
    <x v="0"/>
    <n v="1"/>
    <x v="1"/>
    <n v="0"/>
    <n v="0"/>
    <n v="0"/>
    <x v="1"/>
    <x v="0"/>
    <n v="0"/>
  </r>
  <r>
    <n v="68485500000000"/>
    <x v="0"/>
    <x v="77"/>
    <x v="4"/>
    <s v="MARIA ORTIZ"/>
    <d v="2016-04-05T00:00:00"/>
    <d v="2016-05-03T00:00:00"/>
    <x v="4"/>
    <x v="64"/>
    <x v="1"/>
    <n v="0"/>
    <x v="1"/>
    <n v="0"/>
    <n v="0"/>
    <n v="0"/>
    <x v="0"/>
    <x v="0"/>
    <n v="0"/>
  </r>
  <r>
    <n v="3995370000000"/>
    <x v="0"/>
    <x v="5"/>
    <x v="1"/>
    <s v="MARIA ORTIZ"/>
    <d v="2016-04-05T00:00:00"/>
    <d v="2016-04-29T00:00:00"/>
    <x v="0"/>
    <x v="66"/>
    <x v="1"/>
    <n v="0"/>
    <x v="1"/>
    <n v="0"/>
    <n v="0"/>
    <n v="0"/>
    <x v="0"/>
    <x v="0"/>
    <n v="0"/>
  </r>
  <r>
    <n v="787840000000000"/>
    <x v="0"/>
    <x v="44"/>
    <x v="4"/>
    <s v="JOANA D ARC"/>
    <d v="2016-04-05T00:00:00"/>
    <d v="2016-05-02T00:00:00"/>
    <x v="2"/>
    <x v="65"/>
    <x v="1"/>
    <n v="0"/>
    <x v="1"/>
    <n v="0"/>
    <n v="0"/>
    <n v="0"/>
    <x v="0"/>
    <x v="0"/>
    <n v="0"/>
  </r>
  <r>
    <n v="65258900000000"/>
    <x v="0"/>
    <x v="49"/>
    <x v="4"/>
    <s v="MARIA ORTIZ"/>
    <d v="2016-04-05T00:00:00"/>
    <d v="2016-05-10T00:00:00"/>
    <x v="4"/>
    <x v="59"/>
    <x v="0"/>
    <n v="0"/>
    <x v="1"/>
    <n v="0"/>
    <n v="0"/>
    <n v="0"/>
    <x v="0"/>
    <x v="0"/>
    <n v="0"/>
  </r>
  <r>
    <n v="462345000000"/>
    <x v="0"/>
    <x v="12"/>
    <x v="3"/>
    <s v="JABOUR"/>
    <d v="2016-04-05T00:00:00"/>
    <d v="2016-05-05T00:00:00"/>
    <x v="3"/>
    <x v="60"/>
    <x v="1"/>
    <n v="0"/>
    <x v="1"/>
    <n v="0"/>
    <n v="0"/>
    <n v="0"/>
    <x v="0"/>
    <x v="0"/>
    <n v="0"/>
  </r>
  <r>
    <n v="663696000000000"/>
    <x v="0"/>
    <x v="21"/>
    <x v="1"/>
    <s v="NAZARETH"/>
    <d v="2016-04-05T00:00:00"/>
    <d v="2016-05-19T00:00:00"/>
    <x v="3"/>
    <x v="45"/>
    <x v="0"/>
    <n v="0"/>
    <x v="1"/>
    <n v="0"/>
    <n v="0"/>
    <n v="0"/>
    <x v="1"/>
    <x v="1"/>
    <n v="1"/>
  </r>
  <r>
    <n v="3913442752"/>
    <x v="1"/>
    <x v="12"/>
    <x v="3"/>
    <s v="JABOUR"/>
    <d v="2016-04-05T00:00:00"/>
    <d v="2016-05-10T00:00:00"/>
    <x v="4"/>
    <x v="59"/>
    <x v="0"/>
    <n v="0"/>
    <x v="1"/>
    <n v="0"/>
    <n v="0"/>
    <n v="0"/>
    <x v="0"/>
    <x v="0"/>
    <n v="0"/>
  </r>
  <r>
    <n v="48255800000000"/>
    <x v="1"/>
    <x v="59"/>
    <x v="2"/>
    <s v="ANDORINHAS"/>
    <d v="2016-04-06T00:00:00"/>
    <d v="2016-05-06T00:00:00"/>
    <x v="0"/>
    <x v="60"/>
    <x v="1"/>
    <n v="0"/>
    <x v="1"/>
    <n v="0"/>
    <n v="0"/>
    <n v="0"/>
    <x v="1"/>
    <x v="0"/>
    <n v="0"/>
  </r>
  <r>
    <n v="447545000000000"/>
    <x v="0"/>
    <x v="74"/>
    <x v="1"/>
    <s v="ANDORINHAS"/>
    <d v="2016-04-06T00:00:00"/>
    <d v="2016-05-13T00:00:00"/>
    <x v="0"/>
    <x v="53"/>
    <x v="0"/>
    <n v="0"/>
    <x v="0"/>
    <n v="1"/>
    <n v="0"/>
    <n v="0"/>
    <x v="1"/>
    <x v="0"/>
    <n v="0"/>
  </r>
  <r>
    <n v="1984960000000"/>
    <x v="0"/>
    <x v="65"/>
    <x v="2"/>
    <s v="DO CABRAL"/>
    <d v="2016-04-06T00:00:00"/>
    <d v="2016-05-05T00:00:00"/>
    <x v="3"/>
    <x v="63"/>
    <x v="1"/>
    <n v="0"/>
    <x v="1"/>
    <n v="0"/>
    <n v="0"/>
    <n v="0"/>
    <x v="0"/>
    <x v="1"/>
    <n v="1"/>
  </r>
  <r>
    <n v="77738500000000"/>
    <x v="0"/>
    <x v="57"/>
    <x v="2"/>
    <s v="DO CABRAL"/>
    <d v="2016-04-06T00:00:00"/>
    <d v="2016-05-11T00:00:00"/>
    <x v="1"/>
    <x v="59"/>
    <x v="0"/>
    <n v="0"/>
    <x v="1"/>
    <n v="0"/>
    <n v="0"/>
    <n v="0"/>
    <x v="0"/>
    <x v="0"/>
    <n v="0"/>
  </r>
  <r>
    <n v="4859650000000"/>
    <x v="0"/>
    <x v="5"/>
    <x v="1"/>
    <s v="MARIA ORTIZ"/>
    <d v="2016-04-06T00:00:00"/>
    <d v="2016-05-09T00:00:00"/>
    <x v="2"/>
    <x v="62"/>
    <x v="0"/>
    <n v="0"/>
    <x v="1"/>
    <n v="0"/>
    <n v="0"/>
    <n v="0"/>
    <x v="1"/>
    <x v="1"/>
    <n v="1"/>
  </r>
  <r>
    <n v="1578610000000"/>
    <x v="0"/>
    <x v="21"/>
    <x v="1"/>
    <s v="JARDIM CAMBURI"/>
    <d v="2016-04-06T00:00:00"/>
    <d v="2016-06-03T00:00:00"/>
    <x v="0"/>
    <x v="37"/>
    <x v="0"/>
    <n v="0"/>
    <x v="1"/>
    <n v="0"/>
    <n v="0"/>
    <n v="0"/>
    <x v="0"/>
    <x v="0"/>
    <n v="0"/>
  </r>
  <r>
    <n v="649939000000000"/>
    <x v="0"/>
    <x v="64"/>
    <x v="3"/>
    <s v="MARIA ORTIZ"/>
    <d v="2016-04-06T00:00:00"/>
    <d v="2016-05-09T00:00:00"/>
    <x v="2"/>
    <x v="62"/>
    <x v="0"/>
    <n v="0"/>
    <x v="0"/>
    <n v="0"/>
    <n v="0"/>
    <n v="0"/>
    <x v="1"/>
    <x v="0"/>
    <n v="0"/>
  </r>
  <r>
    <n v="9214780000000"/>
    <x v="0"/>
    <x v="64"/>
    <x v="3"/>
    <s v="JOANA D ARC"/>
    <d v="2016-04-06T00:00:00"/>
    <d v="2016-05-19T00:00:00"/>
    <x v="3"/>
    <x v="47"/>
    <x v="0"/>
    <n v="0"/>
    <x v="1"/>
    <n v="0"/>
    <n v="0"/>
    <n v="0"/>
    <x v="1"/>
    <x v="0"/>
    <n v="0"/>
  </r>
  <r>
    <n v="551597000000000"/>
    <x v="0"/>
    <x v="43"/>
    <x v="2"/>
    <s v="DO CABRAL"/>
    <d v="2016-04-06T00:00:00"/>
    <d v="2016-05-03T00:00:00"/>
    <x v="4"/>
    <x v="65"/>
    <x v="1"/>
    <n v="0"/>
    <x v="1"/>
    <n v="0"/>
    <n v="0"/>
    <n v="0"/>
    <x v="0"/>
    <x v="0"/>
    <n v="0"/>
  </r>
  <r>
    <n v="25376700000000"/>
    <x v="0"/>
    <x v="30"/>
    <x v="3"/>
    <s v="JABOUR"/>
    <d v="2016-04-06T00:00:00"/>
    <d v="2016-05-09T00:00:00"/>
    <x v="2"/>
    <x v="62"/>
    <x v="0"/>
    <n v="0"/>
    <x v="1"/>
    <n v="0"/>
    <n v="0"/>
    <n v="0"/>
    <x v="1"/>
    <x v="0"/>
    <n v="0"/>
  </r>
  <r>
    <n v="5871360000000"/>
    <x v="0"/>
    <x v="62"/>
    <x v="3"/>
    <s v="JABOUR"/>
    <d v="2016-04-06T00:00:00"/>
    <d v="2016-05-09T00:00:00"/>
    <x v="2"/>
    <x v="62"/>
    <x v="0"/>
    <n v="0"/>
    <x v="0"/>
    <n v="0"/>
    <n v="0"/>
    <n v="0"/>
    <x v="1"/>
    <x v="0"/>
    <n v="0"/>
  </r>
  <r>
    <n v="88196900000000"/>
    <x v="0"/>
    <x v="81"/>
    <x v="5"/>
    <s v="MARIA ORTIZ"/>
    <d v="2016-04-06T00:00:00"/>
    <d v="2016-05-11T00:00:00"/>
    <x v="1"/>
    <x v="59"/>
    <x v="0"/>
    <n v="0"/>
    <x v="1"/>
    <n v="0"/>
    <n v="0"/>
    <n v="0"/>
    <x v="0"/>
    <x v="0"/>
    <n v="0"/>
  </r>
  <r>
    <n v="24311600000000"/>
    <x v="0"/>
    <x v="67"/>
    <x v="4"/>
    <s v="SAO JOSE"/>
    <d v="2016-04-06T00:00:00"/>
    <d v="2016-05-04T00:00:00"/>
    <x v="1"/>
    <x v="64"/>
    <x v="1"/>
    <n v="0"/>
    <x v="1"/>
    <n v="0"/>
    <n v="0"/>
    <n v="0"/>
    <x v="0"/>
    <x v="0"/>
    <n v="0"/>
  </r>
  <r>
    <n v="121923000000"/>
    <x v="0"/>
    <x v="23"/>
    <x v="3"/>
    <s v="RESISTENCIA"/>
    <d v="2016-04-06T00:00:00"/>
    <d v="2016-05-12T00:00:00"/>
    <x v="3"/>
    <x v="55"/>
    <x v="0"/>
    <n v="0"/>
    <x v="0"/>
    <n v="0"/>
    <n v="0"/>
    <n v="0"/>
    <x v="0"/>
    <x v="1"/>
    <n v="1"/>
  </r>
  <r>
    <n v="53372200000000"/>
    <x v="1"/>
    <x v="58"/>
    <x v="0"/>
    <s v="SANTA MARTHA"/>
    <d v="2016-04-06T00:00:00"/>
    <d v="2016-05-04T00:00:00"/>
    <x v="1"/>
    <x v="64"/>
    <x v="1"/>
    <n v="0"/>
    <x v="0"/>
    <n v="0"/>
    <n v="1"/>
    <n v="1"/>
    <x v="1"/>
    <x v="0"/>
    <n v="0"/>
  </r>
  <r>
    <n v="55549699458"/>
    <x v="0"/>
    <x v="14"/>
    <x v="3"/>
    <s v="JARDIM CAMBURI"/>
    <d v="2016-04-06T00:00:00"/>
    <d v="2016-06-03T00:00:00"/>
    <x v="0"/>
    <x v="37"/>
    <x v="0"/>
    <n v="0"/>
    <x v="0"/>
    <n v="1"/>
    <n v="0"/>
    <n v="0"/>
    <x v="0"/>
    <x v="0"/>
    <n v="0"/>
  </r>
  <r>
    <n v="151664000000000"/>
    <x v="1"/>
    <x v="54"/>
    <x v="1"/>
    <s v="JARDIM CAMBURI"/>
    <d v="2016-04-06T00:00:00"/>
    <d v="2016-05-24T00:00:00"/>
    <x v="4"/>
    <x v="46"/>
    <x v="0"/>
    <n v="0"/>
    <x v="1"/>
    <n v="0"/>
    <n v="0"/>
    <n v="0"/>
    <x v="0"/>
    <x v="1"/>
    <n v="1"/>
  </r>
  <r>
    <n v="4276680000000"/>
    <x v="0"/>
    <x v="61"/>
    <x v="1"/>
    <s v="JESUS DE NAZARETH"/>
    <d v="2016-04-06T00:00:00"/>
    <d v="2016-04-29T00:00:00"/>
    <x v="0"/>
    <x v="67"/>
    <x v="1"/>
    <n v="1"/>
    <x v="0"/>
    <n v="0"/>
    <n v="1"/>
    <n v="0"/>
    <x v="0"/>
    <x v="0"/>
    <n v="0"/>
  </r>
  <r>
    <n v="1795200000000"/>
    <x v="0"/>
    <x v="71"/>
    <x v="4"/>
    <s v="RESISTENCIA"/>
    <d v="2016-04-06T00:00:00"/>
    <d v="2016-05-12T00:00:00"/>
    <x v="3"/>
    <x v="55"/>
    <x v="0"/>
    <n v="1"/>
    <x v="1"/>
    <n v="0"/>
    <n v="0"/>
    <n v="0"/>
    <x v="0"/>
    <x v="0"/>
    <n v="0"/>
  </r>
  <r>
    <n v="3227170000000"/>
    <x v="1"/>
    <x v="22"/>
    <x v="4"/>
    <s v="MARIA ORTIZ"/>
    <d v="2016-04-06T00:00:00"/>
    <d v="2016-05-09T00:00:00"/>
    <x v="2"/>
    <x v="62"/>
    <x v="0"/>
    <n v="0"/>
    <x v="1"/>
    <n v="0"/>
    <n v="0"/>
    <n v="0"/>
    <x v="1"/>
    <x v="1"/>
    <n v="1"/>
  </r>
  <r>
    <n v="758827000000000"/>
    <x v="0"/>
    <x v="77"/>
    <x v="4"/>
    <s v="JARDIM DA PENHA"/>
    <d v="2016-04-06T00:00:00"/>
    <d v="2016-05-02T00:00:00"/>
    <x v="2"/>
    <x v="68"/>
    <x v="1"/>
    <n v="0"/>
    <x v="1"/>
    <n v="0"/>
    <n v="0"/>
    <n v="0"/>
    <x v="0"/>
    <x v="1"/>
    <n v="1"/>
  </r>
  <r>
    <n v="4716580000000"/>
    <x v="0"/>
    <x v="54"/>
    <x v="1"/>
    <s v="MARUIPE"/>
    <d v="2016-04-06T00:00:00"/>
    <d v="2016-05-12T00:00:00"/>
    <x v="3"/>
    <x v="55"/>
    <x v="0"/>
    <n v="0"/>
    <x v="1"/>
    <n v="0"/>
    <n v="0"/>
    <n v="0"/>
    <x v="0"/>
    <x v="0"/>
    <n v="0"/>
  </r>
  <r>
    <n v="459984000000000"/>
    <x v="0"/>
    <x v="83"/>
    <x v="0"/>
    <s v="JARDIM CAMBURI"/>
    <d v="2016-04-06T00:00:00"/>
    <d v="2016-05-25T00:00:00"/>
    <x v="1"/>
    <x v="43"/>
    <x v="0"/>
    <n v="0"/>
    <x v="1"/>
    <n v="0"/>
    <n v="0"/>
    <n v="0"/>
    <x v="0"/>
    <x v="0"/>
    <n v="0"/>
  </r>
  <r>
    <n v="45264200000000"/>
    <x v="0"/>
    <x v="47"/>
    <x v="4"/>
    <s v="ROMAO"/>
    <d v="2016-04-06T00:00:00"/>
    <d v="2016-05-06T00:00:00"/>
    <x v="0"/>
    <x v="60"/>
    <x v="1"/>
    <n v="0"/>
    <x v="1"/>
    <n v="0"/>
    <n v="0"/>
    <n v="0"/>
    <x v="0"/>
    <x v="1"/>
    <n v="1"/>
  </r>
  <r>
    <n v="85773500000000"/>
    <x v="0"/>
    <x v="1"/>
    <x v="0"/>
    <s v="MARIA ORTIZ"/>
    <d v="2016-04-06T00:00:00"/>
    <d v="2016-05-10T00:00:00"/>
    <x v="4"/>
    <x v="58"/>
    <x v="0"/>
    <n v="0"/>
    <x v="1"/>
    <n v="0"/>
    <n v="0"/>
    <n v="0"/>
    <x v="0"/>
    <x v="1"/>
    <n v="1"/>
  </r>
  <r>
    <n v="79442800000000"/>
    <x v="0"/>
    <x v="37"/>
    <x v="3"/>
    <s v="MONTE BELO"/>
    <d v="2016-04-06T00:00:00"/>
    <d v="2016-06-08T00:00:00"/>
    <x v="1"/>
    <x v="16"/>
    <x v="0"/>
    <n v="0"/>
    <x v="1"/>
    <n v="0"/>
    <n v="0"/>
    <n v="0"/>
    <x v="1"/>
    <x v="0"/>
    <n v="0"/>
  </r>
  <r>
    <n v="1189380000000"/>
    <x v="0"/>
    <x v="15"/>
    <x v="3"/>
    <s v="MARUIPE"/>
    <d v="2016-04-06T00:00:00"/>
    <d v="2016-05-10T00:00:00"/>
    <x v="4"/>
    <x v="58"/>
    <x v="0"/>
    <n v="0"/>
    <x v="1"/>
    <n v="0"/>
    <n v="0"/>
    <n v="0"/>
    <x v="0"/>
    <x v="0"/>
    <n v="0"/>
  </r>
  <r>
    <n v="14581400000000"/>
    <x v="0"/>
    <x v="21"/>
    <x v="1"/>
    <s v="REDENCAO"/>
    <d v="2016-04-06T00:00:00"/>
    <d v="2016-05-10T00:00:00"/>
    <x v="4"/>
    <x v="58"/>
    <x v="0"/>
    <n v="0"/>
    <x v="0"/>
    <n v="0"/>
    <n v="0"/>
    <n v="0"/>
    <x v="0"/>
    <x v="1"/>
    <n v="1"/>
  </r>
  <r>
    <n v="8377570000000"/>
    <x v="0"/>
    <x v="40"/>
    <x v="1"/>
    <s v="ILHA DE SANTA MARIA"/>
    <d v="2016-04-06T00:00:00"/>
    <d v="2016-05-05T00:00:00"/>
    <x v="3"/>
    <x v="63"/>
    <x v="1"/>
    <n v="0"/>
    <x v="1"/>
    <n v="0"/>
    <n v="0"/>
    <n v="0"/>
    <x v="0"/>
    <x v="1"/>
    <n v="1"/>
  </r>
  <r>
    <n v="7841640000000"/>
    <x v="0"/>
    <x v="65"/>
    <x v="2"/>
    <s v="JESUS DE NAZARETH"/>
    <d v="2016-04-06T00:00:00"/>
    <d v="2016-05-03T00:00:00"/>
    <x v="4"/>
    <x v="65"/>
    <x v="1"/>
    <n v="0"/>
    <x v="1"/>
    <n v="0"/>
    <n v="0"/>
    <n v="0"/>
    <x v="0"/>
    <x v="0"/>
    <n v="0"/>
  </r>
  <r>
    <n v="9246920000000"/>
    <x v="1"/>
    <x v="19"/>
    <x v="2"/>
    <s v="MARIA ORTIZ"/>
    <d v="2016-04-06T00:00:00"/>
    <d v="2016-05-11T00:00:00"/>
    <x v="1"/>
    <x v="59"/>
    <x v="0"/>
    <n v="0"/>
    <x v="1"/>
    <n v="0"/>
    <n v="0"/>
    <n v="0"/>
    <x v="0"/>
    <x v="1"/>
    <n v="1"/>
  </r>
  <r>
    <n v="26748483438"/>
    <x v="1"/>
    <x v="16"/>
    <x v="1"/>
    <s v="MARIA ORTIZ"/>
    <d v="2016-04-06T00:00:00"/>
    <d v="2016-05-10T00:00:00"/>
    <x v="4"/>
    <x v="58"/>
    <x v="0"/>
    <n v="0"/>
    <x v="1"/>
    <n v="0"/>
    <n v="0"/>
    <n v="0"/>
    <x v="1"/>
    <x v="1"/>
    <n v="1"/>
  </r>
  <r>
    <n v="24329800000000"/>
    <x v="0"/>
    <x v="65"/>
    <x v="2"/>
    <s v="JABOUR"/>
    <d v="2016-04-06T00:00:00"/>
    <d v="2016-05-05T00:00:00"/>
    <x v="3"/>
    <x v="63"/>
    <x v="1"/>
    <n v="0"/>
    <x v="1"/>
    <n v="0"/>
    <n v="0"/>
    <n v="0"/>
    <x v="0"/>
    <x v="0"/>
    <n v="0"/>
  </r>
  <r>
    <n v="39885900000000"/>
    <x v="0"/>
    <x v="49"/>
    <x v="4"/>
    <s v="MARIA ORTIZ"/>
    <d v="2016-04-06T00:00:00"/>
    <d v="2016-05-12T00:00:00"/>
    <x v="3"/>
    <x v="55"/>
    <x v="0"/>
    <n v="0"/>
    <x v="1"/>
    <n v="0"/>
    <n v="0"/>
    <n v="0"/>
    <x v="0"/>
    <x v="1"/>
    <n v="1"/>
  </r>
  <r>
    <n v="32570000000000"/>
    <x v="1"/>
    <x v="9"/>
    <x v="0"/>
    <s v="JARDIM CAMBURI"/>
    <d v="2016-04-06T00:00:00"/>
    <d v="2016-05-05T00:00:00"/>
    <x v="3"/>
    <x v="63"/>
    <x v="1"/>
    <n v="0"/>
    <x v="1"/>
    <n v="0"/>
    <n v="0"/>
    <n v="0"/>
    <x v="0"/>
    <x v="0"/>
    <n v="0"/>
  </r>
  <r>
    <n v="67144900000000"/>
    <x v="1"/>
    <x v="27"/>
    <x v="3"/>
    <s v="SOLON BORGES"/>
    <d v="2016-04-06T00:00:00"/>
    <d v="2016-04-29T00:00:00"/>
    <x v="0"/>
    <x v="67"/>
    <x v="1"/>
    <n v="0"/>
    <x v="1"/>
    <n v="0"/>
    <n v="0"/>
    <n v="0"/>
    <x v="1"/>
    <x v="0"/>
    <n v="0"/>
  </r>
  <r>
    <n v="926485000000000"/>
    <x v="0"/>
    <x v="69"/>
    <x v="4"/>
    <s v="JARDIM CAMBURI"/>
    <d v="2016-04-06T00:00:00"/>
    <d v="2016-05-04T00:00:00"/>
    <x v="1"/>
    <x v="64"/>
    <x v="1"/>
    <n v="0"/>
    <x v="1"/>
    <n v="0"/>
    <n v="0"/>
    <n v="0"/>
    <x v="0"/>
    <x v="0"/>
    <n v="0"/>
  </r>
  <r>
    <n v="7352540000000"/>
    <x v="1"/>
    <x v="41"/>
    <x v="4"/>
    <s v="JARDIM DA PENHA"/>
    <d v="2016-04-06T00:00:00"/>
    <d v="2016-05-03T00:00:00"/>
    <x v="4"/>
    <x v="65"/>
    <x v="1"/>
    <n v="0"/>
    <x v="0"/>
    <n v="0"/>
    <n v="0"/>
    <n v="0"/>
    <x v="0"/>
    <x v="0"/>
    <n v="0"/>
  </r>
  <r>
    <n v="67858900000000"/>
    <x v="0"/>
    <x v="33"/>
    <x v="4"/>
    <s v="RESISTENCIA"/>
    <d v="2016-04-07T00:00:00"/>
    <d v="2016-05-17T00:00:00"/>
    <x v="4"/>
    <x v="69"/>
    <x v="0"/>
    <n v="0"/>
    <x v="1"/>
    <n v="0"/>
    <n v="0"/>
    <n v="0"/>
    <x v="1"/>
    <x v="1"/>
    <n v="1"/>
  </r>
  <r>
    <n v="412599000000000"/>
    <x v="0"/>
    <x v="61"/>
    <x v="1"/>
    <s v="JABOUR"/>
    <d v="2016-04-07T00:00:00"/>
    <d v="2016-05-03T00:00:00"/>
    <x v="4"/>
    <x v="68"/>
    <x v="1"/>
    <n v="0"/>
    <x v="1"/>
    <n v="0"/>
    <n v="0"/>
    <n v="0"/>
    <x v="0"/>
    <x v="1"/>
    <n v="1"/>
  </r>
  <r>
    <n v="48964900000000"/>
    <x v="0"/>
    <x v="84"/>
    <x v="1"/>
    <s v="MONTE BELO"/>
    <d v="2016-04-07T00:00:00"/>
    <d v="2016-05-03T00:00:00"/>
    <x v="4"/>
    <x v="68"/>
    <x v="1"/>
    <n v="0"/>
    <x v="1"/>
    <n v="0"/>
    <n v="0"/>
    <n v="0"/>
    <x v="0"/>
    <x v="1"/>
    <n v="1"/>
  </r>
  <r>
    <n v="1559616249"/>
    <x v="1"/>
    <x v="72"/>
    <x v="5"/>
    <s v="SANTOS DUMONT"/>
    <d v="2016-04-07T00:00:00"/>
    <d v="2016-05-03T00:00:00"/>
    <x v="4"/>
    <x v="68"/>
    <x v="1"/>
    <n v="0"/>
    <x v="1"/>
    <n v="0"/>
    <n v="0"/>
    <n v="0"/>
    <x v="0"/>
    <x v="0"/>
    <n v="0"/>
  </r>
  <r>
    <n v="94242737547"/>
    <x v="0"/>
    <x v="43"/>
    <x v="2"/>
    <s v="CRUZAMENTO"/>
    <d v="2016-04-07T00:00:00"/>
    <d v="2016-05-20T00:00:00"/>
    <x v="0"/>
    <x v="47"/>
    <x v="0"/>
    <n v="0"/>
    <x v="1"/>
    <n v="0"/>
    <n v="0"/>
    <n v="0"/>
    <x v="1"/>
    <x v="1"/>
    <n v="1"/>
  </r>
  <r>
    <n v="9939890000000"/>
    <x v="0"/>
    <x v="40"/>
    <x v="1"/>
    <s v="JABOUR"/>
    <d v="2016-04-07T00:00:00"/>
    <d v="2016-05-05T00:00:00"/>
    <x v="3"/>
    <x v="64"/>
    <x v="1"/>
    <n v="0"/>
    <x v="1"/>
    <n v="0"/>
    <n v="0"/>
    <n v="0"/>
    <x v="1"/>
    <x v="0"/>
    <n v="0"/>
  </r>
  <r>
    <n v="838343000000"/>
    <x v="0"/>
    <x v="85"/>
    <x v="0"/>
    <s v="MARIA ORTIZ"/>
    <d v="2016-04-07T00:00:00"/>
    <d v="2016-05-10T00:00:00"/>
    <x v="4"/>
    <x v="62"/>
    <x v="0"/>
    <n v="0"/>
    <x v="1"/>
    <n v="0"/>
    <n v="0"/>
    <n v="0"/>
    <x v="0"/>
    <x v="0"/>
    <n v="0"/>
  </r>
  <r>
    <n v="247153000000"/>
    <x v="0"/>
    <x v="44"/>
    <x v="4"/>
    <s v="MARIA ORTIZ"/>
    <d v="2016-04-07T00:00:00"/>
    <d v="2016-05-05T00:00:00"/>
    <x v="3"/>
    <x v="64"/>
    <x v="1"/>
    <n v="0"/>
    <x v="1"/>
    <n v="0"/>
    <n v="0"/>
    <n v="0"/>
    <x v="0"/>
    <x v="0"/>
    <n v="0"/>
  </r>
  <r>
    <n v="65676500000000"/>
    <x v="0"/>
    <x v="62"/>
    <x v="3"/>
    <s v="JABOUR"/>
    <d v="2016-04-07T00:00:00"/>
    <d v="2016-05-02T00:00:00"/>
    <x v="2"/>
    <x v="70"/>
    <x v="1"/>
    <n v="0"/>
    <x v="1"/>
    <n v="0"/>
    <n v="0"/>
    <n v="0"/>
    <x v="0"/>
    <x v="0"/>
    <n v="0"/>
  </r>
  <r>
    <n v="41627300000000"/>
    <x v="0"/>
    <x v="38"/>
    <x v="4"/>
    <s v="SANTA MARTHA"/>
    <d v="2016-04-07T00:00:00"/>
    <d v="2016-05-05T00:00:00"/>
    <x v="3"/>
    <x v="64"/>
    <x v="1"/>
    <n v="0"/>
    <x v="1"/>
    <n v="0"/>
    <n v="0"/>
    <n v="0"/>
    <x v="0"/>
    <x v="0"/>
    <n v="0"/>
  </r>
  <r>
    <n v="2224900000000"/>
    <x v="1"/>
    <x v="23"/>
    <x v="3"/>
    <s v="JARDIM DA PENHA"/>
    <d v="2016-04-07T00:00:00"/>
    <d v="2016-05-05T00:00:00"/>
    <x v="3"/>
    <x v="64"/>
    <x v="1"/>
    <n v="0"/>
    <x v="1"/>
    <n v="0"/>
    <n v="0"/>
    <n v="0"/>
    <x v="0"/>
    <x v="1"/>
    <n v="1"/>
  </r>
  <r>
    <n v="875695000000000"/>
    <x v="0"/>
    <x v="46"/>
    <x v="2"/>
    <s v="JARDIM DA PENHA"/>
    <d v="2016-04-07T00:00:00"/>
    <d v="2016-05-05T00:00:00"/>
    <x v="3"/>
    <x v="64"/>
    <x v="1"/>
    <n v="0"/>
    <x v="1"/>
    <n v="0"/>
    <n v="0"/>
    <n v="0"/>
    <x v="1"/>
    <x v="0"/>
    <n v="0"/>
  </r>
  <r>
    <n v="28279000000000"/>
    <x v="0"/>
    <x v="4"/>
    <x v="2"/>
    <s v="ILHA DE SANTA MARIA"/>
    <d v="2016-04-07T00:00:00"/>
    <d v="2016-05-10T00:00:00"/>
    <x v="4"/>
    <x v="62"/>
    <x v="0"/>
    <n v="0"/>
    <x v="1"/>
    <n v="0"/>
    <n v="0"/>
    <n v="0"/>
    <x v="1"/>
    <x v="1"/>
    <n v="1"/>
  </r>
  <r>
    <n v="52413500000000"/>
    <x v="0"/>
    <x v="4"/>
    <x v="2"/>
    <s v="ILHA DE SANTA MARIA"/>
    <d v="2016-04-07T00:00:00"/>
    <d v="2016-05-11T00:00:00"/>
    <x v="1"/>
    <x v="58"/>
    <x v="0"/>
    <n v="0"/>
    <x v="1"/>
    <n v="0"/>
    <n v="0"/>
    <n v="0"/>
    <x v="0"/>
    <x v="1"/>
    <n v="1"/>
  </r>
  <r>
    <n v="21755500000000"/>
    <x v="1"/>
    <x v="57"/>
    <x v="2"/>
    <s v="RESISTENCIA"/>
    <d v="2016-04-07T00:00:00"/>
    <d v="2016-05-24T00:00:00"/>
    <x v="4"/>
    <x v="61"/>
    <x v="0"/>
    <n v="0"/>
    <x v="1"/>
    <n v="0"/>
    <n v="0"/>
    <n v="0"/>
    <x v="1"/>
    <x v="1"/>
    <n v="1"/>
  </r>
  <r>
    <n v="216644000000000"/>
    <x v="0"/>
    <x v="23"/>
    <x v="3"/>
    <s v="BONFIM"/>
    <d v="2016-04-07T00:00:00"/>
    <d v="2016-05-05T00:00:00"/>
    <x v="3"/>
    <x v="64"/>
    <x v="1"/>
    <n v="0"/>
    <x v="1"/>
    <n v="0"/>
    <n v="0"/>
    <n v="0"/>
    <x v="0"/>
    <x v="0"/>
    <n v="0"/>
  </r>
  <r>
    <n v="815773000000"/>
    <x v="0"/>
    <x v="68"/>
    <x v="4"/>
    <s v="SANTA MARTHA"/>
    <d v="2016-04-07T00:00:00"/>
    <d v="2016-05-10T00:00:00"/>
    <x v="4"/>
    <x v="62"/>
    <x v="0"/>
    <n v="0"/>
    <x v="1"/>
    <n v="0"/>
    <n v="0"/>
    <n v="0"/>
    <x v="0"/>
    <x v="0"/>
    <n v="0"/>
  </r>
  <r>
    <n v="942480000000000"/>
    <x v="0"/>
    <x v="21"/>
    <x v="1"/>
    <s v="MARIA ORTIZ"/>
    <d v="2016-04-07T00:00:00"/>
    <d v="2016-05-10T00:00:00"/>
    <x v="4"/>
    <x v="62"/>
    <x v="0"/>
    <n v="0"/>
    <x v="1"/>
    <n v="0"/>
    <n v="0"/>
    <n v="0"/>
    <x v="0"/>
    <x v="0"/>
    <n v="0"/>
  </r>
  <r>
    <n v="14654300000000"/>
    <x v="0"/>
    <x v="80"/>
    <x v="2"/>
    <s v="ANTONIO HONORIO"/>
    <d v="2016-04-07T00:00:00"/>
    <d v="2016-05-12T00:00:00"/>
    <x v="3"/>
    <x v="59"/>
    <x v="0"/>
    <n v="0"/>
    <x v="1"/>
    <n v="0"/>
    <n v="0"/>
    <n v="0"/>
    <x v="0"/>
    <x v="0"/>
    <n v="0"/>
  </r>
  <r>
    <n v="478334000000"/>
    <x v="1"/>
    <x v="60"/>
    <x v="2"/>
    <s v="CRUZAMENTO"/>
    <d v="2016-04-07T00:00:00"/>
    <d v="2016-05-11T00:00:00"/>
    <x v="1"/>
    <x v="58"/>
    <x v="0"/>
    <n v="0"/>
    <x v="1"/>
    <n v="0"/>
    <n v="0"/>
    <n v="0"/>
    <x v="0"/>
    <x v="0"/>
    <n v="0"/>
  </r>
  <r>
    <n v="29586200000000"/>
    <x v="0"/>
    <x v="53"/>
    <x v="0"/>
    <s v="CARATOIRA"/>
    <d v="2016-04-07T00:00:00"/>
    <d v="2016-05-10T00:00:00"/>
    <x v="4"/>
    <x v="62"/>
    <x v="0"/>
    <n v="0"/>
    <x v="0"/>
    <n v="0"/>
    <n v="0"/>
    <n v="0"/>
    <x v="0"/>
    <x v="1"/>
    <n v="1"/>
  </r>
  <r>
    <n v="64954100000000"/>
    <x v="0"/>
    <x v="4"/>
    <x v="2"/>
    <s v="JARDIM CAMBURI"/>
    <d v="2016-04-07T00:00:00"/>
    <d v="2016-06-02T00:00:00"/>
    <x v="3"/>
    <x v="36"/>
    <x v="0"/>
    <n v="0"/>
    <x v="1"/>
    <n v="0"/>
    <n v="0"/>
    <n v="0"/>
    <x v="0"/>
    <x v="1"/>
    <n v="1"/>
  </r>
  <r>
    <n v="25176000000000"/>
    <x v="0"/>
    <x v="79"/>
    <x v="5"/>
    <s v="MARIA ORTIZ"/>
    <d v="2016-04-07T00:00:00"/>
    <d v="2016-05-12T00:00:00"/>
    <x v="3"/>
    <x v="59"/>
    <x v="0"/>
    <n v="0"/>
    <x v="1"/>
    <n v="0"/>
    <n v="0"/>
    <n v="0"/>
    <x v="0"/>
    <x v="1"/>
    <n v="1"/>
  </r>
  <r>
    <n v="27394900000000"/>
    <x v="0"/>
    <x v="46"/>
    <x v="2"/>
    <s v="RESISTENCIA"/>
    <d v="2016-04-07T00:00:00"/>
    <d v="2016-06-06T00:00:00"/>
    <x v="2"/>
    <x v="18"/>
    <x v="0"/>
    <n v="0"/>
    <x v="1"/>
    <n v="0"/>
    <n v="0"/>
    <n v="0"/>
    <x v="0"/>
    <x v="0"/>
    <n v="0"/>
  </r>
  <r>
    <n v="5758290000000"/>
    <x v="0"/>
    <x v="39"/>
    <x v="4"/>
    <s v="SANTA MARTHA"/>
    <d v="2016-04-07T00:00:00"/>
    <d v="2016-05-05T00:00:00"/>
    <x v="3"/>
    <x v="64"/>
    <x v="1"/>
    <n v="0"/>
    <x v="1"/>
    <n v="0"/>
    <n v="1"/>
    <n v="0"/>
    <x v="1"/>
    <x v="1"/>
    <n v="1"/>
  </r>
  <r>
    <n v="711694000000000"/>
    <x v="0"/>
    <x v="21"/>
    <x v="1"/>
    <s v="SANTA MARTHA"/>
    <d v="2016-04-07T00:00:00"/>
    <d v="2016-05-10T00:00:00"/>
    <x v="4"/>
    <x v="62"/>
    <x v="0"/>
    <n v="0"/>
    <x v="1"/>
    <n v="0"/>
    <n v="1"/>
    <n v="0"/>
    <x v="1"/>
    <x v="1"/>
    <n v="1"/>
  </r>
  <r>
    <n v="17658300000000"/>
    <x v="1"/>
    <x v="66"/>
    <x v="2"/>
    <s v="DO QUADRO"/>
    <d v="2016-04-07T00:00:00"/>
    <d v="2016-05-13T00:00:00"/>
    <x v="0"/>
    <x v="55"/>
    <x v="0"/>
    <n v="0"/>
    <x v="1"/>
    <n v="0"/>
    <n v="0"/>
    <n v="0"/>
    <x v="1"/>
    <x v="0"/>
    <n v="0"/>
  </r>
  <r>
    <n v="8663660000000"/>
    <x v="0"/>
    <x v="27"/>
    <x v="3"/>
    <s v="JESUS DE NAZARETH"/>
    <d v="2016-04-07T00:00:00"/>
    <d v="2016-05-02T00:00:00"/>
    <x v="2"/>
    <x v="70"/>
    <x v="1"/>
    <n v="0"/>
    <x v="0"/>
    <n v="0"/>
    <n v="0"/>
    <n v="0"/>
    <x v="0"/>
    <x v="1"/>
    <n v="1"/>
  </r>
  <r>
    <n v="816425000000"/>
    <x v="0"/>
    <x v="54"/>
    <x v="1"/>
    <s v="PRAIA DO SUA"/>
    <d v="2016-04-07T00:00:00"/>
    <d v="2016-04-29T00:00:00"/>
    <x v="0"/>
    <x v="71"/>
    <x v="1"/>
    <n v="0"/>
    <x v="1"/>
    <n v="0"/>
    <n v="0"/>
    <n v="0"/>
    <x v="0"/>
    <x v="0"/>
    <n v="0"/>
  </r>
  <r>
    <n v="7288180000000"/>
    <x v="1"/>
    <x v="33"/>
    <x v="4"/>
    <s v="JESUS DE NAZARETH"/>
    <d v="2016-04-07T00:00:00"/>
    <d v="2016-05-05T00:00:00"/>
    <x v="3"/>
    <x v="64"/>
    <x v="1"/>
    <n v="0"/>
    <x v="1"/>
    <n v="0"/>
    <n v="0"/>
    <n v="0"/>
    <x v="0"/>
    <x v="0"/>
    <n v="0"/>
  </r>
  <r>
    <n v="2438370000000"/>
    <x v="0"/>
    <x v="10"/>
    <x v="4"/>
    <s v="NOVA PALESTINA"/>
    <d v="2016-04-07T00:00:00"/>
    <d v="2016-05-12T00:00:00"/>
    <x v="3"/>
    <x v="59"/>
    <x v="0"/>
    <n v="0"/>
    <x v="1"/>
    <n v="0"/>
    <n v="0"/>
    <n v="0"/>
    <x v="0"/>
    <x v="1"/>
    <n v="1"/>
  </r>
  <r>
    <n v="333369000000000"/>
    <x v="1"/>
    <x v="32"/>
    <x v="4"/>
    <s v="MARIA ORTIZ"/>
    <d v="2016-04-07T00:00:00"/>
    <d v="2016-05-09T00:00:00"/>
    <x v="2"/>
    <x v="54"/>
    <x v="0"/>
    <n v="0"/>
    <x v="1"/>
    <n v="0"/>
    <n v="0"/>
    <n v="0"/>
    <x v="1"/>
    <x v="1"/>
    <n v="1"/>
  </r>
  <r>
    <n v="1283690000000"/>
    <x v="0"/>
    <x v="59"/>
    <x v="2"/>
    <s v="BONFIM"/>
    <d v="2016-04-07T00:00:00"/>
    <d v="2016-05-02T00:00:00"/>
    <x v="2"/>
    <x v="70"/>
    <x v="1"/>
    <n v="0"/>
    <x v="1"/>
    <n v="0"/>
    <n v="0"/>
    <n v="0"/>
    <x v="1"/>
    <x v="1"/>
    <n v="1"/>
  </r>
  <r>
    <n v="95379800000000"/>
    <x v="0"/>
    <x v="15"/>
    <x v="3"/>
    <s v="ILHA DE SANTA MARIA"/>
    <d v="2016-04-07T00:00:00"/>
    <d v="2016-05-25T00:00:00"/>
    <x v="1"/>
    <x v="46"/>
    <x v="0"/>
    <n v="0"/>
    <x v="1"/>
    <n v="0"/>
    <n v="0"/>
    <n v="0"/>
    <x v="0"/>
    <x v="0"/>
    <n v="0"/>
  </r>
  <r>
    <n v="737464000000"/>
    <x v="0"/>
    <x v="37"/>
    <x v="3"/>
    <s v="ANDORINHAS"/>
    <d v="2016-04-07T00:00:00"/>
    <d v="2016-04-29T00:00:00"/>
    <x v="0"/>
    <x v="71"/>
    <x v="1"/>
    <n v="0"/>
    <x v="1"/>
    <n v="0"/>
    <n v="0"/>
    <n v="0"/>
    <x v="0"/>
    <x v="0"/>
    <n v="0"/>
  </r>
  <r>
    <n v="5777390000000"/>
    <x v="0"/>
    <x v="68"/>
    <x v="4"/>
    <s v="ITARARE"/>
    <d v="2016-04-07T00:00:00"/>
    <d v="2016-05-04T00:00:00"/>
    <x v="1"/>
    <x v="65"/>
    <x v="1"/>
    <n v="0"/>
    <x v="1"/>
    <n v="0"/>
    <n v="0"/>
    <n v="0"/>
    <x v="0"/>
    <x v="0"/>
    <n v="0"/>
  </r>
  <r>
    <n v="4547340000000"/>
    <x v="1"/>
    <x v="75"/>
    <x v="5"/>
    <s v="MARIA ORTIZ"/>
    <d v="2016-04-07T00:00:00"/>
    <d v="2016-05-12T00:00:00"/>
    <x v="3"/>
    <x v="59"/>
    <x v="0"/>
    <n v="0"/>
    <x v="1"/>
    <n v="0"/>
    <n v="0"/>
    <n v="0"/>
    <x v="0"/>
    <x v="0"/>
    <n v="0"/>
  </r>
  <r>
    <n v="67463500000000"/>
    <x v="0"/>
    <x v="72"/>
    <x v="5"/>
    <s v="MARIA ORTIZ"/>
    <d v="2016-04-07T00:00:00"/>
    <d v="2016-05-12T00:00:00"/>
    <x v="3"/>
    <x v="59"/>
    <x v="0"/>
    <n v="0"/>
    <x v="1"/>
    <n v="0"/>
    <n v="0"/>
    <n v="0"/>
    <x v="0"/>
    <x v="1"/>
    <n v="1"/>
  </r>
  <r>
    <n v="67634700000000"/>
    <x v="1"/>
    <x v="53"/>
    <x v="0"/>
    <s v="MARIA ORTIZ"/>
    <d v="2016-04-08T00:00:00"/>
    <d v="2016-05-12T00:00:00"/>
    <x v="3"/>
    <x v="58"/>
    <x v="0"/>
    <n v="0"/>
    <x v="1"/>
    <n v="0"/>
    <n v="0"/>
    <n v="0"/>
    <x v="0"/>
    <x v="0"/>
    <n v="0"/>
  </r>
  <r>
    <n v="17539400000000"/>
    <x v="0"/>
    <x v="39"/>
    <x v="4"/>
    <s v="ROMAO"/>
    <d v="2016-04-08T00:00:00"/>
    <d v="2016-05-11T00:00:00"/>
    <x v="1"/>
    <x v="62"/>
    <x v="0"/>
    <n v="1"/>
    <x v="1"/>
    <n v="0"/>
    <n v="0"/>
    <n v="0"/>
    <x v="0"/>
    <x v="1"/>
    <n v="1"/>
  </r>
  <r>
    <n v="941486000000000"/>
    <x v="0"/>
    <x v="31"/>
    <x v="1"/>
    <s v="ROMAO"/>
    <d v="2016-04-08T00:00:00"/>
    <d v="2016-05-19T00:00:00"/>
    <x v="3"/>
    <x v="51"/>
    <x v="0"/>
    <n v="0"/>
    <x v="1"/>
    <n v="0"/>
    <n v="0"/>
    <n v="0"/>
    <x v="1"/>
    <x v="0"/>
    <n v="0"/>
  </r>
  <r>
    <n v="62143100000000"/>
    <x v="1"/>
    <x v="54"/>
    <x v="1"/>
    <s v="JOANA D ARC"/>
    <d v="2016-04-08T00:00:00"/>
    <d v="2016-05-30T00:00:00"/>
    <x v="2"/>
    <x v="72"/>
    <x v="0"/>
    <n v="0"/>
    <x v="1"/>
    <n v="0"/>
    <n v="0"/>
    <n v="0"/>
    <x v="0"/>
    <x v="0"/>
    <n v="0"/>
  </r>
  <r>
    <n v="4445140000000"/>
    <x v="0"/>
    <x v="28"/>
    <x v="3"/>
    <s v="RESISTENCIA"/>
    <d v="2016-04-08T00:00:00"/>
    <d v="2016-05-11T00:00:00"/>
    <x v="1"/>
    <x v="62"/>
    <x v="0"/>
    <n v="0"/>
    <x v="0"/>
    <n v="0"/>
    <n v="0"/>
    <n v="0"/>
    <x v="0"/>
    <x v="0"/>
    <n v="0"/>
  </r>
  <r>
    <n v="758819000000000"/>
    <x v="0"/>
    <x v="1"/>
    <x v="0"/>
    <s v="JABOUR"/>
    <d v="2016-04-08T00:00:00"/>
    <d v="2016-05-10T00:00:00"/>
    <x v="4"/>
    <x v="54"/>
    <x v="0"/>
    <n v="0"/>
    <x v="1"/>
    <n v="0"/>
    <n v="0"/>
    <n v="0"/>
    <x v="0"/>
    <x v="0"/>
    <n v="0"/>
  </r>
  <r>
    <n v="7611590000000"/>
    <x v="1"/>
    <x v="41"/>
    <x v="4"/>
    <s v="PRAIA DO SUA"/>
    <d v="2016-04-08T00:00:00"/>
    <d v="2016-04-29T00:00:00"/>
    <x v="0"/>
    <x v="73"/>
    <x v="1"/>
    <n v="0"/>
    <x v="1"/>
    <n v="0"/>
    <n v="0"/>
    <n v="0"/>
    <x v="0"/>
    <x v="1"/>
    <n v="1"/>
  </r>
  <r>
    <n v="588686000000"/>
    <x v="0"/>
    <x v="57"/>
    <x v="2"/>
    <s v="SANTOS REIS"/>
    <d v="2016-04-08T00:00:00"/>
    <d v="2016-04-29T00:00:00"/>
    <x v="0"/>
    <x v="73"/>
    <x v="1"/>
    <n v="0"/>
    <x v="1"/>
    <n v="0"/>
    <n v="0"/>
    <n v="0"/>
    <x v="0"/>
    <x v="0"/>
    <n v="0"/>
  </r>
  <r>
    <n v="216876000000000"/>
    <x v="0"/>
    <x v="44"/>
    <x v="4"/>
    <s v="RESISTENCIA"/>
    <d v="2016-04-08T00:00:00"/>
    <d v="2016-05-06T00:00:00"/>
    <x v="0"/>
    <x v="64"/>
    <x v="1"/>
    <n v="0"/>
    <x v="1"/>
    <n v="0"/>
    <n v="0"/>
    <n v="0"/>
    <x v="1"/>
    <x v="1"/>
    <n v="1"/>
  </r>
  <r>
    <n v="216876000000000"/>
    <x v="0"/>
    <x v="44"/>
    <x v="4"/>
    <s v="RESISTENCIA"/>
    <d v="2016-04-08T00:00:00"/>
    <d v="2016-05-13T00:00:00"/>
    <x v="0"/>
    <x v="59"/>
    <x v="0"/>
    <n v="0"/>
    <x v="1"/>
    <n v="0"/>
    <n v="0"/>
    <n v="0"/>
    <x v="1"/>
    <x v="1"/>
    <n v="1"/>
  </r>
  <r>
    <n v="74632700000000"/>
    <x v="1"/>
    <x v="44"/>
    <x v="4"/>
    <s v="ILHA DE SANTA MARIA"/>
    <d v="2016-04-08T00:00:00"/>
    <d v="2016-05-13T00:00:00"/>
    <x v="0"/>
    <x v="59"/>
    <x v="0"/>
    <n v="0"/>
    <x v="1"/>
    <n v="0"/>
    <n v="0"/>
    <n v="0"/>
    <x v="1"/>
    <x v="1"/>
    <n v="1"/>
  </r>
  <r>
    <n v="44542900000000"/>
    <x v="0"/>
    <x v="46"/>
    <x v="2"/>
    <s v="SANTOS DUMONT"/>
    <d v="2016-04-08T00:00:00"/>
    <d v="2016-05-10T00:00:00"/>
    <x v="4"/>
    <x v="54"/>
    <x v="0"/>
    <n v="0"/>
    <x v="1"/>
    <n v="0"/>
    <n v="0"/>
    <n v="0"/>
    <x v="0"/>
    <x v="0"/>
    <n v="0"/>
  </r>
  <r>
    <n v="47229400000000"/>
    <x v="0"/>
    <x v="39"/>
    <x v="4"/>
    <s v="RESISTENCIA"/>
    <d v="2016-04-08T00:00:00"/>
    <d v="2016-05-11T00:00:00"/>
    <x v="1"/>
    <x v="62"/>
    <x v="0"/>
    <n v="0"/>
    <x v="1"/>
    <n v="0"/>
    <n v="0"/>
    <n v="0"/>
    <x v="0"/>
    <x v="0"/>
    <n v="0"/>
  </r>
  <r>
    <n v="4224170000000"/>
    <x v="1"/>
    <x v="61"/>
    <x v="1"/>
    <s v="PRAIA DO SUA"/>
    <d v="2016-04-08T00:00:00"/>
    <d v="2016-04-29T00:00:00"/>
    <x v="0"/>
    <x v="73"/>
    <x v="1"/>
    <n v="0"/>
    <x v="0"/>
    <n v="1"/>
    <n v="0"/>
    <n v="0"/>
    <x v="0"/>
    <x v="0"/>
    <n v="0"/>
  </r>
  <r>
    <n v="9624610000000"/>
    <x v="1"/>
    <x v="60"/>
    <x v="2"/>
    <s v="PRAIA DO SUA"/>
    <d v="2016-04-08T00:00:00"/>
    <d v="2016-05-05T00:00:00"/>
    <x v="3"/>
    <x v="65"/>
    <x v="1"/>
    <n v="0"/>
    <x v="1"/>
    <n v="0"/>
    <n v="0"/>
    <n v="0"/>
    <x v="0"/>
    <x v="1"/>
    <n v="1"/>
  </r>
  <r>
    <n v="121323000000000"/>
    <x v="1"/>
    <x v="46"/>
    <x v="2"/>
    <s v="ILHA DAS CAIEIRAS"/>
    <d v="2016-04-08T00:00:00"/>
    <d v="2016-04-29T00:00:00"/>
    <x v="0"/>
    <x v="73"/>
    <x v="1"/>
    <n v="0"/>
    <x v="1"/>
    <n v="0"/>
    <n v="0"/>
    <n v="0"/>
    <x v="0"/>
    <x v="1"/>
    <n v="1"/>
  </r>
  <r>
    <n v="4641580000000"/>
    <x v="0"/>
    <x v="58"/>
    <x v="0"/>
    <s v="FONTE GRANDE"/>
    <d v="2016-04-08T00:00:00"/>
    <d v="2016-04-29T00:00:00"/>
    <x v="0"/>
    <x v="73"/>
    <x v="1"/>
    <n v="0"/>
    <x v="0"/>
    <n v="0"/>
    <n v="0"/>
    <n v="0"/>
    <x v="0"/>
    <x v="0"/>
    <n v="0"/>
  </r>
  <r>
    <n v="277674000000000"/>
    <x v="0"/>
    <x v="19"/>
    <x v="2"/>
    <s v="MARIA ORTIZ"/>
    <d v="2016-04-08T00:00:00"/>
    <d v="2016-05-10T00:00:00"/>
    <x v="4"/>
    <x v="54"/>
    <x v="0"/>
    <n v="0"/>
    <x v="1"/>
    <n v="0"/>
    <n v="0"/>
    <n v="0"/>
    <x v="0"/>
    <x v="1"/>
    <n v="1"/>
  </r>
  <r>
    <n v="53171500000000"/>
    <x v="1"/>
    <x v="8"/>
    <x v="0"/>
    <s v="JARDIM DA PENHA"/>
    <d v="2016-04-08T00:00:00"/>
    <d v="2016-05-03T00:00:00"/>
    <x v="4"/>
    <x v="70"/>
    <x v="1"/>
    <n v="0"/>
    <x v="0"/>
    <n v="0"/>
    <n v="0"/>
    <n v="0"/>
    <x v="0"/>
    <x v="1"/>
    <n v="1"/>
  </r>
  <r>
    <n v="67864000000000"/>
    <x v="1"/>
    <x v="8"/>
    <x v="0"/>
    <s v="JARDIM CAMBURI"/>
    <d v="2016-04-08T00:00:00"/>
    <d v="2016-05-16T00:00:00"/>
    <x v="2"/>
    <x v="52"/>
    <x v="0"/>
    <n v="0"/>
    <x v="1"/>
    <n v="0"/>
    <n v="0"/>
    <n v="0"/>
    <x v="1"/>
    <x v="0"/>
    <n v="0"/>
  </r>
  <r>
    <n v="83684000000000"/>
    <x v="0"/>
    <x v="57"/>
    <x v="2"/>
    <s v="SANTA MARTHA"/>
    <d v="2016-04-08T00:00:00"/>
    <d v="2016-05-06T00:00:00"/>
    <x v="0"/>
    <x v="64"/>
    <x v="1"/>
    <n v="0"/>
    <x v="1"/>
    <n v="0"/>
    <n v="0"/>
    <n v="0"/>
    <x v="0"/>
    <x v="1"/>
    <n v="1"/>
  </r>
  <r>
    <n v="966850000000"/>
    <x v="0"/>
    <x v="81"/>
    <x v="5"/>
    <s v="JESUS DE NAZARETH"/>
    <d v="2016-04-08T00:00:00"/>
    <d v="2016-04-29T00:00:00"/>
    <x v="0"/>
    <x v="73"/>
    <x v="1"/>
    <n v="1"/>
    <x v="1"/>
    <n v="0"/>
    <n v="1"/>
    <n v="0"/>
    <x v="0"/>
    <x v="1"/>
    <n v="1"/>
  </r>
  <r>
    <n v="966850000000"/>
    <x v="0"/>
    <x v="81"/>
    <x v="5"/>
    <s v="JESUS DE NAZARETH"/>
    <d v="2016-04-08T00:00:00"/>
    <d v="2016-05-03T00:00:00"/>
    <x v="4"/>
    <x v="70"/>
    <x v="1"/>
    <n v="1"/>
    <x v="1"/>
    <n v="0"/>
    <n v="1"/>
    <n v="0"/>
    <x v="0"/>
    <x v="1"/>
    <n v="1"/>
  </r>
  <r>
    <n v="671369000000000"/>
    <x v="0"/>
    <x v="39"/>
    <x v="4"/>
    <s v="FORTE SAO JOAO"/>
    <d v="2016-04-08T00:00:00"/>
    <d v="2016-05-12T00:00:00"/>
    <x v="3"/>
    <x v="58"/>
    <x v="0"/>
    <n v="0"/>
    <x v="1"/>
    <n v="0"/>
    <n v="0"/>
    <n v="0"/>
    <x v="0"/>
    <x v="1"/>
    <n v="1"/>
  </r>
  <r>
    <n v="5931960000000"/>
    <x v="1"/>
    <x v="22"/>
    <x v="4"/>
    <s v="FONTE GRANDE"/>
    <d v="2016-04-08T00:00:00"/>
    <d v="2016-04-29T00:00:00"/>
    <x v="0"/>
    <x v="73"/>
    <x v="1"/>
    <n v="1"/>
    <x v="1"/>
    <n v="0"/>
    <n v="0"/>
    <n v="0"/>
    <x v="0"/>
    <x v="1"/>
    <n v="1"/>
  </r>
  <r>
    <n v="56982764159"/>
    <x v="1"/>
    <x v="56"/>
    <x v="1"/>
    <s v="SANTO ANDRE"/>
    <d v="2016-04-08T00:00:00"/>
    <d v="2016-05-06T00:00:00"/>
    <x v="0"/>
    <x v="64"/>
    <x v="1"/>
    <n v="0"/>
    <x v="1"/>
    <n v="0"/>
    <n v="0"/>
    <n v="0"/>
    <x v="0"/>
    <x v="0"/>
    <n v="0"/>
  </r>
  <r>
    <n v="59333852786"/>
    <x v="0"/>
    <x v="60"/>
    <x v="2"/>
    <s v="RESISTENCIA"/>
    <d v="2016-04-08T00:00:00"/>
    <d v="2016-05-25T00:00:00"/>
    <x v="1"/>
    <x v="61"/>
    <x v="0"/>
    <n v="0"/>
    <x v="1"/>
    <n v="0"/>
    <n v="0"/>
    <n v="0"/>
    <x v="0"/>
    <x v="1"/>
    <n v="1"/>
  </r>
  <r>
    <n v="67518200000000"/>
    <x v="0"/>
    <x v="68"/>
    <x v="4"/>
    <s v="RESISTENCIA"/>
    <d v="2016-04-08T00:00:00"/>
    <d v="2016-05-06T00:00:00"/>
    <x v="0"/>
    <x v="64"/>
    <x v="1"/>
    <n v="0"/>
    <x v="1"/>
    <n v="0"/>
    <n v="0"/>
    <n v="0"/>
    <x v="0"/>
    <x v="1"/>
    <n v="1"/>
  </r>
  <r>
    <n v="9353770000000"/>
    <x v="0"/>
    <x v="73"/>
    <x v="4"/>
    <s v="NAZARETH"/>
    <d v="2016-04-08T00:00:00"/>
    <d v="2016-05-02T00:00:00"/>
    <x v="2"/>
    <x v="66"/>
    <x v="1"/>
    <n v="0"/>
    <x v="1"/>
    <n v="0"/>
    <n v="0"/>
    <n v="0"/>
    <x v="0"/>
    <x v="0"/>
    <n v="0"/>
  </r>
  <r>
    <n v="751216000000"/>
    <x v="1"/>
    <x v="19"/>
    <x v="2"/>
    <s v="SANTOS DUMONT"/>
    <d v="2016-04-08T00:00:00"/>
    <d v="2016-05-05T00:00:00"/>
    <x v="3"/>
    <x v="65"/>
    <x v="1"/>
    <n v="1"/>
    <x v="1"/>
    <n v="0"/>
    <n v="0"/>
    <n v="0"/>
    <x v="0"/>
    <x v="0"/>
    <n v="0"/>
  </r>
  <r>
    <n v="163152000000000"/>
    <x v="0"/>
    <x v="32"/>
    <x v="4"/>
    <s v="JARDIM CAMBURI"/>
    <d v="2016-04-08T00:00:00"/>
    <d v="2016-05-31T00:00:00"/>
    <x v="4"/>
    <x v="40"/>
    <x v="0"/>
    <n v="0"/>
    <x v="1"/>
    <n v="0"/>
    <n v="0"/>
    <n v="0"/>
    <x v="0"/>
    <x v="0"/>
    <n v="0"/>
  </r>
  <r>
    <n v="47998200000000"/>
    <x v="1"/>
    <x v="38"/>
    <x v="4"/>
    <s v="CRUZAMENTO"/>
    <d v="2016-04-08T00:00:00"/>
    <d v="2016-05-13T00:00:00"/>
    <x v="0"/>
    <x v="59"/>
    <x v="0"/>
    <n v="0"/>
    <x v="1"/>
    <n v="0"/>
    <n v="0"/>
    <n v="0"/>
    <x v="1"/>
    <x v="1"/>
    <n v="1"/>
  </r>
  <r>
    <n v="76138900000000"/>
    <x v="0"/>
    <x v="66"/>
    <x v="2"/>
    <s v="SANTOS DUMONT"/>
    <d v="2016-04-08T00:00:00"/>
    <d v="2016-05-05T00:00:00"/>
    <x v="3"/>
    <x v="65"/>
    <x v="1"/>
    <n v="1"/>
    <x v="1"/>
    <n v="0"/>
    <n v="0"/>
    <n v="0"/>
    <x v="0"/>
    <x v="0"/>
    <n v="0"/>
  </r>
  <r>
    <n v="37151900000000"/>
    <x v="0"/>
    <x v="47"/>
    <x v="4"/>
    <s v="RESISTENCIA"/>
    <d v="2016-04-08T00:00:00"/>
    <d v="2016-05-06T00:00:00"/>
    <x v="0"/>
    <x v="64"/>
    <x v="1"/>
    <n v="0"/>
    <x v="1"/>
    <n v="0"/>
    <n v="0"/>
    <n v="0"/>
    <x v="0"/>
    <x v="0"/>
    <n v="0"/>
  </r>
  <r>
    <n v="8229340000000"/>
    <x v="0"/>
    <x v="69"/>
    <x v="4"/>
    <s v="SOLON BORGES"/>
    <d v="2016-04-08T00:00:00"/>
    <d v="2016-05-06T00:00:00"/>
    <x v="0"/>
    <x v="64"/>
    <x v="1"/>
    <n v="0"/>
    <x v="1"/>
    <n v="0"/>
    <n v="0"/>
    <n v="0"/>
    <x v="0"/>
    <x v="0"/>
    <n v="0"/>
  </r>
  <r>
    <n v="3442390000000"/>
    <x v="0"/>
    <x v="16"/>
    <x v="1"/>
    <s v="JUCUTUQUARA"/>
    <d v="2016-04-08T00:00:00"/>
    <d v="2016-05-12T00:00:00"/>
    <x v="3"/>
    <x v="58"/>
    <x v="0"/>
    <n v="0"/>
    <x v="1"/>
    <n v="0"/>
    <n v="0"/>
    <n v="0"/>
    <x v="0"/>
    <x v="0"/>
    <n v="0"/>
  </r>
  <r>
    <n v="53398400000000"/>
    <x v="0"/>
    <x v="21"/>
    <x v="1"/>
    <s v="MONTE BELO"/>
    <d v="2016-04-08T00:00:00"/>
    <d v="2016-05-12T00:00:00"/>
    <x v="3"/>
    <x v="58"/>
    <x v="0"/>
    <n v="0"/>
    <x v="1"/>
    <n v="0"/>
    <n v="0"/>
    <n v="0"/>
    <x v="0"/>
    <x v="0"/>
    <n v="0"/>
  </r>
  <r>
    <n v="32694700000000"/>
    <x v="0"/>
    <x v="40"/>
    <x v="1"/>
    <s v="SANTA MARTHA"/>
    <d v="2016-04-08T00:00:00"/>
    <d v="2016-05-09T00:00:00"/>
    <x v="2"/>
    <x v="57"/>
    <x v="0"/>
    <n v="0"/>
    <x v="0"/>
    <n v="0"/>
    <n v="0"/>
    <n v="0"/>
    <x v="1"/>
    <x v="0"/>
    <n v="0"/>
  </r>
  <r>
    <n v="59983300000000"/>
    <x v="0"/>
    <x v="15"/>
    <x v="3"/>
    <s v="MARIA ORTIZ"/>
    <d v="2016-04-08T00:00:00"/>
    <d v="2016-05-03T00:00:00"/>
    <x v="4"/>
    <x v="70"/>
    <x v="1"/>
    <n v="0"/>
    <x v="1"/>
    <n v="0"/>
    <n v="0"/>
    <n v="0"/>
    <x v="0"/>
    <x v="1"/>
    <n v="1"/>
  </r>
  <r>
    <n v="8497570000000"/>
    <x v="1"/>
    <x v="4"/>
    <x v="2"/>
    <s v="MARIA ORTIZ"/>
    <d v="2016-04-08T00:00:00"/>
    <d v="2016-05-12T00:00:00"/>
    <x v="3"/>
    <x v="58"/>
    <x v="0"/>
    <n v="0"/>
    <x v="1"/>
    <n v="0"/>
    <n v="0"/>
    <n v="0"/>
    <x v="0"/>
    <x v="1"/>
    <n v="1"/>
  </r>
  <r>
    <n v="933485000000"/>
    <x v="1"/>
    <x v="22"/>
    <x v="4"/>
    <s v="SAO CRISTOVAO"/>
    <d v="2016-04-11T00:00:00"/>
    <d v="2016-04-29T00:00:00"/>
    <x v="0"/>
    <x v="74"/>
    <x v="1"/>
    <n v="0"/>
    <x v="1"/>
    <n v="0"/>
    <n v="0"/>
    <n v="0"/>
    <x v="0"/>
    <x v="1"/>
    <n v="1"/>
  </r>
  <r>
    <n v="14781900000000"/>
    <x v="0"/>
    <x v="34"/>
    <x v="0"/>
    <s v="PARQUE MOSCOSO"/>
    <d v="2016-04-11T00:00:00"/>
    <d v="2016-05-05T00:00:00"/>
    <x v="3"/>
    <x v="66"/>
    <x v="1"/>
    <n v="0"/>
    <x v="1"/>
    <n v="0"/>
    <n v="0"/>
    <n v="0"/>
    <x v="0"/>
    <x v="1"/>
    <n v="1"/>
  </r>
  <r>
    <n v="892861000000000"/>
    <x v="0"/>
    <x v="75"/>
    <x v="5"/>
    <s v="SAO CRISTOVAO"/>
    <d v="2016-04-11T00:00:00"/>
    <d v="2016-05-05T00:00:00"/>
    <x v="3"/>
    <x v="66"/>
    <x v="1"/>
    <n v="0"/>
    <x v="1"/>
    <n v="0"/>
    <n v="0"/>
    <n v="0"/>
    <x v="0"/>
    <x v="1"/>
    <n v="1"/>
  </r>
  <r>
    <n v="4164552617"/>
    <x v="1"/>
    <x v="79"/>
    <x v="5"/>
    <s v="BONFIM"/>
    <d v="2016-04-11T00:00:00"/>
    <d v="2016-05-09T00:00:00"/>
    <x v="2"/>
    <x v="64"/>
    <x v="1"/>
    <n v="0"/>
    <x v="1"/>
    <n v="0"/>
    <n v="0"/>
    <n v="0"/>
    <x v="1"/>
    <x v="1"/>
    <n v="1"/>
  </r>
  <r>
    <n v="23794400000000"/>
    <x v="0"/>
    <x v="63"/>
    <x v="0"/>
    <s v="BENTO FERREIRA"/>
    <d v="2016-04-11T00:00:00"/>
    <d v="2016-05-12T00:00:00"/>
    <x v="3"/>
    <x v="57"/>
    <x v="0"/>
    <n v="0"/>
    <x v="0"/>
    <n v="0"/>
    <n v="0"/>
    <n v="0"/>
    <x v="0"/>
    <x v="0"/>
    <n v="0"/>
  </r>
  <r>
    <n v="18731500000000"/>
    <x v="1"/>
    <x v="81"/>
    <x v="5"/>
    <s v="BONFIM"/>
    <d v="2016-04-11T00:00:00"/>
    <d v="2016-05-09T00:00:00"/>
    <x v="2"/>
    <x v="64"/>
    <x v="1"/>
    <n v="0"/>
    <x v="1"/>
    <n v="0"/>
    <n v="0"/>
    <n v="0"/>
    <x v="1"/>
    <x v="0"/>
    <n v="0"/>
  </r>
  <r>
    <n v="8144360000000"/>
    <x v="1"/>
    <x v="32"/>
    <x v="4"/>
    <s v="FONTE GRANDE"/>
    <d v="2016-04-11T00:00:00"/>
    <d v="2016-05-02T00:00:00"/>
    <x v="2"/>
    <x v="73"/>
    <x v="1"/>
    <n v="0"/>
    <x v="1"/>
    <n v="0"/>
    <n v="0"/>
    <n v="0"/>
    <x v="1"/>
    <x v="0"/>
    <n v="0"/>
  </r>
  <r>
    <n v="51718600000000"/>
    <x v="0"/>
    <x v="5"/>
    <x v="1"/>
    <s v="SANTA CLARA"/>
    <d v="2016-04-11T00:00:00"/>
    <d v="2016-05-11T00:00:00"/>
    <x v="1"/>
    <x v="60"/>
    <x v="1"/>
    <n v="0"/>
    <x v="1"/>
    <n v="0"/>
    <n v="0"/>
    <n v="0"/>
    <x v="1"/>
    <x v="0"/>
    <n v="0"/>
  </r>
  <r>
    <n v="3648360000000"/>
    <x v="1"/>
    <x v="22"/>
    <x v="4"/>
    <s v="SANTA CLARA"/>
    <d v="2016-04-11T00:00:00"/>
    <d v="2016-05-12T00:00:00"/>
    <x v="3"/>
    <x v="57"/>
    <x v="0"/>
    <n v="0"/>
    <x v="1"/>
    <n v="0"/>
    <n v="0"/>
    <n v="0"/>
    <x v="1"/>
    <x v="0"/>
    <n v="0"/>
  </r>
  <r>
    <n v="598422000000000"/>
    <x v="0"/>
    <x v="66"/>
    <x v="2"/>
    <s v="CENTRO"/>
    <d v="2016-04-11T00:00:00"/>
    <d v="2016-04-29T00:00:00"/>
    <x v="0"/>
    <x v="74"/>
    <x v="1"/>
    <n v="1"/>
    <x v="1"/>
    <n v="0"/>
    <n v="0"/>
    <n v="0"/>
    <x v="0"/>
    <x v="0"/>
    <n v="0"/>
  </r>
  <r>
    <n v="22734800000000"/>
    <x v="0"/>
    <x v="77"/>
    <x v="4"/>
    <s v="MARIA ORTIZ"/>
    <d v="2016-04-11T00:00:00"/>
    <d v="2016-05-02T00:00:00"/>
    <x v="2"/>
    <x v="73"/>
    <x v="1"/>
    <n v="0"/>
    <x v="1"/>
    <n v="0"/>
    <n v="0"/>
    <n v="0"/>
    <x v="0"/>
    <x v="1"/>
    <n v="1"/>
  </r>
  <r>
    <n v="484598000000"/>
    <x v="0"/>
    <x v="23"/>
    <x v="3"/>
    <s v="PARQUE MOSCOSO"/>
    <d v="2016-04-11T00:00:00"/>
    <d v="2016-05-12T00:00:00"/>
    <x v="3"/>
    <x v="57"/>
    <x v="0"/>
    <n v="0"/>
    <x v="1"/>
    <n v="0"/>
    <n v="0"/>
    <n v="0"/>
    <x v="0"/>
    <x v="0"/>
    <n v="0"/>
  </r>
  <r>
    <n v="639531000000"/>
    <x v="1"/>
    <x v="14"/>
    <x v="3"/>
    <s v="MONTE BELO"/>
    <d v="2016-04-11T00:00:00"/>
    <d v="2016-05-13T00:00:00"/>
    <x v="0"/>
    <x v="54"/>
    <x v="0"/>
    <n v="0"/>
    <x v="1"/>
    <n v="0"/>
    <n v="0"/>
    <n v="0"/>
    <x v="1"/>
    <x v="1"/>
    <n v="1"/>
  </r>
  <r>
    <n v="586458000000"/>
    <x v="0"/>
    <x v="27"/>
    <x v="3"/>
    <s v="MARIA ORTIZ"/>
    <d v="2016-04-11T00:00:00"/>
    <d v="2016-05-03T00:00:00"/>
    <x v="4"/>
    <x v="71"/>
    <x v="1"/>
    <n v="0"/>
    <x v="1"/>
    <n v="0"/>
    <n v="0"/>
    <n v="0"/>
    <x v="0"/>
    <x v="1"/>
    <n v="1"/>
  </r>
  <r>
    <n v="97413800000000"/>
    <x v="0"/>
    <x v="60"/>
    <x v="2"/>
    <s v="JARDIM DA PENHA"/>
    <d v="2016-04-11T00:00:00"/>
    <d v="2016-05-04T00:00:00"/>
    <x v="1"/>
    <x v="67"/>
    <x v="1"/>
    <n v="1"/>
    <x v="1"/>
    <n v="0"/>
    <n v="0"/>
    <n v="0"/>
    <x v="0"/>
    <x v="0"/>
    <n v="0"/>
  </r>
  <r>
    <n v="18968900000000"/>
    <x v="0"/>
    <x v="77"/>
    <x v="4"/>
    <s v="SAO JOSE"/>
    <d v="2016-04-11T00:00:00"/>
    <d v="2016-05-02T00:00:00"/>
    <x v="2"/>
    <x v="73"/>
    <x v="1"/>
    <n v="0"/>
    <x v="1"/>
    <n v="0"/>
    <n v="0"/>
    <n v="0"/>
    <x v="0"/>
    <x v="0"/>
    <n v="0"/>
  </r>
  <r>
    <n v="3236880000000"/>
    <x v="0"/>
    <x v="24"/>
    <x v="1"/>
    <s v="MARIA ORTIZ"/>
    <d v="2016-04-11T00:00:00"/>
    <d v="2016-05-05T00:00:00"/>
    <x v="3"/>
    <x v="66"/>
    <x v="1"/>
    <n v="0"/>
    <x v="1"/>
    <n v="0"/>
    <n v="0"/>
    <n v="0"/>
    <x v="0"/>
    <x v="1"/>
    <n v="1"/>
  </r>
  <r>
    <n v="6826600000000"/>
    <x v="0"/>
    <x v="21"/>
    <x v="1"/>
    <s v="MARIA ORTIZ"/>
    <d v="2016-04-11T00:00:00"/>
    <d v="2016-05-09T00:00:00"/>
    <x v="2"/>
    <x v="64"/>
    <x v="1"/>
    <n v="0"/>
    <x v="1"/>
    <n v="0"/>
    <n v="0"/>
    <n v="0"/>
    <x v="1"/>
    <x v="1"/>
    <n v="1"/>
  </r>
  <r>
    <n v="851789000000"/>
    <x v="1"/>
    <x v="38"/>
    <x v="4"/>
    <s v="SANTA CLARA"/>
    <d v="2016-04-11T00:00:00"/>
    <d v="2016-05-19T00:00:00"/>
    <x v="3"/>
    <x v="52"/>
    <x v="0"/>
    <n v="0"/>
    <x v="1"/>
    <n v="0"/>
    <n v="0"/>
    <n v="0"/>
    <x v="1"/>
    <x v="0"/>
    <n v="0"/>
  </r>
  <r>
    <n v="457567000000"/>
    <x v="0"/>
    <x v="46"/>
    <x v="2"/>
    <s v="DO QUADRO"/>
    <d v="2016-04-11T00:00:00"/>
    <d v="2016-05-11T00:00:00"/>
    <x v="1"/>
    <x v="60"/>
    <x v="1"/>
    <n v="0"/>
    <x v="1"/>
    <n v="0"/>
    <n v="0"/>
    <n v="0"/>
    <x v="0"/>
    <x v="0"/>
    <n v="0"/>
  </r>
  <r>
    <n v="832218000000000"/>
    <x v="1"/>
    <x v="78"/>
    <x v="0"/>
    <s v="MONTE BELO"/>
    <d v="2016-04-11T00:00:00"/>
    <d v="2016-05-11T00:00:00"/>
    <x v="1"/>
    <x v="60"/>
    <x v="1"/>
    <n v="0"/>
    <x v="1"/>
    <n v="0"/>
    <n v="0"/>
    <n v="0"/>
    <x v="0"/>
    <x v="0"/>
    <n v="0"/>
  </r>
  <r>
    <n v="64934400000000"/>
    <x v="0"/>
    <x v="2"/>
    <x v="1"/>
    <s v="ROMAO"/>
    <d v="2016-04-11T00:00:00"/>
    <d v="2016-05-17T00:00:00"/>
    <x v="4"/>
    <x v="55"/>
    <x v="0"/>
    <n v="0"/>
    <x v="1"/>
    <n v="0"/>
    <n v="0"/>
    <n v="0"/>
    <x v="1"/>
    <x v="0"/>
    <n v="0"/>
  </r>
  <r>
    <n v="55916900000000"/>
    <x v="1"/>
    <x v="15"/>
    <x v="3"/>
    <s v="BONFIM"/>
    <d v="2016-04-11T00:00:00"/>
    <d v="2016-05-13T00:00:00"/>
    <x v="0"/>
    <x v="54"/>
    <x v="0"/>
    <n v="0"/>
    <x v="0"/>
    <n v="0"/>
    <n v="0"/>
    <n v="0"/>
    <x v="1"/>
    <x v="0"/>
    <n v="0"/>
  </r>
  <r>
    <n v="2956850000000"/>
    <x v="0"/>
    <x v="26"/>
    <x v="0"/>
    <s v="MARUIPE"/>
    <d v="2016-04-11T00:00:00"/>
    <d v="2016-05-02T00:00:00"/>
    <x v="2"/>
    <x v="73"/>
    <x v="1"/>
    <n v="0"/>
    <x v="0"/>
    <n v="1"/>
    <n v="0"/>
    <n v="0"/>
    <x v="0"/>
    <x v="0"/>
    <n v="0"/>
  </r>
  <r>
    <n v="715665000000000"/>
    <x v="0"/>
    <x v="40"/>
    <x v="1"/>
    <s v="BONFIM"/>
    <d v="2016-04-11T00:00:00"/>
    <d v="2016-05-12T00:00:00"/>
    <x v="3"/>
    <x v="57"/>
    <x v="0"/>
    <n v="0"/>
    <x v="0"/>
    <n v="0"/>
    <n v="1"/>
    <n v="0"/>
    <x v="0"/>
    <x v="1"/>
    <n v="1"/>
  </r>
  <r>
    <n v="593898000000"/>
    <x v="0"/>
    <x v="32"/>
    <x v="4"/>
    <s v="SOLON BORGES"/>
    <d v="2016-04-11T00:00:00"/>
    <d v="2016-05-10T00:00:00"/>
    <x v="4"/>
    <x v="63"/>
    <x v="1"/>
    <n v="1"/>
    <x v="1"/>
    <n v="0"/>
    <n v="0"/>
    <n v="0"/>
    <x v="0"/>
    <x v="0"/>
    <n v="0"/>
  </r>
  <r>
    <n v="25338600000000"/>
    <x v="0"/>
    <x v="50"/>
    <x v="1"/>
    <s v="JESUS DE NAZARETH"/>
    <d v="2016-04-11T00:00:00"/>
    <d v="2016-05-03T00:00:00"/>
    <x v="4"/>
    <x v="71"/>
    <x v="1"/>
    <n v="1"/>
    <x v="1"/>
    <n v="0"/>
    <n v="0"/>
    <n v="0"/>
    <x v="0"/>
    <x v="1"/>
    <n v="1"/>
  </r>
  <r>
    <n v="88668900000000"/>
    <x v="1"/>
    <x v="73"/>
    <x v="4"/>
    <s v="ILHA DE SANTA MARIA"/>
    <d v="2016-04-11T00:00:00"/>
    <d v="2016-05-12T00:00:00"/>
    <x v="3"/>
    <x v="57"/>
    <x v="0"/>
    <n v="0"/>
    <x v="1"/>
    <n v="0"/>
    <n v="0"/>
    <n v="0"/>
    <x v="0"/>
    <x v="0"/>
    <n v="0"/>
  </r>
  <r>
    <n v="4846890000000"/>
    <x v="0"/>
    <x v="54"/>
    <x v="1"/>
    <s v="JARDIM CAMBURI"/>
    <d v="2016-04-11T00:00:00"/>
    <d v="2016-05-19T00:00:00"/>
    <x v="3"/>
    <x v="52"/>
    <x v="0"/>
    <n v="0"/>
    <x v="1"/>
    <n v="0"/>
    <n v="0"/>
    <n v="0"/>
    <x v="1"/>
    <x v="0"/>
    <n v="0"/>
  </r>
  <r>
    <n v="1779000000000"/>
    <x v="1"/>
    <x v="37"/>
    <x v="3"/>
    <s v="SOLON BORGES"/>
    <d v="2016-04-11T00:00:00"/>
    <d v="2016-05-12T00:00:00"/>
    <x v="3"/>
    <x v="57"/>
    <x v="0"/>
    <n v="0"/>
    <x v="1"/>
    <n v="0"/>
    <n v="0"/>
    <n v="0"/>
    <x v="1"/>
    <x v="0"/>
    <n v="0"/>
  </r>
  <r>
    <n v="77153500000000"/>
    <x v="0"/>
    <x v="4"/>
    <x v="2"/>
    <s v="MARIA ORTIZ"/>
    <d v="2016-04-11T00:00:00"/>
    <d v="2016-05-11T00:00:00"/>
    <x v="1"/>
    <x v="60"/>
    <x v="1"/>
    <n v="0"/>
    <x v="1"/>
    <n v="0"/>
    <n v="0"/>
    <n v="0"/>
    <x v="0"/>
    <x v="1"/>
    <n v="1"/>
  </r>
  <r>
    <n v="55462300000000"/>
    <x v="1"/>
    <x v="57"/>
    <x v="2"/>
    <s v="ROMAO"/>
    <d v="2016-04-11T00:00:00"/>
    <d v="2016-05-18T00:00:00"/>
    <x v="1"/>
    <x v="53"/>
    <x v="0"/>
    <n v="0"/>
    <x v="1"/>
    <n v="0"/>
    <n v="0"/>
    <n v="0"/>
    <x v="1"/>
    <x v="0"/>
    <n v="0"/>
  </r>
  <r>
    <n v="9678430000000"/>
    <x v="1"/>
    <x v="81"/>
    <x v="5"/>
    <s v="CRUZAMENTO"/>
    <d v="2016-04-11T00:00:00"/>
    <d v="2016-05-13T00:00:00"/>
    <x v="0"/>
    <x v="54"/>
    <x v="0"/>
    <n v="0"/>
    <x v="1"/>
    <n v="0"/>
    <n v="0"/>
    <n v="0"/>
    <x v="1"/>
    <x v="0"/>
    <n v="0"/>
  </r>
  <r>
    <n v="64724700000000"/>
    <x v="0"/>
    <x v="30"/>
    <x v="3"/>
    <s v="SOLON BORGES"/>
    <d v="2016-04-11T00:00:00"/>
    <d v="2016-05-11T00:00:00"/>
    <x v="1"/>
    <x v="60"/>
    <x v="1"/>
    <n v="0"/>
    <x v="1"/>
    <n v="0"/>
    <n v="0"/>
    <n v="0"/>
    <x v="1"/>
    <x v="1"/>
    <n v="1"/>
  </r>
  <r>
    <n v="66925500000000"/>
    <x v="0"/>
    <x v="57"/>
    <x v="2"/>
    <s v="CENTRO"/>
    <d v="2016-04-11T00:00:00"/>
    <d v="2016-05-06T00:00:00"/>
    <x v="0"/>
    <x v="70"/>
    <x v="1"/>
    <n v="1"/>
    <x v="1"/>
    <n v="0"/>
    <n v="0"/>
    <n v="0"/>
    <x v="0"/>
    <x v="0"/>
    <n v="0"/>
  </r>
  <r>
    <n v="8578230000000"/>
    <x v="1"/>
    <x v="62"/>
    <x v="3"/>
    <s v="JABOUR"/>
    <d v="2016-04-11T00:00:00"/>
    <d v="2016-05-12T00:00:00"/>
    <x v="3"/>
    <x v="57"/>
    <x v="0"/>
    <n v="0"/>
    <x v="1"/>
    <n v="0"/>
    <n v="0"/>
    <n v="0"/>
    <x v="0"/>
    <x v="1"/>
    <n v="1"/>
  </r>
  <r>
    <n v="115800000000"/>
    <x v="0"/>
    <x v="55"/>
    <x v="2"/>
    <s v="JARDIM CAMBURI"/>
    <d v="2016-04-11T00:00:00"/>
    <d v="2016-06-03T00:00:00"/>
    <x v="0"/>
    <x v="40"/>
    <x v="0"/>
    <n v="0"/>
    <x v="1"/>
    <n v="0"/>
    <n v="0"/>
    <n v="0"/>
    <x v="0"/>
    <x v="1"/>
    <n v="1"/>
  </r>
  <r>
    <n v="23643900000000"/>
    <x v="0"/>
    <x v="56"/>
    <x v="1"/>
    <s v="RESISTENCIA"/>
    <d v="2016-04-11T00:00:00"/>
    <d v="2016-05-16T00:00:00"/>
    <x v="2"/>
    <x v="59"/>
    <x v="0"/>
    <n v="0"/>
    <x v="1"/>
    <n v="0"/>
    <n v="0"/>
    <n v="0"/>
    <x v="1"/>
    <x v="0"/>
    <n v="0"/>
  </r>
  <r>
    <n v="2234320000000"/>
    <x v="0"/>
    <x v="44"/>
    <x v="4"/>
    <s v="JARDIM CAMBURI"/>
    <d v="2016-04-11T00:00:00"/>
    <d v="2016-05-30T00:00:00"/>
    <x v="2"/>
    <x v="43"/>
    <x v="0"/>
    <n v="0"/>
    <x v="1"/>
    <n v="0"/>
    <n v="0"/>
    <n v="0"/>
    <x v="0"/>
    <x v="0"/>
    <n v="0"/>
  </r>
  <r>
    <n v="817373000000000"/>
    <x v="1"/>
    <x v="23"/>
    <x v="3"/>
    <s v="JABOUR"/>
    <d v="2016-04-11T00:00:00"/>
    <d v="2016-05-13T00:00:00"/>
    <x v="0"/>
    <x v="54"/>
    <x v="0"/>
    <n v="0"/>
    <x v="1"/>
    <n v="0"/>
    <n v="0"/>
    <n v="0"/>
    <x v="1"/>
    <x v="0"/>
    <n v="0"/>
  </r>
  <r>
    <n v="22314300000000"/>
    <x v="0"/>
    <x v="86"/>
    <x v="0"/>
    <s v="SOLON BORGES"/>
    <d v="2016-04-11T00:00:00"/>
    <d v="2016-05-13T00:00:00"/>
    <x v="0"/>
    <x v="54"/>
    <x v="0"/>
    <n v="0"/>
    <x v="1"/>
    <n v="0"/>
    <n v="0"/>
    <n v="0"/>
    <x v="1"/>
    <x v="1"/>
    <n v="1"/>
  </r>
  <r>
    <n v="148332000000000"/>
    <x v="0"/>
    <x v="62"/>
    <x v="3"/>
    <s v="SANTOS DUMONT"/>
    <d v="2016-04-11T00:00:00"/>
    <d v="2016-05-02T00:00:00"/>
    <x v="2"/>
    <x v="73"/>
    <x v="1"/>
    <n v="1"/>
    <x v="0"/>
    <n v="0"/>
    <n v="0"/>
    <n v="0"/>
    <x v="0"/>
    <x v="0"/>
    <n v="0"/>
  </r>
  <r>
    <n v="99153528447"/>
    <x v="0"/>
    <x v="84"/>
    <x v="1"/>
    <s v="RESISTENCIA"/>
    <d v="2016-04-11T00:00:00"/>
    <d v="2016-05-30T00:00:00"/>
    <x v="2"/>
    <x v="43"/>
    <x v="0"/>
    <n v="0"/>
    <x v="1"/>
    <n v="0"/>
    <n v="0"/>
    <n v="0"/>
    <x v="0"/>
    <x v="0"/>
    <n v="0"/>
  </r>
  <r>
    <n v="4372560000000"/>
    <x v="0"/>
    <x v="27"/>
    <x v="3"/>
    <s v="MARUIPE"/>
    <d v="2016-04-11T00:00:00"/>
    <d v="2016-05-11T00:00:00"/>
    <x v="1"/>
    <x v="60"/>
    <x v="1"/>
    <n v="0"/>
    <x v="1"/>
    <n v="0"/>
    <n v="0"/>
    <n v="0"/>
    <x v="0"/>
    <x v="1"/>
    <n v="1"/>
  </r>
  <r>
    <n v="754529000000"/>
    <x v="0"/>
    <x v="16"/>
    <x v="1"/>
    <s v="JARDIM CAMBURI"/>
    <d v="2016-04-11T00:00:00"/>
    <d v="2016-05-06T00:00:00"/>
    <x v="0"/>
    <x v="70"/>
    <x v="1"/>
    <n v="0"/>
    <x v="1"/>
    <n v="0"/>
    <n v="0"/>
    <n v="0"/>
    <x v="0"/>
    <x v="0"/>
    <n v="0"/>
  </r>
  <r>
    <n v="579169000000000"/>
    <x v="0"/>
    <x v="35"/>
    <x v="0"/>
    <s v="JARDIM DA PENHA"/>
    <d v="2016-04-11T00:00:00"/>
    <d v="2016-05-10T00:00:00"/>
    <x v="4"/>
    <x v="63"/>
    <x v="1"/>
    <n v="0"/>
    <x v="0"/>
    <n v="0"/>
    <n v="0"/>
    <n v="0"/>
    <x v="0"/>
    <x v="0"/>
    <n v="0"/>
  </r>
  <r>
    <n v="14177400000000"/>
    <x v="0"/>
    <x v="87"/>
    <x v="1"/>
    <s v="GURIGICA"/>
    <d v="2016-04-11T00:00:00"/>
    <d v="2016-04-29T00:00:00"/>
    <x v="0"/>
    <x v="74"/>
    <x v="1"/>
    <n v="1"/>
    <x v="1"/>
    <n v="0"/>
    <n v="0"/>
    <n v="0"/>
    <x v="1"/>
    <x v="1"/>
    <n v="1"/>
  </r>
  <r>
    <n v="2689680000000"/>
    <x v="0"/>
    <x v="49"/>
    <x v="4"/>
    <s v="SAO CRISTOVAO"/>
    <d v="2016-04-11T00:00:00"/>
    <d v="2016-05-06T00:00:00"/>
    <x v="0"/>
    <x v="70"/>
    <x v="1"/>
    <n v="0"/>
    <x v="1"/>
    <n v="0"/>
    <n v="0"/>
    <n v="0"/>
    <x v="0"/>
    <x v="1"/>
    <n v="1"/>
  </r>
  <r>
    <n v="737128000000000"/>
    <x v="0"/>
    <x v="31"/>
    <x v="1"/>
    <s v="SANTA CECILIA"/>
    <d v="2016-04-11T00:00:00"/>
    <d v="2016-05-02T00:00:00"/>
    <x v="2"/>
    <x v="73"/>
    <x v="1"/>
    <n v="0"/>
    <x v="1"/>
    <n v="0"/>
    <n v="0"/>
    <n v="0"/>
    <x v="0"/>
    <x v="1"/>
    <n v="1"/>
  </r>
  <r>
    <n v="436763000000000"/>
    <x v="0"/>
    <x v="44"/>
    <x v="4"/>
    <s v="JARDIM DA PENHA"/>
    <d v="2016-04-11T00:00:00"/>
    <d v="2016-05-06T00:00:00"/>
    <x v="0"/>
    <x v="70"/>
    <x v="1"/>
    <n v="0"/>
    <x v="1"/>
    <n v="0"/>
    <n v="0"/>
    <n v="0"/>
    <x v="0"/>
    <x v="0"/>
    <n v="0"/>
  </r>
  <r>
    <n v="6524640000000"/>
    <x v="0"/>
    <x v="56"/>
    <x v="1"/>
    <s v="SANTO ANDRE"/>
    <d v="2016-04-11T00:00:00"/>
    <d v="2016-04-29T00:00:00"/>
    <x v="0"/>
    <x v="74"/>
    <x v="1"/>
    <n v="1"/>
    <x v="1"/>
    <n v="0"/>
    <n v="0"/>
    <n v="0"/>
    <x v="0"/>
    <x v="0"/>
    <n v="0"/>
  </r>
  <r>
    <n v="692339000000"/>
    <x v="0"/>
    <x v="61"/>
    <x v="1"/>
    <s v="FORTE SAO JOAO"/>
    <d v="2016-04-12T00:00:00"/>
    <d v="2016-05-10T00:00:00"/>
    <x v="4"/>
    <x v="64"/>
    <x v="1"/>
    <n v="0"/>
    <x v="1"/>
    <n v="0"/>
    <n v="0"/>
    <n v="0"/>
    <x v="0"/>
    <x v="0"/>
    <n v="0"/>
  </r>
  <r>
    <n v="66416200000000"/>
    <x v="0"/>
    <x v="44"/>
    <x v="4"/>
    <s v="JARDIM DA PENHA"/>
    <d v="2016-04-12T00:00:00"/>
    <d v="2016-05-13T00:00:00"/>
    <x v="0"/>
    <x v="57"/>
    <x v="0"/>
    <n v="0"/>
    <x v="1"/>
    <n v="0"/>
    <n v="0"/>
    <n v="0"/>
    <x v="1"/>
    <x v="1"/>
    <n v="1"/>
  </r>
  <r>
    <n v="766465000000"/>
    <x v="0"/>
    <x v="40"/>
    <x v="1"/>
    <s v="MONTE BELO"/>
    <d v="2016-04-12T00:00:00"/>
    <d v="2016-05-17T00:00:00"/>
    <x v="4"/>
    <x v="59"/>
    <x v="0"/>
    <n v="0"/>
    <x v="1"/>
    <n v="0"/>
    <n v="0"/>
    <n v="0"/>
    <x v="1"/>
    <x v="0"/>
    <n v="0"/>
  </r>
  <r>
    <n v="8378980000000"/>
    <x v="0"/>
    <x v="22"/>
    <x v="4"/>
    <s v="MARUIPE"/>
    <d v="2016-04-12T00:00:00"/>
    <d v="2016-05-04T00:00:00"/>
    <x v="1"/>
    <x v="71"/>
    <x v="1"/>
    <n v="0"/>
    <x v="1"/>
    <n v="0"/>
    <n v="0"/>
    <n v="0"/>
    <x v="0"/>
    <x v="0"/>
    <n v="0"/>
  </r>
  <r>
    <n v="18321100000000"/>
    <x v="0"/>
    <x v="49"/>
    <x v="4"/>
    <s v="SANTA MARTHA"/>
    <d v="2016-04-12T00:00:00"/>
    <d v="2016-05-13T00:00:00"/>
    <x v="0"/>
    <x v="57"/>
    <x v="0"/>
    <n v="1"/>
    <x v="1"/>
    <n v="0"/>
    <n v="0"/>
    <n v="0"/>
    <x v="1"/>
    <x v="0"/>
    <n v="0"/>
  </r>
  <r>
    <n v="74643000000000"/>
    <x v="0"/>
    <x v="5"/>
    <x v="1"/>
    <s v="MARUIPE"/>
    <d v="2016-04-12T00:00:00"/>
    <d v="2016-05-06T00:00:00"/>
    <x v="0"/>
    <x v="66"/>
    <x v="1"/>
    <n v="0"/>
    <x v="1"/>
    <n v="0"/>
    <n v="0"/>
    <n v="0"/>
    <x v="1"/>
    <x v="1"/>
    <n v="1"/>
  </r>
  <r>
    <n v="233945000000000"/>
    <x v="0"/>
    <x v="77"/>
    <x v="4"/>
    <s v="ITARARE"/>
    <d v="2016-04-12T00:00:00"/>
    <d v="2016-05-10T00:00:00"/>
    <x v="4"/>
    <x v="64"/>
    <x v="1"/>
    <n v="0"/>
    <x v="1"/>
    <n v="0"/>
    <n v="1"/>
    <n v="0"/>
    <x v="0"/>
    <x v="1"/>
    <n v="1"/>
  </r>
  <r>
    <n v="34457200000000"/>
    <x v="0"/>
    <x v="56"/>
    <x v="1"/>
    <s v="MARUIPE"/>
    <d v="2016-04-12T00:00:00"/>
    <d v="2016-05-04T00:00:00"/>
    <x v="1"/>
    <x v="71"/>
    <x v="1"/>
    <n v="1"/>
    <x v="1"/>
    <n v="0"/>
    <n v="0"/>
    <n v="0"/>
    <x v="0"/>
    <x v="0"/>
    <n v="0"/>
  </r>
  <r>
    <n v="966825000000000"/>
    <x v="0"/>
    <x v="21"/>
    <x v="1"/>
    <s v="RESISTENCIA"/>
    <d v="2016-04-12T00:00:00"/>
    <d v="2016-05-16T00:00:00"/>
    <x v="2"/>
    <x v="58"/>
    <x v="0"/>
    <n v="0"/>
    <x v="1"/>
    <n v="0"/>
    <n v="0"/>
    <n v="0"/>
    <x v="1"/>
    <x v="1"/>
    <n v="1"/>
  </r>
  <r>
    <n v="992385000000000"/>
    <x v="0"/>
    <x v="24"/>
    <x v="1"/>
    <s v="ANDORINHAS"/>
    <d v="2016-04-12T00:00:00"/>
    <d v="2016-04-29T00:00:00"/>
    <x v="0"/>
    <x v="75"/>
    <x v="1"/>
    <n v="0"/>
    <x v="0"/>
    <n v="0"/>
    <n v="0"/>
    <n v="0"/>
    <x v="1"/>
    <x v="1"/>
    <n v="1"/>
  </r>
  <r>
    <n v="9217540000000"/>
    <x v="0"/>
    <x v="15"/>
    <x v="3"/>
    <s v="MARIA ORTIZ"/>
    <d v="2016-04-12T00:00:00"/>
    <d v="2016-05-12T00:00:00"/>
    <x v="3"/>
    <x v="60"/>
    <x v="1"/>
    <n v="0"/>
    <x v="1"/>
    <n v="0"/>
    <n v="0"/>
    <n v="0"/>
    <x v="0"/>
    <x v="0"/>
    <n v="0"/>
  </r>
  <r>
    <n v="365336000000"/>
    <x v="0"/>
    <x v="73"/>
    <x v="4"/>
    <s v="SANTA MARTHA"/>
    <d v="2016-04-12T00:00:00"/>
    <d v="2016-05-24T00:00:00"/>
    <x v="4"/>
    <x v="49"/>
    <x v="0"/>
    <n v="0"/>
    <x v="1"/>
    <n v="0"/>
    <n v="0"/>
    <n v="0"/>
    <x v="0"/>
    <x v="1"/>
    <n v="1"/>
  </r>
  <r>
    <n v="8145540000000"/>
    <x v="0"/>
    <x v="22"/>
    <x v="4"/>
    <s v="ANDORINHAS"/>
    <d v="2016-04-12T00:00:00"/>
    <d v="2016-05-03T00:00:00"/>
    <x v="4"/>
    <x v="73"/>
    <x v="1"/>
    <n v="0"/>
    <x v="1"/>
    <n v="0"/>
    <n v="0"/>
    <n v="0"/>
    <x v="0"/>
    <x v="1"/>
    <n v="1"/>
  </r>
  <r>
    <n v="43566400000000"/>
    <x v="0"/>
    <x v="63"/>
    <x v="0"/>
    <s v="JUCUTUQUARA"/>
    <d v="2016-04-12T00:00:00"/>
    <d v="2016-05-10T00:00:00"/>
    <x v="4"/>
    <x v="64"/>
    <x v="1"/>
    <n v="0"/>
    <x v="1"/>
    <n v="0"/>
    <n v="0"/>
    <n v="0"/>
    <x v="0"/>
    <x v="0"/>
    <n v="0"/>
  </r>
  <r>
    <n v="14188400000000"/>
    <x v="0"/>
    <x v="20"/>
    <x v="0"/>
    <s v="REDENCAO"/>
    <d v="2016-04-12T00:00:00"/>
    <d v="2016-05-05T00:00:00"/>
    <x v="3"/>
    <x v="67"/>
    <x v="1"/>
    <n v="0"/>
    <x v="0"/>
    <n v="1"/>
    <n v="0"/>
    <n v="0"/>
    <x v="0"/>
    <x v="0"/>
    <n v="0"/>
  </r>
  <r>
    <n v="2177192956"/>
    <x v="1"/>
    <x v="65"/>
    <x v="2"/>
    <s v="SANTA TEREZA"/>
    <d v="2016-04-12T00:00:00"/>
    <d v="2016-05-18T00:00:00"/>
    <x v="1"/>
    <x v="55"/>
    <x v="0"/>
    <n v="0"/>
    <x v="1"/>
    <n v="0"/>
    <n v="0"/>
    <n v="0"/>
    <x v="1"/>
    <x v="1"/>
    <n v="1"/>
  </r>
  <r>
    <n v="797855000000000"/>
    <x v="0"/>
    <x v="38"/>
    <x v="4"/>
    <s v="JESUS DE NAZARETH"/>
    <d v="2016-04-12T00:00:00"/>
    <d v="2016-05-04T00:00:00"/>
    <x v="1"/>
    <x v="71"/>
    <x v="1"/>
    <n v="0"/>
    <x v="1"/>
    <n v="0"/>
    <n v="0"/>
    <n v="0"/>
    <x v="1"/>
    <x v="0"/>
    <n v="0"/>
  </r>
  <r>
    <n v="3562720000000"/>
    <x v="0"/>
    <x v="51"/>
    <x v="2"/>
    <s v="REPUBLICA"/>
    <d v="2016-04-12T00:00:00"/>
    <d v="2016-05-12T00:00:00"/>
    <x v="3"/>
    <x v="60"/>
    <x v="1"/>
    <n v="0"/>
    <x v="1"/>
    <n v="0"/>
    <n v="0"/>
    <n v="0"/>
    <x v="0"/>
    <x v="0"/>
    <n v="0"/>
  </r>
  <r>
    <n v="16817400000000"/>
    <x v="1"/>
    <x v="15"/>
    <x v="3"/>
    <s v="MARIA ORTIZ"/>
    <d v="2016-04-12T00:00:00"/>
    <d v="2016-05-13T00:00:00"/>
    <x v="0"/>
    <x v="57"/>
    <x v="0"/>
    <n v="0"/>
    <x v="1"/>
    <n v="0"/>
    <n v="0"/>
    <n v="0"/>
    <x v="1"/>
    <x v="0"/>
    <n v="0"/>
  </r>
  <r>
    <n v="426254000000"/>
    <x v="0"/>
    <x v="37"/>
    <x v="3"/>
    <s v="JOANA D ARC"/>
    <d v="2016-04-12T00:00:00"/>
    <d v="2016-05-10T00:00:00"/>
    <x v="4"/>
    <x v="64"/>
    <x v="1"/>
    <n v="1"/>
    <x v="0"/>
    <n v="0"/>
    <n v="0"/>
    <n v="0"/>
    <x v="0"/>
    <x v="0"/>
    <n v="0"/>
  </r>
  <r>
    <n v="1848570000000"/>
    <x v="0"/>
    <x v="32"/>
    <x v="4"/>
    <s v="BONFIM"/>
    <d v="2016-04-12T00:00:00"/>
    <d v="2016-05-03T00:00:00"/>
    <x v="4"/>
    <x v="73"/>
    <x v="1"/>
    <n v="0"/>
    <x v="1"/>
    <n v="0"/>
    <n v="0"/>
    <n v="0"/>
    <x v="0"/>
    <x v="1"/>
    <n v="1"/>
  </r>
  <r>
    <n v="3793170000000"/>
    <x v="0"/>
    <x v="33"/>
    <x v="4"/>
    <s v="SANTA MARTHA"/>
    <d v="2016-04-12T00:00:00"/>
    <d v="2016-05-10T00:00:00"/>
    <x v="4"/>
    <x v="64"/>
    <x v="1"/>
    <n v="1"/>
    <x v="1"/>
    <n v="0"/>
    <n v="0"/>
    <n v="0"/>
    <x v="0"/>
    <x v="0"/>
    <n v="0"/>
  </r>
  <r>
    <n v="51811800000000"/>
    <x v="1"/>
    <x v="65"/>
    <x v="2"/>
    <s v="MONTE BELO"/>
    <d v="2016-04-12T00:00:00"/>
    <d v="2016-05-16T00:00:00"/>
    <x v="2"/>
    <x v="58"/>
    <x v="0"/>
    <n v="0"/>
    <x v="1"/>
    <n v="0"/>
    <n v="0"/>
    <n v="0"/>
    <x v="1"/>
    <x v="1"/>
    <n v="1"/>
  </r>
  <r>
    <n v="33258000000000"/>
    <x v="0"/>
    <x v="14"/>
    <x v="3"/>
    <s v="ITARARE"/>
    <d v="2016-04-12T00:00:00"/>
    <d v="2016-05-03T00:00:00"/>
    <x v="4"/>
    <x v="73"/>
    <x v="1"/>
    <n v="0"/>
    <x v="0"/>
    <n v="0"/>
    <n v="0"/>
    <n v="0"/>
    <x v="0"/>
    <x v="0"/>
    <n v="0"/>
  </r>
  <r>
    <n v="7435540000000"/>
    <x v="0"/>
    <x v="29"/>
    <x v="3"/>
    <s v="FRADINHOS"/>
    <d v="2016-04-12T00:00:00"/>
    <d v="2016-06-06T00:00:00"/>
    <x v="2"/>
    <x v="44"/>
    <x v="0"/>
    <n v="0"/>
    <x v="1"/>
    <n v="0"/>
    <n v="0"/>
    <n v="0"/>
    <x v="0"/>
    <x v="0"/>
    <n v="0"/>
  </r>
  <r>
    <n v="958632000000"/>
    <x v="1"/>
    <x v="14"/>
    <x v="3"/>
    <s v="JARDIM CAMBURI"/>
    <d v="2016-04-12T00:00:00"/>
    <d v="2016-05-25T00:00:00"/>
    <x v="1"/>
    <x v="47"/>
    <x v="0"/>
    <n v="0"/>
    <x v="1"/>
    <n v="0"/>
    <n v="0"/>
    <n v="0"/>
    <x v="0"/>
    <x v="0"/>
    <n v="0"/>
  </r>
  <r>
    <n v="253866000000000"/>
    <x v="0"/>
    <x v="37"/>
    <x v="3"/>
    <s v="DO QUADRO"/>
    <d v="2016-04-12T00:00:00"/>
    <d v="2016-05-10T00:00:00"/>
    <x v="4"/>
    <x v="64"/>
    <x v="1"/>
    <n v="0"/>
    <x v="1"/>
    <n v="0"/>
    <n v="0"/>
    <n v="0"/>
    <x v="0"/>
    <x v="0"/>
    <n v="0"/>
  </r>
  <r>
    <n v="983692000000000"/>
    <x v="1"/>
    <x v="41"/>
    <x v="4"/>
    <s v="DO CABRAL"/>
    <d v="2016-04-12T00:00:00"/>
    <d v="2016-05-10T00:00:00"/>
    <x v="4"/>
    <x v="64"/>
    <x v="1"/>
    <n v="0"/>
    <x v="0"/>
    <n v="0"/>
    <n v="0"/>
    <n v="0"/>
    <x v="0"/>
    <x v="0"/>
    <n v="0"/>
  </r>
  <r>
    <n v="75659400000000"/>
    <x v="0"/>
    <x v="2"/>
    <x v="1"/>
    <s v="JARDIM DA PENHA"/>
    <d v="2016-04-12T00:00:00"/>
    <d v="2016-05-09T00:00:00"/>
    <x v="2"/>
    <x v="65"/>
    <x v="1"/>
    <n v="0"/>
    <x v="1"/>
    <n v="0"/>
    <n v="0"/>
    <n v="0"/>
    <x v="1"/>
    <x v="0"/>
    <n v="0"/>
  </r>
  <r>
    <n v="44645800000000"/>
    <x v="0"/>
    <x v="30"/>
    <x v="3"/>
    <s v="CENTRO"/>
    <d v="2016-04-12T00:00:00"/>
    <d v="2016-05-10T00:00:00"/>
    <x v="4"/>
    <x v="64"/>
    <x v="1"/>
    <n v="0"/>
    <x v="1"/>
    <n v="0"/>
    <n v="0"/>
    <n v="0"/>
    <x v="0"/>
    <x v="0"/>
    <n v="0"/>
  </r>
  <r>
    <n v="5297420000000"/>
    <x v="0"/>
    <x v="4"/>
    <x v="2"/>
    <s v="SANTA TEREZA"/>
    <d v="2016-04-12T00:00:00"/>
    <d v="2016-05-19T00:00:00"/>
    <x v="3"/>
    <x v="53"/>
    <x v="0"/>
    <n v="0"/>
    <x v="1"/>
    <n v="0"/>
    <n v="0"/>
    <n v="0"/>
    <x v="1"/>
    <x v="1"/>
    <n v="1"/>
  </r>
  <r>
    <n v="243535000000000"/>
    <x v="1"/>
    <x v="37"/>
    <x v="3"/>
    <s v="DO QUADRO"/>
    <d v="2016-04-12T00:00:00"/>
    <d v="2016-05-16T00:00:00"/>
    <x v="2"/>
    <x v="58"/>
    <x v="0"/>
    <n v="0"/>
    <x v="1"/>
    <n v="0"/>
    <n v="0"/>
    <n v="0"/>
    <x v="1"/>
    <x v="0"/>
    <n v="0"/>
  </r>
  <r>
    <n v="2327630000000"/>
    <x v="0"/>
    <x v="57"/>
    <x v="2"/>
    <s v="MARIA ORTIZ"/>
    <d v="2016-04-12T00:00:00"/>
    <d v="2016-05-02T00:00:00"/>
    <x v="2"/>
    <x v="76"/>
    <x v="1"/>
    <n v="0"/>
    <x v="1"/>
    <n v="0"/>
    <n v="0"/>
    <n v="0"/>
    <x v="0"/>
    <x v="0"/>
    <n v="0"/>
  </r>
  <r>
    <n v="45588300000000"/>
    <x v="0"/>
    <x v="57"/>
    <x v="2"/>
    <s v="SAO JOSE"/>
    <d v="2016-04-12T00:00:00"/>
    <d v="2016-05-02T00:00:00"/>
    <x v="2"/>
    <x v="76"/>
    <x v="1"/>
    <n v="0"/>
    <x v="1"/>
    <n v="0"/>
    <n v="0"/>
    <n v="0"/>
    <x v="0"/>
    <x v="1"/>
    <n v="1"/>
  </r>
  <r>
    <n v="818755000000000"/>
    <x v="1"/>
    <x v="31"/>
    <x v="1"/>
    <s v="JESUS DE NAZARETH"/>
    <d v="2016-04-12T00:00:00"/>
    <d v="2016-05-03T00:00:00"/>
    <x v="4"/>
    <x v="73"/>
    <x v="1"/>
    <n v="0"/>
    <x v="1"/>
    <n v="0"/>
    <n v="0"/>
    <n v="0"/>
    <x v="1"/>
    <x v="0"/>
    <n v="0"/>
  </r>
  <r>
    <n v="832375000000000"/>
    <x v="0"/>
    <x v="43"/>
    <x v="2"/>
    <s v="JARDIM CAMBURI"/>
    <d v="2016-04-12T00:00:00"/>
    <d v="2016-05-18T00:00:00"/>
    <x v="1"/>
    <x v="55"/>
    <x v="0"/>
    <n v="0"/>
    <x v="1"/>
    <n v="0"/>
    <n v="0"/>
    <n v="0"/>
    <x v="1"/>
    <x v="0"/>
    <n v="0"/>
  </r>
  <r>
    <n v="617464000000000"/>
    <x v="0"/>
    <x v="70"/>
    <x v="5"/>
    <s v="MARIA ORTIZ"/>
    <d v="2016-04-12T00:00:00"/>
    <d v="2016-05-17T00:00:00"/>
    <x v="4"/>
    <x v="59"/>
    <x v="0"/>
    <n v="0"/>
    <x v="1"/>
    <n v="0"/>
    <n v="0"/>
    <n v="0"/>
    <x v="1"/>
    <x v="1"/>
    <n v="1"/>
  </r>
  <r>
    <n v="33159400000000"/>
    <x v="0"/>
    <x v="21"/>
    <x v="1"/>
    <s v="JARDIM DA PENHA"/>
    <d v="2016-04-12T00:00:00"/>
    <d v="2016-05-04T00:00:00"/>
    <x v="1"/>
    <x v="71"/>
    <x v="1"/>
    <n v="0"/>
    <x v="0"/>
    <n v="0"/>
    <n v="0"/>
    <n v="0"/>
    <x v="0"/>
    <x v="1"/>
    <n v="1"/>
  </r>
  <r>
    <n v="3241460000000"/>
    <x v="1"/>
    <x v="80"/>
    <x v="2"/>
    <s v="MARUIPE"/>
    <d v="2016-04-12T00:00:00"/>
    <d v="2016-05-05T00:00:00"/>
    <x v="3"/>
    <x v="67"/>
    <x v="1"/>
    <n v="0"/>
    <x v="1"/>
    <n v="0"/>
    <n v="0"/>
    <n v="0"/>
    <x v="0"/>
    <x v="0"/>
    <n v="0"/>
  </r>
  <r>
    <n v="465921000000000"/>
    <x v="0"/>
    <x v="52"/>
    <x v="2"/>
    <s v="SANTA CECILIA"/>
    <d v="2016-04-12T00:00:00"/>
    <d v="2016-05-16T00:00:00"/>
    <x v="2"/>
    <x v="58"/>
    <x v="0"/>
    <n v="0"/>
    <x v="1"/>
    <n v="0"/>
    <n v="0"/>
    <n v="0"/>
    <x v="1"/>
    <x v="0"/>
    <n v="0"/>
  </r>
  <r>
    <n v="274349000000000"/>
    <x v="0"/>
    <x v="70"/>
    <x v="5"/>
    <s v="SANTA MARTHA"/>
    <d v="2016-04-12T00:00:00"/>
    <d v="2016-05-05T00:00:00"/>
    <x v="3"/>
    <x v="67"/>
    <x v="1"/>
    <n v="1"/>
    <x v="1"/>
    <n v="0"/>
    <n v="0"/>
    <n v="0"/>
    <x v="0"/>
    <x v="1"/>
    <n v="1"/>
  </r>
  <r>
    <n v="35384600000000"/>
    <x v="1"/>
    <x v="78"/>
    <x v="0"/>
    <s v="JARDIM DA PENHA"/>
    <d v="2016-04-12T00:00:00"/>
    <d v="2016-05-04T00:00:00"/>
    <x v="1"/>
    <x v="71"/>
    <x v="1"/>
    <n v="0"/>
    <x v="1"/>
    <n v="1"/>
    <n v="0"/>
    <n v="0"/>
    <x v="1"/>
    <x v="1"/>
    <n v="1"/>
  </r>
  <r>
    <n v="434250000000000"/>
    <x v="0"/>
    <x v="7"/>
    <x v="3"/>
    <s v="SANTO ANDRE"/>
    <d v="2016-04-12T00:00:00"/>
    <d v="2016-04-29T00:00:00"/>
    <x v="0"/>
    <x v="75"/>
    <x v="1"/>
    <n v="1"/>
    <x v="0"/>
    <n v="0"/>
    <n v="0"/>
    <n v="0"/>
    <x v="0"/>
    <x v="0"/>
    <n v="0"/>
  </r>
  <r>
    <n v="14225426642"/>
    <x v="0"/>
    <x v="25"/>
    <x v="4"/>
    <s v="TABUAZEIRO"/>
    <d v="2016-04-12T00:00:00"/>
    <d v="2016-05-05T00:00:00"/>
    <x v="3"/>
    <x v="67"/>
    <x v="1"/>
    <n v="0"/>
    <x v="1"/>
    <n v="0"/>
    <n v="0"/>
    <n v="0"/>
    <x v="1"/>
    <x v="0"/>
    <n v="0"/>
  </r>
  <r>
    <n v="8957000000000"/>
    <x v="1"/>
    <x v="66"/>
    <x v="2"/>
    <s v="RESISTENCIA"/>
    <d v="2016-04-12T00:00:00"/>
    <d v="2016-05-09T00:00:00"/>
    <x v="2"/>
    <x v="65"/>
    <x v="1"/>
    <n v="0"/>
    <x v="1"/>
    <n v="0"/>
    <n v="0"/>
    <n v="0"/>
    <x v="1"/>
    <x v="0"/>
    <n v="0"/>
  </r>
  <r>
    <n v="79772800000000"/>
    <x v="1"/>
    <x v="59"/>
    <x v="2"/>
    <s v="GURIGICA"/>
    <d v="2016-04-12T00:00:00"/>
    <d v="2016-05-03T00:00:00"/>
    <x v="4"/>
    <x v="73"/>
    <x v="1"/>
    <n v="1"/>
    <x v="1"/>
    <n v="0"/>
    <n v="0"/>
    <n v="0"/>
    <x v="0"/>
    <x v="0"/>
    <n v="0"/>
  </r>
  <r>
    <n v="63298600000000"/>
    <x v="0"/>
    <x v="76"/>
    <x v="0"/>
    <s v="MARIA ORTIZ"/>
    <d v="2016-04-12T00:00:00"/>
    <d v="2016-05-16T00:00:00"/>
    <x v="2"/>
    <x v="58"/>
    <x v="0"/>
    <n v="0"/>
    <x v="1"/>
    <n v="0"/>
    <n v="0"/>
    <n v="0"/>
    <x v="1"/>
    <x v="0"/>
    <n v="0"/>
  </r>
  <r>
    <n v="41852900000000"/>
    <x v="0"/>
    <x v="58"/>
    <x v="0"/>
    <s v="DE LOURDES"/>
    <d v="2016-04-12T00:00:00"/>
    <d v="2016-05-02T00:00:00"/>
    <x v="2"/>
    <x v="76"/>
    <x v="1"/>
    <n v="0"/>
    <x v="0"/>
    <n v="0"/>
    <n v="0"/>
    <n v="0"/>
    <x v="0"/>
    <x v="1"/>
    <n v="1"/>
  </r>
  <r>
    <n v="74228000000000"/>
    <x v="0"/>
    <x v="4"/>
    <x v="2"/>
    <s v="TABUAZEIRO"/>
    <d v="2016-04-12T00:00:00"/>
    <d v="2016-04-29T00:00:00"/>
    <x v="0"/>
    <x v="75"/>
    <x v="1"/>
    <n v="0"/>
    <x v="1"/>
    <n v="0"/>
    <n v="0"/>
    <n v="0"/>
    <x v="1"/>
    <x v="0"/>
    <n v="0"/>
  </r>
  <r>
    <n v="74764700000000"/>
    <x v="0"/>
    <x v="56"/>
    <x v="1"/>
    <s v="MARIA ORTIZ"/>
    <d v="2016-04-12T00:00:00"/>
    <d v="2016-04-29T00:00:00"/>
    <x v="0"/>
    <x v="75"/>
    <x v="1"/>
    <n v="0"/>
    <x v="1"/>
    <n v="0"/>
    <n v="0"/>
    <n v="0"/>
    <x v="0"/>
    <x v="0"/>
    <n v="0"/>
  </r>
  <r>
    <n v="52551500000000"/>
    <x v="0"/>
    <x v="66"/>
    <x v="2"/>
    <s v="JARDIM DA PENHA"/>
    <d v="2016-04-12T00:00:00"/>
    <d v="2016-05-09T00:00:00"/>
    <x v="2"/>
    <x v="65"/>
    <x v="1"/>
    <n v="0"/>
    <x v="1"/>
    <n v="0"/>
    <n v="0"/>
    <n v="0"/>
    <x v="1"/>
    <x v="0"/>
    <n v="0"/>
  </r>
  <r>
    <n v="9326820000000"/>
    <x v="1"/>
    <x v="39"/>
    <x v="4"/>
    <s v="JARDIM DA PENHA"/>
    <d v="2016-04-12T00:00:00"/>
    <d v="2016-05-09T00:00:00"/>
    <x v="2"/>
    <x v="65"/>
    <x v="1"/>
    <n v="0"/>
    <x v="1"/>
    <n v="0"/>
    <n v="0"/>
    <n v="0"/>
    <x v="1"/>
    <x v="1"/>
    <n v="1"/>
  </r>
  <r>
    <n v="22351100000000"/>
    <x v="1"/>
    <x v="55"/>
    <x v="2"/>
    <s v="MARUIPE"/>
    <d v="2016-04-13T00:00:00"/>
    <d v="2016-05-16T00:00:00"/>
    <x v="2"/>
    <x v="62"/>
    <x v="0"/>
    <n v="0"/>
    <x v="1"/>
    <n v="0"/>
    <n v="0"/>
    <n v="0"/>
    <x v="1"/>
    <x v="0"/>
    <n v="0"/>
  </r>
  <r>
    <n v="82529200000000"/>
    <x v="0"/>
    <x v="25"/>
    <x v="4"/>
    <s v="ROMAO"/>
    <d v="2016-04-13T00:00:00"/>
    <d v="2016-05-02T00:00:00"/>
    <x v="2"/>
    <x v="77"/>
    <x v="1"/>
    <n v="0"/>
    <x v="1"/>
    <n v="0"/>
    <n v="0"/>
    <n v="0"/>
    <x v="0"/>
    <x v="1"/>
    <n v="1"/>
  </r>
  <r>
    <n v="92684300000000"/>
    <x v="1"/>
    <x v="24"/>
    <x v="1"/>
    <s v="MARIA ORTIZ"/>
    <d v="2016-04-13T00:00:00"/>
    <d v="2016-05-16T00:00:00"/>
    <x v="2"/>
    <x v="62"/>
    <x v="0"/>
    <n v="0"/>
    <x v="1"/>
    <n v="0"/>
    <n v="0"/>
    <n v="0"/>
    <x v="1"/>
    <x v="0"/>
    <n v="0"/>
  </r>
  <r>
    <n v="67475400000000"/>
    <x v="0"/>
    <x v="61"/>
    <x v="1"/>
    <s v="MARUIPE"/>
    <d v="2016-04-13T00:00:00"/>
    <d v="2016-06-06T00:00:00"/>
    <x v="2"/>
    <x v="48"/>
    <x v="0"/>
    <n v="0"/>
    <x v="1"/>
    <n v="0"/>
    <n v="0"/>
    <n v="0"/>
    <x v="0"/>
    <x v="1"/>
    <n v="1"/>
  </r>
  <r>
    <n v="748329000000000"/>
    <x v="1"/>
    <x v="40"/>
    <x v="1"/>
    <s v="RESISTENCIA"/>
    <d v="2016-04-13T00:00:00"/>
    <d v="2016-05-25T00:00:00"/>
    <x v="1"/>
    <x v="49"/>
    <x v="0"/>
    <n v="0"/>
    <x v="1"/>
    <n v="0"/>
    <n v="0"/>
    <n v="0"/>
    <x v="0"/>
    <x v="0"/>
    <n v="0"/>
  </r>
  <r>
    <n v="3251950000000"/>
    <x v="1"/>
    <x v="4"/>
    <x v="2"/>
    <s v="SANTOS DUMONT"/>
    <d v="2016-04-13T00:00:00"/>
    <d v="2016-04-29T00:00:00"/>
    <x v="0"/>
    <x v="78"/>
    <x v="1"/>
    <n v="0"/>
    <x v="1"/>
    <n v="0"/>
    <n v="0"/>
    <n v="0"/>
    <x v="0"/>
    <x v="1"/>
    <n v="1"/>
  </r>
  <r>
    <n v="3579290000000"/>
    <x v="1"/>
    <x v="15"/>
    <x v="3"/>
    <s v="CENTRO"/>
    <d v="2016-04-13T00:00:00"/>
    <d v="2016-05-10T00:00:00"/>
    <x v="4"/>
    <x v="65"/>
    <x v="1"/>
    <n v="0"/>
    <x v="1"/>
    <n v="0"/>
    <n v="0"/>
    <n v="0"/>
    <x v="0"/>
    <x v="0"/>
    <n v="0"/>
  </r>
  <r>
    <n v="6317490000000"/>
    <x v="1"/>
    <x v="83"/>
    <x v="0"/>
    <s v="SAO PEDRO"/>
    <d v="2016-04-13T00:00:00"/>
    <d v="2016-05-03T00:00:00"/>
    <x v="4"/>
    <x v="76"/>
    <x v="1"/>
    <n v="0"/>
    <x v="0"/>
    <n v="1"/>
    <n v="0"/>
    <n v="0"/>
    <x v="0"/>
    <x v="1"/>
    <n v="1"/>
  </r>
  <r>
    <n v="92339900000000"/>
    <x v="1"/>
    <x v="52"/>
    <x v="2"/>
    <s v="MARIA ORTIZ"/>
    <d v="2016-04-13T00:00:00"/>
    <d v="2016-05-02T00:00:00"/>
    <x v="2"/>
    <x v="77"/>
    <x v="1"/>
    <n v="0"/>
    <x v="1"/>
    <n v="0"/>
    <n v="0"/>
    <n v="0"/>
    <x v="0"/>
    <x v="0"/>
    <n v="0"/>
  </r>
  <r>
    <n v="51528900000000"/>
    <x v="1"/>
    <x v="39"/>
    <x v="4"/>
    <s v="MARIA ORTIZ"/>
    <d v="2016-04-13T00:00:00"/>
    <d v="2016-05-30T00:00:00"/>
    <x v="2"/>
    <x v="61"/>
    <x v="0"/>
    <n v="0"/>
    <x v="1"/>
    <n v="0"/>
    <n v="0"/>
    <n v="0"/>
    <x v="0"/>
    <x v="0"/>
    <n v="0"/>
  </r>
  <r>
    <n v="41168300000000"/>
    <x v="1"/>
    <x v="21"/>
    <x v="1"/>
    <s v="SANTO ANTONIO"/>
    <d v="2016-04-13T00:00:00"/>
    <d v="2016-04-29T00:00:00"/>
    <x v="0"/>
    <x v="78"/>
    <x v="1"/>
    <n v="0"/>
    <x v="1"/>
    <n v="0"/>
    <n v="1"/>
    <n v="0"/>
    <x v="0"/>
    <x v="0"/>
    <n v="0"/>
  </r>
  <r>
    <n v="746497000000"/>
    <x v="0"/>
    <x v="57"/>
    <x v="2"/>
    <s v="MARIA ORTIZ"/>
    <d v="2016-04-13T00:00:00"/>
    <d v="2016-05-18T00:00:00"/>
    <x v="1"/>
    <x v="59"/>
    <x v="0"/>
    <n v="0"/>
    <x v="1"/>
    <n v="0"/>
    <n v="0"/>
    <n v="0"/>
    <x v="1"/>
    <x v="0"/>
    <n v="0"/>
  </r>
  <r>
    <n v="29278600000000"/>
    <x v="1"/>
    <x v="56"/>
    <x v="1"/>
    <s v="PIEDADE"/>
    <d v="2016-04-13T00:00:00"/>
    <d v="2016-05-06T00:00:00"/>
    <x v="0"/>
    <x v="67"/>
    <x v="1"/>
    <n v="0"/>
    <x v="1"/>
    <n v="0"/>
    <n v="0"/>
    <n v="0"/>
    <x v="0"/>
    <x v="1"/>
    <n v="1"/>
  </r>
  <r>
    <n v="31338317217"/>
    <x v="0"/>
    <x v="55"/>
    <x v="2"/>
    <s v="SANTO ANDRE"/>
    <d v="2016-04-13T00:00:00"/>
    <d v="2016-05-05T00:00:00"/>
    <x v="3"/>
    <x v="71"/>
    <x v="1"/>
    <n v="0"/>
    <x v="1"/>
    <n v="0"/>
    <n v="0"/>
    <n v="0"/>
    <x v="1"/>
    <x v="0"/>
    <n v="0"/>
  </r>
  <r>
    <n v="776627000000000"/>
    <x v="0"/>
    <x v="63"/>
    <x v="0"/>
    <s v="JARDIM CAMBURI"/>
    <d v="2016-04-13T00:00:00"/>
    <d v="2016-06-08T00:00:00"/>
    <x v="1"/>
    <x v="36"/>
    <x v="0"/>
    <n v="0"/>
    <x v="1"/>
    <n v="0"/>
    <n v="0"/>
    <n v="0"/>
    <x v="0"/>
    <x v="0"/>
    <n v="0"/>
  </r>
  <r>
    <n v="68789300000000"/>
    <x v="0"/>
    <x v="15"/>
    <x v="3"/>
    <s v="MARIA ORTIZ"/>
    <d v="2016-04-13T00:00:00"/>
    <d v="2016-05-16T00:00:00"/>
    <x v="2"/>
    <x v="62"/>
    <x v="0"/>
    <n v="0"/>
    <x v="1"/>
    <n v="0"/>
    <n v="0"/>
    <n v="0"/>
    <x v="1"/>
    <x v="0"/>
    <n v="0"/>
  </r>
  <r>
    <n v="83998100000000"/>
    <x v="0"/>
    <x v="18"/>
    <x v="0"/>
    <s v="BONFIM"/>
    <d v="2016-04-13T00:00:00"/>
    <d v="2016-05-13T00:00:00"/>
    <x v="0"/>
    <x v="60"/>
    <x v="1"/>
    <n v="0"/>
    <x v="0"/>
    <n v="1"/>
    <n v="0"/>
    <n v="0"/>
    <x v="1"/>
    <x v="1"/>
    <n v="1"/>
  </r>
  <r>
    <n v="18875363788"/>
    <x v="0"/>
    <x v="41"/>
    <x v="4"/>
    <s v="RESISTENCIA"/>
    <d v="2016-04-13T00:00:00"/>
    <d v="2016-05-17T00:00:00"/>
    <x v="4"/>
    <x v="58"/>
    <x v="0"/>
    <n v="0"/>
    <x v="1"/>
    <n v="0"/>
    <n v="0"/>
    <n v="0"/>
    <x v="1"/>
    <x v="0"/>
    <n v="0"/>
  </r>
  <r>
    <n v="91139300000000"/>
    <x v="1"/>
    <x v="79"/>
    <x v="5"/>
    <s v="SANTA MARTHA"/>
    <d v="2016-04-13T00:00:00"/>
    <d v="2016-05-20T00:00:00"/>
    <x v="0"/>
    <x v="53"/>
    <x v="0"/>
    <n v="0"/>
    <x v="1"/>
    <n v="0"/>
    <n v="0"/>
    <n v="0"/>
    <x v="1"/>
    <x v="1"/>
    <n v="1"/>
  </r>
  <r>
    <n v="55785700000000"/>
    <x v="1"/>
    <x v="66"/>
    <x v="2"/>
    <s v="REDENCAO"/>
    <d v="2016-04-13T00:00:00"/>
    <d v="2016-05-13T00:00:00"/>
    <x v="0"/>
    <x v="60"/>
    <x v="1"/>
    <n v="0"/>
    <x v="1"/>
    <n v="0"/>
    <n v="0"/>
    <n v="0"/>
    <x v="1"/>
    <x v="0"/>
    <n v="0"/>
  </r>
  <r>
    <n v="87823500000000"/>
    <x v="0"/>
    <x v="22"/>
    <x v="4"/>
    <s v="MONTE BELO"/>
    <d v="2016-04-13T00:00:00"/>
    <d v="2016-05-04T00:00:00"/>
    <x v="1"/>
    <x v="73"/>
    <x v="1"/>
    <n v="0"/>
    <x v="1"/>
    <n v="0"/>
    <n v="0"/>
    <n v="0"/>
    <x v="0"/>
    <x v="1"/>
    <n v="1"/>
  </r>
  <r>
    <n v="23895000000000"/>
    <x v="0"/>
    <x v="31"/>
    <x v="1"/>
    <s v="MARIA ORTIZ"/>
    <d v="2016-04-13T00:00:00"/>
    <d v="2016-05-13T00:00:00"/>
    <x v="0"/>
    <x v="60"/>
    <x v="1"/>
    <n v="0"/>
    <x v="1"/>
    <n v="0"/>
    <n v="0"/>
    <n v="0"/>
    <x v="1"/>
    <x v="0"/>
    <n v="0"/>
  </r>
  <r>
    <n v="121375000000"/>
    <x v="0"/>
    <x v="24"/>
    <x v="1"/>
    <s v="CENTRO"/>
    <d v="2016-04-13T00:00:00"/>
    <d v="2016-05-09T00:00:00"/>
    <x v="2"/>
    <x v="68"/>
    <x v="1"/>
    <n v="0"/>
    <x v="1"/>
    <n v="0"/>
    <n v="0"/>
    <n v="0"/>
    <x v="1"/>
    <x v="0"/>
    <n v="0"/>
  </r>
  <r>
    <n v="29145400000000"/>
    <x v="0"/>
    <x v="63"/>
    <x v="0"/>
    <s v="CARATOIRA"/>
    <d v="2016-04-13T00:00:00"/>
    <d v="2016-05-11T00:00:00"/>
    <x v="1"/>
    <x v="64"/>
    <x v="1"/>
    <n v="0"/>
    <x v="1"/>
    <n v="0"/>
    <n v="0"/>
    <n v="0"/>
    <x v="0"/>
    <x v="0"/>
    <n v="0"/>
  </r>
  <r>
    <n v="25274900000000"/>
    <x v="1"/>
    <x v="51"/>
    <x v="2"/>
    <s v="DE LOURDES"/>
    <d v="2016-04-13T00:00:00"/>
    <d v="2016-05-04T00:00:00"/>
    <x v="1"/>
    <x v="73"/>
    <x v="1"/>
    <n v="0"/>
    <x v="1"/>
    <n v="0"/>
    <n v="0"/>
    <n v="0"/>
    <x v="0"/>
    <x v="1"/>
    <n v="1"/>
  </r>
  <r>
    <n v="396844000000"/>
    <x v="1"/>
    <x v="46"/>
    <x v="2"/>
    <s v="JARDIM CAMBURI"/>
    <d v="2016-04-13T00:00:00"/>
    <d v="2016-06-08T00:00:00"/>
    <x v="1"/>
    <x v="36"/>
    <x v="0"/>
    <n v="0"/>
    <x v="1"/>
    <n v="0"/>
    <n v="0"/>
    <n v="0"/>
    <x v="0"/>
    <x v="0"/>
    <n v="0"/>
  </r>
  <r>
    <n v="1931640000000"/>
    <x v="0"/>
    <x v="2"/>
    <x v="1"/>
    <s v="SOLON BORGES"/>
    <d v="2016-04-13T00:00:00"/>
    <d v="2016-05-17T00:00:00"/>
    <x v="4"/>
    <x v="58"/>
    <x v="0"/>
    <n v="0"/>
    <x v="1"/>
    <n v="0"/>
    <n v="0"/>
    <n v="0"/>
    <x v="1"/>
    <x v="1"/>
    <n v="1"/>
  </r>
  <r>
    <n v="96546100000000"/>
    <x v="1"/>
    <x v="46"/>
    <x v="2"/>
    <s v="MARIA ORTIZ"/>
    <d v="2016-04-13T00:00:00"/>
    <d v="2016-05-16T00:00:00"/>
    <x v="2"/>
    <x v="62"/>
    <x v="0"/>
    <n v="0"/>
    <x v="1"/>
    <n v="0"/>
    <n v="0"/>
    <n v="0"/>
    <x v="1"/>
    <x v="1"/>
    <n v="1"/>
  </r>
  <r>
    <n v="94864200000000"/>
    <x v="0"/>
    <x v="72"/>
    <x v="5"/>
    <s v="SAO CRISTOVAO"/>
    <d v="2016-04-13T00:00:00"/>
    <d v="2016-04-29T00:00:00"/>
    <x v="0"/>
    <x v="78"/>
    <x v="1"/>
    <n v="0"/>
    <x v="1"/>
    <n v="0"/>
    <n v="0"/>
    <n v="0"/>
    <x v="0"/>
    <x v="0"/>
    <n v="0"/>
  </r>
  <r>
    <n v="51499300000000"/>
    <x v="0"/>
    <x v="24"/>
    <x v="1"/>
    <s v="MARIA ORTIZ"/>
    <d v="2016-04-13T00:00:00"/>
    <d v="2016-05-25T00:00:00"/>
    <x v="1"/>
    <x v="49"/>
    <x v="0"/>
    <n v="0"/>
    <x v="1"/>
    <n v="0"/>
    <n v="0"/>
    <n v="0"/>
    <x v="0"/>
    <x v="1"/>
    <n v="1"/>
  </r>
  <r>
    <n v="46965800000000"/>
    <x v="0"/>
    <x v="75"/>
    <x v="5"/>
    <s v="MARIA ORTIZ"/>
    <d v="2016-04-13T00:00:00"/>
    <d v="2016-05-18T00:00:00"/>
    <x v="1"/>
    <x v="59"/>
    <x v="0"/>
    <n v="0"/>
    <x v="1"/>
    <n v="0"/>
    <n v="0"/>
    <n v="0"/>
    <x v="1"/>
    <x v="1"/>
    <n v="1"/>
  </r>
  <r>
    <n v="524912000000000"/>
    <x v="0"/>
    <x v="54"/>
    <x v="1"/>
    <s v="JUCUTUQUARA"/>
    <d v="2016-04-13T00:00:00"/>
    <d v="2016-05-17T00:00:00"/>
    <x v="4"/>
    <x v="58"/>
    <x v="0"/>
    <n v="0"/>
    <x v="1"/>
    <n v="0"/>
    <n v="0"/>
    <n v="0"/>
    <x v="1"/>
    <x v="1"/>
    <n v="1"/>
  </r>
  <r>
    <n v="27284500000000"/>
    <x v="0"/>
    <x v="63"/>
    <x v="0"/>
    <s v="MONTE BELO"/>
    <d v="2016-04-13T00:00:00"/>
    <d v="2016-05-16T00:00:00"/>
    <x v="2"/>
    <x v="62"/>
    <x v="0"/>
    <n v="0"/>
    <x v="1"/>
    <n v="0"/>
    <n v="0"/>
    <n v="0"/>
    <x v="1"/>
    <x v="0"/>
    <n v="0"/>
  </r>
  <r>
    <n v="3751630000000"/>
    <x v="0"/>
    <x v="19"/>
    <x v="2"/>
    <s v="GURIGICA"/>
    <d v="2016-04-13T00:00:00"/>
    <d v="2016-05-04T00:00:00"/>
    <x v="1"/>
    <x v="73"/>
    <x v="1"/>
    <n v="0"/>
    <x v="1"/>
    <n v="0"/>
    <n v="0"/>
    <n v="0"/>
    <x v="0"/>
    <x v="0"/>
    <n v="0"/>
  </r>
  <r>
    <n v="17537500000000"/>
    <x v="1"/>
    <x v="49"/>
    <x v="4"/>
    <s v="ITARARE"/>
    <d v="2016-04-13T00:00:00"/>
    <d v="2016-05-11T00:00:00"/>
    <x v="1"/>
    <x v="64"/>
    <x v="1"/>
    <n v="0"/>
    <x v="1"/>
    <n v="0"/>
    <n v="0"/>
    <n v="0"/>
    <x v="0"/>
    <x v="0"/>
    <n v="0"/>
  </r>
  <r>
    <n v="194398000000000"/>
    <x v="1"/>
    <x v="40"/>
    <x v="1"/>
    <s v="BELA VISTA"/>
    <d v="2016-04-13T00:00:00"/>
    <d v="2016-05-05T00:00:00"/>
    <x v="3"/>
    <x v="71"/>
    <x v="1"/>
    <n v="1"/>
    <x v="0"/>
    <n v="0"/>
    <n v="0"/>
    <n v="0"/>
    <x v="0"/>
    <x v="0"/>
    <n v="0"/>
  </r>
  <r>
    <n v="73485900000000"/>
    <x v="0"/>
    <x v="46"/>
    <x v="2"/>
    <s v="ILHA DE SANTA MARIA"/>
    <d v="2016-04-13T00:00:00"/>
    <d v="2016-05-10T00:00:00"/>
    <x v="4"/>
    <x v="65"/>
    <x v="1"/>
    <n v="0"/>
    <x v="1"/>
    <n v="0"/>
    <n v="0"/>
    <n v="0"/>
    <x v="0"/>
    <x v="0"/>
    <n v="0"/>
  </r>
  <r>
    <n v="319323000000"/>
    <x v="1"/>
    <x v="4"/>
    <x v="2"/>
    <s v="CRUZAMENTO"/>
    <d v="2016-04-13T00:00:00"/>
    <d v="2016-05-24T00:00:00"/>
    <x v="4"/>
    <x v="51"/>
    <x v="0"/>
    <n v="0"/>
    <x v="1"/>
    <n v="0"/>
    <n v="0"/>
    <n v="0"/>
    <x v="0"/>
    <x v="0"/>
    <n v="0"/>
  </r>
  <r>
    <n v="7893240000000"/>
    <x v="0"/>
    <x v="73"/>
    <x v="4"/>
    <s v="MARIA ORTIZ"/>
    <d v="2016-04-13T00:00:00"/>
    <d v="2016-05-17T00:00:00"/>
    <x v="4"/>
    <x v="58"/>
    <x v="0"/>
    <n v="0"/>
    <x v="1"/>
    <n v="0"/>
    <n v="0"/>
    <n v="0"/>
    <x v="1"/>
    <x v="1"/>
    <n v="1"/>
  </r>
  <r>
    <n v="28763200000000"/>
    <x v="0"/>
    <x v="29"/>
    <x v="3"/>
    <s v="BONFIM"/>
    <d v="2016-04-13T00:00:00"/>
    <d v="2016-05-17T00:00:00"/>
    <x v="4"/>
    <x v="58"/>
    <x v="0"/>
    <n v="0"/>
    <x v="0"/>
    <n v="0"/>
    <n v="0"/>
    <n v="0"/>
    <x v="1"/>
    <x v="0"/>
    <n v="0"/>
  </r>
  <r>
    <n v="27653300000000"/>
    <x v="0"/>
    <x v="71"/>
    <x v="4"/>
    <s v="SANTOS REIS"/>
    <d v="2016-04-13T00:00:00"/>
    <d v="2016-05-05T00:00:00"/>
    <x v="3"/>
    <x v="71"/>
    <x v="1"/>
    <n v="0"/>
    <x v="1"/>
    <n v="0"/>
    <n v="0"/>
    <n v="0"/>
    <x v="0"/>
    <x v="0"/>
    <n v="0"/>
  </r>
  <r>
    <n v="6439420000000"/>
    <x v="0"/>
    <x v="70"/>
    <x v="5"/>
    <s v="CRUZAMENTO"/>
    <d v="2016-04-13T00:00:00"/>
    <d v="2016-05-05T00:00:00"/>
    <x v="3"/>
    <x v="71"/>
    <x v="1"/>
    <n v="0"/>
    <x v="1"/>
    <n v="0"/>
    <n v="0"/>
    <n v="0"/>
    <x v="1"/>
    <x v="1"/>
    <n v="1"/>
  </r>
  <r>
    <n v="32454600000000"/>
    <x v="0"/>
    <x v="44"/>
    <x v="4"/>
    <s v="JARDIM DA PENHA"/>
    <d v="2016-04-13T00:00:00"/>
    <d v="2016-05-06T00:00:00"/>
    <x v="0"/>
    <x v="67"/>
    <x v="1"/>
    <n v="0"/>
    <x v="1"/>
    <n v="0"/>
    <n v="0"/>
    <n v="0"/>
    <x v="0"/>
    <x v="0"/>
    <n v="0"/>
  </r>
  <r>
    <n v="2396760000000"/>
    <x v="0"/>
    <x v="17"/>
    <x v="4"/>
    <s v="JARDIM CAMBURI"/>
    <d v="2016-04-13T00:00:00"/>
    <d v="2016-05-18T00:00:00"/>
    <x v="1"/>
    <x v="59"/>
    <x v="0"/>
    <n v="0"/>
    <x v="1"/>
    <n v="0"/>
    <n v="0"/>
    <n v="0"/>
    <x v="1"/>
    <x v="0"/>
    <n v="0"/>
  </r>
  <r>
    <n v="81964600000000"/>
    <x v="0"/>
    <x v="39"/>
    <x v="4"/>
    <s v="MARIA ORTIZ"/>
    <d v="2016-04-14T00:00:00"/>
    <d v="2016-05-16T00:00:00"/>
    <x v="2"/>
    <x v="54"/>
    <x v="0"/>
    <n v="0"/>
    <x v="1"/>
    <n v="0"/>
    <n v="0"/>
    <n v="0"/>
    <x v="1"/>
    <x v="1"/>
    <n v="1"/>
  </r>
  <r>
    <n v="8795490000000"/>
    <x v="1"/>
    <x v="56"/>
    <x v="1"/>
    <s v="ILHA DAS CAIEIRAS"/>
    <d v="2016-04-14T00:00:00"/>
    <d v="2016-04-29T00:00:00"/>
    <x v="0"/>
    <x v="79"/>
    <x v="1"/>
    <n v="0"/>
    <x v="1"/>
    <n v="0"/>
    <n v="0"/>
    <n v="0"/>
    <x v="0"/>
    <x v="1"/>
    <n v="1"/>
  </r>
  <r>
    <n v="456424000000000"/>
    <x v="1"/>
    <x v="52"/>
    <x v="2"/>
    <s v="JARDIM CAMBURI"/>
    <d v="2016-04-14T00:00:00"/>
    <d v="2016-05-02T00:00:00"/>
    <x v="2"/>
    <x v="74"/>
    <x v="1"/>
    <n v="0"/>
    <x v="1"/>
    <n v="0"/>
    <n v="0"/>
    <n v="0"/>
    <x v="0"/>
    <x v="0"/>
    <n v="0"/>
  </r>
  <r>
    <n v="531979000000"/>
    <x v="0"/>
    <x v="65"/>
    <x v="2"/>
    <s v="CRUZAMENTO"/>
    <d v="2016-04-14T00:00:00"/>
    <d v="2016-06-03T00:00:00"/>
    <x v="0"/>
    <x v="41"/>
    <x v="0"/>
    <n v="0"/>
    <x v="1"/>
    <n v="0"/>
    <n v="0"/>
    <n v="0"/>
    <x v="0"/>
    <x v="0"/>
    <n v="0"/>
  </r>
  <r>
    <n v="24451200000000"/>
    <x v="1"/>
    <x v="70"/>
    <x v="5"/>
    <s v="JOANA D ARC"/>
    <d v="2016-04-14T00:00:00"/>
    <d v="2016-06-01T00:00:00"/>
    <x v="1"/>
    <x v="46"/>
    <x v="0"/>
    <n v="0"/>
    <x v="1"/>
    <n v="0"/>
    <n v="0"/>
    <n v="0"/>
    <x v="1"/>
    <x v="0"/>
    <n v="0"/>
  </r>
  <r>
    <n v="4177270000000"/>
    <x v="0"/>
    <x v="79"/>
    <x v="5"/>
    <s v="BENTO FERREIRA"/>
    <d v="2016-04-14T00:00:00"/>
    <d v="2016-05-11T00:00:00"/>
    <x v="1"/>
    <x v="65"/>
    <x v="1"/>
    <n v="0"/>
    <x v="1"/>
    <n v="0"/>
    <n v="0"/>
    <n v="0"/>
    <x v="0"/>
    <x v="0"/>
    <n v="0"/>
  </r>
  <r>
    <n v="223366000000"/>
    <x v="0"/>
    <x v="8"/>
    <x v="0"/>
    <s v="JABOUR"/>
    <d v="2016-04-14T00:00:00"/>
    <d v="2016-05-13T00:00:00"/>
    <x v="0"/>
    <x v="63"/>
    <x v="1"/>
    <n v="0"/>
    <x v="1"/>
    <n v="0"/>
    <n v="0"/>
    <n v="0"/>
    <x v="1"/>
    <x v="0"/>
    <n v="0"/>
  </r>
  <r>
    <n v="316447000000"/>
    <x v="1"/>
    <x v="84"/>
    <x v="1"/>
    <s v="BENTO FERREIRA"/>
    <d v="2016-04-14T00:00:00"/>
    <d v="2016-05-02T00:00:00"/>
    <x v="2"/>
    <x v="74"/>
    <x v="1"/>
    <n v="0"/>
    <x v="1"/>
    <n v="0"/>
    <n v="0"/>
    <n v="0"/>
    <x v="0"/>
    <x v="0"/>
    <n v="0"/>
  </r>
  <r>
    <n v="869733000000000"/>
    <x v="0"/>
    <x v="27"/>
    <x v="3"/>
    <s v="JARDIM CAMBURI"/>
    <d v="2016-04-14T00:00:00"/>
    <d v="2016-05-20T00:00:00"/>
    <x v="0"/>
    <x v="55"/>
    <x v="0"/>
    <n v="0"/>
    <x v="1"/>
    <n v="0"/>
    <n v="0"/>
    <n v="0"/>
    <x v="1"/>
    <x v="0"/>
    <n v="0"/>
  </r>
  <r>
    <n v="869733000000000"/>
    <x v="0"/>
    <x v="27"/>
    <x v="3"/>
    <s v="JARDIM CAMBURI"/>
    <d v="2016-04-14T00:00:00"/>
    <d v="2016-05-20T00:00:00"/>
    <x v="0"/>
    <x v="55"/>
    <x v="0"/>
    <n v="0"/>
    <x v="1"/>
    <n v="0"/>
    <n v="0"/>
    <n v="0"/>
    <x v="1"/>
    <x v="0"/>
    <n v="0"/>
  </r>
  <r>
    <n v="5876870000000"/>
    <x v="0"/>
    <x v="66"/>
    <x v="2"/>
    <s v="JESUS DE NAZARETH"/>
    <d v="2016-04-14T00:00:00"/>
    <d v="2016-05-09T00:00:00"/>
    <x v="2"/>
    <x v="70"/>
    <x v="1"/>
    <n v="0"/>
    <x v="1"/>
    <n v="0"/>
    <n v="0"/>
    <n v="0"/>
    <x v="1"/>
    <x v="1"/>
    <n v="1"/>
  </r>
  <r>
    <n v="29153600000000"/>
    <x v="1"/>
    <x v="64"/>
    <x v="3"/>
    <s v="MARIA ORTIZ"/>
    <d v="2016-04-14T00:00:00"/>
    <d v="2016-05-13T00:00:00"/>
    <x v="0"/>
    <x v="63"/>
    <x v="1"/>
    <n v="0"/>
    <x v="0"/>
    <n v="1"/>
    <n v="0"/>
    <n v="0"/>
    <x v="1"/>
    <x v="0"/>
    <n v="0"/>
  </r>
  <r>
    <n v="54839500000000"/>
    <x v="0"/>
    <x v="87"/>
    <x v="1"/>
    <s v="JESUS DE NAZARETH"/>
    <d v="2016-04-14T00:00:00"/>
    <d v="2016-05-05T00:00:00"/>
    <x v="3"/>
    <x v="73"/>
    <x v="1"/>
    <n v="1"/>
    <x v="0"/>
    <n v="0"/>
    <n v="0"/>
    <n v="0"/>
    <x v="0"/>
    <x v="1"/>
    <n v="1"/>
  </r>
  <r>
    <n v="725984000000"/>
    <x v="0"/>
    <x v="22"/>
    <x v="4"/>
    <s v="GURIGICA"/>
    <d v="2016-04-14T00:00:00"/>
    <d v="2016-05-12T00:00:00"/>
    <x v="3"/>
    <x v="64"/>
    <x v="1"/>
    <n v="0"/>
    <x v="1"/>
    <n v="0"/>
    <n v="0"/>
    <n v="0"/>
    <x v="1"/>
    <x v="0"/>
    <n v="0"/>
  </r>
  <r>
    <n v="44772500000000"/>
    <x v="0"/>
    <x v="68"/>
    <x v="4"/>
    <s v="SANTA MARTHA"/>
    <d v="2016-04-14T00:00:00"/>
    <d v="2016-05-09T00:00:00"/>
    <x v="2"/>
    <x v="70"/>
    <x v="1"/>
    <n v="0"/>
    <x v="1"/>
    <n v="0"/>
    <n v="0"/>
    <n v="0"/>
    <x v="1"/>
    <x v="0"/>
    <n v="0"/>
  </r>
  <r>
    <n v="22392700000000"/>
    <x v="0"/>
    <x v="44"/>
    <x v="4"/>
    <s v="CENTRO"/>
    <d v="2016-04-14T00:00:00"/>
    <d v="2016-05-12T00:00:00"/>
    <x v="3"/>
    <x v="64"/>
    <x v="1"/>
    <n v="1"/>
    <x v="1"/>
    <n v="0"/>
    <n v="0"/>
    <n v="0"/>
    <x v="0"/>
    <x v="0"/>
    <n v="0"/>
  </r>
  <r>
    <n v="913272000000000"/>
    <x v="0"/>
    <x v="49"/>
    <x v="4"/>
    <s v="REDENCAO"/>
    <d v="2016-04-14T00:00:00"/>
    <d v="2016-04-29T00:00:00"/>
    <x v="0"/>
    <x v="79"/>
    <x v="1"/>
    <n v="0"/>
    <x v="1"/>
    <n v="0"/>
    <n v="0"/>
    <n v="0"/>
    <x v="0"/>
    <x v="0"/>
    <n v="0"/>
  </r>
  <r>
    <n v="217283000000000"/>
    <x v="0"/>
    <x v="73"/>
    <x v="4"/>
    <s v="JOANA D ARC"/>
    <d v="2016-04-14T00:00:00"/>
    <d v="2016-05-31T00:00:00"/>
    <x v="4"/>
    <x v="61"/>
    <x v="0"/>
    <n v="1"/>
    <x v="1"/>
    <n v="1"/>
    <n v="0"/>
    <n v="0"/>
    <x v="0"/>
    <x v="1"/>
    <n v="1"/>
  </r>
  <r>
    <n v="18983600000000"/>
    <x v="0"/>
    <x v="17"/>
    <x v="4"/>
    <s v="RESISTENCIA"/>
    <d v="2016-04-14T00:00:00"/>
    <d v="2016-05-11T00:00:00"/>
    <x v="1"/>
    <x v="65"/>
    <x v="1"/>
    <n v="1"/>
    <x v="1"/>
    <n v="0"/>
    <n v="0"/>
    <n v="0"/>
    <x v="0"/>
    <x v="0"/>
    <n v="0"/>
  </r>
  <r>
    <n v="924969000000000"/>
    <x v="1"/>
    <x v="46"/>
    <x v="2"/>
    <s v="MARIA ORTIZ"/>
    <d v="2016-04-14T00:00:00"/>
    <d v="2016-05-18T00:00:00"/>
    <x v="1"/>
    <x v="58"/>
    <x v="0"/>
    <n v="0"/>
    <x v="1"/>
    <n v="0"/>
    <n v="0"/>
    <n v="0"/>
    <x v="1"/>
    <x v="0"/>
    <n v="0"/>
  </r>
  <r>
    <n v="397384000000000"/>
    <x v="1"/>
    <x v="65"/>
    <x v="2"/>
    <s v="FONTE GRANDE"/>
    <d v="2016-04-14T00:00:00"/>
    <d v="2016-05-11T00:00:00"/>
    <x v="1"/>
    <x v="65"/>
    <x v="1"/>
    <n v="0"/>
    <x v="1"/>
    <n v="0"/>
    <n v="0"/>
    <n v="0"/>
    <x v="0"/>
    <x v="0"/>
    <n v="0"/>
  </r>
  <r>
    <n v="83246400000000"/>
    <x v="0"/>
    <x v="14"/>
    <x v="3"/>
    <s v="BELA VISTA"/>
    <d v="2016-04-14T00:00:00"/>
    <d v="2016-05-02T00:00:00"/>
    <x v="2"/>
    <x v="74"/>
    <x v="1"/>
    <n v="0"/>
    <x v="1"/>
    <n v="0"/>
    <n v="0"/>
    <n v="0"/>
    <x v="0"/>
    <x v="1"/>
    <n v="1"/>
  </r>
  <r>
    <n v="52652900000000"/>
    <x v="1"/>
    <x v="19"/>
    <x v="2"/>
    <s v="JARDIM DA PENHA"/>
    <d v="2016-04-14T00:00:00"/>
    <d v="2016-05-06T00:00:00"/>
    <x v="0"/>
    <x v="71"/>
    <x v="1"/>
    <n v="0"/>
    <x v="1"/>
    <n v="0"/>
    <n v="0"/>
    <n v="0"/>
    <x v="0"/>
    <x v="0"/>
    <n v="0"/>
  </r>
  <r>
    <n v="229352000000000"/>
    <x v="0"/>
    <x v="56"/>
    <x v="1"/>
    <s v="JARDIM DA PENHA"/>
    <d v="2016-04-14T00:00:00"/>
    <d v="2016-05-13T00:00:00"/>
    <x v="0"/>
    <x v="63"/>
    <x v="1"/>
    <n v="0"/>
    <x v="1"/>
    <n v="0"/>
    <n v="0"/>
    <n v="0"/>
    <x v="1"/>
    <x v="0"/>
    <n v="0"/>
  </r>
  <r>
    <n v="9272170000000"/>
    <x v="0"/>
    <x v="22"/>
    <x v="4"/>
    <s v="ROMAO"/>
    <d v="2016-04-14T00:00:00"/>
    <d v="2016-05-05T00:00:00"/>
    <x v="3"/>
    <x v="73"/>
    <x v="1"/>
    <n v="1"/>
    <x v="1"/>
    <n v="0"/>
    <n v="0"/>
    <n v="0"/>
    <x v="0"/>
    <x v="0"/>
    <n v="0"/>
  </r>
  <r>
    <n v="919951000000000"/>
    <x v="0"/>
    <x v="79"/>
    <x v="5"/>
    <s v="JARDIM CAMBURI"/>
    <d v="2016-04-14T00:00:00"/>
    <d v="2016-05-31T00:00:00"/>
    <x v="4"/>
    <x v="61"/>
    <x v="0"/>
    <n v="1"/>
    <x v="1"/>
    <n v="0"/>
    <n v="0"/>
    <n v="0"/>
    <x v="0"/>
    <x v="0"/>
    <n v="0"/>
  </r>
  <r>
    <n v="168822000000000"/>
    <x v="0"/>
    <x v="28"/>
    <x v="3"/>
    <s v="JESUS DE NAZARETH"/>
    <d v="2016-04-14T00:00:00"/>
    <d v="2016-05-24T00:00:00"/>
    <x v="4"/>
    <x v="69"/>
    <x v="0"/>
    <n v="0"/>
    <x v="0"/>
    <n v="0"/>
    <n v="0"/>
    <n v="0"/>
    <x v="0"/>
    <x v="1"/>
    <n v="1"/>
  </r>
  <r>
    <n v="561911000000000"/>
    <x v="1"/>
    <x v="60"/>
    <x v="2"/>
    <s v="MARIA ORTIZ"/>
    <d v="2016-04-14T00:00:00"/>
    <d v="2016-05-20T00:00:00"/>
    <x v="0"/>
    <x v="55"/>
    <x v="0"/>
    <n v="0"/>
    <x v="1"/>
    <n v="0"/>
    <n v="0"/>
    <n v="0"/>
    <x v="1"/>
    <x v="0"/>
    <n v="0"/>
  </r>
  <r>
    <n v="6635480000000"/>
    <x v="0"/>
    <x v="40"/>
    <x v="1"/>
    <s v="MARIA ORTIZ"/>
    <d v="2016-04-14T00:00:00"/>
    <d v="2016-05-30T00:00:00"/>
    <x v="2"/>
    <x v="42"/>
    <x v="0"/>
    <n v="0"/>
    <x v="1"/>
    <n v="0"/>
    <n v="0"/>
    <n v="0"/>
    <x v="0"/>
    <x v="1"/>
    <n v="1"/>
  </r>
  <r>
    <n v="3549570000000"/>
    <x v="1"/>
    <x v="88"/>
    <x v="0"/>
    <s v="ILHA DE SANTA MARIA"/>
    <d v="2016-04-14T00:00:00"/>
    <d v="2016-05-17T00:00:00"/>
    <x v="4"/>
    <x v="62"/>
    <x v="0"/>
    <n v="0"/>
    <x v="1"/>
    <n v="0"/>
    <n v="0"/>
    <n v="0"/>
    <x v="1"/>
    <x v="0"/>
    <n v="0"/>
  </r>
  <r>
    <n v="168822000000000"/>
    <x v="0"/>
    <x v="28"/>
    <x v="3"/>
    <s v="JESUS DE NAZARETH"/>
    <d v="2016-04-14T00:00:00"/>
    <d v="2016-05-10T00:00:00"/>
    <x v="4"/>
    <x v="68"/>
    <x v="1"/>
    <n v="0"/>
    <x v="0"/>
    <n v="0"/>
    <n v="0"/>
    <n v="0"/>
    <x v="0"/>
    <x v="1"/>
    <n v="1"/>
  </r>
  <r>
    <n v="922785000000000"/>
    <x v="0"/>
    <x v="61"/>
    <x v="1"/>
    <s v="RESISTENCIA"/>
    <d v="2016-04-14T00:00:00"/>
    <d v="2016-04-29T00:00:00"/>
    <x v="0"/>
    <x v="79"/>
    <x v="1"/>
    <n v="0"/>
    <x v="1"/>
    <n v="0"/>
    <n v="0"/>
    <n v="0"/>
    <x v="0"/>
    <x v="0"/>
    <n v="0"/>
  </r>
  <r>
    <n v="1212230000000"/>
    <x v="0"/>
    <x v="30"/>
    <x v="3"/>
    <s v="JESUS DE NAZARETH"/>
    <d v="2016-04-14T00:00:00"/>
    <d v="2016-05-11T00:00:00"/>
    <x v="1"/>
    <x v="65"/>
    <x v="1"/>
    <n v="0"/>
    <x v="1"/>
    <n v="0"/>
    <n v="0"/>
    <n v="0"/>
    <x v="1"/>
    <x v="1"/>
    <n v="1"/>
  </r>
  <r>
    <n v="64119000000000"/>
    <x v="1"/>
    <x v="52"/>
    <x v="2"/>
    <s v="JARDIM CAMBURI"/>
    <d v="2016-04-14T00:00:00"/>
    <d v="2016-06-03T00:00:00"/>
    <x v="0"/>
    <x v="41"/>
    <x v="0"/>
    <n v="0"/>
    <x v="1"/>
    <n v="0"/>
    <n v="0"/>
    <n v="0"/>
    <x v="0"/>
    <x v="0"/>
    <n v="0"/>
  </r>
  <r>
    <n v="92786000000000"/>
    <x v="0"/>
    <x v="82"/>
    <x v="0"/>
    <s v="JARDIM DA PENHA"/>
    <d v="2016-04-14T00:00:00"/>
    <d v="2016-05-12T00:00:00"/>
    <x v="3"/>
    <x v="64"/>
    <x v="1"/>
    <n v="0"/>
    <x v="0"/>
    <n v="0"/>
    <n v="0"/>
    <n v="0"/>
    <x v="0"/>
    <x v="1"/>
    <n v="1"/>
  </r>
  <r>
    <n v="9192810000000"/>
    <x v="0"/>
    <x v="36"/>
    <x v="3"/>
    <s v="JARDIM DA PENHA"/>
    <d v="2016-04-14T00:00:00"/>
    <d v="2016-05-02T00:00:00"/>
    <x v="2"/>
    <x v="74"/>
    <x v="1"/>
    <n v="0"/>
    <x v="1"/>
    <n v="0"/>
    <n v="0"/>
    <n v="0"/>
    <x v="0"/>
    <x v="1"/>
    <n v="1"/>
  </r>
  <r>
    <n v="75487300000000"/>
    <x v="1"/>
    <x v="45"/>
    <x v="1"/>
    <s v="JARDIM CAMBURI"/>
    <d v="2016-04-14T00:00:00"/>
    <d v="2016-05-20T00:00:00"/>
    <x v="0"/>
    <x v="55"/>
    <x v="0"/>
    <n v="0"/>
    <x v="1"/>
    <n v="0"/>
    <n v="0"/>
    <n v="0"/>
    <x v="1"/>
    <x v="0"/>
    <n v="0"/>
  </r>
  <r>
    <n v="7972432873"/>
    <x v="1"/>
    <x v="46"/>
    <x v="2"/>
    <s v="JOANA D ARC"/>
    <d v="2016-04-14T00:00:00"/>
    <d v="2016-05-02T00:00:00"/>
    <x v="2"/>
    <x v="74"/>
    <x v="1"/>
    <n v="0"/>
    <x v="1"/>
    <n v="0"/>
    <n v="0"/>
    <n v="0"/>
    <x v="1"/>
    <x v="0"/>
    <n v="0"/>
  </r>
  <r>
    <n v="916763000000000"/>
    <x v="0"/>
    <x v="31"/>
    <x v="1"/>
    <s v="RESISTENCIA"/>
    <d v="2016-04-14T00:00:00"/>
    <d v="2016-05-02T00:00:00"/>
    <x v="2"/>
    <x v="74"/>
    <x v="1"/>
    <n v="0"/>
    <x v="0"/>
    <n v="0"/>
    <n v="0"/>
    <n v="0"/>
    <x v="1"/>
    <x v="1"/>
    <n v="1"/>
  </r>
  <r>
    <n v="24350000000000"/>
    <x v="1"/>
    <x v="54"/>
    <x v="1"/>
    <s v="JABOUR"/>
    <d v="2016-04-14T00:00:00"/>
    <d v="2016-05-17T00:00:00"/>
    <x v="4"/>
    <x v="62"/>
    <x v="0"/>
    <n v="0"/>
    <x v="1"/>
    <n v="0"/>
    <n v="0"/>
    <n v="0"/>
    <x v="1"/>
    <x v="0"/>
    <n v="0"/>
  </r>
  <r>
    <n v="44236500000000"/>
    <x v="0"/>
    <x v="4"/>
    <x v="2"/>
    <s v="JARDIM CAMBURI"/>
    <d v="2016-04-15T00:00:00"/>
    <d v="2016-05-04T00:00:00"/>
    <x v="1"/>
    <x v="77"/>
    <x v="1"/>
    <n v="0"/>
    <x v="1"/>
    <n v="0"/>
    <n v="0"/>
    <n v="0"/>
    <x v="0"/>
    <x v="0"/>
    <n v="0"/>
  </r>
  <r>
    <n v="6273110000000"/>
    <x v="0"/>
    <x v="48"/>
    <x v="3"/>
    <s v="ITARARE"/>
    <d v="2016-04-15T00:00:00"/>
    <d v="2016-05-03T00:00:00"/>
    <x v="4"/>
    <x v="74"/>
    <x v="1"/>
    <n v="0"/>
    <x v="0"/>
    <n v="1"/>
    <n v="0"/>
    <n v="0"/>
    <x v="0"/>
    <x v="0"/>
    <n v="0"/>
  </r>
  <r>
    <n v="684627000000"/>
    <x v="1"/>
    <x v="21"/>
    <x v="1"/>
    <s v="JOANA D ARC"/>
    <d v="2016-04-15T00:00:00"/>
    <d v="2016-05-02T00:00:00"/>
    <x v="2"/>
    <x v="75"/>
    <x v="1"/>
    <n v="0"/>
    <x v="1"/>
    <n v="0"/>
    <n v="0"/>
    <n v="0"/>
    <x v="1"/>
    <x v="0"/>
    <n v="0"/>
  </r>
  <r>
    <n v="87499900000000"/>
    <x v="1"/>
    <x v="24"/>
    <x v="1"/>
    <s v="MATA DA PRAIA"/>
    <d v="2016-04-15T00:00:00"/>
    <d v="2016-05-06T00:00:00"/>
    <x v="0"/>
    <x v="73"/>
    <x v="1"/>
    <n v="0"/>
    <x v="1"/>
    <n v="0"/>
    <n v="0"/>
    <n v="0"/>
    <x v="0"/>
    <x v="0"/>
    <n v="0"/>
  </r>
  <r>
    <n v="88678600000000"/>
    <x v="1"/>
    <x v="62"/>
    <x v="3"/>
    <s v="MARIA ORTIZ"/>
    <d v="2016-04-15T00:00:00"/>
    <d v="2016-05-18T00:00:00"/>
    <x v="1"/>
    <x v="62"/>
    <x v="0"/>
    <n v="0"/>
    <x v="1"/>
    <n v="0"/>
    <n v="0"/>
    <n v="0"/>
    <x v="1"/>
    <x v="0"/>
    <n v="0"/>
  </r>
  <r>
    <n v="55956500000000"/>
    <x v="0"/>
    <x v="42"/>
    <x v="3"/>
    <s v="CARATOIRA"/>
    <d v="2016-04-15T00:00:00"/>
    <d v="2016-05-06T00:00:00"/>
    <x v="0"/>
    <x v="73"/>
    <x v="1"/>
    <n v="0"/>
    <x v="1"/>
    <n v="0"/>
    <n v="0"/>
    <n v="0"/>
    <x v="0"/>
    <x v="0"/>
    <n v="0"/>
  </r>
  <r>
    <n v="576795000000000"/>
    <x v="0"/>
    <x v="57"/>
    <x v="2"/>
    <s v="MARIA ORTIZ"/>
    <d v="2016-04-15T00:00:00"/>
    <d v="2016-05-18T00:00:00"/>
    <x v="1"/>
    <x v="62"/>
    <x v="0"/>
    <n v="0"/>
    <x v="1"/>
    <n v="0"/>
    <n v="0"/>
    <n v="0"/>
    <x v="1"/>
    <x v="0"/>
    <n v="0"/>
  </r>
  <r>
    <n v="27256700000000"/>
    <x v="1"/>
    <x v="26"/>
    <x v="0"/>
    <s v="SANTO ANTONIO"/>
    <d v="2016-04-15T00:00:00"/>
    <d v="2016-05-02T00:00:00"/>
    <x v="2"/>
    <x v="75"/>
    <x v="1"/>
    <n v="0"/>
    <x v="0"/>
    <n v="1"/>
    <n v="0"/>
    <n v="0"/>
    <x v="1"/>
    <x v="0"/>
    <n v="0"/>
  </r>
  <r>
    <n v="77397739264"/>
    <x v="1"/>
    <x v="64"/>
    <x v="3"/>
    <s v="CARATOIRA"/>
    <d v="2016-04-15T00:00:00"/>
    <d v="2016-05-06T00:00:00"/>
    <x v="0"/>
    <x v="73"/>
    <x v="1"/>
    <n v="0"/>
    <x v="0"/>
    <n v="0"/>
    <n v="0"/>
    <n v="0"/>
    <x v="0"/>
    <x v="0"/>
    <n v="0"/>
  </r>
  <r>
    <n v="77397739264"/>
    <x v="1"/>
    <x v="64"/>
    <x v="3"/>
    <s v="CARATOIRA"/>
    <d v="2016-04-15T00:00:00"/>
    <d v="2016-05-05T00:00:00"/>
    <x v="3"/>
    <x v="76"/>
    <x v="1"/>
    <n v="0"/>
    <x v="0"/>
    <n v="0"/>
    <n v="0"/>
    <n v="0"/>
    <x v="1"/>
    <x v="0"/>
    <n v="0"/>
  </r>
  <r>
    <n v="9727470000000"/>
    <x v="0"/>
    <x v="25"/>
    <x v="4"/>
    <s v="PRAIA DO CANTO"/>
    <d v="2016-04-15T00:00:00"/>
    <d v="2016-05-02T00:00:00"/>
    <x v="2"/>
    <x v="75"/>
    <x v="1"/>
    <n v="0"/>
    <x v="1"/>
    <n v="0"/>
    <n v="0"/>
    <n v="0"/>
    <x v="0"/>
    <x v="0"/>
    <n v="0"/>
  </r>
  <r>
    <n v="651872000000000"/>
    <x v="1"/>
    <x v="16"/>
    <x v="1"/>
    <s v="ITARARE"/>
    <d v="2016-04-15T00:00:00"/>
    <d v="2016-05-02T00:00:00"/>
    <x v="2"/>
    <x v="75"/>
    <x v="1"/>
    <n v="0"/>
    <x v="1"/>
    <n v="0"/>
    <n v="0"/>
    <n v="0"/>
    <x v="0"/>
    <x v="0"/>
    <n v="0"/>
  </r>
  <r>
    <n v="24823597659"/>
    <x v="1"/>
    <x v="42"/>
    <x v="3"/>
    <s v="ITARARE"/>
    <d v="2016-04-15T00:00:00"/>
    <d v="2016-05-02T00:00:00"/>
    <x v="2"/>
    <x v="75"/>
    <x v="1"/>
    <n v="0"/>
    <x v="0"/>
    <n v="0"/>
    <n v="1"/>
    <n v="0"/>
    <x v="0"/>
    <x v="0"/>
    <n v="0"/>
  </r>
  <r>
    <n v="5561950000000"/>
    <x v="0"/>
    <x v="21"/>
    <x v="1"/>
    <s v="CARATOIRA"/>
    <d v="2016-04-15T00:00:00"/>
    <d v="2016-05-11T00:00:00"/>
    <x v="1"/>
    <x v="68"/>
    <x v="1"/>
    <n v="0"/>
    <x v="1"/>
    <n v="0"/>
    <n v="0"/>
    <n v="0"/>
    <x v="0"/>
    <x v="0"/>
    <n v="0"/>
  </r>
  <r>
    <n v="294467000000000"/>
    <x v="1"/>
    <x v="40"/>
    <x v="1"/>
    <s v="DA PENHA"/>
    <d v="2016-04-15T00:00:00"/>
    <d v="2016-04-29T00:00:00"/>
    <x v="0"/>
    <x v="80"/>
    <x v="2"/>
    <n v="0"/>
    <x v="1"/>
    <n v="0"/>
    <n v="0"/>
    <n v="0"/>
    <x v="0"/>
    <x v="0"/>
    <n v="0"/>
  </r>
  <r>
    <n v="39727500000000"/>
    <x v="0"/>
    <x v="29"/>
    <x v="3"/>
    <s v="JARDIM DA PENHA"/>
    <d v="2016-04-15T00:00:00"/>
    <d v="2016-04-29T00:00:00"/>
    <x v="0"/>
    <x v="80"/>
    <x v="2"/>
    <n v="0"/>
    <x v="0"/>
    <n v="0"/>
    <n v="0"/>
    <n v="0"/>
    <x v="0"/>
    <x v="0"/>
    <n v="0"/>
  </r>
  <r>
    <n v="8188120000000"/>
    <x v="1"/>
    <x v="84"/>
    <x v="1"/>
    <s v="ITARARE"/>
    <d v="2016-04-15T00:00:00"/>
    <d v="2016-05-03T00:00:00"/>
    <x v="4"/>
    <x v="74"/>
    <x v="1"/>
    <n v="0"/>
    <x v="0"/>
    <n v="0"/>
    <n v="0"/>
    <n v="1"/>
    <x v="1"/>
    <x v="0"/>
    <n v="0"/>
  </r>
  <r>
    <n v="295445000000"/>
    <x v="1"/>
    <x v="43"/>
    <x v="2"/>
    <s v="ARIOVALDO FAVALESSA"/>
    <d v="2016-04-15T00:00:00"/>
    <d v="2016-05-13T00:00:00"/>
    <x v="0"/>
    <x v="64"/>
    <x v="1"/>
    <n v="0"/>
    <x v="1"/>
    <n v="0"/>
    <n v="0"/>
    <n v="0"/>
    <x v="1"/>
    <x v="0"/>
    <n v="0"/>
  </r>
  <r>
    <n v="12517600000000"/>
    <x v="1"/>
    <x v="53"/>
    <x v="0"/>
    <s v="ITARARE"/>
    <d v="2016-04-15T00:00:00"/>
    <d v="2016-04-29T00:00:00"/>
    <x v="0"/>
    <x v="80"/>
    <x v="2"/>
    <n v="0"/>
    <x v="0"/>
    <n v="0"/>
    <n v="0"/>
    <n v="0"/>
    <x v="1"/>
    <x v="0"/>
    <n v="0"/>
  </r>
  <r>
    <n v="816735000000"/>
    <x v="0"/>
    <x v="49"/>
    <x v="4"/>
    <s v="CARATOIRA"/>
    <d v="2016-04-15T00:00:00"/>
    <d v="2016-05-05T00:00:00"/>
    <x v="3"/>
    <x v="76"/>
    <x v="1"/>
    <n v="1"/>
    <x v="1"/>
    <n v="0"/>
    <n v="0"/>
    <n v="0"/>
    <x v="1"/>
    <x v="0"/>
    <n v="0"/>
  </r>
  <r>
    <n v="774924000000"/>
    <x v="0"/>
    <x v="62"/>
    <x v="3"/>
    <s v="CARATOIRA"/>
    <d v="2016-04-15T00:00:00"/>
    <d v="2016-05-10T00:00:00"/>
    <x v="4"/>
    <x v="70"/>
    <x v="1"/>
    <n v="1"/>
    <x v="1"/>
    <n v="0"/>
    <n v="0"/>
    <n v="0"/>
    <x v="0"/>
    <x v="0"/>
    <n v="0"/>
  </r>
  <r>
    <n v="12578900000000"/>
    <x v="0"/>
    <x v="15"/>
    <x v="3"/>
    <s v="SANTA LUIZA"/>
    <d v="2016-04-15T00:00:00"/>
    <d v="2016-05-03T00:00:00"/>
    <x v="4"/>
    <x v="74"/>
    <x v="1"/>
    <n v="0"/>
    <x v="0"/>
    <n v="1"/>
    <n v="0"/>
    <n v="0"/>
    <x v="0"/>
    <x v="0"/>
    <n v="0"/>
  </r>
  <r>
    <n v="73443700000000"/>
    <x v="1"/>
    <x v="57"/>
    <x v="2"/>
    <s v="CARATOIRA"/>
    <d v="2016-04-15T00:00:00"/>
    <d v="2016-05-03T00:00:00"/>
    <x v="4"/>
    <x v="74"/>
    <x v="1"/>
    <n v="0"/>
    <x v="1"/>
    <n v="0"/>
    <n v="0"/>
    <n v="0"/>
    <x v="1"/>
    <x v="0"/>
    <n v="0"/>
  </r>
  <r>
    <n v="34183200000000"/>
    <x v="0"/>
    <x v="38"/>
    <x v="4"/>
    <s v="CARATOIRA"/>
    <d v="2016-04-15T00:00:00"/>
    <d v="2016-05-12T00:00:00"/>
    <x v="3"/>
    <x v="65"/>
    <x v="1"/>
    <n v="1"/>
    <x v="1"/>
    <n v="0"/>
    <n v="0"/>
    <n v="0"/>
    <x v="1"/>
    <x v="1"/>
    <n v="1"/>
  </r>
  <r>
    <n v="268652000000000"/>
    <x v="1"/>
    <x v="64"/>
    <x v="3"/>
    <s v="PRAIA DO CANTO"/>
    <d v="2016-04-15T00:00:00"/>
    <d v="2016-05-03T00:00:00"/>
    <x v="4"/>
    <x v="74"/>
    <x v="1"/>
    <n v="0"/>
    <x v="0"/>
    <n v="1"/>
    <n v="0"/>
    <n v="0"/>
    <x v="0"/>
    <x v="0"/>
    <n v="0"/>
  </r>
  <r>
    <n v="773938000000000"/>
    <x v="0"/>
    <x v="38"/>
    <x v="4"/>
    <s v="CARATOIRA"/>
    <d v="2016-04-15T00:00:00"/>
    <d v="2016-05-10T00:00:00"/>
    <x v="4"/>
    <x v="70"/>
    <x v="1"/>
    <n v="0"/>
    <x v="1"/>
    <n v="0"/>
    <n v="0"/>
    <n v="0"/>
    <x v="0"/>
    <x v="0"/>
    <n v="0"/>
  </r>
  <r>
    <n v="55879600000000"/>
    <x v="0"/>
    <x v="50"/>
    <x v="1"/>
    <s v="CARATOIRA"/>
    <d v="2016-04-15T00:00:00"/>
    <d v="2016-05-12T00:00:00"/>
    <x v="3"/>
    <x v="65"/>
    <x v="1"/>
    <n v="0"/>
    <x v="1"/>
    <n v="0"/>
    <n v="0"/>
    <n v="0"/>
    <x v="0"/>
    <x v="0"/>
    <n v="0"/>
  </r>
  <r>
    <n v="185511000000000"/>
    <x v="1"/>
    <x v="52"/>
    <x v="2"/>
    <s v="JOANA D ARC"/>
    <d v="2016-04-15T00:00:00"/>
    <d v="2016-06-01T00:00:00"/>
    <x v="1"/>
    <x v="61"/>
    <x v="0"/>
    <n v="0"/>
    <x v="1"/>
    <n v="0"/>
    <n v="0"/>
    <n v="0"/>
    <x v="0"/>
    <x v="0"/>
    <n v="0"/>
  </r>
  <r>
    <n v="948723000000000"/>
    <x v="0"/>
    <x v="70"/>
    <x v="5"/>
    <s v="ARIOVALDO FAVALESSA"/>
    <d v="2016-04-15T00:00:00"/>
    <d v="2016-05-10T00:00:00"/>
    <x v="4"/>
    <x v="70"/>
    <x v="1"/>
    <n v="1"/>
    <x v="1"/>
    <n v="0"/>
    <n v="0"/>
    <n v="0"/>
    <x v="0"/>
    <x v="1"/>
    <n v="1"/>
  </r>
  <r>
    <n v="73296600000000"/>
    <x v="1"/>
    <x v="6"/>
    <x v="0"/>
    <s v="REDENCAO"/>
    <d v="2016-04-15T00:00:00"/>
    <d v="2016-04-29T00:00:00"/>
    <x v="0"/>
    <x v="80"/>
    <x v="2"/>
    <n v="0"/>
    <x v="0"/>
    <n v="0"/>
    <n v="1"/>
    <n v="0"/>
    <x v="1"/>
    <x v="0"/>
    <n v="0"/>
  </r>
  <r>
    <n v="11952700000000"/>
    <x v="1"/>
    <x v="56"/>
    <x v="1"/>
    <s v="SANTA LUCIA"/>
    <d v="2016-04-15T00:00:00"/>
    <d v="2016-05-02T00:00:00"/>
    <x v="2"/>
    <x v="75"/>
    <x v="1"/>
    <n v="0"/>
    <x v="1"/>
    <n v="0"/>
    <n v="0"/>
    <n v="0"/>
    <x v="0"/>
    <x v="0"/>
    <n v="0"/>
  </r>
  <r>
    <n v="532148000000"/>
    <x v="0"/>
    <x v="16"/>
    <x v="1"/>
    <s v="MARIA ORTIZ"/>
    <d v="2016-04-15T00:00:00"/>
    <d v="2016-05-24T00:00:00"/>
    <x v="4"/>
    <x v="50"/>
    <x v="0"/>
    <n v="0"/>
    <x v="1"/>
    <n v="0"/>
    <n v="0"/>
    <n v="0"/>
    <x v="0"/>
    <x v="0"/>
    <n v="0"/>
  </r>
  <r>
    <n v="99959500000000"/>
    <x v="0"/>
    <x v="43"/>
    <x v="2"/>
    <s v="MARIA ORTIZ"/>
    <d v="2016-04-15T00:00:00"/>
    <d v="2016-05-19T00:00:00"/>
    <x v="3"/>
    <x v="58"/>
    <x v="0"/>
    <n v="0"/>
    <x v="1"/>
    <n v="0"/>
    <n v="0"/>
    <n v="0"/>
    <x v="1"/>
    <x v="0"/>
    <n v="0"/>
  </r>
  <r>
    <n v="449133000000"/>
    <x v="0"/>
    <x v="72"/>
    <x v="5"/>
    <s v="ITARARE"/>
    <d v="2016-04-15T00:00:00"/>
    <d v="2016-05-02T00:00:00"/>
    <x v="2"/>
    <x v="75"/>
    <x v="1"/>
    <n v="0"/>
    <x v="1"/>
    <n v="0"/>
    <n v="0"/>
    <n v="0"/>
    <x v="0"/>
    <x v="0"/>
    <n v="0"/>
  </r>
  <r>
    <n v="5389240000000"/>
    <x v="0"/>
    <x v="42"/>
    <x v="3"/>
    <s v="CENTRO"/>
    <d v="2016-04-15T00:00:00"/>
    <d v="2016-05-05T00:00:00"/>
    <x v="3"/>
    <x v="76"/>
    <x v="1"/>
    <n v="1"/>
    <x v="0"/>
    <n v="1"/>
    <n v="0"/>
    <n v="0"/>
    <x v="0"/>
    <x v="0"/>
    <n v="0"/>
  </r>
  <r>
    <n v="76955900000000"/>
    <x v="1"/>
    <x v="4"/>
    <x v="2"/>
    <s v="RESISTENCIA"/>
    <d v="2016-04-15T00:00:00"/>
    <d v="2016-05-04T00:00:00"/>
    <x v="1"/>
    <x v="77"/>
    <x v="1"/>
    <n v="0"/>
    <x v="1"/>
    <n v="0"/>
    <n v="0"/>
    <n v="0"/>
    <x v="0"/>
    <x v="0"/>
    <n v="0"/>
  </r>
  <r>
    <n v="692223000000000"/>
    <x v="1"/>
    <x v="38"/>
    <x v="4"/>
    <s v="MARIA ORTIZ"/>
    <d v="2016-04-15T00:00:00"/>
    <d v="2016-05-24T00:00:00"/>
    <x v="4"/>
    <x v="50"/>
    <x v="0"/>
    <n v="0"/>
    <x v="1"/>
    <n v="0"/>
    <n v="0"/>
    <n v="0"/>
    <x v="1"/>
    <x v="1"/>
    <n v="1"/>
  </r>
  <r>
    <n v="4765190000000"/>
    <x v="0"/>
    <x v="15"/>
    <x v="3"/>
    <s v="GURIGICA"/>
    <d v="2016-04-15T00:00:00"/>
    <d v="2016-05-25T00:00:00"/>
    <x v="1"/>
    <x v="69"/>
    <x v="0"/>
    <n v="0"/>
    <x v="0"/>
    <n v="0"/>
    <n v="0"/>
    <n v="0"/>
    <x v="0"/>
    <x v="0"/>
    <n v="0"/>
  </r>
  <r>
    <n v="2616700000000"/>
    <x v="0"/>
    <x v="62"/>
    <x v="3"/>
    <s v="ILHA DO PRINCIPE"/>
    <d v="2016-04-15T00:00:00"/>
    <d v="2016-04-29T00:00:00"/>
    <x v="0"/>
    <x v="80"/>
    <x v="2"/>
    <n v="0"/>
    <x v="1"/>
    <n v="0"/>
    <n v="0"/>
    <n v="0"/>
    <x v="0"/>
    <x v="0"/>
    <n v="0"/>
  </r>
  <r>
    <n v="463625000000000"/>
    <x v="0"/>
    <x v="48"/>
    <x v="3"/>
    <s v="SOLON BORGES"/>
    <d v="2016-04-15T00:00:00"/>
    <d v="2016-05-16T00:00:00"/>
    <x v="2"/>
    <x v="57"/>
    <x v="0"/>
    <n v="0"/>
    <x v="1"/>
    <n v="0"/>
    <n v="0"/>
    <n v="0"/>
    <x v="1"/>
    <x v="1"/>
    <n v="1"/>
  </r>
  <r>
    <n v="99549800000000"/>
    <x v="0"/>
    <x v="2"/>
    <x v="1"/>
    <s v="CONSOLACAO"/>
    <d v="2016-04-15T00:00:00"/>
    <d v="2016-05-02T00:00:00"/>
    <x v="2"/>
    <x v="75"/>
    <x v="1"/>
    <n v="0"/>
    <x v="1"/>
    <n v="0"/>
    <n v="0"/>
    <n v="0"/>
    <x v="0"/>
    <x v="0"/>
    <n v="0"/>
  </r>
  <r>
    <n v="97392400000000"/>
    <x v="0"/>
    <x v="68"/>
    <x v="4"/>
    <s v="MARIA ORTIZ"/>
    <d v="2016-04-15T00:00:00"/>
    <d v="2016-05-25T00:00:00"/>
    <x v="1"/>
    <x v="69"/>
    <x v="0"/>
    <n v="0"/>
    <x v="1"/>
    <n v="0"/>
    <n v="0"/>
    <n v="0"/>
    <x v="0"/>
    <x v="0"/>
    <n v="0"/>
  </r>
  <r>
    <n v="816132000000000"/>
    <x v="1"/>
    <x v="55"/>
    <x v="2"/>
    <s v="REPUBLICA"/>
    <d v="2016-04-15T00:00:00"/>
    <d v="2016-05-20T00:00:00"/>
    <x v="0"/>
    <x v="59"/>
    <x v="0"/>
    <n v="0"/>
    <x v="1"/>
    <n v="0"/>
    <n v="0"/>
    <n v="0"/>
    <x v="1"/>
    <x v="0"/>
    <n v="0"/>
  </r>
  <r>
    <n v="311684000000"/>
    <x v="0"/>
    <x v="48"/>
    <x v="3"/>
    <s v="MARUIPE"/>
    <d v="2016-04-15T00:00:00"/>
    <d v="2016-05-06T00:00:00"/>
    <x v="0"/>
    <x v="73"/>
    <x v="1"/>
    <n v="0"/>
    <x v="0"/>
    <n v="0"/>
    <n v="1"/>
    <n v="0"/>
    <x v="0"/>
    <x v="0"/>
    <n v="0"/>
  </r>
  <r>
    <n v="8658940000000"/>
    <x v="1"/>
    <x v="5"/>
    <x v="1"/>
    <s v="ITARARE"/>
    <d v="2016-04-15T00:00:00"/>
    <d v="2016-05-02T00:00:00"/>
    <x v="2"/>
    <x v="75"/>
    <x v="1"/>
    <n v="0"/>
    <x v="1"/>
    <n v="0"/>
    <n v="0"/>
    <n v="0"/>
    <x v="0"/>
    <x v="1"/>
    <n v="1"/>
  </r>
  <r>
    <n v="3671770000000"/>
    <x v="0"/>
    <x v="61"/>
    <x v="1"/>
    <s v="BARRO VERMELHO"/>
    <d v="2016-04-15T00:00:00"/>
    <d v="2016-05-05T00:00:00"/>
    <x v="3"/>
    <x v="76"/>
    <x v="1"/>
    <n v="0"/>
    <x v="1"/>
    <n v="0"/>
    <n v="0"/>
    <n v="0"/>
    <x v="0"/>
    <x v="1"/>
    <n v="1"/>
  </r>
  <r>
    <n v="869927000000000"/>
    <x v="0"/>
    <x v="60"/>
    <x v="2"/>
    <s v="ITARARE"/>
    <d v="2016-04-15T00:00:00"/>
    <d v="2016-05-02T00:00:00"/>
    <x v="2"/>
    <x v="75"/>
    <x v="1"/>
    <n v="0"/>
    <x v="1"/>
    <n v="0"/>
    <n v="0"/>
    <n v="0"/>
    <x v="0"/>
    <x v="0"/>
    <n v="0"/>
  </r>
  <r>
    <n v="2648430000000"/>
    <x v="1"/>
    <x v="55"/>
    <x v="2"/>
    <s v="MARIA ORTIZ"/>
    <d v="2016-04-15T00:00:00"/>
    <d v="2016-05-20T00:00:00"/>
    <x v="0"/>
    <x v="59"/>
    <x v="0"/>
    <n v="0"/>
    <x v="1"/>
    <n v="0"/>
    <n v="0"/>
    <n v="0"/>
    <x v="1"/>
    <x v="1"/>
    <n v="1"/>
  </r>
  <r>
    <n v="6924220000000"/>
    <x v="0"/>
    <x v="65"/>
    <x v="2"/>
    <s v="CENTRO"/>
    <d v="2016-04-15T00:00:00"/>
    <d v="2016-05-05T00:00:00"/>
    <x v="3"/>
    <x v="76"/>
    <x v="1"/>
    <n v="0"/>
    <x v="1"/>
    <n v="0"/>
    <n v="0"/>
    <n v="0"/>
    <x v="0"/>
    <x v="0"/>
    <n v="0"/>
  </r>
  <r>
    <n v="45876900000000"/>
    <x v="0"/>
    <x v="32"/>
    <x v="4"/>
    <s v="RESISTENCIA"/>
    <d v="2016-04-15T00:00:00"/>
    <d v="2016-05-06T00:00:00"/>
    <x v="0"/>
    <x v="73"/>
    <x v="1"/>
    <n v="0"/>
    <x v="1"/>
    <n v="0"/>
    <n v="0"/>
    <n v="0"/>
    <x v="1"/>
    <x v="0"/>
    <n v="0"/>
  </r>
  <r>
    <n v="62197200000000"/>
    <x v="0"/>
    <x v="73"/>
    <x v="4"/>
    <s v="CARATOIRA"/>
    <d v="2016-04-15T00:00:00"/>
    <d v="2016-05-06T00:00:00"/>
    <x v="0"/>
    <x v="73"/>
    <x v="1"/>
    <n v="1"/>
    <x v="1"/>
    <n v="0"/>
    <n v="0"/>
    <n v="0"/>
    <x v="1"/>
    <x v="0"/>
    <n v="0"/>
  </r>
  <r>
    <n v="571887000000"/>
    <x v="0"/>
    <x v="54"/>
    <x v="1"/>
    <s v="CARATOIRA"/>
    <d v="2016-04-15T00:00:00"/>
    <d v="2016-05-02T00:00:00"/>
    <x v="2"/>
    <x v="75"/>
    <x v="1"/>
    <n v="0"/>
    <x v="1"/>
    <n v="0"/>
    <n v="0"/>
    <n v="0"/>
    <x v="0"/>
    <x v="1"/>
    <n v="1"/>
  </r>
  <r>
    <n v="3776340000000"/>
    <x v="0"/>
    <x v="44"/>
    <x v="4"/>
    <s v="ITARARE"/>
    <d v="2016-04-15T00:00:00"/>
    <d v="2016-05-03T00:00:00"/>
    <x v="4"/>
    <x v="74"/>
    <x v="1"/>
    <n v="0"/>
    <x v="1"/>
    <n v="0"/>
    <n v="0"/>
    <n v="0"/>
    <x v="1"/>
    <x v="1"/>
    <n v="1"/>
  </r>
  <r>
    <n v="7478530000000"/>
    <x v="0"/>
    <x v="45"/>
    <x v="1"/>
    <s v="CARATOIRA"/>
    <d v="2016-04-15T00:00:00"/>
    <d v="2016-05-11T00:00:00"/>
    <x v="1"/>
    <x v="68"/>
    <x v="1"/>
    <n v="0"/>
    <x v="1"/>
    <n v="0"/>
    <n v="0"/>
    <n v="0"/>
    <x v="1"/>
    <x v="1"/>
    <n v="1"/>
  </r>
  <r>
    <n v="11862400000000"/>
    <x v="1"/>
    <x v="43"/>
    <x v="2"/>
    <s v="FONTE GRANDE"/>
    <d v="2016-04-15T00:00:00"/>
    <d v="2016-05-06T00:00:00"/>
    <x v="0"/>
    <x v="73"/>
    <x v="1"/>
    <n v="1"/>
    <x v="1"/>
    <n v="0"/>
    <n v="0"/>
    <n v="0"/>
    <x v="0"/>
    <x v="0"/>
    <n v="0"/>
  </r>
  <r>
    <n v="115566000000000"/>
    <x v="1"/>
    <x v="58"/>
    <x v="0"/>
    <s v="MATA DA PRAIA"/>
    <d v="2016-04-15T00:00:00"/>
    <d v="2016-05-09T00:00:00"/>
    <x v="2"/>
    <x v="66"/>
    <x v="1"/>
    <n v="0"/>
    <x v="0"/>
    <n v="0"/>
    <n v="0"/>
    <n v="0"/>
    <x v="1"/>
    <x v="0"/>
    <n v="0"/>
  </r>
  <r>
    <n v="839993000000"/>
    <x v="0"/>
    <x v="15"/>
    <x v="3"/>
    <s v="BENTO FERREIRA"/>
    <d v="2016-04-15T00:00:00"/>
    <d v="2016-05-13T00:00:00"/>
    <x v="0"/>
    <x v="64"/>
    <x v="1"/>
    <n v="0"/>
    <x v="1"/>
    <n v="0"/>
    <n v="0"/>
    <n v="0"/>
    <x v="1"/>
    <x v="0"/>
    <n v="0"/>
  </r>
  <r>
    <n v="86926900000000"/>
    <x v="0"/>
    <x v="30"/>
    <x v="3"/>
    <s v="SANTA LUCIA"/>
    <d v="2016-04-15T00:00:00"/>
    <d v="2016-05-03T00:00:00"/>
    <x v="4"/>
    <x v="74"/>
    <x v="1"/>
    <n v="0"/>
    <x v="1"/>
    <n v="0"/>
    <n v="0"/>
    <n v="0"/>
    <x v="0"/>
    <x v="1"/>
    <n v="1"/>
  </r>
  <r>
    <n v="76784500000000"/>
    <x v="0"/>
    <x v="53"/>
    <x v="0"/>
    <s v="ITARARE"/>
    <d v="2016-04-15T00:00:00"/>
    <d v="2016-05-16T00:00:00"/>
    <x v="2"/>
    <x v="57"/>
    <x v="0"/>
    <n v="0"/>
    <x v="1"/>
    <n v="0"/>
    <n v="0"/>
    <n v="0"/>
    <x v="1"/>
    <x v="0"/>
    <n v="0"/>
  </r>
  <r>
    <n v="115328000000"/>
    <x v="0"/>
    <x v="78"/>
    <x v="0"/>
    <s v="PRAIA DO SUA"/>
    <d v="2016-04-15T00:00:00"/>
    <d v="2016-05-02T00:00:00"/>
    <x v="2"/>
    <x v="75"/>
    <x v="1"/>
    <n v="0"/>
    <x v="0"/>
    <n v="0"/>
    <n v="0"/>
    <n v="0"/>
    <x v="0"/>
    <x v="0"/>
    <n v="0"/>
  </r>
  <r>
    <n v="337254000000000"/>
    <x v="0"/>
    <x v="19"/>
    <x v="2"/>
    <s v="ITARARE"/>
    <d v="2016-04-15T00:00:00"/>
    <d v="2016-05-24T00:00:00"/>
    <x v="4"/>
    <x v="50"/>
    <x v="0"/>
    <n v="0"/>
    <x v="1"/>
    <n v="0"/>
    <n v="0"/>
    <n v="0"/>
    <x v="1"/>
    <x v="0"/>
    <n v="0"/>
  </r>
  <r>
    <n v="35759600000000"/>
    <x v="0"/>
    <x v="77"/>
    <x v="4"/>
    <s v="CARATOIRA"/>
    <d v="2016-04-15T00:00:00"/>
    <d v="2016-05-06T00:00:00"/>
    <x v="0"/>
    <x v="73"/>
    <x v="1"/>
    <n v="1"/>
    <x v="1"/>
    <n v="0"/>
    <n v="0"/>
    <n v="0"/>
    <x v="1"/>
    <x v="0"/>
    <n v="0"/>
  </r>
  <r>
    <n v="72477300000000"/>
    <x v="0"/>
    <x v="79"/>
    <x v="5"/>
    <s v="ANDORINHAS"/>
    <d v="2016-04-15T00:00:00"/>
    <d v="2016-05-31T00:00:00"/>
    <x v="4"/>
    <x v="42"/>
    <x v="0"/>
    <n v="0"/>
    <x v="1"/>
    <n v="0"/>
    <n v="0"/>
    <n v="0"/>
    <x v="0"/>
    <x v="0"/>
    <n v="0"/>
  </r>
  <r>
    <n v="86882500000000"/>
    <x v="0"/>
    <x v="28"/>
    <x v="3"/>
    <s v="JESUS DE NAZARETH"/>
    <d v="2016-04-15T00:00:00"/>
    <d v="2016-05-05T00:00:00"/>
    <x v="3"/>
    <x v="76"/>
    <x v="1"/>
    <n v="0"/>
    <x v="1"/>
    <n v="0"/>
    <n v="0"/>
    <n v="0"/>
    <x v="0"/>
    <x v="0"/>
    <n v="0"/>
  </r>
  <r>
    <n v="46479600000000"/>
    <x v="0"/>
    <x v="77"/>
    <x v="4"/>
    <s v="JABOUR"/>
    <d v="2016-04-15T00:00:00"/>
    <d v="2016-05-12T00:00:00"/>
    <x v="3"/>
    <x v="65"/>
    <x v="1"/>
    <n v="1"/>
    <x v="1"/>
    <n v="0"/>
    <n v="0"/>
    <n v="0"/>
    <x v="0"/>
    <x v="0"/>
    <n v="0"/>
  </r>
  <r>
    <n v="5721380000000"/>
    <x v="1"/>
    <x v="67"/>
    <x v="4"/>
    <s v="CARATOIRA"/>
    <d v="2016-04-15T00:00:00"/>
    <d v="2016-05-12T00:00:00"/>
    <x v="3"/>
    <x v="65"/>
    <x v="1"/>
    <n v="0"/>
    <x v="1"/>
    <n v="0"/>
    <n v="0"/>
    <n v="0"/>
    <x v="1"/>
    <x v="1"/>
    <n v="1"/>
  </r>
  <r>
    <n v="99289700000000"/>
    <x v="1"/>
    <x v="57"/>
    <x v="2"/>
    <s v="ITARARE"/>
    <d v="2016-04-15T00:00:00"/>
    <d v="2016-05-05T00:00:00"/>
    <x v="3"/>
    <x v="76"/>
    <x v="1"/>
    <n v="0"/>
    <x v="1"/>
    <n v="0"/>
    <n v="0"/>
    <n v="0"/>
    <x v="0"/>
    <x v="0"/>
    <n v="0"/>
  </r>
  <r>
    <n v="982872000000"/>
    <x v="0"/>
    <x v="5"/>
    <x v="1"/>
    <s v="DO QUADRO"/>
    <d v="2016-04-15T00:00:00"/>
    <d v="2016-05-04T00:00:00"/>
    <x v="1"/>
    <x v="77"/>
    <x v="1"/>
    <n v="0"/>
    <x v="1"/>
    <n v="0"/>
    <n v="0"/>
    <n v="0"/>
    <x v="0"/>
    <x v="1"/>
    <n v="1"/>
  </r>
  <r>
    <n v="92557100000000"/>
    <x v="1"/>
    <x v="37"/>
    <x v="3"/>
    <s v="MARIA ORTIZ"/>
    <d v="2016-04-15T00:00:00"/>
    <d v="2016-05-17T00:00:00"/>
    <x v="4"/>
    <x v="54"/>
    <x v="0"/>
    <n v="0"/>
    <x v="1"/>
    <n v="0"/>
    <n v="0"/>
    <n v="0"/>
    <x v="1"/>
    <x v="0"/>
    <n v="0"/>
  </r>
  <r>
    <n v="768314000000000"/>
    <x v="1"/>
    <x v="74"/>
    <x v="1"/>
    <s v="CENTRO"/>
    <d v="2016-04-15T00:00:00"/>
    <d v="2016-04-29T00:00:00"/>
    <x v="0"/>
    <x v="80"/>
    <x v="2"/>
    <n v="0"/>
    <x v="1"/>
    <n v="0"/>
    <n v="0"/>
    <n v="0"/>
    <x v="0"/>
    <x v="0"/>
    <n v="0"/>
  </r>
  <r>
    <n v="31533800000000"/>
    <x v="0"/>
    <x v="73"/>
    <x v="4"/>
    <s v="ITARARE"/>
    <d v="2016-04-15T00:00:00"/>
    <d v="2016-05-19T00:00:00"/>
    <x v="3"/>
    <x v="58"/>
    <x v="0"/>
    <n v="0"/>
    <x v="1"/>
    <n v="0"/>
    <n v="0"/>
    <n v="0"/>
    <x v="1"/>
    <x v="0"/>
    <n v="0"/>
  </r>
  <r>
    <n v="82626200000000"/>
    <x v="0"/>
    <x v="48"/>
    <x v="3"/>
    <s v="ITARARE"/>
    <d v="2016-04-15T00:00:00"/>
    <d v="2016-05-09T00:00:00"/>
    <x v="2"/>
    <x v="66"/>
    <x v="1"/>
    <n v="0"/>
    <x v="0"/>
    <n v="1"/>
    <n v="0"/>
    <n v="0"/>
    <x v="1"/>
    <x v="1"/>
    <n v="1"/>
  </r>
  <r>
    <n v="79575700000000"/>
    <x v="0"/>
    <x v="33"/>
    <x v="4"/>
    <s v="CRUZAMENTO"/>
    <d v="2016-04-15T00:00:00"/>
    <d v="2016-05-18T00:00:00"/>
    <x v="1"/>
    <x v="62"/>
    <x v="0"/>
    <n v="0"/>
    <x v="1"/>
    <n v="0"/>
    <n v="0"/>
    <n v="0"/>
    <x v="1"/>
    <x v="0"/>
    <n v="0"/>
  </r>
  <r>
    <n v="11727700000000"/>
    <x v="0"/>
    <x v="70"/>
    <x v="5"/>
    <s v="DO CABRAL"/>
    <d v="2016-04-15T00:00:00"/>
    <d v="2016-05-04T00:00:00"/>
    <x v="1"/>
    <x v="77"/>
    <x v="1"/>
    <n v="0"/>
    <x v="1"/>
    <n v="0"/>
    <n v="0"/>
    <n v="0"/>
    <x v="0"/>
    <x v="0"/>
    <n v="0"/>
  </r>
  <r>
    <n v="17842900000000"/>
    <x v="0"/>
    <x v="7"/>
    <x v="3"/>
    <s v="BENTO FERREIRA"/>
    <d v="2016-04-15T00:00:00"/>
    <d v="2016-05-02T00:00:00"/>
    <x v="2"/>
    <x v="75"/>
    <x v="1"/>
    <n v="0"/>
    <x v="0"/>
    <n v="0"/>
    <n v="0"/>
    <n v="0"/>
    <x v="0"/>
    <x v="0"/>
    <n v="0"/>
  </r>
  <r>
    <n v="77825526382"/>
    <x v="0"/>
    <x v="58"/>
    <x v="0"/>
    <s v="ITARARE"/>
    <d v="2016-04-15T00:00:00"/>
    <d v="2016-05-04T00:00:00"/>
    <x v="1"/>
    <x v="77"/>
    <x v="1"/>
    <n v="0"/>
    <x v="0"/>
    <n v="0"/>
    <n v="0"/>
    <n v="0"/>
    <x v="1"/>
    <x v="1"/>
    <n v="1"/>
  </r>
  <r>
    <n v="1516446987"/>
    <x v="1"/>
    <x v="1"/>
    <x v="0"/>
    <s v="ILHA DE SANTA MARIA"/>
    <d v="2016-04-15T00:00:00"/>
    <d v="2016-05-18T00:00:00"/>
    <x v="1"/>
    <x v="62"/>
    <x v="0"/>
    <n v="0"/>
    <x v="1"/>
    <n v="0"/>
    <n v="0"/>
    <n v="0"/>
    <x v="1"/>
    <x v="0"/>
    <n v="0"/>
  </r>
  <r>
    <n v="211630000000"/>
    <x v="1"/>
    <x v="44"/>
    <x v="4"/>
    <s v="SANTA LUIZA"/>
    <d v="2016-04-15T00:00:00"/>
    <d v="2016-05-06T00:00:00"/>
    <x v="0"/>
    <x v="73"/>
    <x v="1"/>
    <n v="0"/>
    <x v="1"/>
    <n v="0"/>
    <n v="0"/>
    <n v="0"/>
    <x v="0"/>
    <x v="1"/>
    <n v="1"/>
  </r>
  <r>
    <n v="48376500000000"/>
    <x v="0"/>
    <x v="59"/>
    <x v="2"/>
    <s v="SAO JOSE"/>
    <d v="2016-04-15T00:00:00"/>
    <d v="2016-05-03T00:00:00"/>
    <x v="4"/>
    <x v="74"/>
    <x v="1"/>
    <n v="1"/>
    <x v="1"/>
    <n v="0"/>
    <n v="0"/>
    <n v="0"/>
    <x v="0"/>
    <x v="0"/>
    <n v="0"/>
  </r>
  <r>
    <n v="115355000000000"/>
    <x v="0"/>
    <x v="75"/>
    <x v="5"/>
    <s v="CENTRO"/>
    <d v="2016-04-15T00:00:00"/>
    <d v="2016-05-13T00:00:00"/>
    <x v="0"/>
    <x v="64"/>
    <x v="1"/>
    <n v="0"/>
    <x v="1"/>
    <n v="0"/>
    <n v="0"/>
    <n v="0"/>
    <x v="1"/>
    <x v="0"/>
    <n v="0"/>
  </r>
  <r>
    <n v="7765180000000"/>
    <x v="1"/>
    <x v="5"/>
    <x v="1"/>
    <s v="MARIA ORTIZ"/>
    <d v="2016-04-15T00:00:00"/>
    <d v="2016-05-25T00:00:00"/>
    <x v="1"/>
    <x v="69"/>
    <x v="0"/>
    <n v="0"/>
    <x v="1"/>
    <n v="0"/>
    <n v="0"/>
    <n v="0"/>
    <x v="0"/>
    <x v="0"/>
    <n v="0"/>
  </r>
  <r>
    <n v="2558230000000"/>
    <x v="0"/>
    <x v="53"/>
    <x v="0"/>
    <s v="ITARARE"/>
    <d v="2016-04-15T00:00:00"/>
    <d v="2016-05-11T00:00:00"/>
    <x v="1"/>
    <x v="68"/>
    <x v="1"/>
    <n v="0"/>
    <x v="0"/>
    <n v="1"/>
    <n v="0"/>
    <n v="0"/>
    <x v="0"/>
    <x v="0"/>
    <n v="0"/>
  </r>
  <r>
    <n v="362354000000000"/>
    <x v="0"/>
    <x v="12"/>
    <x v="3"/>
    <s v="MARUIPE"/>
    <d v="2016-04-15T00:00:00"/>
    <d v="2016-05-06T00:00:00"/>
    <x v="0"/>
    <x v="73"/>
    <x v="1"/>
    <n v="0"/>
    <x v="1"/>
    <n v="0"/>
    <n v="0"/>
    <n v="0"/>
    <x v="0"/>
    <x v="0"/>
    <n v="0"/>
  </r>
  <r>
    <n v="87131200000000"/>
    <x v="0"/>
    <x v="88"/>
    <x v="0"/>
    <s v="JOANA D ARC"/>
    <d v="2016-04-15T00:00:00"/>
    <d v="2016-05-31T00:00:00"/>
    <x v="4"/>
    <x v="42"/>
    <x v="0"/>
    <n v="0"/>
    <x v="0"/>
    <n v="1"/>
    <n v="0"/>
    <n v="0"/>
    <x v="0"/>
    <x v="0"/>
    <n v="0"/>
  </r>
  <r>
    <n v="15651600000000"/>
    <x v="0"/>
    <x v="22"/>
    <x v="4"/>
    <s v="MARIA ORTIZ"/>
    <d v="2016-04-15T00:00:00"/>
    <d v="2016-05-18T00:00:00"/>
    <x v="1"/>
    <x v="62"/>
    <x v="0"/>
    <n v="0"/>
    <x v="1"/>
    <n v="0"/>
    <n v="0"/>
    <n v="0"/>
    <x v="1"/>
    <x v="1"/>
    <n v="1"/>
  </r>
  <r>
    <n v="33678900000000"/>
    <x v="1"/>
    <x v="52"/>
    <x v="2"/>
    <s v="ANDORINHAS"/>
    <d v="2016-04-15T00:00:00"/>
    <d v="2016-05-04T00:00:00"/>
    <x v="1"/>
    <x v="77"/>
    <x v="1"/>
    <n v="0"/>
    <x v="1"/>
    <n v="0"/>
    <n v="0"/>
    <n v="0"/>
    <x v="1"/>
    <x v="1"/>
    <n v="1"/>
  </r>
  <r>
    <n v="616687000000"/>
    <x v="0"/>
    <x v="45"/>
    <x v="1"/>
    <s v="ENSEADA DO SUA"/>
    <d v="2016-04-15T00:00:00"/>
    <d v="2016-05-11T00:00:00"/>
    <x v="1"/>
    <x v="68"/>
    <x v="1"/>
    <n v="0"/>
    <x v="1"/>
    <n v="0"/>
    <n v="0"/>
    <n v="0"/>
    <x v="0"/>
    <x v="0"/>
    <n v="0"/>
  </r>
  <r>
    <n v="5566240000000"/>
    <x v="1"/>
    <x v="45"/>
    <x v="1"/>
    <s v="JARDIM CAMBURI"/>
    <d v="2016-04-15T00:00:00"/>
    <d v="2016-05-04T00:00:00"/>
    <x v="1"/>
    <x v="77"/>
    <x v="1"/>
    <n v="0"/>
    <x v="1"/>
    <n v="0"/>
    <n v="0"/>
    <n v="0"/>
    <x v="0"/>
    <x v="0"/>
    <n v="0"/>
  </r>
  <r>
    <n v="21944100000000"/>
    <x v="0"/>
    <x v="33"/>
    <x v="4"/>
    <s v="ITARARE"/>
    <d v="2016-04-15T00:00:00"/>
    <d v="2016-05-30T00:00:00"/>
    <x v="2"/>
    <x v="56"/>
    <x v="0"/>
    <n v="0"/>
    <x v="1"/>
    <n v="0"/>
    <n v="0"/>
    <n v="0"/>
    <x v="0"/>
    <x v="1"/>
    <n v="1"/>
  </r>
  <r>
    <n v="9273580000000"/>
    <x v="1"/>
    <x v="10"/>
    <x v="4"/>
    <s v="MARIA ORTIZ"/>
    <d v="2016-04-15T00:00:00"/>
    <d v="2016-05-25T00:00:00"/>
    <x v="1"/>
    <x v="69"/>
    <x v="0"/>
    <n v="0"/>
    <x v="1"/>
    <n v="0"/>
    <n v="0"/>
    <n v="0"/>
    <x v="0"/>
    <x v="1"/>
    <n v="1"/>
  </r>
  <r>
    <n v="7928480000000"/>
    <x v="1"/>
    <x v="2"/>
    <x v="1"/>
    <s v="BONFIM"/>
    <d v="2016-04-15T00:00:00"/>
    <d v="2016-05-05T00:00:00"/>
    <x v="3"/>
    <x v="76"/>
    <x v="1"/>
    <n v="0"/>
    <x v="0"/>
    <n v="0"/>
    <n v="1"/>
    <n v="0"/>
    <x v="0"/>
    <x v="0"/>
    <n v="0"/>
  </r>
  <r>
    <n v="8213860000000"/>
    <x v="1"/>
    <x v="84"/>
    <x v="1"/>
    <s v="RESISTENCIA"/>
    <d v="2016-04-15T00:00:00"/>
    <d v="2016-05-03T00:00:00"/>
    <x v="4"/>
    <x v="74"/>
    <x v="1"/>
    <n v="0"/>
    <x v="1"/>
    <n v="0"/>
    <n v="0"/>
    <n v="0"/>
    <x v="1"/>
    <x v="1"/>
    <n v="1"/>
  </r>
  <r>
    <n v="3578000000000"/>
    <x v="1"/>
    <x v="25"/>
    <x v="4"/>
    <s v="CENTRO"/>
    <d v="2016-04-18T00:00:00"/>
    <d v="2016-05-02T00:00:00"/>
    <x v="2"/>
    <x v="80"/>
    <x v="2"/>
    <n v="0"/>
    <x v="1"/>
    <n v="0"/>
    <n v="0"/>
    <n v="0"/>
    <x v="0"/>
    <x v="0"/>
    <n v="0"/>
  </r>
  <r>
    <n v="44929200000000"/>
    <x v="1"/>
    <x v="71"/>
    <x v="4"/>
    <s v="BONFIM"/>
    <d v="2016-04-18T00:00:00"/>
    <d v="2016-05-16T00:00:00"/>
    <x v="2"/>
    <x v="64"/>
    <x v="1"/>
    <n v="0"/>
    <x v="1"/>
    <n v="0"/>
    <n v="0"/>
    <n v="0"/>
    <x v="1"/>
    <x v="0"/>
    <n v="0"/>
  </r>
  <r>
    <n v="89197600000000"/>
    <x v="1"/>
    <x v="48"/>
    <x v="3"/>
    <s v="BONFIM"/>
    <d v="2016-04-18T00:00:00"/>
    <d v="2016-05-20T00:00:00"/>
    <x v="0"/>
    <x v="54"/>
    <x v="0"/>
    <n v="0"/>
    <x v="0"/>
    <n v="0"/>
    <n v="1"/>
    <n v="0"/>
    <x v="1"/>
    <x v="0"/>
    <n v="0"/>
  </r>
  <r>
    <n v="8652470000000"/>
    <x v="1"/>
    <x v="14"/>
    <x v="3"/>
    <s v="BONFIM"/>
    <d v="2016-04-18T00:00:00"/>
    <d v="2016-05-16T00:00:00"/>
    <x v="2"/>
    <x v="64"/>
    <x v="1"/>
    <n v="0"/>
    <x v="1"/>
    <n v="0"/>
    <n v="1"/>
    <n v="0"/>
    <x v="1"/>
    <x v="0"/>
    <n v="0"/>
  </r>
  <r>
    <n v="969875000000000"/>
    <x v="1"/>
    <x v="40"/>
    <x v="1"/>
    <s v="CRUZAMENTO"/>
    <d v="2016-04-18T00:00:00"/>
    <d v="2016-05-02T00:00:00"/>
    <x v="2"/>
    <x v="80"/>
    <x v="2"/>
    <n v="0"/>
    <x v="1"/>
    <n v="0"/>
    <n v="0"/>
    <n v="0"/>
    <x v="1"/>
    <x v="0"/>
    <n v="0"/>
  </r>
  <r>
    <n v="61189000000000"/>
    <x v="0"/>
    <x v="62"/>
    <x v="3"/>
    <s v="CENTRO"/>
    <d v="2016-04-18T00:00:00"/>
    <d v="2016-05-02T00:00:00"/>
    <x v="2"/>
    <x v="80"/>
    <x v="2"/>
    <n v="0"/>
    <x v="1"/>
    <n v="0"/>
    <n v="0"/>
    <n v="0"/>
    <x v="0"/>
    <x v="1"/>
    <n v="1"/>
  </r>
  <r>
    <n v="73662300000000"/>
    <x v="0"/>
    <x v="10"/>
    <x v="4"/>
    <s v="CENTRO"/>
    <d v="2016-04-18T00:00:00"/>
    <d v="2016-05-02T00:00:00"/>
    <x v="2"/>
    <x v="80"/>
    <x v="2"/>
    <n v="0"/>
    <x v="1"/>
    <n v="0"/>
    <n v="0"/>
    <n v="0"/>
    <x v="0"/>
    <x v="0"/>
    <n v="0"/>
  </r>
  <r>
    <n v="354151000000000"/>
    <x v="0"/>
    <x v="50"/>
    <x v="1"/>
    <s v="BONFIM"/>
    <d v="2016-04-18T00:00:00"/>
    <d v="2016-05-18T00:00:00"/>
    <x v="1"/>
    <x v="60"/>
    <x v="1"/>
    <n v="0"/>
    <x v="1"/>
    <n v="0"/>
    <n v="0"/>
    <n v="0"/>
    <x v="1"/>
    <x v="0"/>
    <n v="0"/>
  </r>
  <r>
    <n v="558555000000000"/>
    <x v="1"/>
    <x v="81"/>
    <x v="5"/>
    <s v="PRAIA DO SUA"/>
    <d v="2016-04-18T00:00:00"/>
    <d v="2016-05-02T00:00:00"/>
    <x v="2"/>
    <x v="80"/>
    <x v="2"/>
    <n v="0"/>
    <x v="1"/>
    <n v="0"/>
    <n v="0"/>
    <n v="0"/>
    <x v="1"/>
    <x v="1"/>
    <n v="1"/>
  </r>
  <r>
    <n v="413927000000000"/>
    <x v="0"/>
    <x v="39"/>
    <x v="4"/>
    <s v="PARQUE MOSCOSO"/>
    <d v="2016-04-18T00:00:00"/>
    <d v="2016-04-29T00:00:00"/>
    <x v="0"/>
    <x v="81"/>
    <x v="2"/>
    <n v="0"/>
    <x v="1"/>
    <n v="0"/>
    <n v="0"/>
    <n v="0"/>
    <x v="0"/>
    <x v="0"/>
    <n v="0"/>
  </r>
  <r>
    <n v="5775780000000"/>
    <x v="0"/>
    <x v="24"/>
    <x v="1"/>
    <s v="PARQUE MOSCOSO"/>
    <d v="2016-04-18T00:00:00"/>
    <d v="2016-05-04T00:00:00"/>
    <x v="1"/>
    <x v="78"/>
    <x v="1"/>
    <n v="0"/>
    <x v="1"/>
    <n v="0"/>
    <n v="0"/>
    <n v="0"/>
    <x v="0"/>
    <x v="0"/>
    <n v="0"/>
  </r>
  <r>
    <n v="81227800000000"/>
    <x v="0"/>
    <x v="32"/>
    <x v="4"/>
    <s v="SOLON BORGES"/>
    <d v="2016-04-18T00:00:00"/>
    <d v="2016-05-04T00:00:00"/>
    <x v="1"/>
    <x v="78"/>
    <x v="1"/>
    <n v="0"/>
    <x v="1"/>
    <n v="0"/>
    <n v="0"/>
    <n v="0"/>
    <x v="0"/>
    <x v="0"/>
    <n v="0"/>
  </r>
  <r>
    <n v="27773800000000"/>
    <x v="0"/>
    <x v="77"/>
    <x v="4"/>
    <s v="SOLON BORGES"/>
    <d v="2016-04-18T00:00:00"/>
    <d v="2016-05-16T00:00:00"/>
    <x v="2"/>
    <x v="64"/>
    <x v="1"/>
    <n v="0"/>
    <x v="1"/>
    <n v="0"/>
    <n v="0"/>
    <n v="0"/>
    <x v="1"/>
    <x v="0"/>
    <n v="0"/>
  </r>
  <r>
    <n v="358616000000000"/>
    <x v="0"/>
    <x v="26"/>
    <x v="0"/>
    <s v="MARIA ORTIZ"/>
    <d v="2016-04-18T00:00:00"/>
    <d v="2016-05-19T00:00:00"/>
    <x v="3"/>
    <x v="57"/>
    <x v="0"/>
    <n v="0"/>
    <x v="1"/>
    <n v="0"/>
    <n v="0"/>
    <n v="0"/>
    <x v="1"/>
    <x v="0"/>
    <n v="0"/>
  </r>
  <r>
    <n v="9755850000000"/>
    <x v="0"/>
    <x v="61"/>
    <x v="1"/>
    <s v="JOANA D ARC"/>
    <d v="2016-04-18T00:00:00"/>
    <d v="2016-05-04T00:00:00"/>
    <x v="1"/>
    <x v="78"/>
    <x v="1"/>
    <n v="0"/>
    <x v="1"/>
    <n v="0"/>
    <n v="0"/>
    <n v="0"/>
    <x v="0"/>
    <x v="1"/>
    <n v="1"/>
  </r>
  <r>
    <n v="6278660000000"/>
    <x v="0"/>
    <x v="30"/>
    <x v="3"/>
    <s v="JUCUTUQUARA"/>
    <d v="2016-04-18T00:00:00"/>
    <d v="2016-05-20T00:00:00"/>
    <x v="0"/>
    <x v="54"/>
    <x v="0"/>
    <n v="0"/>
    <x v="1"/>
    <n v="0"/>
    <n v="0"/>
    <n v="0"/>
    <x v="1"/>
    <x v="1"/>
    <n v="1"/>
  </r>
  <r>
    <n v="381375000000"/>
    <x v="1"/>
    <x v="54"/>
    <x v="1"/>
    <s v="SANTA MARTHA"/>
    <d v="2016-04-18T00:00:00"/>
    <d v="2016-05-06T00:00:00"/>
    <x v="0"/>
    <x v="74"/>
    <x v="1"/>
    <n v="0"/>
    <x v="1"/>
    <n v="0"/>
    <n v="0"/>
    <n v="0"/>
    <x v="0"/>
    <x v="1"/>
    <n v="1"/>
  </r>
  <r>
    <n v="257519000000"/>
    <x v="0"/>
    <x v="84"/>
    <x v="1"/>
    <s v="ILHA DE SANTA MARIA"/>
    <d v="2016-04-18T00:00:00"/>
    <d v="2016-05-25T00:00:00"/>
    <x v="1"/>
    <x v="53"/>
    <x v="0"/>
    <n v="0"/>
    <x v="1"/>
    <n v="0"/>
    <n v="0"/>
    <n v="0"/>
    <x v="0"/>
    <x v="0"/>
    <n v="0"/>
  </r>
  <r>
    <n v="294925000000000"/>
    <x v="1"/>
    <x v="21"/>
    <x v="1"/>
    <s v="CENTRO"/>
    <d v="2016-04-18T00:00:00"/>
    <d v="2016-05-04T00:00:00"/>
    <x v="1"/>
    <x v="78"/>
    <x v="1"/>
    <n v="0"/>
    <x v="1"/>
    <n v="0"/>
    <n v="0"/>
    <n v="0"/>
    <x v="1"/>
    <x v="0"/>
    <n v="0"/>
  </r>
  <r>
    <n v="9245200000000"/>
    <x v="1"/>
    <x v="5"/>
    <x v="1"/>
    <s v="CENTRO"/>
    <d v="2016-04-18T00:00:00"/>
    <d v="2016-05-04T00:00:00"/>
    <x v="1"/>
    <x v="78"/>
    <x v="1"/>
    <n v="0"/>
    <x v="1"/>
    <n v="0"/>
    <n v="0"/>
    <n v="0"/>
    <x v="0"/>
    <x v="0"/>
    <n v="0"/>
  </r>
  <r>
    <n v="124521000000000"/>
    <x v="0"/>
    <x v="87"/>
    <x v="1"/>
    <s v="SANTOS DUMONT"/>
    <d v="2016-04-18T00:00:00"/>
    <d v="2016-05-30T00:00:00"/>
    <x v="2"/>
    <x v="49"/>
    <x v="0"/>
    <n v="1"/>
    <x v="0"/>
    <n v="0"/>
    <n v="0"/>
    <n v="0"/>
    <x v="0"/>
    <x v="1"/>
    <n v="1"/>
  </r>
  <r>
    <n v="74551900000000"/>
    <x v="0"/>
    <x v="21"/>
    <x v="1"/>
    <s v="CARATOIRA"/>
    <d v="2016-04-18T00:00:00"/>
    <d v="2016-05-03T00:00:00"/>
    <x v="4"/>
    <x v="79"/>
    <x v="1"/>
    <n v="0"/>
    <x v="1"/>
    <n v="0"/>
    <n v="0"/>
    <n v="0"/>
    <x v="0"/>
    <x v="0"/>
    <n v="0"/>
  </r>
  <r>
    <n v="998943000000000"/>
    <x v="1"/>
    <x v="74"/>
    <x v="1"/>
    <s v="PRAIA DO SUA"/>
    <d v="2016-04-18T00:00:00"/>
    <d v="2016-04-29T00:00:00"/>
    <x v="0"/>
    <x v="81"/>
    <x v="2"/>
    <n v="0"/>
    <x v="1"/>
    <n v="0"/>
    <n v="0"/>
    <n v="0"/>
    <x v="1"/>
    <x v="0"/>
    <n v="0"/>
  </r>
  <r>
    <n v="6717920000000"/>
    <x v="0"/>
    <x v="68"/>
    <x v="4"/>
    <s v="BONFIM"/>
    <d v="2016-04-18T00:00:00"/>
    <d v="2016-05-06T00:00:00"/>
    <x v="0"/>
    <x v="74"/>
    <x v="1"/>
    <n v="0"/>
    <x v="1"/>
    <n v="0"/>
    <n v="0"/>
    <n v="0"/>
    <x v="0"/>
    <x v="0"/>
    <n v="0"/>
  </r>
  <r>
    <n v="879493000000000"/>
    <x v="0"/>
    <x v="89"/>
    <x v="0"/>
    <s v="JARDIM DA PENHA"/>
    <d v="2016-04-18T00:00:00"/>
    <d v="2016-05-16T00:00:00"/>
    <x v="2"/>
    <x v="64"/>
    <x v="1"/>
    <n v="0"/>
    <x v="1"/>
    <n v="0"/>
    <n v="0"/>
    <n v="0"/>
    <x v="1"/>
    <x v="0"/>
    <n v="0"/>
  </r>
  <r>
    <n v="2863960000000"/>
    <x v="0"/>
    <x v="47"/>
    <x v="4"/>
    <s v="JABOUR"/>
    <d v="2016-04-18T00:00:00"/>
    <d v="2016-05-11T00:00:00"/>
    <x v="1"/>
    <x v="67"/>
    <x v="1"/>
    <n v="1"/>
    <x v="1"/>
    <n v="0"/>
    <n v="0"/>
    <n v="0"/>
    <x v="0"/>
    <x v="1"/>
    <n v="1"/>
  </r>
  <r>
    <n v="925650000000"/>
    <x v="1"/>
    <x v="81"/>
    <x v="5"/>
    <s v="CRUZAMENTO"/>
    <d v="2016-04-18T00:00:00"/>
    <d v="2016-05-24T00:00:00"/>
    <x v="4"/>
    <x v="55"/>
    <x v="0"/>
    <n v="0"/>
    <x v="1"/>
    <n v="0"/>
    <n v="0"/>
    <n v="0"/>
    <x v="1"/>
    <x v="0"/>
    <n v="0"/>
  </r>
  <r>
    <n v="61687321977"/>
    <x v="0"/>
    <x v="43"/>
    <x v="2"/>
    <s v="JARDIM CAMBURI"/>
    <d v="2016-04-18T00:00:00"/>
    <d v="2016-05-11T00:00:00"/>
    <x v="1"/>
    <x v="67"/>
    <x v="1"/>
    <n v="0"/>
    <x v="1"/>
    <n v="0"/>
    <n v="0"/>
    <n v="0"/>
    <x v="1"/>
    <x v="0"/>
    <n v="0"/>
  </r>
  <r>
    <n v="2274800000000"/>
    <x v="1"/>
    <x v="80"/>
    <x v="2"/>
    <s v="PARQUE MOSCOSO"/>
    <d v="2016-04-18T00:00:00"/>
    <d v="2016-05-02T00:00:00"/>
    <x v="2"/>
    <x v="80"/>
    <x v="2"/>
    <n v="0"/>
    <x v="1"/>
    <n v="0"/>
    <n v="0"/>
    <n v="0"/>
    <x v="0"/>
    <x v="1"/>
    <n v="1"/>
  </r>
  <r>
    <n v="13356400000000"/>
    <x v="0"/>
    <x v="2"/>
    <x v="1"/>
    <s v="SOLON BORGES"/>
    <d v="2016-04-18T00:00:00"/>
    <d v="2016-05-12T00:00:00"/>
    <x v="3"/>
    <x v="66"/>
    <x v="1"/>
    <n v="0"/>
    <x v="1"/>
    <n v="0"/>
    <n v="0"/>
    <n v="0"/>
    <x v="0"/>
    <x v="1"/>
    <n v="1"/>
  </r>
  <r>
    <n v="875195000000000"/>
    <x v="0"/>
    <x v="58"/>
    <x v="0"/>
    <s v="JARDIM DA PENHA"/>
    <d v="2016-04-18T00:00:00"/>
    <d v="2016-05-16T00:00:00"/>
    <x v="2"/>
    <x v="64"/>
    <x v="1"/>
    <n v="0"/>
    <x v="0"/>
    <n v="0"/>
    <n v="0"/>
    <n v="0"/>
    <x v="1"/>
    <x v="0"/>
    <n v="0"/>
  </r>
  <r>
    <n v="6896170000000"/>
    <x v="1"/>
    <x v="47"/>
    <x v="4"/>
    <s v="CENTRO"/>
    <d v="2016-04-18T00:00:00"/>
    <d v="2016-05-11T00:00:00"/>
    <x v="1"/>
    <x v="67"/>
    <x v="1"/>
    <n v="0"/>
    <x v="1"/>
    <n v="0"/>
    <n v="0"/>
    <n v="0"/>
    <x v="0"/>
    <x v="1"/>
    <n v="1"/>
  </r>
  <r>
    <n v="11172500000000"/>
    <x v="1"/>
    <x v="76"/>
    <x v="0"/>
    <s v="JUCUTUQUARA"/>
    <d v="2016-04-18T00:00:00"/>
    <d v="2016-05-20T00:00:00"/>
    <x v="0"/>
    <x v="54"/>
    <x v="0"/>
    <n v="0"/>
    <x v="1"/>
    <n v="0"/>
    <n v="0"/>
    <n v="0"/>
    <x v="1"/>
    <x v="0"/>
    <n v="0"/>
  </r>
  <r>
    <n v="6782370000000"/>
    <x v="1"/>
    <x v="16"/>
    <x v="1"/>
    <s v="MONTE BELO"/>
    <d v="2016-04-18T00:00:00"/>
    <d v="2016-05-19T00:00:00"/>
    <x v="3"/>
    <x v="57"/>
    <x v="0"/>
    <n v="0"/>
    <x v="1"/>
    <n v="0"/>
    <n v="0"/>
    <n v="0"/>
    <x v="1"/>
    <x v="0"/>
    <n v="0"/>
  </r>
  <r>
    <n v="9543150000000"/>
    <x v="0"/>
    <x v="9"/>
    <x v="0"/>
    <s v="JABOUR"/>
    <d v="2016-04-18T00:00:00"/>
    <d v="2016-05-18T00:00:00"/>
    <x v="1"/>
    <x v="60"/>
    <x v="1"/>
    <n v="0"/>
    <x v="1"/>
    <n v="0"/>
    <n v="0"/>
    <n v="0"/>
    <x v="1"/>
    <x v="0"/>
    <n v="0"/>
  </r>
  <r>
    <n v="4491220000000"/>
    <x v="0"/>
    <x v="46"/>
    <x v="2"/>
    <s v="SAO JOSE"/>
    <d v="2016-04-18T00:00:00"/>
    <d v="2016-04-29T00:00:00"/>
    <x v="0"/>
    <x v="81"/>
    <x v="2"/>
    <n v="0"/>
    <x v="1"/>
    <n v="0"/>
    <n v="0"/>
    <n v="0"/>
    <x v="0"/>
    <x v="1"/>
    <n v="1"/>
  </r>
  <r>
    <n v="2176910000000"/>
    <x v="1"/>
    <x v="36"/>
    <x v="3"/>
    <s v="DO MOSCOSO"/>
    <d v="2016-04-18T00:00:00"/>
    <d v="2016-05-13T00:00:00"/>
    <x v="0"/>
    <x v="70"/>
    <x v="1"/>
    <n v="0"/>
    <x v="0"/>
    <n v="1"/>
    <n v="1"/>
    <n v="0"/>
    <x v="1"/>
    <x v="1"/>
    <n v="1"/>
  </r>
  <r>
    <n v="51437522947"/>
    <x v="0"/>
    <x v="28"/>
    <x v="3"/>
    <s v="JARDIM DA PENHA"/>
    <d v="2016-04-18T00:00:00"/>
    <d v="2016-05-09T00:00:00"/>
    <x v="2"/>
    <x v="73"/>
    <x v="1"/>
    <n v="0"/>
    <x v="1"/>
    <n v="0"/>
    <n v="0"/>
    <n v="0"/>
    <x v="1"/>
    <x v="0"/>
    <n v="0"/>
  </r>
  <r>
    <n v="391352000000000"/>
    <x v="0"/>
    <x v="26"/>
    <x v="0"/>
    <s v="GOIABEIRAS"/>
    <d v="2016-04-18T00:00:00"/>
    <d v="2016-05-09T00:00:00"/>
    <x v="2"/>
    <x v="73"/>
    <x v="1"/>
    <n v="0"/>
    <x v="0"/>
    <n v="0"/>
    <n v="0"/>
    <n v="0"/>
    <x v="1"/>
    <x v="0"/>
    <n v="0"/>
  </r>
  <r>
    <n v="44143900000000"/>
    <x v="0"/>
    <x v="3"/>
    <x v="0"/>
    <s v="PRAIA DO CANTO"/>
    <d v="2016-04-18T00:00:00"/>
    <d v="2016-05-03T00:00:00"/>
    <x v="4"/>
    <x v="79"/>
    <x v="1"/>
    <n v="0"/>
    <x v="1"/>
    <n v="0"/>
    <n v="0"/>
    <n v="0"/>
    <x v="1"/>
    <x v="0"/>
    <n v="0"/>
  </r>
  <r>
    <n v="794840000000000"/>
    <x v="1"/>
    <x v="0"/>
    <x v="0"/>
    <s v="PARQUE MOSCOSO"/>
    <d v="2016-04-18T00:00:00"/>
    <d v="2016-05-05T00:00:00"/>
    <x v="3"/>
    <x v="75"/>
    <x v="1"/>
    <n v="0"/>
    <x v="1"/>
    <n v="1"/>
    <n v="0"/>
    <n v="0"/>
    <x v="0"/>
    <x v="0"/>
    <n v="0"/>
  </r>
  <r>
    <n v="699915000000000"/>
    <x v="0"/>
    <x v="4"/>
    <x v="2"/>
    <s v="SAO PEDRO"/>
    <d v="2016-04-18T00:00:00"/>
    <d v="2016-05-10T00:00:00"/>
    <x v="4"/>
    <x v="71"/>
    <x v="1"/>
    <n v="0"/>
    <x v="1"/>
    <n v="0"/>
    <n v="0"/>
    <n v="0"/>
    <x v="0"/>
    <x v="0"/>
    <n v="0"/>
  </r>
  <r>
    <n v="3835790000000"/>
    <x v="0"/>
    <x v="34"/>
    <x v="0"/>
    <s v="CENTRO"/>
    <d v="2016-04-18T00:00:00"/>
    <d v="2016-05-06T00:00:00"/>
    <x v="0"/>
    <x v="74"/>
    <x v="1"/>
    <n v="0"/>
    <x v="0"/>
    <n v="0"/>
    <n v="0"/>
    <n v="0"/>
    <x v="1"/>
    <x v="0"/>
    <n v="0"/>
  </r>
  <r>
    <n v="75586800000000"/>
    <x v="1"/>
    <x v="52"/>
    <x v="2"/>
    <s v="JABOUR"/>
    <d v="2016-04-18T00:00:00"/>
    <d v="2016-05-06T00:00:00"/>
    <x v="0"/>
    <x v="74"/>
    <x v="1"/>
    <n v="0"/>
    <x v="1"/>
    <n v="0"/>
    <n v="0"/>
    <n v="0"/>
    <x v="0"/>
    <x v="0"/>
    <n v="0"/>
  </r>
  <r>
    <n v="23145800000000"/>
    <x v="0"/>
    <x v="31"/>
    <x v="1"/>
    <s v="BONFIM"/>
    <d v="2016-04-18T00:00:00"/>
    <d v="2016-05-02T00:00:00"/>
    <x v="2"/>
    <x v="80"/>
    <x v="2"/>
    <n v="1"/>
    <x v="1"/>
    <n v="0"/>
    <n v="0"/>
    <n v="0"/>
    <x v="0"/>
    <x v="1"/>
    <n v="1"/>
  </r>
  <r>
    <n v="38385582191"/>
    <x v="0"/>
    <x v="27"/>
    <x v="3"/>
    <s v="SANTA MARTHA"/>
    <d v="2016-04-18T00:00:00"/>
    <d v="2016-05-16T00:00:00"/>
    <x v="2"/>
    <x v="64"/>
    <x v="1"/>
    <n v="0"/>
    <x v="0"/>
    <n v="0"/>
    <n v="0"/>
    <n v="0"/>
    <x v="1"/>
    <x v="1"/>
    <n v="1"/>
  </r>
  <r>
    <n v="578397000000000"/>
    <x v="0"/>
    <x v="49"/>
    <x v="4"/>
    <s v="CARATOIRA"/>
    <d v="2016-04-18T00:00:00"/>
    <d v="2016-05-19T00:00:00"/>
    <x v="3"/>
    <x v="57"/>
    <x v="0"/>
    <n v="0"/>
    <x v="1"/>
    <n v="0"/>
    <n v="0"/>
    <n v="0"/>
    <x v="1"/>
    <x v="1"/>
    <n v="1"/>
  </r>
  <r>
    <n v="7516980000000"/>
    <x v="0"/>
    <x v="31"/>
    <x v="1"/>
    <s v="ITARARE"/>
    <d v="2016-04-18T00:00:00"/>
    <d v="2016-05-04T00:00:00"/>
    <x v="1"/>
    <x v="78"/>
    <x v="1"/>
    <n v="0"/>
    <x v="1"/>
    <n v="0"/>
    <n v="0"/>
    <n v="0"/>
    <x v="1"/>
    <x v="1"/>
    <n v="1"/>
  </r>
  <r>
    <n v="354754000000000"/>
    <x v="0"/>
    <x v="46"/>
    <x v="2"/>
    <s v="ANDORINHAS"/>
    <d v="2016-04-18T00:00:00"/>
    <d v="2016-05-20T00:00:00"/>
    <x v="0"/>
    <x v="54"/>
    <x v="0"/>
    <n v="0"/>
    <x v="1"/>
    <n v="0"/>
    <n v="0"/>
    <n v="0"/>
    <x v="1"/>
    <x v="0"/>
    <n v="0"/>
  </r>
  <r>
    <n v="6336800000000"/>
    <x v="1"/>
    <x v="39"/>
    <x v="4"/>
    <s v="CENTRO"/>
    <d v="2016-04-18T00:00:00"/>
    <d v="2016-05-25T00:00:00"/>
    <x v="1"/>
    <x v="53"/>
    <x v="0"/>
    <n v="0"/>
    <x v="1"/>
    <n v="0"/>
    <n v="0"/>
    <n v="0"/>
    <x v="0"/>
    <x v="0"/>
    <n v="0"/>
  </r>
  <r>
    <n v="21589186965"/>
    <x v="1"/>
    <x v="20"/>
    <x v="0"/>
    <s v="SANTA MARTHA"/>
    <d v="2016-04-18T00:00:00"/>
    <d v="2016-05-16T00:00:00"/>
    <x v="2"/>
    <x v="64"/>
    <x v="1"/>
    <n v="0"/>
    <x v="0"/>
    <n v="1"/>
    <n v="1"/>
    <n v="0"/>
    <x v="1"/>
    <x v="0"/>
    <n v="0"/>
  </r>
  <r>
    <n v="554547000000000"/>
    <x v="0"/>
    <x v="65"/>
    <x v="2"/>
    <s v="MARIA ORTIZ"/>
    <d v="2016-04-18T00:00:00"/>
    <d v="2016-05-18T00:00:00"/>
    <x v="1"/>
    <x v="60"/>
    <x v="1"/>
    <n v="0"/>
    <x v="1"/>
    <n v="0"/>
    <n v="0"/>
    <n v="0"/>
    <x v="1"/>
    <x v="0"/>
    <n v="0"/>
  </r>
  <r>
    <n v="36771200000000"/>
    <x v="1"/>
    <x v="46"/>
    <x v="2"/>
    <s v="JOANA D ARC"/>
    <d v="2016-04-18T00:00:00"/>
    <d v="2016-05-13T00:00:00"/>
    <x v="0"/>
    <x v="70"/>
    <x v="1"/>
    <n v="0"/>
    <x v="1"/>
    <n v="0"/>
    <n v="0"/>
    <n v="0"/>
    <x v="1"/>
    <x v="1"/>
    <n v="1"/>
  </r>
  <r>
    <n v="4135780000000"/>
    <x v="0"/>
    <x v="68"/>
    <x v="4"/>
    <s v="SAO CRISTOVAO"/>
    <d v="2016-04-18T00:00:00"/>
    <d v="2016-04-29T00:00:00"/>
    <x v="0"/>
    <x v="81"/>
    <x v="2"/>
    <n v="0"/>
    <x v="1"/>
    <n v="0"/>
    <n v="0"/>
    <n v="0"/>
    <x v="1"/>
    <x v="0"/>
    <n v="0"/>
  </r>
  <r>
    <n v="437250000000000"/>
    <x v="1"/>
    <x v="67"/>
    <x v="4"/>
    <s v="ITARARE"/>
    <d v="2016-04-18T00:00:00"/>
    <d v="2016-05-10T00:00:00"/>
    <x v="4"/>
    <x v="71"/>
    <x v="1"/>
    <n v="0"/>
    <x v="1"/>
    <n v="0"/>
    <n v="0"/>
    <n v="0"/>
    <x v="0"/>
    <x v="1"/>
    <n v="1"/>
  </r>
  <r>
    <n v="924589000000000"/>
    <x v="1"/>
    <x v="8"/>
    <x v="0"/>
    <s v="JARDIM DA PENHA"/>
    <d v="2016-04-18T00:00:00"/>
    <d v="2016-05-03T00:00:00"/>
    <x v="4"/>
    <x v="79"/>
    <x v="1"/>
    <n v="0"/>
    <x v="1"/>
    <n v="0"/>
    <n v="0"/>
    <n v="0"/>
    <x v="0"/>
    <x v="0"/>
    <n v="0"/>
  </r>
  <r>
    <n v="9362540000000"/>
    <x v="0"/>
    <x v="62"/>
    <x v="3"/>
    <s v="BONFIM"/>
    <d v="2016-04-18T00:00:00"/>
    <d v="2016-05-09T00:00:00"/>
    <x v="2"/>
    <x v="73"/>
    <x v="1"/>
    <n v="0"/>
    <x v="0"/>
    <n v="0"/>
    <n v="0"/>
    <n v="0"/>
    <x v="1"/>
    <x v="1"/>
    <n v="1"/>
  </r>
  <r>
    <n v="79964452719"/>
    <x v="1"/>
    <x v="38"/>
    <x v="4"/>
    <s v="RESISTENCIA"/>
    <d v="2016-04-18T00:00:00"/>
    <d v="2016-05-17T00:00:00"/>
    <x v="4"/>
    <x v="63"/>
    <x v="1"/>
    <n v="0"/>
    <x v="1"/>
    <n v="0"/>
    <n v="0"/>
    <n v="0"/>
    <x v="1"/>
    <x v="1"/>
    <n v="1"/>
  </r>
  <r>
    <n v="488617000000"/>
    <x v="1"/>
    <x v="4"/>
    <x v="2"/>
    <s v="DO CABRAL"/>
    <d v="2016-04-18T00:00:00"/>
    <d v="2016-05-16T00:00:00"/>
    <x v="2"/>
    <x v="64"/>
    <x v="1"/>
    <n v="0"/>
    <x v="1"/>
    <n v="0"/>
    <n v="0"/>
    <n v="0"/>
    <x v="1"/>
    <x v="0"/>
    <n v="0"/>
  </r>
  <r>
    <n v="73289300000000"/>
    <x v="0"/>
    <x v="41"/>
    <x v="4"/>
    <s v="JARDIM DA PENHA"/>
    <d v="2016-04-18T00:00:00"/>
    <d v="2016-05-06T00:00:00"/>
    <x v="0"/>
    <x v="74"/>
    <x v="1"/>
    <n v="0"/>
    <x v="1"/>
    <n v="0"/>
    <n v="0"/>
    <n v="0"/>
    <x v="0"/>
    <x v="0"/>
    <n v="0"/>
  </r>
  <r>
    <n v="13853100000000"/>
    <x v="1"/>
    <x v="36"/>
    <x v="3"/>
    <s v="CRUZAMENTO"/>
    <d v="2016-04-18T00:00:00"/>
    <d v="2016-05-25T00:00:00"/>
    <x v="1"/>
    <x v="53"/>
    <x v="0"/>
    <n v="0"/>
    <x v="0"/>
    <n v="0"/>
    <n v="1"/>
    <n v="0"/>
    <x v="1"/>
    <x v="0"/>
    <n v="0"/>
  </r>
  <r>
    <n v="1224250000000"/>
    <x v="0"/>
    <x v="61"/>
    <x v="1"/>
    <s v="ITARARE"/>
    <d v="2016-04-18T00:00:00"/>
    <d v="2016-05-25T00:00:00"/>
    <x v="1"/>
    <x v="53"/>
    <x v="0"/>
    <n v="0"/>
    <x v="1"/>
    <n v="0"/>
    <n v="0"/>
    <n v="0"/>
    <x v="0"/>
    <x v="0"/>
    <n v="0"/>
  </r>
  <r>
    <n v="4143140000000"/>
    <x v="1"/>
    <x v="52"/>
    <x v="2"/>
    <s v="ILHA DE SANTA MARIA"/>
    <d v="2016-04-18T00:00:00"/>
    <d v="2016-04-29T00:00:00"/>
    <x v="0"/>
    <x v="81"/>
    <x v="2"/>
    <n v="0"/>
    <x v="1"/>
    <n v="0"/>
    <n v="0"/>
    <n v="0"/>
    <x v="1"/>
    <x v="0"/>
    <n v="0"/>
  </r>
  <r>
    <n v="82799595198"/>
    <x v="1"/>
    <x v="18"/>
    <x v="0"/>
    <s v="BELA VISTA"/>
    <d v="2016-04-18T00:00:00"/>
    <d v="2016-04-29T00:00:00"/>
    <x v="0"/>
    <x v="81"/>
    <x v="2"/>
    <n v="0"/>
    <x v="1"/>
    <n v="1"/>
    <n v="0"/>
    <n v="0"/>
    <x v="0"/>
    <x v="0"/>
    <n v="0"/>
  </r>
  <r>
    <n v="61288900000000"/>
    <x v="1"/>
    <x v="59"/>
    <x v="2"/>
    <s v="CARATOIRA"/>
    <d v="2016-04-18T00:00:00"/>
    <d v="2016-05-16T00:00:00"/>
    <x v="2"/>
    <x v="64"/>
    <x v="1"/>
    <n v="0"/>
    <x v="1"/>
    <n v="0"/>
    <n v="0"/>
    <n v="0"/>
    <x v="1"/>
    <x v="1"/>
    <n v="1"/>
  </r>
  <r>
    <n v="539231000000"/>
    <x v="1"/>
    <x v="46"/>
    <x v="2"/>
    <s v="FRADINHOS"/>
    <d v="2016-04-18T00:00:00"/>
    <d v="2016-05-18T00:00:00"/>
    <x v="1"/>
    <x v="60"/>
    <x v="1"/>
    <n v="0"/>
    <x v="1"/>
    <n v="0"/>
    <n v="0"/>
    <n v="0"/>
    <x v="1"/>
    <x v="0"/>
    <n v="0"/>
  </r>
  <r>
    <n v="282865000000000"/>
    <x v="0"/>
    <x v="52"/>
    <x v="2"/>
    <s v="BENTO FERREIRA"/>
    <d v="2016-04-18T00:00:00"/>
    <d v="2016-05-16T00:00:00"/>
    <x v="2"/>
    <x v="64"/>
    <x v="1"/>
    <n v="0"/>
    <x v="1"/>
    <n v="0"/>
    <n v="0"/>
    <n v="0"/>
    <x v="1"/>
    <x v="0"/>
    <n v="0"/>
  </r>
  <r>
    <n v="465618000000"/>
    <x v="0"/>
    <x v="67"/>
    <x v="4"/>
    <s v="JABOUR"/>
    <d v="2016-04-18T00:00:00"/>
    <d v="2016-05-24T00:00:00"/>
    <x v="4"/>
    <x v="55"/>
    <x v="0"/>
    <n v="0"/>
    <x v="1"/>
    <n v="0"/>
    <n v="0"/>
    <n v="0"/>
    <x v="0"/>
    <x v="0"/>
    <n v="0"/>
  </r>
  <r>
    <n v="35757300000000"/>
    <x v="1"/>
    <x v="12"/>
    <x v="3"/>
    <s v="MARIA ORTIZ"/>
    <d v="2016-04-18T00:00:00"/>
    <d v="2016-05-20T00:00:00"/>
    <x v="0"/>
    <x v="54"/>
    <x v="0"/>
    <n v="0"/>
    <x v="1"/>
    <n v="0"/>
    <n v="0"/>
    <n v="0"/>
    <x v="1"/>
    <x v="1"/>
    <n v="1"/>
  </r>
  <r>
    <n v="28687900000000"/>
    <x v="0"/>
    <x v="49"/>
    <x v="4"/>
    <s v="JABOUR"/>
    <d v="2016-04-18T00:00:00"/>
    <d v="2016-05-04T00:00:00"/>
    <x v="1"/>
    <x v="78"/>
    <x v="1"/>
    <n v="1"/>
    <x v="1"/>
    <n v="0"/>
    <n v="0"/>
    <n v="0"/>
    <x v="0"/>
    <x v="1"/>
    <n v="1"/>
  </r>
  <r>
    <n v="267563000000000"/>
    <x v="0"/>
    <x v="76"/>
    <x v="0"/>
    <s v="SANTA LUCIA"/>
    <d v="2016-04-18T00:00:00"/>
    <d v="2016-05-04T00:00:00"/>
    <x v="1"/>
    <x v="78"/>
    <x v="1"/>
    <n v="0"/>
    <x v="0"/>
    <n v="0"/>
    <n v="0"/>
    <n v="0"/>
    <x v="1"/>
    <x v="0"/>
    <n v="0"/>
  </r>
  <r>
    <n v="564615000000"/>
    <x v="1"/>
    <x v="56"/>
    <x v="1"/>
    <s v="ITARARE"/>
    <d v="2016-04-18T00:00:00"/>
    <d v="2016-05-04T00:00:00"/>
    <x v="1"/>
    <x v="78"/>
    <x v="1"/>
    <n v="0"/>
    <x v="1"/>
    <n v="0"/>
    <n v="0"/>
    <n v="0"/>
    <x v="0"/>
    <x v="1"/>
    <n v="1"/>
  </r>
  <r>
    <n v="618931000000"/>
    <x v="0"/>
    <x v="54"/>
    <x v="1"/>
    <s v="CARATOIRA"/>
    <d v="2016-04-18T00:00:00"/>
    <d v="2016-05-04T00:00:00"/>
    <x v="1"/>
    <x v="78"/>
    <x v="1"/>
    <n v="1"/>
    <x v="0"/>
    <n v="0"/>
    <n v="0"/>
    <n v="0"/>
    <x v="0"/>
    <x v="1"/>
    <n v="1"/>
  </r>
  <r>
    <n v="3427790000000"/>
    <x v="0"/>
    <x v="39"/>
    <x v="4"/>
    <s v="CARATOIRA"/>
    <d v="2016-04-18T00:00:00"/>
    <d v="2016-05-12T00:00:00"/>
    <x v="3"/>
    <x v="66"/>
    <x v="1"/>
    <n v="0"/>
    <x v="1"/>
    <n v="0"/>
    <n v="0"/>
    <n v="0"/>
    <x v="1"/>
    <x v="1"/>
    <n v="1"/>
  </r>
  <r>
    <n v="54646200000000"/>
    <x v="0"/>
    <x v="21"/>
    <x v="1"/>
    <s v="ITARARE"/>
    <d v="2016-04-18T00:00:00"/>
    <d v="2016-05-02T00:00:00"/>
    <x v="2"/>
    <x v="80"/>
    <x v="2"/>
    <n v="1"/>
    <x v="1"/>
    <n v="1"/>
    <n v="0"/>
    <n v="0"/>
    <x v="0"/>
    <x v="0"/>
    <n v="0"/>
  </r>
  <r>
    <n v="7526470000000"/>
    <x v="0"/>
    <x v="5"/>
    <x v="1"/>
    <s v="SANTA MARTHA"/>
    <d v="2016-04-18T00:00:00"/>
    <d v="2016-05-04T00:00:00"/>
    <x v="1"/>
    <x v="78"/>
    <x v="1"/>
    <n v="1"/>
    <x v="1"/>
    <n v="0"/>
    <n v="0"/>
    <n v="0"/>
    <x v="0"/>
    <x v="1"/>
    <n v="1"/>
  </r>
  <r>
    <n v="9813400000000"/>
    <x v="0"/>
    <x v="27"/>
    <x v="3"/>
    <s v="ITARARE"/>
    <d v="2016-04-18T00:00:00"/>
    <d v="2016-05-25T00:00:00"/>
    <x v="1"/>
    <x v="53"/>
    <x v="0"/>
    <n v="0"/>
    <x v="1"/>
    <n v="0"/>
    <n v="0"/>
    <n v="0"/>
    <x v="0"/>
    <x v="0"/>
    <n v="0"/>
  </r>
  <r>
    <n v="258523000000000"/>
    <x v="0"/>
    <x v="44"/>
    <x v="4"/>
    <s v="JABOUR"/>
    <d v="2016-04-18T00:00:00"/>
    <d v="2016-05-18T00:00:00"/>
    <x v="1"/>
    <x v="60"/>
    <x v="1"/>
    <n v="0"/>
    <x v="1"/>
    <n v="0"/>
    <n v="0"/>
    <n v="0"/>
    <x v="1"/>
    <x v="1"/>
    <n v="1"/>
  </r>
  <r>
    <n v="2961600000000"/>
    <x v="1"/>
    <x v="46"/>
    <x v="2"/>
    <s v="SAO JOSE"/>
    <d v="2016-04-18T00:00:00"/>
    <d v="2016-05-03T00:00:00"/>
    <x v="4"/>
    <x v="79"/>
    <x v="1"/>
    <n v="0"/>
    <x v="1"/>
    <n v="0"/>
    <n v="0"/>
    <n v="0"/>
    <x v="0"/>
    <x v="1"/>
    <n v="1"/>
  </r>
  <r>
    <n v="44912900000000"/>
    <x v="0"/>
    <x v="72"/>
    <x v="5"/>
    <s v="DA PENHA"/>
    <d v="2016-04-18T00:00:00"/>
    <d v="2016-05-10T00:00:00"/>
    <x v="4"/>
    <x v="71"/>
    <x v="1"/>
    <n v="0"/>
    <x v="1"/>
    <n v="0"/>
    <n v="0"/>
    <n v="0"/>
    <x v="0"/>
    <x v="1"/>
    <n v="1"/>
  </r>
  <r>
    <n v="19881800000000"/>
    <x v="0"/>
    <x v="10"/>
    <x v="4"/>
    <s v="FRADINHOS"/>
    <d v="2016-04-18T00:00:00"/>
    <d v="2016-05-11T00:00:00"/>
    <x v="1"/>
    <x v="67"/>
    <x v="1"/>
    <n v="0"/>
    <x v="1"/>
    <n v="0"/>
    <n v="0"/>
    <n v="0"/>
    <x v="0"/>
    <x v="1"/>
    <n v="1"/>
  </r>
  <r>
    <n v="2159580000000"/>
    <x v="1"/>
    <x v="74"/>
    <x v="1"/>
    <s v="PRAIA DO SUA"/>
    <d v="2016-04-18T00:00:00"/>
    <d v="2016-04-29T00:00:00"/>
    <x v="0"/>
    <x v="81"/>
    <x v="2"/>
    <n v="0"/>
    <x v="1"/>
    <n v="0"/>
    <n v="0"/>
    <n v="0"/>
    <x v="0"/>
    <x v="0"/>
    <n v="0"/>
  </r>
  <r>
    <n v="563362000000000"/>
    <x v="0"/>
    <x v="39"/>
    <x v="4"/>
    <s v="RESISTENCIA"/>
    <d v="2016-04-18T00:00:00"/>
    <d v="2016-05-16T00:00:00"/>
    <x v="2"/>
    <x v="64"/>
    <x v="1"/>
    <n v="1"/>
    <x v="1"/>
    <n v="0"/>
    <n v="0"/>
    <n v="0"/>
    <x v="1"/>
    <x v="0"/>
    <n v="0"/>
  </r>
  <r>
    <n v="3642770000000"/>
    <x v="1"/>
    <x v="12"/>
    <x v="3"/>
    <s v="JABOUR"/>
    <d v="2016-04-18T00:00:00"/>
    <d v="2016-05-18T00:00:00"/>
    <x v="1"/>
    <x v="60"/>
    <x v="1"/>
    <n v="0"/>
    <x v="1"/>
    <n v="0"/>
    <n v="0"/>
    <n v="0"/>
    <x v="1"/>
    <x v="1"/>
    <n v="1"/>
  </r>
  <r>
    <n v="4782560000000"/>
    <x v="0"/>
    <x v="61"/>
    <x v="1"/>
    <s v="BENTO FERREIRA"/>
    <d v="2016-04-18T00:00:00"/>
    <d v="2016-05-03T00:00:00"/>
    <x v="4"/>
    <x v="79"/>
    <x v="1"/>
    <n v="0"/>
    <x v="1"/>
    <n v="0"/>
    <n v="0"/>
    <n v="0"/>
    <x v="1"/>
    <x v="0"/>
    <n v="0"/>
  </r>
  <r>
    <n v="534642000000"/>
    <x v="0"/>
    <x v="87"/>
    <x v="1"/>
    <s v="MARIA ORTIZ"/>
    <d v="2016-04-18T00:00:00"/>
    <d v="2016-05-18T00:00:00"/>
    <x v="1"/>
    <x v="60"/>
    <x v="1"/>
    <n v="0"/>
    <x v="1"/>
    <n v="0"/>
    <n v="0"/>
    <n v="0"/>
    <x v="1"/>
    <x v="1"/>
    <n v="1"/>
  </r>
  <r>
    <n v="5499860000000"/>
    <x v="0"/>
    <x v="46"/>
    <x v="2"/>
    <s v="MARIA ORTIZ"/>
    <d v="2016-04-18T00:00:00"/>
    <d v="2016-05-16T00:00:00"/>
    <x v="2"/>
    <x v="64"/>
    <x v="1"/>
    <n v="0"/>
    <x v="1"/>
    <n v="0"/>
    <n v="0"/>
    <n v="0"/>
    <x v="1"/>
    <x v="0"/>
    <n v="0"/>
  </r>
  <r>
    <n v="9259920000000"/>
    <x v="0"/>
    <x v="36"/>
    <x v="3"/>
    <s v="JABOUR"/>
    <d v="2016-04-18T00:00:00"/>
    <d v="2016-05-13T00:00:00"/>
    <x v="0"/>
    <x v="70"/>
    <x v="1"/>
    <n v="0"/>
    <x v="1"/>
    <n v="0"/>
    <n v="0"/>
    <n v="0"/>
    <x v="1"/>
    <x v="1"/>
    <n v="1"/>
  </r>
  <r>
    <n v="46355300000000"/>
    <x v="0"/>
    <x v="28"/>
    <x v="3"/>
    <s v="ITARARE"/>
    <d v="2016-04-18T00:00:00"/>
    <d v="2016-05-13T00:00:00"/>
    <x v="0"/>
    <x v="70"/>
    <x v="1"/>
    <n v="1"/>
    <x v="1"/>
    <n v="0"/>
    <n v="0"/>
    <n v="0"/>
    <x v="1"/>
    <x v="0"/>
    <n v="0"/>
  </r>
  <r>
    <n v="963125000000"/>
    <x v="0"/>
    <x v="59"/>
    <x v="2"/>
    <s v="ITARARE"/>
    <d v="2016-04-18T00:00:00"/>
    <d v="2016-05-11T00:00:00"/>
    <x v="1"/>
    <x v="67"/>
    <x v="1"/>
    <n v="0"/>
    <x v="1"/>
    <n v="0"/>
    <n v="0"/>
    <n v="0"/>
    <x v="1"/>
    <x v="1"/>
    <n v="1"/>
  </r>
  <r>
    <n v="86274500000000"/>
    <x v="1"/>
    <x v="42"/>
    <x v="3"/>
    <s v="MARUIPE"/>
    <d v="2016-04-18T00:00:00"/>
    <d v="2016-05-10T00:00:00"/>
    <x v="4"/>
    <x v="71"/>
    <x v="1"/>
    <n v="0"/>
    <x v="1"/>
    <n v="0"/>
    <n v="0"/>
    <n v="0"/>
    <x v="0"/>
    <x v="0"/>
    <n v="0"/>
  </r>
  <r>
    <n v="3688550000000"/>
    <x v="0"/>
    <x v="30"/>
    <x v="3"/>
    <s v="ITARARE"/>
    <d v="2016-04-18T00:00:00"/>
    <d v="2016-05-12T00:00:00"/>
    <x v="3"/>
    <x v="66"/>
    <x v="1"/>
    <n v="0"/>
    <x v="0"/>
    <n v="1"/>
    <n v="0"/>
    <n v="0"/>
    <x v="0"/>
    <x v="1"/>
    <n v="1"/>
  </r>
  <r>
    <n v="122231000000"/>
    <x v="1"/>
    <x v="43"/>
    <x v="2"/>
    <s v="MARIO CYPRESTE"/>
    <d v="2016-04-18T00:00:00"/>
    <d v="2016-05-09T00:00:00"/>
    <x v="2"/>
    <x v="73"/>
    <x v="1"/>
    <n v="0"/>
    <x v="1"/>
    <n v="0"/>
    <n v="0"/>
    <n v="0"/>
    <x v="1"/>
    <x v="0"/>
    <n v="0"/>
  </r>
  <r>
    <n v="46294100000000"/>
    <x v="1"/>
    <x v="79"/>
    <x v="5"/>
    <s v="DO CABRAL"/>
    <d v="2016-04-18T00:00:00"/>
    <d v="2016-05-17T00:00:00"/>
    <x v="4"/>
    <x v="63"/>
    <x v="1"/>
    <n v="1"/>
    <x v="1"/>
    <n v="0"/>
    <n v="0"/>
    <n v="0"/>
    <x v="1"/>
    <x v="0"/>
    <n v="0"/>
  </r>
  <r>
    <n v="5495860000000"/>
    <x v="1"/>
    <x v="65"/>
    <x v="2"/>
    <s v="SANTO ANTONIO"/>
    <d v="2016-04-18T00:00:00"/>
    <d v="2016-05-16T00:00:00"/>
    <x v="2"/>
    <x v="64"/>
    <x v="1"/>
    <n v="0"/>
    <x v="1"/>
    <n v="0"/>
    <n v="0"/>
    <n v="0"/>
    <x v="1"/>
    <x v="0"/>
    <n v="0"/>
  </r>
  <r>
    <n v="5386530000000"/>
    <x v="1"/>
    <x v="43"/>
    <x v="2"/>
    <s v="BELA VISTA"/>
    <d v="2016-04-18T00:00:00"/>
    <d v="2016-05-09T00:00:00"/>
    <x v="2"/>
    <x v="73"/>
    <x v="1"/>
    <n v="0"/>
    <x v="1"/>
    <n v="0"/>
    <n v="0"/>
    <n v="0"/>
    <x v="1"/>
    <x v="0"/>
    <n v="0"/>
  </r>
  <r>
    <n v="7164110000000"/>
    <x v="0"/>
    <x v="43"/>
    <x v="2"/>
    <s v="ITARARE"/>
    <d v="2016-04-18T00:00:00"/>
    <d v="2016-05-11T00:00:00"/>
    <x v="1"/>
    <x v="67"/>
    <x v="1"/>
    <n v="0"/>
    <x v="1"/>
    <n v="0"/>
    <n v="0"/>
    <n v="0"/>
    <x v="0"/>
    <x v="0"/>
    <n v="0"/>
  </r>
  <r>
    <n v="61119600000000"/>
    <x v="1"/>
    <x v="10"/>
    <x v="4"/>
    <s v="MARIA ORTIZ"/>
    <d v="2016-04-18T00:00:00"/>
    <d v="2016-05-18T00:00:00"/>
    <x v="1"/>
    <x v="60"/>
    <x v="1"/>
    <n v="0"/>
    <x v="1"/>
    <n v="0"/>
    <n v="0"/>
    <n v="0"/>
    <x v="1"/>
    <x v="0"/>
    <n v="0"/>
  </r>
  <r>
    <n v="441293000000000"/>
    <x v="0"/>
    <x v="32"/>
    <x v="4"/>
    <s v="SANTA TEREZA"/>
    <d v="2016-04-18T00:00:00"/>
    <d v="2016-05-16T00:00:00"/>
    <x v="2"/>
    <x v="64"/>
    <x v="1"/>
    <n v="1"/>
    <x v="1"/>
    <n v="0"/>
    <n v="0"/>
    <n v="0"/>
    <x v="1"/>
    <x v="1"/>
    <n v="1"/>
  </r>
  <r>
    <n v="551793000000"/>
    <x v="0"/>
    <x v="79"/>
    <x v="5"/>
    <s v="SANTO ANTONIO"/>
    <d v="2016-04-18T00:00:00"/>
    <d v="2016-05-05T00:00:00"/>
    <x v="3"/>
    <x v="75"/>
    <x v="1"/>
    <n v="0"/>
    <x v="1"/>
    <n v="0"/>
    <n v="0"/>
    <n v="0"/>
    <x v="0"/>
    <x v="0"/>
    <n v="0"/>
  </r>
  <r>
    <n v="551793000000"/>
    <x v="0"/>
    <x v="79"/>
    <x v="5"/>
    <s v="SANTO ANTONIO"/>
    <d v="2016-04-18T00:00:00"/>
    <d v="2016-05-19T00:00:00"/>
    <x v="3"/>
    <x v="57"/>
    <x v="0"/>
    <n v="0"/>
    <x v="1"/>
    <n v="0"/>
    <n v="0"/>
    <n v="0"/>
    <x v="1"/>
    <x v="0"/>
    <n v="0"/>
  </r>
  <r>
    <n v="75857200000000"/>
    <x v="0"/>
    <x v="47"/>
    <x v="4"/>
    <s v="JABOUR"/>
    <d v="2016-04-18T00:00:00"/>
    <d v="2016-05-20T00:00:00"/>
    <x v="0"/>
    <x v="54"/>
    <x v="0"/>
    <n v="0"/>
    <x v="1"/>
    <n v="0"/>
    <n v="0"/>
    <n v="0"/>
    <x v="1"/>
    <x v="0"/>
    <n v="0"/>
  </r>
  <r>
    <n v="37794600000000"/>
    <x v="0"/>
    <x v="38"/>
    <x v="4"/>
    <s v="MARIA ORTIZ"/>
    <d v="2016-04-18T00:00:00"/>
    <d v="2016-05-25T00:00:00"/>
    <x v="1"/>
    <x v="53"/>
    <x v="0"/>
    <n v="0"/>
    <x v="1"/>
    <n v="0"/>
    <n v="0"/>
    <n v="0"/>
    <x v="0"/>
    <x v="0"/>
    <n v="0"/>
  </r>
  <r>
    <n v="277583000000000"/>
    <x v="0"/>
    <x v="39"/>
    <x v="4"/>
    <s v="MARUIPE"/>
    <d v="2016-04-18T00:00:00"/>
    <d v="2016-06-07T00:00:00"/>
    <x v="4"/>
    <x v="41"/>
    <x v="0"/>
    <n v="0"/>
    <x v="1"/>
    <n v="0"/>
    <n v="0"/>
    <n v="0"/>
    <x v="0"/>
    <x v="1"/>
    <n v="1"/>
  </r>
  <r>
    <n v="24387600000000"/>
    <x v="1"/>
    <x v="17"/>
    <x v="4"/>
    <s v="JARDIM CAMBURI"/>
    <d v="2016-04-18T00:00:00"/>
    <d v="2016-05-30T00:00:00"/>
    <x v="2"/>
    <x v="49"/>
    <x v="0"/>
    <n v="0"/>
    <x v="1"/>
    <n v="0"/>
    <n v="0"/>
    <n v="0"/>
    <x v="0"/>
    <x v="1"/>
    <n v="1"/>
  </r>
  <r>
    <n v="89751700000000"/>
    <x v="1"/>
    <x v="30"/>
    <x v="3"/>
    <s v="CENTRO"/>
    <d v="2016-04-19T00:00:00"/>
    <d v="2016-05-02T00:00:00"/>
    <x v="2"/>
    <x v="82"/>
    <x v="2"/>
    <n v="0"/>
    <x v="1"/>
    <n v="0"/>
    <n v="1"/>
    <n v="0"/>
    <x v="1"/>
    <x v="0"/>
    <n v="0"/>
  </r>
  <r>
    <n v="8132240000000"/>
    <x v="1"/>
    <x v="56"/>
    <x v="1"/>
    <s v="CENTRO"/>
    <d v="2016-04-19T00:00:00"/>
    <d v="2016-05-10T00:00:00"/>
    <x v="4"/>
    <x v="73"/>
    <x v="1"/>
    <n v="0"/>
    <x v="1"/>
    <n v="0"/>
    <n v="0"/>
    <n v="0"/>
    <x v="1"/>
    <x v="1"/>
    <n v="1"/>
  </r>
  <r>
    <n v="232961000000"/>
    <x v="0"/>
    <x v="38"/>
    <x v="4"/>
    <s v="BONFIM"/>
    <d v="2016-04-19T00:00:00"/>
    <d v="2016-05-09T00:00:00"/>
    <x v="2"/>
    <x v="76"/>
    <x v="1"/>
    <n v="0"/>
    <x v="1"/>
    <n v="0"/>
    <n v="0"/>
    <n v="0"/>
    <x v="1"/>
    <x v="1"/>
    <n v="1"/>
  </r>
  <r>
    <n v="488193000000000"/>
    <x v="0"/>
    <x v="74"/>
    <x v="1"/>
    <s v="SANTA TEREZA"/>
    <d v="2016-04-19T00:00:00"/>
    <d v="2016-05-09T00:00:00"/>
    <x v="2"/>
    <x v="76"/>
    <x v="1"/>
    <n v="1"/>
    <x v="1"/>
    <n v="0"/>
    <n v="0"/>
    <n v="0"/>
    <x v="1"/>
    <x v="1"/>
    <n v="1"/>
  </r>
  <r>
    <n v="535184000000000"/>
    <x v="1"/>
    <x v="4"/>
    <x v="2"/>
    <s v="BONFIM"/>
    <d v="2016-04-19T00:00:00"/>
    <d v="2016-05-02T00:00:00"/>
    <x v="2"/>
    <x v="82"/>
    <x v="2"/>
    <n v="0"/>
    <x v="1"/>
    <n v="0"/>
    <n v="0"/>
    <n v="0"/>
    <x v="0"/>
    <x v="0"/>
    <n v="0"/>
  </r>
  <r>
    <n v="136194000000000"/>
    <x v="1"/>
    <x v="56"/>
    <x v="1"/>
    <s v="JOANA D ARC"/>
    <d v="2016-04-19T00:00:00"/>
    <d v="2016-06-08T00:00:00"/>
    <x v="1"/>
    <x v="41"/>
    <x v="0"/>
    <n v="0"/>
    <x v="1"/>
    <n v="0"/>
    <n v="0"/>
    <n v="0"/>
    <x v="0"/>
    <x v="0"/>
    <n v="0"/>
  </r>
  <r>
    <n v="68875168461"/>
    <x v="0"/>
    <x v="65"/>
    <x v="2"/>
    <s v="SAO JOSE"/>
    <d v="2016-04-19T00:00:00"/>
    <d v="2016-04-29T00:00:00"/>
    <x v="0"/>
    <x v="83"/>
    <x v="2"/>
    <n v="0"/>
    <x v="1"/>
    <n v="0"/>
    <n v="0"/>
    <n v="0"/>
    <x v="0"/>
    <x v="0"/>
    <n v="0"/>
  </r>
  <r>
    <n v="9512370000000"/>
    <x v="0"/>
    <x v="51"/>
    <x v="2"/>
    <s v="PARQUE MOSCOSO"/>
    <d v="2016-04-19T00:00:00"/>
    <d v="2016-05-06T00:00:00"/>
    <x v="0"/>
    <x v="75"/>
    <x v="1"/>
    <n v="0"/>
    <x v="1"/>
    <n v="0"/>
    <n v="0"/>
    <n v="0"/>
    <x v="0"/>
    <x v="1"/>
    <n v="1"/>
  </r>
  <r>
    <n v="421536000000000"/>
    <x v="0"/>
    <x v="74"/>
    <x v="1"/>
    <s v="SANTA TEREZA"/>
    <d v="2016-04-19T00:00:00"/>
    <d v="2016-05-10T00:00:00"/>
    <x v="4"/>
    <x v="73"/>
    <x v="1"/>
    <n v="0"/>
    <x v="1"/>
    <n v="0"/>
    <n v="0"/>
    <n v="0"/>
    <x v="0"/>
    <x v="0"/>
    <n v="0"/>
  </r>
  <r>
    <n v="713798000000"/>
    <x v="1"/>
    <x v="36"/>
    <x v="3"/>
    <s v="CENTRO"/>
    <d v="2016-04-19T00:00:00"/>
    <d v="2016-05-13T00:00:00"/>
    <x v="0"/>
    <x v="66"/>
    <x v="1"/>
    <n v="0"/>
    <x v="0"/>
    <n v="0"/>
    <n v="0"/>
    <n v="0"/>
    <x v="1"/>
    <x v="0"/>
    <n v="0"/>
  </r>
  <r>
    <n v="11918500000000"/>
    <x v="0"/>
    <x v="54"/>
    <x v="1"/>
    <s v="REPUBLICA"/>
    <d v="2016-04-19T00:00:00"/>
    <d v="2016-05-18T00:00:00"/>
    <x v="1"/>
    <x v="63"/>
    <x v="1"/>
    <n v="0"/>
    <x v="1"/>
    <n v="0"/>
    <n v="0"/>
    <n v="0"/>
    <x v="1"/>
    <x v="0"/>
    <n v="0"/>
  </r>
  <r>
    <n v="5831310000000"/>
    <x v="0"/>
    <x v="73"/>
    <x v="4"/>
    <s v="ILHA DE SANTA MARIA"/>
    <d v="2016-04-19T00:00:00"/>
    <d v="2016-05-02T00:00:00"/>
    <x v="2"/>
    <x v="82"/>
    <x v="2"/>
    <n v="0"/>
    <x v="1"/>
    <n v="0"/>
    <n v="0"/>
    <n v="0"/>
    <x v="0"/>
    <x v="1"/>
    <n v="1"/>
  </r>
  <r>
    <n v="66523100000000"/>
    <x v="0"/>
    <x v="74"/>
    <x v="1"/>
    <s v="MARUIPE"/>
    <d v="2016-04-19T00:00:00"/>
    <d v="2016-05-10T00:00:00"/>
    <x v="4"/>
    <x v="73"/>
    <x v="1"/>
    <n v="0"/>
    <x v="1"/>
    <n v="0"/>
    <n v="0"/>
    <n v="0"/>
    <x v="0"/>
    <x v="0"/>
    <n v="0"/>
  </r>
  <r>
    <n v="6528430000000"/>
    <x v="0"/>
    <x v="45"/>
    <x v="1"/>
    <s v="SANTA LUCIA"/>
    <d v="2016-04-19T00:00:00"/>
    <d v="2016-05-10T00:00:00"/>
    <x v="4"/>
    <x v="73"/>
    <x v="1"/>
    <n v="1"/>
    <x v="1"/>
    <n v="0"/>
    <n v="0"/>
    <n v="0"/>
    <x v="1"/>
    <x v="0"/>
    <n v="0"/>
  </r>
  <r>
    <n v="24391200000000"/>
    <x v="0"/>
    <x v="10"/>
    <x v="4"/>
    <s v="CENTRO"/>
    <d v="2016-04-19T00:00:00"/>
    <d v="2016-05-06T00:00:00"/>
    <x v="0"/>
    <x v="75"/>
    <x v="1"/>
    <n v="0"/>
    <x v="1"/>
    <n v="0"/>
    <n v="0"/>
    <n v="0"/>
    <x v="0"/>
    <x v="0"/>
    <n v="0"/>
  </r>
  <r>
    <n v="98353500000000"/>
    <x v="0"/>
    <x v="90"/>
    <x v="0"/>
    <s v="ANDORINHAS"/>
    <d v="2016-04-19T00:00:00"/>
    <d v="2016-05-13T00:00:00"/>
    <x v="0"/>
    <x v="66"/>
    <x v="1"/>
    <n v="0"/>
    <x v="0"/>
    <n v="0"/>
    <n v="0"/>
    <n v="1"/>
    <x v="1"/>
    <x v="0"/>
    <n v="0"/>
  </r>
  <r>
    <n v="59418100000000"/>
    <x v="1"/>
    <x v="46"/>
    <x v="2"/>
    <s v="FORTE SAO JOAO"/>
    <d v="2016-04-19T00:00:00"/>
    <d v="2016-05-04T00:00:00"/>
    <x v="1"/>
    <x v="79"/>
    <x v="1"/>
    <n v="0"/>
    <x v="1"/>
    <n v="0"/>
    <n v="0"/>
    <n v="0"/>
    <x v="1"/>
    <x v="0"/>
    <n v="0"/>
  </r>
  <r>
    <n v="21963700000000"/>
    <x v="0"/>
    <x v="12"/>
    <x v="3"/>
    <s v="JOANA D ARC"/>
    <d v="2016-04-19T00:00:00"/>
    <d v="2016-05-31T00:00:00"/>
    <x v="4"/>
    <x v="49"/>
    <x v="0"/>
    <n v="0"/>
    <x v="0"/>
    <n v="0"/>
    <n v="0"/>
    <n v="0"/>
    <x v="0"/>
    <x v="0"/>
    <n v="0"/>
  </r>
  <r>
    <n v="2739340000000"/>
    <x v="1"/>
    <x v="77"/>
    <x v="4"/>
    <s v="MARUIPE"/>
    <d v="2016-04-19T00:00:00"/>
    <d v="2016-05-03T00:00:00"/>
    <x v="4"/>
    <x v="80"/>
    <x v="2"/>
    <n v="0"/>
    <x v="1"/>
    <n v="0"/>
    <n v="0"/>
    <n v="0"/>
    <x v="0"/>
    <x v="1"/>
    <n v="1"/>
  </r>
  <r>
    <n v="516268000000"/>
    <x v="0"/>
    <x v="78"/>
    <x v="0"/>
    <s v="MATA DA PRAIA"/>
    <d v="2016-04-19T00:00:00"/>
    <d v="2016-05-05T00:00:00"/>
    <x v="3"/>
    <x v="78"/>
    <x v="1"/>
    <n v="0"/>
    <x v="1"/>
    <n v="0"/>
    <n v="0"/>
    <n v="0"/>
    <x v="1"/>
    <x v="1"/>
    <n v="1"/>
  </r>
  <r>
    <n v="7839750000000"/>
    <x v="0"/>
    <x v="1"/>
    <x v="0"/>
    <s v="SANTA TEREZA"/>
    <d v="2016-04-19T00:00:00"/>
    <d v="2016-05-02T00:00:00"/>
    <x v="2"/>
    <x v="82"/>
    <x v="2"/>
    <n v="0"/>
    <x v="1"/>
    <n v="0"/>
    <n v="0"/>
    <n v="0"/>
    <x v="0"/>
    <x v="0"/>
    <n v="0"/>
  </r>
  <r>
    <n v="89451600000000"/>
    <x v="1"/>
    <x v="46"/>
    <x v="2"/>
    <s v="ITARARE"/>
    <d v="2016-04-19T00:00:00"/>
    <d v="2016-05-11T00:00:00"/>
    <x v="1"/>
    <x v="71"/>
    <x v="1"/>
    <n v="0"/>
    <x v="1"/>
    <n v="0"/>
    <n v="0"/>
    <n v="0"/>
    <x v="0"/>
    <x v="0"/>
    <n v="0"/>
  </r>
  <r>
    <n v="2252550000000"/>
    <x v="0"/>
    <x v="69"/>
    <x v="4"/>
    <s v="SANTA MARTHA"/>
    <d v="2016-04-19T00:00:00"/>
    <d v="2016-05-04T00:00:00"/>
    <x v="1"/>
    <x v="79"/>
    <x v="1"/>
    <n v="0"/>
    <x v="1"/>
    <n v="0"/>
    <n v="0"/>
    <n v="0"/>
    <x v="0"/>
    <x v="0"/>
    <n v="0"/>
  </r>
  <r>
    <n v="4287890000000"/>
    <x v="0"/>
    <x v="15"/>
    <x v="3"/>
    <s v="JARDIM DA PENHA"/>
    <d v="2016-04-19T00:00:00"/>
    <d v="2016-05-10T00:00:00"/>
    <x v="4"/>
    <x v="73"/>
    <x v="1"/>
    <n v="0"/>
    <x v="1"/>
    <n v="0"/>
    <n v="0"/>
    <n v="0"/>
    <x v="0"/>
    <x v="0"/>
    <n v="0"/>
  </r>
  <r>
    <n v="4727610000000"/>
    <x v="0"/>
    <x v="72"/>
    <x v="5"/>
    <s v="ANDORINHAS"/>
    <d v="2016-04-19T00:00:00"/>
    <d v="2016-05-09T00:00:00"/>
    <x v="2"/>
    <x v="76"/>
    <x v="1"/>
    <n v="0"/>
    <x v="1"/>
    <n v="0"/>
    <n v="0"/>
    <n v="0"/>
    <x v="1"/>
    <x v="0"/>
    <n v="0"/>
  </r>
  <r>
    <n v="8797540000000"/>
    <x v="0"/>
    <x v="57"/>
    <x v="2"/>
    <s v="ANDORINHAS"/>
    <d v="2016-04-19T00:00:00"/>
    <d v="2016-05-12T00:00:00"/>
    <x v="3"/>
    <x v="67"/>
    <x v="1"/>
    <n v="0"/>
    <x v="1"/>
    <n v="0"/>
    <n v="0"/>
    <n v="0"/>
    <x v="0"/>
    <x v="0"/>
    <n v="0"/>
  </r>
  <r>
    <n v="8276290000000"/>
    <x v="0"/>
    <x v="39"/>
    <x v="4"/>
    <s v="RESISTENCIA"/>
    <d v="2016-04-19T00:00:00"/>
    <d v="2016-05-19T00:00:00"/>
    <x v="3"/>
    <x v="60"/>
    <x v="1"/>
    <n v="0"/>
    <x v="1"/>
    <n v="0"/>
    <n v="0"/>
    <n v="0"/>
    <x v="1"/>
    <x v="0"/>
    <n v="0"/>
  </r>
  <r>
    <n v="3617450000000"/>
    <x v="1"/>
    <x v="19"/>
    <x v="2"/>
    <s v="BONFIM"/>
    <d v="2016-04-19T00:00:00"/>
    <d v="2016-05-30T00:00:00"/>
    <x v="2"/>
    <x v="51"/>
    <x v="0"/>
    <n v="0"/>
    <x v="1"/>
    <n v="0"/>
    <n v="0"/>
    <n v="0"/>
    <x v="0"/>
    <x v="0"/>
    <n v="0"/>
  </r>
  <r>
    <n v="17985800000000"/>
    <x v="0"/>
    <x v="10"/>
    <x v="4"/>
    <s v="SANTO ANDRE"/>
    <d v="2016-04-19T00:00:00"/>
    <d v="2016-05-02T00:00:00"/>
    <x v="2"/>
    <x v="82"/>
    <x v="2"/>
    <n v="0"/>
    <x v="1"/>
    <n v="0"/>
    <n v="0"/>
    <n v="0"/>
    <x v="0"/>
    <x v="0"/>
    <n v="0"/>
  </r>
  <r>
    <n v="371357000000000"/>
    <x v="0"/>
    <x v="65"/>
    <x v="2"/>
    <s v="ILHA DO PRINCIPE"/>
    <d v="2016-04-19T00:00:00"/>
    <d v="2016-05-02T00:00:00"/>
    <x v="2"/>
    <x v="82"/>
    <x v="2"/>
    <n v="1"/>
    <x v="1"/>
    <n v="0"/>
    <n v="0"/>
    <n v="0"/>
    <x v="0"/>
    <x v="1"/>
    <n v="1"/>
  </r>
  <r>
    <n v="97931200000000"/>
    <x v="0"/>
    <x v="39"/>
    <x v="4"/>
    <s v="CARATOIRA"/>
    <d v="2016-04-19T00:00:00"/>
    <d v="2016-05-19T00:00:00"/>
    <x v="3"/>
    <x v="60"/>
    <x v="1"/>
    <n v="1"/>
    <x v="1"/>
    <n v="0"/>
    <n v="0"/>
    <n v="0"/>
    <x v="1"/>
    <x v="0"/>
    <n v="0"/>
  </r>
  <r>
    <n v="8337370000000"/>
    <x v="1"/>
    <x v="66"/>
    <x v="2"/>
    <s v="SOLON BORGES"/>
    <d v="2016-04-19T00:00:00"/>
    <d v="2016-05-16T00:00:00"/>
    <x v="2"/>
    <x v="65"/>
    <x v="1"/>
    <n v="0"/>
    <x v="1"/>
    <n v="0"/>
    <n v="0"/>
    <n v="0"/>
    <x v="1"/>
    <x v="0"/>
    <n v="0"/>
  </r>
  <r>
    <n v="472348000000"/>
    <x v="0"/>
    <x v="61"/>
    <x v="1"/>
    <s v="CARATOIRA"/>
    <d v="2016-04-19T00:00:00"/>
    <d v="2016-05-10T00:00:00"/>
    <x v="4"/>
    <x v="73"/>
    <x v="1"/>
    <n v="0"/>
    <x v="1"/>
    <n v="0"/>
    <n v="0"/>
    <n v="0"/>
    <x v="0"/>
    <x v="1"/>
    <n v="1"/>
  </r>
  <r>
    <n v="15179800000000"/>
    <x v="0"/>
    <x v="57"/>
    <x v="2"/>
    <s v="CARATOIRA"/>
    <d v="2016-04-19T00:00:00"/>
    <d v="2016-05-30T00:00:00"/>
    <x v="2"/>
    <x v="51"/>
    <x v="0"/>
    <n v="0"/>
    <x v="1"/>
    <n v="0"/>
    <n v="0"/>
    <n v="0"/>
    <x v="1"/>
    <x v="1"/>
    <n v="1"/>
  </r>
  <r>
    <n v="7343480000000"/>
    <x v="0"/>
    <x v="9"/>
    <x v="0"/>
    <s v="JARDIM CAMBURI"/>
    <d v="2016-04-19T00:00:00"/>
    <d v="2016-05-09T00:00:00"/>
    <x v="2"/>
    <x v="76"/>
    <x v="1"/>
    <n v="0"/>
    <x v="1"/>
    <n v="0"/>
    <n v="0"/>
    <n v="0"/>
    <x v="1"/>
    <x v="1"/>
    <n v="1"/>
  </r>
  <r>
    <n v="18648900000000"/>
    <x v="0"/>
    <x v="75"/>
    <x v="5"/>
    <s v="SANTA TEREZA"/>
    <d v="2016-04-19T00:00:00"/>
    <d v="2016-05-18T00:00:00"/>
    <x v="1"/>
    <x v="63"/>
    <x v="1"/>
    <n v="0"/>
    <x v="1"/>
    <n v="0"/>
    <n v="0"/>
    <n v="0"/>
    <x v="1"/>
    <x v="1"/>
    <n v="1"/>
  </r>
  <r>
    <n v="479958000000000"/>
    <x v="0"/>
    <x v="24"/>
    <x v="1"/>
    <s v="MATA DA PRAIA"/>
    <d v="2016-04-19T00:00:00"/>
    <d v="2016-05-10T00:00:00"/>
    <x v="4"/>
    <x v="73"/>
    <x v="1"/>
    <n v="0"/>
    <x v="1"/>
    <n v="0"/>
    <n v="0"/>
    <n v="0"/>
    <x v="1"/>
    <x v="0"/>
    <n v="0"/>
  </r>
  <r>
    <n v="25664400000000"/>
    <x v="1"/>
    <x v="50"/>
    <x v="1"/>
    <s v="ANDORINHAS"/>
    <d v="2016-04-19T00:00:00"/>
    <d v="2016-05-04T00:00:00"/>
    <x v="1"/>
    <x v="79"/>
    <x v="1"/>
    <n v="1"/>
    <x v="1"/>
    <n v="0"/>
    <n v="0"/>
    <n v="0"/>
    <x v="0"/>
    <x v="0"/>
    <n v="0"/>
  </r>
  <r>
    <n v="8773780000000"/>
    <x v="0"/>
    <x v="37"/>
    <x v="3"/>
    <s v="MARIA ORTIZ"/>
    <d v="2016-04-19T00:00:00"/>
    <d v="2016-05-20T00:00:00"/>
    <x v="0"/>
    <x v="57"/>
    <x v="0"/>
    <n v="0"/>
    <x v="1"/>
    <n v="0"/>
    <n v="0"/>
    <n v="0"/>
    <x v="1"/>
    <x v="0"/>
    <n v="0"/>
  </r>
  <r>
    <n v="33876100000000"/>
    <x v="0"/>
    <x v="64"/>
    <x v="3"/>
    <s v="JABOUR"/>
    <d v="2016-04-19T00:00:00"/>
    <d v="2016-05-02T00:00:00"/>
    <x v="2"/>
    <x v="82"/>
    <x v="2"/>
    <n v="0"/>
    <x v="1"/>
    <n v="0"/>
    <n v="0"/>
    <n v="0"/>
    <x v="0"/>
    <x v="0"/>
    <n v="0"/>
  </r>
  <r>
    <n v="1145650000000"/>
    <x v="0"/>
    <x v="77"/>
    <x v="4"/>
    <s v="PIEDADE"/>
    <d v="2016-04-19T00:00:00"/>
    <d v="2016-05-02T00:00:00"/>
    <x v="2"/>
    <x v="82"/>
    <x v="2"/>
    <n v="0"/>
    <x v="1"/>
    <n v="0"/>
    <n v="0"/>
    <n v="0"/>
    <x v="0"/>
    <x v="0"/>
    <n v="0"/>
  </r>
  <r>
    <n v="66882700000000"/>
    <x v="1"/>
    <x v="41"/>
    <x v="4"/>
    <s v="JARDIM DA PENHA"/>
    <d v="2016-04-19T00:00:00"/>
    <d v="2016-05-13T00:00:00"/>
    <x v="0"/>
    <x v="66"/>
    <x v="1"/>
    <n v="0"/>
    <x v="1"/>
    <n v="0"/>
    <n v="0"/>
    <n v="0"/>
    <x v="1"/>
    <x v="1"/>
    <n v="1"/>
  </r>
  <r>
    <n v="724433000000000"/>
    <x v="0"/>
    <x v="58"/>
    <x v="0"/>
    <s v="CRUZAMENTO"/>
    <d v="2016-04-19T00:00:00"/>
    <d v="2016-05-03T00:00:00"/>
    <x v="4"/>
    <x v="80"/>
    <x v="2"/>
    <n v="0"/>
    <x v="0"/>
    <n v="1"/>
    <n v="0"/>
    <n v="0"/>
    <x v="1"/>
    <x v="0"/>
    <n v="0"/>
  </r>
  <r>
    <n v="3367280000000"/>
    <x v="1"/>
    <x v="82"/>
    <x v="0"/>
    <s v="REPUBLICA"/>
    <d v="2016-04-19T00:00:00"/>
    <d v="2016-04-29T00:00:00"/>
    <x v="0"/>
    <x v="83"/>
    <x v="2"/>
    <n v="0"/>
    <x v="1"/>
    <n v="1"/>
    <n v="0"/>
    <n v="0"/>
    <x v="1"/>
    <x v="0"/>
    <n v="0"/>
  </r>
  <r>
    <n v="52147700000000"/>
    <x v="1"/>
    <x v="62"/>
    <x v="3"/>
    <s v="ITARARE"/>
    <d v="2016-04-19T00:00:00"/>
    <d v="2016-05-12T00:00:00"/>
    <x v="3"/>
    <x v="67"/>
    <x v="1"/>
    <n v="0"/>
    <x v="0"/>
    <n v="1"/>
    <n v="0"/>
    <n v="0"/>
    <x v="0"/>
    <x v="1"/>
    <n v="1"/>
  </r>
  <r>
    <n v="125158000000000"/>
    <x v="0"/>
    <x v="84"/>
    <x v="1"/>
    <s v="SAO JOSE"/>
    <d v="2016-04-19T00:00:00"/>
    <d v="2016-04-29T00:00:00"/>
    <x v="0"/>
    <x v="83"/>
    <x v="2"/>
    <n v="0"/>
    <x v="1"/>
    <n v="0"/>
    <n v="0"/>
    <n v="0"/>
    <x v="1"/>
    <x v="1"/>
    <n v="1"/>
  </r>
  <r>
    <n v="144742000000000"/>
    <x v="1"/>
    <x v="79"/>
    <x v="5"/>
    <s v="MARIA ORTIZ"/>
    <d v="2016-04-19T00:00:00"/>
    <d v="2016-05-30T00:00:00"/>
    <x v="2"/>
    <x v="51"/>
    <x v="0"/>
    <n v="0"/>
    <x v="1"/>
    <n v="0"/>
    <n v="0"/>
    <n v="0"/>
    <x v="0"/>
    <x v="1"/>
    <n v="1"/>
  </r>
  <r>
    <n v="7939520000000"/>
    <x v="0"/>
    <x v="65"/>
    <x v="2"/>
    <s v="JABOUR"/>
    <d v="2016-04-19T00:00:00"/>
    <d v="2016-05-13T00:00:00"/>
    <x v="0"/>
    <x v="66"/>
    <x v="1"/>
    <n v="0"/>
    <x v="1"/>
    <n v="0"/>
    <n v="0"/>
    <n v="0"/>
    <x v="1"/>
    <x v="1"/>
    <n v="1"/>
  </r>
  <r>
    <n v="75400000000000"/>
    <x v="0"/>
    <x v="65"/>
    <x v="2"/>
    <s v="JARDIM DA PENHA"/>
    <d v="2016-04-19T00:00:00"/>
    <d v="2016-04-29T00:00:00"/>
    <x v="0"/>
    <x v="83"/>
    <x v="2"/>
    <n v="0"/>
    <x v="1"/>
    <n v="0"/>
    <n v="0"/>
    <n v="0"/>
    <x v="1"/>
    <x v="0"/>
    <n v="0"/>
  </r>
  <r>
    <n v="73894300000000"/>
    <x v="0"/>
    <x v="22"/>
    <x v="4"/>
    <s v="BONFIM"/>
    <d v="2016-04-19T00:00:00"/>
    <d v="2016-04-29T00:00:00"/>
    <x v="0"/>
    <x v="83"/>
    <x v="2"/>
    <n v="1"/>
    <x v="1"/>
    <n v="0"/>
    <n v="0"/>
    <n v="0"/>
    <x v="0"/>
    <x v="0"/>
    <n v="0"/>
  </r>
  <r>
    <n v="7852940000000"/>
    <x v="0"/>
    <x v="74"/>
    <x v="1"/>
    <s v="DA PENHA"/>
    <d v="2016-04-19T00:00:00"/>
    <d v="2016-05-20T00:00:00"/>
    <x v="0"/>
    <x v="57"/>
    <x v="0"/>
    <n v="0"/>
    <x v="0"/>
    <n v="0"/>
    <n v="0"/>
    <n v="1"/>
    <x v="1"/>
    <x v="0"/>
    <n v="0"/>
  </r>
  <r>
    <n v="46162700000000"/>
    <x v="1"/>
    <x v="16"/>
    <x v="1"/>
    <s v="MARUIPE"/>
    <d v="2016-04-19T00:00:00"/>
    <d v="2016-05-11T00:00:00"/>
    <x v="1"/>
    <x v="71"/>
    <x v="1"/>
    <n v="0"/>
    <x v="1"/>
    <n v="0"/>
    <n v="0"/>
    <n v="0"/>
    <x v="0"/>
    <x v="0"/>
    <n v="0"/>
  </r>
  <r>
    <n v="63647200000000"/>
    <x v="1"/>
    <x v="16"/>
    <x v="1"/>
    <s v="MONTE BELO"/>
    <d v="2016-04-19T00:00:00"/>
    <d v="2016-05-12T00:00:00"/>
    <x v="3"/>
    <x v="67"/>
    <x v="1"/>
    <n v="0"/>
    <x v="1"/>
    <n v="0"/>
    <n v="0"/>
    <n v="0"/>
    <x v="1"/>
    <x v="1"/>
    <n v="1"/>
  </r>
  <r>
    <n v="6438360000000"/>
    <x v="1"/>
    <x v="54"/>
    <x v="1"/>
    <s v="CENTRO"/>
    <d v="2016-04-19T00:00:00"/>
    <d v="2016-05-17T00:00:00"/>
    <x v="4"/>
    <x v="64"/>
    <x v="1"/>
    <n v="0"/>
    <x v="1"/>
    <n v="0"/>
    <n v="0"/>
    <n v="0"/>
    <x v="1"/>
    <x v="1"/>
    <n v="1"/>
  </r>
  <r>
    <n v="632938000000000"/>
    <x v="0"/>
    <x v="5"/>
    <x v="1"/>
    <s v="RESISTENCIA"/>
    <d v="2016-04-19T00:00:00"/>
    <d v="2016-05-20T00:00:00"/>
    <x v="0"/>
    <x v="57"/>
    <x v="0"/>
    <n v="1"/>
    <x v="1"/>
    <n v="0"/>
    <n v="1"/>
    <n v="0"/>
    <x v="1"/>
    <x v="1"/>
    <n v="1"/>
  </r>
  <r>
    <n v="74324700000000"/>
    <x v="0"/>
    <x v="29"/>
    <x v="3"/>
    <s v="SANTA CECILIA"/>
    <d v="2016-04-19T00:00:00"/>
    <d v="2016-05-24T00:00:00"/>
    <x v="4"/>
    <x v="59"/>
    <x v="0"/>
    <n v="0"/>
    <x v="1"/>
    <n v="0"/>
    <n v="0"/>
    <n v="0"/>
    <x v="1"/>
    <x v="1"/>
    <n v="1"/>
  </r>
  <r>
    <n v="4463410000000"/>
    <x v="0"/>
    <x v="81"/>
    <x v="5"/>
    <s v="JARDIM CAMBURI"/>
    <d v="2016-04-19T00:00:00"/>
    <d v="2016-05-04T00:00:00"/>
    <x v="1"/>
    <x v="79"/>
    <x v="1"/>
    <n v="0"/>
    <x v="1"/>
    <n v="0"/>
    <n v="0"/>
    <n v="0"/>
    <x v="0"/>
    <x v="0"/>
    <n v="0"/>
  </r>
  <r>
    <n v="5914150000000"/>
    <x v="0"/>
    <x v="30"/>
    <x v="3"/>
    <s v="JARDIM CAMBURI"/>
    <d v="2016-04-19T00:00:00"/>
    <d v="2016-05-05T00:00:00"/>
    <x v="3"/>
    <x v="78"/>
    <x v="1"/>
    <n v="0"/>
    <x v="1"/>
    <n v="0"/>
    <n v="0"/>
    <n v="0"/>
    <x v="0"/>
    <x v="0"/>
    <n v="0"/>
  </r>
  <r>
    <n v="1746260000000"/>
    <x v="0"/>
    <x v="45"/>
    <x v="1"/>
    <s v="JARDIM CAMBURI"/>
    <d v="2016-04-19T00:00:00"/>
    <d v="2016-05-09T00:00:00"/>
    <x v="2"/>
    <x v="76"/>
    <x v="1"/>
    <n v="0"/>
    <x v="1"/>
    <n v="0"/>
    <n v="0"/>
    <n v="0"/>
    <x v="1"/>
    <x v="0"/>
    <n v="0"/>
  </r>
  <r>
    <n v="55741400000000"/>
    <x v="0"/>
    <x v="10"/>
    <x v="4"/>
    <s v="JARDIM DA PENHA"/>
    <d v="2016-04-19T00:00:00"/>
    <d v="2016-05-10T00:00:00"/>
    <x v="4"/>
    <x v="73"/>
    <x v="1"/>
    <n v="0"/>
    <x v="1"/>
    <n v="0"/>
    <n v="0"/>
    <n v="0"/>
    <x v="0"/>
    <x v="0"/>
    <n v="0"/>
  </r>
  <r>
    <n v="1293310000000"/>
    <x v="1"/>
    <x v="21"/>
    <x v="1"/>
    <s v="JABOUR"/>
    <d v="2016-04-19T00:00:00"/>
    <d v="2016-05-06T00:00:00"/>
    <x v="0"/>
    <x v="75"/>
    <x v="1"/>
    <n v="0"/>
    <x v="1"/>
    <n v="0"/>
    <n v="0"/>
    <n v="0"/>
    <x v="0"/>
    <x v="1"/>
    <n v="1"/>
  </r>
  <r>
    <n v="24619500000000"/>
    <x v="1"/>
    <x v="42"/>
    <x v="3"/>
    <s v="ITARARE"/>
    <d v="2016-04-19T00:00:00"/>
    <d v="2016-05-12T00:00:00"/>
    <x v="3"/>
    <x v="67"/>
    <x v="1"/>
    <n v="0"/>
    <x v="0"/>
    <n v="0"/>
    <n v="0"/>
    <n v="0"/>
    <x v="0"/>
    <x v="1"/>
    <n v="1"/>
  </r>
  <r>
    <n v="896342000000"/>
    <x v="1"/>
    <x v="4"/>
    <x v="2"/>
    <s v="JESUS DE NAZARETH"/>
    <d v="2016-04-19T00:00:00"/>
    <d v="2016-05-18T00:00:00"/>
    <x v="1"/>
    <x v="63"/>
    <x v="1"/>
    <n v="0"/>
    <x v="1"/>
    <n v="0"/>
    <n v="0"/>
    <n v="0"/>
    <x v="1"/>
    <x v="0"/>
    <n v="0"/>
  </r>
  <r>
    <n v="642465000000000"/>
    <x v="0"/>
    <x v="6"/>
    <x v="0"/>
    <s v="MARIA ORTIZ"/>
    <d v="2016-04-19T00:00:00"/>
    <d v="2016-05-20T00:00:00"/>
    <x v="0"/>
    <x v="57"/>
    <x v="0"/>
    <n v="0"/>
    <x v="1"/>
    <n v="0"/>
    <n v="0"/>
    <n v="0"/>
    <x v="1"/>
    <x v="0"/>
    <n v="0"/>
  </r>
  <r>
    <n v="35765000000000"/>
    <x v="0"/>
    <x v="43"/>
    <x v="2"/>
    <s v="MATA DA PRAIA"/>
    <d v="2016-04-19T00:00:00"/>
    <d v="2016-05-09T00:00:00"/>
    <x v="2"/>
    <x v="76"/>
    <x v="1"/>
    <n v="0"/>
    <x v="1"/>
    <n v="0"/>
    <n v="0"/>
    <n v="0"/>
    <x v="1"/>
    <x v="1"/>
    <n v="1"/>
  </r>
  <r>
    <n v="1332690000000"/>
    <x v="0"/>
    <x v="46"/>
    <x v="2"/>
    <s v="NOVA PALESTINA"/>
    <d v="2016-04-19T00:00:00"/>
    <d v="2016-05-03T00:00:00"/>
    <x v="4"/>
    <x v="80"/>
    <x v="2"/>
    <n v="0"/>
    <x v="1"/>
    <n v="0"/>
    <n v="0"/>
    <n v="0"/>
    <x v="1"/>
    <x v="0"/>
    <n v="0"/>
  </r>
  <r>
    <n v="28899000000000"/>
    <x v="0"/>
    <x v="70"/>
    <x v="5"/>
    <s v="JABOUR"/>
    <d v="2016-04-19T00:00:00"/>
    <d v="2016-05-16T00:00:00"/>
    <x v="2"/>
    <x v="65"/>
    <x v="1"/>
    <n v="0"/>
    <x v="1"/>
    <n v="0"/>
    <n v="0"/>
    <n v="0"/>
    <x v="1"/>
    <x v="0"/>
    <n v="0"/>
  </r>
  <r>
    <n v="5467340000000"/>
    <x v="1"/>
    <x v="68"/>
    <x v="4"/>
    <s v="BONFIM"/>
    <d v="2016-04-19T00:00:00"/>
    <d v="2016-05-25T00:00:00"/>
    <x v="1"/>
    <x v="55"/>
    <x v="0"/>
    <n v="0"/>
    <x v="1"/>
    <n v="0"/>
    <n v="1"/>
    <n v="0"/>
    <x v="0"/>
    <x v="1"/>
    <n v="1"/>
  </r>
  <r>
    <n v="831499000000"/>
    <x v="0"/>
    <x v="36"/>
    <x v="3"/>
    <s v="SANTOS DUMONT"/>
    <d v="2016-04-19T00:00:00"/>
    <d v="2016-05-09T00:00:00"/>
    <x v="2"/>
    <x v="76"/>
    <x v="1"/>
    <n v="0"/>
    <x v="0"/>
    <n v="1"/>
    <n v="0"/>
    <n v="0"/>
    <x v="1"/>
    <x v="0"/>
    <n v="0"/>
  </r>
  <r>
    <n v="754895000000"/>
    <x v="0"/>
    <x v="73"/>
    <x v="4"/>
    <s v="ANDORINHAS"/>
    <d v="2016-04-19T00:00:00"/>
    <d v="2016-05-09T00:00:00"/>
    <x v="2"/>
    <x v="76"/>
    <x v="1"/>
    <n v="0"/>
    <x v="1"/>
    <n v="0"/>
    <n v="0"/>
    <n v="0"/>
    <x v="1"/>
    <x v="0"/>
    <n v="0"/>
  </r>
  <r>
    <n v="218299000000000"/>
    <x v="0"/>
    <x v="2"/>
    <x v="1"/>
    <s v="SANTO ANDRE"/>
    <d v="2016-04-19T00:00:00"/>
    <d v="2016-05-20T00:00:00"/>
    <x v="0"/>
    <x v="57"/>
    <x v="0"/>
    <n v="1"/>
    <x v="1"/>
    <n v="0"/>
    <n v="0"/>
    <n v="0"/>
    <x v="1"/>
    <x v="0"/>
    <n v="0"/>
  </r>
  <r>
    <n v="422813000000"/>
    <x v="0"/>
    <x v="15"/>
    <x v="3"/>
    <s v="MARUIPE"/>
    <d v="2016-04-19T00:00:00"/>
    <d v="2016-05-02T00:00:00"/>
    <x v="2"/>
    <x v="82"/>
    <x v="2"/>
    <n v="0"/>
    <x v="1"/>
    <n v="0"/>
    <n v="0"/>
    <n v="0"/>
    <x v="0"/>
    <x v="0"/>
    <n v="0"/>
  </r>
  <r>
    <n v="48733900000000"/>
    <x v="1"/>
    <x v="51"/>
    <x v="2"/>
    <s v="PONTAL DE CAMBURI"/>
    <d v="2016-04-19T00:00:00"/>
    <d v="2016-05-10T00:00:00"/>
    <x v="4"/>
    <x v="73"/>
    <x v="1"/>
    <n v="0"/>
    <x v="1"/>
    <n v="0"/>
    <n v="0"/>
    <n v="0"/>
    <x v="0"/>
    <x v="1"/>
    <n v="1"/>
  </r>
  <r>
    <n v="85797300000000"/>
    <x v="0"/>
    <x v="36"/>
    <x v="3"/>
    <s v="MARIA ORTIZ"/>
    <d v="2016-04-19T00:00:00"/>
    <d v="2016-05-24T00:00:00"/>
    <x v="4"/>
    <x v="59"/>
    <x v="0"/>
    <n v="0"/>
    <x v="0"/>
    <n v="0"/>
    <n v="0"/>
    <n v="0"/>
    <x v="0"/>
    <x v="1"/>
    <n v="1"/>
  </r>
  <r>
    <n v="723263000000000"/>
    <x v="0"/>
    <x v="63"/>
    <x v="0"/>
    <s v="TABUAZEIRO"/>
    <d v="2016-04-20T00:00:00"/>
    <d v="2016-05-02T00:00:00"/>
    <x v="2"/>
    <x v="84"/>
    <x v="2"/>
    <n v="0"/>
    <x v="0"/>
    <n v="1"/>
    <n v="0"/>
    <n v="0"/>
    <x v="0"/>
    <x v="0"/>
    <n v="0"/>
  </r>
  <r>
    <n v="71382300000000"/>
    <x v="1"/>
    <x v="14"/>
    <x v="3"/>
    <s v="SAO CRISTOVAO"/>
    <d v="2016-04-20T00:00:00"/>
    <d v="2016-05-02T00:00:00"/>
    <x v="2"/>
    <x v="84"/>
    <x v="2"/>
    <n v="0"/>
    <x v="1"/>
    <n v="0"/>
    <n v="0"/>
    <n v="0"/>
    <x v="0"/>
    <x v="0"/>
    <n v="0"/>
  </r>
  <r>
    <n v="18838600000000"/>
    <x v="0"/>
    <x v="14"/>
    <x v="3"/>
    <s v="JARDIM DA PENHA"/>
    <d v="2016-04-20T00:00:00"/>
    <d v="2016-05-18T00:00:00"/>
    <x v="1"/>
    <x v="64"/>
    <x v="1"/>
    <n v="0"/>
    <x v="0"/>
    <n v="0"/>
    <n v="0"/>
    <n v="0"/>
    <x v="1"/>
    <x v="0"/>
    <n v="0"/>
  </r>
  <r>
    <n v="362314000000000"/>
    <x v="0"/>
    <x v="24"/>
    <x v="1"/>
    <s v="BARRO VERMELHO"/>
    <d v="2016-04-20T00:00:00"/>
    <d v="2016-05-02T00:00:00"/>
    <x v="2"/>
    <x v="84"/>
    <x v="2"/>
    <n v="0"/>
    <x v="1"/>
    <n v="0"/>
    <n v="1"/>
    <n v="0"/>
    <x v="0"/>
    <x v="0"/>
    <n v="0"/>
  </r>
  <r>
    <n v="65557300000000"/>
    <x v="1"/>
    <x v="60"/>
    <x v="2"/>
    <s v="JARDIM DA PENHA"/>
    <d v="2016-04-20T00:00:00"/>
    <d v="2016-05-11T00:00:00"/>
    <x v="1"/>
    <x v="73"/>
    <x v="1"/>
    <n v="0"/>
    <x v="1"/>
    <n v="0"/>
    <n v="0"/>
    <n v="0"/>
    <x v="0"/>
    <x v="0"/>
    <n v="0"/>
  </r>
  <r>
    <n v="65557300000000"/>
    <x v="1"/>
    <x v="60"/>
    <x v="2"/>
    <s v="JARDIM DA PENHA"/>
    <d v="2016-04-20T00:00:00"/>
    <d v="2016-05-18T00:00:00"/>
    <x v="1"/>
    <x v="64"/>
    <x v="1"/>
    <n v="0"/>
    <x v="1"/>
    <n v="0"/>
    <n v="0"/>
    <n v="0"/>
    <x v="1"/>
    <x v="1"/>
    <n v="1"/>
  </r>
  <r>
    <n v="744749000000000"/>
    <x v="0"/>
    <x v="22"/>
    <x v="4"/>
    <s v="SAO CRISTOVAO"/>
    <d v="2016-04-20T00:00:00"/>
    <d v="2016-05-03T00:00:00"/>
    <x v="4"/>
    <x v="82"/>
    <x v="2"/>
    <n v="0"/>
    <x v="1"/>
    <n v="0"/>
    <n v="0"/>
    <n v="0"/>
    <x v="0"/>
    <x v="0"/>
    <n v="0"/>
  </r>
  <r>
    <n v="5674160000000"/>
    <x v="0"/>
    <x v="66"/>
    <x v="2"/>
    <s v="JARDIM DA PENHA"/>
    <d v="2016-04-20T00:00:00"/>
    <d v="2016-05-09T00:00:00"/>
    <x v="2"/>
    <x v="77"/>
    <x v="1"/>
    <n v="0"/>
    <x v="1"/>
    <n v="0"/>
    <n v="0"/>
    <n v="0"/>
    <x v="1"/>
    <x v="1"/>
    <n v="1"/>
  </r>
  <r>
    <n v="364287000000"/>
    <x v="0"/>
    <x v="9"/>
    <x v="0"/>
    <s v="CENTRO"/>
    <d v="2016-04-20T00:00:00"/>
    <d v="2016-05-03T00:00:00"/>
    <x v="4"/>
    <x v="82"/>
    <x v="2"/>
    <n v="0"/>
    <x v="0"/>
    <n v="0"/>
    <n v="0"/>
    <n v="0"/>
    <x v="1"/>
    <x v="0"/>
    <n v="0"/>
  </r>
  <r>
    <n v="39334600000000"/>
    <x v="0"/>
    <x v="84"/>
    <x v="1"/>
    <s v="JOANA D ARC"/>
    <d v="2016-04-20T00:00:00"/>
    <d v="2016-05-04T00:00:00"/>
    <x v="1"/>
    <x v="80"/>
    <x v="2"/>
    <n v="0"/>
    <x v="0"/>
    <n v="0"/>
    <n v="1"/>
    <n v="0"/>
    <x v="0"/>
    <x v="0"/>
    <n v="0"/>
  </r>
  <r>
    <n v="8629720000000"/>
    <x v="0"/>
    <x v="27"/>
    <x v="3"/>
    <s v="TABUAZEIRO"/>
    <d v="2016-04-20T00:00:00"/>
    <d v="2016-05-05T00:00:00"/>
    <x v="3"/>
    <x v="79"/>
    <x v="1"/>
    <n v="0"/>
    <x v="1"/>
    <n v="0"/>
    <n v="0"/>
    <n v="0"/>
    <x v="0"/>
    <x v="0"/>
    <n v="0"/>
  </r>
  <r>
    <n v="81215600000000"/>
    <x v="0"/>
    <x v="33"/>
    <x v="4"/>
    <s v="SAO CRISTOVAO"/>
    <d v="2016-04-20T00:00:00"/>
    <d v="2016-05-06T00:00:00"/>
    <x v="0"/>
    <x v="78"/>
    <x v="1"/>
    <n v="0"/>
    <x v="1"/>
    <n v="0"/>
    <n v="0"/>
    <n v="0"/>
    <x v="0"/>
    <x v="1"/>
    <n v="1"/>
  </r>
  <r>
    <n v="61448900000000"/>
    <x v="1"/>
    <x v="56"/>
    <x v="1"/>
    <s v="SAO CRISTOVAO"/>
    <d v="2016-04-20T00:00:00"/>
    <d v="2016-05-02T00:00:00"/>
    <x v="2"/>
    <x v="84"/>
    <x v="2"/>
    <n v="0"/>
    <x v="1"/>
    <n v="0"/>
    <n v="0"/>
    <n v="0"/>
    <x v="0"/>
    <x v="0"/>
    <n v="0"/>
  </r>
  <r>
    <n v="59545400000000"/>
    <x v="0"/>
    <x v="28"/>
    <x v="3"/>
    <s v="TABUAZEIRO"/>
    <d v="2016-04-20T00:00:00"/>
    <d v="2016-05-03T00:00:00"/>
    <x v="4"/>
    <x v="82"/>
    <x v="2"/>
    <n v="0"/>
    <x v="1"/>
    <n v="1"/>
    <n v="0"/>
    <n v="0"/>
    <x v="1"/>
    <x v="0"/>
    <n v="0"/>
  </r>
  <r>
    <n v="55566500000000"/>
    <x v="0"/>
    <x v="42"/>
    <x v="3"/>
    <s v="GRANDE VITORIA"/>
    <d v="2016-04-20T00:00:00"/>
    <d v="2016-05-04T00:00:00"/>
    <x v="1"/>
    <x v="80"/>
    <x v="2"/>
    <n v="0"/>
    <x v="1"/>
    <n v="0"/>
    <n v="0"/>
    <n v="0"/>
    <x v="0"/>
    <x v="0"/>
    <n v="0"/>
  </r>
  <r>
    <n v="251331000000"/>
    <x v="0"/>
    <x v="61"/>
    <x v="1"/>
    <s v="SAO CRISTOVAO"/>
    <d v="2016-04-20T00:00:00"/>
    <d v="2016-05-03T00:00:00"/>
    <x v="4"/>
    <x v="82"/>
    <x v="2"/>
    <n v="0"/>
    <x v="1"/>
    <n v="0"/>
    <n v="0"/>
    <n v="0"/>
    <x v="1"/>
    <x v="0"/>
    <n v="0"/>
  </r>
  <r>
    <n v="61818300000000"/>
    <x v="0"/>
    <x v="55"/>
    <x v="2"/>
    <s v="GRANDE VITORIA"/>
    <d v="2016-04-20T00:00:00"/>
    <d v="2016-05-19T00:00:00"/>
    <x v="3"/>
    <x v="63"/>
    <x v="1"/>
    <n v="0"/>
    <x v="1"/>
    <n v="0"/>
    <n v="0"/>
    <n v="0"/>
    <x v="1"/>
    <x v="1"/>
    <n v="1"/>
  </r>
  <r>
    <n v="4382724429"/>
    <x v="1"/>
    <x v="57"/>
    <x v="2"/>
    <s v="SANTO ANTONIO"/>
    <d v="2016-04-20T00:00:00"/>
    <d v="2016-05-12T00:00:00"/>
    <x v="3"/>
    <x v="71"/>
    <x v="1"/>
    <n v="0"/>
    <x v="1"/>
    <n v="0"/>
    <n v="0"/>
    <n v="0"/>
    <x v="0"/>
    <x v="0"/>
    <n v="0"/>
  </r>
  <r>
    <n v="28552200000000"/>
    <x v="0"/>
    <x v="26"/>
    <x v="0"/>
    <s v="TABUAZEIRO"/>
    <d v="2016-04-20T00:00:00"/>
    <d v="2016-05-09T00:00:00"/>
    <x v="2"/>
    <x v="77"/>
    <x v="1"/>
    <n v="0"/>
    <x v="0"/>
    <n v="1"/>
    <n v="0"/>
    <n v="0"/>
    <x v="1"/>
    <x v="0"/>
    <n v="0"/>
  </r>
  <r>
    <n v="3284890000000"/>
    <x v="0"/>
    <x v="72"/>
    <x v="5"/>
    <s v="TABUAZEIRO"/>
    <d v="2016-04-20T00:00:00"/>
    <d v="2016-05-02T00:00:00"/>
    <x v="2"/>
    <x v="84"/>
    <x v="2"/>
    <n v="1"/>
    <x v="1"/>
    <n v="0"/>
    <n v="0"/>
    <n v="0"/>
    <x v="0"/>
    <x v="0"/>
    <n v="0"/>
  </r>
  <r>
    <n v="252556000000000"/>
    <x v="0"/>
    <x v="47"/>
    <x v="4"/>
    <s v="TABUAZEIRO"/>
    <d v="2016-04-20T00:00:00"/>
    <d v="2016-05-06T00:00:00"/>
    <x v="0"/>
    <x v="78"/>
    <x v="1"/>
    <n v="1"/>
    <x v="1"/>
    <n v="0"/>
    <n v="0"/>
    <n v="0"/>
    <x v="0"/>
    <x v="0"/>
    <n v="0"/>
  </r>
  <r>
    <n v="33466200000000"/>
    <x v="0"/>
    <x v="29"/>
    <x v="3"/>
    <s v="SANTOS DUMONT"/>
    <d v="2016-04-20T00:00:00"/>
    <d v="2016-05-09T00:00:00"/>
    <x v="2"/>
    <x v="77"/>
    <x v="1"/>
    <n v="0"/>
    <x v="0"/>
    <n v="0"/>
    <n v="0"/>
    <n v="0"/>
    <x v="1"/>
    <x v="1"/>
    <n v="1"/>
  </r>
  <r>
    <n v="955145000000"/>
    <x v="1"/>
    <x v="27"/>
    <x v="3"/>
    <s v="TABUAZEIRO"/>
    <d v="2016-04-20T00:00:00"/>
    <d v="2016-05-04T00:00:00"/>
    <x v="1"/>
    <x v="80"/>
    <x v="2"/>
    <n v="0"/>
    <x v="0"/>
    <n v="0"/>
    <n v="1"/>
    <n v="0"/>
    <x v="0"/>
    <x v="0"/>
    <n v="0"/>
  </r>
  <r>
    <n v="51245900000000"/>
    <x v="0"/>
    <x v="87"/>
    <x v="1"/>
    <s v="SOLON BORGES"/>
    <d v="2016-04-20T00:00:00"/>
    <d v="2016-05-09T00:00:00"/>
    <x v="2"/>
    <x v="77"/>
    <x v="1"/>
    <n v="1"/>
    <x v="1"/>
    <n v="0"/>
    <n v="0"/>
    <n v="0"/>
    <x v="1"/>
    <x v="1"/>
    <n v="1"/>
  </r>
  <r>
    <n v="38811200000000"/>
    <x v="1"/>
    <x v="28"/>
    <x v="3"/>
    <s v="SAO CRISTOVAO"/>
    <d v="2016-04-20T00:00:00"/>
    <d v="2016-05-10T00:00:00"/>
    <x v="4"/>
    <x v="76"/>
    <x v="1"/>
    <n v="0"/>
    <x v="0"/>
    <n v="0"/>
    <n v="0"/>
    <n v="0"/>
    <x v="0"/>
    <x v="1"/>
    <n v="1"/>
  </r>
  <r>
    <n v="54414500000000"/>
    <x v="0"/>
    <x v="4"/>
    <x v="2"/>
    <s v="SAO CRISTOVAO"/>
    <d v="2016-04-20T00:00:00"/>
    <d v="2016-05-02T00:00:00"/>
    <x v="2"/>
    <x v="84"/>
    <x v="2"/>
    <n v="0"/>
    <x v="1"/>
    <n v="0"/>
    <n v="0"/>
    <n v="0"/>
    <x v="0"/>
    <x v="0"/>
    <n v="0"/>
  </r>
  <r>
    <n v="59578500000000"/>
    <x v="0"/>
    <x v="64"/>
    <x v="3"/>
    <s v="TABUAZEIRO"/>
    <d v="2016-04-20T00:00:00"/>
    <d v="2016-05-09T00:00:00"/>
    <x v="2"/>
    <x v="77"/>
    <x v="1"/>
    <n v="0"/>
    <x v="1"/>
    <n v="0"/>
    <n v="0"/>
    <n v="0"/>
    <x v="1"/>
    <x v="0"/>
    <n v="0"/>
  </r>
  <r>
    <n v="1959880000000"/>
    <x v="0"/>
    <x v="2"/>
    <x v="1"/>
    <s v="PRAIA DO SUA"/>
    <d v="2016-04-20T00:00:00"/>
    <d v="2016-05-06T00:00:00"/>
    <x v="0"/>
    <x v="78"/>
    <x v="1"/>
    <n v="0"/>
    <x v="0"/>
    <n v="0"/>
    <n v="0"/>
    <n v="0"/>
    <x v="0"/>
    <x v="0"/>
    <n v="0"/>
  </r>
  <r>
    <n v="822159000000000"/>
    <x v="0"/>
    <x v="60"/>
    <x v="2"/>
    <s v="COMDUSA"/>
    <d v="2016-04-20T00:00:00"/>
    <d v="2016-05-12T00:00:00"/>
    <x v="3"/>
    <x v="71"/>
    <x v="1"/>
    <n v="0"/>
    <x v="1"/>
    <n v="0"/>
    <n v="0"/>
    <n v="0"/>
    <x v="0"/>
    <x v="0"/>
    <n v="0"/>
  </r>
  <r>
    <n v="76122500000000"/>
    <x v="1"/>
    <x v="83"/>
    <x v="0"/>
    <s v="MARIA ORTIZ"/>
    <d v="2016-04-20T00:00:00"/>
    <d v="2016-05-30T00:00:00"/>
    <x v="2"/>
    <x v="69"/>
    <x v="0"/>
    <n v="0"/>
    <x v="1"/>
    <n v="0"/>
    <n v="0"/>
    <n v="0"/>
    <x v="0"/>
    <x v="0"/>
    <n v="0"/>
  </r>
  <r>
    <n v="21263900000000"/>
    <x v="0"/>
    <x v="74"/>
    <x v="1"/>
    <s v="SAO CRISTOVAO"/>
    <d v="2016-04-20T00:00:00"/>
    <d v="2016-05-12T00:00:00"/>
    <x v="3"/>
    <x v="71"/>
    <x v="1"/>
    <n v="0"/>
    <x v="0"/>
    <n v="0"/>
    <n v="0"/>
    <n v="0"/>
    <x v="0"/>
    <x v="0"/>
    <n v="0"/>
  </r>
  <r>
    <n v="47231400000000"/>
    <x v="0"/>
    <x v="38"/>
    <x v="4"/>
    <s v="CENTRO"/>
    <d v="2016-04-20T00:00:00"/>
    <d v="2016-05-03T00:00:00"/>
    <x v="4"/>
    <x v="82"/>
    <x v="2"/>
    <n v="0"/>
    <x v="1"/>
    <n v="0"/>
    <n v="0"/>
    <n v="0"/>
    <x v="0"/>
    <x v="1"/>
    <n v="1"/>
  </r>
  <r>
    <n v="282782000000000"/>
    <x v="0"/>
    <x v="41"/>
    <x v="4"/>
    <s v="SAO CRISTOVAO"/>
    <d v="2016-04-20T00:00:00"/>
    <d v="2016-05-11T00:00:00"/>
    <x v="1"/>
    <x v="73"/>
    <x v="1"/>
    <n v="1"/>
    <x v="1"/>
    <n v="0"/>
    <n v="0"/>
    <n v="0"/>
    <x v="0"/>
    <x v="1"/>
    <n v="1"/>
  </r>
  <r>
    <n v="55645800000000"/>
    <x v="1"/>
    <x v="59"/>
    <x v="2"/>
    <s v="PIEDADE"/>
    <d v="2016-04-20T00:00:00"/>
    <d v="2016-05-18T00:00:00"/>
    <x v="1"/>
    <x v="64"/>
    <x v="1"/>
    <n v="1"/>
    <x v="1"/>
    <n v="0"/>
    <n v="0"/>
    <n v="0"/>
    <x v="1"/>
    <x v="1"/>
    <n v="1"/>
  </r>
  <r>
    <n v="281590000000"/>
    <x v="0"/>
    <x v="23"/>
    <x v="3"/>
    <s v="JESUS DE NAZARETH"/>
    <d v="2016-04-20T00:00:00"/>
    <d v="2016-05-17T00:00:00"/>
    <x v="4"/>
    <x v="65"/>
    <x v="1"/>
    <n v="0"/>
    <x v="0"/>
    <n v="0"/>
    <n v="0"/>
    <n v="0"/>
    <x v="1"/>
    <x v="0"/>
    <n v="0"/>
  </r>
  <r>
    <n v="33861200000000"/>
    <x v="0"/>
    <x v="22"/>
    <x v="4"/>
    <s v="TABUAZEIRO"/>
    <d v="2016-04-20T00:00:00"/>
    <d v="2016-05-04T00:00:00"/>
    <x v="1"/>
    <x v="80"/>
    <x v="2"/>
    <n v="0"/>
    <x v="1"/>
    <n v="0"/>
    <n v="0"/>
    <n v="0"/>
    <x v="0"/>
    <x v="1"/>
    <n v="1"/>
  </r>
  <r>
    <n v="889266000000000"/>
    <x v="0"/>
    <x v="81"/>
    <x v="5"/>
    <s v="MARIA ORTIZ"/>
    <d v="2016-04-20T00:00:00"/>
    <d v="2016-05-06T00:00:00"/>
    <x v="0"/>
    <x v="78"/>
    <x v="1"/>
    <n v="0"/>
    <x v="1"/>
    <n v="0"/>
    <n v="0"/>
    <n v="0"/>
    <x v="0"/>
    <x v="0"/>
    <n v="0"/>
  </r>
  <r>
    <n v="48494300000000"/>
    <x v="0"/>
    <x v="63"/>
    <x v="0"/>
    <s v="SANTA LUIZA"/>
    <d v="2016-04-20T00:00:00"/>
    <d v="2016-05-06T00:00:00"/>
    <x v="0"/>
    <x v="78"/>
    <x v="1"/>
    <n v="0"/>
    <x v="1"/>
    <n v="0"/>
    <n v="0"/>
    <n v="0"/>
    <x v="0"/>
    <x v="0"/>
    <n v="0"/>
  </r>
  <r>
    <n v="855599000000"/>
    <x v="1"/>
    <x v="12"/>
    <x v="3"/>
    <s v="TABUAZEIRO"/>
    <d v="2016-04-20T00:00:00"/>
    <d v="2016-05-04T00:00:00"/>
    <x v="1"/>
    <x v="80"/>
    <x v="2"/>
    <n v="0"/>
    <x v="0"/>
    <n v="1"/>
    <n v="0"/>
    <n v="0"/>
    <x v="1"/>
    <x v="0"/>
    <n v="0"/>
  </r>
  <r>
    <n v="8583870000000"/>
    <x v="0"/>
    <x v="31"/>
    <x v="1"/>
    <s v="SANTA MARTHA"/>
    <d v="2016-04-20T00:00:00"/>
    <d v="2016-05-16T00:00:00"/>
    <x v="2"/>
    <x v="68"/>
    <x v="1"/>
    <n v="0"/>
    <x v="1"/>
    <n v="0"/>
    <n v="0"/>
    <n v="0"/>
    <x v="1"/>
    <x v="0"/>
    <n v="0"/>
  </r>
  <r>
    <n v="282873000000000"/>
    <x v="0"/>
    <x v="19"/>
    <x v="2"/>
    <s v="TABUAZEIRO"/>
    <d v="2016-04-20T00:00:00"/>
    <d v="2016-05-16T00:00:00"/>
    <x v="2"/>
    <x v="68"/>
    <x v="1"/>
    <n v="1"/>
    <x v="1"/>
    <n v="0"/>
    <n v="0"/>
    <n v="0"/>
    <x v="1"/>
    <x v="0"/>
    <n v="0"/>
  </r>
  <r>
    <n v="72219400000000"/>
    <x v="1"/>
    <x v="4"/>
    <x v="2"/>
    <s v="JABOUR"/>
    <d v="2016-04-20T00:00:00"/>
    <d v="2016-05-11T00:00:00"/>
    <x v="1"/>
    <x v="73"/>
    <x v="1"/>
    <n v="0"/>
    <x v="1"/>
    <n v="0"/>
    <n v="0"/>
    <n v="0"/>
    <x v="0"/>
    <x v="0"/>
    <n v="0"/>
  </r>
  <r>
    <n v="77212600000000"/>
    <x v="1"/>
    <x v="12"/>
    <x v="3"/>
    <s v="TABUAZEIRO"/>
    <d v="2016-04-20T00:00:00"/>
    <d v="2016-05-11T00:00:00"/>
    <x v="1"/>
    <x v="73"/>
    <x v="1"/>
    <n v="0"/>
    <x v="1"/>
    <n v="1"/>
    <n v="1"/>
    <n v="0"/>
    <x v="0"/>
    <x v="0"/>
    <n v="0"/>
  </r>
  <r>
    <n v="59743500000000"/>
    <x v="0"/>
    <x v="73"/>
    <x v="4"/>
    <s v="BONFIM"/>
    <d v="2016-04-20T00:00:00"/>
    <d v="2016-04-29T00:00:00"/>
    <x v="0"/>
    <x v="85"/>
    <x v="2"/>
    <n v="1"/>
    <x v="1"/>
    <n v="0"/>
    <n v="0"/>
    <n v="0"/>
    <x v="0"/>
    <x v="1"/>
    <n v="1"/>
  </r>
  <r>
    <n v="186773000000000"/>
    <x v="0"/>
    <x v="57"/>
    <x v="2"/>
    <s v="SANTOS REIS"/>
    <d v="2016-04-20T00:00:00"/>
    <d v="2016-06-02T00:00:00"/>
    <x v="3"/>
    <x v="47"/>
    <x v="0"/>
    <n v="1"/>
    <x v="1"/>
    <n v="0"/>
    <n v="0"/>
    <n v="0"/>
    <x v="0"/>
    <x v="1"/>
    <n v="1"/>
  </r>
  <r>
    <n v="87692300000000"/>
    <x v="1"/>
    <x v="64"/>
    <x v="3"/>
    <s v="TABUAZEIRO"/>
    <d v="2016-04-20T00:00:00"/>
    <d v="2016-05-16T00:00:00"/>
    <x v="2"/>
    <x v="68"/>
    <x v="1"/>
    <n v="0"/>
    <x v="0"/>
    <n v="0"/>
    <n v="0"/>
    <n v="0"/>
    <x v="1"/>
    <x v="0"/>
    <n v="0"/>
  </r>
  <r>
    <n v="22944600000000"/>
    <x v="0"/>
    <x v="32"/>
    <x v="4"/>
    <s v="FORTE SAO JOAO"/>
    <d v="2016-04-20T00:00:00"/>
    <d v="2016-05-16T00:00:00"/>
    <x v="2"/>
    <x v="68"/>
    <x v="1"/>
    <n v="1"/>
    <x v="1"/>
    <n v="0"/>
    <n v="0"/>
    <n v="0"/>
    <x v="1"/>
    <x v="0"/>
    <n v="0"/>
  </r>
  <r>
    <n v="6711940000000"/>
    <x v="1"/>
    <x v="62"/>
    <x v="3"/>
    <s v="SAO CRISTOVAO"/>
    <d v="2016-04-20T00:00:00"/>
    <d v="2016-05-17T00:00:00"/>
    <x v="4"/>
    <x v="65"/>
    <x v="1"/>
    <n v="0"/>
    <x v="1"/>
    <n v="0"/>
    <n v="0"/>
    <n v="0"/>
    <x v="1"/>
    <x v="0"/>
    <n v="0"/>
  </r>
  <r>
    <n v="85332200000000"/>
    <x v="0"/>
    <x v="37"/>
    <x v="3"/>
    <s v="SAO CRISTOVAO"/>
    <d v="2016-04-20T00:00:00"/>
    <d v="2016-05-17T00:00:00"/>
    <x v="4"/>
    <x v="65"/>
    <x v="1"/>
    <n v="0"/>
    <x v="0"/>
    <n v="0"/>
    <n v="0"/>
    <n v="0"/>
    <x v="1"/>
    <x v="0"/>
    <n v="0"/>
  </r>
  <r>
    <n v="3335610000000"/>
    <x v="1"/>
    <x v="45"/>
    <x v="1"/>
    <s v="SAO CRISTOVAO"/>
    <d v="2016-04-20T00:00:00"/>
    <d v="2016-05-09T00:00:00"/>
    <x v="2"/>
    <x v="77"/>
    <x v="1"/>
    <n v="0"/>
    <x v="1"/>
    <n v="0"/>
    <n v="0"/>
    <n v="0"/>
    <x v="1"/>
    <x v="1"/>
    <n v="1"/>
  </r>
  <r>
    <n v="8754230000000"/>
    <x v="0"/>
    <x v="91"/>
    <x v="0"/>
    <s v="MARIA ORTIZ"/>
    <d v="2016-04-20T00:00:00"/>
    <d v="2016-05-24T00:00:00"/>
    <x v="4"/>
    <x v="58"/>
    <x v="0"/>
    <n v="0"/>
    <x v="1"/>
    <n v="0"/>
    <n v="0"/>
    <n v="0"/>
    <x v="0"/>
    <x v="0"/>
    <n v="0"/>
  </r>
  <r>
    <n v="717639000000000"/>
    <x v="1"/>
    <x v="65"/>
    <x v="2"/>
    <s v="TABUAZEIRO"/>
    <d v="2016-04-20T00:00:00"/>
    <d v="2016-05-18T00:00:00"/>
    <x v="1"/>
    <x v="64"/>
    <x v="1"/>
    <n v="1"/>
    <x v="1"/>
    <n v="0"/>
    <n v="0"/>
    <n v="0"/>
    <x v="1"/>
    <x v="0"/>
    <n v="0"/>
  </r>
  <r>
    <n v="53967900000000"/>
    <x v="0"/>
    <x v="17"/>
    <x v="4"/>
    <s v="PRAIA DO SUA"/>
    <d v="2016-04-20T00:00:00"/>
    <d v="2016-05-17T00:00:00"/>
    <x v="4"/>
    <x v="65"/>
    <x v="1"/>
    <n v="0"/>
    <x v="1"/>
    <n v="0"/>
    <n v="1"/>
    <n v="0"/>
    <x v="1"/>
    <x v="1"/>
    <n v="1"/>
  </r>
  <r>
    <n v="24886800000000"/>
    <x v="0"/>
    <x v="79"/>
    <x v="5"/>
    <s v="PIEDADE"/>
    <d v="2016-04-20T00:00:00"/>
    <d v="2016-05-02T00:00:00"/>
    <x v="2"/>
    <x v="84"/>
    <x v="2"/>
    <n v="0"/>
    <x v="1"/>
    <n v="0"/>
    <n v="0"/>
    <n v="0"/>
    <x v="0"/>
    <x v="0"/>
    <n v="0"/>
  </r>
  <r>
    <n v="73678843772"/>
    <x v="1"/>
    <x v="42"/>
    <x v="3"/>
    <s v="JARDIM CAMBURI"/>
    <d v="2016-04-20T00:00:00"/>
    <d v="2016-05-05T00:00:00"/>
    <x v="3"/>
    <x v="79"/>
    <x v="1"/>
    <n v="0"/>
    <x v="1"/>
    <n v="0"/>
    <n v="0"/>
    <n v="0"/>
    <x v="0"/>
    <x v="1"/>
    <n v="1"/>
  </r>
  <r>
    <n v="185972000000000"/>
    <x v="0"/>
    <x v="20"/>
    <x v="0"/>
    <s v="TABUAZEIRO"/>
    <d v="2016-04-20T00:00:00"/>
    <d v="2016-05-13T00:00:00"/>
    <x v="0"/>
    <x v="67"/>
    <x v="1"/>
    <n v="0"/>
    <x v="0"/>
    <n v="0"/>
    <n v="0"/>
    <n v="0"/>
    <x v="1"/>
    <x v="0"/>
    <n v="0"/>
  </r>
  <r>
    <n v="64531566774"/>
    <x v="0"/>
    <x v="12"/>
    <x v="3"/>
    <s v="SAO CRISTOVAO"/>
    <d v="2016-04-20T00:00:00"/>
    <d v="2016-05-19T00:00:00"/>
    <x v="3"/>
    <x v="63"/>
    <x v="1"/>
    <n v="0"/>
    <x v="1"/>
    <n v="0"/>
    <n v="0"/>
    <n v="0"/>
    <x v="1"/>
    <x v="0"/>
    <n v="0"/>
  </r>
  <r>
    <n v="11549900000000"/>
    <x v="0"/>
    <x v="12"/>
    <x v="3"/>
    <s v="SAO CRISTOVAO"/>
    <d v="2016-04-20T00:00:00"/>
    <d v="2016-05-12T00:00:00"/>
    <x v="3"/>
    <x v="71"/>
    <x v="1"/>
    <n v="0"/>
    <x v="0"/>
    <n v="1"/>
    <n v="0"/>
    <n v="0"/>
    <x v="0"/>
    <x v="0"/>
    <n v="0"/>
  </r>
  <r>
    <n v="9652490000000"/>
    <x v="1"/>
    <x v="88"/>
    <x v="0"/>
    <s v="TABUAZEIRO"/>
    <d v="2016-04-20T00:00:00"/>
    <d v="2016-05-11T00:00:00"/>
    <x v="1"/>
    <x v="73"/>
    <x v="1"/>
    <n v="0"/>
    <x v="0"/>
    <n v="0"/>
    <n v="0"/>
    <n v="0"/>
    <x v="1"/>
    <x v="0"/>
    <n v="0"/>
  </r>
  <r>
    <n v="1399970000000"/>
    <x v="0"/>
    <x v="33"/>
    <x v="4"/>
    <s v="CENTRO"/>
    <d v="2016-04-20T00:00:00"/>
    <d v="2016-05-05T00:00:00"/>
    <x v="3"/>
    <x v="79"/>
    <x v="1"/>
    <n v="0"/>
    <x v="1"/>
    <n v="0"/>
    <n v="0"/>
    <n v="0"/>
    <x v="0"/>
    <x v="0"/>
    <n v="0"/>
  </r>
  <r>
    <n v="211769000000000"/>
    <x v="1"/>
    <x v="23"/>
    <x v="3"/>
    <s v="TABUAZEIRO"/>
    <d v="2016-04-20T00:00:00"/>
    <d v="2016-05-17T00:00:00"/>
    <x v="4"/>
    <x v="65"/>
    <x v="1"/>
    <n v="0"/>
    <x v="1"/>
    <n v="0"/>
    <n v="0"/>
    <n v="0"/>
    <x v="1"/>
    <x v="1"/>
    <n v="1"/>
  </r>
  <r>
    <n v="529156000000000"/>
    <x v="0"/>
    <x v="30"/>
    <x v="3"/>
    <s v="TABUAZEIRO"/>
    <d v="2016-04-20T00:00:00"/>
    <d v="2016-05-17T00:00:00"/>
    <x v="4"/>
    <x v="65"/>
    <x v="1"/>
    <n v="0"/>
    <x v="1"/>
    <n v="0"/>
    <n v="0"/>
    <n v="0"/>
    <x v="1"/>
    <x v="1"/>
    <n v="1"/>
  </r>
  <r>
    <n v="832145000000000"/>
    <x v="0"/>
    <x v="51"/>
    <x v="2"/>
    <s v="SAO CRISTOVAO"/>
    <d v="2016-04-20T00:00:00"/>
    <d v="2016-05-17T00:00:00"/>
    <x v="4"/>
    <x v="65"/>
    <x v="1"/>
    <n v="0"/>
    <x v="1"/>
    <n v="0"/>
    <n v="0"/>
    <n v="0"/>
    <x v="1"/>
    <x v="0"/>
    <n v="0"/>
  </r>
  <r>
    <n v="82814800000000"/>
    <x v="0"/>
    <x v="21"/>
    <x v="1"/>
    <s v="TABUAZEIRO"/>
    <d v="2016-04-20T00:00:00"/>
    <d v="2016-05-24T00:00:00"/>
    <x v="4"/>
    <x v="58"/>
    <x v="0"/>
    <n v="0"/>
    <x v="0"/>
    <n v="0"/>
    <n v="0"/>
    <n v="0"/>
    <x v="0"/>
    <x v="0"/>
    <n v="0"/>
  </r>
  <r>
    <n v="3915320000000"/>
    <x v="0"/>
    <x v="61"/>
    <x v="1"/>
    <s v="TABUAZEIRO"/>
    <d v="2016-04-20T00:00:00"/>
    <d v="2016-05-02T00:00:00"/>
    <x v="2"/>
    <x v="84"/>
    <x v="2"/>
    <n v="1"/>
    <x v="1"/>
    <n v="1"/>
    <n v="0"/>
    <n v="0"/>
    <x v="0"/>
    <x v="1"/>
    <n v="1"/>
  </r>
  <r>
    <n v="785738000000000"/>
    <x v="1"/>
    <x v="32"/>
    <x v="4"/>
    <s v="TABUAZEIRO"/>
    <d v="2016-04-20T00:00:00"/>
    <d v="2016-05-19T00:00:00"/>
    <x v="3"/>
    <x v="63"/>
    <x v="1"/>
    <n v="0"/>
    <x v="1"/>
    <n v="0"/>
    <n v="0"/>
    <n v="0"/>
    <x v="1"/>
    <x v="0"/>
    <n v="0"/>
  </r>
  <r>
    <n v="531725000000000"/>
    <x v="0"/>
    <x v="4"/>
    <x v="2"/>
    <s v="SAO CRISTOVAO"/>
    <d v="2016-04-20T00:00:00"/>
    <d v="2016-05-02T00:00:00"/>
    <x v="2"/>
    <x v="84"/>
    <x v="2"/>
    <n v="0"/>
    <x v="1"/>
    <n v="0"/>
    <n v="0"/>
    <n v="0"/>
    <x v="0"/>
    <x v="1"/>
    <n v="1"/>
  </r>
  <r>
    <n v="7311760000000"/>
    <x v="0"/>
    <x v="47"/>
    <x v="4"/>
    <s v="JABOUR"/>
    <d v="2016-04-20T00:00:00"/>
    <d v="2016-05-19T00:00:00"/>
    <x v="3"/>
    <x v="63"/>
    <x v="1"/>
    <n v="0"/>
    <x v="1"/>
    <n v="0"/>
    <n v="0"/>
    <n v="0"/>
    <x v="1"/>
    <x v="0"/>
    <n v="0"/>
  </r>
  <r>
    <n v="55182100000000"/>
    <x v="1"/>
    <x v="45"/>
    <x v="1"/>
    <s v="ESTRELINHA"/>
    <d v="2016-04-20T00:00:00"/>
    <d v="2016-05-18T00:00:00"/>
    <x v="1"/>
    <x v="64"/>
    <x v="1"/>
    <n v="0"/>
    <x v="1"/>
    <n v="0"/>
    <n v="0"/>
    <n v="0"/>
    <x v="1"/>
    <x v="1"/>
    <n v="1"/>
  </r>
  <r>
    <n v="8597290000000"/>
    <x v="0"/>
    <x v="10"/>
    <x v="4"/>
    <s v="MARIA ORTIZ"/>
    <d v="2016-04-20T00:00:00"/>
    <d v="2016-05-12T00:00:00"/>
    <x v="3"/>
    <x v="71"/>
    <x v="1"/>
    <n v="0"/>
    <x v="1"/>
    <n v="0"/>
    <n v="0"/>
    <n v="0"/>
    <x v="0"/>
    <x v="1"/>
    <n v="1"/>
  </r>
  <r>
    <n v="23955800000000"/>
    <x v="0"/>
    <x v="37"/>
    <x v="3"/>
    <s v="SANTA HELENA"/>
    <d v="2016-04-20T00:00:00"/>
    <d v="2016-05-05T00:00:00"/>
    <x v="3"/>
    <x v="79"/>
    <x v="1"/>
    <n v="0"/>
    <x v="1"/>
    <n v="0"/>
    <n v="1"/>
    <n v="0"/>
    <x v="0"/>
    <x v="1"/>
    <n v="1"/>
  </r>
  <r>
    <n v="241669000000000"/>
    <x v="1"/>
    <x v="33"/>
    <x v="4"/>
    <s v="SOLON BORGES"/>
    <d v="2016-04-20T00:00:00"/>
    <d v="2016-05-10T00:00:00"/>
    <x v="4"/>
    <x v="76"/>
    <x v="1"/>
    <n v="0"/>
    <x v="1"/>
    <n v="0"/>
    <n v="0"/>
    <n v="0"/>
    <x v="0"/>
    <x v="0"/>
    <n v="0"/>
  </r>
  <r>
    <n v="71823700000000"/>
    <x v="0"/>
    <x v="74"/>
    <x v="1"/>
    <s v="CENTRO"/>
    <d v="2016-04-20T00:00:00"/>
    <d v="2016-05-16T00:00:00"/>
    <x v="2"/>
    <x v="68"/>
    <x v="1"/>
    <n v="0"/>
    <x v="0"/>
    <n v="0"/>
    <n v="0"/>
    <n v="0"/>
    <x v="1"/>
    <x v="0"/>
    <n v="0"/>
  </r>
  <r>
    <n v="36655200000000"/>
    <x v="0"/>
    <x v="59"/>
    <x v="2"/>
    <s v="TABUAZEIRO"/>
    <d v="2016-04-20T00:00:00"/>
    <d v="2016-05-31T00:00:00"/>
    <x v="4"/>
    <x v="51"/>
    <x v="0"/>
    <n v="0"/>
    <x v="1"/>
    <n v="0"/>
    <n v="0"/>
    <n v="0"/>
    <x v="1"/>
    <x v="1"/>
    <n v="1"/>
  </r>
  <r>
    <n v="46717600000000"/>
    <x v="0"/>
    <x v="49"/>
    <x v="4"/>
    <s v="SANTA LUIZA"/>
    <d v="2016-04-20T00:00:00"/>
    <d v="2016-05-10T00:00:00"/>
    <x v="4"/>
    <x v="76"/>
    <x v="1"/>
    <n v="0"/>
    <x v="1"/>
    <n v="0"/>
    <n v="0"/>
    <n v="0"/>
    <x v="0"/>
    <x v="0"/>
    <n v="0"/>
  </r>
  <r>
    <n v="61924200000000"/>
    <x v="1"/>
    <x v="43"/>
    <x v="2"/>
    <s v="SANTO ANDRE"/>
    <d v="2016-04-20T00:00:00"/>
    <d v="2016-05-04T00:00:00"/>
    <x v="1"/>
    <x v="80"/>
    <x v="2"/>
    <n v="0"/>
    <x v="1"/>
    <n v="0"/>
    <n v="0"/>
    <n v="0"/>
    <x v="1"/>
    <x v="0"/>
    <n v="0"/>
  </r>
  <r>
    <n v="5576380000000"/>
    <x v="0"/>
    <x v="21"/>
    <x v="1"/>
    <s v="SAO JOSE"/>
    <d v="2016-04-20T00:00:00"/>
    <d v="2016-05-05T00:00:00"/>
    <x v="3"/>
    <x v="79"/>
    <x v="1"/>
    <n v="0"/>
    <x v="0"/>
    <n v="0"/>
    <n v="0"/>
    <n v="0"/>
    <x v="0"/>
    <x v="1"/>
    <n v="1"/>
  </r>
  <r>
    <n v="79268400000000"/>
    <x v="0"/>
    <x v="36"/>
    <x v="3"/>
    <s v="DA PENHA"/>
    <d v="2016-04-20T00:00:00"/>
    <d v="2016-05-18T00:00:00"/>
    <x v="1"/>
    <x v="64"/>
    <x v="1"/>
    <n v="0"/>
    <x v="0"/>
    <n v="0"/>
    <n v="0"/>
    <n v="0"/>
    <x v="1"/>
    <x v="1"/>
    <n v="1"/>
  </r>
  <r>
    <n v="9789480000000"/>
    <x v="1"/>
    <x v="40"/>
    <x v="1"/>
    <s v="JESUS DE NAZARETH"/>
    <d v="2016-04-20T00:00:00"/>
    <d v="2016-05-13T00:00:00"/>
    <x v="0"/>
    <x v="67"/>
    <x v="1"/>
    <n v="0"/>
    <x v="1"/>
    <n v="0"/>
    <n v="0"/>
    <n v="0"/>
    <x v="1"/>
    <x v="1"/>
    <n v="1"/>
  </r>
  <r>
    <n v="413979000000000"/>
    <x v="0"/>
    <x v="26"/>
    <x v="0"/>
    <s v="JARDIM DA PENHA"/>
    <d v="2016-04-20T00:00:00"/>
    <d v="2016-05-05T00:00:00"/>
    <x v="3"/>
    <x v="79"/>
    <x v="1"/>
    <n v="0"/>
    <x v="0"/>
    <n v="1"/>
    <n v="0"/>
    <n v="0"/>
    <x v="1"/>
    <x v="1"/>
    <n v="1"/>
  </r>
  <r>
    <n v="395575000000000"/>
    <x v="0"/>
    <x v="40"/>
    <x v="1"/>
    <s v="JARDIM CAMBURI"/>
    <d v="2016-04-20T00:00:00"/>
    <d v="2016-05-11T00:00:00"/>
    <x v="1"/>
    <x v="73"/>
    <x v="1"/>
    <n v="0"/>
    <x v="1"/>
    <n v="0"/>
    <n v="0"/>
    <n v="0"/>
    <x v="0"/>
    <x v="0"/>
    <n v="0"/>
  </r>
  <r>
    <n v="395575000000000"/>
    <x v="0"/>
    <x v="40"/>
    <x v="1"/>
    <s v="JARDIM CAMBURI"/>
    <d v="2016-04-20T00:00:00"/>
    <d v="2016-05-18T00:00:00"/>
    <x v="1"/>
    <x v="64"/>
    <x v="1"/>
    <n v="0"/>
    <x v="1"/>
    <n v="0"/>
    <n v="0"/>
    <n v="0"/>
    <x v="1"/>
    <x v="1"/>
    <n v="1"/>
  </r>
  <r>
    <n v="6141170000000"/>
    <x v="1"/>
    <x v="10"/>
    <x v="4"/>
    <s v="PRAIA DO SUA"/>
    <d v="2016-04-20T00:00:00"/>
    <d v="2016-05-10T00:00:00"/>
    <x v="4"/>
    <x v="76"/>
    <x v="1"/>
    <n v="0"/>
    <x v="1"/>
    <n v="0"/>
    <n v="0"/>
    <n v="0"/>
    <x v="0"/>
    <x v="1"/>
    <n v="1"/>
  </r>
  <r>
    <n v="342477000000000"/>
    <x v="1"/>
    <x v="26"/>
    <x v="0"/>
    <s v="MARUIPE"/>
    <d v="2016-04-20T00:00:00"/>
    <d v="2016-05-11T00:00:00"/>
    <x v="1"/>
    <x v="73"/>
    <x v="1"/>
    <n v="0"/>
    <x v="1"/>
    <n v="0"/>
    <n v="0"/>
    <n v="0"/>
    <x v="0"/>
    <x v="0"/>
    <n v="0"/>
  </r>
  <r>
    <n v="78826300000000"/>
    <x v="0"/>
    <x v="41"/>
    <x v="4"/>
    <s v="MARIA ORTIZ"/>
    <d v="2016-04-20T00:00:00"/>
    <d v="2016-05-02T00:00:00"/>
    <x v="2"/>
    <x v="84"/>
    <x v="2"/>
    <n v="1"/>
    <x v="1"/>
    <n v="0"/>
    <n v="0"/>
    <n v="0"/>
    <x v="0"/>
    <x v="1"/>
    <n v="1"/>
  </r>
  <r>
    <n v="931873000000000"/>
    <x v="1"/>
    <x v="51"/>
    <x v="2"/>
    <s v="SAO CRISTOVAO"/>
    <d v="2016-04-20T00:00:00"/>
    <d v="2016-05-03T00:00:00"/>
    <x v="4"/>
    <x v="82"/>
    <x v="2"/>
    <n v="0"/>
    <x v="1"/>
    <n v="0"/>
    <n v="0"/>
    <n v="0"/>
    <x v="0"/>
    <x v="0"/>
    <n v="0"/>
  </r>
  <r>
    <n v="83277800000000"/>
    <x v="0"/>
    <x v="25"/>
    <x v="4"/>
    <s v="PRAIA DO CANTO"/>
    <d v="2016-04-20T00:00:00"/>
    <d v="2016-05-09T00:00:00"/>
    <x v="2"/>
    <x v="77"/>
    <x v="1"/>
    <n v="0"/>
    <x v="1"/>
    <n v="0"/>
    <n v="0"/>
    <n v="0"/>
    <x v="1"/>
    <x v="0"/>
    <n v="0"/>
  </r>
  <r>
    <n v="9494190000000"/>
    <x v="1"/>
    <x v="61"/>
    <x v="1"/>
    <s v="PRAIA DO CANTO"/>
    <d v="2016-04-20T00:00:00"/>
    <d v="2016-05-04T00:00:00"/>
    <x v="1"/>
    <x v="80"/>
    <x v="2"/>
    <n v="0"/>
    <x v="1"/>
    <n v="0"/>
    <n v="0"/>
    <n v="0"/>
    <x v="0"/>
    <x v="0"/>
    <n v="0"/>
  </r>
  <r>
    <n v="893298000000"/>
    <x v="1"/>
    <x v="73"/>
    <x v="4"/>
    <s v="TABUAZEIRO"/>
    <d v="2016-04-20T00:00:00"/>
    <d v="2016-05-18T00:00:00"/>
    <x v="1"/>
    <x v="64"/>
    <x v="1"/>
    <n v="0"/>
    <x v="1"/>
    <n v="0"/>
    <n v="0"/>
    <n v="0"/>
    <x v="1"/>
    <x v="0"/>
    <n v="0"/>
  </r>
  <r>
    <n v="773387000000000"/>
    <x v="0"/>
    <x v="69"/>
    <x v="4"/>
    <s v="TABUAZEIRO"/>
    <d v="2016-04-20T00:00:00"/>
    <d v="2016-05-17T00:00:00"/>
    <x v="4"/>
    <x v="65"/>
    <x v="1"/>
    <n v="1"/>
    <x v="1"/>
    <n v="0"/>
    <n v="0"/>
    <n v="0"/>
    <x v="1"/>
    <x v="1"/>
    <n v="1"/>
  </r>
  <r>
    <n v="41617600000000"/>
    <x v="0"/>
    <x v="21"/>
    <x v="1"/>
    <s v="BELA VISTA"/>
    <d v="2016-04-20T00:00:00"/>
    <d v="2016-06-02T00:00:00"/>
    <x v="3"/>
    <x v="47"/>
    <x v="0"/>
    <n v="0"/>
    <x v="0"/>
    <n v="0"/>
    <n v="0"/>
    <n v="0"/>
    <x v="0"/>
    <x v="1"/>
    <n v="1"/>
  </r>
  <r>
    <n v="897634000000000"/>
    <x v="0"/>
    <x v="70"/>
    <x v="5"/>
    <s v="MARIA ORTIZ"/>
    <d v="2016-04-20T00:00:00"/>
    <d v="2016-05-30T00:00:00"/>
    <x v="2"/>
    <x v="69"/>
    <x v="0"/>
    <n v="0"/>
    <x v="1"/>
    <n v="0"/>
    <n v="0"/>
    <n v="0"/>
    <x v="0"/>
    <x v="1"/>
    <n v="1"/>
  </r>
  <r>
    <n v="369270000000000"/>
    <x v="1"/>
    <x v="28"/>
    <x v="3"/>
    <s v="TABUAZEIRO"/>
    <d v="2016-04-20T00:00:00"/>
    <d v="2016-05-31T00:00:00"/>
    <x v="4"/>
    <x v="51"/>
    <x v="0"/>
    <n v="0"/>
    <x v="1"/>
    <n v="0"/>
    <n v="0"/>
    <n v="0"/>
    <x v="0"/>
    <x v="0"/>
    <n v="0"/>
  </r>
  <r>
    <n v="458184000000"/>
    <x v="0"/>
    <x v="31"/>
    <x v="1"/>
    <s v="JARDIM DA PENHA"/>
    <d v="2016-04-20T00:00:00"/>
    <d v="2016-05-19T00:00:00"/>
    <x v="3"/>
    <x v="63"/>
    <x v="1"/>
    <n v="0"/>
    <x v="1"/>
    <n v="0"/>
    <n v="0"/>
    <n v="0"/>
    <x v="1"/>
    <x v="0"/>
    <n v="0"/>
  </r>
  <r>
    <n v="2139840000000"/>
    <x v="0"/>
    <x v="84"/>
    <x v="1"/>
    <s v="ITARARE"/>
    <d v="2016-04-20T00:00:00"/>
    <d v="2016-05-03T00:00:00"/>
    <x v="4"/>
    <x v="82"/>
    <x v="2"/>
    <n v="0"/>
    <x v="0"/>
    <n v="1"/>
    <n v="0"/>
    <n v="0"/>
    <x v="0"/>
    <x v="0"/>
    <n v="0"/>
  </r>
  <r>
    <n v="186773000000000"/>
    <x v="0"/>
    <x v="57"/>
    <x v="2"/>
    <s v="SANTOS REIS"/>
    <d v="2016-04-20T00:00:00"/>
    <d v="2016-05-05T00:00:00"/>
    <x v="3"/>
    <x v="79"/>
    <x v="1"/>
    <n v="1"/>
    <x v="1"/>
    <n v="0"/>
    <n v="0"/>
    <n v="0"/>
    <x v="0"/>
    <x v="1"/>
    <n v="1"/>
  </r>
  <r>
    <n v="31497900000000"/>
    <x v="1"/>
    <x v="71"/>
    <x v="4"/>
    <s v="SAO BENEDITO"/>
    <d v="2016-04-20T00:00:00"/>
    <d v="2016-05-20T00:00:00"/>
    <x v="0"/>
    <x v="60"/>
    <x v="1"/>
    <n v="0"/>
    <x v="0"/>
    <n v="0"/>
    <n v="0"/>
    <n v="0"/>
    <x v="1"/>
    <x v="0"/>
    <n v="0"/>
  </r>
  <r>
    <n v="88224000000000"/>
    <x v="1"/>
    <x v="24"/>
    <x v="1"/>
    <s v="JOANA D ARC"/>
    <d v="2016-04-20T00:00:00"/>
    <d v="2016-06-07T00:00:00"/>
    <x v="4"/>
    <x v="46"/>
    <x v="0"/>
    <n v="0"/>
    <x v="0"/>
    <n v="0"/>
    <n v="0"/>
    <n v="0"/>
    <x v="1"/>
    <x v="1"/>
    <n v="1"/>
  </r>
  <r>
    <n v="3649920000000"/>
    <x v="1"/>
    <x v="27"/>
    <x v="3"/>
    <s v="SANTO ANTONIO"/>
    <d v="2016-04-20T00:00:00"/>
    <d v="2016-05-02T00:00:00"/>
    <x v="2"/>
    <x v="84"/>
    <x v="2"/>
    <n v="0"/>
    <x v="1"/>
    <n v="0"/>
    <n v="0"/>
    <n v="0"/>
    <x v="1"/>
    <x v="0"/>
    <n v="0"/>
  </r>
  <r>
    <n v="1825350000000"/>
    <x v="0"/>
    <x v="17"/>
    <x v="4"/>
    <s v="ITARARE"/>
    <d v="2016-04-20T00:00:00"/>
    <d v="2016-05-19T00:00:00"/>
    <x v="3"/>
    <x v="63"/>
    <x v="1"/>
    <n v="0"/>
    <x v="1"/>
    <n v="0"/>
    <n v="0"/>
    <n v="0"/>
    <x v="1"/>
    <x v="0"/>
    <n v="0"/>
  </r>
  <r>
    <n v="91924400000000"/>
    <x v="1"/>
    <x v="55"/>
    <x v="2"/>
    <s v="REDENCAO"/>
    <d v="2016-04-20T00:00:00"/>
    <d v="2016-05-20T00:00:00"/>
    <x v="0"/>
    <x v="60"/>
    <x v="1"/>
    <n v="0"/>
    <x v="1"/>
    <n v="0"/>
    <n v="0"/>
    <n v="0"/>
    <x v="1"/>
    <x v="0"/>
    <n v="0"/>
  </r>
  <r>
    <n v="47384356666"/>
    <x v="1"/>
    <x v="23"/>
    <x v="3"/>
    <s v="MONTE BELO"/>
    <d v="2016-04-20T00:00:00"/>
    <d v="2016-05-31T00:00:00"/>
    <x v="4"/>
    <x v="51"/>
    <x v="0"/>
    <n v="0"/>
    <x v="1"/>
    <n v="0"/>
    <n v="0"/>
    <n v="0"/>
    <x v="0"/>
    <x v="0"/>
    <n v="0"/>
  </r>
  <r>
    <n v="4655480000000"/>
    <x v="0"/>
    <x v="75"/>
    <x v="5"/>
    <s v="MARUIPE"/>
    <d v="2016-04-20T00:00:00"/>
    <d v="2016-06-02T00:00:00"/>
    <x v="3"/>
    <x v="47"/>
    <x v="0"/>
    <n v="0"/>
    <x v="1"/>
    <n v="0"/>
    <n v="0"/>
    <n v="0"/>
    <x v="1"/>
    <x v="0"/>
    <n v="0"/>
  </r>
  <r>
    <n v="299779000000000"/>
    <x v="1"/>
    <x v="77"/>
    <x v="4"/>
    <s v="JARDIM CAMBURI"/>
    <d v="2016-04-20T00:00:00"/>
    <d v="2016-04-29T00:00:00"/>
    <x v="0"/>
    <x v="85"/>
    <x v="2"/>
    <n v="0"/>
    <x v="1"/>
    <n v="0"/>
    <n v="0"/>
    <n v="0"/>
    <x v="0"/>
    <x v="1"/>
    <n v="1"/>
  </r>
  <r>
    <n v="5143400000000"/>
    <x v="0"/>
    <x v="76"/>
    <x v="0"/>
    <s v="BONFIM"/>
    <d v="2016-04-20T00:00:00"/>
    <d v="2016-05-04T00:00:00"/>
    <x v="1"/>
    <x v="80"/>
    <x v="2"/>
    <n v="0"/>
    <x v="0"/>
    <n v="0"/>
    <n v="0"/>
    <n v="0"/>
    <x v="0"/>
    <x v="1"/>
    <n v="1"/>
  </r>
  <r>
    <n v="126851000000000"/>
    <x v="0"/>
    <x v="65"/>
    <x v="2"/>
    <s v="SANTOS DUMONT"/>
    <d v="2016-04-20T00:00:00"/>
    <d v="2016-05-12T00:00:00"/>
    <x v="3"/>
    <x v="71"/>
    <x v="1"/>
    <n v="0"/>
    <x v="1"/>
    <n v="0"/>
    <n v="0"/>
    <n v="0"/>
    <x v="0"/>
    <x v="0"/>
    <n v="0"/>
  </r>
  <r>
    <n v="118489000000000"/>
    <x v="1"/>
    <x v="23"/>
    <x v="3"/>
    <s v="ILHA DO PRINCIPE"/>
    <d v="2016-04-20T00:00:00"/>
    <d v="2016-05-12T00:00:00"/>
    <x v="3"/>
    <x v="71"/>
    <x v="1"/>
    <n v="0"/>
    <x v="1"/>
    <n v="0"/>
    <n v="0"/>
    <n v="0"/>
    <x v="0"/>
    <x v="0"/>
    <n v="0"/>
  </r>
  <r>
    <n v="88912125457"/>
    <x v="0"/>
    <x v="87"/>
    <x v="1"/>
    <s v="TABUAZEIRO"/>
    <d v="2016-04-20T00:00:00"/>
    <d v="2016-06-01T00:00:00"/>
    <x v="1"/>
    <x v="49"/>
    <x v="0"/>
    <n v="0"/>
    <x v="1"/>
    <n v="0"/>
    <n v="0"/>
    <n v="0"/>
    <x v="0"/>
    <x v="0"/>
    <n v="0"/>
  </r>
  <r>
    <n v="415788000000000"/>
    <x v="0"/>
    <x v="40"/>
    <x v="1"/>
    <s v="TABUAZEIRO"/>
    <d v="2016-04-20T00:00:00"/>
    <d v="2016-05-30T00:00:00"/>
    <x v="2"/>
    <x v="69"/>
    <x v="0"/>
    <n v="1"/>
    <x v="0"/>
    <n v="0"/>
    <n v="0"/>
    <n v="0"/>
    <x v="0"/>
    <x v="0"/>
    <n v="0"/>
  </r>
  <r>
    <n v="99289700000000"/>
    <x v="0"/>
    <x v="17"/>
    <x v="4"/>
    <s v="JARDIM CAMBURI"/>
    <d v="2016-04-20T00:00:00"/>
    <d v="2016-05-17T00:00:00"/>
    <x v="4"/>
    <x v="65"/>
    <x v="1"/>
    <n v="0"/>
    <x v="1"/>
    <n v="0"/>
    <n v="0"/>
    <n v="0"/>
    <x v="1"/>
    <x v="0"/>
    <n v="0"/>
  </r>
  <r>
    <n v="193639000000000"/>
    <x v="1"/>
    <x v="38"/>
    <x v="4"/>
    <s v="JARDIM DA PENHA"/>
    <d v="2016-04-20T00:00:00"/>
    <d v="2016-05-16T00:00:00"/>
    <x v="2"/>
    <x v="68"/>
    <x v="1"/>
    <n v="0"/>
    <x v="1"/>
    <n v="0"/>
    <n v="0"/>
    <n v="0"/>
    <x v="1"/>
    <x v="1"/>
    <n v="1"/>
  </r>
  <r>
    <n v="13364900000000"/>
    <x v="1"/>
    <x v="36"/>
    <x v="3"/>
    <s v="MARIA ORTIZ"/>
    <d v="2016-04-20T00:00:00"/>
    <d v="2016-05-25T00:00:00"/>
    <x v="1"/>
    <x v="59"/>
    <x v="0"/>
    <n v="0"/>
    <x v="1"/>
    <n v="0"/>
    <n v="0"/>
    <n v="0"/>
    <x v="0"/>
    <x v="1"/>
    <n v="1"/>
  </r>
  <r>
    <n v="998759000000"/>
    <x v="1"/>
    <x v="36"/>
    <x v="3"/>
    <s v="TABUAZEIRO"/>
    <d v="2016-04-25T00:00:00"/>
    <d v="2016-05-30T00:00:00"/>
    <x v="2"/>
    <x v="59"/>
    <x v="0"/>
    <n v="0"/>
    <x v="0"/>
    <n v="0"/>
    <n v="0"/>
    <n v="0"/>
    <x v="0"/>
    <x v="0"/>
    <n v="0"/>
  </r>
  <r>
    <n v="43987300000000"/>
    <x v="0"/>
    <x v="52"/>
    <x v="2"/>
    <s v="CONQUISTA"/>
    <d v="2016-04-25T00:00:00"/>
    <d v="2016-06-06T00:00:00"/>
    <x v="2"/>
    <x v="49"/>
    <x v="0"/>
    <n v="0"/>
    <x v="1"/>
    <n v="0"/>
    <n v="0"/>
    <n v="0"/>
    <x v="0"/>
    <x v="0"/>
    <n v="0"/>
  </r>
  <r>
    <n v="991276000000"/>
    <x v="1"/>
    <x v="87"/>
    <x v="1"/>
    <s v="MARIO CYPRESTE"/>
    <d v="2016-04-25T00:00:00"/>
    <d v="2016-06-01T00:00:00"/>
    <x v="1"/>
    <x v="53"/>
    <x v="0"/>
    <n v="0"/>
    <x v="1"/>
    <n v="0"/>
    <n v="1"/>
    <n v="0"/>
    <x v="0"/>
    <x v="1"/>
    <n v="1"/>
  </r>
  <r>
    <n v="28890000000000"/>
    <x v="0"/>
    <x v="78"/>
    <x v="0"/>
    <s v="JARDIM DA PENHA"/>
    <d v="2016-04-25T00:00:00"/>
    <d v="2016-05-12T00:00:00"/>
    <x v="3"/>
    <x v="75"/>
    <x v="1"/>
    <n v="0"/>
    <x v="0"/>
    <n v="0"/>
    <n v="0"/>
    <n v="0"/>
    <x v="0"/>
    <x v="0"/>
    <n v="0"/>
  </r>
  <r>
    <n v="7653990000000"/>
    <x v="1"/>
    <x v="60"/>
    <x v="2"/>
    <s v="BONFIM"/>
    <d v="2016-04-25T00:00:00"/>
    <d v="2016-06-02T00:00:00"/>
    <x v="3"/>
    <x v="52"/>
    <x v="0"/>
    <n v="0"/>
    <x v="1"/>
    <n v="0"/>
    <n v="0"/>
    <n v="0"/>
    <x v="0"/>
    <x v="0"/>
    <n v="0"/>
  </r>
  <r>
    <n v="4455620000000"/>
    <x v="1"/>
    <x v="77"/>
    <x v="4"/>
    <s v="CONSOLACAO"/>
    <d v="2016-04-25T00:00:00"/>
    <d v="2016-05-05T00:00:00"/>
    <x v="3"/>
    <x v="83"/>
    <x v="2"/>
    <n v="0"/>
    <x v="1"/>
    <n v="0"/>
    <n v="0"/>
    <n v="0"/>
    <x v="1"/>
    <x v="1"/>
    <n v="1"/>
  </r>
  <r>
    <n v="23477000000000"/>
    <x v="0"/>
    <x v="54"/>
    <x v="1"/>
    <s v="CRUZAMENTO"/>
    <d v="2016-04-25T00:00:00"/>
    <d v="2016-04-29T00:00:00"/>
    <x v="0"/>
    <x v="86"/>
    <x v="3"/>
    <n v="0"/>
    <x v="1"/>
    <n v="0"/>
    <n v="0"/>
    <n v="0"/>
    <x v="0"/>
    <x v="0"/>
    <n v="0"/>
  </r>
  <r>
    <n v="272226000000000"/>
    <x v="1"/>
    <x v="65"/>
    <x v="2"/>
    <s v="TABUAZEIRO"/>
    <d v="2016-04-25T00:00:00"/>
    <d v="2016-04-29T00:00:00"/>
    <x v="0"/>
    <x v="86"/>
    <x v="3"/>
    <n v="1"/>
    <x v="1"/>
    <n v="0"/>
    <n v="0"/>
    <n v="0"/>
    <x v="0"/>
    <x v="0"/>
    <n v="0"/>
  </r>
  <r>
    <n v="27165500000000"/>
    <x v="1"/>
    <x v="42"/>
    <x v="3"/>
    <s v="SAO CRISTOVAO"/>
    <d v="2016-04-25T00:00:00"/>
    <d v="2016-06-03T00:00:00"/>
    <x v="0"/>
    <x v="50"/>
    <x v="0"/>
    <n v="0"/>
    <x v="0"/>
    <n v="1"/>
    <n v="0"/>
    <n v="0"/>
    <x v="0"/>
    <x v="1"/>
    <n v="1"/>
  </r>
  <r>
    <n v="51222400000000"/>
    <x v="0"/>
    <x v="29"/>
    <x v="3"/>
    <s v="ANDORINHAS"/>
    <d v="2016-04-25T00:00:00"/>
    <d v="2016-05-09T00:00:00"/>
    <x v="2"/>
    <x v="80"/>
    <x v="2"/>
    <n v="0"/>
    <x v="1"/>
    <n v="0"/>
    <n v="0"/>
    <n v="0"/>
    <x v="1"/>
    <x v="0"/>
    <n v="0"/>
  </r>
  <r>
    <n v="7558520000000"/>
    <x v="0"/>
    <x v="56"/>
    <x v="1"/>
    <s v="BONFIM"/>
    <d v="2016-04-25T00:00:00"/>
    <d v="2016-06-03T00:00:00"/>
    <x v="0"/>
    <x v="50"/>
    <x v="0"/>
    <n v="0"/>
    <x v="0"/>
    <n v="0"/>
    <n v="0"/>
    <n v="0"/>
    <x v="0"/>
    <x v="1"/>
    <n v="1"/>
  </r>
  <r>
    <n v="915165000000"/>
    <x v="0"/>
    <x v="57"/>
    <x v="2"/>
    <s v="BONFIM"/>
    <d v="2016-04-25T00:00:00"/>
    <d v="2016-06-03T00:00:00"/>
    <x v="0"/>
    <x v="50"/>
    <x v="0"/>
    <n v="1"/>
    <x v="1"/>
    <n v="0"/>
    <n v="0"/>
    <n v="0"/>
    <x v="0"/>
    <x v="0"/>
    <n v="0"/>
  </r>
  <r>
    <n v="38794300000000"/>
    <x v="0"/>
    <x v="28"/>
    <x v="3"/>
    <s v="CENTRO"/>
    <d v="2016-04-25T00:00:00"/>
    <d v="2016-05-09T00:00:00"/>
    <x v="2"/>
    <x v="80"/>
    <x v="2"/>
    <n v="0"/>
    <x v="1"/>
    <n v="0"/>
    <n v="0"/>
    <n v="0"/>
    <x v="1"/>
    <x v="0"/>
    <n v="0"/>
  </r>
  <r>
    <n v="99834588263"/>
    <x v="1"/>
    <x v="31"/>
    <x v="1"/>
    <s v="SAO CRISTOVAO"/>
    <d v="2016-04-25T00:00:00"/>
    <d v="2016-05-24T00:00:00"/>
    <x v="4"/>
    <x v="63"/>
    <x v="1"/>
    <n v="0"/>
    <x v="1"/>
    <n v="0"/>
    <n v="0"/>
    <n v="0"/>
    <x v="0"/>
    <x v="1"/>
    <n v="1"/>
  </r>
  <r>
    <n v="29314700000000"/>
    <x v="0"/>
    <x v="42"/>
    <x v="3"/>
    <s v="SANTA LUCIA"/>
    <d v="2016-04-25T00:00:00"/>
    <d v="2016-05-17T00:00:00"/>
    <x v="4"/>
    <x v="71"/>
    <x v="1"/>
    <n v="0"/>
    <x v="1"/>
    <n v="0"/>
    <n v="0"/>
    <n v="0"/>
    <x v="1"/>
    <x v="0"/>
    <n v="0"/>
  </r>
  <r>
    <n v="365663000000000"/>
    <x v="0"/>
    <x v="20"/>
    <x v="0"/>
    <s v="VILA RUBIM"/>
    <d v="2016-04-25T00:00:00"/>
    <d v="2016-04-29T00:00:00"/>
    <x v="0"/>
    <x v="86"/>
    <x v="3"/>
    <n v="0"/>
    <x v="0"/>
    <n v="1"/>
    <n v="0"/>
    <n v="0"/>
    <x v="0"/>
    <x v="1"/>
    <n v="1"/>
  </r>
  <r>
    <n v="1269170000000"/>
    <x v="0"/>
    <x v="69"/>
    <x v="4"/>
    <s v="ITARARE"/>
    <d v="2016-04-25T00:00:00"/>
    <d v="2016-05-19T00:00:00"/>
    <x v="3"/>
    <x v="66"/>
    <x v="1"/>
    <n v="0"/>
    <x v="1"/>
    <n v="0"/>
    <n v="0"/>
    <n v="0"/>
    <x v="1"/>
    <x v="1"/>
    <n v="1"/>
  </r>
  <r>
    <n v="18318700000000"/>
    <x v="0"/>
    <x v="34"/>
    <x v="0"/>
    <s v="ANDORINHAS"/>
    <d v="2016-04-25T00:00:00"/>
    <d v="2016-05-09T00:00:00"/>
    <x v="2"/>
    <x v="80"/>
    <x v="2"/>
    <n v="0"/>
    <x v="0"/>
    <n v="1"/>
    <n v="0"/>
    <n v="0"/>
    <x v="1"/>
    <x v="1"/>
    <n v="1"/>
  </r>
  <r>
    <n v="318375000000000"/>
    <x v="0"/>
    <x v="39"/>
    <x v="4"/>
    <s v="CONQUISTA"/>
    <d v="2016-04-25T00:00:00"/>
    <d v="2016-05-09T00:00:00"/>
    <x v="2"/>
    <x v="80"/>
    <x v="2"/>
    <n v="0"/>
    <x v="1"/>
    <n v="0"/>
    <n v="0"/>
    <n v="0"/>
    <x v="1"/>
    <x v="0"/>
    <n v="0"/>
  </r>
  <r>
    <n v="89261800000000"/>
    <x v="0"/>
    <x v="68"/>
    <x v="4"/>
    <s v="RESISTENCIA"/>
    <d v="2016-04-25T00:00:00"/>
    <d v="2016-05-02T00:00:00"/>
    <x v="2"/>
    <x v="87"/>
    <x v="3"/>
    <n v="0"/>
    <x v="1"/>
    <n v="0"/>
    <n v="0"/>
    <n v="0"/>
    <x v="0"/>
    <x v="0"/>
    <n v="0"/>
  </r>
  <r>
    <n v="7688670000000"/>
    <x v="0"/>
    <x v="74"/>
    <x v="1"/>
    <s v="SAO CRISTOVAO"/>
    <d v="2016-04-25T00:00:00"/>
    <d v="2016-06-07T00:00:00"/>
    <x v="4"/>
    <x v="47"/>
    <x v="0"/>
    <n v="0"/>
    <x v="1"/>
    <n v="0"/>
    <n v="0"/>
    <n v="0"/>
    <x v="0"/>
    <x v="0"/>
    <n v="0"/>
  </r>
  <r>
    <n v="19976200000000"/>
    <x v="0"/>
    <x v="48"/>
    <x v="3"/>
    <s v="MARIA ORTIZ"/>
    <d v="2016-04-25T00:00:00"/>
    <d v="2016-05-25T00:00:00"/>
    <x v="1"/>
    <x v="60"/>
    <x v="1"/>
    <n v="0"/>
    <x v="1"/>
    <n v="0"/>
    <n v="0"/>
    <n v="0"/>
    <x v="1"/>
    <x v="1"/>
    <n v="1"/>
  </r>
  <r>
    <n v="622975000000000"/>
    <x v="0"/>
    <x v="47"/>
    <x v="4"/>
    <s v="ILHA DE SANTA MARIA"/>
    <d v="2016-04-25T00:00:00"/>
    <d v="2016-05-16T00:00:00"/>
    <x v="2"/>
    <x v="73"/>
    <x v="1"/>
    <n v="0"/>
    <x v="1"/>
    <n v="0"/>
    <n v="0"/>
    <n v="0"/>
    <x v="1"/>
    <x v="0"/>
    <n v="0"/>
  </r>
  <r>
    <n v="314523000000000"/>
    <x v="0"/>
    <x v="33"/>
    <x v="4"/>
    <s v="JARDIM DA PENHA"/>
    <d v="2016-04-25T00:00:00"/>
    <d v="2016-05-06T00:00:00"/>
    <x v="0"/>
    <x v="81"/>
    <x v="2"/>
    <n v="0"/>
    <x v="1"/>
    <n v="0"/>
    <n v="0"/>
    <n v="0"/>
    <x v="0"/>
    <x v="1"/>
    <n v="1"/>
  </r>
  <r>
    <n v="13742400000000"/>
    <x v="1"/>
    <x v="46"/>
    <x v="2"/>
    <s v="NOVA PALESTINA"/>
    <d v="2016-04-25T00:00:00"/>
    <d v="2016-05-12T00:00:00"/>
    <x v="3"/>
    <x v="75"/>
    <x v="1"/>
    <n v="0"/>
    <x v="1"/>
    <n v="0"/>
    <n v="0"/>
    <n v="0"/>
    <x v="0"/>
    <x v="0"/>
    <n v="0"/>
  </r>
  <r>
    <n v="667280000000"/>
    <x v="0"/>
    <x v="25"/>
    <x v="4"/>
    <s v="ITARARE"/>
    <d v="2016-04-25T00:00:00"/>
    <d v="2016-05-10T00:00:00"/>
    <x v="4"/>
    <x v="79"/>
    <x v="1"/>
    <n v="0"/>
    <x v="1"/>
    <n v="0"/>
    <n v="0"/>
    <n v="0"/>
    <x v="0"/>
    <x v="1"/>
    <n v="1"/>
  </r>
  <r>
    <n v="51316000000000"/>
    <x v="0"/>
    <x v="30"/>
    <x v="3"/>
    <s v="FONTE GRANDE"/>
    <d v="2016-04-25T00:00:00"/>
    <d v="2016-05-24T00:00:00"/>
    <x v="4"/>
    <x v="63"/>
    <x v="1"/>
    <n v="0"/>
    <x v="1"/>
    <n v="0"/>
    <n v="0"/>
    <n v="0"/>
    <x v="0"/>
    <x v="0"/>
    <n v="0"/>
  </r>
  <r>
    <n v="3729850000000"/>
    <x v="0"/>
    <x v="16"/>
    <x v="1"/>
    <s v="TABUAZEIRO"/>
    <d v="2016-04-25T00:00:00"/>
    <d v="2016-05-18T00:00:00"/>
    <x v="1"/>
    <x v="67"/>
    <x v="1"/>
    <n v="0"/>
    <x v="1"/>
    <n v="0"/>
    <n v="0"/>
    <n v="0"/>
    <x v="1"/>
    <x v="0"/>
    <n v="0"/>
  </r>
  <r>
    <n v="3337580000000"/>
    <x v="1"/>
    <x v="2"/>
    <x v="1"/>
    <s v="PRAIA DO SUA"/>
    <d v="2016-04-25T00:00:00"/>
    <d v="2016-05-12T00:00:00"/>
    <x v="3"/>
    <x v="75"/>
    <x v="1"/>
    <n v="0"/>
    <x v="1"/>
    <n v="0"/>
    <n v="0"/>
    <n v="0"/>
    <x v="0"/>
    <x v="1"/>
    <n v="1"/>
  </r>
  <r>
    <n v="7566390000000"/>
    <x v="0"/>
    <x v="62"/>
    <x v="3"/>
    <s v="SANTA MARTHA"/>
    <d v="2016-04-25T00:00:00"/>
    <d v="2016-05-31T00:00:00"/>
    <x v="4"/>
    <x v="55"/>
    <x v="0"/>
    <n v="0"/>
    <x v="0"/>
    <n v="0"/>
    <n v="0"/>
    <n v="0"/>
    <x v="0"/>
    <x v="0"/>
    <n v="0"/>
  </r>
  <r>
    <n v="7343480000000"/>
    <x v="0"/>
    <x v="9"/>
    <x v="0"/>
    <s v="JARDIM CAMBURI"/>
    <d v="2016-04-25T00:00:00"/>
    <d v="2016-04-29T00:00:00"/>
    <x v="0"/>
    <x v="86"/>
    <x v="3"/>
    <n v="0"/>
    <x v="1"/>
    <n v="0"/>
    <n v="0"/>
    <n v="0"/>
    <x v="0"/>
    <x v="0"/>
    <n v="0"/>
  </r>
  <r>
    <n v="761495000000000"/>
    <x v="0"/>
    <x v="61"/>
    <x v="1"/>
    <s v="JABOUR"/>
    <d v="2016-04-25T00:00:00"/>
    <d v="2016-05-20T00:00:00"/>
    <x v="0"/>
    <x v="70"/>
    <x v="1"/>
    <n v="0"/>
    <x v="1"/>
    <n v="0"/>
    <n v="0"/>
    <n v="0"/>
    <x v="1"/>
    <x v="1"/>
    <n v="1"/>
  </r>
  <r>
    <n v="19214800000000"/>
    <x v="0"/>
    <x v="0"/>
    <x v="0"/>
    <s v="MARIA ORTIZ"/>
    <d v="2016-04-25T00:00:00"/>
    <d v="2016-05-30T00:00:00"/>
    <x v="2"/>
    <x v="59"/>
    <x v="0"/>
    <n v="0"/>
    <x v="1"/>
    <n v="0"/>
    <n v="0"/>
    <n v="0"/>
    <x v="0"/>
    <x v="1"/>
    <n v="1"/>
  </r>
  <r>
    <n v="19718300000000"/>
    <x v="1"/>
    <x v="34"/>
    <x v="0"/>
    <s v="MARIA ORTIZ"/>
    <d v="2016-04-25T00:00:00"/>
    <d v="2016-05-30T00:00:00"/>
    <x v="2"/>
    <x v="59"/>
    <x v="0"/>
    <n v="0"/>
    <x v="1"/>
    <n v="0"/>
    <n v="0"/>
    <n v="0"/>
    <x v="0"/>
    <x v="0"/>
    <n v="0"/>
  </r>
  <r>
    <n v="5878720000000"/>
    <x v="1"/>
    <x v="38"/>
    <x v="4"/>
    <s v="VILA RUBIM"/>
    <d v="2016-04-25T00:00:00"/>
    <d v="2016-06-03T00:00:00"/>
    <x v="0"/>
    <x v="50"/>
    <x v="0"/>
    <n v="0"/>
    <x v="1"/>
    <n v="0"/>
    <n v="0"/>
    <n v="0"/>
    <x v="0"/>
    <x v="1"/>
    <n v="1"/>
  </r>
  <r>
    <n v="8674460000000"/>
    <x v="0"/>
    <x v="25"/>
    <x v="4"/>
    <s v="JUCUTUQUARA"/>
    <d v="2016-04-25T00:00:00"/>
    <d v="2016-05-06T00:00:00"/>
    <x v="0"/>
    <x v="81"/>
    <x v="2"/>
    <n v="0"/>
    <x v="1"/>
    <n v="0"/>
    <n v="0"/>
    <n v="0"/>
    <x v="0"/>
    <x v="0"/>
    <n v="0"/>
  </r>
  <r>
    <n v="347853000000000"/>
    <x v="0"/>
    <x v="68"/>
    <x v="4"/>
    <s v="RESISTENCIA"/>
    <d v="2016-04-25T00:00:00"/>
    <d v="2016-05-19T00:00:00"/>
    <x v="3"/>
    <x v="66"/>
    <x v="1"/>
    <n v="0"/>
    <x v="1"/>
    <n v="0"/>
    <n v="0"/>
    <n v="0"/>
    <x v="1"/>
    <x v="0"/>
    <n v="0"/>
  </r>
  <r>
    <n v="6973540000000"/>
    <x v="0"/>
    <x v="10"/>
    <x v="4"/>
    <s v="CENTRO"/>
    <d v="2016-04-25T00:00:00"/>
    <d v="2016-05-09T00:00:00"/>
    <x v="2"/>
    <x v="80"/>
    <x v="2"/>
    <n v="1"/>
    <x v="1"/>
    <n v="0"/>
    <n v="0"/>
    <n v="0"/>
    <x v="1"/>
    <x v="1"/>
    <n v="1"/>
  </r>
  <r>
    <n v="87696700000000"/>
    <x v="1"/>
    <x v="31"/>
    <x v="1"/>
    <s v="ENSEADA DO SUA"/>
    <d v="2016-04-25T00:00:00"/>
    <d v="2016-05-12T00:00:00"/>
    <x v="3"/>
    <x v="75"/>
    <x v="1"/>
    <n v="0"/>
    <x v="1"/>
    <n v="0"/>
    <n v="0"/>
    <n v="0"/>
    <x v="1"/>
    <x v="1"/>
    <n v="1"/>
  </r>
  <r>
    <n v="65244300000000"/>
    <x v="1"/>
    <x v="59"/>
    <x v="2"/>
    <s v="SAO PEDRO"/>
    <d v="2016-04-25T00:00:00"/>
    <d v="2016-05-02T00:00:00"/>
    <x v="2"/>
    <x v="87"/>
    <x v="3"/>
    <n v="1"/>
    <x v="1"/>
    <n v="0"/>
    <n v="0"/>
    <n v="0"/>
    <x v="0"/>
    <x v="1"/>
    <n v="1"/>
  </r>
  <r>
    <n v="96847214711"/>
    <x v="1"/>
    <x v="51"/>
    <x v="2"/>
    <s v="FONTE GRANDE"/>
    <d v="2016-04-25T00:00:00"/>
    <d v="2016-05-12T00:00:00"/>
    <x v="3"/>
    <x v="75"/>
    <x v="1"/>
    <n v="0"/>
    <x v="1"/>
    <n v="0"/>
    <n v="0"/>
    <n v="0"/>
    <x v="0"/>
    <x v="0"/>
    <n v="0"/>
  </r>
  <r>
    <n v="9146350000000"/>
    <x v="1"/>
    <x v="18"/>
    <x v="0"/>
    <s v="SANTO ANTONIO"/>
    <d v="2016-04-25T00:00:00"/>
    <d v="2016-05-05T00:00:00"/>
    <x v="3"/>
    <x v="83"/>
    <x v="2"/>
    <n v="0"/>
    <x v="1"/>
    <n v="0"/>
    <n v="0"/>
    <n v="0"/>
    <x v="0"/>
    <x v="0"/>
    <n v="0"/>
  </r>
  <r>
    <n v="51829700000000"/>
    <x v="0"/>
    <x v="37"/>
    <x v="3"/>
    <s v="JARDIM CAMBURI"/>
    <d v="2016-04-25T00:00:00"/>
    <d v="2016-05-10T00:00:00"/>
    <x v="4"/>
    <x v="79"/>
    <x v="1"/>
    <n v="0"/>
    <x v="1"/>
    <n v="0"/>
    <n v="0"/>
    <n v="0"/>
    <x v="0"/>
    <x v="0"/>
    <n v="0"/>
  </r>
  <r>
    <n v="653789000000"/>
    <x v="0"/>
    <x v="37"/>
    <x v="3"/>
    <s v="CARATOIRA"/>
    <d v="2016-04-25T00:00:00"/>
    <d v="2016-05-02T00:00:00"/>
    <x v="2"/>
    <x v="87"/>
    <x v="3"/>
    <n v="0"/>
    <x v="1"/>
    <n v="0"/>
    <n v="0"/>
    <n v="0"/>
    <x v="0"/>
    <x v="0"/>
    <n v="0"/>
  </r>
  <r>
    <n v="48843400000000"/>
    <x v="1"/>
    <x v="47"/>
    <x v="4"/>
    <s v="ILHA DE SANTA MARIA"/>
    <d v="2016-04-25T00:00:00"/>
    <d v="2016-05-10T00:00:00"/>
    <x v="4"/>
    <x v="79"/>
    <x v="1"/>
    <n v="0"/>
    <x v="1"/>
    <n v="0"/>
    <n v="0"/>
    <n v="0"/>
    <x v="0"/>
    <x v="1"/>
    <n v="1"/>
  </r>
  <r>
    <n v="82799595198"/>
    <x v="1"/>
    <x v="18"/>
    <x v="0"/>
    <s v="BELA VISTA"/>
    <d v="2016-04-25T00:00:00"/>
    <d v="2016-05-20T00:00:00"/>
    <x v="0"/>
    <x v="70"/>
    <x v="1"/>
    <n v="0"/>
    <x v="1"/>
    <n v="1"/>
    <n v="0"/>
    <n v="0"/>
    <x v="1"/>
    <x v="1"/>
    <n v="1"/>
  </r>
  <r>
    <n v="855814000000000"/>
    <x v="0"/>
    <x v="48"/>
    <x v="3"/>
    <s v="JABOUR"/>
    <d v="2016-04-25T00:00:00"/>
    <d v="2016-05-13T00:00:00"/>
    <x v="0"/>
    <x v="74"/>
    <x v="1"/>
    <n v="0"/>
    <x v="1"/>
    <n v="0"/>
    <n v="0"/>
    <n v="0"/>
    <x v="1"/>
    <x v="0"/>
    <n v="0"/>
  </r>
  <r>
    <n v="246345000000"/>
    <x v="0"/>
    <x v="19"/>
    <x v="2"/>
    <s v="ITARARE"/>
    <d v="2016-04-25T00:00:00"/>
    <d v="2016-05-03T00:00:00"/>
    <x v="4"/>
    <x v="88"/>
    <x v="2"/>
    <n v="0"/>
    <x v="1"/>
    <n v="0"/>
    <n v="0"/>
    <n v="0"/>
    <x v="0"/>
    <x v="1"/>
    <n v="1"/>
  </r>
  <r>
    <n v="37258600000000"/>
    <x v="1"/>
    <x v="92"/>
    <x v="0"/>
    <s v="JARDIM DA PENHA"/>
    <d v="2016-04-25T00:00:00"/>
    <d v="2016-05-11T00:00:00"/>
    <x v="1"/>
    <x v="78"/>
    <x v="1"/>
    <n v="0"/>
    <x v="0"/>
    <n v="1"/>
    <n v="0"/>
    <n v="0"/>
    <x v="1"/>
    <x v="1"/>
    <n v="1"/>
  </r>
  <r>
    <n v="669320000000000"/>
    <x v="0"/>
    <x v="17"/>
    <x v="4"/>
    <s v="ILHA DE SANTA MARIA"/>
    <d v="2016-04-25T00:00:00"/>
    <d v="2016-05-02T00:00:00"/>
    <x v="2"/>
    <x v="87"/>
    <x v="3"/>
    <n v="0"/>
    <x v="1"/>
    <n v="0"/>
    <n v="0"/>
    <n v="0"/>
    <x v="0"/>
    <x v="0"/>
    <n v="0"/>
  </r>
  <r>
    <n v="876435000000"/>
    <x v="0"/>
    <x v="31"/>
    <x v="1"/>
    <s v="SANTOS REIS"/>
    <d v="2016-04-25T00:00:00"/>
    <d v="2016-05-06T00:00:00"/>
    <x v="0"/>
    <x v="81"/>
    <x v="2"/>
    <n v="0"/>
    <x v="1"/>
    <n v="0"/>
    <n v="0"/>
    <n v="0"/>
    <x v="0"/>
    <x v="0"/>
    <n v="0"/>
  </r>
  <r>
    <n v="978975000000000"/>
    <x v="1"/>
    <x v="7"/>
    <x v="3"/>
    <s v="CENTRO"/>
    <d v="2016-04-25T00:00:00"/>
    <d v="2016-05-09T00:00:00"/>
    <x v="2"/>
    <x v="80"/>
    <x v="2"/>
    <n v="0"/>
    <x v="1"/>
    <n v="0"/>
    <n v="0"/>
    <n v="0"/>
    <x v="1"/>
    <x v="0"/>
    <n v="0"/>
  </r>
  <r>
    <n v="2421520000000"/>
    <x v="1"/>
    <x v="57"/>
    <x v="2"/>
    <s v="TABUAZEIRO"/>
    <d v="2016-04-25T00:00:00"/>
    <d v="2016-05-10T00:00:00"/>
    <x v="4"/>
    <x v="79"/>
    <x v="1"/>
    <n v="1"/>
    <x v="1"/>
    <n v="0"/>
    <n v="0"/>
    <n v="0"/>
    <x v="0"/>
    <x v="0"/>
    <n v="0"/>
  </r>
  <r>
    <n v="84953600000000"/>
    <x v="0"/>
    <x v="87"/>
    <x v="1"/>
    <s v="GURIGICA"/>
    <d v="2016-04-25T00:00:00"/>
    <d v="2016-05-04T00:00:00"/>
    <x v="1"/>
    <x v="85"/>
    <x v="2"/>
    <n v="1"/>
    <x v="1"/>
    <n v="0"/>
    <n v="0"/>
    <n v="0"/>
    <x v="0"/>
    <x v="1"/>
    <n v="1"/>
  </r>
  <r>
    <n v="9286653679"/>
    <x v="0"/>
    <x v="40"/>
    <x v="1"/>
    <s v="ITARARE"/>
    <d v="2016-04-25T00:00:00"/>
    <d v="2016-05-03T00:00:00"/>
    <x v="4"/>
    <x v="88"/>
    <x v="2"/>
    <n v="0"/>
    <x v="1"/>
    <n v="0"/>
    <n v="0"/>
    <n v="0"/>
    <x v="0"/>
    <x v="0"/>
    <n v="0"/>
  </r>
  <r>
    <n v="3936700000000"/>
    <x v="0"/>
    <x v="32"/>
    <x v="4"/>
    <s v="ROMAO"/>
    <d v="2016-04-25T00:00:00"/>
    <d v="2016-05-17T00:00:00"/>
    <x v="4"/>
    <x v="71"/>
    <x v="1"/>
    <n v="0"/>
    <x v="1"/>
    <n v="0"/>
    <n v="0"/>
    <n v="0"/>
    <x v="1"/>
    <x v="0"/>
    <n v="0"/>
  </r>
  <r>
    <n v="927389000000000"/>
    <x v="0"/>
    <x v="44"/>
    <x v="4"/>
    <s v="SANTO ANTONIO"/>
    <d v="2016-04-25T00:00:00"/>
    <d v="2016-05-13T00:00:00"/>
    <x v="0"/>
    <x v="74"/>
    <x v="1"/>
    <n v="0"/>
    <x v="1"/>
    <n v="0"/>
    <n v="0"/>
    <n v="0"/>
    <x v="1"/>
    <x v="0"/>
    <n v="0"/>
  </r>
  <r>
    <n v="14982800000000"/>
    <x v="1"/>
    <x v="51"/>
    <x v="2"/>
    <s v="CARATOIRA"/>
    <d v="2016-04-25T00:00:00"/>
    <d v="2016-05-09T00:00:00"/>
    <x v="2"/>
    <x v="80"/>
    <x v="2"/>
    <n v="0"/>
    <x v="1"/>
    <n v="0"/>
    <n v="0"/>
    <n v="0"/>
    <x v="1"/>
    <x v="1"/>
    <n v="1"/>
  </r>
  <r>
    <n v="43668000000000"/>
    <x v="0"/>
    <x v="60"/>
    <x v="2"/>
    <s v="CENTRO"/>
    <d v="2016-04-25T00:00:00"/>
    <d v="2016-05-04T00:00:00"/>
    <x v="1"/>
    <x v="85"/>
    <x v="2"/>
    <n v="0"/>
    <x v="1"/>
    <n v="0"/>
    <n v="0"/>
    <n v="0"/>
    <x v="1"/>
    <x v="0"/>
    <n v="0"/>
  </r>
  <r>
    <n v="754257000000000"/>
    <x v="0"/>
    <x v="2"/>
    <x v="1"/>
    <s v="GURIGICA"/>
    <d v="2016-04-25T00:00:00"/>
    <d v="2016-05-25T00:00:00"/>
    <x v="1"/>
    <x v="60"/>
    <x v="1"/>
    <n v="0"/>
    <x v="0"/>
    <n v="1"/>
    <n v="0"/>
    <n v="0"/>
    <x v="1"/>
    <x v="1"/>
    <n v="1"/>
  </r>
  <r>
    <n v="6849450000000"/>
    <x v="1"/>
    <x v="57"/>
    <x v="2"/>
    <s v="REPUBLICA"/>
    <d v="2016-04-25T00:00:00"/>
    <d v="2016-05-03T00:00:00"/>
    <x v="4"/>
    <x v="88"/>
    <x v="2"/>
    <n v="0"/>
    <x v="1"/>
    <n v="0"/>
    <n v="0"/>
    <n v="0"/>
    <x v="0"/>
    <x v="0"/>
    <n v="0"/>
  </r>
  <r>
    <n v="9349660000000"/>
    <x v="0"/>
    <x v="40"/>
    <x v="1"/>
    <s v="GURIGICA"/>
    <d v="2016-04-25T00:00:00"/>
    <d v="2016-05-04T00:00:00"/>
    <x v="1"/>
    <x v="85"/>
    <x v="2"/>
    <n v="0"/>
    <x v="1"/>
    <n v="0"/>
    <n v="0"/>
    <n v="0"/>
    <x v="1"/>
    <x v="0"/>
    <n v="0"/>
  </r>
  <r>
    <n v="561724000000000"/>
    <x v="0"/>
    <x v="65"/>
    <x v="2"/>
    <s v="JARDIM CAMBURI"/>
    <d v="2016-04-25T00:00:00"/>
    <d v="2016-05-09T00:00:00"/>
    <x v="2"/>
    <x v="80"/>
    <x v="2"/>
    <n v="0"/>
    <x v="1"/>
    <n v="0"/>
    <n v="0"/>
    <n v="0"/>
    <x v="1"/>
    <x v="0"/>
    <n v="0"/>
  </r>
  <r>
    <n v="36151300000000"/>
    <x v="0"/>
    <x v="46"/>
    <x v="2"/>
    <s v="JESUS DE NAZARETH"/>
    <d v="2016-04-25T00:00:00"/>
    <d v="2016-05-24T00:00:00"/>
    <x v="4"/>
    <x v="63"/>
    <x v="1"/>
    <n v="0"/>
    <x v="1"/>
    <n v="0"/>
    <n v="0"/>
    <n v="0"/>
    <x v="1"/>
    <x v="0"/>
    <n v="0"/>
  </r>
  <r>
    <n v="15448500000000"/>
    <x v="0"/>
    <x v="22"/>
    <x v="4"/>
    <s v="CRUZAMENTO"/>
    <d v="2016-04-25T00:00:00"/>
    <d v="2016-05-10T00:00:00"/>
    <x v="4"/>
    <x v="79"/>
    <x v="1"/>
    <n v="1"/>
    <x v="1"/>
    <n v="0"/>
    <n v="0"/>
    <n v="0"/>
    <x v="1"/>
    <x v="1"/>
    <n v="1"/>
  </r>
  <r>
    <n v="13687300000000"/>
    <x v="1"/>
    <x v="56"/>
    <x v="1"/>
    <s v="PRAIA DO CANTO"/>
    <d v="2016-04-25T00:00:00"/>
    <d v="2016-05-03T00:00:00"/>
    <x v="4"/>
    <x v="88"/>
    <x v="2"/>
    <n v="0"/>
    <x v="0"/>
    <n v="0"/>
    <n v="0"/>
    <n v="0"/>
    <x v="1"/>
    <x v="0"/>
    <n v="0"/>
  </r>
  <r>
    <n v="48942400000000"/>
    <x v="0"/>
    <x v="75"/>
    <x v="5"/>
    <s v="ITARARE"/>
    <d v="2016-04-25T00:00:00"/>
    <d v="2016-05-09T00:00:00"/>
    <x v="2"/>
    <x v="80"/>
    <x v="2"/>
    <n v="0"/>
    <x v="1"/>
    <n v="0"/>
    <n v="0"/>
    <n v="0"/>
    <x v="1"/>
    <x v="0"/>
    <n v="0"/>
  </r>
  <r>
    <n v="72870000000000"/>
    <x v="1"/>
    <x v="9"/>
    <x v="0"/>
    <s v="SANTO ANTONIO"/>
    <d v="2016-04-25T00:00:00"/>
    <d v="2016-05-09T00:00:00"/>
    <x v="2"/>
    <x v="80"/>
    <x v="2"/>
    <n v="0"/>
    <x v="0"/>
    <n v="0"/>
    <n v="0"/>
    <n v="0"/>
    <x v="1"/>
    <x v="1"/>
    <n v="1"/>
  </r>
  <r>
    <n v="494889000000"/>
    <x v="0"/>
    <x v="7"/>
    <x v="3"/>
    <s v="PRAIA DO CANTO"/>
    <d v="2016-04-25T00:00:00"/>
    <d v="2016-05-10T00:00:00"/>
    <x v="4"/>
    <x v="79"/>
    <x v="1"/>
    <n v="0"/>
    <x v="1"/>
    <n v="0"/>
    <n v="0"/>
    <n v="0"/>
    <x v="1"/>
    <x v="0"/>
    <n v="0"/>
  </r>
  <r>
    <n v="594319000000000"/>
    <x v="0"/>
    <x v="50"/>
    <x v="1"/>
    <s v="ROMAO"/>
    <d v="2016-04-25T00:00:00"/>
    <d v="2016-05-10T00:00:00"/>
    <x v="4"/>
    <x v="79"/>
    <x v="1"/>
    <n v="0"/>
    <x v="1"/>
    <n v="0"/>
    <n v="0"/>
    <n v="0"/>
    <x v="0"/>
    <x v="1"/>
    <n v="1"/>
  </r>
  <r>
    <n v="18615947251"/>
    <x v="0"/>
    <x v="39"/>
    <x v="4"/>
    <s v="BOA VISTA"/>
    <d v="2016-04-25T00:00:00"/>
    <d v="2016-05-04T00:00:00"/>
    <x v="1"/>
    <x v="85"/>
    <x v="2"/>
    <n v="0"/>
    <x v="1"/>
    <n v="0"/>
    <n v="0"/>
    <n v="0"/>
    <x v="0"/>
    <x v="0"/>
    <n v="0"/>
  </r>
  <r>
    <n v="87823500000000"/>
    <x v="0"/>
    <x v="22"/>
    <x v="4"/>
    <s v="MONTE BELO"/>
    <d v="2016-04-25T00:00:00"/>
    <d v="2016-05-30T00:00:00"/>
    <x v="2"/>
    <x v="59"/>
    <x v="0"/>
    <n v="0"/>
    <x v="1"/>
    <n v="0"/>
    <n v="0"/>
    <n v="0"/>
    <x v="0"/>
    <x v="0"/>
    <n v="0"/>
  </r>
  <r>
    <n v="462825000000"/>
    <x v="0"/>
    <x v="65"/>
    <x v="2"/>
    <s v="SAO JOSE"/>
    <d v="2016-04-25T00:00:00"/>
    <d v="2016-04-29T00:00:00"/>
    <x v="0"/>
    <x v="86"/>
    <x v="3"/>
    <n v="0"/>
    <x v="1"/>
    <n v="0"/>
    <n v="0"/>
    <n v="0"/>
    <x v="0"/>
    <x v="0"/>
    <n v="0"/>
  </r>
  <r>
    <n v="43321300000000"/>
    <x v="0"/>
    <x v="30"/>
    <x v="3"/>
    <s v="SAO CRISTOVAO"/>
    <d v="2016-04-25T00:00:00"/>
    <d v="2016-06-03T00:00:00"/>
    <x v="0"/>
    <x v="50"/>
    <x v="0"/>
    <n v="0"/>
    <x v="0"/>
    <n v="0"/>
    <n v="0"/>
    <n v="0"/>
    <x v="0"/>
    <x v="0"/>
    <n v="0"/>
  </r>
  <r>
    <n v="111311000000"/>
    <x v="1"/>
    <x v="46"/>
    <x v="2"/>
    <s v="SANTA TEREZA"/>
    <d v="2016-04-25T00:00:00"/>
    <d v="2016-05-09T00:00:00"/>
    <x v="2"/>
    <x v="80"/>
    <x v="2"/>
    <n v="0"/>
    <x v="1"/>
    <n v="0"/>
    <n v="0"/>
    <n v="0"/>
    <x v="1"/>
    <x v="0"/>
    <n v="0"/>
  </r>
  <r>
    <n v="64861100000000"/>
    <x v="0"/>
    <x v="7"/>
    <x v="3"/>
    <s v="JARDIM DA PENHA"/>
    <d v="2016-04-25T00:00:00"/>
    <d v="2016-05-19T00:00:00"/>
    <x v="3"/>
    <x v="66"/>
    <x v="1"/>
    <n v="0"/>
    <x v="1"/>
    <n v="0"/>
    <n v="0"/>
    <n v="0"/>
    <x v="1"/>
    <x v="0"/>
    <n v="0"/>
  </r>
  <r>
    <n v="917448000000"/>
    <x v="1"/>
    <x v="46"/>
    <x v="2"/>
    <s v="NOVA PALESTINA"/>
    <d v="2016-04-25T00:00:00"/>
    <d v="2016-05-05T00:00:00"/>
    <x v="3"/>
    <x v="83"/>
    <x v="2"/>
    <n v="0"/>
    <x v="1"/>
    <n v="0"/>
    <n v="0"/>
    <n v="0"/>
    <x v="0"/>
    <x v="1"/>
    <n v="1"/>
  </r>
  <r>
    <n v="24655700000000"/>
    <x v="0"/>
    <x v="60"/>
    <x v="2"/>
    <s v="JESUS DE NAZARETH"/>
    <d v="2016-04-25T00:00:00"/>
    <d v="2016-05-17T00:00:00"/>
    <x v="4"/>
    <x v="71"/>
    <x v="1"/>
    <n v="0"/>
    <x v="1"/>
    <n v="0"/>
    <n v="0"/>
    <n v="0"/>
    <x v="1"/>
    <x v="1"/>
    <n v="1"/>
  </r>
  <r>
    <n v="83944300000000"/>
    <x v="0"/>
    <x v="45"/>
    <x v="1"/>
    <s v="MARIA ORTIZ"/>
    <d v="2016-04-25T00:00:00"/>
    <d v="2016-05-31T00:00:00"/>
    <x v="4"/>
    <x v="55"/>
    <x v="0"/>
    <n v="0"/>
    <x v="1"/>
    <n v="0"/>
    <n v="0"/>
    <n v="0"/>
    <x v="0"/>
    <x v="0"/>
    <n v="0"/>
  </r>
  <r>
    <n v="81652600000000"/>
    <x v="1"/>
    <x v="70"/>
    <x v="5"/>
    <s v="INHANGUETA"/>
    <d v="2016-04-25T00:00:00"/>
    <d v="2016-05-02T00:00:00"/>
    <x v="2"/>
    <x v="87"/>
    <x v="3"/>
    <n v="0"/>
    <x v="1"/>
    <n v="0"/>
    <n v="0"/>
    <n v="0"/>
    <x v="0"/>
    <x v="0"/>
    <n v="0"/>
  </r>
  <r>
    <n v="875777000000000"/>
    <x v="1"/>
    <x v="47"/>
    <x v="4"/>
    <s v="JESUS DE NAZARETH"/>
    <d v="2016-04-25T00:00:00"/>
    <d v="2016-05-17T00:00:00"/>
    <x v="4"/>
    <x v="71"/>
    <x v="1"/>
    <n v="0"/>
    <x v="1"/>
    <n v="0"/>
    <n v="0"/>
    <n v="0"/>
    <x v="1"/>
    <x v="0"/>
    <n v="0"/>
  </r>
  <r>
    <n v="556120000000"/>
    <x v="1"/>
    <x v="43"/>
    <x v="2"/>
    <s v="TABUAZEIRO"/>
    <d v="2016-04-25T00:00:00"/>
    <d v="2016-05-10T00:00:00"/>
    <x v="4"/>
    <x v="79"/>
    <x v="1"/>
    <n v="1"/>
    <x v="1"/>
    <n v="0"/>
    <n v="0"/>
    <n v="0"/>
    <x v="0"/>
    <x v="1"/>
    <n v="1"/>
  </r>
  <r>
    <n v="2341980000000"/>
    <x v="1"/>
    <x v="4"/>
    <x v="2"/>
    <s v="REDENCAO"/>
    <d v="2016-04-25T00:00:00"/>
    <d v="2016-05-30T00:00:00"/>
    <x v="2"/>
    <x v="59"/>
    <x v="0"/>
    <n v="0"/>
    <x v="1"/>
    <n v="0"/>
    <n v="0"/>
    <n v="0"/>
    <x v="1"/>
    <x v="1"/>
    <n v="1"/>
  </r>
  <r>
    <n v="42544500000000"/>
    <x v="0"/>
    <x v="75"/>
    <x v="5"/>
    <s v="NOVA PALESTINA"/>
    <d v="2016-04-25T00:00:00"/>
    <d v="2016-05-02T00:00:00"/>
    <x v="2"/>
    <x v="87"/>
    <x v="3"/>
    <n v="0"/>
    <x v="1"/>
    <n v="0"/>
    <n v="0"/>
    <n v="0"/>
    <x v="0"/>
    <x v="1"/>
    <n v="1"/>
  </r>
  <r>
    <n v="283767000000000"/>
    <x v="1"/>
    <x v="52"/>
    <x v="2"/>
    <s v="SAO JOSE"/>
    <d v="2016-04-25T00:00:00"/>
    <d v="2016-05-06T00:00:00"/>
    <x v="0"/>
    <x v="81"/>
    <x v="2"/>
    <n v="0"/>
    <x v="1"/>
    <n v="0"/>
    <n v="0"/>
    <n v="0"/>
    <x v="0"/>
    <x v="0"/>
    <n v="0"/>
  </r>
  <r>
    <n v="9653180000000"/>
    <x v="0"/>
    <x v="4"/>
    <x v="2"/>
    <s v="GURIGICA"/>
    <d v="2016-04-25T00:00:00"/>
    <d v="2016-05-02T00:00:00"/>
    <x v="2"/>
    <x v="87"/>
    <x v="3"/>
    <n v="0"/>
    <x v="1"/>
    <n v="0"/>
    <n v="0"/>
    <n v="0"/>
    <x v="0"/>
    <x v="1"/>
    <n v="1"/>
  </r>
  <r>
    <n v="9228740000000"/>
    <x v="0"/>
    <x v="45"/>
    <x v="1"/>
    <s v="GURIGICA"/>
    <d v="2016-04-25T00:00:00"/>
    <d v="2016-05-06T00:00:00"/>
    <x v="0"/>
    <x v="81"/>
    <x v="2"/>
    <n v="0"/>
    <x v="1"/>
    <n v="0"/>
    <n v="0"/>
    <n v="0"/>
    <x v="0"/>
    <x v="0"/>
    <n v="0"/>
  </r>
  <r>
    <n v="492245000000"/>
    <x v="1"/>
    <x v="4"/>
    <x v="2"/>
    <s v="GURIGICA"/>
    <d v="2016-04-25T00:00:00"/>
    <d v="2016-05-02T00:00:00"/>
    <x v="2"/>
    <x v="87"/>
    <x v="3"/>
    <n v="0"/>
    <x v="1"/>
    <n v="0"/>
    <n v="0"/>
    <n v="0"/>
    <x v="1"/>
    <x v="0"/>
    <n v="0"/>
  </r>
  <r>
    <n v="981893000000000"/>
    <x v="0"/>
    <x v="66"/>
    <x v="2"/>
    <s v="CENTRO"/>
    <d v="2016-04-25T00:00:00"/>
    <d v="2016-05-05T00:00:00"/>
    <x v="3"/>
    <x v="83"/>
    <x v="2"/>
    <n v="0"/>
    <x v="1"/>
    <n v="0"/>
    <n v="0"/>
    <n v="0"/>
    <x v="0"/>
    <x v="0"/>
    <n v="0"/>
  </r>
  <r>
    <n v="178959000000"/>
    <x v="0"/>
    <x v="4"/>
    <x v="2"/>
    <s v="GURIGICA"/>
    <d v="2016-04-25T00:00:00"/>
    <d v="2016-05-09T00:00:00"/>
    <x v="2"/>
    <x v="80"/>
    <x v="2"/>
    <n v="0"/>
    <x v="1"/>
    <n v="0"/>
    <n v="0"/>
    <n v="0"/>
    <x v="1"/>
    <x v="0"/>
    <n v="0"/>
  </r>
  <r>
    <n v="14927846323"/>
    <x v="0"/>
    <x v="55"/>
    <x v="2"/>
    <s v="PRAIA DO SUA"/>
    <d v="2016-04-25T00:00:00"/>
    <d v="2016-05-10T00:00:00"/>
    <x v="4"/>
    <x v="79"/>
    <x v="1"/>
    <n v="0"/>
    <x v="1"/>
    <n v="0"/>
    <n v="0"/>
    <n v="0"/>
    <x v="0"/>
    <x v="1"/>
    <n v="1"/>
  </r>
  <r>
    <n v="1454580000000"/>
    <x v="0"/>
    <x v="46"/>
    <x v="2"/>
    <s v="SANTO ANDRE"/>
    <d v="2016-04-25T00:00:00"/>
    <d v="2016-05-02T00:00:00"/>
    <x v="2"/>
    <x v="87"/>
    <x v="3"/>
    <n v="0"/>
    <x v="1"/>
    <n v="0"/>
    <n v="0"/>
    <n v="0"/>
    <x v="1"/>
    <x v="1"/>
    <n v="1"/>
  </r>
  <r>
    <n v="444473000000"/>
    <x v="0"/>
    <x v="17"/>
    <x v="4"/>
    <s v="JESUS DE NAZARETH"/>
    <d v="2016-04-25T00:00:00"/>
    <d v="2016-05-06T00:00:00"/>
    <x v="0"/>
    <x v="81"/>
    <x v="2"/>
    <n v="0"/>
    <x v="1"/>
    <n v="0"/>
    <n v="0"/>
    <n v="0"/>
    <x v="0"/>
    <x v="0"/>
    <n v="0"/>
  </r>
  <r>
    <n v="94414500000000"/>
    <x v="1"/>
    <x v="57"/>
    <x v="2"/>
    <s v="ANDORINHAS"/>
    <d v="2016-04-25T00:00:00"/>
    <d v="2016-05-03T00:00:00"/>
    <x v="4"/>
    <x v="88"/>
    <x v="2"/>
    <n v="1"/>
    <x v="1"/>
    <n v="0"/>
    <n v="0"/>
    <n v="0"/>
    <x v="0"/>
    <x v="0"/>
    <n v="0"/>
  </r>
  <r>
    <n v="49782700000000"/>
    <x v="0"/>
    <x v="70"/>
    <x v="5"/>
    <s v="DO QUADRO"/>
    <d v="2016-04-25T00:00:00"/>
    <d v="2016-05-09T00:00:00"/>
    <x v="2"/>
    <x v="80"/>
    <x v="2"/>
    <n v="0"/>
    <x v="1"/>
    <n v="0"/>
    <n v="0"/>
    <n v="0"/>
    <x v="1"/>
    <x v="1"/>
    <n v="1"/>
  </r>
  <r>
    <n v="6642340000000"/>
    <x v="1"/>
    <x v="77"/>
    <x v="4"/>
    <s v="ITARARE"/>
    <d v="2016-04-25T00:00:00"/>
    <d v="2016-04-29T00:00:00"/>
    <x v="0"/>
    <x v="86"/>
    <x v="3"/>
    <n v="0"/>
    <x v="1"/>
    <n v="0"/>
    <n v="0"/>
    <n v="0"/>
    <x v="1"/>
    <x v="0"/>
    <n v="0"/>
  </r>
  <r>
    <n v="6933940000000"/>
    <x v="0"/>
    <x v="73"/>
    <x v="4"/>
    <s v="MATA DA PRAIA"/>
    <d v="2016-04-25T00:00:00"/>
    <d v="2016-05-05T00:00:00"/>
    <x v="3"/>
    <x v="83"/>
    <x v="2"/>
    <n v="0"/>
    <x v="1"/>
    <n v="0"/>
    <n v="0"/>
    <n v="0"/>
    <x v="1"/>
    <x v="1"/>
    <n v="1"/>
  </r>
  <r>
    <n v="744488000000"/>
    <x v="0"/>
    <x v="10"/>
    <x v="4"/>
    <s v="FONTE GRANDE"/>
    <d v="2016-04-25T00:00:00"/>
    <d v="2016-05-13T00:00:00"/>
    <x v="0"/>
    <x v="74"/>
    <x v="1"/>
    <n v="1"/>
    <x v="1"/>
    <n v="0"/>
    <n v="0"/>
    <n v="0"/>
    <x v="1"/>
    <x v="1"/>
    <n v="1"/>
  </r>
  <r>
    <n v="4198840000000"/>
    <x v="0"/>
    <x v="21"/>
    <x v="1"/>
    <s v="SANTO ANTONIO"/>
    <d v="2016-04-25T00:00:00"/>
    <d v="2016-05-09T00:00:00"/>
    <x v="2"/>
    <x v="80"/>
    <x v="2"/>
    <n v="0"/>
    <x v="1"/>
    <n v="0"/>
    <n v="0"/>
    <n v="0"/>
    <x v="1"/>
    <x v="0"/>
    <n v="0"/>
  </r>
  <r>
    <n v="52869300000000"/>
    <x v="0"/>
    <x v="54"/>
    <x v="1"/>
    <s v="ANDORINHAS"/>
    <d v="2016-04-25T00:00:00"/>
    <d v="2016-05-30T00:00:00"/>
    <x v="2"/>
    <x v="59"/>
    <x v="0"/>
    <n v="0"/>
    <x v="1"/>
    <n v="0"/>
    <n v="0"/>
    <n v="0"/>
    <x v="1"/>
    <x v="0"/>
    <n v="0"/>
  </r>
  <r>
    <n v="85642200000000"/>
    <x v="0"/>
    <x v="73"/>
    <x v="4"/>
    <s v="ILHA DE SANTA MARIA"/>
    <d v="2016-04-25T00:00:00"/>
    <d v="2016-05-04T00:00:00"/>
    <x v="1"/>
    <x v="85"/>
    <x v="2"/>
    <n v="0"/>
    <x v="1"/>
    <n v="0"/>
    <n v="0"/>
    <n v="0"/>
    <x v="0"/>
    <x v="0"/>
    <n v="0"/>
  </r>
  <r>
    <n v="86776700000000"/>
    <x v="1"/>
    <x v="46"/>
    <x v="2"/>
    <s v="SAO CRISTOVAO"/>
    <d v="2016-04-25T00:00:00"/>
    <d v="2016-05-30T00:00:00"/>
    <x v="2"/>
    <x v="59"/>
    <x v="0"/>
    <n v="0"/>
    <x v="1"/>
    <n v="0"/>
    <n v="0"/>
    <n v="0"/>
    <x v="0"/>
    <x v="0"/>
    <n v="0"/>
  </r>
  <r>
    <n v="126422000000000"/>
    <x v="1"/>
    <x v="4"/>
    <x v="2"/>
    <s v="SAO CRISTOVAO"/>
    <d v="2016-04-25T00:00:00"/>
    <d v="2016-05-16T00:00:00"/>
    <x v="2"/>
    <x v="73"/>
    <x v="1"/>
    <n v="0"/>
    <x v="1"/>
    <n v="0"/>
    <n v="0"/>
    <n v="0"/>
    <x v="1"/>
    <x v="1"/>
    <n v="1"/>
  </r>
  <r>
    <n v="979654000000"/>
    <x v="0"/>
    <x v="79"/>
    <x v="5"/>
    <s v="ANDORINHAS"/>
    <d v="2016-04-25T00:00:00"/>
    <d v="2016-05-09T00:00:00"/>
    <x v="2"/>
    <x v="80"/>
    <x v="2"/>
    <n v="0"/>
    <x v="1"/>
    <n v="0"/>
    <n v="0"/>
    <n v="0"/>
    <x v="1"/>
    <x v="1"/>
    <n v="1"/>
  </r>
  <r>
    <n v="919579000000000"/>
    <x v="1"/>
    <x v="46"/>
    <x v="2"/>
    <s v="REDENCAO"/>
    <d v="2016-04-25T00:00:00"/>
    <d v="2016-05-09T00:00:00"/>
    <x v="2"/>
    <x v="80"/>
    <x v="2"/>
    <n v="0"/>
    <x v="1"/>
    <n v="0"/>
    <n v="0"/>
    <n v="0"/>
    <x v="1"/>
    <x v="1"/>
    <n v="1"/>
  </r>
  <r>
    <n v="845820000000"/>
    <x v="1"/>
    <x v="3"/>
    <x v="0"/>
    <s v="JARDIM DA PENHA"/>
    <d v="2016-04-25T00:00:00"/>
    <d v="2016-05-20T00:00:00"/>
    <x v="0"/>
    <x v="70"/>
    <x v="1"/>
    <n v="0"/>
    <x v="0"/>
    <n v="0"/>
    <n v="0"/>
    <n v="0"/>
    <x v="1"/>
    <x v="0"/>
    <n v="0"/>
  </r>
  <r>
    <n v="37168300000000"/>
    <x v="0"/>
    <x v="80"/>
    <x v="2"/>
    <s v="FRADINHOS"/>
    <d v="2016-04-25T00:00:00"/>
    <d v="2016-05-20T00:00:00"/>
    <x v="0"/>
    <x v="70"/>
    <x v="1"/>
    <n v="0"/>
    <x v="1"/>
    <n v="0"/>
    <n v="0"/>
    <n v="0"/>
    <x v="1"/>
    <x v="0"/>
    <n v="0"/>
  </r>
  <r>
    <n v="24194500000000"/>
    <x v="0"/>
    <x v="46"/>
    <x v="2"/>
    <s v="TABUAZEIRO"/>
    <d v="2016-04-25T00:00:00"/>
    <d v="2016-05-05T00:00:00"/>
    <x v="3"/>
    <x v="83"/>
    <x v="2"/>
    <n v="0"/>
    <x v="1"/>
    <n v="0"/>
    <n v="0"/>
    <n v="0"/>
    <x v="0"/>
    <x v="0"/>
    <n v="0"/>
  </r>
  <r>
    <n v="579721997"/>
    <x v="0"/>
    <x v="49"/>
    <x v="4"/>
    <s v="REDENCAO"/>
    <d v="2016-04-25T00:00:00"/>
    <d v="2016-05-02T00:00:00"/>
    <x v="2"/>
    <x v="87"/>
    <x v="3"/>
    <n v="1"/>
    <x v="0"/>
    <n v="0"/>
    <n v="0"/>
    <n v="0"/>
    <x v="0"/>
    <x v="0"/>
    <n v="0"/>
  </r>
  <r>
    <n v="1428820000000"/>
    <x v="1"/>
    <x v="68"/>
    <x v="4"/>
    <s v="TABUAZEIRO"/>
    <d v="2016-04-25T00:00:00"/>
    <d v="2016-06-03T00:00:00"/>
    <x v="0"/>
    <x v="50"/>
    <x v="0"/>
    <n v="0"/>
    <x v="1"/>
    <n v="0"/>
    <n v="0"/>
    <n v="0"/>
    <x v="0"/>
    <x v="0"/>
    <n v="0"/>
  </r>
  <r>
    <n v="762726000000000"/>
    <x v="0"/>
    <x v="74"/>
    <x v="1"/>
    <s v="ITARARE"/>
    <d v="2016-04-25T00:00:00"/>
    <d v="2016-05-10T00:00:00"/>
    <x v="4"/>
    <x v="79"/>
    <x v="1"/>
    <n v="0"/>
    <x v="1"/>
    <n v="0"/>
    <n v="0"/>
    <n v="0"/>
    <x v="0"/>
    <x v="0"/>
    <n v="0"/>
  </r>
  <r>
    <n v="736428000000000"/>
    <x v="0"/>
    <x v="38"/>
    <x v="4"/>
    <s v="JESUS DE NAZARETH"/>
    <d v="2016-04-25T00:00:00"/>
    <d v="2016-05-05T00:00:00"/>
    <x v="3"/>
    <x v="83"/>
    <x v="2"/>
    <n v="1"/>
    <x v="1"/>
    <n v="0"/>
    <n v="0"/>
    <n v="0"/>
    <x v="0"/>
    <x v="0"/>
    <n v="0"/>
  </r>
  <r>
    <n v="42319500000000"/>
    <x v="0"/>
    <x v="92"/>
    <x v="0"/>
    <s v="SANTO ANTONIO"/>
    <d v="2016-04-25T00:00:00"/>
    <d v="2016-04-29T00:00:00"/>
    <x v="0"/>
    <x v="86"/>
    <x v="3"/>
    <n v="0"/>
    <x v="0"/>
    <n v="0"/>
    <n v="0"/>
    <n v="0"/>
    <x v="1"/>
    <x v="0"/>
    <n v="0"/>
  </r>
  <r>
    <n v="7373660000000"/>
    <x v="1"/>
    <x v="63"/>
    <x v="0"/>
    <s v="MONTE BELO"/>
    <d v="2016-04-25T00:00:00"/>
    <d v="2016-05-18T00:00:00"/>
    <x v="1"/>
    <x v="67"/>
    <x v="1"/>
    <n v="0"/>
    <x v="1"/>
    <n v="0"/>
    <n v="0"/>
    <n v="0"/>
    <x v="1"/>
    <x v="0"/>
    <n v="0"/>
  </r>
  <r>
    <n v="2975370000000"/>
    <x v="0"/>
    <x v="67"/>
    <x v="4"/>
    <s v="DA PENHA"/>
    <d v="2016-04-25T00:00:00"/>
    <d v="2016-05-02T00:00:00"/>
    <x v="2"/>
    <x v="87"/>
    <x v="3"/>
    <n v="0"/>
    <x v="1"/>
    <n v="0"/>
    <n v="0"/>
    <n v="0"/>
    <x v="1"/>
    <x v="0"/>
    <n v="0"/>
  </r>
  <r>
    <n v="6857860000000"/>
    <x v="0"/>
    <x v="25"/>
    <x v="4"/>
    <s v="FONTE GRANDE"/>
    <d v="2016-04-25T00:00:00"/>
    <d v="2016-05-16T00:00:00"/>
    <x v="2"/>
    <x v="73"/>
    <x v="1"/>
    <n v="0"/>
    <x v="1"/>
    <n v="0"/>
    <n v="0"/>
    <n v="0"/>
    <x v="1"/>
    <x v="0"/>
    <n v="0"/>
  </r>
  <r>
    <n v="51841100000000"/>
    <x v="1"/>
    <x v="55"/>
    <x v="2"/>
    <s v="RESISTENCIA"/>
    <d v="2016-04-25T00:00:00"/>
    <d v="2016-05-16T00:00:00"/>
    <x v="2"/>
    <x v="73"/>
    <x v="1"/>
    <n v="0"/>
    <x v="1"/>
    <n v="0"/>
    <n v="0"/>
    <n v="0"/>
    <x v="1"/>
    <x v="1"/>
    <n v="1"/>
  </r>
  <r>
    <n v="59949800000000"/>
    <x v="1"/>
    <x v="71"/>
    <x v="4"/>
    <s v="ITARARE"/>
    <d v="2016-04-25T00:00:00"/>
    <d v="2016-05-06T00:00:00"/>
    <x v="0"/>
    <x v="81"/>
    <x v="2"/>
    <n v="0"/>
    <x v="1"/>
    <n v="0"/>
    <n v="0"/>
    <n v="0"/>
    <x v="0"/>
    <x v="0"/>
    <n v="0"/>
  </r>
  <r>
    <n v="562868000000000"/>
    <x v="0"/>
    <x v="48"/>
    <x v="3"/>
    <s v="MARIA ORTIZ"/>
    <d v="2016-04-25T00:00:00"/>
    <d v="2016-05-17T00:00:00"/>
    <x v="4"/>
    <x v="71"/>
    <x v="1"/>
    <n v="1"/>
    <x v="1"/>
    <n v="0"/>
    <n v="0"/>
    <n v="0"/>
    <x v="1"/>
    <x v="1"/>
    <n v="1"/>
  </r>
  <r>
    <n v="839865000000000"/>
    <x v="1"/>
    <x v="56"/>
    <x v="1"/>
    <s v="SOLON BORGES"/>
    <d v="2016-04-25T00:00:00"/>
    <d v="2016-05-04T00:00:00"/>
    <x v="1"/>
    <x v="85"/>
    <x v="2"/>
    <n v="0"/>
    <x v="1"/>
    <n v="0"/>
    <n v="0"/>
    <n v="1"/>
    <x v="0"/>
    <x v="0"/>
    <n v="0"/>
  </r>
  <r>
    <n v="462299000000000"/>
    <x v="0"/>
    <x v="6"/>
    <x v="0"/>
    <s v="SANTO ANTONIO"/>
    <d v="2016-04-25T00:00:00"/>
    <d v="2016-05-05T00:00:00"/>
    <x v="3"/>
    <x v="83"/>
    <x v="2"/>
    <n v="0"/>
    <x v="0"/>
    <n v="1"/>
    <n v="0"/>
    <n v="0"/>
    <x v="1"/>
    <x v="0"/>
    <n v="0"/>
  </r>
  <r>
    <n v="385417000000000"/>
    <x v="1"/>
    <x v="4"/>
    <x v="2"/>
    <s v="ITARARE"/>
    <d v="2016-04-25T00:00:00"/>
    <d v="2016-05-02T00:00:00"/>
    <x v="2"/>
    <x v="87"/>
    <x v="3"/>
    <n v="0"/>
    <x v="1"/>
    <n v="0"/>
    <n v="0"/>
    <n v="0"/>
    <x v="0"/>
    <x v="1"/>
    <n v="1"/>
  </r>
  <r>
    <n v="3319160000000"/>
    <x v="1"/>
    <x v="33"/>
    <x v="4"/>
    <s v="SANTA LUCIA"/>
    <d v="2016-04-25T00:00:00"/>
    <d v="2016-05-09T00:00:00"/>
    <x v="2"/>
    <x v="80"/>
    <x v="2"/>
    <n v="0"/>
    <x v="1"/>
    <n v="0"/>
    <n v="0"/>
    <n v="0"/>
    <x v="1"/>
    <x v="0"/>
    <n v="0"/>
  </r>
  <r>
    <n v="1148250000000"/>
    <x v="0"/>
    <x v="29"/>
    <x v="3"/>
    <s v="JARDIM CAMBURI"/>
    <d v="2016-04-25T00:00:00"/>
    <d v="2016-05-06T00:00:00"/>
    <x v="0"/>
    <x v="81"/>
    <x v="2"/>
    <n v="0"/>
    <x v="1"/>
    <n v="0"/>
    <n v="0"/>
    <n v="0"/>
    <x v="0"/>
    <x v="0"/>
    <n v="0"/>
  </r>
  <r>
    <n v="943918000000000"/>
    <x v="1"/>
    <x v="14"/>
    <x v="3"/>
    <s v="SOLON BORGES"/>
    <d v="2016-04-25T00:00:00"/>
    <d v="2016-05-17T00:00:00"/>
    <x v="4"/>
    <x v="71"/>
    <x v="1"/>
    <n v="0"/>
    <x v="1"/>
    <n v="0"/>
    <n v="0"/>
    <n v="0"/>
    <x v="1"/>
    <x v="0"/>
    <n v="0"/>
  </r>
  <r>
    <n v="9229630000000"/>
    <x v="0"/>
    <x v="38"/>
    <x v="4"/>
    <s v="SAO BENEDITO"/>
    <d v="2016-04-25T00:00:00"/>
    <d v="2016-05-06T00:00:00"/>
    <x v="0"/>
    <x v="81"/>
    <x v="2"/>
    <n v="0"/>
    <x v="1"/>
    <n v="0"/>
    <n v="0"/>
    <n v="0"/>
    <x v="0"/>
    <x v="0"/>
    <n v="0"/>
  </r>
  <r>
    <n v="941364000000000"/>
    <x v="0"/>
    <x v="38"/>
    <x v="4"/>
    <s v="JARDIM DA PENHA"/>
    <d v="2016-04-25T00:00:00"/>
    <d v="2016-05-13T00:00:00"/>
    <x v="0"/>
    <x v="74"/>
    <x v="1"/>
    <n v="0"/>
    <x v="1"/>
    <n v="0"/>
    <n v="0"/>
    <n v="0"/>
    <x v="1"/>
    <x v="0"/>
    <n v="0"/>
  </r>
  <r>
    <n v="4666780000000"/>
    <x v="0"/>
    <x v="80"/>
    <x v="2"/>
    <s v="SAO BENEDITO"/>
    <d v="2016-04-25T00:00:00"/>
    <d v="2016-05-06T00:00:00"/>
    <x v="0"/>
    <x v="81"/>
    <x v="2"/>
    <n v="0"/>
    <x v="1"/>
    <n v="0"/>
    <n v="0"/>
    <n v="0"/>
    <x v="0"/>
    <x v="0"/>
    <n v="0"/>
  </r>
  <r>
    <n v="713853000000"/>
    <x v="1"/>
    <x v="65"/>
    <x v="2"/>
    <s v="DO QUADRO"/>
    <d v="2016-04-25T00:00:00"/>
    <d v="2016-05-02T00:00:00"/>
    <x v="2"/>
    <x v="87"/>
    <x v="3"/>
    <n v="0"/>
    <x v="1"/>
    <n v="0"/>
    <n v="0"/>
    <n v="0"/>
    <x v="0"/>
    <x v="1"/>
    <n v="1"/>
  </r>
  <r>
    <n v="15275600000000"/>
    <x v="0"/>
    <x v="48"/>
    <x v="3"/>
    <s v="MARUIPE"/>
    <d v="2016-04-25T00:00:00"/>
    <d v="2016-05-04T00:00:00"/>
    <x v="1"/>
    <x v="85"/>
    <x v="2"/>
    <n v="0"/>
    <x v="0"/>
    <n v="0"/>
    <n v="0"/>
    <n v="0"/>
    <x v="0"/>
    <x v="0"/>
    <n v="0"/>
  </r>
  <r>
    <n v="547462000000"/>
    <x v="0"/>
    <x v="62"/>
    <x v="3"/>
    <s v="REDENCAO"/>
    <d v="2016-04-25T00:00:00"/>
    <d v="2016-05-02T00:00:00"/>
    <x v="2"/>
    <x v="87"/>
    <x v="3"/>
    <n v="1"/>
    <x v="1"/>
    <n v="0"/>
    <n v="1"/>
    <n v="0"/>
    <x v="0"/>
    <x v="1"/>
    <n v="1"/>
  </r>
  <r>
    <n v="93388600000000"/>
    <x v="0"/>
    <x v="27"/>
    <x v="3"/>
    <s v="SANTO ANDRE"/>
    <d v="2016-04-25T00:00:00"/>
    <d v="2016-05-02T00:00:00"/>
    <x v="2"/>
    <x v="87"/>
    <x v="3"/>
    <n v="0"/>
    <x v="1"/>
    <n v="0"/>
    <n v="0"/>
    <n v="0"/>
    <x v="0"/>
    <x v="1"/>
    <n v="1"/>
  </r>
  <r>
    <n v="8637620000000"/>
    <x v="0"/>
    <x v="18"/>
    <x v="0"/>
    <s v="SANTO ANDRE"/>
    <d v="2016-04-25T00:00:00"/>
    <d v="2016-05-09T00:00:00"/>
    <x v="2"/>
    <x v="80"/>
    <x v="2"/>
    <n v="0"/>
    <x v="0"/>
    <n v="1"/>
    <n v="0"/>
    <n v="0"/>
    <x v="1"/>
    <x v="1"/>
    <n v="1"/>
  </r>
  <r>
    <n v="12143600000000"/>
    <x v="0"/>
    <x v="74"/>
    <x v="1"/>
    <s v="SAO JOSE"/>
    <d v="2016-04-25T00:00:00"/>
    <d v="2016-06-06T00:00:00"/>
    <x v="2"/>
    <x v="49"/>
    <x v="0"/>
    <n v="0"/>
    <x v="1"/>
    <n v="0"/>
    <n v="0"/>
    <n v="0"/>
    <x v="0"/>
    <x v="1"/>
    <n v="1"/>
  </r>
  <r>
    <n v="794965000000000"/>
    <x v="0"/>
    <x v="14"/>
    <x v="3"/>
    <s v="JARDIM DA PENHA"/>
    <d v="2016-04-25T00:00:00"/>
    <d v="2016-05-17T00:00:00"/>
    <x v="4"/>
    <x v="71"/>
    <x v="1"/>
    <n v="0"/>
    <x v="1"/>
    <n v="0"/>
    <n v="0"/>
    <n v="0"/>
    <x v="1"/>
    <x v="0"/>
    <n v="0"/>
  </r>
  <r>
    <n v="9999950000000"/>
    <x v="0"/>
    <x v="56"/>
    <x v="1"/>
    <s v="GURIGICA"/>
    <d v="2016-04-26T00:00:00"/>
    <d v="2016-04-29T00:00:00"/>
    <x v="0"/>
    <x v="89"/>
    <x v="4"/>
    <n v="1"/>
    <x v="0"/>
    <n v="0"/>
    <n v="0"/>
    <n v="0"/>
    <x v="0"/>
    <x v="1"/>
    <n v="1"/>
  </r>
  <r>
    <n v="649242000000000"/>
    <x v="0"/>
    <x v="48"/>
    <x v="3"/>
    <s v="GURIGICA"/>
    <d v="2016-04-26T00:00:00"/>
    <d v="2016-04-29T00:00:00"/>
    <x v="0"/>
    <x v="89"/>
    <x v="4"/>
    <n v="0"/>
    <x v="0"/>
    <n v="1"/>
    <n v="0"/>
    <n v="0"/>
    <x v="0"/>
    <x v="0"/>
    <n v="0"/>
  </r>
  <r>
    <n v="14354900000000"/>
    <x v="0"/>
    <x v="58"/>
    <x v="0"/>
    <s v="GURIGICA"/>
    <d v="2016-04-26T00:00:00"/>
    <d v="2016-04-29T00:00:00"/>
    <x v="0"/>
    <x v="89"/>
    <x v="4"/>
    <n v="0"/>
    <x v="0"/>
    <n v="0"/>
    <n v="0"/>
    <n v="1"/>
    <x v="0"/>
    <x v="1"/>
    <n v="1"/>
  </r>
  <r>
    <n v="2878760000000"/>
    <x v="1"/>
    <x v="36"/>
    <x v="3"/>
    <s v="GURIGICA"/>
    <d v="2016-04-26T00:00:00"/>
    <d v="2016-04-29T00:00:00"/>
    <x v="0"/>
    <x v="89"/>
    <x v="4"/>
    <n v="0"/>
    <x v="0"/>
    <n v="0"/>
    <n v="1"/>
    <n v="0"/>
    <x v="0"/>
    <x v="0"/>
    <n v="0"/>
  </r>
  <r>
    <n v="318299000000000"/>
    <x v="0"/>
    <x v="28"/>
    <x v="3"/>
    <s v="GURIGICA"/>
    <d v="2016-04-26T00:00:00"/>
    <d v="2016-05-13T00:00:00"/>
    <x v="0"/>
    <x v="75"/>
    <x v="1"/>
    <n v="0"/>
    <x v="0"/>
    <n v="0"/>
    <n v="1"/>
    <n v="0"/>
    <x v="1"/>
    <x v="1"/>
    <n v="1"/>
  </r>
  <r>
    <n v="529512000000000"/>
    <x v="1"/>
    <x v="16"/>
    <x v="1"/>
    <s v="GURIGICA"/>
    <d v="2016-04-26T00:00:00"/>
    <d v="2016-05-13T00:00:00"/>
    <x v="0"/>
    <x v="75"/>
    <x v="1"/>
    <n v="0"/>
    <x v="1"/>
    <n v="0"/>
    <n v="0"/>
    <n v="0"/>
    <x v="1"/>
    <x v="0"/>
    <n v="0"/>
  </r>
  <r>
    <n v="236124000000000"/>
    <x v="0"/>
    <x v="30"/>
    <x v="3"/>
    <s v="GURIGICA"/>
    <d v="2016-04-26T00:00:00"/>
    <d v="2016-05-13T00:00:00"/>
    <x v="0"/>
    <x v="75"/>
    <x v="1"/>
    <n v="1"/>
    <x v="0"/>
    <n v="0"/>
    <n v="0"/>
    <n v="0"/>
    <x v="1"/>
    <x v="0"/>
    <n v="0"/>
  </r>
  <r>
    <n v="8744720000000"/>
    <x v="0"/>
    <x v="31"/>
    <x v="1"/>
    <s v="GURIGICA"/>
    <d v="2016-04-26T00:00:00"/>
    <d v="2016-05-13T00:00:00"/>
    <x v="0"/>
    <x v="75"/>
    <x v="1"/>
    <n v="1"/>
    <x v="0"/>
    <n v="0"/>
    <n v="0"/>
    <n v="0"/>
    <x v="1"/>
    <x v="1"/>
    <n v="1"/>
  </r>
  <r>
    <n v="93257100000000"/>
    <x v="1"/>
    <x v="57"/>
    <x v="2"/>
    <s v="SAO JOSE"/>
    <d v="2016-04-26T00:00:00"/>
    <d v="2016-05-02T00:00:00"/>
    <x v="2"/>
    <x v="90"/>
    <x v="3"/>
    <n v="0"/>
    <x v="1"/>
    <n v="0"/>
    <n v="0"/>
    <n v="0"/>
    <x v="0"/>
    <x v="0"/>
    <n v="0"/>
  </r>
  <r>
    <n v="3696120000000"/>
    <x v="1"/>
    <x v="54"/>
    <x v="1"/>
    <s v="REDENCAO"/>
    <d v="2016-04-26T00:00:00"/>
    <d v="2016-05-02T00:00:00"/>
    <x v="2"/>
    <x v="90"/>
    <x v="3"/>
    <n v="0"/>
    <x v="1"/>
    <n v="0"/>
    <n v="0"/>
    <n v="0"/>
    <x v="0"/>
    <x v="0"/>
    <n v="0"/>
  </r>
  <r>
    <n v="49419375251"/>
    <x v="0"/>
    <x v="65"/>
    <x v="2"/>
    <s v="SANTO ANDRE"/>
    <d v="2016-04-26T00:00:00"/>
    <d v="2016-05-02T00:00:00"/>
    <x v="2"/>
    <x v="90"/>
    <x v="3"/>
    <n v="0"/>
    <x v="1"/>
    <n v="0"/>
    <n v="0"/>
    <n v="0"/>
    <x v="0"/>
    <x v="0"/>
    <n v="0"/>
  </r>
  <r>
    <n v="9487190000000"/>
    <x v="0"/>
    <x v="21"/>
    <x v="1"/>
    <s v="TABUAZEIRO"/>
    <d v="2016-04-26T00:00:00"/>
    <d v="2016-06-08T00:00:00"/>
    <x v="1"/>
    <x v="47"/>
    <x v="0"/>
    <n v="0"/>
    <x v="1"/>
    <n v="0"/>
    <n v="0"/>
    <n v="0"/>
    <x v="0"/>
    <x v="0"/>
    <n v="0"/>
  </r>
  <r>
    <n v="46475800000000"/>
    <x v="1"/>
    <x v="27"/>
    <x v="3"/>
    <s v="ILHA DO PRINCIPE"/>
    <d v="2016-04-26T00:00:00"/>
    <d v="2016-05-05T00:00:00"/>
    <x v="3"/>
    <x v="85"/>
    <x v="2"/>
    <n v="0"/>
    <x v="1"/>
    <n v="0"/>
    <n v="0"/>
    <n v="0"/>
    <x v="0"/>
    <x v="0"/>
    <n v="0"/>
  </r>
  <r>
    <n v="552879000000"/>
    <x v="1"/>
    <x v="78"/>
    <x v="0"/>
    <s v="SANTO ANDRE"/>
    <d v="2016-04-26T00:00:00"/>
    <d v="2016-05-03T00:00:00"/>
    <x v="4"/>
    <x v="87"/>
    <x v="3"/>
    <n v="0"/>
    <x v="0"/>
    <n v="1"/>
    <n v="0"/>
    <n v="0"/>
    <x v="0"/>
    <x v="0"/>
    <n v="0"/>
  </r>
  <r>
    <n v="6529350000000"/>
    <x v="0"/>
    <x v="81"/>
    <x v="5"/>
    <s v="BONFIM"/>
    <d v="2016-04-26T00:00:00"/>
    <d v="2016-05-18T00:00:00"/>
    <x v="1"/>
    <x v="71"/>
    <x v="1"/>
    <n v="0"/>
    <x v="1"/>
    <n v="0"/>
    <n v="0"/>
    <n v="0"/>
    <x v="1"/>
    <x v="1"/>
    <n v="1"/>
  </r>
  <r>
    <n v="65648400000000"/>
    <x v="1"/>
    <x v="52"/>
    <x v="2"/>
    <s v="SANTO ANDRE"/>
    <d v="2016-04-26T00:00:00"/>
    <d v="2016-05-03T00:00:00"/>
    <x v="4"/>
    <x v="87"/>
    <x v="3"/>
    <n v="0"/>
    <x v="1"/>
    <n v="0"/>
    <n v="0"/>
    <n v="0"/>
    <x v="0"/>
    <x v="0"/>
    <n v="0"/>
  </r>
  <r>
    <n v="658383000000000"/>
    <x v="0"/>
    <x v="59"/>
    <x v="2"/>
    <s v="SANTA TEREZA"/>
    <d v="2016-04-26T00:00:00"/>
    <d v="2016-05-18T00:00:00"/>
    <x v="1"/>
    <x v="71"/>
    <x v="1"/>
    <n v="0"/>
    <x v="1"/>
    <n v="0"/>
    <n v="0"/>
    <n v="0"/>
    <x v="1"/>
    <x v="0"/>
    <n v="0"/>
  </r>
  <r>
    <n v="24218600000000"/>
    <x v="1"/>
    <x v="37"/>
    <x v="3"/>
    <s v="GURIGICA"/>
    <d v="2016-04-26T00:00:00"/>
    <d v="2016-05-20T00:00:00"/>
    <x v="0"/>
    <x v="66"/>
    <x v="1"/>
    <n v="0"/>
    <x v="0"/>
    <n v="0"/>
    <n v="0"/>
    <n v="0"/>
    <x v="1"/>
    <x v="1"/>
    <n v="1"/>
  </r>
  <r>
    <n v="488465000000000"/>
    <x v="1"/>
    <x v="56"/>
    <x v="1"/>
    <s v="SAO JOSE"/>
    <d v="2016-04-26T00:00:00"/>
    <d v="2016-05-05T00:00:00"/>
    <x v="3"/>
    <x v="85"/>
    <x v="2"/>
    <n v="0"/>
    <x v="1"/>
    <n v="0"/>
    <n v="0"/>
    <n v="0"/>
    <x v="1"/>
    <x v="0"/>
    <n v="0"/>
  </r>
  <r>
    <n v="4949760000000"/>
    <x v="1"/>
    <x v="14"/>
    <x v="3"/>
    <s v="FORTE SAO JOAO"/>
    <d v="2016-04-26T00:00:00"/>
    <d v="2016-04-29T00:00:00"/>
    <x v="0"/>
    <x v="89"/>
    <x v="4"/>
    <n v="0"/>
    <x v="1"/>
    <n v="0"/>
    <n v="0"/>
    <n v="0"/>
    <x v="0"/>
    <x v="0"/>
    <n v="0"/>
  </r>
  <r>
    <n v="4333770000000"/>
    <x v="0"/>
    <x v="30"/>
    <x v="3"/>
    <s v="FORTE SAO JOAO"/>
    <d v="2016-04-26T00:00:00"/>
    <d v="2016-04-29T00:00:00"/>
    <x v="0"/>
    <x v="89"/>
    <x v="4"/>
    <n v="0"/>
    <x v="1"/>
    <n v="0"/>
    <n v="0"/>
    <n v="0"/>
    <x v="0"/>
    <x v="0"/>
    <n v="0"/>
  </r>
  <r>
    <n v="34917300000000"/>
    <x v="1"/>
    <x v="83"/>
    <x v="0"/>
    <s v="GURIGICA"/>
    <d v="2016-04-26T00:00:00"/>
    <d v="2016-05-20T00:00:00"/>
    <x v="0"/>
    <x v="66"/>
    <x v="1"/>
    <n v="1"/>
    <x v="0"/>
    <n v="0"/>
    <n v="0"/>
    <n v="0"/>
    <x v="1"/>
    <x v="1"/>
    <n v="1"/>
  </r>
  <r>
    <n v="3496670000000"/>
    <x v="0"/>
    <x v="37"/>
    <x v="3"/>
    <s v="DA PENHA"/>
    <d v="2016-04-26T00:00:00"/>
    <d v="2016-05-02T00:00:00"/>
    <x v="2"/>
    <x v="90"/>
    <x v="3"/>
    <n v="0"/>
    <x v="1"/>
    <n v="0"/>
    <n v="0"/>
    <n v="0"/>
    <x v="1"/>
    <x v="0"/>
    <n v="0"/>
  </r>
  <r>
    <n v="68279600000000"/>
    <x v="0"/>
    <x v="53"/>
    <x v="0"/>
    <s v="GURIGICA"/>
    <d v="2016-04-26T00:00:00"/>
    <d v="2016-05-20T00:00:00"/>
    <x v="0"/>
    <x v="66"/>
    <x v="1"/>
    <n v="0"/>
    <x v="1"/>
    <n v="1"/>
    <n v="0"/>
    <n v="0"/>
    <x v="1"/>
    <x v="0"/>
    <n v="0"/>
  </r>
  <r>
    <n v="29877900000000"/>
    <x v="0"/>
    <x v="59"/>
    <x v="2"/>
    <s v="FORTE SAO JOAO"/>
    <d v="2016-04-26T00:00:00"/>
    <d v="2016-05-03T00:00:00"/>
    <x v="4"/>
    <x v="87"/>
    <x v="3"/>
    <n v="0"/>
    <x v="1"/>
    <n v="0"/>
    <n v="0"/>
    <n v="0"/>
    <x v="0"/>
    <x v="0"/>
    <n v="0"/>
  </r>
  <r>
    <n v="38434100000000"/>
    <x v="1"/>
    <x v="21"/>
    <x v="1"/>
    <s v="ILHA DAS CAIEIRAS"/>
    <d v="2016-04-26T00:00:00"/>
    <d v="2016-05-02T00:00:00"/>
    <x v="2"/>
    <x v="90"/>
    <x v="3"/>
    <n v="0"/>
    <x v="1"/>
    <n v="0"/>
    <n v="0"/>
    <n v="0"/>
    <x v="0"/>
    <x v="0"/>
    <n v="0"/>
  </r>
  <r>
    <n v="4747870000000"/>
    <x v="0"/>
    <x v="69"/>
    <x v="4"/>
    <s v="SANTOS REIS"/>
    <d v="2016-04-26T00:00:00"/>
    <d v="2016-05-16T00:00:00"/>
    <x v="2"/>
    <x v="76"/>
    <x v="1"/>
    <n v="0"/>
    <x v="1"/>
    <n v="0"/>
    <n v="0"/>
    <n v="0"/>
    <x v="1"/>
    <x v="0"/>
    <n v="0"/>
  </r>
  <r>
    <n v="26356187571"/>
    <x v="0"/>
    <x v="54"/>
    <x v="1"/>
    <s v="PRAIA DO SUA"/>
    <d v="2016-04-26T00:00:00"/>
    <d v="2016-05-31T00:00:00"/>
    <x v="4"/>
    <x v="59"/>
    <x v="0"/>
    <n v="1"/>
    <x v="1"/>
    <n v="0"/>
    <n v="0"/>
    <n v="0"/>
    <x v="0"/>
    <x v="1"/>
    <n v="1"/>
  </r>
  <r>
    <n v="53953000000000"/>
    <x v="0"/>
    <x v="5"/>
    <x v="1"/>
    <s v="TABUAZEIRO"/>
    <d v="2016-04-26T00:00:00"/>
    <d v="2016-06-08T00:00:00"/>
    <x v="1"/>
    <x v="47"/>
    <x v="0"/>
    <n v="0"/>
    <x v="0"/>
    <n v="0"/>
    <n v="0"/>
    <n v="0"/>
    <x v="0"/>
    <x v="0"/>
    <n v="0"/>
  </r>
  <r>
    <n v="52768100000000"/>
    <x v="0"/>
    <x v="30"/>
    <x v="3"/>
    <s v="DA PENHA"/>
    <d v="2016-04-26T00:00:00"/>
    <d v="2016-05-12T00:00:00"/>
    <x v="3"/>
    <x v="78"/>
    <x v="1"/>
    <n v="0"/>
    <x v="1"/>
    <n v="0"/>
    <n v="0"/>
    <n v="0"/>
    <x v="1"/>
    <x v="1"/>
    <n v="1"/>
  </r>
  <r>
    <n v="7759950000000"/>
    <x v="1"/>
    <x v="66"/>
    <x v="2"/>
    <s v="SAO CRISTOVAO"/>
    <d v="2016-04-26T00:00:00"/>
    <d v="2016-05-04T00:00:00"/>
    <x v="1"/>
    <x v="88"/>
    <x v="2"/>
    <n v="0"/>
    <x v="1"/>
    <n v="0"/>
    <n v="0"/>
    <n v="0"/>
    <x v="1"/>
    <x v="1"/>
    <n v="1"/>
  </r>
  <r>
    <n v="37243500000000"/>
    <x v="0"/>
    <x v="14"/>
    <x v="3"/>
    <s v="FORTE SAO JOAO"/>
    <d v="2016-04-26T00:00:00"/>
    <d v="2016-05-06T00:00:00"/>
    <x v="0"/>
    <x v="83"/>
    <x v="2"/>
    <n v="0"/>
    <x v="1"/>
    <n v="0"/>
    <n v="0"/>
    <n v="0"/>
    <x v="1"/>
    <x v="0"/>
    <n v="0"/>
  </r>
  <r>
    <n v="5422850000000"/>
    <x v="0"/>
    <x v="45"/>
    <x v="1"/>
    <s v="JABOUR"/>
    <d v="2016-04-26T00:00:00"/>
    <d v="2016-05-04T00:00:00"/>
    <x v="1"/>
    <x v="88"/>
    <x v="2"/>
    <n v="1"/>
    <x v="1"/>
    <n v="0"/>
    <n v="0"/>
    <n v="0"/>
    <x v="0"/>
    <x v="0"/>
    <n v="0"/>
  </r>
  <r>
    <n v="73745300000000"/>
    <x v="1"/>
    <x v="5"/>
    <x v="1"/>
    <s v="SAO PEDRO"/>
    <d v="2016-04-26T00:00:00"/>
    <d v="2016-05-06T00:00:00"/>
    <x v="0"/>
    <x v="83"/>
    <x v="2"/>
    <n v="0"/>
    <x v="0"/>
    <n v="0"/>
    <n v="1"/>
    <n v="0"/>
    <x v="1"/>
    <x v="0"/>
    <n v="0"/>
  </r>
  <r>
    <n v="4218450000000"/>
    <x v="1"/>
    <x v="69"/>
    <x v="4"/>
    <s v="BONFIM"/>
    <d v="2016-04-26T00:00:00"/>
    <d v="2016-05-02T00:00:00"/>
    <x v="2"/>
    <x v="90"/>
    <x v="3"/>
    <n v="0"/>
    <x v="1"/>
    <n v="0"/>
    <n v="0"/>
    <n v="0"/>
    <x v="1"/>
    <x v="0"/>
    <n v="0"/>
  </r>
  <r>
    <n v="832170000000"/>
    <x v="0"/>
    <x v="57"/>
    <x v="2"/>
    <s v="PIEDADE"/>
    <d v="2016-04-26T00:00:00"/>
    <d v="2016-05-25T00:00:00"/>
    <x v="1"/>
    <x v="63"/>
    <x v="1"/>
    <n v="1"/>
    <x v="1"/>
    <n v="0"/>
    <n v="0"/>
    <n v="0"/>
    <x v="1"/>
    <x v="0"/>
    <n v="0"/>
  </r>
  <r>
    <n v="877663000000000"/>
    <x v="0"/>
    <x v="62"/>
    <x v="3"/>
    <s v="SAO PEDRO"/>
    <d v="2016-04-26T00:00:00"/>
    <d v="2016-05-02T00:00:00"/>
    <x v="2"/>
    <x v="90"/>
    <x v="3"/>
    <n v="0"/>
    <x v="0"/>
    <n v="0"/>
    <n v="0"/>
    <n v="0"/>
    <x v="0"/>
    <x v="0"/>
    <n v="0"/>
  </r>
  <r>
    <n v="782266000000"/>
    <x v="1"/>
    <x v="76"/>
    <x v="0"/>
    <s v="SANTO ANDRE"/>
    <d v="2016-04-26T00:00:00"/>
    <d v="2016-05-06T00:00:00"/>
    <x v="0"/>
    <x v="83"/>
    <x v="2"/>
    <n v="0"/>
    <x v="1"/>
    <n v="0"/>
    <n v="0"/>
    <n v="0"/>
    <x v="0"/>
    <x v="0"/>
    <n v="0"/>
  </r>
  <r>
    <n v="71964426668"/>
    <x v="0"/>
    <x v="14"/>
    <x v="3"/>
    <s v="SANTA TEREZA"/>
    <d v="2016-04-26T00:00:00"/>
    <d v="2016-05-04T00:00:00"/>
    <x v="1"/>
    <x v="88"/>
    <x v="2"/>
    <n v="0"/>
    <x v="0"/>
    <n v="0"/>
    <n v="0"/>
    <n v="0"/>
    <x v="0"/>
    <x v="1"/>
    <n v="1"/>
  </r>
  <r>
    <n v="95537500000000"/>
    <x v="0"/>
    <x v="79"/>
    <x v="5"/>
    <s v="PRAIA DO SUA"/>
    <d v="2016-04-26T00:00:00"/>
    <d v="2016-05-06T00:00:00"/>
    <x v="0"/>
    <x v="83"/>
    <x v="2"/>
    <n v="0"/>
    <x v="1"/>
    <n v="0"/>
    <n v="0"/>
    <n v="0"/>
    <x v="0"/>
    <x v="0"/>
    <n v="0"/>
  </r>
  <r>
    <n v="418686000000000"/>
    <x v="0"/>
    <x v="81"/>
    <x v="5"/>
    <s v="BONFIM"/>
    <d v="2016-04-26T00:00:00"/>
    <d v="2016-04-29T00:00:00"/>
    <x v="0"/>
    <x v="89"/>
    <x v="4"/>
    <n v="0"/>
    <x v="1"/>
    <n v="0"/>
    <n v="0"/>
    <n v="0"/>
    <x v="0"/>
    <x v="0"/>
    <n v="0"/>
  </r>
  <r>
    <n v="16154200000000"/>
    <x v="0"/>
    <x v="64"/>
    <x v="3"/>
    <s v="PARQUE MOSCOSO"/>
    <d v="2016-04-26T00:00:00"/>
    <d v="2016-05-24T00:00:00"/>
    <x v="4"/>
    <x v="64"/>
    <x v="1"/>
    <n v="0"/>
    <x v="1"/>
    <n v="0"/>
    <n v="0"/>
    <n v="0"/>
    <x v="0"/>
    <x v="0"/>
    <n v="0"/>
  </r>
  <r>
    <n v="9437120000000"/>
    <x v="1"/>
    <x v="44"/>
    <x v="4"/>
    <s v="CONQUISTA"/>
    <d v="2016-04-26T00:00:00"/>
    <d v="2016-05-05T00:00:00"/>
    <x v="3"/>
    <x v="85"/>
    <x v="2"/>
    <n v="0"/>
    <x v="1"/>
    <n v="0"/>
    <n v="0"/>
    <n v="0"/>
    <x v="0"/>
    <x v="0"/>
    <n v="0"/>
  </r>
  <r>
    <n v="517836000000"/>
    <x v="0"/>
    <x v="31"/>
    <x v="1"/>
    <s v="SANTA MARTHA"/>
    <d v="2016-04-26T00:00:00"/>
    <d v="2016-05-11T00:00:00"/>
    <x v="1"/>
    <x v="79"/>
    <x v="1"/>
    <n v="0"/>
    <x v="0"/>
    <n v="0"/>
    <n v="0"/>
    <n v="0"/>
    <x v="0"/>
    <x v="0"/>
    <n v="0"/>
  </r>
  <r>
    <n v="77329900000000"/>
    <x v="0"/>
    <x v="84"/>
    <x v="1"/>
    <s v="SANTA CECILIA"/>
    <d v="2016-04-26T00:00:00"/>
    <d v="2016-05-30T00:00:00"/>
    <x v="2"/>
    <x v="58"/>
    <x v="0"/>
    <n v="0"/>
    <x v="1"/>
    <n v="0"/>
    <n v="0"/>
    <n v="0"/>
    <x v="0"/>
    <x v="0"/>
    <n v="0"/>
  </r>
  <r>
    <n v="54292600000000"/>
    <x v="0"/>
    <x v="22"/>
    <x v="4"/>
    <s v="SAO BENEDITO"/>
    <d v="2016-04-26T00:00:00"/>
    <d v="2016-05-04T00:00:00"/>
    <x v="1"/>
    <x v="88"/>
    <x v="2"/>
    <n v="1"/>
    <x v="1"/>
    <n v="0"/>
    <n v="0"/>
    <n v="0"/>
    <x v="0"/>
    <x v="1"/>
    <n v="1"/>
  </r>
  <r>
    <n v="64929000000000"/>
    <x v="0"/>
    <x v="39"/>
    <x v="4"/>
    <s v="SANTO ANTONIO"/>
    <d v="2016-04-26T00:00:00"/>
    <d v="2016-05-09T00:00:00"/>
    <x v="2"/>
    <x v="82"/>
    <x v="2"/>
    <n v="0"/>
    <x v="1"/>
    <n v="0"/>
    <n v="0"/>
    <n v="0"/>
    <x v="1"/>
    <x v="0"/>
    <n v="0"/>
  </r>
  <r>
    <n v="856123000000000"/>
    <x v="1"/>
    <x v="81"/>
    <x v="5"/>
    <s v="CONSOLACAO"/>
    <d v="2016-04-26T00:00:00"/>
    <d v="2016-05-12T00:00:00"/>
    <x v="3"/>
    <x v="78"/>
    <x v="1"/>
    <n v="0"/>
    <x v="1"/>
    <n v="0"/>
    <n v="0"/>
    <n v="0"/>
    <x v="0"/>
    <x v="1"/>
    <n v="1"/>
  </r>
  <r>
    <n v="8254790000000"/>
    <x v="0"/>
    <x v="40"/>
    <x v="1"/>
    <s v="SANTA MARTHA"/>
    <d v="2016-04-26T00:00:00"/>
    <d v="2016-05-10T00:00:00"/>
    <x v="4"/>
    <x v="80"/>
    <x v="2"/>
    <n v="0"/>
    <x v="1"/>
    <n v="0"/>
    <n v="0"/>
    <n v="0"/>
    <x v="1"/>
    <x v="0"/>
    <n v="0"/>
  </r>
  <r>
    <n v="654849000000000"/>
    <x v="0"/>
    <x v="83"/>
    <x v="0"/>
    <s v="RESISTENCIA"/>
    <d v="2016-04-26T00:00:00"/>
    <d v="2016-05-09T00:00:00"/>
    <x v="2"/>
    <x v="82"/>
    <x v="2"/>
    <n v="0"/>
    <x v="0"/>
    <n v="1"/>
    <n v="0"/>
    <n v="0"/>
    <x v="1"/>
    <x v="1"/>
    <n v="1"/>
  </r>
  <r>
    <n v="342977000000000"/>
    <x v="0"/>
    <x v="25"/>
    <x v="4"/>
    <s v="NOVA PALESTINA"/>
    <d v="2016-04-26T00:00:00"/>
    <d v="2016-05-10T00:00:00"/>
    <x v="4"/>
    <x v="80"/>
    <x v="2"/>
    <n v="1"/>
    <x v="1"/>
    <n v="0"/>
    <n v="0"/>
    <n v="0"/>
    <x v="0"/>
    <x v="1"/>
    <n v="1"/>
  </r>
  <r>
    <n v="386573000000000"/>
    <x v="0"/>
    <x v="12"/>
    <x v="3"/>
    <s v="DA PENHA"/>
    <d v="2016-04-26T00:00:00"/>
    <d v="2016-05-02T00:00:00"/>
    <x v="2"/>
    <x v="90"/>
    <x v="3"/>
    <n v="0"/>
    <x v="0"/>
    <n v="0"/>
    <n v="0"/>
    <n v="0"/>
    <x v="0"/>
    <x v="0"/>
    <n v="0"/>
  </r>
  <r>
    <n v="235477000000000"/>
    <x v="0"/>
    <x v="10"/>
    <x v="4"/>
    <s v="JABOUR"/>
    <d v="2016-04-26T00:00:00"/>
    <d v="2016-04-29T00:00:00"/>
    <x v="0"/>
    <x v="89"/>
    <x v="4"/>
    <n v="0"/>
    <x v="1"/>
    <n v="0"/>
    <n v="0"/>
    <n v="0"/>
    <x v="0"/>
    <x v="1"/>
    <n v="1"/>
  </r>
  <r>
    <n v="8617230000000"/>
    <x v="0"/>
    <x v="45"/>
    <x v="1"/>
    <s v="CARATOIRA"/>
    <d v="2016-04-26T00:00:00"/>
    <d v="2016-04-29T00:00:00"/>
    <x v="0"/>
    <x v="89"/>
    <x v="4"/>
    <n v="1"/>
    <x v="0"/>
    <n v="0"/>
    <n v="0"/>
    <n v="0"/>
    <x v="0"/>
    <x v="1"/>
    <n v="1"/>
  </r>
  <r>
    <n v="532314000000000"/>
    <x v="0"/>
    <x v="32"/>
    <x v="4"/>
    <s v="JESUS DE NAZARETH"/>
    <d v="2016-04-26T00:00:00"/>
    <d v="2016-05-16T00:00:00"/>
    <x v="2"/>
    <x v="76"/>
    <x v="1"/>
    <n v="0"/>
    <x v="1"/>
    <n v="0"/>
    <n v="0"/>
    <n v="0"/>
    <x v="1"/>
    <x v="0"/>
    <n v="0"/>
  </r>
  <r>
    <n v="65467500000000"/>
    <x v="0"/>
    <x v="77"/>
    <x v="4"/>
    <s v="SANTO ANTONIO"/>
    <d v="2016-04-26T00:00:00"/>
    <d v="2016-05-05T00:00:00"/>
    <x v="3"/>
    <x v="85"/>
    <x v="2"/>
    <n v="0"/>
    <x v="1"/>
    <n v="0"/>
    <n v="0"/>
    <n v="0"/>
    <x v="0"/>
    <x v="1"/>
    <n v="1"/>
  </r>
  <r>
    <n v="458625000000"/>
    <x v="1"/>
    <x v="6"/>
    <x v="0"/>
    <s v="GOIABEIRAS"/>
    <d v="2016-04-26T00:00:00"/>
    <d v="2016-05-05T00:00:00"/>
    <x v="3"/>
    <x v="85"/>
    <x v="2"/>
    <n v="0"/>
    <x v="0"/>
    <n v="0"/>
    <n v="1"/>
    <n v="0"/>
    <x v="0"/>
    <x v="0"/>
    <n v="0"/>
  </r>
  <r>
    <n v="725422000000"/>
    <x v="0"/>
    <x v="26"/>
    <x v="0"/>
    <s v="NOVA PALESTINA"/>
    <d v="2016-04-26T00:00:00"/>
    <d v="2016-05-03T00:00:00"/>
    <x v="4"/>
    <x v="87"/>
    <x v="3"/>
    <n v="0"/>
    <x v="0"/>
    <n v="0"/>
    <n v="0"/>
    <n v="0"/>
    <x v="0"/>
    <x v="0"/>
    <n v="0"/>
  </r>
  <r>
    <n v="657618000000000"/>
    <x v="0"/>
    <x v="66"/>
    <x v="2"/>
    <s v="NOVA PALESTINA"/>
    <d v="2016-04-26T00:00:00"/>
    <d v="2016-05-05T00:00:00"/>
    <x v="3"/>
    <x v="85"/>
    <x v="2"/>
    <n v="1"/>
    <x v="1"/>
    <n v="0"/>
    <n v="0"/>
    <n v="0"/>
    <x v="0"/>
    <x v="1"/>
    <n v="1"/>
  </r>
  <r>
    <n v="494955000000000"/>
    <x v="0"/>
    <x v="16"/>
    <x v="1"/>
    <s v="VILA RUBIM"/>
    <d v="2016-04-26T00:00:00"/>
    <d v="2016-05-02T00:00:00"/>
    <x v="2"/>
    <x v="90"/>
    <x v="3"/>
    <n v="0"/>
    <x v="1"/>
    <n v="0"/>
    <n v="0"/>
    <n v="0"/>
    <x v="0"/>
    <x v="0"/>
    <n v="0"/>
  </r>
  <r>
    <n v="462883000000000"/>
    <x v="1"/>
    <x v="19"/>
    <x v="2"/>
    <s v="FONTE GRANDE"/>
    <d v="2016-04-26T00:00:00"/>
    <d v="2016-05-05T00:00:00"/>
    <x v="3"/>
    <x v="85"/>
    <x v="2"/>
    <n v="0"/>
    <x v="1"/>
    <n v="0"/>
    <n v="0"/>
    <n v="0"/>
    <x v="0"/>
    <x v="0"/>
    <n v="0"/>
  </r>
  <r>
    <n v="4984310000000"/>
    <x v="0"/>
    <x v="17"/>
    <x v="4"/>
    <s v="NOVA PALESTINA"/>
    <d v="2016-04-26T00:00:00"/>
    <d v="2016-05-03T00:00:00"/>
    <x v="4"/>
    <x v="87"/>
    <x v="3"/>
    <n v="0"/>
    <x v="1"/>
    <n v="0"/>
    <n v="0"/>
    <n v="0"/>
    <x v="0"/>
    <x v="0"/>
    <n v="0"/>
  </r>
  <r>
    <n v="3285440000000"/>
    <x v="0"/>
    <x v="38"/>
    <x v="4"/>
    <s v="NOVA PALESTINA"/>
    <d v="2016-04-26T00:00:00"/>
    <d v="2016-05-03T00:00:00"/>
    <x v="4"/>
    <x v="87"/>
    <x v="3"/>
    <n v="0"/>
    <x v="1"/>
    <n v="0"/>
    <n v="0"/>
    <n v="0"/>
    <x v="0"/>
    <x v="0"/>
    <n v="0"/>
  </r>
  <r>
    <n v="7185710000000"/>
    <x v="0"/>
    <x v="16"/>
    <x v="1"/>
    <s v="TABUAZEIRO"/>
    <d v="2016-04-26T00:00:00"/>
    <d v="2016-06-01T00:00:00"/>
    <x v="1"/>
    <x v="55"/>
    <x v="0"/>
    <n v="0"/>
    <x v="1"/>
    <n v="0"/>
    <n v="0"/>
    <n v="0"/>
    <x v="0"/>
    <x v="0"/>
    <n v="0"/>
  </r>
  <r>
    <n v="8553860000000"/>
    <x v="0"/>
    <x v="60"/>
    <x v="2"/>
    <s v="MARIA ORTIZ"/>
    <d v="2016-04-26T00:00:00"/>
    <d v="2016-05-31T00:00:00"/>
    <x v="4"/>
    <x v="59"/>
    <x v="0"/>
    <n v="0"/>
    <x v="1"/>
    <n v="0"/>
    <n v="0"/>
    <n v="0"/>
    <x v="0"/>
    <x v="0"/>
    <n v="0"/>
  </r>
  <r>
    <n v="31189900000000"/>
    <x v="0"/>
    <x v="35"/>
    <x v="0"/>
    <s v="ILHA DO PRINCIPE"/>
    <d v="2016-04-26T00:00:00"/>
    <d v="2016-05-10T00:00:00"/>
    <x v="4"/>
    <x v="80"/>
    <x v="2"/>
    <n v="0"/>
    <x v="0"/>
    <n v="0"/>
    <n v="0"/>
    <n v="1"/>
    <x v="0"/>
    <x v="1"/>
    <n v="1"/>
  </r>
  <r>
    <n v="43341300000000"/>
    <x v="0"/>
    <x v="38"/>
    <x v="4"/>
    <s v="DA PENHA"/>
    <d v="2016-04-26T00:00:00"/>
    <d v="2016-05-10T00:00:00"/>
    <x v="4"/>
    <x v="80"/>
    <x v="2"/>
    <n v="1"/>
    <x v="1"/>
    <n v="0"/>
    <n v="1"/>
    <n v="0"/>
    <x v="0"/>
    <x v="1"/>
    <n v="1"/>
  </r>
  <r>
    <n v="184269000000"/>
    <x v="0"/>
    <x v="10"/>
    <x v="4"/>
    <s v="MARIA ORTIZ"/>
    <d v="2016-04-26T00:00:00"/>
    <d v="2016-05-20T00:00:00"/>
    <x v="0"/>
    <x v="66"/>
    <x v="1"/>
    <n v="0"/>
    <x v="1"/>
    <n v="0"/>
    <n v="0"/>
    <n v="0"/>
    <x v="1"/>
    <x v="1"/>
    <n v="1"/>
  </r>
  <r>
    <n v="885798000000000"/>
    <x v="0"/>
    <x v="24"/>
    <x v="1"/>
    <s v="DA PENHA"/>
    <d v="2016-04-26T00:00:00"/>
    <d v="2016-05-30T00:00:00"/>
    <x v="2"/>
    <x v="58"/>
    <x v="0"/>
    <n v="0"/>
    <x v="0"/>
    <n v="0"/>
    <n v="0"/>
    <n v="0"/>
    <x v="0"/>
    <x v="0"/>
    <n v="0"/>
  </r>
  <r>
    <n v="85124800000000"/>
    <x v="1"/>
    <x v="50"/>
    <x v="1"/>
    <s v="ITARARE"/>
    <d v="2016-04-26T00:00:00"/>
    <d v="2016-05-09T00:00:00"/>
    <x v="2"/>
    <x v="82"/>
    <x v="2"/>
    <n v="0"/>
    <x v="1"/>
    <n v="0"/>
    <n v="1"/>
    <n v="0"/>
    <x v="1"/>
    <x v="1"/>
    <n v="1"/>
  </r>
  <r>
    <n v="13917000000000"/>
    <x v="1"/>
    <x v="75"/>
    <x v="5"/>
    <s v="JABOUR"/>
    <d v="2016-04-26T00:00:00"/>
    <d v="2016-05-30T00:00:00"/>
    <x v="2"/>
    <x v="58"/>
    <x v="0"/>
    <n v="0"/>
    <x v="1"/>
    <n v="0"/>
    <n v="0"/>
    <n v="0"/>
    <x v="1"/>
    <x v="0"/>
    <n v="0"/>
  </r>
  <r>
    <n v="96638900000000"/>
    <x v="1"/>
    <x v="4"/>
    <x v="2"/>
    <s v="JESUS DE NAZARETH"/>
    <d v="2016-04-26T00:00:00"/>
    <d v="2016-05-31T00:00:00"/>
    <x v="4"/>
    <x v="59"/>
    <x v="0"/>
    <n v="0"/>
    <x v="1"/>
    <n v="0"/>
    <n v="0"/>
    <n v="0"/>
    <x v="0"/>
    <x v="0"/>
    <n v="0"/>
  </r>
  <r>
    <n v="68167300000000"/>
    <x v="1"/>
    <x v="43"/>
    <x v="2"/>
    <s v="GURIGICA"/>
    <d v="2016-04-26T00:00:00"/>
    <d v="2016-05-05T00:00:00"/>
    <x v="3"/>
    <x v="85"/>
    <x v="2"/>
    <n v="0"/>
    <x v="1"/>
    <n v="0"/>
    <n v="0"/>
    <n v="0"/>
    <x v="0"/>
    <x v="1"/>
    <n v="1"/>
  </r>
  <r>
    <n v="6339470000000"/>
    <x v="0"/>
    <x v="39"/>
    <x v="4"/>
    <s v="BELA VISTA"/>
    <d v="2016-04-26T00:00:00"/>
    <d v="2016-05-10T00:00:00"/>
    <x v="4"/>
    <x v="80"/>
    <x v="2"/>
    <n v="0"/>
    <x v="1"/>
    <n v="0"/>
    <n v="1"/>
    <n v="0"/>
    <x v="0"/>
    <x v="0"/>
    <n v="0"/>
  </r>
  <r>
    <n v="835655000000"/>
    <x v="1"/>
    <x v="51"/>
    <x v="2"/>
    <s v="BARRO VERMELHO"/>
    <d v="2016-04-26T00:00:00"/>
    <d v="2016-05-06T00:00:00"/>
    <x v="0"/>
    <x v="83"/>
    <x v="2"/>
    <n v="0"/>
    <x v="1"/>
    <n v="0"/>
    <n v="0"/>
    <n v="0"/>
    <x v="0"/>
    <x v="0"/>
    <n v="0"/>
  </r>
  <r>
    <n v="18135600000000"/>
    <x v="0"/>
    <x v="21"/>
    <x v="1"/>
    <s v="SANTA LUCIA"/>
    <d v="2016-04-26T00:00:00"/>
    <d v="2016-05-10T00:00:00"/>
    <x v="4"/>
    <x v="80"/>
    <x v="2"/>
    <n v="0"/>
    <x v="1"/>
    <n v="0"/>
    <n v="0"/>
    <n v="0"/>
    <x v="0"/>
    <x v="1"/>
    <n v="1"/>
  </r>
  <r>
    <n v="88816700000000"/>
    <x v="0"/>
    <x v="25"/>
    <x v="4"/>
    <s v="ITARARE"/>
    <d v="2016-04-26T00:00:00"/>
    <d v="2016-05-03T00:00:00"/>
    <x v="4"/>
    <x v="87"/>
    <x v="3"/>
    <n v="1"/>
    <x v="0"/>
    <n v="0"/>
    <n v="0"/>
    <n v="0"/>
    <x v="0"/>
    <x v="0"/>
    <n v="0"/>
  </r>
  <r>
    <n v="266130000000"/>
    <x v="0"/>
    <x v="80"/>
    <x v="2"/>
    <s v="TABUAZEIRO"/>
    <d v="2016-04-26T00:00:00"/>
    <d v="2016-05-12T00:00:00"/>
    <x v="3"/>
    <x v="78"/>
    <x v="1"/>
    <n v="0"/>
    <x v="1"/>
    <n v="0"/>
    <n v="0"/>
    <n v="0"/>
    <x v="0"/>
    <x v="0"/>
    <n v="0"/>
  </r>
  <r>
    <n v="944424000000"/>
    <x v="0"/>
    <x v="41"/>
    <x v="4"/>
    <s v="SANTO ANDRE"/>
    <d v="2016-04-26T00:00:00"/>
    <d v="2016-05-25T00:00:00"/>
    <x v="1"/>
    <x v="63"/>
    <x v="1"/>
    <n v="0"/>
    <x v="1"/>
    <n v="0"/>
    <n v="0"/>
    <n v="0"/>
    <x v="0"/>
    <x v="0"/>
    <n v="0"/>
  </r>
  <r>
    <n v="6293551454"/>
    <x v="0"/>
    <x v="46"/>
    <x v="2"/>
    <s v="SANTO ANDRE"/>
    <d v="2016-04-26T00:00:00"/>
    <d v="2016-05-16T00:00:00"/>
    <x v="2"/>
    <x v="76"/>
    <x v="1"/>
    <n v="0"/>
    <x v="1"/>
    <n v="0"/>
    <n v="0"/>
    <n v="0"/>
    <x v="1"/>
    <x v="1"/>
    <n v="1"/>
  </r>
  <r>
    <n v="161752000000000"/>
    <x v="0"/>
    <x v="49"/>
    <x v="4"/>
    <s v="DA PENHA"/>
    <d v="2016-04-26T00:00:00"/>
    <d v="2016-05-06T00:00:00"/>
    <x v="0"/>
    <x v="83"/>
    <x v="2"/>
    <n v="0"/>
    <x v="1"/>
    <n v="0"/>
    <n v="0"/>
    <n v="0"/>
    <x v="0"/>
    <x v="0"/>
    <n v="0"/>
  </r>
  <r>
    <n v="994988000000000"/>
    <x v="0"/>
    <x v="81"/>
    <x v="5"/>
    <s v="DO QUADRO"/>
    <d v="2016-04-26T00:00:00"/>
    <d v="2016-05-17T00:00:00"/>
    <x v="4"/>
    <x v="73"/>
    <x v="1"/>
    <n v="0"/>
    <x v="1"/>
    <n v="0"/>
    <n v="0"/>
    <n v="0"/>
    <x v="1"/>
    <x v="1"/>
    <n v="1"/>
  </r>
  <r>
    <n v="35363300000000"/>
    <x v="1"/>
    <x v="66"/>
    <x v="2"/>
    <s v="NOVA PALESTINA"/>
    <d v="2016-04-26T00:00:00"/>
    <d v="2016-05-04T00:00:00"/>
    <x v="1"/>
    <x v="88"/>
    <x v="2"/>
    <n v="0"/>
    <x v="1"/>
    <n v="0"/>
    <n v="0"/>
    <n v="0"/>
    <x v="0"/>
    <x v="0"/>
    <n v="0"/>
  </r>
  <r>
    <n v="6433950000000"/>
    <x v="0"/>
    <x v="44"/>
    <x v="4"/>
    <s v="PRAIA DO SUA"/>
    <d v="2016-04-26T00:00:00"/>
    <d v="2016-05-10T00:00:00"/>
    <x v="4"/>
    <x v="80"/>
    <x v="2"/>
    <n v="0"/>
    <x v="1"/>
    <n v="0"/>
    <n v="0"/>
    <n v="0"/>
    <x v="0"/>
    <x v="0"/>
    <n v="0"/>
  </r>
  <r>
    <n v="76987000000000"/>
    <x v="1"/>
    <x v="73"/>
    <x v="4"/>
    <s v="ITARARE"/>
    <d v="2016-04-26T00:00:00"/>
    <d v="2016-05-25T00:00:00"/>
    <x v="1"/>
    <x v="63"/>
    <x v="1"/>
    <n v="0"/>
    <x v="1"/>
    <n v="0"/>
    <n v="0"/>
    <n v="0"/>
    <x v="0"/>
    <x v="1"/>
    <n v="1"/>
  </r>
  <r>
    <n v="9384820000000"/>
    <x v="1"/>
    <x v="59"/>
    <x v="2"/>
    <s v="FONTE GRANDE"/>
    <d v="2016-04-26T00:00:00"/>
    <d v="2016-05-09T00:00:00"/>
    <x v="2"/>
    <x v="82"/>
    <x v="2"/>
    <n v="0"/>
    <x v="1"/>
    <n v="0"/>
    <n v="0"/>
    <n v="0"/>
    <x v="1"/>
    <x v="0"/>
    <n v="0"/>
  </r>
  <r>
    <n v="91276200000000"/>
    <x v="1"/>
    <x v="13"/>
    <x v="0"/>
    <s v="SANTO ANDRE"/>
    <d v="2016-04-26T00:00:00"/>
    <d v="2016-05-10T00:00:00"/>
    <x v="4"/>
    <x v="80"/>
    <x v="2"/>
    <n v="0"/>
    <x v="0"/>
    <n v="1"/>
    <n v="0"/>
    <n v="0"/>
    <x v="1"/>
    <x v="1"/>
    <n v="1"/>
  </r>
  <r>
    <n v="39416200000000"/>
    <x v="0"/>
    <x v="5"/>
    <x v="1"/>
    <s v="BELA VISTA"/>
    <d v="2016-04-26T00:00:00"/>
    <d v="2016-05-24T00:00:00"/>
    <x v="4"/>
    <x v="64"/>
    <x v="1"/>
    <n v="1"/>
    <x v="1"/>
    <n v="0"/>
    <n v="0"/>
    <n v="0"/>
    <x v="0"/>
    <x v="1"/>
    <n v="1"/>
  </r>
  <r>
    <n v="2452850000000"/>
    <x v="0"/>
    <x v="25"/>
    <x v="4"/>
    <s v="INHANGUETA"/>
    <d v="2016-04-26T00:00:00"/>
    <d v="2016-05-25T00:00:00"/>
    <x v="1"/>
    <x v="63"/>
    <x v="1"/>
    <n v="0"/>
    <x v="1"/>
    <n v="0"/>
    <n v="0"/>
    <n v="0"/>
    <x v="0"/>
    <x v="0"/>
    <n v="0"/>
  </r>
  <r>
    <n v="9277730000000"/>
    <x v="1"/>
    <x v="48"/>
    <x v="3"/>
    <s v="ILHA DO PRINCIPE"/>
    <d v="2016-04-26T00:00:00"/>
    <d v="2016-05-04T00:00:00"/>
    <x v="1"/>
    <x v="88"/>
    <x v="2"/>
    <n v="0"/>
    <x v="0"/>
    <n v="1"/>
    <n v="0"/>
    <n v="0"/>
    <x v="0"/>
    <x v="0"/>
    <n v="0"/>
  </r>
  <r>
    <n v="188987000000000"/>
    <x v="0"/>
    <x v="17"/>
    <x v="4"/>
    <s v="TABUAZEIRO"/>
    <d v="2016-04-26T00:00:00"/>
    <d v="2016-05-02T00:00:00"/>
    <x v="2"/>
    <x v="90"/>
    <x v="3"/>
    <n v="0"/>
    <x v="1"/>
    <n v="0"/>
    <n v="0"/>
    <n v="0"/>
    <x v="0"/>
    <x v="1"/>
    <n v="1"/>
  </r>
  <r>
    <n v="967387793"/>
    <x v="1"/>
    <x v="56"/>
    <x v="1"/>
    <s v="GURIGICA"/>
    <d v="2016-04-26T00:00:00"/>
    <d v="2016-04-29T00:00:00"/>
    <x v="0"/>
    <x v="89"/>
    <x v="4"/>
    <n v="0"/>
    <x v="1"/>
    <n v="0"/>
    <n v="0"/>
    <n v="0"/>
    <x v="0"/>
    <x v="0"/>
    <n v="0"/>
  </r>
  <r>
    <n v="425118000000"/>
    <x v="0"/>
    <x v="44"/>
    <x v="4"/>
    <s v="FORTE SAO JOAO"/>
    <d v="2016-04-26T00:00:00"/>
    <d v="2016-05-24T00:00:00"/>
    <x v="4"/>
    <x v="64"/>
    <x v="1"/>
    <n v="0"/>
    <x v="1"/>
    <n v="0"/>
    <n v="0"/>
    <n v="0"/>
    <x v="0"/>
    <x v="1"/>
    <n v="1"/>
  </r>
  <r>
    <n v="6754980000000"/>
    <x v="1"/>
    <x v="65"/>
    <x v="2"/>
    <s v="PIEDADE"/>
    <d v="2016-04-26T00:00:00"/>
    <d v="2016-05-04T00:00:00"/>
    <x v="1"/>
    <x v="88"/>
    <x v="2"/>
    <n v="0"/>
    <x v="1"/>
    <n v="0"/>
    <n v="0"/>
    <n v="0"/>
    <x v="0"/>
    <x v="1"/>
    <n v="1"/>
  </r>
  <r>
    <n v="75176400000000"/>
    <x v="0"/>
    <x v="15"/>
    <x v="3"/>
    <s v="SANTO ANTONIO"/>
    <d v="2016-04-26T00:00:00"/>
    <d v="2016-05-11T00:00:00"/>
    <x v="1"/>
    <x v="79"/>
    <x v="1"/>
    <n v="0"/>
    <x v="1"/>
    <n v="0"/>
    <n v="0"/>
    <n v="0"/>
    <x v="0"/>
    <x v="0"/>
    <n v="0"/>
  </r>
  <r>
    <n v="432270000000000"/>
    <x v="0"/>
    <x v="15"/>
    <x v="3"/>
    <s v="REDENCAO"/>
    <d v="2016-04-26T00:00:00"/>
    <d v="2016-05-30T00:00:00"/>
    <x v="2"/>
    <x v="58"/>
    <x v="0"/>
    <n v="1"/>
    <x v="0"/>
    <n v="0"/>
    <n v="0"/>
    <n v="0"/>
    <x v="0"/>
    <x v="1"/>
    <n v="1"/>
  </r>
  <r>
    <n v="8475230000000"/>
    <x v="0"/>
    <x v="87"/>
    <x v="1"/>
    <s v="MARUIPE"/>
    <d v="2016-04-26T00:00:00"/>
    <d v="2016-05-31T00:00:00"/>
    <x v="4"/>
    <x v="59"/>
    <x v="0"/>
    <n v="1"/>
    <x v="1"/>
    <n v="0"/>
    <n v="0"/>
    <n v="0"/>
    <x v="0"/>
    <x v="0"/>
    <n v="0"/>
  </r>
  <r>
    <n v="38454900000000"/>
    <x v="0"/>
    <x v="75"/>
    <x v="5"/>
    <s v="ILHA DE SANTA MARIA"/>
    <d v="2016-04-26T00:00:00"/>
    <d v="2016-05-09T00:00:00"/>
    <x v="2"/>
    <x v="82"/>
    <x v="2"/>
    <n v="0"/>
    <x v="1"/>
    <n v="0"/>
    <n v="0"/>
    <n v="0"/>
    <x v="1"/>
    <x v="0"/>
    <n v="0"/>
  </r>
  <r>
    <n v="57464800000000"/>
    <x v="1"/>
    <x v="62"/>
    <x v="3"/>
    <s v="SANTO ANTONIO"/>
    <d v="2016-04-26T00:00:00"/>
    <d v="2016-05-13T00:00:00"/>
    <x v="0"/>
    <x v="75"/>
    <x v="1"/>
    <n v="0"/>
    <x v="1"/>
    <n v="0"/>
    <n v="0"/>
    <n v="0"/>
    <x v="1"/>
    <x v="0"/>
    <n v="0"/>
  </r>
  <r>
    <n v="77538200000000"/>
    <x v="0"/>
    <x v="79"/>
    <x v="5"/>
    <s v="MONTE BELO"/>
    <d v="2016-04-26T00:00:00"/>
    <d v="2016-05-25T00:00:00"/>
    <x v="1"/>
    <x v="63"/>
    <x v="1"/>
    <n v="0"/>
    <x v="1"/>
    <n v="0"/>
    <n v="0"/>
    <n v="0"/>
    <x v="0"/>
    <x v="0"/>
    <n v="0"/>
  </r>
  <r>
    <n v="914618000000000"/>
    <x v="0"/>
    <x v="92"/>
    <x v="0"/>
    <s v="MARIA ORTIZ"/>
    <d v="2016-04-26T00:00:00"/>
    <d v="2016-05-31T00:00:00"/>
    <x v="4"/>
    <x v="59"/>
    <x v="0"/>
    <n v="0"/>
    <x v="1"/>
    <n v="0"/>
    <n v="0"/>
    <n v="0"/>
    <x v="0"/>
    <x v="0"/>
    <n v="0"/>
  </r>
  <r>
    <n v="9213470000000"/>
    <x v="0"/>
    <x v="24"/>
    <x v="1"/>
    <s v="MARIA ORTIZ"/>
    <d v="2016-04-26T00:00:00"/>
    <d v="2016-05-31T00:00:00"/>
    <x v="4"/>
    <x v="59"/>
    <x v="0"/>
    <n v="0"/>
    <x v="1"/>
    <n v="0"/>
    <n v="0"/>
    <n v="0"/>
    <x v="0"/>
    <x v="0"/>
    <n v="0"/>
  </r>
  <r>
    <n v="661197000000000"/>
    <x v="0"/>
    <x v="46"/>
    <x v="2"/>
    <s v="BONFIM"/>
    <d v="2016-04-26T00:00:00"/>
    <d v="2016-05-18T00:00:00"/>
    <x v="1"/>
    <x v="71"/>
    <x v="1"/>
    <n v="0"/>
    <x v="1"/>
    <n v="0"/>
    <n v="0"/>
    <n v="0"/>
    <x v="1"/>
    <x v="0"/>
    <n v="0"/>
  </r>
  <r>
    <n v="99392000000000"/>
    <x v="0"/>
    <x v="17"/>
    <x v="4"/>
    <s v="ITARARE"/>
    <d v="2016-04-26T00:00:00"/>
    <d v="2016-05-31T00:00:00"/>
    <x v="4"/>
    <x v="59"/>
    <x v="0"/>
    <n v="0"/>
    <x v="1"/>
    <n v="0"/>
    <n v="0"/>
    <n v="0"/>
    <x v="1"/>
    <x v="0"/>
    <n v="0"/>
  </r>
  <r>
    <n v="55826800000000"/>
    <x v="0"/>
    <x v="3"/>
    <x v="0"/>
    <s v="TABUAZEIRO"/>
    <d v="2016-04-26T00:00:00"/>
    <d v="2016-05-10T00:00:00"/>
    <x v="4"/>
    <x v="80"/>
    <x v="2"/>
    <n v="0"/>
    <x v="1"/>
    <n v="0"/>
    <n v="0"/>
    <n v="0"/>
    <x v="0"/>
    <x v="0"/>
    <n v="0"/>
  </r>
  <r>
    <n v="92627500000000"/>
    <x v="1"/>
    <x v="81"/>
    <x v="5"/>
    <s v="PRAIA DO SUA"/>
    <d v="2016-04-26T00:00:00"/>
    <d v="2016-05-11T00:00:00"/>
    <x v="1"/>
    <x v="79"/>
    <x v="1"/>
    <n v="0"/>
    <x v="1"/>
    <n v="0"/>
    <n v="0"/>
    <n v="0"/>
    <x v="0"/>
    <x v="0"/>
    <n v="0"/>
  </r>
  <r>
    <n v="389252000000"/>
    <x v="0"/>
    <x v="59"/>
    <x v="2"/>
    <s v="GURIGICA"/>
    <d v="2016-04-26T00:00:00"/>
    <d v="2016-05-09T00:00:00"/>
    <x v="2"/>
    <x v="82"/>
    <x v="2"/>
    <n v="1"/>
    <x v="1"/>
    <n v="0"/>
    <n v="0"/>
    <n v="0"/>
    <x v="1"/>
    <x v="0"/>
    <n v="0"/>
  </r>
  <r>
    <n v="489923000000000"/>
    <x v="0"/>
    <x v="36"/>
    <x v="3"/>
    <s v="SAO CRISTOVAO"/>
    <d v="2016-04-26T00:00:00"/>
    <d v="2016-05-11T00:00:00"/>
    <x v="1"/>
    <x v="79"/>
    <x v="1"/>
    <n v="0"/>
    <x v="0"/>
    <n v="0"/>
    <n v="0"/>
    <n v="0"/>
    <x v="0"/>
    <x v="1"/>
    <n v="1"/>
  </r>
  <r>
    <n v="4168390000000"/>
    <x v="1"/>
    <x v="64"/>
    <x v="3"/>
    <s v="MARUIPE"/>
    <d v="2016-04-26T00:00:00"/>
    <d v="2016-05-04T00:00:00"/>
    <x v="1"/>
    <x v="88"/>
    <x v="2"/>
    <n v="0"/>
    <x v="0"/>
    <n v="0"/>
    <n v="0"/>
    <n v="0"/>
    <x v="0"/>
    <x v="0"/>
    <n v="0"/>
  </r>
  <r>
    <n v="62183600000000"/>
    <x v="0"/>
    <x v="12"/>
    <x v="3"/>
    <s v="JABOUR"/>
    <d v="2016-04-26T00:00:00"/>
    <d v="2016-05-24T00:00:00"/>
    <x v="4"/>
    <x v="64"/>
    <x v="1"/>
    <n v="0"/>
    <x v="1"/>
    <n v="0"/>
    <n v="0"/>
    <n v="0"/>
    <x v="0"/>
    <x v="0"/>
    <n v="0"/>
  </r>
  <r>
    <n v="525177000000000"/>
    <x v="1"/>
    <x v="62"/>
    <x v="3"/>
    <s v="ROMAO"/>
    <d v="2016-04-26T00:00:00"/>
    <d v="2016-05-10T00:00:00"/>
    <x v="4"/>
    <x v="80"/>
    <x v="2"/>
    <n v="0"/>
    <x v="1"/>
    <n v="0"/>
    <n v="0"/>
    <n v="0"/>
    <x v="1"/>
    <x v="0"/>
    <n v="0"/>
  </r>
  <r>
    <n v="677389000000"/>
    <x v="0"/>
    <x v="44"/>
    <x v="4"/>
    <s v="GRANDE VITORIA"/>
    <d v="2016-04-26T00:00:00"/>
    <d v="2016-05-11T00:00:00"/>
    <x v="1"/>
    <x v="79"/>
    <x v="1"/>
    <n v="0"/>
    <x v="1"/>
    <n v="0"/>
    <n v="0"/>
    <n v="0"/>
    <x v="0"/>
    <x v="0"/>
    <n v="0"/>
  </r>
  <r>
    <n v="38116000000000"/>
    <x v="0"/>
    <x v="15"/>
    <x v="3"/>
    <s v="SANTA MARTHA"/>
    <d v="2016-04-26T00:00:00"/>
    <d v="2016-05-18T00:00:00"/>
    <x v="1"/>
    <x v="71"/>
    <x v="1"/>
    <n v="0"/>
    <x v="1"/>
    <n v="0"/>
    <n v="0"/>
    <n v="0"/>
    <x v="1"/>
    <x v="0"/>
    <n v="0"/>
  </r>
  <r>
    <n v="69718100000000"/>
    <x v="0"/>
    <x v="22"/>
    <x v="4"/>
    <s v="TABUAZEIRO"/>
    <d v="2016-04-26T00:00:00"/>
    <d v="2016-04-29T00:00:00"/>
    <x v="0"/>
    <x v="89"/>
    <x v="4"/>
    <n v="0"/>
    <x v="1"/>
    <n v="0"/>
    <n v="0"/>
    <n v="0"/>
    <x v="0"/>
    <x v="0"/>
    <n v="0"/>
  </r>
  <r>
    <n v="91153400000000"/>
    <x v="0"/>
    <x v="71"/>
    <x v="4"/>
    <s v="MONTE BELO"/>
    <d v="2016-04-26T00:00:00"/>
    <d v="2016-05-03T00:00:00"/>
    <x v="4"/>
    <x v="87"/>
    <x v="3"/>
    <n v="0"/>
    <x v="1"/>
    <n v="0"/>
    <n v="0"/>
    <n v="0"/>
    <x v="0"/>
    <x v="0"/>
    <n v="0"/>
  </r>
  <r>
    <n v="273996000000"/>
    <x v="0"/>
    <x v="41"/>
    <x v="4"/>
    <s v="SANTO ANDRE"/>
    <d v="2016-04-26T00:00:00"/>
    <d v="2016-05-11T00:00:00"/>
    <x v="1"/>
    <x v="79"/>
    <x v="1"/>
    <n v="0"/>
    <x v="1"/>
    <n v="0"/>
    <n v="0"/>
    <n v="0"/>
    <x v="1"/>
    <x v="0"/>
    <n v="0"/>
  </r>
  <r>
    <n v="2651850000000"/>
    <x v="1"/>
    <x v="59"/>
    <x v="2"/>
    <s v="RESISTENCIA"/>
    <d v="2016-04-26T00:00:00"/>
    <d v="2016-05-12T00:00:00"/>
    <x v="3"/>
    <x v="78"/>
    <x v="1"/>
    <n v="0"/>
    <x v="1"/>
    <n v="0"/>
    <n v="1"/>
    <n v="0"/>
    <x v="0"/>
    <x v="1"/>
    <n v="1"/>
  </r>
  <r>
    <n v="731880000000000"/>
    <x v="0"/>
    <x v="64"/>
    <x v="3"/>
    <s v="CENTRO"/>
    <d v="2016-04-26T00:00:00"/>
    <d v="2016-05-13T00:00:00"/>
    <x v="0"/>
    <x v="75"/>
    <x v="1"/>
    <n v="0"/>
    <x v="1"/>
    <n v="1"/>
    <n v="0"/>
    <n v="0"/>
    <x v="1"/>
    <x v="0"/>
    <n v="0"/>
  </r>
  <r>
    <n v="566648000000000"/>
    <x v="0"/>
    <x v="46"/>
    <x v="2"/>
    <s v="SANTO ANDRE"/>
    <d v="2016-04-26T00:00:00"/>
    <d v="2016-05-05T00:00:00"/>
    <x v="3"/>
    <x v="85"/>
    <x v="2"/>
    <n v="0"/>
    <x v="1"/>
    <n v="0"/>
    <n v="0"/>
    <n v="0"/>
    <x v="1"/>
    <x v="1"/>
    <n v="1"/>
  </r>
  <r>
    <n v="86237900000000"/>
    <x v="1"/>
    <x v="4"/>
    <x v="2"/>
    <s v="SANTO ANDRE"/>
    <d v="2016-04-26T00:00:00"/>
    <d v="2016-05-19T00:00:00"/>
    <x v="3"/>
    <x v="67"/>
    <x v="1"/>
    <n v="0"/>
    <x v="1"/>
    <n v="0"/>
    <n v="0"/>
    <n v="0"/>
    <x v="1"/>
    <x v="1"/>
    <n v="1"/>
  </r>
  <r>
    <n v="7222380000000"/>
    <x v="1"/>
    <x v="55"/>
    <x v="2"/>
    <s v="CARATOIRA"/>
    <d v="2016-04-26T00:00:00"/>
    <d v="2016-05-02T00:00:00"/>
    <x v="2"/>
    <x v="90"/>
    <x v="3"/>
    <n v="0"/>
    <x v="1"/>
    <n v="0"/>
    <n v="0"/>
    <n v="0"/>
    <x v="1"/>
    <x v="0"/>
    <n v="0"/>
  </r>
  <r>
    <n v="2223370000000"/>
    <x v="0"/>
    <x v="4"/>
    <x v="2"/>
    <s v="GURIGICA"/>
    <d v="2016-04-26T00:00:00"/>
    <d v="2016-05-16T00:00:00"/>
    <x v="2"/>
    <x v="76"/>
    <x v="1"/>
    <n v="0"/>
    <x v="1"/>
    <n v="0"/>
    <n v="0"/>
    <n v="0"/>
    <x v="1"/>
    <x v="1"/>
    <n v="1"/>
  </r>
  <r>
    <n v="6583920000000"/>
    <x v="0"/>
    <x v="17"/>
    <x v="4"/>
    <s v="SANTO ANDRE"/>
    <d v="2016-04-26T00:00:00"/>
    <d v="2016-05-16T00:00:00"/>
    <x v="2"/>
    <x v="76"/>
    <x v="1"/>
    <n v="0"/>
    <x v="1"/>
    <n v="0"/>
    <n v="0"/>
    <n v="0"/>
    <x v="1"/>
    <x v="0"/>
    <n v="0"/>
  </r>
  <r>
    <n v="599683000000000"/>
    <x v="1"/>
    <x v="46"/>
    <x v="2"/>
    <s v="NOVA PALESTINA"/>
    <d v="2016-04-26T00:00:00"/>
    <d v="2016-05-04T00:00:00"/>
    <x v="1"/>
    <x v="88"/>
    <x v="2"/>
    <n v="0"/>
    <x v="1"/>
    <n v="0"/>
    <n v="0"/>
    <n v="0"/>
    <x v="1"/>
    <x v="1"/>
    <n v="1"/>
  </r>
  <r>
    <n v="684164000000000"/>
    <x v="0"/>
    <x v="49"/>
    <x v="4"/>
    <s v="SANTO ANTONIO"/>
    <d v="2016-04-26T00:00:00"/>
    <d v="2016-05-11T00:00:00"/>
    <x v="1"/>
    <x v="79"/>
    <x v="1"/>
    <n v="0"/>
    <x v="1"/>
    <n v="0"/>
    <n v="0"/>
    <n v="0"/>
    <x v="0"/>
    <x v="0"/>
    <n v="0"/>
  </r>
  <r>
    <n v="767319000000000"/>
    <x v="0"/>
    <x v="1"/>
    <x v="0"/>
    <s v="JARDIM CAMBURI"/>
    <d v="2016-04-26T00:00:00"/>
    <d v="2016-05-18T00:00:00"/>
    <x v="1"/>
    <x v="71"/>
    <x v="1"/>
    <n v="0"/>
    <x v="1"/>
    <n v="0"/>
    <n v="0"/>
    <n v="0"/>
    <x v="1"/>
    <x v="1"/>
    <n v="1"/>
  </r>
  <r>
    <n v="1847530000000"/>
    <x v="1"/>
    <x v="46"/>
    <x v="2"/>
    <s v="SAO JOSE"/>
    <d v="2016-04-26T00:00:00"/>
    <d v="2016-05-19T00:00:00"/>
    <x v="3"/>
    <x v="67"/>
    <x v="1"/>
    <n v="0"/>
    <x v="1"/>
    <n v="0"/>
    <n v="0"/>
    <n v="0"/>
    <x v="1"/>
    <x v="0"/>
    <n v="0"/>
  </r>
  <r>
    <n v="6329460000000"/>
    <x v="1"/>
    <x v="46"/>
    <x v="2"/>
    <s v="SAO PEDRO"/>
    <d v="2016-04-26T00:00:00"/>
    <d v="2016-05-19T00:00:00"/>
    <x v="3"/>
    <x v="67"/>
    <x v="1"/>
    <n v="0"/>
    <x v="1"/>
    <n v="0"/>
    <n v="0"/>
    <n v="0"/>
    <x v="1"/>
    <x v="0"/>
    <n v="0"/>
  </r>
  <r>
    <n v="3699820000000"/>
    <x v="0"/>
    <x v="38"/>
    <x v="4"/>
    <s v="JARDIM CAMBURI"/>
    <d v="2016-04-26T00:00:00"/>
    <d v="2016-05-17T00:00:00"/>
    <x v="4"/>
    <x v="73"/>
    <x v="1"/>
    <n v="0"/>
    <x v="1"/>
    <n v="0"/>
    <n v="0"/>
    <n v="0"/>
    <x v="1"/>
    <x v="0"/>
    <n v="0"/>
  </r>
  <r>
    <n v="54194000000000"/>
    <x v="0"/>
    <x v="19"/>
    <x v="2"/>
    <s v="FONTE GRANDE"/>
    <d v="2016-04-26T00:00:00"/>
    <d v="2016-05-10T00:00:00"/>
    <x v="4"/>
    <x v="80"/>
    <x v="2"/>
    <n v="1"/>
    <x v="1"/>
    <n v="0"/>
    <n v="0"/>
    <n v="0"/>
    <x v="0"/>
    <x v="0"/>
    <n v="0"/>
  </r>
  <r>
    <n v="118549000000000"/>
    <x v="0"/>
    <x v="69"/>
    <x v="4"/>
    <s v="CARATOIRA"/>
    <d v="2016-04-26T00:00:00"/>
    <d v="2016-06-01T00:00:00"/>
    <x v="1"/>
    <x v="55"/>
    <x v="0"/>
    <n v="1"/>
    <x v="1"/>
    <n v="0"/>
    <n v="0"/>
    <n v="0"/>
    <x v="1"/>
    <x v="1"/>
    <n v="1"/>
  </r>
  <r>
    <n v="8214390000000"/>
    <x v="1"/>
    <x v="46"/>
    <x v="2"/>
    <s v="DA PENHA"/>
    <d v="2016-04-26T00:00:00"/>
    <d v="2016-05-04T00:00:00"/>
    <x v="1"/>
    <x v="88"/>
    <x v="2"/>
    <n v="0"/>
    <x v="1"/>
    <n v="0"/>
    <n v="0"/>
    <n v="0"/>
    <x v="1"/>
    <x v="0"/>
    <n v="0"/>
  </r>
  <r>
    <n v="7474260000000"/>
    <x v="0"/>
    <x v="54"/>
    <x v="1"/>
    <s v="NOVA PALESTINA"/>
    <d v="2016-04-26T00:00:00"/>
    <d v="2016-05-13T00:00:00"/>
    <x v="0"/>
    <x v="75"/>
    <x v="1"/>
    <n v="1"/>
    <x v="1"/>
    <n v="0"/>
    <n v="0"/>
    <n v="0"/>
    <x v="1"/>
    <x v="1"/>
    <n v="1"/>
  </r>
  <r>
    <n v="975223000000"/>
    <x v="0"/>
    <x v="20"/>
    <x v="0"/>
    <s v="SAO CRISTOVAO"/>
    <d v="2016-04-26T00:00:00"/>
    <d v="2016-06-03T00:00:00"/>
    <x v="0"/>
    <x v="52"/>
    <x v="0"/>
    <n v="0"/>
    <x v="1"/>
    <n v="0"/>
    <n v="0"/>
    <n v="0"/>
    <x v="0"/>
    <x v="0"/>
    <n v="0"/>
  </r>
  <r>
    <n v="272696000000000"/>
    <x v="0"/>
    <x v="81"/>
    <x v="5"/>
    <s v="CRUZAMENTO"/>
    <d v="2016-04-26T00:00:00"/>
    <d v="2016-06-01T00:00:00"/>
    <x v="1"/>
    <x v="55"/>
    <x v="0"/>
    <n v="0"/>
    <x v="1"/>
    <n v="0"/>
    <n v="0"/>
    <n v="0"/>
    <x v="0"/>
    <x v="1"/>
    <n v="1"/>
  </r>
  <r>
    <n v="5365480000000"/>
    <x v="1"/>
    <x v="85"/>
    <x v="0"/>
    <s v="ITARARE"/>
    <d v="2016-04-26T00:00:00"/>
    <d v="2016-05-31T00:00:00"/>
    <x v="4"/>
    <x v="59"/>
    <x v="0"/>
    <n v="0"/>
    <x v="0"/>
    <n v="0"/>
    <n v="0"/>
    <n v="0"/>
    <x v="0"/>
    <x v="0"/>
    <n v="0"/>
  </r>
  <r>
    <n v="7653370000000"/>
    <x v="1"/>
    <x v="51"/>
    <x v="2"/>
    <s v="CARATOIRA"/>
    <d v="2016-04-26T00:00:00"/>
    <d v="2016-06-01T00:00:00"/>
    <x v="1"/>
    <x v="55"/>
    <x v="0"/>
    <n v="0"/>
    <x v="1"/>
    <n v="0"/>
    <n v="0"/>
    <n v="0"/>
    <x v="1"/>
    <x v="0"/>
    <n v="0"/>
  </r>
  <r>
    <n v="7226370000000"/>
    <x v="0"/>
    <x v="31"/>
    <x v="1"/>
    <s v="BARRO VERMELHO"/>
    <d v="2016-04-26T00:00:00"/>
    <d v="2016-05-03T00:00:00"/>
    <x v="4"/>
    <x v="87"/>
    <x v="3"/>
    <n v="0"/>
    <x v="1"/>
    <n v="0"/>
    <n v="0"/>
    <n v="0"/>
    <x v="0"/>
    <x v="0"/>
    <n v="0"/>
  </r>
  <r>
    <n v="7756470000000"/>
    <x v="1"/>
    <x v="73"/>
    <x v="4"/>
    <s v="SANTA MARTHA"/>
    <d v="2016-04-26T00:00:00"/>
    <d v="2016-05-05T00:00:00"/>
    <x v="3"/>
    <x v="85"/>
    <x v="2"/>
    <n v="0"/>
    <x v="0"/>
    <n v="0"/>
    <n v="0"/>
    <n v="0"/>
    <x v="0"/>
    <x v="0"/>
    <n v="0"/>
  </r>
  <r>
    <n v="82122700000000"/>
    <x v="0"/>
    <x v="13"/>
    <x v="0"/>
    <s v="CARATOIRA"/>
    <d v="2016-04-26T00:00:00"/>
    <d v="2016-05-05T00:00:00"/>
    <x v="3"/>
    <x v="85"/>
    <x v="2"/>
    <n v="0"/>
    <x v="0"/>
    <n v="0"/>
    <n v="0"/>
    <n v="0"/>
    <x v="0"/>
    <x v="0"/>
    <n v="0"/>
  </r>
  <r>
    <n v="6245550000000"/>
    <x v="0"/>
    <x v="38"/>
    <x v="4"/>
    <s v="CRUZAMENTO"/>
    <d v="2016-04-26T00:00:00"/>
    <d v="2016-05-02T00:00:00"/>
    <x v="2"/>
    <x v="90"/>
    <x v="3"/>
    <n v="1"/>
    <x v="1"/>
    <n v="0"/>
    <n v="0"/>
    <n v="0"/>
    <x v="0"/>
    <x v="0"/>
    <n v="0"/>
  </r>
  <r>
    <n v="8484930000000"/>
    <x v="0"/>
    <x v="28"/>
    <x v="3"/>
    <s v="ILHA DE SANTA MARIA"/>
    <d v="2016-04-26T00:00:00"/>
    <d v="2016-05-10T00:00:00"/>
    <x v="4"/>
    <x v="80"/>
    <x v="2"/>
    <n v="0"/>
    <x v="1"/>
    <n v="0"/>
    <n v="0"/>
    <n v="0"/>
    <x v="0"/>
    <x v="1"/>
    <n v="1"/>
  </r>
  <r>
    <n v="85766400000000"/>
    <x v="0"/>
    <x v="77"/>
    <x v="4"/>
    <s v="SANTO ANDRE"/>
    <d v="2016-04-26T00:00:00"/>
    <d v="2016-05-10T00:00:00"/>
    <x v="4"/>
    <x v="80"/>
    <x v="2"/>
    <n v="1"/>
    <x v="1"/>
    <n v="0"/>
    <n v="0"/>
    <n v="0"/>
    <x v="0"/>
    <x v="0"/>
    <n v="0"/>
  </r>
  <r>
    <n v="1257286674"/>
    <x v="0"/>
    <x v="39"/>
    <x v="4"/>
    <s v="SAO BENEDITO"/>
    <d v="2016-04-26T00:00:00"/>
    <d v="2016-05-10T00:00:00"/>
    <x v="4"/>
    <x v="80"/>
    <x v="2"/>
    <n v="0"/>
    <x v="1"/>
    <n v="0"/>
    <n v="0"/>
    <n v="0"/>
    <x v="0"/>
    <x v="0"/>
    <n v="0"/>
  </r>
  <r>
    <n v="98396600000000"/>
    <x v="0"/>
    <x v="68"/>
    <x v="4"/>
    <s v="SANTO ANTONIO"/>
    <d v="2016-04-26T00:00:00"/>
    <d v="2016-04-29T00:00:00"/>
    <x v="0"/>
    <x v="89"/>
    <x v="4"/>
    <n v="0"/>
    <x v="1"/>
    <n v="0"/>
    <n v="0"/>
    <n v="0"/>
    <x v="0"/>
    <x v="0"/>
    <n v="0"/>
  </r>
  <r>
    <n v="36748300000000"/>
    <x v="1"/>
    <x v="24"/>
    <x v="1"/>
    <s v="GRANDE VITORIA"/>
    <d v="2016-04-26T00:00:00"/>
    <d v="2016-05-12T00:00:00"/>
    <x v="3"/>
    <x v="78"/>
    <x v="1"/>
    <n v="0"/>
    <x v="0"/>
    <n v="0"/>
    <n v="0"/>
    <n v="0"/>
    <x v="0"/>
    <x v="0"/>
    <n v="0"/>
  </r>
  <r>
    <n v="916623000000"/>
    <x v="0"/>
    <x v="5"/>
    <x v="1"/>
    <s v="REDENCAO"/>
    <d v="2016-04-26T00:00:00"/>
    <d v="2016-05-03T00:00:00"/>
    <x v="4"/>
    <x v="87"/>
    <x v="3"/>
    <n v="0"/>
    <x v="1"/>
    <n v="0"/>
    <n v="0"/>
    <n v="0"/>
    <x v="0"/>
    <x v="0"/>
    <n v="0"/>
  </r>
  <r>
    <n v="8216490000000"/>
    <x v="0"/>
    <x v="15"/>
    <x v="3"/>
    <s v="CONSOLACAO"/>
    <d v="2016-04-26T00:00:00"/>
    <d v="2016-05-05T00:00:00"/>
    <x v="3"/>
    <x v="85"/>
    <x v="2"/>
    <n v="0"/>
    <x v="0"/>
    <n v="1"/>
    <n v="0"/>
    <n v="0"/>
    <x v="0"/>
    <x v="1"/>
    <n v="1"/>
  </r>
  <r>
    <n v="638952000000000"/>
    <x v="1"/>
    <x v="36"/>
    <x v="3"/>
    <s v="CONSOLACAO"/>
    <d v="2016-04-26T00:00:00"/>
    <d v="2016-05-05T00:00:00"/>
    <x v="3"/>
    <x v="85"/>
    <x v="2"/>
    <n v="0"/>
    <x v="0"/>
    <n v="0"/>
    <n v="0"/>
    <n v="0"/>
    <x v="0"/>
    <x v="0"/>
    <n v="0"/>
  </r>
  <r>
    <n v="4747340000000"/>
    <x v="1"/>
    <x v="57"/>
    <x v="2"/>
    <s v="JARDIM CAMBURI"/>
    <d v="2016-04-26T00:00:00"/>
    <d v="2016-05-18T00:00:00"/>
    <x v="1"/>
    <x v="71"/>
    <x v="1"/>
    <n v="0"/>
    <x v="1"/>
    <n v="0"/>
    <n v="0"/>
    <n v="0"/>
    <x v="1"/>
    <x v="1"/>
    <n v="1"/>
  </r>
  <r>
    <n v="419759000000000"/>
    <x v="0"/>
    <x v="56"/>
    <x v="1"/>
    <s v="DA PENHA"/>
    <d v="2016-04-26T00:00:00"/>
    <d v="2016-05-25T00:00:00"/>
    <x v="1"/>
    <x v="63"/>
    <x v="1"/>
    <n v="0"/>
    <x v="1"/>
    <n v="0"/>
    <n v="0"/>
    <n v="0"/>
    <x v="0"/>
    <x v="0"/>
    <n v="0"/>
  </r>
  <r>
    <n v="89319000000000"/>
    <x v="1"/>
    <x v="40"/>
    <x v="1"/>
    <s v="CONSOLACAO"/>
    <d v="2016-04-26T00:00:00"/>
    <d v="2016-05-04T00:00:00"/>
    <x v="1"/>
    <x v="88"/>
    <x v="2"/>
    <n v="0"/>
    <x v="1"/>
    <n v="0"/>
    <n v="0"/>
    <n v="0"/>
    <x v="1"/>
    <x v="0"/>
    <n v="0"/>
  </r>
  <r>
    <n v="566723000000"/>
    <x v="0"/>
    <x v="81"/>
    <x v="5"/>
    <s v="GURIGICA"/>
    <d v="2016-04-26T00:00:00"/>
    <d v="2016-05-19T00:00:00"/>
    <x v="3"/>
    <x v="67"/>
    <x v="1"/>
    <n v="0"/>
    <x v="1"/>
    <n v="0"/>
    <n v="0"/>
    <n v="0"/>
    <x v="1"/>
    <x v="0"/>
    <n v="0"/>
  </r>
  <r>
    <n v="617369000000"/>
    <x v="0"/>
    <x v="54"/>
    <x v="1"/>
    <s v="DO QUADRO"/>
    <d v="2016-04-26T00:00:00"/>
    <d v="2016-05-03T00:00:00"/>
    <x v="4"/>
    <x v="87"/>
    <x v="3"/>
    <n v="1"/>
    <x v="1"/>
    <n v="0"/>
    <n v="0"/>
    <n v="1"/>
    <x v="0"/>
    <x v="1"/>
    <n v="1"/>
  </r>
  <r>
    <n v="26899700000000"/>
    <x v="1"/>
    <x v="79"/>
    <x v="5"/>
    <s v="SANTO ANTONIO"/>
    <d v="2016-04-26T00:00:00"/>
    <d v="2016-04-29T00:00:00"/>
    <x v="0"/>
    <x v="89"/>
    <x v="4"/>
    <n v="0"/>
    <x v="1"/>
    <n v="0"/>
    <n v="0"/>
    <n v="0"/>
    <x v="1"/>
    <x v="1"/>
    <n v="1"/>
  </r>
  <r>
    <n v="85957300000000"/>
    <x v="1"/>
    <x v="64"/>
    <x v="3"/>
    <s v="DA PENHA"/>
    <d v="2016-04-26T00:00:00"/>
    <d v="2016-05-31T00:00:00"/>
    <x v="4"/>
    <x v="59"/>
    <x v="0"/>
    <n v="0"/>
    <x v="1"/>
    <n v="0"/>
    <n v="0"/>
    <n v="0"/>
    <x v="0"/>
    <x v="0"/>
    <n v="0"/>
  </r>
  <r>
    <n v="589894000000"/>
    <x v="0"/>
    <x v="18"/>
    <x v="0"/>
    <s v="ILHA DE SANTA MARIA"/>
    <d v="2016-04-26T00:00:00"/>
    <d v="2016-05-02T00:00:00"/>
    <x v="2"/>
    <x v="90"/>
    <x v="3"/>
    <n v="0"/>
    <x v="1"/>
    <n v="0"/>
    <n v="0"/>
    <n v="0"/>
    <x v="0"/>
    <x v="0"/>
    <n v="0"/>
  </r>
  <r>
    <n v="15982400000000"/>
    <x v="1"/>
    <x v="31"/>
    <x v="1"/>
    <s v="SANTO ANDRE"/>
    <d v="2016-04-26T00:00:00"/>
    <d v="2016-05-06T00:00:00"/>
    <x v="0"/>
    <x v="83"/>
    <x v="2"/>
    <n v="0"/>
    <x v="1"/>
    <n v="0"/>
    <n v="0"/>
    <n v="0"/>
    <x v="0"/>
    <x v="0"/>
    <n v="0"/>
  </r>
  <r>
    <n v="722455000000000"/>
    <x v="1"/>
    <x v="26"/>
    <x v="0"/>
    <s v="FORTE SAO JOAO"/>
    <d v="2016-04-26T00:00:00"/>
    <d v="2016-05-06T00:00:00"/>
    <x v="0"/>
    <x v="83"/>
    <x v="2"/>
    <n v="0"/>
    <x v="1"/>
    <n v="0"/>
    <n v="0"/>
    <n v="0"/>
    <x v="0"/>
    <x v="0"/>
    <n v="0"/>
  </r>
  <r>
    <n v="116585000000000"/>
    <x v="1"/>
    <x v="4"/>
    <x v="2"/>
    <s v="MARIA ORTIZ"/>
    <d v="2016-04-26T00:00:00"/>
    <d v="2016-05-31T00:00:00"/>
    <x v="4"/>
    <x v="59"/>
    <x v="0"/>
    <n v="0"/>
    <x v="1"/>
    <n v="0"/>
    <n v="0"/>
    <n v="0"/>
    <x v="1"/>
    <x v="0"/>
    <n v="0"/>
  </r>
  <r>
    <n v="7651180000000"/>
    <x v="1"/>
    <x v="31"/>
    <x v="1"/>
    <s v="JARDIM DA PENHA"/>
    <d v="2016-04-26T00:00:00"/>
    <d v="2016-05-13T00:00:00"/>
    <x v="0"/>
    <x v="75"/>
    <x v="1"/>
    <n v="0"/>
    <x v="1"/>
    <n v="0"/>
    <n v="0"/>
    <n v="0"/>
    <x v="1"/>
    <x v="0"/>
    <n v="0"/>
  </r>
  <r>
    <n v="46942200000000"/>
    <x v="0"/>
    <x v="21"/>
    <x v="1"/>
    <s v="MARIA ORTIZ"/>
    <d v="2016-04-26T00:00:00"/>
    <d v="2016-05-04T00:00:00"/>
    <x v="1"/>
    <x v="88"/>
    <x v="2"/>
    <n v="0"/>
    <x v="1"/>
    <n v="0"/>
    <n v="0"/>
    <n v="0"/>
    <x v="0"/>
    <x v="1"/>
    <n v="1"/>
  </r>
  <r>
    <n v="754476000000"/>
    <x v="1"/>
    <x v="37"/>
    <x v="3"/>
    <s v="JABOUR"/>
    <d v="2016-04-26T00:00:00"/>
    <d v="2016-05-04T00:00:00"/>
    <x v="1"/>
    <x v="88"/>
    <x v="2"/>
    <n v="0"/>
    <x v="1"/>
    <n v="0"/>
    <n v="0"/>
    <n v="0"/>
    <x v="0"/>
    <x v="0"/>
    <n v="0"/>
  </r>
  <r>
    <n v="386653000000000"/>
    <x v="0"/>
    <x v="5"/>
    <x v="1"/>
    <s v="GURIGICA"/>
    <d v="2016-04-26T00:00:00"/>
    <d v="2016-05-06T00:00:00"/>
    <x v="0"/>
    <x v="83"/>
    <x v="2"/>
    <n v="0"/>
    <x v="1"/>
    <n v="0"/>
    <n v="0"/>
    <n v="0"/>
    <x v="0"/>
    <x v="0"/>
    <n v="0"/>
  </r>
  <r>
    <n v="41821700000000"/>
    <x v="0"/>
    <x v="30"/>
    <x v="3"/>
    <s v="CARATOIRA"/>
    <d v="2016-04-26T00:00:00"/>
    <d v="2016-05-06T00:00:00"/>
    <x v="0"/>
    <x v="83"/>
    <x v="2"/>
    <n v="0"/>
    <x v="0"/>
    <n v="0"/>
    <n v="1"/>
    <n v="0"/>
    <x v="0"/>
    <x v="1"/>
    <n v="1"/>
  </r>
  <r>
    <n v="72649900000000"/>
    <x v="1"/>
    <x v="6"/>
    <x v="0"/>
    <s v="JABOUR"/>
    <d v="2016-04-26T00:00:00"/>
    <d v="2016-05-12T00:00:00"/>
    <x v="3"/>
    <x v="78"/>
    <x v="1"/>
    <n v="1"/>
    <x v="0"/>
    <n v="0"/>
    <n v="0"/>
    <n v="0"/>
    <x v="0"/>
    <x v="0"/>
    <n v="0"/>
  </r>
  <r>
    <n v="983874000000000"/>
    <x v="0"/>
    <x v="40"/>
    <x v="1"/>
    <s v="JESUS DE NAZARETH"/>
    <d v="2016-04-26T00:00:00"/>
    <d v="2016-04-29T00:00:00"/>
    <x v="0"/>
    <x v="89"/>
    <x v="4"/>
    <n v="0"/>
    <x v="0"/>
    <n v="0"/>
    <n v="0"/>
    <n v="0"/>
    <x v="1"/>
    <x v="1"/>
    <n v="1"/>
  </r>
  <r>
    <n v="4932910000000"/>
    <x v="1"/>
    <x v="19"/>
    <x v="2"/>
    <s v="SAO JOSE"/>
    <d v="2016-04-27T00:00:00"/>
    <d v="2016-04-29T00:00:00"/>
    <x v="0"/>
    <x v="91"/>
    <x v="4"/>
    <n v="0"/>
    <x v="1"/>
    <n v="0"/>
    <n v="0"/>
    <n v="0"/>
    <x v="1"/>
    <x v="0"/>
    <n v="0"/>
  </r>
  <r>
    <n v="111547000000"/>
    <x v="1"/>
    <x v="45"/>
    <x v="1"/>
    <s v="NOVA PALESTINA"/>
    <d v="2016-04-27T00:00:00"/>
    <d v="2016-04-29T00:00:00"/>
    <x v="0"/>
    <x v="91"/>
    <x v="4"/>
    <n v="0"/>
    <x v="1"/>
    <n v="0"/>
    <n v="1"/>
    <n v="0"/>
    <x v="1"/>
    <x v="1"/>
    <n v="1"/>
  </r>
  <r>
    <n v="2616700000000"/>
    <x v="0"/>
    <x v="62"/>
    <x v="3"/>
    <s v="ILHA DO PRINCIPE"/>
    <d v="2016-04-27T00:00:00"/>
    <d v="2016-04-29T00:00:00"/>
    <x v="0"/>
    <x v="91"/>
    <x v="4"/>
    <n v="0"/>
    <x v="1"/>
    <n v="0"/>
    <n v="0"/>
    <n v="0"/>
    <x v="1"/>
    <x v="0"/>
    <n v="0"/>
  </r>
  <r>
    <n v="6962860000000"/>
    <x v="1"/>
    <x v="32"/>
    <x v="4"/>
    <s v="SANTO ANDRE"/>
    <d v="2016-04-27T00:00:00"/>
    <d v="2016-05-02T00:00:00"/>
    <x v="2"/>
    <x v="92"/>
    <x v="3"/>
    <n v="0"/>
    <x v="1"/>
    <n v="0"/>
    <n v="0"/>
    <n v="0"/>
    <x v="0"/>
    <x v="0"/>
    <n v="0"/>
  </r>
  <r>
    <n v="171300000000000"/>
    <x v="0"/>
    <x v="69"/>
    <x v="4"/>
    <s v="MARUIPE"/>
    <d v="2016-04-27T00:00:00"/>
    <d v="2016-04-29T00:00:00"/>
    <x v="0"/>
    <x v="91"/>
    <x v="4"/>
    <n v="0"/>
    <x v="1"/>
    <n v="0"/>
    <n v="0"/>
    <n v="0"/>
    <x v="1"/>
    <x v="1"/>
    <n v="1"/>
  </r>
  <r>
    <n v="255724000000"/>
    <x v="0"/>
    <x v="28"/>
    <x v="3"/>
    <s v="JARDIM CAMBURI"/>
    <d v="2016-04-27T00:00:00"/>
    <d v="2016-04-29T00:00:00"/>
    <x v="0"/>
    <x v="91"/>
    <x v="4"/>
    <n v="0"/>
    <x v="1"/>
    <n v="0"/>
    <n v="0"/>
    <n v="0"/>
    <x v="1"/>
    <x v="0"/>
    <n v="0"/>
  </r>
  <r>
    <n v="4828330000000"/>
    <x v="1"/>
    <x v="10"/>
    <x v="4"/>
    <s v="DO CABRAL"/>
    <d v="2016-04-27T00:00:00"/>
    <d v="2016-05-02T00:00:00"/>
    <x v="2"/>
    <x v="92"/>
    <x v="3"/>
    <n v="0"/>
    <x v="1"/>
    <n v="0"/>
    <n v="0"/>
    <n v="0"/>
    <x v="0"/>
    <x v="0"/>
    <n v="0"/>
  </r>
  <r>
    <n v="99552200000000"/>
    <x v="0"/>
    <x v="42"/>
    <x v="3"/>
    <s v="ILHA DAS CAIEIRAS"/>
    <d v="2016-04-27T00:00:00"/>
    <d v="2016-05-05T00:00:00"/>
    <x v="3"/>
    <x v="88"/>
    <x v="2"/>
    <n v="0"/>
    <x v="1"/>
    <n v="0"/>
    <n v="0"/>
    <n v="0"/>
    <x v="0"/>
    <x v="0"/>
    <n v="0"/>
  </r>
  <r>
    <n v="466292000000000"/>
    <x v="0"/>
    <x v="79"/>
    <x v="5"/>
    <s v="BELA VISTA"/>
    <d v="2016-04-27T00:00:00"/>
    <d v="2016-05-11T00:00:00"/>
    <x v="1"/>
    <x v="80"/>
    <x v="2"/>
    <n v="0"/>
    <x v="1"/>
    <n v="0"/>
    <n v="0"/>
    <n v="0"/>
    <x v="0"/>
    <x v="1"/>
    <n v="1"/>
  </r>
  <r>
    <n v="91396100000000"/>
    <x v="1"/>
    <x v="69"/>
    <x v="4"/>
    <s v="ILHA DO PRINCIPE"/>
    <d v="2016-04-27T00:00:00"/>
    <d v="2016-05-04T00:00:00"/>
    <x v="1"/>
    <x v="87"/>
    <x v="3"/>
    <n v="0"/>
    <x v="1"/>
    <n v="0"/>
    <n v="0"/>
    <n v="0"/>
    <x v="0"/>
    <x v="0"/>
    <n v="0"/>
  </r>
  <r>
    <n v="78214700000000"/>
    <x v="1"/>
    <x v="26"/>
    <x v="0"/>
    <s v="SANTO ANDRE"/>
    <d v="2016-04-27T00:00:00"/>
    <d v="2016-05-05T00:00:00"/>
    <x v="3"/>
    <x v="88"/>
    <x v="2"/>
    <n v="0"/>
    <x v="0"/>
    <n v="0"/>
    <n v="0"/>
    <n v="0"/>
    <x v="0"/>
    <x v="1"/>
    <n v="1"/>
  </r>
  <r>
    <n v="15935500000000"/>
    <x v="0"/>
    <x v="24"/>
    <x v="1"/>
    <s v="INHANGUETA"/>
    <d v="2016-04-27T00:00:00"/>
    <d v="2016-05-03T00:00:00"/>
    <x v="4"/>
    <x v="90"/>
    <x v="3"/>
    <n v="0"/>
    <x v="1"/>
    <n v="0"/>
    <n v="0"/>
    <n v="0"/>
    <x v="1"/>
    <x v="0"/>
    <n v="0"/>
  </r>
  <r>
    <n v="72586800000000"/>
    <x v="0"/>
    <x v="7"/>
    <x v="3"/>
    <s v="SANTO ANDRE"/>
    <d v="2016-04-27T00:00:00"/>
    <d v="2016-05-06T00:00:00"/>
    <x v="0"/>
    <x v="85"/>
    <x v="2"/>
    <n v="1"/>
    <x v="0"/>
    <n v="0"/>
    <n v="0"/>
    <n v="0"/>
    <x v="0"/>
    <x v="1"/>
    <n v="1"/>
  </r>
  <r>
    <n v="81295900000000"/>
    <x v="0"/>
    <x v="83"/>
    <x v="0"/>
    <s v="NOVA PALESTINA"/>
    <d v="2016-04-27T00:00:00"/>
    <d v="2016-05-05T00:00:00"/>
    <x v="3"/>
    <x v="88"/>
    <x v="2"/>
    <n v="1"/>
    <x v="0"/>
    <n v="0"/>
    <n v="0"/>
    <n v="0"/>
    <x v="0"/>
    <x v="0"/>
    <n v="0"/>
  </r>
  <r>
    <n v="885355000000"/>
    <x v="1"/>
    <x v="41"/>
    <x v="4"/>
    <s v="REDENCAO"/>
    <d v="2016-04-27T00:00:00"/>
    <d v="2016-05-05T00:00:00"/>
    <x v="3"/>
    <x v="88"/>
    <x v="2"/>
    <n v="0"/>
    <x v="0"/>
    <n v="0"/>
    <n v="0"/>
    <n v="0"/>
    <x v="0"/>
    <x v="0"/>
    <n v="0"/>
  </r>
  <r>
    <n v="9627990000000"/>
    <x v="0"/>
    <x v="39"/>
    <x v="4"/>
    <s v="INHANGUETA"/>
    <d v="2016-04-27T00:00:00"/>
    <d v="2016-05-05T00:00:00"/>
    <x v="3"/>
    <x v="88"/>
    <x v="2"/>
    <n v="0"/>
    <x v="1"/>
    <n v="0"/>
    <n v="0"/>
    <n v="0"/>
    <x v="0"/>
    <x v="0"/>
    <n v="0"/>
  </r>
  <r>
    <n v="927782000000"/>
    <x v="0"/>
    <x v="84"/>
    <x v="1"/>
    <s v="JOANA D ARC"/>
    <d v="2016-04-27T00:00:00"/>
    <d v="2016-06-07T00:00:00"/>
    <x v="4"/>
    <x v="51"/>
    <x v="0"/>
    <n v="0"/>
    <x v="1"/>
    <n v="0"/>
    <n v="0"/>
    <n v="0"/>
    <x v="0"/>
    <x v="0"/>
    <n v="0"/>
  </r>
  <r>
    <n v="1662820000000"/>
    <x v="1"/>
    <x v="51"/>
    <x v="2"/>
    <s v="ILHA DO PRINCIPE"/>
    <d v="2016-04-27T00:00:00"/>
    <d v="2016-04-29T00:00:00"/>
    <x v="0"/>
    <x v="91"/>
    <x v="4"/>
    <n v="1"/>
    <x v="1"/>
    <n v="0"/>
    <n v="0"/>
    <n v="0"/>
    <x v="1"/>
    <x v="0"/>
    <n v="0"/>
  </r>
  <r>
    <n v="293556000000"/>
    <x v="0"/>
    <x v="16"/>
    <x v="1"/>
    <s v="SANTO ANDRE"/>
    <d v="2016-04-27T00:00:00"/>
    <d v="2016-04-29T00:00:00"/>
    <x v="0"/>
    <x v="91"/>
    <x v="4"/>
    <n v="1"/>
    <x v="1"/>
    <n v="0"/>
    <n v="0"/>
    <n v="0"/>
    <x v="1"/>
    <x v="0"/>
    <n v="0"/>
  </r>
  <r>
    <n v="749797000000000"/>
    <x v="1"/>
    <x v="52"/>
    <x v="2"/>
    <s v="RESISTENCIA"/>
    <d v="2016-04-27T00:00:00"/>
    <d v="2016-05-04T00:00:00"/>
    <x v="1"/>
    <x v="87"/>
    <x v="3"/>
    <n v="0"/>
    <x v="1"/>
    <n v="0"/>
    <n v="0"/>
    <n v="0"/>
    <x v="0"/>
    <x v="0"/>
    <n v="0"/>
  </r>
  <r>
    <n v="54668200000000"/>
    <x v="0"/>
    <x v="60"/>
    <x v="2"/>
    <s v="CONSOLACAO"/>
    <d v="2016-04-27T00:00:00"/>
    <d v="2016-05-13T00:00:00"/>
    <x v="0"/>
    <x v="78"/>
    <x v="1"/>
    <n v="0"/>
    <x v="1"/>
    <n v="0"/>
    <n v="0"/>
    <n v="0"/>
    <x v="1"/>
    <x v="1"/>
    <n v="1"/>
  </r>
  <r>
    <n v="47656000000000"/>
    <x v="0"/>
    <x v="64"/>
    <x v="3"/>
    <s v="RESISTENCIA"/>
    <d v="2016-04-27T00:00:00"/>
    <d v="2016-05-03T00:00:00"/>
    <x v="4"/>
    <x v="90"/>
    <x v="3"/>
    <n v="0"/>
    <x v="0"/>
    <n v="0"/>
    <n v="0"/>
    <n v="0"/>
    <x v="0"/>
    <x v="0"/>
    <n v="0"/>
  </r>
  <r>
    <n v="36915700000000"/>
    <x v="1"/>
    <x v="4"/>
    <x v="2"/>
    <s v="SANTA TEREZA"/>
    <d v="2016-04-27T00:00:00"/>
    <d v="2016-05-17T00:00:00"/>
    <x v="4"/>
    <x v="76"/>
    <x v="1"/>
    <n v="0"/>
    <x v="1"/>
    <n v="0"/>
    <n v="0"/>
    <n v="0"/>
    <x v="1"/>
    <x v="1"/>
    <n v="1"/>
  </r>
  <r>
    <n v="65237000000000"/>
    <x v="1"/>
    <x v="70"/>
    <x v="5"/>
    <s v="INHANGUETA"/>
    <d v="2016-04-27T00:00:00"/>
    <d v="2016-05-03T00:00:00"/>
    <x v="4"/>
    <x v="90"/>
    <x v="3"/>
    <n v="0"/>
    <x v="1"/>
    <n v="0"/>
    <n v="0"/>
    <n v="0"/>
    <x v="0"/>
    <x v="0"/>
    <n v="0"/>
  </r>
  <r>
    <n v="454914000000000"/>
    <x v="0"/>
    <x v="18"/>
    <x v="0"/>
    <s v="MARIA ORTIZ"/>
    <d v="2016-04-27T00:00:00"/>
    <d v="2016-06-02T00:00:00"/>
    <x v="3"/>
    <x v="55"/>
    <x v="0"/>
    <n v="0"/>
    <x v="1"/>
    <n v="0"/>
    <n v="0"/>
    <n v="0"/>
    <x v="0"/>
    <x v="0"/>
    <n v="0"/>
  </r>
  <r>
    <n v="434532000000000"/>
    <x v="0"/>
    <x v="45"/>
    <x v="1"/>
    <s v="GURIGICA"/>
    <d v="2016-04-27T00:00:00"/>
    <d v="2016-05-06T00:00:00"/>
    <x v="0"/>
    <x v="85"/>
    <x v="2"/>
    <n v="0"/>
    <x v="1"/>
    <n v="0"/>
    <n v="0"/>
    <n v="0"/>
    <x v="0"/>
    <x v="1"/>
    <n v="1"/>
  </r>
  <r>
    <n v="563159000000000"/>
    <x v="0"/>
    <x v="85"/>
    <x v="0"/>
    <s v="MONTE BELO"/>
    <d v="2016-04-27T00:00:00"/>
    <d v="2016-05-10T00:00:00"/>
    <x v="4"/>
    <x v="82"/>
    <x v="2"/>
    <n v="0"/>
    <x v="1"/>
    <n v="0"/>
    <n v="0"/>
    <n v="0"/>
    <x v="1"/>
    <x v="0"/>
    <n v="0"/>
  </r>
  <r>
    <n v="486620000000000"/>
    <x v="0"/>
    <x v="15"/>
    <x v="3"/>
    <s v="CENTRO"/>
    <d v="2016-04-27T00:00:00"/>
    <d v="2016-05-20T00:00:00"/>
    <x v="0"/>
    <x v="67"/>
    <x v="1"/>
    <n v="0"/>
    <x v="1"/>
    <n v="0"/>
    <n v="0"/>
    <n v="0"/>
    <x v="1"/>
    <x v="1"/>
    <n v="1"/>
  </r>
  <r>
    <n v="6548130000000"/>
    <x v="1"/>
    <x v="22"/>
    <x v="4"/>
    <s v="NAZARETH"/>
    <d v="2016-04-27T00:00:00"/>
    <d v="2016-06-03T00:00:00"/>
    <x v="0"/>
    <x v="53"/>
    <x v="0"/>
    <n v="0"/>
    <x v="1"/>
    <n v="0"/>
    <n v="0"/>
    <n v="0"/>
    <x v="0"/>
    <x v="0"/>
    <n v="0"/>
  </r>
  <r>
    <n v="633314000000000"/>
    <x v="0"/>
    <x v="48"/>
    <x v="3"/>
    <s v="CENTRO"/>
    <d v="2016-04-27T00:00:00"/>
    <d v="2016-05-16T00:00:00"/>
    <x v="2"/>
    <x v="77"/>
    <x v="1"/>
    <n v="0"/>
    <x v="0"/>
    <n v="0"/>
    <n v="0"/>
    <n v="0"/>
    <x v="1"/>
    <x v="0"/>
    <n v="0"/>
  </r>
  <r>
    <n v="82649800000000"/>
    <x v="0"/>
    <x v="27"/>
    <x v="3"/>
    <s v="FORTE SAO JOAO"/>
    <d v="2016-04-27T00:00:00"/>
    <d v="2016-05-03T00:00:00"/>
    <x v="4"/>
    <x v="90"/>
    <x v="3"/>
    <n v="0"/>
    <x v="0"/>
    <n v="0"/>
    <n v="0"/>
    <n v="0"/>
    <x v="0"/>
    <x v="0"/>
    <n v="0"/>
  </r>
  <r>
    <n v="14829400000000"/>
    <x v="1"/>
    <x v="46"/>
    <x v="2"/>
    <s v="INHANGUETA"/>
    <d v="2016-04-27T00:00:00"/>
    <d v="2016-05-05T00:00:00"/>
    <x v="3"/>
    <x v="88"/>
    <x v="2"/>
    <n v="0"/>
    <x v="1"/>
    <n v="0"/>
    <n v="0"/>
    <n v="0"/>
    <x v="0"/>
    <x v="0"/>
    <n v="0"/>
  </r>
  <r>
    <n v="388398000000000"/>
    <x v="1"/>
    <x v="52"/>
    <x v="2"/>
    <s v="MARIA ORTIZ"/>
    <d v="2016-04-27T00:00:00"/>
    <d v="2016-05-31T00:00:00"/>
    <x v="4"/>
    <x v="58"/>
    <x v="0"/>
    <n v="0"/>
    <x v="1"/>
    <n v="0"/>
    <n v="0"/>
    <n v="0"/>
    <x v="0"/>
    <x v="0"/>
    <n v="0"/>
  </r>
  <r>
    <n v="376240000000"/>
    <x v="0"/>
    <x v="10"/>
    <x v="4"/>
    <s v="ROMAO"/>
    <d v="2016-04-27T00:00:00"/>
    <d v="2016-05-11T00:00:00"/>
    <x v="1"/>
    <x v="80"/>
    <x v="2"/>
    <n v="0"/>
    <x v="1"/>
    <n v="0"/>
    <n v="0"/>
    <n v="0"/>
    <x v="0"/>
    <x v="1"/>
    <n v="1"/>
  </r>
  <r>
    <n v="69153500000000"/>
    <x v="1"/>
    <x v="57"/>
    <x v="2"/>
    <s v="MARIA ORTIZ"/>
    <d v="2016-04-27T00:00:00"/>
    <d v="2016-06-02T00:00:00"/>
    <x v="3"/>
    <x v="55"/>
    <x v="0"/>
    <n v="0"/>
    <x v="1"/>
    <n v="0"/>
    <n v="0"/>
    <n v="0"/>
    <x v="0"/>
    <x v="0"/>
    <n v="0"/>
  </r>
  <r>
    <n v="57157300000000"/>
    <x v="1"/>
    <x v="61"/>
    <x v="1"/>
    <s v="TABUAZEIRO"/>
    <d v="2016-04-27T00:00:00"/>
    <d v="2016-06-06T00:00:00"/>
    <x v="2"/>
    <x v="69"/>
    <x v="0"/>
    <n v="0"/>
    <x v="1"/>
    <n v="0"/>
    <n v="0"/>
    <n v="0"/>
    <x v="0"/>
    <x v="0"/>
    <n v="0"/>
  </r>
  <r>
    <n v="5614850000000"/>
    <x v="0"/>
    <x v="27"/>
    <x v="3"/>
    <s v="ILHA DO PRINCIPE"/>
    <d v="2016-04-27T00:00:00"/>
    <d v="2016-05-06T00:00:00"/>
    <x v="0"/>
    <x v="85"/>
    <x v="2"/>
    <n v="1"/>
    <x v="0"/>
    <n v="0"/>
    <n v="0"/>
    <n v="0"/>
    <x v="0"/>
    <x v="0"/>
    <n v="0"/>
  </r>
  <r>
    <n v="1271150000000"/>
    <x v="1"/>
    <x v="28"/>
    <x v="3"/>
    <s v="JARDIM DA PENHA"/>
    <d v="2016-04-27T00:00:00"/>
    <d v="2016-05-30T00:00:00"/>
    <x v="2"/>
    <x v="62"/>
    <x v="0"/>
    <n v="0"/>
    <x v="0"/>
    <n v="1"/>
    <n v="0"/>
    <n v="0"/>
    <x v="0"/>
    <x v="1"/>
    <n v="1"/>
  </r>
  <r>
    <n v="3219360000000"/>
    <x v="0"/>
    <x v="37"/>
    <x v="3"/>
    <s v="SANTA CLARA"/>
    <d v="2016-04-27T00:00:00"/>
    <d v="2016-05-11T00:00:00"/>
    <x v="1"/>
    <x v="80"/>
    <x v="2"/>
    <n v="0"/>
    <x v="0"/>
    <n v="1"/>
    <n v="0"/>
    <n v="0"/>
    <x v="0"/>
    <x v="0"/>
    <n v="0"/>
  </r>
  <r>
    <n v="5384940000000"/>
    <x v="1"/>
    <x v="65"/>
    <x v="2"/>
    <s v="GOIABEIRAS"/>
    <d v="2016-04-27T00:00:00"/>
    <d v="2016-04-29T00:00:00"/>
    <x v="0"/>
    <x v="91"/>
    <x v="4"/>
    <n v="0"/>
    <x v="1"/>
    <n v="0"/>
    <n v="0"/>
    <n v="0"/>
    <x v="1"/>
    <x v="0"/>
    <n v="0"/>
  </r>
  <r>
    <n v="3649770000000"/>
    <x v="0"/>
    <x v="60"/>
    <x v="2"/>
    <s v="SAO CRISTOVAO"/>
    <d v="2016-04-27T00:00:00"/>
    <d v="2016-06-06T00:00:00"/>
    <x v="2"/>
    <x v="69"/>
    <x v="0"/>
    <n v="0"/>
    <x v="1"/>
    <n v="0"/>
    <n v="0"/>
    <n v="0"/>
    <x v="0"/>
    <x v="0"/>
    <n v="0"/>
  </r>
  <r>
    <n v="57842600000000"/>
    <x v="0"/>
    <x v="50"/>
    <x v="1"/>
    <s v="SANTA MARTHA"/>
    <d v="2016-04-27T00:00:00"/>
    <d v="2016-06-07T00:00:00"/>
    <x v="4"/>
    <x v="51"/>
    <x v="0"/>
    <n v="0"/>
    <x v="1"/>
    <n v="0"/>
    <n v="0"/>
    <n v="0"/>
    <x v="1"/>
    <x v="0"/>
    <n v="0"/>
  </r>
  <r>
    <n v="43414500000000"/>
    <x v="0"/>
    <x v="40"/>
    <x v="1"/>
    <s v="CONSOLACAO"/>
    <d v="2016-04-27T00:00:00"/>
    <d v="2016-05-19T00:00:00"/>
    <x v="3"/>
    <x v="71"/>
    <x v="1"/>
    <n v="0"/>
    <x v="1"/>
    <n v="0"/>
    <n v="0"/>
    <n v="0"/>
    <x v="1"/>
    <x v="0"/>
    <n v="0"/>
  </r>
  <r>
    <n v="74218900000000"/>
    <x v="1"/>
    <x v="17"/>
    <x v="4"/>
    <s v="TABUAZEIRO"/>
    <d v="2016-04-27T00:00:00"/>
    <d v="2016-05-30T00:00:00"/>
    <x v="2"/>
    <x v="62"/>
    <x v="0"/>
    <n v="0"/>
    <x v="1"/>
    <n v="0"/>
    <n v="0"/>
    <n v="0"/>
    <x v="1"/>
    <x v="0"/>
    <n v="0"/>
  </r>
  <r>
    <n v="168822000000000"/>
    <x v="0"/>
    <x v="28"/>
    <x v="3"/>
    <s v="JESUS DE NAZARETH"/>
    <d v="2016-04-27T00:00:00"/>
    <d v="2016-05-18T00:00:00"/>
    <x v="1"/>
    <x v="73"/>
    <x v="1"/>
    <n v="0"/>
    <x v="0"/>
    <n v="0"/>
    <n v="0"/>
    <n v="0"/>
    <x v="1"/>
    <x v="1"/>
    <n v="1"/>
  </r>
  <r>
    <n v="46399200000000"/>
    <x v="1"/>
    <x v="41"/>
    <x v="4"/>
    <s v="ILHA DO FRADE"/>
    <d v="2016-04-27T00:00:00"/>
    <d v="2016-05-04T00:00:00"/>
    <x v="1"/>
    <x v="87"/>
    <x v="3"/>
    <n v="0"/>
    <x v="1"/>
    <n v="0"/>
    <n v="0"/>
    <n v="0"/>
    <x v="0"/>
    <x v="0"/>
    <n v="0"/>
  </r>
  <r>
    <n v="46222300000000"/>
    <x v="0"/>
    <x v="27"/>
    <x v="3"/>
    <s v="SAO CRISTOVAO"/>
    <d v="2016-04-27T00:00:00"/>
    <d v="2016-05-03T00:00:00"/>
    <x v="4"/>
    <x v="90"/>
    <x v="3"/>
    <n v="0"/>
    <x v="1"/>
    <n v="0"/>
    <n v="0"/>
    <n v="0"/>
    <x v="0"/>
    <x v="0"/>
    <n v="0"/>
  </r>
  <r>
    <n v="14612100000000"/>
    <x v="0"/>
    <x v="83"/>
    <x v="0"/>
    <s v="TABUAZEIRO"/>
    <d v="2016-04-27T00:00:00"/>
    <d v="2016-05-11T00:00:00"/>
    <x v="1"/>
    <x v="80"/>
    <x v="2"/>
    <n v="0"/>
    <x v="1"/>
    <n v="0"/>
    <n v="0"/>
    <n v="0"/>
    <x v="0"/>
    <x v="1"/>
    <n v="1"/>
  </r>
  <r>
    <n v="38546100000000"/>
    <x v="1"/>
    <x v="72"/>
    <x v="5"/>
    <s v="ROMAO"/>
    <d v="2016-04-27T00:00:00"/>
    <d v="2016-05-04T00:00:00"/>
    <x v="1"/>
    <x v="87"/>
    <x v="3"/>
    <n v="0"/>
    <x v="1"/>
    <n v="0"/>
    <n v="0"/>
    <n v="0"/>
    <x v="0"/>
    <x v="0"/>
    <n v="0"/>
  </r>
  <r>
    <n v="48559300000000"/>
    <x v="0"/>
    <x v="19"/>
    <x v="2"/>
    <s v="ANDORINHAS"/>
    <d v="2016-04-27T00:00:00"/>
    <d v="2016-05-16T00:00:00"/>
    <x v="2"/>
    <x v="77"/>
    <x v="1"/>
    <n v="0"/>
    <x v="1"/>
    <n v="0"/>
    <n v="0"/>
    <n v="0"/>
    <x v="1"/>
    <x v="0"/>
    <n v="0"/>
  </r>
  <r>
    <n v="264984000000000"/>
    <x v="0"/>
    <x v="5"/>
    <x v="1"/>
    <s v="MARIA ORTIZ"/>
    <d v="2016-04-27T00:00:00"/>
    <d v="2016-06-03T00:00:00"/>
    <x v="0"/>
    <x v="53"/>
    <x v="0"/>
    <n v="0"/>
    <x v="1"/>
    <n v="0"/>
    <n v="0"/>
    <n v="0"/>
    <x v="0"/>
    <x v="0"/>
    <n v="0"/>
  </r>
  <r>
    <n v="546234000000"/>
    <x v="1"/>
    <x v="29"/>
    <x v="3"/>
    <s v="CONSOLACAO"/>
    <d v="2016-04-27T00:00:00"/>
    <d v="2016-05-02T00:00:00"/>
    <x v="2"/>
    <x v="92"/>
    <x v="3"/>
    <n v="0"/>
    <x v="0"/>
    <n v="0"/>
    <n v="0"/>
    <n v="0"/>
    <x v="0"/>
    <x v="0"/>
    <n v="0"/>
  </r>
  <r>
    <n v="966556000000000"/>
    <x v="1"/>
    <x v="28"/>
    <x v="3"/>
    <s v="DA PENHA"/>
    <d v="2016-04-27T00:00:00"/>
    <d v="2016-05-03T00:00:00"/>
    <x v="4"/>
    <x v="90"/>
    <x v="3"/>
    <n v="0"/>
    <x v="0"/>
    <n v="0"/>
    <n v="0"/>
    <n v="0"/>
    <x v="1"/>
    <x v="0"/>
    <n v="0"/>
  </r>
  <r>
    <n v="33292800000000"/>
    <x v="0"/>
    <x v="56"/>
    <x v="1"/>
    <s v="JARDIM CAMBURI"/>
    <d v="2016-04-27T00:00:00"/>
    <d v="2016-05-18T00:00:00"/>
    <x v="1"/>
    <x v="73"/>
    <x v="1"/>
    <n v="0"/>
    <x v="1"/>
    <n v="0"/>
    <n v="0"/>
    <n v="0"/>
    <x v="1"/>
    <x v="0"/>
    <n v="0"/>
  </r>
  <r>
    <n v="59218400000000"/>
    <x v="1"/>
    <x v="7"/>
    <x v="3"/>
    <s v="ILHA DE SANTA MARIA"/>
    <d v="2016-04-27T00:00:00"/>
    <d v="2016-06-07T00:00:00"/>
    <x v="4"/>
    <x v="51"/>
    <x v="0"/>
    <n v="0"/>
    <x v="1"/>
    <n v="0"/>
    <n v="0"/>
    <n v="0"/>
    <x v="0"/>
    <x v="0"/>
    <n v="0"/>
  </r>
  <r>
    <n v="263581000000000"/>
    <x v="0"/>
    <x v="23"/>
    <x v="3"/>
    <s v="TABUAZEIRO"/>
    <d v="2016-04-27T00:00:00"/>
    <d v="2016-05-09T00:00:00"/>
    <x v="2"/>
    <x v="84"/>
    <x v="2"/>
    <n v="0"/>
    <x v="0"/>
    <n v="0"/>
    <n v="0"/>
    <n v="0"/>
    <x v="1"/>
    <x v="0"/>
    <n v="0"/>
  </r>
  <r>
    <n v="71353300000000"/>
    <x v="1"/>
    <x v="55"/>
    <x v="2"/>
    <s v="JOANA D ARC"/>
    <d v="2016-04-27T00:00:00"/>
    <d v="2016-06-02T00:00:00"/>
    <x v="3"/>
    <x v="55"/>
    <x v="0"/>
    <n v="0"/>
    <x v="1"/>
    <n v="0"/>
    <n v="0"/>
    <n v="0"/>
    <x v="0"/>
    <x v="0"/>
    <n v="0"/>
  </r>
  <r>
    <n v="68523662783"/>
    <x v="0"/>
    <x v="64"/>
    <x v="3"/>
    <s v="MARUIPE"/>
    <d v="2016-04-27T00:00:00"/>
    <d v="2016-05-04T00:00:00"/>
    <x v="1"/>
    <x v="87"/>
    <x v="3"/>
    <n v="0"/>
    <x v="0"/>
    <n v="0"/>
    <n v="0"/>
    <n v="0"/>
    <x v="0"/>
    <x v="0"/>
    <n v="0"/>
  </r>
  <r>
    <n v="62862428735"/>
    <x v="0"/>
    <x v="19"/>
    <x v="2"/>
    <s v="MARIA ORTIZ"/>
    <d v="2016-04-27T00:00:00"/>
    <d v="2016-06-02T00:00:00"/>
    <x v="3"/>
    <x v="55"/>
    <x v="0"/>
    <n v="0"/>
    <x v="1"/>
    <n v="0"/>
    <n v="0"/>
    <n v="0"/>
    <x v="0"/>
    <x v="0"/>
    <n v="0"/>
  </r>
  <r>
    <n v="76257400000000"/>
    <x v="0"/>
    <x v="4"/>
    <x v="2"/>
    <s v="ITARARE"/>
    <d v="2016-04-27T00:00:00"/>
    <d v="2016-05-12T00:00:00"/>
    <x v="3"/>
    <x v="79"/>
    <x v="1"/>
    <n v="0"/>
    <x v="1"/>
    <n v="0"/>
    <n v="0"/>
    <n v="0"/>
    <x v="0"/>
    <x v="0"/>
    <n v="0"/>
  </r>
  <r>
    <n v="391352000000000"/>
    <x v="0"/>
    <x v="26"/>
    <x v="0"/>
    <s v="GOIABEIRAS"/>
    <d v="2016-04-27T00:00:00"/>
    <d v="2016-05-04T00:00:00"/>
    <x v="1"/>
    <x v="87"/>
    <x v="3"/>
    <n v="0"/>
    <x v="0"/>
    <n v="0"/>
    <n v="0"/>
    <n v="0"/>
    <x v="0"/>
    <x v="0"/>
    <n v="0"/>
  </r>
  <r>
    <n v="76421400000000"/>
    <x v="0"/>
    <x v="77"/>
    <x v="4"/>
    <s v="DA PENHA"/>
    <d v="2016-04-27T00:00:00"/>
    <d v="2016-05-13T00:00:00"/>
    <x v="0"/>
    <x v="78"/>
    <x v="1"/>
    <n v="1"/>
    <x v="1"/>
    <n v="0"/>
    <n v="0"/>
    <n v="0"/>
    <x v="1"/>
    <x v="1"/>
    <n v="1"/>
  </r>
  <r>
    <n v="14152400000000"/>
    <x v="0"/>
    <x v="73"/>
    <x v="4"/>
    <s v="REDENCAO"/>
    <d v="2016-04-27T00:00:00"/>
    <d v="2016-05-16T00:00:00"/>
    <x v="2"/>
    <x v="77"/>
    <x v="1"/>
    <n v="0"/>
    <x v="1"/>
    <n v="0"/>
    <n v="0"/>
    <n v="0"/>
    <x v="1"/>
    <x v="0"/>
    <n v="0"/>
  </r>
  <r>
    <n v="8579840000000"/>
    <x v="1"/>
    <x v="5"/>
    <x v="1"/>
    <s v="SANTO ANTONIO"/>
    <d v="2016-04-27T00:00:00"/>
    <d v="2016-05-24T00:00:00"/>
    <x v="4"/>
    <x v="65"/>
    <x v="1"/>
    <n v="0"/>
    <x v="0"/>
    <n v="0"/>
    <n v="0"/>
    <n v="0"/>
    <x v="0"/>
    <x v="0"/>
    <n v="0"/>
  </r>
  <r>
    <n v="88698300000000"/>
    <x v="1"/>
    <x v="31"/>
    <x v="1"/>
    <s v="SANTO ANTONIO"/>
    <d v="2016-04-27T00:00:00"/>
    <d v="2016-05-19T00:00:00"/>
    <x v="3"/>
    <x v="71"/>
    <x v="1"/>
    <n v="0"/>
    <x v="0"/>
    <n v="0"/>
    <n v="0"/>
    <n v="0"/>
    <x v="1"/>
    <x v="0"/>
    <n v="0"/>
  </r>
  <r>
    <n v="15294800000000"/>
    <x v="1"/>
    <x v="60"/>
    <x v="2"/>
    <s v="CENTRO"/>
    <d v="2016-04-27T00:00:00"/>
    <d v="2016-05-19T00:00:00"/>
    <x v="3"/>
    <x v="71"/>
    <x v="1"/>
    <n v="0"/>
    <x v="1"/>
    <n v="0"/>
    <n v="0"/>
    <n v="0"/>
    <x v="1"/>
    <x v="0"/>
    <n v="0"/>
  </r>
  <r>
    <n v="478473000000"/>
    <x v="1"/>
    <x v="16"/>
    <x v="1"/>
    <s v="MARIA ORTIZ"/>
    <d v="2016-04-27T00:00:00"/>
    <d v="2016-06-02T00:00:00"/>
    <x v="3"/>
    <x v="55"/>
    <x v="0"/>
    <n v="0"/>
    <x v="1"/>
    <n v="0"/>
    <n v="0"/>
    <n v="0"/>
    <x v="0"/>
    <x v="0"/>
    <n v="0"/>
  </r>
  <r>
    <n v="5559820000000"/>
    <x v="0"/>
    <x v="31"/>
    <x v="1"/>
    <s v="SANTO ANDRE"/>
    <d v="2016-04-27T00:00:00"/>
    <d v="2016-04-29T00:00:00"/>
    <x v="0"/>
    <x v="91"/>
    <x v="4"/>
    <n v="1"/>
    <x v="1"/>
    <n v="0"/>
    <n v="0"/>
    <n v="0"/>
    <x v="1"/>
    <x v="0"/>
    <n v="0"/>
  </r>
  <r>
    <n v="429948000000000"/>
    <x v="1"/>
    <x v="37"/>
    <x v="3"/>
    <s v="MARUIPE"/>
    <d v="2016-04-27T00:00:00"/>
    <d v="2016-05-11T00:00:00"/>
    <x v="1"/>
    <x v="80"/>
    <x v="2"/>
    <n v="0"/>
    <x v="0"/>
    <n v="0"/>
    <n v="0"/>
    <n v="0"/>
    <x v="0"/>
    <x v="0"/>
    <n v="0"/>
  </r>
  <r>
    <n v="28985700000000"/>
    <x v="1"/>
    <x v="4"/>
    <x v="2"/>
    <s v="RESISTENCIA"/>
    <d v="2016-04-27T00:00:00"/>
    <d v="2016-05-04T00:00:00"/>
    <x v="1"/>
    <x v="87"/>
    <x v="3"/>
    <n v="0"/>
    <x v="1"/>
    <n v="0"/>
    <n v="0"/>
    <n v="0"/>
    <x v="0"/>
    <x v="0"/>
    <n v="0"/>
  </r>
  <r>
    <n v="74354700000000"/>
    <x v="0"/>
    <x v="5"/>
    <x v="1"/>
    <s v="BONFIM"/>
    <d v="2016-04-27T00:00:00"/>
    <d v="2016-05-30T00:00:00"/>
    <x v="2"/>
    <x v="62"/>
    <x v="0"/>
    <n v="0"/>
    <x v="0"/>
    <n v="0"/>
    <n v="0"/>
    <n v="0"/>
    <x v="0"/>
    <x v="0"/>
    <n v="0"/>
  </r>
  <r>
    <n v="11773700000000"/>
    <x v="0"/>
    <x v="36"/>
    <x v="3"/>
    <s v="SANTO ANTONIO"/>
    <d v="2016-04-27T00:00:00"/>
    <d v="2016-05-02T00:00:00"/>
    <x v="2"/>
    <x v="92"/>
    <x v="3"/>
    <n v="0"/>
    <x v="1"/>
    <n v="0"/>
    <n v="0"/>
    <n v="0"/>
    <x v="0"/>
    <x v="0"/>
    <n v="0"/>
  </r>
  <r>
    <n v="14815600000000"/>
    <x v="0"/>
    <x v="37"/>
    <x v="3"/>
    <s v="CENTRO"/>
    <d v="2016-04-27T00:00:00"/>
    <d v="2016-05-13T00:00:00"/>
    <x v="0"/>
    <x v="78"/>
    <x v="1"/>
    <n v="0"/>
    <x v="1"/>
    <n v="0"/>
    <n v="0"/>
    <n v="0"/>
    <x v="1"/>
    <x v="0"/>
    <n v="0"/>
  </r>
  <r>
    <n v="19528000000000"/>
    <x v="0"/>
    <x v="67"/>
    <x v="4"/>
    <s v="MARIA ORTIZ"/>
    <d v="2016-04-27T00:00:00"/>
    <d v="2016-05-03T00:00:00"/>
    <x v="4"/>
    <x v="90"/>
    <x v="3"/>
    <n v="0"/>
    <x v="1"/>
    <n v="0"/>
    <n v="0"/>
    <n v="0"/>
    <x v="0"/>
    <x v="1"/>
    <n v="1"/>
  </r>
  <r>
    <n v="99595600000000"/>
    <x v="0"/>
    <x v="23"/>
    <x v="3"/>
    <s v="GOIABEIRAS"/>
    <d v="2016-04-27T00:00:00"/>
    <d v="2016-05-09T00:00:00"/>
    <x v="2"/>
    <x v="84"/>
    <x v="2"/>
    <n v="0"/>
    <x v="1"/>
    <n v="0"/>
    <n v="0"/>
    <n v="0"/>
    <x v="1"/>
    <x v="0"/>
    <n v="0"/>
  </r>
  <r>
    <n v="36796400000000"/>
    <x v="0"/>
    <x v="23"/>
    <x v="3"/>
    <s v="JARDIM CAMBURI"/>
    <d v="2016-04-27T00:00:00"/>
    <d v="2016-04-29T00:00:00"/>
    <x v="0"/>
    <x v="91"/>
    <x v="4"/>
    <n v="0"/>
    <x v="1"/>
    <n v="0"/>
    <n v="0"/>
    <n v="0"/>
    <x v="1"/>
    <x v="0"/>
    <n v="0"/>
  </r>
  <r>
    <n v="289984000000000"/>
    <x v="0"/>
    <x v="67"/>
    <x v="4"/>
    <s v="JESUS DE NAZARETH"/>
    <d v="2016-04-27T00:00:00"/>
    <d v="2016-04-29T00:00:00"/>
    <x v="0"/>
    <x v="91"/>
    <x v="4"/>
    <n v="0"/>
    <x v="1"/>
    <n v="0"/>
    <n v="0"/>
    <n v="0"/>
    <x v="1"/>
    <x v="0"/>
    <n v="0"/>
  </r>
  <r>
    <n v="7525540000000"/>
    <x v="0"/>
    <x v="73"/>
    <x v="4"/>
    <s v="CENTRO"/>
    <d v="2016-04-27T00:00:00"/>
    <d v="2016-05-25T00:00:00"/>
    <x v="1"/>
    <x v="64"/>
    <x v="1"/>
    <n v="0"/>
    <x v="1"/>
    <n v="0"/>
    <n v="0"/>
    <n v="0"/>
    <x v="0"/>
    <x v="0"/>
    <n v="0"/>
  </r>
  <r>
    <n v="534882000000000"/>
    <x v="0"/>
    <x v="76"/>
    <x v="0"/>
    <s v="BENTO FERREIRA"/>
    <d v="2016-04-27T00:00:00"/>
    <d v="2016-05-10T00:00:00"/>
    <x v="4"/>
    <x v="82"/>
    <x v="2"/>
    <n v="0"/>
    <x v="1"/>
    <n v="0"/>
    <n v="0"/>
    <n v="0"/>
    <x v="1"/>
    <x v="0"/>
    <n v="0"/>
  </r>
  <r>
    <n v="99987600000000"/>
    <x v="0"/>
    <x v="47"/>
    <x v="4"/>
    <s v="BONFIM"/>
    <d v="2016-04-27T00:00:00"/>
    <d v="2016-05-10T00:00:00"/>
    <x v="4"/>
    <x v="82"/>
    <x v="2"/>
    <n v="0"/>
    <x v="1"/>
    <n v="0"/>
    <n v="0"/>
    <n v="0"/>
    <x v="0"/>
    <x v="1"/>
    <n v="1"/>
  </r>
  <r>
    <n v="56594800000000"/>
    <x v="1"/>
    <x v="62"/>
    <x v="3"/>
    <s v="ANDORINHAS"/>
    <d v="2016-04-27T00:00:00"/>
    <d v="2016-04-29T00:00:00"/>
    <x v="0"/>
    <x v="91"/>
    <x v="4"/>
    <n v="0"/>
    <x v="1"/>
    <n v="0"/>
    <n v="0"/>
    <n v="0"/>
    <x v="1"/>
    <x v="1"/>
    <n v="1"/>
  </r>
  <r>
    <n v="62379291326"/>
    <x v="0"/>
    <x v="41"/>
    <x v="4"/>
    <s v="NOVA PALESTINA"/>
    <d v="2016-04-27T00:00:00"/>
    <d v="2016-04-29T00:00:00"/>
    <x v="0"/>
    <x v="91"/>
    <x v="4"/>
    <n v="0"/>
    <x v="1"/>
    <n v="0"/>
    <n v="0"/>
    <n v="0"/>
    <x v="1"/>
    <x v="0"/>
    <n v="0"/>
  </r>
  <r>
    <n v="275529000000000"/>
    <x v="1"/>
    <x v="33"/>
    <x v="4"/>
    <s v="SAO CRISTOVAO"/>
    <d v="2016-04-27T00:00:00"/>
    <d v="2016-05-30T00:00:00"/>
    <x v="2"/>
    <x v="62"/>
    <x v="0"/>
    <n v="0"/>
    <x v="1"/>
    <n v="0"/>
    <n v="1"/>
    <n v="1"/>
    <x v="0"/>
    <x v="0"/>
    <n v="0"/>
  </r>
  <r>
    <n v="6956170000000"/>
    <x v="1"/>
    <x v="26"/>
    <x v="0"/>
    <s v="REPUBLICA"/>
    <d v="2016-04-27T00:00:00"/>
    <d v="2016-04-29T00:00:00"/>
    <x v="0"/>
    <x v="91"/>
    <x v="4"/>
    <n v="0"/>
    <x v="0"/>
    <n v="0"/>
    <n v="0"/>
    <n v="0"/>
    <x v="1"/>
    <x v="0"/>
    <n v="0"/>
  </r>
  <r>
    <n v="4522160000000"/>
    <x v="0"/>
    <x v="14"/>
    <x v="3"/>
    <s v="SAO BENEDITO"/>
    <d v="2016-04-27T00:00:00"/>
    <d v="2016-05-04T00:00:00"/>
    <x v="1"/>
    <x v="87"/>
    <x v="3"/>
    <n v="1"/>
    <x v="0"/>
    <n v="0"/>
    <n v="0"/>
    <n v="0"/>
    <x v="0"/>
    <x v="1"/>
    <n v="1"/>
  </r>
  <r>
    <n v="534619000000000"/>
    <x v="0"/>
    <x v="12"/>
    <x v="3"/>
    <s v="ANDORINHAS"/>
    <d v="2016-04-27T00:00:00"/>
    <d v="2016-05-16T00:00:00"/>
    <x v="2"/>
    <x v="77"/>
    <x v="1"/>
    <n v="0"/>
    <x v="1"/>
    <n v="0"/>
    <n v="0"/>
    <n v="1"/>
    <x v="1"/>
    <x v="1"/>
    <n v="1"/>
  </r>
  <r>
    <n v="24125400000000"/>
    <x v="0"/>
    <x v="51"/>
    <x v="2"/>
    <s v="NOVA PALESTINA"/>
    <d v="2016-04-27T00:00:00"/>
    <d v="2016-05-04T00:00:00"/>
    <x v="1"/>
    <x v="87"/>
    <x v="3"/>
    <n v="0"/>
    <x v="1"/>
    <n v="0"/>
    <n v="0"/>
    <n v="0"/>
    <x v="0"/>
    <x v="0"/>
    <n v="0"/>
  </r>
  <r>
    <n v="64422100000000"/>
    <x v="0"/>
    <x v="60"/>
    <x v="2"/>
    <s v="MARIA ORTIZ"/>
    <d v="2016-04-27T00:00:00"/>
    <d v="2016-06-01T00:00:00"/>
    <x v="1"/>
    <x v="59"/>
    <x v="0"/>
    <n v="0"/>
    <x v="1"/>
    <n v="0"/>
    <n v="0"/>
    <n v="0"/>
    <x v="0"/>
    <x v="0"/>
    <n v="0"/>
  </r>
  <r>
    <n v="8745780000000"/>
    <x v="1"/>
    <x v="57"/>
    <x v="2"/>
    <s v="RESISTENCIA"/>
    <d v="2016-04-27T00:00:00"/>
    <d v="2016-05-18T00:00:00"/>
    <x v="1"/>
    <x v="73"/>
    <x v="1"/>
    <n v="0"/>
    <x v="1"/>
    <n v="0"/>
    <n v="0"/>
    <n v="0"/>
    <x v="1"/>
    <x v="0"/>
    <n v="0"/>
  </r>
  <r>
    <n v="6178700000000"/>
    <x v="0"/>
    <x v="79"/>
    <x v="5"/>
    <s v="JOANA D ARC"/>
    <d v="2016-04-27T00:00:00"/>
    <d v="2016-05-06T00:00:00"/>
    <x v="0"/>
    <x v="85"/>
    <x v="2"/>
    <n v="0"/>
    <x v="1"/>
    <n v="0"/>
    <n v="0"/>
    <n v="0"/>
    <x v="0"/>
    <x v="0"/>
    <n v="0"/>
  </r>
  <r>
    <n v="935524000000000"/>
    <x v="1"/>
    <x v="46"/>
    <x v="2"/>
    <s v="ITARARE"/>
    <d v="2016-04-27T00:00:00"/>
    <d v="2016-05-19T00:00:00"/>
    <x v="3"/>
    <x v="71"/>
    <x v="1"/>
    <n v="0"/>
    <x v="1"/>
    <n v="0"/>
    <n v="0"/>
    <n v="0"/>
    <x v="1"/>
    <x v="0"/>
    <n v="0"/>
  </r>
  <r>
    <n v="61146100000000"/>
    <x v="0"/>
    <x v="39"/>
    <x v="4"/>
    <s v="ROMAO"/>
    <d v="2016-04-27T00:00:00"/>
    <d v="2016-06-06T00:00:00"/>
    <x v="2"/>
    <x v="69"/>
    <x v="0"/>
    <n v="0"/>
    <x v="1"/>
    <n v="0"/>
    <n v="0"/>
    <n v="0"/>
    <x v="1"/>
    <x v="0"/>
    <n v="0"/>
  </r>
  <r>
    <n v="81112000000000"/>
    <x v="0"/>
    <x v="47"/>
    <x v="4"/>
    <s v="BELA VISTA"/>
    <d v="2016-04-27T00:00:00"/>
    <d v="2016-05-16T00:00:00"/>
    <x v="2"/>
    <x v="77"/>
    <x v="1"/>
    <n v="0"/>
    <x v="1"/>
    <n v="0"/>
    <n v="0"/>
    <n v="0"/>
    <x v="1"/>
    <x v="0"/>
    <n v="0"/>
  </r>
  <r>
    <n v="5924470000000"/>
    <x v="0"/>
    <x v="80"/>
    <x v="2"/>
    <s v="BENTO FERREIRA"/>
    <d v="2016-04-27T00:00:00"/>
    <d v="2016-05-06T00:00:00"/>
    <x v="0"/>
    <x v="85"/>
    <x v="2"/>
    <n v="0"/>
    <x v="1"/>
    <n v="0"/>
    <n v="0"/>
    <n v="0"/>
    <x v="0"/>
    <x v="1"/>
    <n v="1"/>
  </r>
  <r>
    <n v="689658000000000"/>
    <x v="0"/>
    <x v="65"/>
    <x v="2"/>
    <s v="JARDIM DA PENHA"/>
    <d v="2016-04-27T00:00:00"/>
    <d v="2016-05-13T00:00:00"/>
    <x v="0"/>
    <x v="78"/>
    <x v="1"/>
    <n v="0"/>
    <x v="1"/>
    <n v="0"/>
    <n v="0"/>
    <n v="0"/>
    <x v="1"/>
    <x v="0"/>
    <n v="0"/>
  </r>
  <r>
    <n v="5161240000000"/>
    <x v="0"/>
    <x v="24"/>
    <x v="1"/>
    <s v="CONSOLACAO"/>
    <d v="2016-04-27T00:00:00"/>
    <d v="2016-04-29T00:00:00"/>
    <x v="0"/>
    <x v="91"/>
    <x v="4"/>
    <n v="0"/>
    <x v="1"/>
    <n v="0"/>
    <n v="0"/>
    <n v="0"/>
    <x v="1"/>
    <x v="0"/>
    <n v="0"/>
  </r>
  <r>
    <n v="18789576488"/>
    <x v="0"/>
    <x v="23"/>
    <x v="3"/>
    <s v="ROMAO"/>
    <d v="2016-04-27T00:00:00"/>
    <d v="2016-06-01T00:00:00"/>
    <x v="1"/>
    <x v="59"/>
    <x v="0"/>
    <n v="1"/>
    <x v="1"/>
    <n v="0"/>
    <n v="1"/>
    <n v="0"/>
    <x v="0"/>
    <x v="1"/>
    <n v="1"/>
  </r>
  <r>
    <n v="784127000000000"/>
    <x v="0"/>
    <x v="10"/>
    <x v="4"/>
    <s v="RESISTENCIA"/>
    <d v="2016-04-27T00:00:00"/>
    <d v="2016-05-25T00:00:00"/>
    <x v="1"/>
    <x v="64"/>
    <x v="1"/>
    <n v="0"/>
    <x v="1"/>
    <n v="0"/>
    <n v="0"/>
    <n v="0"/>
    <x v="0"/>
    <x v="0"/>
    <n v="0"/>
  </r>
  <r>
    <n v="8518970000000"/>
    <x v="0"/>
    <x v="51"/>
    <x v="2"/>
    <s v="SAO BENEDITO"/>
    <d v="2016-04-27T00:00:00"/>
    <d v="2016-05-16T00:00:00"/>
    <x v="2"/>
    <x v="77"/>
    <x v="1"/>
    <n v="0"/>
    <x v="1"/>
    <n v="0"/>
    <n v="0"/>
    <n v="0"/>
    <x v="1"/>
    <x v="0"/>
    <n v="0"/>
  </r>
  <r>
    <n v="41215200000000"/>
    <x v="1"/>
    <x v="5"/>
    <x v="1"/>
    <s v="ITARARE"/>
    <d v="2016-04-27T00:00:00"/>
    <d v="2016-05-03T00:00:00"/>
    <x v="4"/>
    <x v="90"/>
    <x v="3"/>
    <n v="0"/>
    <x v="1"/>
    <n v="0"/>
    <n v="0"/>
    <n v="0"/>
    <x v="0"/>
    <x v="0"/>
    <n v="0"/>
  </r>
  <r>
    <n v="667475000000"/>
    <x v="1"/>
    <x v="7"/>
    <x v="3"/>
    <s v="JARDIM CAMBURI"/>
    <d v="2016-04-27T00:00:00"/>
    <d v="2016-04-29T00:00:00"/>
    <x v="0"/>
    <x v="91"/>
    <x v="4"/>
    <n v="0"/>
    <x v="1"/>
    <n v="0"/>
    <n v="0"/>
    <n v="0"/>
    <x v="1"/>
    <x v="0"/>
    <n v="0"/>
  </r>
  <r>
    <n v="61729200000000"/>
    <x v="0"/>
    <x v="24"/>
    <x v="1"/>
    <s v="ESTRELINHA"/>
    <d v="2016-04-27T00:00:00"/>
    <d v="2016-05-11T00:00:00"/>
    <x v="1"/>
    <x v="80"/>
    <x v="2"/>
    <n v="0"/>
    <x v="0"/>
    <n v="0"/>
    <n v="0"/>
    <n v="0"/>
    <x v="0"/>
    <x v="0"/>
    <n v="0"/>
  </r>
  <r>
    <n v="8731390000000"/>
    <x v="0"/>
    <x v="17"/>
    <x v="4"/>
    <s v="INHANGUETA"/>
    <d v="2016-04-27T00:00:00"/>
    <d v="2016-05-25T00:00:00"/>
    <x v="1"/>
    <x v="64"/>
    <x v="1"/>
    <n v="0"/>
    <x v="1"/>
    <n v="0"/>
    <n v="0"/>
    <n v="0"/>
    <x v="0"/>
    <x v="0"/>
    <n v="0"/>
  </r>
  <r>
    <n v="21666600000000"/>
    <x v="0"/>
    <x v="45"/>
    <x v="1"/>
    <s v="ITARARE"/>
    <d v="2016-04-27T00:00:00"/>
    <d v="2016-05-30T00:00:00"/>
    <x v="2"/>
    <x v="62"/>
    <x v="0"/>
    <n v="0"/>
    <x v="1"/>
    <n v="0"/>
    <n v="0"/>
    <n v="0"/>
    <x v="1"/>
    <x v="0"/>
    <n v="0"/>
  </r>
  <r>
    <n v="715427000000000"/>
    <x v="1"/>
    <x v="37"/>
    <x v="3"/>
    <s v="MARIA ORTIZ"/>
    <d v="2016-04-27T00:00:00"/>
    <d v="2016-05-20T00:00:00"/>
    <x v="0"/>
    <x v="67"/>
    <x v="1"/>
    <n v="0"/>
    <x v="1"/>
    <n v="0"/>
    <n v="0"/>
    <n v="0"/>
    <x v="1"/>
    <x v="1"/>
    <n v="1"/>
  </r>
  <r>
    <n v="9688650000000"/>
    <x v="0"/>
    <x v="32"/>
    <x v="4"/>
    <s v="GURIGICA"/>
    <d v="2016-04-27T00:00:00"/>
    <d v="2016-05-16T00:00:00"/>
    <x v="2"/>
    <x v="77"/>
    <x v="1"/>
    <n v="0"/>
    <x v="1"/>
    <n v="0"/>
    <n v="0"/>
    <n v="0"/>
    <x v="1"/>
    <x v="0"/>
    <n v="0"/>
  </r>
  <r>
    <n v="3389930000000"/>
    <x v="0"/>
    <x v="36"/>
    <x v="3"/>
    <s v="ILHA DAS CAIEIRAS"/>
    <d v="2016-04-27T00:00:00"/>
    <d v="2016-05-11T00:00:00"/>
    <x v="1"/>
    <x v="80"/>
    <x v="2"/>
    <n v="0"/>
    <x v="1"/>
    <n v="0"/>
    <n v="0"/>
    <n v="0"/>
    <x v="1"/>
    <x v="0"/>
    <n v="0"/>
  </r>
  <r>
    <n v="74439600000000"/>
    <x v="0"/>
    <x v="59"/>
    <x v="2"/>
    <s v="PRAIA DO SUA"/>
    <d v="2016-04-27T00:00:00"/>
    <d v="2016-05-24T00:00:00"/>
    <x v="4"/>
    <x v="65"/>
    <x v="1"/>
    <n v="1"/>
    <x v="1"/>
    <n v="0"/>
    <n v="0"/>
    <n v="0"/>
    <x v="0"/>
    <x v="0"/>
    <n v="0"/>
  </r>
  <r>
    <n v="966264000000000"/>
    <x v="0"/>
    <x v="81"/>
    <x v="5"/>
    <s v="RESISTENCIA"/>
    <d v="2016-04-27T00:00:00"/>
    <d v="2016-05-06T00:00:00"/>
    <x v="0"/>
    <x v="85"/>
    <x v="2"/>
    <n v="0"/>
    <x v="1"/>
    <n v="0"/>
    <n v="0"/>
    <n v="0"/>
    <x v="0"/>
    <x v="1"/>
    <n v="1"/>
  </r>
  <r>
    <n v="385329000000000"/>
    <x v="0"/>
    <x v="54"/>
    <x v="1"/>
    <s v="SANTO ANTONIO"/>
    <d v="2016-04-27T00:00:00"/>
    <d v="2016-05-02T00:00:00"/>
    <x v="2"/>
    <x v="92"/>
    <x v="3"/>
    <n v="0"/>
    <x v="1"/>
    <n v="0"/>
    <n v="0"/>
    <n v="0"/>
    <x v="0"/>
    <x v="0"/>
    <n v="0"/>
  </r>
  <r>
    <n v="8698620000000"/>
    <x v="1"/>
    <x v="37"/>
    <x v="3"/>
    <s v="TABUAZEIRO"/>
    <d v="2016-04-27T00:00:00"/>
    <d v="2016-05-03T00:00:00"/>
    <x v="4"/>
    <x v="90"/>
    <x v="3"/>
    <n v="0"/>
    <x v="0"/>
    <n v="0"/>
    <n v="0"/>
    <n v="0"/>
    <x v="0"/>
    <x v="0"/>
    <n v="0"/>
  </r>
  <r>
    <n v="3674530000000"/>
    <x v="1"/>
    <x v="5"/>
    <x v="1"/>
    <s v="DA PENHA"/>
    <d v="2016-04-27T00:00:00"/>
    <d v="2016-05-03T00:00:00"/>
    <x v="4"/>
    <x v="90"/>
    <x v="3"/>
    <n v="0"/>
    <x v="1"/>
    <n v="1"/>
    <n v="0"/>
    <n v="0"/>
    <x v="0"/>
    <x v="0"/>
    <n v="0"/>
  </r>
  <r>
    <n v="44532700000000"/>
    <x v="0"/>
    <x v="68"/>
    <x v="4"/>
    <s v="CARATOIRA"/>
    <d v="2016-04-27T00:00:00"/>
    <d v="2016-05-25T00:00:00"/>
    <x v="1"/>
    <x v="64"/>
    <x v="1"/>
    <n v="0"/>
    <x v="1"/>
    <n v="0"/>
    <n v="0"/>
    <n v="0"/>
    <x v="0"/>
    <x v="1"/>
    <n v="1"/>
  </r>
  <r>
    <n v="76598300000000"/>
    <x v="0"/>
    <x v="67"/>
    <x v="4"/>
    <s v="CONQUISTA"/>
    <d v="2016-04-27T00:00:00"/>
    <d v="2016-05-17T00:00:00"/>
    <x v="4"/>
    <x v="76"/>
    <x v="1"/>
    <n v="0"/>
    <x v="1"/>
    <n v="0"/>
    <n v="0"/>
    <n v="0"/>
    <x v="1"/>
    <x v="0"/>
    <n v="0"/>
  </r>
  <r>
    <n v="338818000000"/>
    <x v="1"/>
    <x v="83"/>
    <x v="0"/>
    <s v="DA PENHA"/>
    <d v="2016-04-27T00:00:00"/>
    <d v="2016-04-29T00:00:00"/>
    <x v="0"/>
    <x v="91"/>
    <x v="4"/>
    <n v="0"/>
    <x v="0"/>
    <n v="1"/>
    <n v="0"/>
    <n v="0"/>
    <x v="1"/>
    <x v="0"/>
    <n v="0"/>
  </r>
  <r>
    <n v="7269130000000"/>
    <x v="0"/>
    <x v="31"/>
    <x v="1"/>
    <s v="SAO PEDRO"/>
    <d v="2016-04-27T00:00:00"/>
    <d v="2016-04-29T00:00:00"/>
    <x v="0"/>
    <x v="91"/>
    <x v="4"/>
    <n v="1"/>
    <x v="1"/>
    <n v="0"/>
    <n v="0"/>
    <n v="0"/>
    <x v="1"/>
    <x v="1"/>
    <n v="1"/>
  </r>
  <r>
    <n v="299000000000000"/>
    <x v="0"/>
    <x v="19"/>
    <x v="2"/>
    <s v="GURIGICA"/>
    <d v="2016-04-27T00:00:00"/>
    <d v="2016-05-19T00:00:00"/>
    <x v="3"/>
    <x v="71"/>
    <x v="1"/>
    <n v="0"/>
    <x v="1"/>
    <n v="0"/>
    <n v="0"/>
    <n v="0"/>
    <x v="1"/>
    <x v="0"/>
    <n v="0"/>
  </r>
  <r>
    <n v="58231100000000"/>
    <x v="0"/>
    <x v="69"/>
    <x v="4"/>
    <s v="BELA VISTA"/>
    <d v="2016-04-27T00:00:00"/>
    <d v="2016-05-11T00:00:00"/>
    <x v="1"/>
    <x v="80"/>
    <x v="2"/>
    <n v="1"/>
    <x v="1"/>
    <n v="0"/>
    <n v="0"/>
    <n v="0"/>
    <x v="0"/>
    <x v="1"/>
    <n v="1"/>
  </r>
  <r>
    <n v="572426000000"/>
    <x v="1"/>
    <x v="27"/>
    <x v="3"/>
    <s v="SAO CRISTOVAO"/>
    <d v="2016-04-27T00:00:00"/>
    <d v="2016-04-29T00:00:00"/>
    <x v="0"/>
    <x v="91"/>
    <x v="4"/>
    <n v="0"/>
    <x v="0"/>
    <n v="0"/>
    <n v="0"/>
    <n v="0"/>
    <x v="1"/>
    <x v="0"/>
    <n v="0"/>
  </r>
  <r>
    <n v="87247700000000"/>
    <x v="0"/>
    <x v="67"/>
    <x v="4"/>
    <s v="SANTO ANTONIO"/>
    <d v="2016-04-27T00:00:00"/>
    <d v="2016-05-02T00:00:00"/>
    <x v="2"/>
    <x v="92"/>
    <x v="3"/>
    <n v="0"/>
    <x v="1"/>
    <n v="0"/>
    <n v="0"/>
    <n v="0"/>
    <x v="0"/>
    <x v="0"/>
    <n v="0"/>
  </r>
  <r>
    <n v="412145000000"/>
    <x v="0"/>
    <x v="40"/>
    <x v="1"/>
    <s v="JARDIM DA PENHA"/>
    <d v="2016-04-27T00:00:00"/>
    <d v="2016-05-09T00:00:00"/>
    <x v="2"/>
    <x v="84"/>
    <x v="2"/>
    <n v="0"/>
    <x v="1"/>
    <n v="0"/>
    <n v="0"/>
    <n v="0"/>
    <x v="1"/>
    <x v="0"/>
    <n v="0"/>
  </r>
  <r>
    <n v="412145000000"/>
    <x v="0"/>
    <x v="50"/>
    <x v="1"/>
    <s v="JARDIM DA PENHA"/>
    <d v="2016-04-27T00:00:00"/>
    <d v="2016-05-17T00:00:00"/>
    <x v="4"/>
    <x v="76"/>
    <x v="1"/>
    <n v="0"/>
    <x v="1"/>
    <n v="0"/>
    <n v="0"/>
    <n v="0"/>
    <x v="1"/>
    <x v="0"/>
    <n v="0"/>
  </r>
  <r>
    <n v="554463000000000"/>
    <x v="0"/>
    <x v="70"/>
    <x v="5"/>
    <s v="BELA VISTA"/>
    <d v="2016-04-27T00:00:00"/>
    <d v="2016-05-18T00:00:00"/>
    <x v="1"/>
    <x v="73"/>
    <x v="1"/>
    <n v="0"/>
    <x v="1"/>
    <n v="0"/>
    <n v="0"/>
    <n v="0"/>
    <x v="1"/>
    <x v="1"/>
    <n v="1"/>
  </r>
  <r>
    <n v="79347781684"/>
    <x v="0"/>
    <x v="28"/>
    <x v="3"/>
    <s v="TABUAZEIRO"/>
    <d v="2016-04-27T00:00:00"/>
    <d v="2016-04-29T00:00:00"/>
    <x v="0"/>
    <x v="91"/>
    <x v="4"/>
    <n v="0"/>
    <x v="0"/>
    <n v="0"/>
    <n v="0"/>
    <n v="0"/>
    <x v="1"/>
    <x v="0"/>
    <n v="0"/>
  </r>
  <r>
    <n v="293398000000000"/>
    <x v="1"/>
    <x v="40"/>
    <x v="1"/>
    <s v="DA PENHA"/>
    <d v="2016-04-27T00:00:00"/>
    <d v="2016-05-02T00:00:00"/>
    <x v="2"/>
    <x v="92"/>
    <x v="3"/>
    <n v="0"/>
    <x v="1"/>
    <n v="0"/>
    <n v="0"/>
    <n v="0"/>
    <x v="0"/>
    <x v="0"/>
    <n v="0"/>
  </r>
  <r>
    <n v="3169280000000"/>
    <x v="1"/>
    <x v="6"/>
    <x v="0"/>
    <s v="NOVA PALESTINA"/>
    <d v="2016-04-27T00:00:00"/>
    <d v="2016-05-02T00:00:00"/>
    <x v="2"/>
    <x v="92"/>
    <x v="3"/>
    <n v="0"/>
    <x v="0"/>
    <n v="1"/>
    <n v="0"/>
    <n v="0"/>
    <x v="1"/>
    <x v="0"/>
    <n v="0"/>
  </r>
  <r>
    <n v="51658900000000"/>
    <x v="1"/>
    <x v="55"/>
    <x v="2"/>
    <s v="MARUIPE"/>
    <d v="2016-04-27T00:00:00"/>
    <d v="2016-05-09T00:00:00"/>
    <x v="2"/>
    <x v="84"/>
    <x v="2"/>
    <n v="0"/>
    <x v="1"/>
    <n v="0"/>
    <n v="0"/>
    <n v="0"/>
    <x v="1"/>
    <x v="1"/>
    <n v="1"/>
  </r>
  <r>
    <n v="9777930000000"/>
    <x v="0"/>
    <x v="17"/>
    <x v="4"/>
    <s v="ENSEADA DO SUA"/>
    <d v="2016-04-27T00:00:00"/>
    <d v="2016-05-13T00:00:00"/>
    <x v="0"/>
    <x v="78"/>
    <x v="1"/>
    <n v="0"/>
    <x v="1"/>
    <n v="0"/>
    <n v="0"/>
    <n v="0"/>
    <x v="1"/>
    <x v="0"/>
    <n v="0"/>
  </r>
  <r>
    <n v="149946000000000"/>
    <x v="0"/>
    <x v="20"/>
    <x v="0"/>
    <s v="JABOUR"/>
    <d v="2016-04-27T00:00:00"/>
    <d v="2016-05-13T00:00:00"/>
    <x v="0"/>
    <x v="78"/>
    <x v="1"/>
    <n v="0"/>
    <x v="1"/>
    <n v="0"/>
    <n v="0"/>
    <n v="0"/>
    <x v="1"/>
    <x v="1"/>
    <n v="1"/>
  </r>
  <r>
    <n v="979313000000000"/>
    <x v="0"/>
    <x v="83"/>
    <x v="0"/>
    <s v="DA PENHA"/>
    <d v="2016-04-27T00:00:00"/>
    <d v="2016-05-11T00:00:00"/>
    <x v="1"/>
    <x v="80"/>
    <x v="2"/>
    <n v="0"/>
    <x v="1"/>
    <n v="0"/>
    <n v="0"/>
    <n v="0"/>
    <x v="0"/>
    <x v="0"/>
    <n v="0"/>
  </r>
  <r>
    <n v="8499270000000"/>
    <x v="0"/>
    <x v="55"/>
    <x v="2"/>
    <s v="ANDORINHAS"/>
    <d v="2016-04-27T00:00:00"/>
    <d v="2016-05-03T00:00:00"/>
    <x v="4"/>
    <x v="90"/>
    <x v="3"/>
    <n v="0"/>
    <x v="1"/>
    <n v="0"/>
    <n v="0"/>
    <n v="0"/>
    <x v="0"/>
    <x v="1"/>
    <n v="1"/>
  </r>
  <r>
    <n v="37378800000000"/>
    <x v="0"/>
    <x v="42"/>
    <x v="3"/>
    <s v="SANTO ANDRE"/>
    <d v="2016-04-27T00:00:00"/>
    <d v="2016-05-05T00:00:00"/>
    <x v="3"/>
    <x v="88"/>
    <x v="2"/>
    <n v="0"/>
    <x v="0"/>
    <n v="1"/>
    <n v="0"/>
    <n v="1"/>
    <x v="0"/>
    <x v="0"/>
    <n v="0"/>
  </r>
  <r>
    <n v="68827700000000"/>
    <x v="0"/>
    <x v="30"/>
    <x v="3"/>
    <s v="REPUBLICA"/>
    <d v="2016-04-27T00:00:00"/>
    <d v="2016-05-25T00:00:00"/>
    <x v="1"/>
    <x v="64"/>
    <x v="1"/>
    <n v="0"/>
    <x v="1"/>
    <n v="0"/>
    <n v="0"/>
    <n v="0"/>
    <x v="0"/>
    <x v="0"/>
    <n v="0"/>
  </r>
  <r>
    <n v="84324300000000"/>
    <x v="0"/>
    <x v="39"/>
    <x v="4"/>
    <s v="MARIA ORTIZ"/>
    <d v="2016-04-27T00:00:00"/>
    <d v="2016-06-02T00:00:00"/>
    <x v="3"/>
    <x v="55"/>
    <x v="0"/>
    <n v="0"/>
    <x v="1"/>
    <n v="0"/>
    <n v="0"/>
    <n v="0"/>
    <x v="1"/>
    <x v="0"/>
    <n v="0"/>
  </r>
  <r>
    <n v="616671000000"/>
    <x v="0"/>
    <x v="23"/>
    <x v="3"/>
    <s v="JARDIM DA PENHA"/>
    <d v="2016-04-27T00:00:00"/>
    <d v="2016-05-17T00:00:00"/>
    <x v="4"/>
    <x v="76"/>
    <x v="1"/>
    <n v="0"/>
    <x v="0"/>
    <n v="0"/>
    <n v="0"/>
    <n v="0"/>
    <x v="1"/>
    <x v="0"/>
    <n v="0"/>
  </r>
  <r>
    <n v="846634000000000"/>
    <x v="1"/>
    <x v="46"/>
    <x v="2"/>
    <s v="NOVA PALESTINA"/>
    <d v="2016-04-27T00:00:00"/>
    <d v="2016-05-05T00:00:00"/>
    <x v="3"/>
    <x v="88"/>
    <x v="2"/>
    <n v="0"/>
    <x v="1"/>
    <n v="0"/>
    <n v="0"/>
    <n v="0"/>
    <x v="1"/>
    <x v="0"/>
    <n v="0"/>
  </r>
  <r>
    <n v="64455100000000"/>
    <x v="0"/>
    <x v="50"/>
    <x v="1"/>
    <s v="ANTONIO HONORIO"/>
    <d v="2016-04-27T00:00:00"/>
    <d v="2016-05-13T00:00:00"/>
    <x v="0"/>
    <x v="78"/>
    <x v="1"/>
    <n v="0"/>
    <x v="1"/>
    <n v="0"/>
    <n v="0"/>
    <n v="0"/>
    <x v="1"/>
    <x v="1"/>
    <n v="1"/>
  </r>
  <r>
    <n v="93745500000000"/>
    <x v="1"/>
    <x v="40"/>
    <x v="1"/>
    <s v="JABOUR"/>
    <d v="2016-04-27T00:00:00"/>
    <d v="2016-04-29T00:00:00"/>
    <x v="0"/>
    <x v="91"/>
    <x v="4"/>
    <n v="0"/>
    <x v="1"/>
    <n v="0"/>
    <n v="0"/>
    <n v="0"/>
    <x v="1"/>
    <x v="1"/>
    <n v="1"/>
  </r>
  <r>
    <n v="25888900000000"/>
    <x v="1"/>
    <x v="19"/>
    <x v="2"/>
    <s v="GURIGICA"/>
    <d v="2016-04-27T00:00:00"/>
    <d v="2016-05-11T00:00:00"/>
    <x v="1"/>
    <x v="80"/>
    <x v="2"/>
    <n v="0"/>
    <x v="1"/>
    <n v="0"/>
    <n v="0"/>
    <n v="0"/>
    <x v="0"/>
    <x v="0"/>
    <n v="0"/>
  </r>
  <r>
    <n v="882118000000"/>
    <x v="1"/>
    <x v="57"/>
    <x v="2"/>
    <s v="GURIGICA"/>
    <d v="2016-04-27T00:00:00"/>
    <d v="2016-05-11T00:00:00"/>
    <x v="1"/>
    <x v="80"/>
    <x v="2"/>
    <n v="0"/>
    <x v="1"/>
    <n v="0"/>
    <n v="0"/>
    <n v="0"/>
    <x v="1"/>
    <x v="0"/>
    <n v="0"/>
  </r>
  <r>
    <n v="21469900000000"/>
    <x v="0"/>
    <x v="32"/>
    <x v="4"/>
    <s v="MARIA ORTIZ"/>
    <d v="2016-04-27T00:00:00"/>
    <d v="2016-05-02T00:00:00"/>
    <x v="2"/>
    <x v="92"/>
    <x v="3"/>
    <n v="0"/>
    <x v="1"/>
    <n v="0"/>
    <n v="0"/>
    <n v="0"/>
    <x v="0"/>
    <x v="0"/>
    <n v="0"/>
  </r>
  <r>
    <n v="96436900000000"/>
    <x v="0"/>
    <x v="73"/>
    <x v="4"/>
    <s v="SAO CRISTOVAO"/>
    <d v="2016-04-27T00:00:00"/>
    <d v="2016-04-29T00:00:00"/>
    <x v="0"/>
    <x v="91"/>
    <x v="4"/>
    <n v="0"/>
    <x v="1"/>
    <n v="0"/>
    <n v="0"/>
    <n v="0"/>
    <x v="1"/>
    <x v="0"/>
    <n v="0"/>
  </r>
  <r>
    <n v="191430000000000"/>
    <x v="1"/>
    <x v="69"/>
    <x v="4"/>
    <s v="BONFIM"/>
    <d v="2016-04-28T00:00:00"/>
    <d v="2016-05-02T00:00:00"/>
    <x v="2"/>
    <x v="86"/>
    <x v="3"/>
    <n v="0"/>
    <x v="1"/>
    <n v="0"/>
    <n v="0"/>
    <n v="0"/>
    <x v="0"/>
    <x v="0"/>
    <n v="0"/>
  </r>
  <r>
    <n v="57153700000000"/>
    <x v="1"/>
    <x v="84"/>
    <x v="1"/>
    <s v="GURIGICA"/>
    <d v="2016-04-28T00:00:00"/>
    <d v="2016-05-02T00:00:00"/>
    <x v="2"/>
    <x v="86"/>
    <x v="3"/>
    <n v="0"/>
    <x v="0"/>
    <n v="0"/>
    <n v="0"/>
    <n v="1"/>
    <x v="0"/>
    <x v="0"/>
    <n v="0"/>
  </r>
  <r>
    <n v="47935200000000"/>
    <x v="0"/>
    <x v="46"/>
    <x v="2"/>
    <s v="MONTE BELO"/>
    <d v="2016-04-28T00:00:00"/>
    <d v="2016-05-10T00:00:00"/>
    <x v="4"/>
    <x v="84"/>
    <x v="2"/>
    <n v="0"/>
    <x v="1"/>
    <n v="0"/>
    <n v="0"/>
    <n v="0"/>
    <x v="0"/>
    <x v="1"/>
    <n v="1"/>
  </r>
  <r>
    <n v="9465220000000"/>
    <x v="1"/>
    <x v="73"/>
    <x v="4"/>
    <s v="SAO JOSE"/>
    <d v="2016-04-28T00:00:00"/>
    <d v="2016-05-02T00:00:00"/>
    <x v="2"/>
    <x v="86"/>
    <x v="3"/>
    <n v="0"/>
    <x v="1"/>
    <n v="0"/>
    <n v="0"/>
    <n v="0"/>
    <x v="0"/>
    <x v="0"/>
    <n v="0"/>
  </r>
  <r>
    <n v="15247200000000"/>
    <x v="1"/>
    <x v="5"/>
    <x v="1"/>
    <s v="SANTA MARTHA"/>
    <d v="2016-04-28T00:00:00"/>
    <d v="2016-04-29T00:00:00"/>
    <x v="0"/>
    <x v="93"/>
    <x v="4"/>
    <n v="0"/>
    <x v="1"/>
    <n v="0"/>
    <n v="0"/>
    <n v="0"/>
    <x v="1"/>
    <x v="1"/>
    <n v="1"/>
  </r>
  <r>
    <n v="5759160000000"/>
    <x v="0"/>
    <x v="31"/>
    <x v="1"/>
    <s v="SAO JOSE"/>
    <d v="2016-04-28T00:00:00"/>
    <d v="2016-05-04T00:00:00"/>
    <x v="1"/>
    <x v="90"/>
    <x v="3"/>
    <n v="0"/>
    <x v="0"/>
    <n v="0"/>
    <n v="0"/>
    <n v="0"/>
    <x v="0"/>
    <x v="0"/>
    <n v="0"/>
  </r>
  <r>
    <n v="73839600000000"/>
    <x v="1"/>
    <x v="83"/>
    <x v="0"/>
    <s v="SAO JOSE"/>
    <d v="2016-04-28T00:00:00"/>
    <d v="2016-05-04T00:00:00"/>
    <x v="1"/>
    <x v="90"/>
    <x v="3"/>
    <n v="0"/>
    <x v="0"/>
    <n v="0"/>
    <n v="0"/>
    <n v="0"/>
    <x v="0"/>
    <x v="0"/>
    <n v="0"/>
  </r>
  <r>
    <n v="9856130000000"/>
    <x v="0"/>
    <x v="31"/>
    <x v="1"/>
    <s v="ROMAO"/>
    <d v="2016-04-28T00:00:00"/>
    <d v="2016-05-02T00:00:00"/>
    <x v="2"/>
    <x v="86"/>
    <x v="3"/>
    <n v="0"/>
    <x v="0"/>
    <n v="0"/>
    <n v="0"/>
    <n v="0"/>
    <x v="0"/>
    <x v="0"/>
    <n v="0"/>
  </r>
  <r>
    <n v="114238000000000"/>
    <x v="0"/>
    <x v="87"/>
    <x v="1"/>
    <s v="ESTRELINHA"/>
    <d v="2016-04-28T00:00:00"/>
    <d v="2016-05-02T00:00:00"/>
    <x v="2"/>
    <x v="86"/>
    <x v="3"/>
    <n v="0"/>
    <x v="1"/>
    <n v="0"/>
    <n v="0"/>
    <n v="0"/>
    <x v="0"/>
    <x v="0"/>
    <n v="0"/>
  </r>
  <r>
    <n v="54441837883"/>
    <x v="0"/>
    <x v="34"/>
    <x v="0"/>
    <s v="ROMAO"/>
    <d v="2016-04-28T00:00:00"/>
    <d v="2016-05-02T00:00:00"/>
    <x v="2"/>
    <x v="86"/>
    <x v="3"/>
    <n v="0"/>
    <x v="0"/>
    <n v="1"/>
    <n v="0"/>
    <n v="0"/>
    <x v="0"/>
    <x v="0"/>
    <n v="0"/>
  </r>
  <r>
    <n v="2656130000000"/>
    <x v="0"/>
    <x v="29"/>
    <x v="3"/>
    <s v="SANTOS REIS"/>
    <d v="2016-04-28T00:00:00"/>
    <d v="2016-05-04T00:00:00"/>
    <x v="1"/>
    <x v="90"/>
    <x v="3"/>
    <n v="0"/>
    <x v="1"/>
    <n v="0"/>
    <n v="0"/>
    <n v="0"/>
    <x v="0"/>
    <x v="0"/>
    <n v="0"/>
  </r>
  <r>
    <n v="23378400000000"/>
    <x v="1"/>
    <x v="73"/>
    <x v="4"/>
    <s v="SAO JOSE"/>
    <d v="2016-04-28T00:00:00"/>
    <d v="2016-05-06T00:00:00"/>
    <x v="0"/>
    <x v="88"/>
    <x v="2"/>
    <n v="0"/>
    <x v="1"/>
    <n v="0"/>
    <n v="0"/>
    <n v="0"/>
    <x v="0"/>
    <x v="0"/>
    <n v="0"/>
  </r>
  <r>
    <n v="32722600000000"/>
    <x v="0"/>
    <x v="74"/>
    <x v="1"/>
    <s v="SAO JOSE"/>
    <d v="2016-04-28T00:00:00"/>
    <d v="2016-05-05T00:00:00"/>
    <x v="3"/>
    <x v="87"/>
    <x v="3"/>
    <n v="0"/>
    <x v="0"/>
    <n v="0"/>
    <n v="0"/>
    <n v="0"/>
    <x v="0"/>
    <x v="0"/>
    <n v="0"/>
  </r>
  <r>
    <n v="464863000000000"/>
    <x v="0"/>
    <x v="58"/>
    <x v="0"/>
    <s v="ILHA DO PRINCIPE"/>
    <d v="2016-04-28T00:00:00"/>
    <d v="2016-05-02T00:00:00"/>
    <x v="2"/>
    <x v="86"/>
    <x v="3"/>
    <n v="0"/>
    <x v="0"/>
    <n v="0"/>
    <n v="0"/>
    <n v="0"/>
    <x v="1"/>
    <x v="0"/>
    <n v="0"/>
  </r>
  <r>
    <n v="752283000000000"/>
    <x v="0"/>
    <x v="49"/>
    <x v="4"/>
    <s v="GURIGICA"/>
    <d v="2016-04-28T00:00:00"/>
    <d v="2016-05-06T00:00:00"/>
    <x v="0"/>
    <x v="88"/>
    <x v="2"/>
    <n v="0"/>
    <x v="1"/>
    <n v="0"/>
    <n v="0"/>
    <n v="0"/>
    <x v="0"/>
    <x v="1"/>
    <n v="1"/>
  </r>
  <r>
    <n v="85814500000000"/>
    <x v="1"/>
    <x v="24"/>
    <x v="1"/>
    <s v="ROMAO"/>
    <d v="2016-04-28T00:00:00"/>
    <d v="2016-05-04T00:00:00"/>
    <x v="1"/>
    <x v="90"/>
    <x v="3"/>
    <n v="0"/>
    <x v="0"/>
    <n v="0"/>
    <n v="0"/>
    <n v="0"/>
    <x v="0"/>
    <x v="0"/>
    <n v="0"/>
  </r>
  <r>
    <n v="51526900000000"/>
    <x v="0"/>
    <x v="24"/>
    <x v="1"/>
    <s v="JABOUR"/>
    <d v="2016-04-28T00:00:00"/>
    <d v="2016-04-29T00:00:00"/>
    <x v="0"/>
    <x v="93"/>
    <x v="4"/>
    <n v="0"/>
    <x v="1"/>
    <n v="0"/>
    <n v="0"/>
    <n v="0"/>
    <x v="1"/>
    <x v="0"/>
    <n v="0"/>
  </r>
  <r>
    <n v="99371400000000"/>
    <x v="0"/>
    <x v="19"/>
    <x v="2"/>
    <s v="JARDIM DA PENHA"/>
    <d v="2016-04-28T00:00:00"/>
    <d v="2016-05-16T00:00:00"/>
    <x v="2"/>
    <x v="74"/>
    <x v="1"/>
    <n v="0"/>
    <x v="1"/>
    <n v="0"/>
    <n v="0"/>
    <n v="0"/>
    <x v="1"/>
    <x v="0"/>
    <n v="0"/>
  </r>
  <r>
    <n v="96329600000000"/>
    <x v="1"/>
    <x v="7"/>
    <x v="3"/>
    <s v="REDENCAO"/>
    <d v="2016-04-28T00:00:00"/>
    <d v="2016-05-02T00:00:00"/>
    <x v="2"/>
    <x v="86"/>
    <x v="3"/>
    <n v="0"/>
    <x v="0"/>
    <n v="1"/>
    <n v="0"/>
    <n v="0"/>
    <x v="0"/>
    <x v="0"/>
    <n v="0"/>
  </r>
  <r>
    <n v="3787650000000"/>
    <x v="1"/>
    <x v="10"/>
    <x v="4"/>
    <s v="SAO BENEDITO"/>
    <d v="2016-04-28T00:00:00"/>
    <d v="2016-05-18T00:00:00"/>
    <x v="1"/>
    <x v="76"/>
    <x v="1"/>
    <n v="0"/>
    <x v="1"/>
    <n v="0"/>
    <n v="0"/>
    <n v="0"/>
    <x v="1"/>
    <x v="1"/>
    <n v="1"/>
  </r>
  <r>
    <n v="713176000000000"/>
    <x v="1"/>
    <x v="20"/>
    <x v="0"/>
    <s v="FORTE SAO JOAO"/>
    <d v="2016-04-28T00:00:00"/>
    <d v="2016-05-04T00:00:00"/>
    <x v="1"/>
    <x v="90"/>
    <x v="3"/>
    <n v="0"/>
    <x v="0"/>
    <n v="1"/>
    <n v="0"/>
    <n v="0"/>
    <x v="1"/>
    <x v="0"/>
    <n v="0"/>
  </r>
  <r>
    <n v="471668000000000"/>
    <x v="1"/>
    <x v="72"/>
    <x v="5"/>
    <s v="CENTRO"/>
    <d v="2016-04-28T00:00:00"/>
    <d v="2016-05-10T00:00:00"/>
    <x v="4"/>
    <x v="84"/>
    <x v="2"/>
    <n v="0"/>
    <x v="1"/>
    <n v="0"/>
    <n v="0"/>
    <n v="0"/>
    <x v="0"/>
    <x v="0"/>
    <n v="0"/>
  </r>
  <r>
    <n v="288129000000000"/>
    <x v="0"/>
    <x v="75"/>
    <x v="5"/>
    <s v="SANTO ANTONIO"/>
    <d v="2016-04-28T00:00:00"/>
    <d v="2016-05-24T00:00:00"/>
    <x v="4"/>
    <x v="68"/>
    <x v="1"/>
    <n v="0"/>
    <x v="1"/>
    <n v="0"/>
    <n v="0"/>
    <n v="0"/>
    <x v="0"/>
    <x v="0"/>
    <n v="0"/>
  </r>
  <r>
    <n v="929145000000"/>
    <x v="1"/>
    <x v="80"/>
    <x v="2"/>
    <s v="CENTRO"/>
    <d v="2016-04-28T00:00:00"/>
    <d v="2016-05-02T00:00:00"/>
    <x v="2"/>
    <x v="86"/>
    <x v="3"/>
    <n v="0"/>
    <x v="1"/>
    <n v="0"/>
    <n v="0"/>
    <n v="0"/>
    <x v="0"/>
    <x v="0"/>
    <n v="0"/>
  </r>
  <r>
    <n v="1334960000000"/>
    <x v="0"/>
    <x v="25"/>
    <x v="4"/>
    <s v="MARIA ORTIZ"/>
    <d v="2016-04-28T00:00:00"/>
    <d v="2016-05-12T00:00:00"/>
    <x v="3"/>
    <x v="80"/>
    <x v="2"/>
    <n v="0"/>
    <x v="1"/>
    <n v="0"/>
    <n v="0"/>
    <n v="0"/>
    <x v="0"/>
    <x v="1"/>
    <n v="1"/>
  </r>
  <r>
    <n v="82599100000000"/>
    <x v="1"/>
    <x v="57"/>
    <x v="2"/>
    <s v="JABOUR"/>
    <d v="2016-04-28T00:00:00"/>
    <d v="2016-05-04T00:00:00"/>
    <x v="1"/>
    <x v="90"/>
    <x v="3"/>
    <n v="0"/>
    <x v="1"/>
    <n v="0"/>
    <n v="0"/>
    <n v="0"/>
    <x v="0"/>
    <x v="1"/>
    <n v="1"/>
  </r>
  <r>
    <n v="479354000000"/>
    <x v="0"/>
    <x v="12"/>
    <x v="3"/>
    <s v="NAZARETH"/>
    <d v="2016-04-28T00:00:00"/>
    <d v="2016-06-08T00:00:00"/>
    <x v="1"/>
    <x v="51"/>
    <x v="0"/>
    <n v="0"/>
    <x v="1"/>
    <n v="0"/>
    <n v="0"/>
    <n v="0"/>
    <x v="0"/>
    <x v="0"/>
    <n v="0"/>
  </r>
  <r>
    <n v="2779120000000"/>
    <x v="0"/>
    <x v="59"/>
    <x v="2"/>
    <s v="DA PENHA"/>
    <d v="2016-04-28T00:00:00"/>
    <d v="2016-05-06T00:00:00"/>
    <x v="0"/>
    <x v="88"/>
    <x v="2"/>
    <n v="0"/>
    <x v="1"/>
    <n v="0"/>
    <n v="0"/>
    <n v="0"/>
    <x v="0"/>
    <x v="0"/>
    <n v="0"/>
  </r>
  <r>
    <n v="21459928568"/>
    <x v="1"/>
    <x v="43"/>
    <x v="2"/>
    <s v="SANTO ANDRE"/>
    <d v="2016-04-28T00:00:00"/>
    <d v="2016-05-05T00:00:00"/>
    <x v="3"/>
    <x v="87"/>
    <x v="3"/>
    <n v="0"/>
    <x v="1"/>
    <n v="0"/>
    <n v="0"/>
    <n v="0"/>
    <x v="0"/>
    <x v="1"/>
    <n v="1"/>
  </r>
  <r>
    <n v="6286600000000"/>
    <x v="0"/>
    <x v="54"/>
    <x v="1"/>
    <s v="MARUIPE"/>
    <d v="2016-04-28T00:00:00"/>
    <d v="2016-06-01T00:00:00"/>
    <x v="1"/>
    <x v="58"/>
    <x v="0"/>
    <n v="0"/>
    <x v="0"/>
    <n v="0"/>
    <n v="0"/>
    <n v="0"/>
    <x v="1"/>
    <x v="0"/>
    <n v="0"/>
  </r>
  <r>
    <n v="22381400000000"/>
    <x v="0"/>
    <x v="10"/>
    <x v="4"/>
    <s v="NOVA PALESTINA"/>
    <d v="2016-04-28T00:00:00"/>
    <d v="2016-05-10T00:00:00"/>
    <x v="4"/>
    <x v="84"/>
    <x v="2"/>
    <n v="1"/>
    <x v="1"/>
    <n v="0"/>
    <n v="0"/>
    <n v="0"/>
    <x v="0"/>
    <x v="0"/>
    <n v="0"/>
  </r>
  <r>
    <n v="379218000000"/>
    <x v="0"/>
    <x v="68"/>
    <x v="4"/>
    <s v="JARDIM DA PENHA"/>
    <d v="2016-04-28T00:00:00"/>
    <d v="2016-05-20T00:00:00"/>
    <x v="0"/>
    <x v="71"/>
    <x v="1"/>
    <n v="0"/>
    <x v="1"/>
    <n v="0"/>
    <n v="0"/>
    <n v="0"/>
    <x v="1"/>
    <x v="1"/>
    <n v="1"/>
  </r>
  <r>
    <n v="17896000000000"/>
    <x v="1"/>
    <x v="22"/>
    <x v="4"/>
    <s v="CRUZAMENTO"/>
    <d v="2016-04-28T00:00:00"/>
    <d v="2016-06-01T00:00:00"/>
    <x v="1"/>
    <x v="58"/>
    <x v="0"/>
    <n v="0"/>
    <x v="1"/>
    <n v="0"/>
    <n v="0"/>
    <n v="0"/>
    <x v="1"/>
    <x v="1"/>
    <n v="1"/>
  </r>
  <r>
    <n v="823698000000000"/>
    <x v="0"/>
    <x v="59"/>
    <x v="2"/>
    <s v="FONTE GRANDE"/>
    <d v="2016-04-28T00:00:00"/>
    <d v="2016-05-19T00:00:00"/>
    <x v="3"/>
    <x v="73"/>
    <x v="1"/>
    <n v="1"/>
    <x v="1"/>
    <n v="0"/>
    <n v="0"/>
    <n v="0"/>
    <x v="1"/>
    <x v="0"/>
    <n v="0"/>
  </r>
  <r>
    <n v="255238000000000"/>
    <x v="1"/>
    <x v="55"/>
    <x v="2"/>
    <s v="MARIA ORTIZ"/>
    <d v="2016-04-28T00:00:00"/>
    <d v="2016-06-02T00:00:00"/>
    <x v="3"/>
    <x v="59"/>
    <x v="0"/>
    <n v="0"/>
    <x v="1"/>
    <n v="0"/>
    <n v="0"/>
    <n v="0"/>
    <x v="1"/>
    <x v="0"/>
    <n v="0"/>
  </r>
  <r>
    <n v="48556900000000"/>
    <x v="1"/>
    <x v="2"/>
    <x v="1"/>
    <s v="ANDORINHAS"/>
    <d v="2016-04-28T00:00:00"/>
    <d v="2016-05-09T00:00:00"/>
    <x v="2"/>
    <x v="81"/>
    <x v="2"/>
    <n v="0"/>
    <x v="0"/>
    <n v="1"/>
    <n v="0"/>
    <n v="1"/>
    <x v="1"/>
    <x v="0"/>
    <n v="0"/>
  </r>
  <r>
    <n v="37924593967"/>
    <x v="0"/>
    <x v="38"/>
    <x v="4"/>
    <s v="JABOUR"/>
    <d v="2016-04-28T00:00:00"/>
    <d v="2016-05-20T00:00:00"/>
    <x v="0"/>
    <x v="71"/>
    <x v="1"/>
    <n v="0"/>
    <x v="1"/>
    <n v="0"/>
    <n v="0"/>
    <n v="0"/>
    <x v="1"/>
    <x v="1"/>
    <n v="1"/>
  </r>
  <r>
    <n v="5386530000000"/>
    <x v="1"/>
    <x v="43"/>
    <x v="2"/>
    <s v="BELA VISTA"/>
    <d v="2016-04-28T00:00:00"/>
    <d v="2016-05-03T00:00:00"/>
    <x v="4"/>
    <x v="92"/>
    <x v="3"/>
    <n v="0"/>
    <x v="1"/>
    <n v="0"/>
    <n v="0"/>
    <n v="0"/>
    <x v="1"/>
    <x v="0"/>
    <n v="0"/>
  </r>
  <r>
    <n v="554562000000000"/>
    <x v="0"/>
    <x v="19"/>
    <x v="2"/>
    <s v="JESUS DE NAZARETH"/>
    <d v="2016-04-28T00:00:00"/>
    <d v="2016-04-29T00:00:00"/>
    <x v="0"/>
    <x v="93"/>
    <x v="4"/>
    <n v="0"/>
    <x v="1"/>
    <n v="0"/>
    <n v="0"/>
    <n v="0"/>
    <x v="1"/>
    <x v="0"/>
    <n v="0"/>
  </r>
  <r>
    <n v="45663400000000"/>
    <x v="1"/>
    <x v="33"/>
    <x v="4"/>
    <s v="SAO CRISTOVAO"/>
    <d v="2016-04-28T00:00:00"/>
    <d v="2016-05-31T00:00:00"/>
    <x v="4"/>
    <x v="62"/>
    <x v="0"/>
    <n v="0"/>
    <x v="1"/>
    <n v="0"/>
    <n v="0"/>
    <n v="0"/>
    <x v="1"/>
    <x v="0"/>
    <n v="0"/>
  </r>
  <r>
    <n v="27135700000000"/>
    <x v="0"/>
    <x v="92"/>
    <x v="0"/>
    <s v="ITARARE"/>
    <d v="2016-04-28T00:00:00"/>
    <d v="2016-05-20T00:00:00"/>
    <x v="0"/>
    <x v="71"/>
    <x v="1"/>
    <n v="0"/>
    <x v="0"/>
    <n v="0"/>
    <n v="0"/>
    <n v="0"/>
    <x v="1"/>
    <x v="0"/>
    <n v="0"/>
  </r>
  <r>
    <n v="8388230000000"/>
    <x v="0"/>
    <x v="12"/>
    <x v="3"/>
    <s v="MARIA ORTIZ"/>
    <d v="2016-04-28T00:00:00"/>
    <d v="2016-06-03T00:00:00"/>
    <x v="0"/>
    <x v="55"/>
    <x v="0"/>
    <n v="0"/>
    <x v="1"/>
    <n v="1"/>
    <n v="0"/>
    <n v="0"/>
    <x v="0"/>
    <x v="1"/>
    <n v="1"/>
  </r>
  <r>
    <n v="9639530000000"/>
    <x v="0"/>
    <x v="33"/>
    <x v="4"/>
    <s v="MARIA ORTIZ"/>
    <d v="2016-04-28T00:00:00"/>
    <d v="2016-06-02T00:00:00"/>
    <x v="3"/>
    <x v="59"/>
    <x v="0"/>
    <n v="0"/>
    <x v="1"/>
    <n v="0"/>
    <n v="0"/>
    <n v="0"/>
    <x v="1"/>
    <x v="0"/>
    <n v="0"/>
  </r>
  <r>
    <n v="439826000000000"/>
    <x v="1"/>
    <x v="7"/>
    <x v="3"/>
    <s v="DE LOURDES"/>
    <d v="2016-04-28T00:00:00"/>
    <d v="2016-06-02T00:00:00"/>
    <x v="3"/>
    <x v="59"/>
    <x v="0"/>
    <n v="0"/>
    <x v="1"/>
    <n v="0"/>
    <n v="0"/>
    <n v="0"/>
    <x v="1"/>
    <x v="1"/>
    <n v="1"/>
  </r>
  <r>
    <n v="92777800000000"/>
    <x v="0"/>
    <x v="5"/>
    <x v="1"/>
    <s v="MARIA ORTIZ"/>
    <d v="2016-04-28T00:00:00"/>
    <d v="2016-06-08T00:00:00"/>
    <x v="1"/>
    <x v="51"/>
    <x v="0"/>
    <n v="0"/>
    <x v="1"/>
    <n v="0"/>
    <n v="0"/>
    <n v="0"/>
    <x v="0"/>
    <x v="1"/>
    <n v="1"/>
  </r>
  <r>
    <n v="453412000000000"/>
    <x v="0"/>
    <x v="46"/>
    <x v="2"/>
    <s v="SAO BENEDITO"/>
    <d v="2016-04-28T00:00:00"/>
    <d v="2016-05-04T00:00:00"/>
    <x v="1"/>
    <x v="90"/>
    <x v="3"/>
    <n v="0"/>
    <x v="1"/>
    <n v="0"/>
    <n v="0"/>
    <n v="0"/>
    <x v="1"/>
    <x v="0"/>
    <n v="0"/>
  </r>
  <r>
    <n v="2139360000000"/>
    <x v="0"/>
    <x v="11"/>
    <x v="0"/>
    <s v="DA PENHA"/>
    <d v="2016-04-28T00:00:00"/>
    <d v="2016-05-17T00:00:00"/>
    <x v="4"/>
    <x v="77"/>
    <x v="1"/>
    <n v="0"/>
    <x v="0"/>
    <n v="0"/>
    <n v="0"/>
    <n v="0"/>
    <x v="1"/>
    <x v="1"/>
    <n v="1"/>
  </r>
  <r>
    <n v="15585474733"/>
    <x v="0"/>
    <x v="36"/>
    <x v="3"/>
    <s v="MATA DA PRAIA"/>
    <d v="2016-04-28T00:00:00"/>
    <d v="2016-05-05T00:00:00"/>
    <x v="3"/>
    <x v="87"/>
    <x v="3"/>
    <n v="0"/>
    <x v="1"/>
    <n v="0"/>
    <n v="0"/>
    <n v="0"/>
    <x v="0"/>
    <x v="0"/>
    <n v="0"/>
  </r>
  <r>
    <n v="9384540000000"/>
    <x v="0"/>
    <x v="12"/>
    <x v="3"/>
    <s v="JARDIM DA PENHA"/>
    <d v="2016-04-28T00:00:00"/>
    <d v="2016-05-17T00:00:00"/>
    <x v="4"/>
    <x v="77"/>
    <x v="1"/>
    <n v="0"/>
    <x v="0"/>
    <n v="0"/>
    <n v="0"/>
    <n v="0"/>
    <x v="1"/>
    <x v="0"/>
    <n v="0"/>
  </r>
  <r>
    <n v="833864000000000"/>
    <x v="0"/>
    <x v="15"/>
    <x v="3"/>
    <s v="TABUAZEIRO"/>
    <d v="2016-04-28T00:00:00"/>
    <d v="2016-05-10T00:00:00"/>
    <x v="4"/>
    <x v="84"/>
    <x v="2"/>
    <n v="1"/>
    <x v="1"/>
    <n v="0"/>
    <n v="0"/>
    <n v="0"/>
    <x v="0"/>
    <x v="0"/>
    <n v="0"/>
  </r>
  <r>
    <n v="668445000000000"/>
    <x v="0"/>
    <x v="43"/>
    <x v="2"/>
    <s v="BONFIM"/>
    <d v="2016-04-28T00:00:00"/>
    <d v="2016-05-30T00:00:00"/>
    <x v="2"/>
    <x v="54"/>
    <x v="0"/>
    <n v="0"/>
    <x v="1"/>
    <n v="0"/>
    <n v="0"/>
    <n v="0"/>
    <x v="0"/>
    <x v="1"/>
    <n v="1"/>
  </r>
  <r>
    <n v="25245200000000"/>
    <x v="0"/>
    <x v="71"/>
    <x v="4"/>
    <s v="ITARARE"/>
    <d v="2016-04-28T00:00:00"/>
    <d v="2016-05-05T00:00:00"/>
    <x v="3"/>
    <x v="87"/>
    <x v="3"/>
    <n v="0"/>
    <x v="1"/>
    <n v="0"/>
    <n v="0"/>
    <n v="0"/>
    <x v="0"/>
    <x v="1"/>
    <n v="1"/>
  </r>
  <r>
    <n v="245552000000"/>
    <x v="0"/>
    <x v="73"/>
    <x v="4"/>
    <s v="BELA VISTA"/>
    <d v="2016-04-28T00:00:00"/>
    <d v="2016-05-10T00:00:00"/>
    <x v="4"/>
    <x v="84"/>
    <x v="2"/>
    <n v="0"/>
    <x v="1"/>
    <n v="0"/>
    <n v="0"/>
    <n v="0"/>
    <x v="0"/>
    <x v="1"/>
    <n v="1"/>
  </r>
  <r>
    <n v="36514400000000"/>
    <x v="0"/>
    <x v="30"/>
    <x v="3"/>
    <s v="JARDIM CAMBURI"/>
    <d v="2016-04-28T00:00:00"/>
    <d v="2016-05-06T00:00:00"/>
    <x v="0"/>
    <x v="88"/>
    <x v="2"/>
    <n v="0"/>
    <x v="1"/>
    <n v="0"/>
    <n v="0"/>
    <n v="0"/>
    <x v="0"/>
    <x v="0"/>
    <n v="0"/>
  </r>
  <r>
    <n v="38939500000000"/>
    <x v="0"/>
    <x v="31"/>
    <x v="1"/>
    <s v="BELA VISTA"/>
    <d v="2016-04-28T00:00:00"/>
    <d v="2016-05-04T00:00:00"/>
    <x v="1"/>
    <x v="90"/>
    <x v="3"/>
    <n v="0"/>
    <x v="1"/>
    <n v="0"/>
    <n v="0"/>
    <n v="0"/>
    <x v="0"/>
    <x v="1"/>
    <n v="1"/>
  </r>
  <r>
    <n v="666915000000"/>
    <x v="1"/>
    <x v="46"/>
    <x v="2"/>
    <s v="INHANGUETA"/>
    <d v="2016-04-28T00:00:00"/>
    <d v="2016-04-29T00:00:00"/>
    <x v="0"/>
    <x v="93"/>
    <x v="4"/>
    <n v="0"/>
    <x v="1"/>
    <n v="0"/>
    <n v="0"/>
    <n v="0"/>
    <x v="1"/>
    <x v="0"/>
    <n v="0"/>
  </r>
  <r>
    <n v="412565000000"/>
    <x v="1"/>
    <x v="46"/>
    <x v="2"/>
    <s v="JOANA D ARC"/>
    <d v="2016-04-28T00:00:00"/>
    <d v="2016-05-16T00:00:00"/>
    <x v="2"/>
    <x v="74"/>
    <x v="1"/>
    <n v="0"/>
    <x v="1"/>
    <n v="0"/>
    <n v="0"/>
    <n v="0"/>
    <x v="1"/>
    <x v="1"/>
    <n v="1"/>
  </r>
  <r>
    <n v="653745000000"/>
    <x v="0"/>
    <x v="25"/>
    <x v="4"/>
    <s v="CARATOIRA"/>
    <d v="2016-04-28T00:00:00"/>
    <d v="2016-05-09T00:00:00"/>
    <x v="2"/>
    <x v="81"/>
    <x v="2"/>
    <n v="1"/>
    <x v="1"/>
    <n v="0"/>
    <n v="0"/>
    <n v="0"/>
    <x v="1"/>
    <x v="0"/>
    <n v="0"/>
  </r>
  <r>
    <n v="439960000000"/>
    <x v="0"/>
    <x v="65"/>
    <x v="2"/>
    <s v="BENTO FERREIRA"/>
    <d v="2016-04-28T00:00:00"/>
    <d v="2016-05-05T00:00:00"/>
    <x v="3"/>
    <x v="87"/>
    <x v="3"/>
    <n v="0"/>
    <x v="1"/>
    <n v="0"/>
    <n v="0"/>
    <n v="0"/>
    <x v="0"/>
    <x v="0"/>
    <n v="0"/>
  </r>
  <r>
    <n v="29516300000000"/>
    <x v="0"/>
    <x v="12"/>
    <x v="3"/>
    <s v="GOIABEIRAS"/>
    <d v="2016-04-28T00:00:00"/>
    <d v="2016-04-29T00:00:00"/>
    <x v="0"/>
    <x v="93"/>
    <x v="4"/>
    <n v="0"/>
    <x v="1"/>
    <n v="0"/>
    <n v="0"/>
    <n v="0"/>
    <x v="1"/>
    <x v="0"/>
    <n v="0"/>
  </r>
  <r>
    <n v="66715600000000"/>
    <x v="0"/>
    <x v="37"/>
    <x v="3"/>
    <s v="FORTE SAO JOAO"/>
    <d v="2016-04-28T00:00:00"/>
    <d v="2016-04-29T00:00:00"/>
    <x v="0"/>
    <x v="93"/>
    <x v="4"/>
    <n v="0"/>
    <x v="0"/>
    <n v="1"/>
    <n v="0"/>
    <n v="0"/>
    <x v="1"/>
    <x v="0"/>
    <n v="0"/>
  </r>
  <r>
    <n v="924523000000000"/>
    <x v="1"/>
    <x v="52"/>
    <x v="2"/>
    <s v="JARDIM CAMBURI"/>
    <d v="2016-04-28T00:00:00"/>
    <d v="2016-05-13T00:00:00"/>
    <x v="0"/>
    <x v="79"/>
    <x v="1"/>
    <n v="0"/>
    <x v="1"/>
    <n v="0"/>
    <n v="0"/>
    <n v="0"/>
    <x v="1"/>
    <x v="1"/>
    <n v="1"/>
  </r>
  <r>
    <n v="44711200000000"/>
    <x v="0"/>
    <x v="21"/>
    <x v="1"/>
    <s v="JARDIM DA PENHA"/>
    <d v="2016-04-28T00:00:00"/>
    <d v="2016-05-20T00:00:00"/>
    <x v="0"/>
    <x v="71"/>
    <x v="1"/>
    <n v="0"/>
    <x v="1"/>
    <n v="0"/>
    <n v="0"/>
    <n v="0"/>
    <x v="1"/>
    <x v="0"/>
    <n v="0"/>
  </r>
  <r>
    <n v="972728000000"/>
    <x v="1"/>
    <x v="16"/>
    <x v="1"/>
    <s v="SANTO ANTONIO"/>
    <d v="2016-04-28T00:00:00"/>
    <d v="2016-05-03T00:00:00"/>
    <x v="4"/>
    <x v="92"/>
    <x v="3"/>
    <n v="0"/>
    <x v="1"/>
    <n v="0"/>
    <n v="0"/>
    <n v="0"/>
    <x v="0"/>
    <x v="0"/>
    <n v="0"/>
  </r>
  <r>
    <n v="11213500000000"/>
    <x v="0"/>
    <x v="39"/>
    <x v="4"/>
    <s v="TABUAZEIRO"/>
    <d v="2016-04-28T00:00:00"/>
    <d v="2016-05-02T00:00:00"/>
    <x v="2"/>
    <x v="86"/>
    <x v="3"/>
    <n v="1"/>
    <x v="1"/>
    <n v="0"/>
    <n v="0"/>
    <n v="0"/>
    <x v="0"/>
    <x v="0"/>
    <n v="0"/>
  </r>
  <r>
    <n v="865536000000000"/>
    <x v="0"/>
    <x v="61"/>
    <x v="1"/>
    <s v="REPUBLICA"/>
    <d v="2016-04-28T00:00:00"/>
    <d v="2016-05-05T00:00:00"/>
    <x v="3"/>
    <x v="87"/>
    <x v="3"/>
    <n v="0"/>
    <x v="1"/>
    <n v="0"/>
    <n v="0"/>
    <n v="0"/>
    <x v="0"/>
    <x v="1"/>
    <n v="1"/>
  </r>
  <r>
    <n v="396776000000"/>
    <x v="0"/>
    <x v="61"/>
    <x v="1"/>
    <s v="DA PENHA"/>
    <d v="2016-04-28T00:00:00"/>
    <d v="2016-05-05T00:00:00"/>
    <x v="3"/>
    <x v="87"/>
    <x v="3"/>
    <n v="0"/>
    <x v="0"/>
    <n v="0"/>
    <n v="0"/>
    <n v="1"/>
    <x v="0"/>
    <x v="1"/>
    <n v="1"/>
  </r>
  <r>
    <n v="3599630000000"/>
    <x v="0"/>
    <x v="14"/>
    <x v="3"/>
    <s v="TABUAZEIRO"/>
    <d v="2016-04-28T00:00:00"/>
    <d v="2016-05-06T00:00:00"/>
    <x v="0"/>
    <x v="88"/>
    <x v="2"/>
    <n v="0"/>
    <x v="1"/>
    <n v="0"/>
    <n v="0"/>
    <n v="0"/>
    <x v="0"/>
    <x v="0"/>
    <n v="0"/>
  </r>
  <r>
    <n v="67935800000000"/>
    <x v="0"/>
    <x v="12"/>
    <x v="3"/>
    <s v="CARATOIRA"/>
    <d v="2016-04-28T00:00:00"/>
    <d v="2016-05-06T00:00:00"/>
    <x v="0"/>
    <x v="88"/>
    <x v="2"/>
    <n v="0"/>
    <x v="0"/>
    <n v="0"/>
    <n v="0"/>
    <n v="0"/>
    <x v="1"/>
    <x v="0"/>
    <n v="0"/>
  </r>
  <r>
    <n v="8343670000000"/>
    <x v="0"/>
    <x v="68"/>
    <x v="4"/>
    <s v="MARIA ORTIZ"/>
    <d v="2016-04-28T00:00:00"/>
    <d v="2016-06-03T00:00:00"/>
    <x v="0"/>
    <x v="55"/>
    <x v="0"/>
    <n v="0"/>
    <x v="1"/>
    <n v="0"/>
    <n v="0"/>
    <n v="0"/>
    <x v="0"/>
    <x v="1"/>
    <n v="1"/>
  </r>
  <r>
    <n v="67935800000000"/>
    <x v="0"/>
    <x v="12"/>
    <x v="3"/>
    <s v="CARATOIRA"/>
    <d v="2016-04-28T00:00:00"/>
    <d v="2016-05-06T00:00:00"/>
    <x v="0"/>
    <x v="88"/>
    <x v="2"/>
    <n v="0"/>
    <x v="0"/>
    <n v="0"/>
    <n v="0"/>
    <n v="0"/>
    <x v="1"/>
    <x v="0"/>
    <n v="0"/>
  </r>
  <r>
    <n v="24755945987"/>
    <x v="0"/>
    <x v="39"/>
    <x v="4"/>
    <s v="MARIA ORTIZ"/>
    <d v="2016-04-28T00:00:00"/>
    <d v="2016-06-03T00:00:00"/>
    <x v="0"/>
    <x v="55"/>
    <x v="0"/>
    <n v="0"/>
    <x v="1"/>
    <n v="0"/>
    <n v="0"/>
    <n v="0"/>
    <x v="0"/>
    <x v="0"/>
    <n v="0"/>
  </r>
  <r>
    <n v="35464400000000"/>
    <x v="1"/>
    <x v="5"/>
    <x v="1"/>
    <s v="REPUBLICA"/>
    <d v="2016-04-28T00:00:00"/>
    <d v="2016-05-09T00:00:00"/>
    <x v="2"/>
    <x v="81"/>
    <x v="2"/>
    <n v="0"/>
    <x v="1"/>
    <n v="0"/>
    <n v="0"/>
    <n v="0"/>
    <x v="1"/>
    <x v="0"/>
    <n v="0"/>
  </r>
  <r>
    <n v="68591600000000"/>
    <x v="0"/>
    <x v="30"/>
    <x v="3"/>
    <s v="MARIA ORTIZ"/>
    <d v="2016-04-28T00:00:00"/>
    <d v="2016-05-02T00:00:00"/>
    <x v="2"/>
    <x v="86"/>
    <x v="3"/>
    <n v="0"/>
    <x v="1"/>
    <n v="0"/>
    <n v="0"/>
    <n v="0"/>
    <x v="0"/>
    <x v="0"/>
    <n v="0"/>
  </r>
  <r>
    <n v="13726800000000"/>
    <x v="1"/>
    <x v="30"/>
    <x v="3"/>
    <s v="CRUZAMENTO"/>
    <d v="2016-04-28T00:00:00"/>
    <d v="2016-05-04T00:00:00"/>
    <x v="1"/>
    <x v="90"/>
    <x v="3"/>
    <n v="0"/>
    <x v="1"/>
    <n v="0"/>
    <n v="0"/>
    <n v="0"/>
    <x v="0"/>
    <x v="0"/>
    <n v="0"/>
  </r>
  <r>
    <n v="82435900000000"/>
    <x v="0"/>
    <x v="78"/>
    <x v="0"/>
    <s v="JARDIM DA PENHA"/>
    <d v="2016-04-28T00:00:00"/>
    <d v="2016-05-02T00:00:00"/>
    <x v="2"/>
    <x v="86"/>
    <x v="3"/>
    <n v="0"/>
    <x v="0"/>
    <n v="1"/>
    <n v="0"/>
    <n v="0"/>
    <x v="0"/>
    <x v="0"/>
    <n v="0"/>
  </r>
  <r>
    <n v="3934190000000"/>
    <x v="0"/>
    <x v="89"/>
    <x v="0"/>
    <s v="JARDIM DA PENHA"/>
    <d v="2016-04-28T00:00:00"/>
    <d v="2016-05-19T00:00:00"/>
    <x v="3"/>
    <x v="73"/>
    <x v="1"/>
    <n v="0"/>
    <x v="0"/>
    <n v="0"/>
    <n v="0"/>
    <n v="0"/>
    <x v="1"/>
    <x v="0"/>
    <n v="0"/>
  </r>
  <r>
    <n v="3366510000000"/>
    <x v="0"/>
    <x v="38"/>
    <x v="4"/>
    <s v="JUCUTUQUARA"/>
    <d v="2016-04-28T00:00:00"/>
    <d v="2016-05-02T00:00:00"/>
    <x v="2"/>
    <x v="86"/>
    <x v="3"/>
    <n v="0"/>
    <x v="1"/>
    <n v="0"/>
    <n v="0"/>
    <n v="0"/>
    <x v="0"/>
    <x v="0"/>
    <n v="0"/>
  </r>
  <r>
    <n v="133519000000000"/>
    <x v="1"/>
    <x v="60"/>
    <x v="2"/>
    <s v="PRAIA DO SUA"/>
    <d v="2016-04-28T00:00:00"/>
    <d v="2016-05-04T00:00:00"/>
    <x v="1"/>
    <x v="90"/>
    <x v="3"/>
    <n v="0"/>
    <x v="1"/>
    <n v="0"/>
    <n v="0"/>
    <n v="1"/>
    <x v="0"/>
    <x v="0"/>
    <n v="0"/>
  </r>
  <r>
    <n v="6425120000000"/>
    <x v="0"/>
    <x v="9"/>
    <x v="0"/>
    <s v="SANTO ANTONIO"/>
    <d v="2016-04-28T00:00:00"/>
    <d v="2016-05-03T00:00:00"/>
    <x v="4"/>
    <x v="92"/>
    <x v="3"/>
    <n v="0"/>
    <x v="0"/>
    <n v="1"/>
    <n v="0"/>
    <n v="1"/>
    <x v="0"/>
    <x v="0"/>
    <n v="0"/>
  </r>
  <r>
    <n v="28516799229"/>
    <x v="0"/>
    <x v="77"/>
    <x v="4"/>
    <s v="FORTE SAO JOAO"/>
    <d v="2016-04-28T00:00:00"/>
    <d v="2016-05-09T00:00:00"/>
    <x v="2"/>
    <x v="81"/>
    <x v="2"/>
    <n v="0"/>
    <x v="1"/>
    <n v="0"/>
    <n v="0"/>
    <n v="0"/>
    <x v="1"/>
    <x v="1"/>
    <n v="1"/>
  </r>
  <r>
    <n v="332452000000000"/>
    <x v="1"/>
    <x v="46"/>
    <x v="2"/>
    <s v="INHANGUETA"/>
    <d v="2016-04-28T00:00:00"/>
    <d v="2016-05-03T00:00:00"/>
    <x v="4"/>
    <x v="92"/>
    <x v="3"/>
    <n v="0"/>
    <x v="1"/>
    <n v="0"/>
    <n v="0"/>
    <n v="0"/>
    <x v="0"/>
    <x v="0"/>
    <n v="0"/>
  </r>
  <r>
    <n v="8583140000000"/>
    <x v="0"/>
    <x v="17"/>
    <x v="4"/>
    <s v="FORTE SAO JOAO"/>
    <d v="2016-04-28T00:00:00"/>
    <d v="2016-05-06T00:00:00"/>
    <x v="0"/>
    <x v="88"/>
    <x v="2"/>
    <n v="0"/>
    <x v="1"/>
    <n v="0"/>
    <n v="0"/>
    <n v="0"/>
    <x v="0"/>
    <x v="0"/>
    <n v="0"/>
  </r>
  <r>
    <n v="75639700000000"/>
    <x v="0"/>
    <x v="46"/>
    <x v="2"/>
    <s v="INHANGUETA"/>
    <d v="2016-04-28T00:00:00"/>
    <d v="2016-05-12T00:00:00"/>
    <x v="3"/>
    <x v="80"/>
    <x v="2"/>
    <n v="0"/>
    <x v="1"/>
    <n v="0"/>
    <n v="0"/>
    <n v="0"/>
    <x v="1"/>
    <x v="0"/>
    <n v="0"/>
  </r>
  <r>
    <n v="458199000000"/>
    <x v="1"/>
    <x v="78"/>
    <x v="0"/>
    <s v="JOANA D ARC"/>
    <d v="2016-04-28T00:00:00"/>
    <d v="2016-05-02T00:00:00"/>
    <x v="2"/>
    <x v="86"/>
    <x v="3"/>
    <n v="0"/>
    <x v="1"/>
    <n v="0"/>
    <n v="0"/>
    <n v="0"/>
    <x v="0"/>
    <x v="1"/>
    <n v="1"/>
  </r>
  <r>
    <n v="628541000000000"/>
    <x v="1"/>
    <x v="46"/>
    <x v="2"/>
    <s v="INHANGUETA"/>
    <d v="2016-04-28T00:00:00"/>
    <d v="2016-05-03T00:00:00"/>
    <x v="4"/>
    <x v="92"/>
    <x v="3"/>
    <n v="0"/>
    <x v="1"/>
    <n v="0"/>
    <n v="0"/>
    <n v="0"/>
    <x v="0"/>
    <x v="0"/>
    <n v="0"/>
  </r>
  <r>
    <n v="574684000000000"/>
    <x v="0"/>
    <x v="28"/>
    <x v="3"/>
    <s v="DO QUADRO"/>
    <d v="2016-04-28T00:00:00"/>
    <d v="2016-05-02T00:00:00"/>
    <x v="2"/>
    <x v="86"/>
    <x v="3"/>
    <n v="0"/>
    <x v="0"/>
    <n v="0"/>
    <n v="0"/>
    <n v="0"/>
    <x v="0"/>
    <x v="0"/>
    <n v="0"/>
  </r>
  <r>
    <n v="7458550000000"/>
    <x v="1"/>
    <x v="46"/>
    <x v="2"/>
    <s v="ILHA DO PRINCIPE"/>
    <d v="2016-04-28T00:00:00"/>
    <d v="2016-05-09T00:00:00"/>
    <x v="2"/>
    <x v="81"/>
    <x v="2"/>
    <n v="0"/>
    <x v="1"/>
    <n v="0"/>
    <n v="0"/>
    <n v="0"/>
    <x v="1"/>
    <x v="0"/>
    <n v="0"/>
  </r>
  <r>
    <n v="1935530000000"/>
    <x v="1"/>
    <x v="15"/>
    <x v="3"/>
    <s v="CARATOIRA"/>
    <d v="2016-04-28T00:00:00"/>
    <d v="2016-05-02T00:00:00"/>
    <x v="2"/>
    <x v="86"/>
    <x v="3"/>
    <n v="0"/>
    <x v="1"/>
    <n v="0"/>
    <n v="1"/>
    <n v="0"/>
    <x v="0"/>
    <x v="0"/>
    <n v="0"/>
  </r>
  <r>
    <n v="62475700000000"/>
    <x v="0"/>
    <x v="41"/>
    <x v="4"/>
    <s v="MARUIPE"/>
    <d v="2016-04-28T00:00:00"/>
    <d v="2016-05-05T00:00:00"/>
    <x v="3"/>
    <x v="87"/>
    <x v="3"/>
    <n v="0"/>
    <x v="1"/>
    <n v="0"/>
    <n v="0"/>
    <n v="0"/>
    <x v="0"/>
    <x v="1"/>
    <n v="1"/>
  </r>
  <r>
    <n v="274165000000"/>
    <x v="0"/>
    <x v="58"/>
    <x v="0"/>
    <s v="SAO CRISTOVAO"/>
    <d v="2016-04-28T00:00:00"/>
    <d v="2016-04-29T00:00:00"/>
    <x v="0"/>
    <x v="93"/>
    <x v="4"/>
    <n v="0"/>
    <x v="0"/>
    <n v="1"/>
    <n v="0"/>
    <n v="0"/>
    <x v="1"/>
    <x v="1"/>
    <n v="1"/>
  </r>
  <r>
    <n v="4483840000000"/>
    <x v="1"/>
    <x v="25"/>
    <x v="4"/>
    <s v="JESUS DE NAZARETH"/>
    <d v="2016-04-28T00:00:00"/>
    <d v="2016-05-18T00:00:00"/>
    <x v="1"/>
    <x v="76"/>
    <x v="1"/>
    <n v="0"/>
    <x v="1"/>
    <n v="0"/>
    <n v="1"/>
    <n v="0"/>
    <x v="1"/>
    <x v="0"/>
    <n v="0"/>
  </r>
  <r>
    <n v="8250000000000"/>
    <x v="1"/>
    <x v="43"/>
    <x v="2"/>
    <s v="SAO JOSE"/>
    <d v="2016-04-28T00:00:00"/>
    <d v="2016-05-04T00:00:00"/>
    <x v="1"/>
    <x v="90"/>
    <x v="3"/>
    <n v="0"/>
    <x v="1"/>
    <n v="0"/>
    <n v="0"/>
    <n v="0"/>
    <x v="0"/>
    <x v="0"/>
    <n v="0"/>
  </r>
  <r>
    <n v="29749200000000"/>
    <x v="1"/>
    <x v="37"/>
    <x v="3"/>
    <s v="SANTA TEREZA"/>
    <d v="2016-04-28T00:00:00"/>
    <d v="2016-05-18T00:00:00"/>
    <x v="1"/>
    <x v="76"/>
    <x v="1"/>
    <n v="0"/>
    <x v="1"/>
    <n v="0"/>
    <n v="0"/>
    <n v="0"/>
    <x v="1"/>
    <x v="0"/>
    <n v="0"/>
  </r>
  <r>
    <n v="46591700000000"/>
    <x v="1"/>
    <x v="39"/>
    <x v="4"/>
    <s v="PRAIA DO SUA"/>
    <d v="2016-04-28T00:00:00"/>
    <d v="2016-05-04T00:00:00"/>
    <x v="1"/>
    <x v="90"/>
    <x v="3"/>
    <n v="0"/>
    <x v="1"/>
    <n v="0"/>
    <n v="0"/>
    <n v="0"/>
    <x v="0"/>
    <x v="1"/>
    <n v="1"/>
  </r>
  <r>
    <n v="35585700000000"/>
    <x v="1"/>
    <x v="80"/>
    <x v="2"/>
    <s v="SANTOS DUMONT"/>
    <d v="2016-04-28T00:00:00"/>
    <d v="2016-05-16T00:00:00"/>
    <x v="2"/>
    <x v="74"/>
    <x v="1"/>
    <n v="1"/>
    <x v="1"/>
    <n v="0"/>
    <n v="0"/>
    <n v="0"/>
    <x v="1"/>
    <x v="1"/>
    <n v="1"/>
  </r>
  <r>
    <n v="38379600000000"/>
    <x v="0"/>
    <x v="44"/>
    <x v="4"/>
    <s v="SAO JOSE"/>
    <d v="2016-04-28T00:00:00"/>
    <d v="2016-05-05T00:00:00"/>
    <x v="3"/>
    <x v="87"/>
    <x v="3"/>
    <n v="0"/>
    <x v="1"/>
    <n v="0"/>
    <n v="0"/>
    <n v="0"/>
    <x v="0"/>
    <x v="0"/>
    <n v="0"/>
  </r>
  <r>
    <n v="1897260000000"/>
    <x v="1"/>
    <x v="27"/>
    <x v="3"/>
    <s v="JARDIM CAMBURI"/>
    <d v="2016-04-28T00:00:00"/>
    <d v="2016-05-02T00:00:00"/>
    <x v="2"/>
    <x v="86"/>
    <x v="3"/>
    <n v="0"/>
    <x v="1"/>
    <n v="0"/>
    <n v="0"/>
    <n v="0"/>
    <x v="0"/>
    <x v="0"/>
    <n v="0"/>
  </r>
  <r>
    <n v="26534389175"/>
    <x v="0"/>
    <x v="30"/>
    <x v="3"/>
    <s v="REPUBLICA"/>
    <d v="2016-04-28T00:00:00"/>
    <d v="2016-05-02T00:00:00"/>
    <x v="2"/>
    <x v="86"/>
    <x v="3"/>
    <n v="0"/>
    <x v="1"/>
    <n v="0"/>
    <n v="0"/>
    <n v="0"/>
    <x v="0"/>
    <x v="0"/>
    <n v="0"/>
  </r>
  <r>
    <n v="4168390000000"/>
    <x v="1"/>
    <x v="64"/>
    <x v="3"/>
    <s v="MARUIPE"/>
    <d v="2016-04-28T00:00:00"/>
    <d v="2016-05-09T00:00:00"/>
    <x v="2"/>
    <x v="81"/>
    <x v="2"/>
    <n v="0"/>
    <x v="0"/>
    <n v="0"/>
    <n v="0"/>
    <n v="0"/>
    <x v="1"/>
    <x v="0"/>
    <n v="0"/>
  </r>
  <r>
    <n v="1174590000000"/>
    <x v="1"/>
    <x v="67"/>
    <x v="4"/>
    <s v="ITARARE"/>
    <d v="2016-04-28T00:00:00"/>
    <d v="2016-05-06T00:00:00"/>
    <x v="0"/>
    <x v="88"/>
    <x v="2"/>
    <n v="0"/>
    <x v="1"/>
    <n v="0"/>
    <n v="0"/>
    <n v="0"/>
    <x v="0"/>
    <x v="0"/>
    <n v="0"/>
  </r>
  <r>
    <n v="262415000000000"/>
    <x v="0"/>
    <x v="44"/>
    <x v="4"/>
    <s v="GURIGICA"/>
    <d v="2016-04-28T00:00:00"/>
    <d v="2016-05-12T00:00:00"/>
    <x v="3"/>
    <x v="80"/>
    <x v="2"/>
    <n v="0"/>
    <x v="1"/>
    <n v="0"/>
    <n v="0"/>
    <n v="0"/>
    <x v="0"/>
    <x v="0"/>
    <n v="0"/>
  </r>
  <r>
    <n v="54661300000000"/>
    <x v="0"/>
    <x v="63"/>
    <x v="0"/>
    <s v="CARATOIRA"/>
    <d v="2016-04-28T00:00:00"/>
    <d v="2016-05-02T00:00:00"/>
    <x v="2"/>
    <x v="86"/>
    <x v="3"/>
    <n v="1"/>
    <x v="0"/>
    <n v="0"/>
    <n v="0"/>
    <n v="0"/>
    <x v="0"/>
    <x v="0"/>
    <n v="0"/>
  </r>
  <r>
    <n v="5169770000000"/>
    <x v="0"/>
    <x v="8"/>
    <x v="0"/>
    <s v="TABUAZEIRO"/>
    <d v="2016-04-28T00:00:00"/>
    <d v="2016-06-08T00:00:00"/>
    <x v="1"/>
    <x v="51"/>
    <x v="0"/>
    <n v="1"/>
    <x v="0"/>
    <n v="0"/>
    <n v="0"/>
    <n v="0"/>
    <x v="0"/>
    <x v="1"/>
    <n v="1"/>
  </r>
  <r>
    <n v="9211680000000"/>
    <x v="0"/>
    <x v="79"/>
    <x v="5"/>
    <s v="SAO JOSE"/>
    <d v="2016-04-28T00:00:00"/>
    <d v="2016-05-12T00:00:00"/>
    <x v="3"/>
    <x v="80"/>
    <x v="2"/>
    <n v="0"/>
    <x v="1"/>
    <n v="0"/>
    <n v="0"/>
    <n v="0"/>
    <x v="0"/>
    <x v="0"/>
    <n v="0"/>
  </r>
  <r>
    <n v="98232300000000"/>
    <x v="0"/>
    <x v="61"/>
    <x v="1"/>
    <s v="ILHA DO PRINCIPE"/>
    <d v="2016-04-28T00:00:00"/>
    <d v="2016-05-04T00:00:00"/>
    <x v="1"/>
    <x v="90"/>
    <x v="3"/>
    <n v="0"/>
    <x v="1"/>
    <n v="0"/>
    <n v="0"/>
    <n v="0"/>
    <x v="0"/>
    <x v="1"/>
    <n v="1"/>
  </r>
  <r>
    <n v="6718330000000"/>
    <x v="0"/>
    <x v="47"/>
    <x v="4"/>
    <s v="ROMAO"/>
    <d v="2016-04-28T00:00:00"/>
    <d v="2016-05-17T00:00:00"/>
    <x v="4"/>
    <x v="77"/>
    <x v="1"/>
    <n v="0"/>
    <x v="1"/>
    <n v="0"/>
    <n v="0"/>
    <n v="0"/>
    <x v="1"/>
    <x v="1"/>
    <n v="1"/>
  </r>
  <r>
    <n v="56434000000000"/>
    <x v="0"/>
    <x v="18"/>
    <x v="0"/>
    <s v="JARDIM CAMBURI"/>
    <d v="2016-04-28T00:00:00"/>
    <d v="2016-05-05T00:00:00"/>
    <x v="3"/>
    <x v="87"/>
    <x v="3"/>
    <n v="0"/>
    <x v="1"/>
    <n v="0"/>
    <n v="0"/>
    <n v="0"/>
    <x v="0"/>
    <x v="0"/>
    <n v="0"/>
  </r>
  <r>
    <n v="7986220000000"/>
    <x v="0"/>
    <x v="18"/>
    <x v="0"/>
    <s v="JARDIM DA PENHA"/>
    <d v="2016-04-28T00:00:00"/>
    <d v="2016-05-02T00:00:00"/>
    <x v="2"/>
    <x v="86"/>
    <x v="3"/>
    <n v="0"/>
    <x v="0"/>
    <n v="0"/>
    <n v="0"/>
    <n v="0"/>
    <x v="0"/>
    <x v="0"/>
    <n v="0"/>
  </r>
  <r>
    <n v="4678970000000"/>
    <x v="0"/>
    <x v="79"/>
    <x v="5"/>
    <s v="FORTE SAO JOAO"/>
    <d v="2016-04-28T00:00:00"/>
    <d v="2016-05-04T00:00:00"/>
    <x v="1"/>
    <x v="90"/>
    <x v="3"/>
    <n v="1"/>
    <x v="1"/>
    <n v="0"/>
    <n v="0"/>
    <n v="0"/>
    <x v="0"/>
    <x v="0"/>
    <n v="0"/>
  </r>
  <r>
    <n v="583462000000000"/>
    <x v="0"/>
    <x v="61"/>
    <x v="1"/>
    <s v="REDENCAO"/>
    <d v="2016-04-28T00:00:00"/>
    <d v="2016-05-20T00:00:00"/>
    <x v="0"/>
    <x v="71"/>
    <x v="1"/>
    <n v="0"/>
    <x v="1"/>
    <n v="0"/>
    <n v="0"/>
    <n v="0"/>
    <x v="1"/>
    <x v="1"/>
    <n v="1"/>
  </r>
  <r>
    <n v="2728420000000"/>
    <x v="0"/>
    <x v="2"/>
    <x v="1"/>
    <s v="SAO JOSE"/>
    <d v="2016-04-28T00:00:00"/>
    <d v="2016-05-06T00:00:00"/>
    <x v="0"/>
    <x v="88"/>
    <x v="2"/>
    <n v="0"/>
    <x v="1"/>
    <n v="0"/>
    <n v="0"/>
    <n v="0"/>
    <x v="0"/>
    <x v="1"/>
    <n v="1"/>
  </r>
  <r>
    <n v="66771166148"/>
    <x v="0"/>
    <x v="80"/>
    <x v="2"/>
    <s v="SANTO ANDRE"/>
    <d v="2016-04-28T00:00:00"/>
    <d v="2016-05-11T00:00:00"/>
    <x v="1"/>
    <x v="82"/>
    <x v="2"/>
    <n v="0"/>
    <x v="1"/>
    <n v="0"/>
    <n v="0"/>
    <n v="0"/>
    <x v="0"/>
    <x v="0"/>
    <n v="0"/>
  </r>
  <r>
    <n v="897628000000000"/>
    <x v="0"/>
    <x v="19"/>
    <x v="2"/>
    <s v="SANTO ANDRE"/>
    <d v="2016-04-28T00:00:00"/>
    <d v="2016-05-11T00:00:00"/>
    <x v="1"/>
    <x v="82"/>
    <x v="2"/>
    <n v="0"/>
    <x v="1"/>
    <n v="0"/>
    <n v="0"/>
    <n v="0"/>
    <x v="1"/>
    <x v="1"/>
    <n v="1"/>
  </r>
  <r>
    <n v="615472000000"/>
    <x v="1"/>
    <x v="43"/>
    <x v="2"/>
    <s v="DA PENHA"/>
    <d v="2016-04-28T00:00:00"/>
    <d v="2016-05-02T00:00:00"/>
    <x v="2"/>
    <x v="86"/>
    <x v="3"/>
    <n v="0"/>
    <x v="1"/>
    <n v="0"/>
    <n v="0"/>
    <n v="0"/>
    <x v="1"/>
    <x v="0"/>
    <n v="0"/>
  </r>
  <r>
    <n v="4426670000000"/>
    <x v="0"/>
    <x v="73"/>
    <x v="4"/>
    <s v="SAO JOSE"/>
    <d v="2016-04-28T00:00:00"/>
    <d v="2016-05-12T00:00:00"/>
    <x v="3"/>
    <x v="80"/>
    <x v="2"/>
    <n v="0"/>
    <x v="1"/>
    <n v="0"/>
    <n v="0"/>
    <n v="0"/>
    <x v="0"/>
    <x v="0"/>
    <n v="0"/>
  </r>
  <r>
    <n v="21241500000000"/>
    <x v="0"/>
    <x v="4"/>
    <x v="2"/>
    <s v="NOVA PALESTINA"/>
    <d v="2016-04-28T00:00:00"/>
    <d v="2016-05-05T00:00:00"/>
    <x v="3"/>
    <x v="87"/>
    <x v="3"/>
    <n v="0"/>
    <x v="1"/>
    <n v="0"/>
    <n v="0"/>
    <n v="0"/>
    <x v="0"/>
    <x v="0"/>
    <n v="0"/>
  </r>
  <r>
    <n v="15714000000000"/>
    <x v="0"/>
    <x v="63"/>
    <x v="0"/>
    <s v="MARIO CYPRESTE"/>
    <d v="2016-04-28T00:00:00"/>
    <d v="2016-04-29T00:00:00"/>
    <x v="0"/>
    <x v="93"/>
    <x v="4"/>
    <n v="0"/>
    <x v="0"/>
    <n v="1"/>
    <n v="0"/>
    <n v="0"/>
    <x v="1"/>
    <x v="0"/>
    <n v="0"/>
  </r>
  <r>
    <n v="442356000000000"/>
    <x v="1"/>
    <x v="83"/>
    <x v="0"/>
    <s v="SAO BENEDITO"/>
    <d v="2016-04-28T00:00:00"/>
    <d v="2016-05-02T00:00:00"/>
    <x v="2"/>
    <x v="86"/>
    <x v="3"/>
    <n v="0"/>
    <x v="0"/>
    <n v="1"/>
    <n v="0"/>
    <n v="0"/>
    <x v="0"/>
    <x v="0"/>
    <n v="0"/>
  </r>
  <r>
    <n v="42842900000000"/>
    <x v="0"/>
    <x v="27"/>
    <x v="3"/>
    <s v="JARDIM DA PENHA"/>
    <d v="2016-04-28T00:00:00"/>
    <d v="2016-05-03T00:00:00"/>
    <x v="4"/>
    <x v="92"/>
    <x v="3"/>
    <n v="0"/>
    <x v="1"/>
    <n v="0"/>
    <n v="0"/>
    <n v="0"/>
    <x v="0"/>
    <x v="0"/>
    <n v="0"/>
  </r>
  <r>
    <n v="528279000000000"/>
    <x v="0"/>
    <x v="33"/>
    <x v="4"/>
    <s v="NOVA PALESTINA"/>
    <d v="2016-04-28T00:00:00"/>
    <d v="2016-05-24T00:00:00"/>
    <x v="4"/>
    <x v="68"/>
    <x v="1"/>
    <n v="0"/>
    <x v="1"/>
    <n v="0"/>
    <n v="0"/>
    <n v="0"/>
    <x v="0"/>
    <x v="1"/>
    <n v="1"/>
  </r>
  <r>
    <n v="54586600000000"/>
    <x v="0"/>
    <x v="79"/>
    <x v="5"/>
    <s v="VILA RUBIM"/>
    <d v="2016-04-28T00:00:00"/>
    <d v="2016-05-06T00:00:00"/>
    <x v="0"/>
    <x v="88"/>
    <x v="2"/>
    <n v="0"/>
    <x v="1"/>
    <n v="0"/>
    <n v="0"/>
    <n v="0"/>
    <x v="0"/>
    <x v="0"/>
    <n v="0"/>
  </r>
  <r>
    <n v="54586600000000"/>
    <x v="0"/>
    <x v="79"/>
    <x v="5"/>
    <s v="VILA RUBIM"/>
    <d v="2016-04-28T00:00:00"/>
    <d v="2016-05-06T00:00:00"/>
    <x v="0"/>
    <x v="88"/>
    <x v="2"/>
    <n v="0"/>
    <x v="1"/>
    <n v="0"/>
    <n v="0"/>
    <n v="0"/>
    <x v="1"/>
    <x v="0"/>
    <n v="0"/>
  </r>
  <r>
    <n v="133267000000"/>
    <x v="0"/>
    <x v="48"/>
    <x v="3"/>
    <s v="SANTOS DUMONT"/>
    <d v="2016-04-28T00:00:00"/>
    <d v="2016-05-02T00:00:00"/>
    <x v="2"/>
    <x v="86"/>
    <x v="3"/>
    <n v="1"/>
    <x v="0"/>
    <n v="0"/>
    <n v="0"/>
    <n v="0"/>
    <x v="0"/>
    <x v="0"/>
    <n v="0"/>
  </r>
  <r>
    <n v="79953300000000"/>
    <x v="0"/>
    <x v="41"/>
    <x v="4"/>
    <s v="JESUS DE NAZARETH"/>
    <d v="2016-04-28T00:00:00"/>
    <d v="2016-05-20T00:00:00"/>
    <x v="0"/>
    <x v="71"/>
    <x v="1"/>
    <n v="0"/>
    <x v="1"/>
    <n v="0"/>
    <n v="0"/>
    <n v="0"/>
    <x v="1"/>
    <x v="1"/>
    <n v="1"/>
  </r>
  <r>
    <n v="8297340000000"/>
    <x v="1"/>
    <x v="36"/>
    <x v="3"/>
    <s v="SANTO ANTONIO"/>
    <d v="2016-04-28T00:00:00"/>
    <d v="2016-05-02T00:00:00"/>
    <x v="2"/>
    <x v="86"/>
    <x v="3"/>
    <n v="0"/>
    <x v="1"/>
    <n v="0"/>
    <n v="0"/>
    <n v="0"/>
    <x v="0"/>
    <x v="0"/>
    <n v="0"/>
  </r>
  <r>
    <n v="88777800000000"/>
    <x v="0"/>
    <x v="51"/>
    <x v="2"/>
    <s v="JESUS DE NAZARETH"/>
    <d v="2016-04-28T00:00:00"/>
    <d v="2016-05-04T00:00:00"/>
    <x v="1"/>
    <x v="90"/>
    <x v="3"/>
    <n v="0"/>
    <x v="1"/>
    <n v="0"/>
    <n v="0"/>
    <n v="0"/>
    <x v="0"/>
    <x v="1"/>
    <n v="1"/>
  </r>
  <r>
    <n v="93985900000000"/>
    <x v="1"/>
    <x v="32"/>
    <x v="4"/>
    <s v="BELA VISTA"/>
    <d v="2016-04-28T00:00:00"/>
    <d v="2016-05-05T00:00:00"/>
    <x v="3"/>
    <x v="87"/>
    <x v="3"/>
    <n v="0"/>
    <x v="1"/>
    <n v="0"/>
    <n v="0"/>
    <n v="0"/>
    <x v="0"/>
    <x v="0"/>
    <n v="0"/>
  </r>
  <r>
    <n v="7346680000000"/>
    <x v="0"/>
    <x v="74"/>
    <x v="1"/>
    <s v="CONSOLACAO"/>
    <d v="2016-04-28T00:00:00"/>
    <d v="2016-05-11T00:00:00"/>
    <x v="1"/>
    <x v="82"/>
    <x v="2"/>
    <n v="0"/>
    <x v="1"/>
    <n v="0"/>
    <n v="0"/>
    <n v="0"/>
    <x v="0"/>
    <x v="1"/>
    <n v="1"/>
  </r>
  <r>
    <n v="29961100000000"/>
    <x v="0"/>
    <x v="70"/>
    <x v="5"/>
    <s v="PRAIA DO SUA"/>
    <d v="2016-04-28T00:00:00"/>
    <d v="2016-05-24T00:00:00"/>
    <x v="4"/>
    <x v="68"/>
    <x v="1"/>
    <n v="1"/>
    <x v="1"/>
    <n v="0"/>
    <n v="0"/>
    <n v="0"/>
    <x v="0"/>
    <x v="1"/>
    <n v="1"/>
  </r>
  <r>
    <n v="777893000000000"/>
    <x v="0"/>
    <x v="85"/>
    <x v="0"/>
    <s v="JARDIM DA PENHA"/>
    <d v="2016-04-28T00:00:00"/>
    <d v="2016-05-02T00:00:00"/>
    <x v="2"/>
    <x v="86"/>
    <x v="3"/>
    <n v="0"/>
    <x v="0"/>
    <n v="0"/>
    <n v="0"/>
    <n v="0"/>
    <x v="0"/>
    <x v="0"/>
    <n v="0"/>
  </r>
  <r>
    <n v="54967400000000"/>
    <x v="1"/>
    <x v="40"/>
    <x v="1"/>
    <s v="CENTRO"/>
    <d v="2016-04-28T00:00:00"/>
    <d v="2016-05-02T00:00:00"/>
    <x v="2"/>
    <x v="86"/>
    <x v="3"/>
    <n v="0"/>
    <x v="1"/>
    <n v="0"/>
    <n v="0"/>
    <n v="0"/>
    <x v="0"/>
    <x v="0"/>
    <n v="0"/>
  </r>
  <r>
    <n v="983942000000000"/>
    <x v="0"/>
    <x v="48"/>
    <x v="3"/>
    <s v="MARIA ORTIZ"/>
    <d v="2016-04-28T00:00:00"/>
    <d v="2016-05-02T00:00:00"/>
    <x v="2"/>
    <x v="86"/>
    <x v="3"/>
    <n v="0"/>
    <x v="1"/>
    <n v="0"/>
    <n v="0"/>
    <n v="0"/>
    <x v="0"/>
    <x v="0"/>
    <n v="0"/>
  </r>
  <r>
    <n v="75372800000000"/>
    <x v="0"/>
    <x v="15"/>
    <x v="3"/>
    <s v="ILHA DO PRINCIPE"/>
    <d v="2016-04-28T00:00:00"/>
    <d v="2016-04-29T00:00:00"/>
    <x v="0"/>
    <x v="93"/>
    <x v="4"/>
    <n v="0"/>
    <x v="0"/>
    <n v="0"/>
    <n v="0"/>
    <n v="0"/>
    <x v="1"/>
    <x v="0"/>
    <n v="0"/>
  </r>
  <r>
    <n v="363724000000"/>
    <x v="0"/>
    <x v="2"/>
    <x v="1"/>
    <s v="JABOUR"/>
    <d v="2016-04-28T00:00:00"/>
    <d v="2016-05-25T00:00:00"/>
    <x v="1"/>
    <x v="65"/>
    <x v="1"/>
    <n v="0"/>
    <x v="1"/>
    <n v="0"/>
    <n v="0"/>
    <n v="0"/>
    <x v="0"/>
    <x v="0"/>
    <n v="0"/>
  </r>
  <r>
    <n v="591169000000"/>
    <x v="1"/>
    <x v="57"/>
    <x v="2"/>
    <s v="JUCUTUQUARA"/>
    <d v="2016-04-28T00:00:00"/>
    <d v="2016-05-31T00:00:00"/>
    <x v="4"/>
    <x v="62"/>
    <x v="0"/>
    <n v="0"/>
    <x v="1"/>
    <n v="0"/>
    <n v="0"/>
    <n v="0"/>
    <x v="0"/>
    <x v="1"/>
    <n v="1"/>
  </r>
  <r>
    <n v="66744000000000"/>
    <x v="0"/>
    <x v="70"/>
    <x v="5"/>
    <s v="BOA VISTA"/>
    <d v="2016-04-28T00:00:00"/>
    <d v="2016-05-06T00:00:00"/>
    <x v="0"/>
    <x v="88"/>
    <x v="2"/>
    <n v="0"/>
    <x v="1"/>
    <n v="0"/>
    <n v="0"/>
    <n v="0"/>
    <x v="0"/>
    <x v="0"/>
    <n v="0"/>
  </r>
  <r>
    <n v="64498118518"/>
    <x v="0"/>
    <x v="49"/>
    <x v="4"/>
    <s v="CARATOIRA"/>
    <d v="2016-04-28T00:00:00"/>
    <d v="2016-04-29T00:00:00"/>
    <x v="0"/>
    <x v="93"/>
    <x v="4"/>
    <n v="0"/>
    <x v="1"/>
    <n v="0"/>
    <n v="0"/>
    <n v="0"/>
    <x v="1"/>
    <x v="0"/>
    <n v="0"/>
  </r>
  <r>
    <n v="596939000000000"/>
    <x v="0"/>
    <x v="39"/>
    <x v="4"/>
    <s v="SANTA MARTHA"/>
    <d v="2016-04-28T00:00:00"/>
    <d v="2016-04-29T00:00:00"/>
    <x v="0"/>
    <x v="93"/>
    <x v="4"/>
    <n v="1"/>
    <x v="1"/>
    <n v="0"/>
    <n v="0"/>
    <n v="0"/>
    <x v="1"/>
    <x v="0"/>
    <n v="0"/>
  </r>
  <r>
    <n v="752367000000000"/>
    <x v="0"/>
    <x v="83"/>
    <x v="0"/>
    <s v="PRAIA DO SUA"/>
    <d v="2016-04-28T00:00:00"/>
    <d v="2016-05-05T00:00:00"/>
    <x v="3"/>
    <x v="87"/>
    <x v="3"/>
    <n v="0"/>
    <x v="1"/>
    <n v="0"/>
    <n v="0"/>
    <n v="0"/>
    <x v="1"/>
    <x v="1"/>
    <n v="1"/>
  </r>
  <r>
    <n v="695337000000000"/>
    <x v="0"/>
    <x v="87"/>
    <x v="1"/>
    <s v="DA PENHA"/>
    <d v="2016-04-28T00:00:00"/>
    <d v="2016-05-18T00:00:00"/>
    <x v="1"/>
    <x v="76"/>
    <x v="1"/>
    <n v="0"/>
    <x v="1"/>
    <n v="0"/>
    <n v="0"/>
    <n v="0"/>
    <x v="1"/>
    <x v="1"/>
    <n v="1"/>
  </r>
  <r>
    <n v="8776510000000"/>
    <x v="0"/>
    <x v="73"/>
    <x v="4"/>
    <s v="JESUS DE NAZARETH"/>
    <d v="2016-04-28T00:00:00"/>
    <d v="2016-05-30T00:00:00"/>
    <x v="2"/>
    <x v="54"/>
    <x v="0"/>
    <n v="0"/>
    <x v="1"/>
    <n v="0"/>
    <n v="0"/>
    <n v="0"/>
    <x v="0"/>
    <x v="0"/>
    <n v="0"/>
  </r>
  <r>
    <n v="1856220000000"/>
    <x v="0"/>
    <x v="42"/>
    <x v="3"/>
    <s v="JARDIM DA PENHA"/>
    <d v="2016-04-28T00:00:00"/>
    <d v="2016-05-18T00:00:00"/>
    <x v="1"/>
    <x v="76"/>
    <x v="1"/>
    <n v="0"/>
    <x v="1"/>
    <n v="0"/>
    <n v="0"/>
    <n v="0"/>
    <x v="1"/>
    <x v="0"/>
    <n v="0"/>
  </r>
  <r>
    <n v="617328000000"/>
    <x v="1"/>
    <x v="59"/>
    <x v="2"/>
    <s v="SAO CRISTOVAO"/>
    <d v="2016-04-28T00:00:00"/>
    <d v="2016-04-29T00:00:00"/>
    <x v="0"/>
    <x v="93"/>
    <x v="4"/>
    <n v="0"/>
    <x v="1"/>
    <n v="0"/>
    <n v="0"/>
    <n v="0"/>
    <x v="1"/>
    <x v="0"/>
    <n v="0"/>
  </r>
  <r>
    <n v="51672711622"/>
    <x v="0"/>
    <x v="8"/>
    <x v="0"/>
    <s v="SANTO ANDRE"/>
    <d v="2016-04-28T00:00:00"/>
    <d v="2016-05-02T00:00:00"/>
    <x v="2"/>
    <x v="86"/>
    <x v="3"/>
    <n v="0"/>
    <x v="0"/>
    <n v="0"/>
    <n v="0"/>
    <n v="0"/>
    <x v="0"/>
    <x v="0"/>
    <n v="0"/>
  </r>
  <r>
    <n v="658690000000"/>
    <x v="0"/>
    <x v="78"/>
    <x v="0"/>
    <s v="MARIA ORTIZ"/>
    <d v="2016-04-28T00:00:00"/>
    <d v="2016-05-02T00:00:00"/>
    <x v="2"/>
    <x v="86"/>
    <x v="3"/>
    <n v="0"/>
    <x v="1"/>
    <n v="0"/>
    <n v="0"/>
    <n v="0"/>
    <x v="0"/>
    <x v="0"/>
    <n v="0"/>
  </r>
  <r>
    <n v="282934000000000"/>
    <x v="0"/>
    <x v="30"/>
    <x v="3"/>
    <s v="SANTO ANTONIO"/>
    <d v="2016-04-28T00:00:00"/>
    <d v="2016-05-02T00:00:00"/>
    <x v="2"/>
    <x v="86"/>
    <x v="3"/>
    <n v="0"/>
    <x v="0"/>
    <n v="1"/>
    <n v="0"/>
    <n v="0"/>
    <x v="0"/>
    <x v="0"/>
    <n v="0"/>
  </r>
  <r>
    <n v="617618000000000"/>
    <x v="0"/>
    <x v="47"/>
    <x v="4"/>
    <s v="BELA VISTA"/>
    <d v="2016-04-28T00:00:00"/>
    <d v="2016-05-05T00:00:00"/>
    <x v="3"/>
    <x v="87"/>
    <x v="3"/>
    <n v="0"/>
    <x v="1"/>
    <n v="0"/>
    <n v="0"/>
    <n v="0"/>
    <x v="0"/>
    <x v="0"/>
    <n v="0"/>
  </r>
  <r>
    <n v="8893980000000"/>
    <x v="1"/>
    <x v="42"/>
    <x v="3"/>
    <s v="COMDUSA"/>
    <d v="2016-04-28T00:00:00"/>
    <d v="2016-05-06T00:00:00"/>
    <x v="0"/>
    <x v="88"/>
    <x v="2"/>
    <n v="1"/>
    <x v="0"/>
    <n v="1"/>
    <n v="0"/>
    <n v="0"/>
    <x v="0"/>
    <x v="0"/>
    <n v="0"/>
  </r>
  <r>
    <n v="13183335914"/>
    <x v="1"/>
    <x v="29"/>
    <x v="3"/>
    <s v="JARDIM CAMBURI"/>
    <d v="2016-04-28T00:00:00"/>
    <d v="2016-05-04T00:00:00"/>
    <x v="1"/>
    <x v="90"/>
    <x v="3"/>
    <n v="0"/>
    <x v="1"/>
    <n v="0"/>
    <n v="0"/>
    <n v="0"/>
    <x v="0"/>
    <x v="0"/>
    <n v="0"/>
  </r>
  <r>
    <n v="836354000000000"/>
    <x v="0"/>
    <x v="54"/>
    <x v="1"/>
    <s v="SANTO ANDRE"/>
    <d v="2016-04-28T00:00:00"/>
    <d v="2016-05-03T00:00:00"/>
    <x v="4"/>
    <x v="92"/>
    <x v="3"/>
    <n v="0"/>
    <x v="1"/>
    <n v="0"/>
    <n v="0"/>
    <n v="0"/>
    <x v="0"/>
    <x v="0"/>
    <n v="0"/>
  </r>
  <r>
    <n v="87134700000000"/>
    <x v="1"/>
    <x v="61"/>
    <x v="1"/>
    <s v="SAO CRISTOVAO"/>
    <d v="2016-04-28T00:00:00"/>
    <d v="2016-05-02T00:00:00"/>
    <x v="2"/>
    <x v="86"/>
    <x v="3"/>
    <n v="0"/>
    <x v="1"/>
    <n v="0"/>
    <n v="0"/>
    <n v="0"/>
    <x v="0"/>
    <x v="1"/>
    <n v="1"/>
  </r>
  <r>
    <n v="2591170000000"/>
    <x v="1"/>
    <x v="4"/>
    <x v="2"/>
    <s v="MARIA ORTIZ"/>
    <d v="2016-04-28T00:00:00"/>
    <d v="2016-05-02T00:00:00"/>
    <x v="2"/>
    <x v="86"/>
    <x v="3"/>
    <n v="0"/>
    <x v="1"/>
    <n v="0"/>
    <n v="0"/>
    <n v="0"/>
    <x v="0"/>
    <x v="0"/>
    <n v="0"/>
  </r>
  <r>
    <n v="188697000000000"/>
    <x v="1"/>
    <x v="61"/>
    <x v="1"/>
    <s v="JARDIM CAMBURI"/>
    <d v="2016-04-28T00:00:00"/>
    <d v="2016-05-06T00:00:00"/>
    <x v="0"/>
    <x v="88"/>
    <x v="2"/>
    <n v="0"/>
    <x v="1"/>
    <n v="0"/>
    <n v="0"/>
    <n v="0"/>
    <x v="1"/>
    <x v="0"/>
    <n v="0"/>
  </r>
  <r>
    <n v="91933800000000"/>
    <x v="1"/>
    <x v="39"/>
    <x v="4"/>
    <s v="JARDIM CAMBURI"/>
    <d v="2016-04-28T00:00:00"/>
    <d v="2016-05-06T00:00:00"/>
    <x v="0"/>
    <x v="88"/>
    <x v="2"/>
    <n v="0"/>
    <x v="1"/>
    <n v="0"/>
    <n v="0"/>
    <n v="0"/>
    <x v="0"/>
    <x v="0"/>
    <n v="0"/>
  </r>
  <r>
    <n v="143184000000"/>
    <x v="1"/>
    <x v="37"/>
    <x v="3"/>
    <s v="JARDIM CAMBURI"/>
    <d v="2016-04-28T00:00:00"/>
    <d v="2016-05-06T00:00:00"/>
    <x v="0"/>
    <x v="88"/>
    <x v="2"/>
    <n v="0"/>
    <x v="1"/>
    <n v="0"/>
    <n v="0"/>
    <n v="0"/>
    <x v="1"/>
    <x v="1"/>
    <n v="1"/>
  </r>
  <r>
    <n v="2141540000000"/>
    <x v="0"/>
    <x v="38"/>
    <x v="4"/>
    <s v="DE LOURDES"/>
    <d v="2016-04-28T00:00:00"/>
    <d v="2016-05-09T00:00:00"/>
    <x v="2"/>
    <x v="81"/>
    <x v="2"/>
    <n v="0"/>
    <x v="1"/>
    <n v="0"/>
    <n v="0"/>
    <n v="0"/>
    <x v="1"/>
    <x v="0"/>
    <n v="0"/>
  </r>
  <r>
    <n v="265396000000000"/>
    <x v="0"/>
    <x v="85"/>
    <x v="0"/>
    <s v="MATA DA PRAIA"/>
    <d v="2016-04-28T00:00:00"/>
    <d v="2016-05-04T00:00:00"/>
    <x v="1"/>
    <x v="90"/>
    <x v="3"/>
    <n v="0"/>
    <x v="0"/>
    <n v="0"/>
    <n v="0"/>
    <n v="0"/>
    <x v="0"/>
    <x v="0"/>
    <n v="0"/>
  </r>
  <r>
    <n v="831745000000000"/>
    <x v="1"/>
    <x v="36"/>
    <x v="3"/>
    <s v="ROMAO"/>
    <d v="2016-04-29T00:00:00"/>
    <d v="2016-05-03T00:00:00"/>
    <x v="4"/>
    <x v="86"/>
    <x v="3"/>
    <n v="0"/>
    <x v="1"/>
    <n v="0"/>
    <n v="0"/>
    <n v="0"/>
    <x v="0"/>
    <x v="0"/>
    <n v="0"/>
  </r>
  <r>
    <n v="7461920000000"/>
    <x v="0"/>
    <x v="62"/>
    <x v="3"/>
    <s v="ILHA DAS CAIEIRAS"/>
    <d v="2016-04-29T00:00:00"/>
    <d v="2016-05-04T00:00:00"/>
    <x v="1"/>
    <x v="92"/>
    <x v="3"/>
    <n v="0"/>
    <x v="0"/>
    <n v="0"/>
    <n v="0"/>
    <n v="0"/>
    <x v="0"/>
    <x v="0"/>
    <n v="0"/>
  </r>
  <r>
    <n v="35943300000000"/>
    <x v="0"/>
    <x v="83"/>
    <x v="0"/>
    <s v="MARUIPE"/>
    <d v="2016-04-29T00:00:00"/>
    <d v="2016-05-04T00:00:00"/>
    <x v="1"/>
    <x v="92"/>
    <x v="3"/>
    <n v="0"/>
    <x v="0"/>
    <n v="0"/>
    <n v="0"/>
    <n v="0"/>
    <x v="0"/>
    <x v="0"/>
    <n v="0"/>
  </r>
  <r>
    <n v="61511800000000"/>
    <x v="1"/>
    <x v="47"/>
    <x v="4"/>
    <s v="SAO JOSE"/>
    <d v="2016-04-29T00:00:00"/>
    <d v="2016-04-29T00:00:00"/>
    <x v="0"/>
    <x v="94"/>
    <x v="5"/>
    <n v="0"/>
    <x v="1"/>
    <n v="0"/>
    <n v="0"/>
    <n v="0"/>
    <x v="1"/>
    <x v="0"/>
    <n v="0"/>
  </r>
  <r>
    <n v="26881126559"/>
    <x v="0"/>
    <x v="48"/>
    <x v="3"/>
    <s v="SANTA MARTHA"/>
    <d v="2016-04-29T00:00:00"/>
    <d v="2016-05-03T00:00:00"/>
    <x v="4"/>
    <x v="86"/>
    <x v="3"/>
    <n v="1"/>
    <x v="0"/>
    <n v="1"/>
    <n v="0"/>
    <n v="0"/>
    <x v="0"/>
    <x v="1"/>
    <n v="1"/>
  </r>
  <r>
    <n v="14781900000000"/>
    <x v="0"/>
    <x v="34"/>
    <x v="0"/>
    <s v="PARQUE MOSCOSO"/>
    <d v="2016-04-29T00:00:00"/>
    <d v="2016-04-29T00:00:00"/>
    <x v="0"/>
    <x v="94"/>
    <x v="5"/>
    <n v="0"/>
    <x v="1"/>
    <n v="0"/>
    <n v="0"/>
    <n v="0"/>
    <x v="1"/>
    <x v="0"/>
    <n v="0"/>
  </r>
  <r>
    <n v="83982400000000"/>
    <x v="1"/>
    <x v="66"/>
    <x v="2"/>
    <s v="BONFIM"/>
    <d v="2016-04-29T00:00:00"/>
    <d v="2016-05-03T00:00:00"/>
    <x v="4"/>
    <x v="86"/>
    <x v="3"/>
    <n v="0"/>
    <x v="1"/>
    <n v="0"/>
    <n v="0"/>
    <n v="0"/>
    <x v="0"/>
    <x v="1"/>
    <n v="1"/>
  </r>
  <r>
    <n v="72744800000000"/>
    <x v="1"/>
    <x v="19"/>
    <x v="2"/>
    <s v="CENTRO"/>
    <d v="2016-04-29T00:00:00"/>
    <d v="2016-05-05T00:00:00"/>
    <x v="3"/>
    <x v="90"/>
    <x v="3"/>
    <n v="0"/>
    <x v="1"/>
    <n v="0"/>
    <n v="0"/>
    <n v="0"/>
    <x v="0"/>
    <x v="0"/>
    <n v="0"/>
  </r>
  <r>
    <n v="98791700000000"/>
    <x v="0"/>
    <x v="42"/>
    <x v="3"/>
    <s v="BARRO VERMELHO"/>
    <d v="2016-04-29T00:00:00"/>
    <d v="2016-05-09T00:00:00"/>
    <x v="2"/>
    <x v="83"/>
    <x v="2"/>
    <n v="0"/>
    <x v="1"/>
    <n v="0"/>
    <n v="0"/>
    <n v="0"/>
    <x v="1"/>
    <x v="0"/>
    <n v="0"/>
  </r>
  <r>
    <n v="148212000000"/>
    <x v="0"/>
    <x v="31"/>
    <x v="1"/>
    <s v="ILHA DO PRINCIPE"/>
    <d v="2016-04-29T00:00:00"/>
    <d v="2016-05-11T00:00:00"/>
    <x v="1"/>
    <x v="84"/>
    <x v="2"/>
    <n v="1"/>
    <x v="1"/>
    <n v="0"/>
    <n v="0"/>
    <n v="0"/>
    <x v="0"/>
    <x v="0"/>
    <n v="0"/>
  </r>
  <r>
    <n v="76391800000000"/>
    <x v="0"/>
    <x v="51"/>
    <x v="2"/>
    <s v="TABUAZEIRO"/>
    <d v="2016-04-29T00:00:00"/>
    <d v="2016-04-29T00:00:00"/>
    <x v="0"/>
    <x v="94"/>
    <x v="5"/>
    <n v="1"/>
    <x v="1"/>
    <n v="0"/>
    <n v="0"/>
    <n v="0"/>
    <x v="1"/>
    <x v="0"/>
    <n v="0"/>
  </r>
  <r>
    <n v="8198560000000"/>
    <x v="0"/>
    <x v="29"/>
    <x v="3"/>
    <s v="SAO PEDRO"/>
    <d v="2016-04-29T00:00:00"/>
    <d v="2016-05-03T00:00:00"/>
    <x v="4"/>
    <x v="86"/>
    <x v="3"/>
    <n v="0"/>
    <x v="1"/>
    <n v="0"/>
    <n v="0"/>
    <n v="0"/>
    <x v="0"/>
    <x v="0"/>
    <n v="0"/>
  </r>
  <r>
    <n v="637364000000"/>
    <x v="1"/>
    <x v="60"/>
    <x v="2"/>
    <s v="MARIO CYPRESTE"/>
    <d v="2016-04-29T00:00:00"/>
    <d v="2016-04-29T00:00:00"/>
    <x v="0"/>
    <x v="94"/>
    <x v="5"/>
    <n v="0"/>
    <x v="1"/>
    <n v="0"/>
    <n v="0"/>
    <n v="0"/>
    <x v="1"/>
    <x v="0"/>
    <n v="0"/>
  </r>
  <r>
    <n v="38637400000000"/>
    <x v="0"/>
    <x v="46"/>
    <x v="2"/>
    <s v="CRUZAMENTO"/>
    <d v="2016-04-29T00:00:00"/>
    <d v="2016-05-04T00:00:00"/>
    <x v="1"/>
    <x v="92"/>
    <x v="3"/>
    <n v="0"/>
    <x v="1"/>
    <n v="0"/>
    <n v="0"/>
    <n v="0"/>
    <x v="1"/>
    <x v="0"/>
    <n v="0"/>
  </r>
  <r>
    <n v="26124500000000"/>
    <x v="0"/>
    <x v="56"/>
    <x v="1"/>
    <s v="ANDORINHAS"/>
    <d v="2016-04-29T00:00:00"/>
    <d v="2016-05-17T00:00:00"/>
    <x v="4"/>
    <x v="74"/>
    <x v="1"/>
    <n v="0"/>
    <x v="0"/>
    <n v="0"/>
    <n v="0"/>
    <n v="0"/>
    <x v="1"/>
    <x v="1"/>
    <n v="1"/>
  </r>
  <r>
    <n v="5489960000000"/>
    <x v="1"/>
    <x v="17"/>
    <x v="4"/>
    <s v="MARIA ORTIZ"/>
    <d v="2016-04-29T00:00:00"/>
    <d v="2016-05-12T00:00:00"/>
    <x v="3"/>
    <x v="82"/>
    <x v="2"/>
    <n v="0"/>
    <x v="1"/>
    <n v="0"/>
    <n v="0"/>
    <n v="0"/>
    <x v="0"/>
    <x v="0"/>
    <n v="0"/>
  </r>
  <r>
    <n v="857115000000000"/>
    <x v="0"/>
    <x v="24"/>
    <x v="1"/>
    <s v="SANTA LUCIA"/>
    <d v="2016-04-29T00:00:00"/>
    <d v="2016-05-09T00:00:00"/>
    <x v="2"/>
    <x v="83"/>
    <x v="2"/>
    <n v="0"/>
    <x v="1"/>
    <n v="0"/>
    <n v="0"/>
    <n v="0"/>
    <x v="1"/>
    <x v="1"/>
    <n v="1"/>
  </r>
  <r>
    <n v="638481000000"/>
    <x v="1"/>
    <x v="57"/>
    <x v="2"/>
    <s v="ROMAO"/>
    <d v="2016-04-29T00:00:00"/>
    <d v="2016-05-03T00:00:00"/>
    <x v="4"/>
    <x v="86"/>
    <x v="3"/>
    <n v="0"/>
    <x v="1"/>
    <n v="0"/>
    <n v="0"/>
    <n v="0"/>
    <x v="0"/>
    <x v="0"/>
    <n v="0"/>
  </r>
  <r>
    <n v="3396770000000"/>
    <x v="1"/>
    <x v="68"/>
    <x v="4"/>
    <s v="SAO PEDRO"/>
    <d v="2016-04-29T00:00:00"/>
    <d v="2016-05-05T00:00:00"/>
    <x v="3"/>
    <x v="90"/>
    <x v="3"/>
    <n v="0"/>
    <x v="1"/>
    <n v="0"/>
    <n v="0"/>
    <n v="0"/>
    <x v="1"/>
    <x v="0"/>
    <n v="0"/>
  </r>
  <r>
    <n v="65488268945"/>
    <x v="0"/>
    <x v="85"/>
    <x v="0"/>
    <s v="CENTRO"/>
    <d v="2016-04-29T00:00:00"/>
    <d v="2016-05-24T00:00:00"/>
    <x v="4"/>
    <x v="70"/>
    <x v="1"/>
    <n v="0"/>
    <x v="1"/>
    <n v="0"/>
    <n v="0"/>
    <n v="0"/>
    <x v="1"/>
    <x v="0"/>
    <n v="0"/>
  </r>
  <r>
    <n v="1154630000000"/>
    <x v="0"/>
    <x v="18"/>
    <x v="0"/>
    <s v="PRAIA DO CANTO"/>
    <d v="2016-04-29T00:00:00"/>
    <d v="2016-05-09T00:00:00"/>
    <x v="2"/>
    <x v="83"/>
    <x v="2"/>
    <n v="0"/>
    <x v="1"/>
    <n v="0"/>
    <n v="0"/>
    <n v="0"/>
    <x v="1"/>
    <x v="0"/>
    <n v="0"/>
  </r>
  <r>
    <n v="6399840000000"/>
    <x v="1"/>
    <x v="73"/>
    <x v="4"/>
    <s v="BELA VISTA"/>
    <d v="2016-04-29T00:00:00"/>
    <d v="2016-05-30T00:00:00"/>
    <x v="2"/>
    <x v="57"/>
    <x v="0"/>
    <n v="0"/>
    <x v="1"/>
    <n v="0"/>
    <n v="0"/>
    <n v="0"/>
    <x v="0"/>
    <x v="0"/>
    <n v="0"/>
  </r>
  <r>
    <n v="321800000000000"/>
    <x v="0"/>
    <x v="31"/>
    <x v="1"/>
    <s v="RESISTENCIA"/>
    <d v="2016-04-29T00:00:00"/>
    <d v="2016-05-04T00:00:00"/>
    <x v="1"/>
    <x v="92"/>
    <x v="3"/>
    <n v="0"/>
    <x v="0"/>
    <n v="0"/>
    <n v="0"/>
    <n v="0"/>
    <x v="0"/>
    <x v="0"/>
    <n v="0"/>
  </r>
  <r>
    <n v="8173270000000"/>
    <x v="0"/>
    <x v="21"/>
    <x v="1"/>
    <s v="PRAIA DO CANTO"/>
    <d v="2016-04-29T00:00:00"/>
    <d v="2016-05-10T00:00:00"/>
    <x v="4"/>
    <x v="81"/>
    <x v="2"/>
    <n v="0"/>
    <x v="1"/>
    <n v="0"/>
    <n v="0"/>
    <n v="0"/>
    <x v="0"/>
    <x v="0"/>
    <n v="0"/>
  </r>
  <r>
    <n v="165752000000000"/>
    <x v="0"/>
    <x v="23"/>
    <x v="3"/>
    <s v="SANTA CLARA"/>
    <d v="2016-04-29T00:00:00"/>
    <d v="2016-05-06T00:00:00"/>
    <x v="0"/>
    <x v="87"/>
    <x v="3"/>
    <n v="0"/>
    <x v="1"/>
    <n v="0"/>
    <n v="0"/>
    <n v="0"/>
    <x v="0"/>
    <x v="0"/>
    <n v="0"/>
  </r>
  <r>
    <n v="2669170000000"/>
    <x v="1"/>
    <x v="35"/>
    <x v="0"/>
    <s v="CENTRO"/>
    <d v="2016-04-29T00:00:00"/>
    <d v="2016-05-24T00:00:00"/>
    <x v="4"/>
    <x v="70"/>
    <x v="1"/>
    <n v="0"/>
    <x v="1"/>
    <n v="0"/>
    <n v="0"/>
    <n v="0"/>
    <x v="1"/>
    <x v="0"/>
    <n v="0"/>
  </r>
  <r>
    <n v="44199700000000"/>
    <x v="0"/>
    <x v="58"/>
    <x v="0"/>
    <s v="RESISTENCIA"/>
    <d v="2016-04-29T00:00:00"/>
    <d v="2016-05-04T00:00:00"/>
    <x v="1"/>
    <x v="92"/>
    <x v="3"/>
    <n v="0"/>
    <x v="0"/>
    <n v="0"/>
    <n v="0"/>
    <n v="0"/>
    <x v="0"/>
    <x v="0"/>
    <n v="0"/>
  </r>
  <r>
    <n v="663348000000000"/>
    <x v="0"/>
    <x v="24"/>
    <x v="1"/>
    <s v="INHANGUETA"/>
    <d v="2016-04-29T00:00:00"/>
    <d v="2016-04-29T00:00:00"/>
    <x v="0"/>
    <x v="94"/>
    <x v="5"/>
    <n v="0"/>
    <x v="0"/>
    <n v="0"/>
    <n v="0"/>
    <n v="0"/>
    <x v="1"/>
    <x v="0"/>
    <n v="0"/>
  </r>
  <r>
    <n v="735196000000000"/>
    <x v="1"/>
    <x v="81"/>
    <x v="5"/>
    <s v="ROMAO"/>
    <d v="2016-04-29T00:00:00"/>
    <d v="2016-05-06T00:00:00"/>
    <x v="0"/>
    <x v="87"/>
    <x v="3"/>
    <n v="0"/>
    <x v="1"/>
    <n v="0"/>
    <n v="0"/>
    <n v="0"/>
    <x v="0"/>
    <x v="0"/>
    <n v="0"/>
  </r>
  <r>
    <n v="158885000000000"/>
    <x v="0"/>
    <x v="16"/>
    <x v="1"/>
    <s v="SAO JOSE"/>
    <d v="2016-04-29T00:00:00"/>
    <d v="2016-05-03T00:00:00"/>
    <x v="4"/>
    <x v="86"/>
    <x v="3"/>
    <n v="0"/>
    <x v="1"/>
    <n v="0"/>
    <n v="0"/>
    <n v="0"/>
    <x v="0"/>
    <x v="0"/>
    <n v="0"/>
  </r>
  <r>
    <n v="633884000000000"/>
    <x v="0"/>
    <x v="31"/>
    <x v="1"/>
    <s v="RESISTENCIA"/>
    <d v="2016-04-29T00:00:00"/>
    <d v="2016-04-29T00:00:00"/>
    <x v="0"/>
    <x v="94"/>
    <x v="5"/>
    <n v="0"/>
    <x v="0"/>
    <n v="0"/>
    <n v="0"/>
    <n v="0"/>
    <x v="1"/>
    <x v="0"/>
    <n v="0"/>
  </r>
  <r>
    <n v="85888800000000"/>
    <x v="1"/>
    <x v="84"/>
    <x v="1"/>
    <s v="SAO PEDRO"/>
    <d v="2016-04-29T00:00:00"/>
    <d v="2016-05-06T00:00:00"/>
    <x v="0"/>
    <x v="87"/>
    <x v="3"/>
    <n v="0"/>
    <x v="1"/>
    <n v="0"/>
    <n v="0"/>
    <n v="0"/>
    <x v="0"/>
    <x v="0"/>
    <n v="0"/>
  </r>
  <r>
    <n v="78162600000000"/>
    <x v="1"/>
    <x v="47"/>
    <x v="4"/>
    <s v="SAO CRISTOVAO"/>
    <d v="2016-04-29T00:00:00"/>
    <d v="2016-04-29T00:00:00"/>
    <x v="0"/>
    <x v="94"/>
    <x v="5"/>
    <n v="0"/>
    <x v="1"/>
    <n v="0"/>
    <n v="0"/>
    <n v="0"/>
    <x v="1"/>
    <x v="0"/>
    <n v="0"/>
  </r>
  <r>
    <n v="1891920000000"/>
    <x v="0"/>
    <x v="69"/>
    <x v="4"/>
    <s v="ITARARE"/>
    <d v="2016-04-29T00:00:00"/>
    <d v="2016-04-29T00:00:00"/>
    <x v="0"/>
    <x v="94"/>
    <x v="5"/>
    <n v="0"/>
    <x v="1"/>
    <n v="0"/>
    <n v="0"/>
    <n v="0"/>
    <x v="1"/>
    <x v="0"/>
    <n v="0"/>
  </r>
  <r>
    <n v="7197120000000"/>
    <x v="0"/>
    <x v="67"/>
    <x v="4"/>
    <s v="CONSOLACAO"/>
    <d v="2016-04-29T00:00:00"/>
    <d v="2016-05-12T00:00:00"/>
    <x v="3"/>
    <x v="82"/>
    <x v="2"/>
    <n v="0"/>
    <x v="1"/>
    <n v="0"/>
    <n v="0"/>
    <n v="0"/>
    <x v="0"/>
    <x v="1"/>
    <n v="1"/>
  </r>
  <r>
    <n v="12985700000000"/>
    <x v="1"/>
    <x v="60"/>
    <x v="2"/>
    <s v="SANTA LUIZA"/>
    <d v="2016-04-29T00:00:00"/>
    <d v="2016-05-16T00:00:00"/>
    <x v="2"/>
    <x v="75"/>
    <x v="1"/>
    <n v="0"/>
    <x v="1"/>
    <n v="0"/>
    <n v="0"/>
    <n v="0"/>
    <x v="1"/>
    <x v="0"/>
    <n v="0"/>
  </r>
  <r>
    <n v="39179900000000"/>
    <x v="1"/>
    <x v="43"/>
    <x v="2"/>
    <s v="SAO JOSE"/>
    <d v="2016-04-29T00:00:00"/>
    <d v="2016-05-06T00:00:00"/>
    <x v="0"/>
    <x v="87"/>
    <x v="3"/>
    <n v="0"/>
    <x v="1"/>
    <n v="0"/>
    <n v="0"/>
    <n v="0"/>
    <x v="1"/>
    <x v="0"/>
    <n v="0"/>
  </r>
  <r>
    <n v="8944720000000"/>
    <x v="0"/>
    <x v="87"/>
    <x v="1"/>
    <s v="CONSOLACAO"/>
    <d v="2016-04-29T00:00:00"/>
    <d v="2016-04-29T00:00:00"/>
    <x v="0"/>
    <x v="94"/>
    <x v="5"/>
    <n v="0"/>
    <x v="1"/>
    <n v="0"/>
    <n v="0"/>
    <n v="0"/>
    <x v="1"/>
    <x v="0"/>
    <n v="0"/>
  </r>
  <r>
    <n v="18493500000000"/>
    <x v="0"/>
    <x v="25"/>
    <x v="4"/>
    <s v="SAO JOSE"/>
    <d v="2016-04-29T00:00:00"/>
    <d v="2016-05-04T00:00:00"/>
    <x v="1"/>
    <x v="92"/>
    <x v="3"/>
    <n v="0"/>
    <x v="1"/>
    <n v="0"/>
    <n v="0"/>
    <n v="0"/>
    <x v="0"/>
    <x v="0"/>
    <n v="0"/>
  </r>
  <r>
    <n v="862864000000000"/>
    <x v="0"/>
    <x v="23"/>
    <x v="3"/>
    <s v="BELA VISTA"/>
    <d v="2016-04-29T00:00:00"/>
    <d v="2016-04-29T00:00:00"/>
    <x v="0"/>
    <x v="94"/>
    <x v="5"/>
    <n v="0"/>
    <x v="0"/>
    <n v="0"/>
    <n v="0"/>
    <n v="0"/>
    <x v="1"/>
    <x v="0"/>
    <n v="0"/>
  </r>
  <r>
    <n v="247854000000000"/>
    <x v="1"/>
    <x v="37"/>
    <x v="3"/>
    <s v="PARQUE MOSCOSO"/>
    <d v="2016-04-29T00:00:00"/>
    <d v="2016-05-03T00:00:00"/>
    <x v="4"/>
    <x v="86"/>
    <x v="3"/>
    <n v="0"/>
    <x v="1"/>
    <n v="0"/>
    <n v="0"/>
    <n v="0"/>
    <x v="0"/>
    <x v="0"/>
    <n v="0"/>
  </r>
  <r>
    <n v="491136000000"/>
    <x v="0"/>
    <x v="37"/>
    <x v="3"/>
    <s v="SAO JOSE"/>
    <d v="2016-04-29T00:00:00"/>
    <d v="2016-05-03T00:00:00"/>
    <x v="4"/>
    <x v="86"/>
    <x v="3"/>
    <n v="0"/>
    <x v="1"/>
    <n v="0"/>
    <n v="0"/>
    <n v="0"/>
    <x v="1"/>
    <x v="0"/>
    <n v="0"/>
  </r>
  <r>
    <n v="129513000000000"/>
    <x v="1"/>
    <x v="80"/>
    <x v="2"/>
    <s v="SAO PEDRO"/>
    <d v="2016-04-29T00:00:00"/>
    <d v="2016-05-03T00:00:00"/>
    <x v="4"/>
    <x v="86"/>
    <x v="3"/>
    <n v="0"/>
    <x v="1"/>
    <n v="0"/>
    <n v="0"/>
    <n v="0"/>
    <x v="0"/>
    <x v="1"/>
    <n v="1"/>
  </r>
  <r>
    <n v="25954200000000"/>
    <x v="0"/>
    <x v="57"/>
    <x v="2"/>
    <s v="SAO JOSE"/>
    <d v="2016-04-29T00:00:00"/>
    <d v="2016-05-06T00:00:00"/>
    <x v="0"/>
    <x v="87"/>
    <x v="3"/>
    <n v="1"/>
    <x v="1"/>
    <n v="0"/>
    <n v="0"/>
    <n v="0"/>
    <x v="0"/>
    <x v="0"/>
    <n v="0"/>
  </r>
  <r>
    <n v="67289400000000"/>
    <x v="0"/>
    <x v="69"/>
    <x v="4"/>
    <s v="MARIA ORTIZ"/>
    <d v="2016-04-29T00:00:00"/>
    <d v="2016-05-03T00:00:00"/>
    <x v="4"/>
    <x v="86"/>
    <x v="3"/>
    <n v="0"/>
    <x v="1"/>
    <n v="0"/>
    <n v="0"/>
    <n v="0"/>
    <x v="0"/>
    <x v="0"/>
    <n v="0"/>
  </r>
  <r>
    <n v="7226320000000"/>
    <x v="0"/>
    <x v="70"/>
    <x v="5"/>
    <s v="SANTA MARTHA"/>
    <d v="2016-04-29T00:00:00"/>
    <d v="2016-04-29T00:00:00"/>
    <x v="0"/>
    <x v="94"/>
    <x v="5"/>
    <n v="0"/>
    <x v="1"/>
    <n v="0"/>
    <n v="0"/>
    <n v="0"/>
    <x v="1"/>
    <x v="0"/>
    <n v="0"/>
  </r>
  <r>
    <n v="3827830000000"/>
    <x v="0"/>
    <x v="24"/>
    <x v="1"/>
    <s v="CENTRO"/>
    <d v="2016-04-29T00:00:00"/>
    <d v="2016-05-02T00:00:00"/>
    <x v="2"/>
    <x v="89"/>
    <x v="4"/>
    <n v="0"/>
    <x v="1"/>
    <n v="0"/>
    <n v="0"/>
    <n v="0"/>
    <x v="0"/>
    <x v="0"/>
    <n v="0"/>
  </r>
  <r>
    <n v="1445520000000"/>
    <x v="0"/>
    <x v="61"/>
    <x v="1"/>
    <s v="JARDIM DA PENHA"/>
    <d v="2016-04-29T00:00:00"/>
    <d v="2016-05-03T00:00:00"/>
    <x v="4"/>
    <x v="86"/>
    <x v="3"/>
    <n v="0"/>
    <x v="1"/>
    <n v="0"/>
    <n v="0"/>
    <n v="0"/>
    <x v="0"/>
    <x v="0"/>
    <n v="0"/>
  </r>
  <r>
    <n v="8166730000000"/>
    <x v="1"/>
    <x v="19"/>
    <x v="2"/>
    <s v="CONSOLACAO"/>
    <d v="2016-04-29T00:00:00"/>
    <d v="2016-05-18T00:00:00"/>
    <x v="1"/>
    <x v="77"/>
    <x v="1"/>
    <n v="0"/>
    <x v="1"/>
    <n v="0"/>
    <n v="0"/>
    <n v="0"/>
    <x v="1"/>
    <x v="0"/>
    <n v="0"/>
  </r>
  <r>
    <n v="769183000000"/>
    <x v="0"/>
    <x v="47"/>
    <x v="4"/>
    <s v="REPUBLICA"/>
    <d v="2016-04-29T00:00:00"/>
    <d v="2016-05-03T00:00:00"/>
    <x v="4"/>
    <x v="86"/>
    <x v="3"/>
    <n v="0"/>
    <x v="1"/>
    <n v="0"/>
    <n v="0"/>
    <n v="0"/>
    <x v="0"/>
    <x v="1"/>
    <n v="1"/>
  </r>
  <r>
    <n v="382569000000"/>
    <x v="1"/>
    <x v="55"/>
    <x v="2"/>
    <s v="MARIO CYPRESTE"/>
    <d v="2016-04-29T00:00:00"/>
    <d v="2016-05-03T00:00:00"/>
    <x v="4"/>
    <x v="86"/>
    <x v="3"/>
    <n v="0"/>
    <x v="1"/>
    <n v="0"/>
    <n v="0"/>
    <n v="0"/>
    <x v="0"/>
    <x v="0"/>
    <n v="0"/>
  </r>
  <r>
    <n v="9368880000000"/>
    <x v="0"/>
    <x v="8"/>
    <x v="0"/>
    <s v="JARDIM CAMBURI"/>
    <d v="2016-04-29T00:00:00"/>
    <d v="2016-05-03T00:00:00"/>
    <x v="4"/>
    <x v="86"/>
    <x v="3"/>
    <n v="0"/>
    <x v="0"/>
    <n v="0"/>
    <n v="0"/>
    <n v="0"/>
    <x v="0"/>
    <x v="1"/>
    <n v="1"/>
  </r>
  <r>
    <n v="78874300000000"/>
    <x v="0"/>
    <x v="73"/>
    <x v="4"/>
    <s v="SAO PEDRO"/>
    <d v="2016-04-29T00:00:00"/>
    <d v="2016-04-29T00:00:00"/>
    <x v="0"/>
    <x v="94"/>
    <x v="5"/>
    <n v="0"/>
    <x v="1"/>
    <n v="0"/>
    <n v="0"/>
    <n v="0"/>
    <x v="1"/>
    <x v="0"/>
    <n v="0"/>
  </r>
  <r>
    <n v="15785700000000"/>
    <x v="0"/>
    <x v="1"/>
    <x v="0"/>
    <s v="MARIA ORTIZ"/>
    <d v="2016-04-29T00:00:00"/>
    <d v="2016-05-09T00:00:00"/>
    <x v="2"/>
    <x v="83"/>
    <x v="2"/>
    <n v="0"/>
    <x v="1"/>
    <n v="0"/>
    <n v="0"/>
    <n v="0"/>
    <x v="1"/>
    <x v="0"/>
    <n v="0"/>
  </r>
  <r>
    <n v="8678920000000"/>
    <x v="1"/>
    <x v="57"/>
    <x v="2"/>
    <s v="SAO PEDRO"/>
    <d v="2016-04-29T00:00:00"/>
    <d v="2016-05-04T00:00:00"/>
    <x v="1"/>
    <x v="92"/>
    <x v="3"/>
    <n v="0"/>
    <x v="1"/>
    <n v="0"/>
    <n v="0"/>
    <n v="0"/>
    <x v="0"/>
    <x v="1"/>
    <n v="1"/>
  </r>
  <r>
    <n v="35394100000000"/>
    <x v="0"/>
    <x v="18"/>
    <x v="0"/>
    <s v="SANTA TEREZA"/>
    <d v="2016-04-29T00:00:00"/>
    <d v="2016-05-13T00:00:00"/>
    <x v="0"/>
    <x v="80"/>
    <x v="2"/>
    <n v="0"/>
    <x v="0"/>
    <n v="1"/>
    <n v="0"/>
    <n v="0"/>
    <x v="1"/>
    <x v="1"/>
    <n v="1"/>
  </r>
  <r>
    <n v="499439000000000"/>
    <x v="0"/>
    <x v="64"/>
    <x v="3"/>
    <s v="SANTOS DUMONT"/>
    <d v="2016-04-29T00:00:00"/>
    <d v="2016-06-06T00:00:00"/>
    <x v="2"/>
    <x v="52"/>
    <x v="0"/>
    <n v="0"/>
    <x v="0"/>
    <n v="0"/>
    <n v="0"/>
    <n v="0"/>
    <x v="0"/>
    <x v="0"/>
    <n v="0"/>
  </r>
  <r>
    <n v="75950000000000"/>
    <x v="0"/>
    <x v="81"/>
    <x v="5"/>
    <s v="RESISTENCIA"/>
    <d v="2016-04-29T00:00:00"/>
    <d v="2016-05-18T00:00:00"/>
    <x v="1"/>
    <x v="77"/>
    <x v="1"/>
    <n v="0"/>
    <x v="1"/>
    <n v="0"/>
    <n v="0"/>
    <n v="0"/>
    <x v="1"/>
    <x v="0"/>
    <n v="0"/>
  </r>
  <r>
    <n v="8698830000000"/>
    <x v="0"/>
    <x v="72"/>
    <x v="5"/>
    <s v="SAO BENEDITO"/>
    <d v="2016-04-29T00:00:00"/>
    <d v="2016-04-29T00:00:00"/>
    <x v="0"/>
    <x v="94"/>
    <x v="5"/>
    <n v="0"/>
    <x v="1"/>
    <n v="0"/>
    <n v="0"/>
    <n v="0"/>
    <x v="1"/>
    <x v="0"/>
    <n v="0"/>
  </r>
  <r>
    <n v="16612293298"/>
    <x v="0"/>
    <x v="79"/>
    <x v="5"/>
    <s v="SAO BENEDITO"/>
    <d v="2016-04-29T00:00:00"/>
    <d v="2016-05-03T00:00:00"/>
    <x v="4"/>
    <x v="86"/>
    <x v="3"/>
    <n v="1"/>
    <x v="1"/>
    <n v="0"/>
    <n v="0"/>
    <n v="0"/>
    <x v="1"/>
    <x v="0"/>
    <n v="0"/>
  </r>
  <r>
    <n v="73379600000000"/>
    <x v="1"/>
    <x v="66"/>
    <x v="2"/>
    <s v="RESISTENCIA"/>
    <d v="2016-04-29T00:00:00"/>
    <d v="2016-04-29T00:00:00"/>
    <x v="0"/>
    <x v="94"/>
    <x v="5"/>
    <n v="0"/>
    <x v="1"/>
    <n v="0"/>
    <n v="0"/>
    <n v="0"/>
    <x v="1"/>
    <x v="0"/>
    <n v="0"/>
  </r>
  <r>
    <n v="11264000000000"/>
    <x v="0"/>
    <x v="50"/>
    <x v="1"/>
    <s v="ITARARE"/>
    <d v="2016-04-29T00:00:00"/>
    <d v="2016-04-29T00:00:00"/>
    <x v="0"/>
    <x v="94"/>
    <x v="5"/>
    <n v="0"/>
    <x v="1"/>
    <n v="0"/>
    <n v="0"/>
    <n v="0"/>
    <x v="1"/>
    <x v="0"/>
    <n v="0"/>
  </r>
  <r>
    <n v="12943811169"/>
    <x v="1"/>
    <x v="75"/>
    <x v="5"/>
    <s v="SANTA CLARA"/>
    <d v="2016-04-29T00:00:00"/>
    <d v="2016-05-16T00:00:00"/>
    <x v="2"/>
    <x v="75"/>
    <x v="1"/>
    <n v="0"/>
    <x v="1"/>
    <n v="0"/>
    <n v="0"/>
    <n v="0"/>
    <x v="1"/>
    <x v="1"/>
    <n v="1"/>
  </r>
  <r>
    <n v="16581400000000"/>
    <x v="0"/>
    <x v="45"/>
    <x v="1"/>
    <s v="SANTA LUIZA"/>
    <d v="2016-04-29T00:00:00"/>
    <d v="2016-05-12T00:00:00"/>
    <x v="3"/>
    <x v="82"/>
    <x v="2"/>
    <n v="0"/>
    <x v="0"/>
    <n v="0"/>
    <n v="0"/>
    <n v="0"/>
    <x v="0"/>
    <x v="0"/>
    <n v="0"/>
  </r>
  <r>
    <n v="979194000000000"/>
    <x v="1"/>
    <x v="2"/>
    <x v="1"/>
    <s v="VILA RUBIM"/>
    <d v="2016-04-29T00:00:00"/>
    <d v="2016-05-16T00:00:00"/>
    <x v="2"/>
    <x v="75"/>
    <x v="1"/>
    <n v="0"/>
    <x v="1"/>
    <n v="0"/>
    <n v="1"/>
    <n v="0"/>
    <x v="1"/>
    <x v="0"/>
    <n v="0"/>
  </r>
  <r>
    <n v="889232000000"/>
    <x v="0"/>
    <x v="12"/>
    <x v="3"/>
    <s v="SANTO ANDRE"/>
    <d v="2016-04-29T00:00:00"/>
    <d v="2016-05-05T00:00:00"/>
    <x v="3"/>
    <x v="90"/>
    <x v="3"/>
    <n v="0"/>
    <x v="1"/>
    <n v="0"/>
    <n v="0"/>
    <n v="0"/>
    <x v="0"/>
    <x v="1"/>
    <n v="1"/>
  </r>
  <r>
    <n v="19712000000000"/>
    <x v="0"/>
    <x v="32"/>
    <x v="4"/>
    <s v="MARIA ORTIZ"/>
    <d v="2016-04-29T00:00:00"/>
    <d v="2016-04-29T00:00:00"/>
    <x v="0"/>
    <x v="94"/>
    <x v="5"/>
    <n v="0"/>
    <x v="1"/>
    <n v="0"/>
    <n v="0"/>
    <n v="0"/>
    <x v="1"/>
    <x v="0"/>
    <n v="0"/>
  </r>
  <r>
    <n v="723826000000"/>
    <x v="0"/>
    <x v="47"/>
    <x v="4"/>
    <s v="JABOUR"/>
    <d v="2016-04-29T00:00:00"/>
    <d v="2016-05-20T00:00:00"/>
    <x v="0"/>
    <x v="73"/>
    <x v="1"/>
    <n v="0"/>
    <x v="1"/>
    <n v="0"/>
    <n v="0"/>
    <n v="0"/>
    <x v="1"/>
    <x v="0"/>
    <n v="0"/>
  </r>
  <r>
    <n v="5226720000000"/>
    <x v="1"/>
    <x v="20"/>
    <x v="0"/>
    <s v="CONSOLACAO"/>
    <d v="2016-04-29T00:00:00"/>
    <d v="2016-05-19T00:00:00"/>
    <x v="3"/>
    <x v="76"/>
    <x v="1"/>
    <n v="0"/>
    <x v="0"/>
    <n v="0"/>
    <n v="0"/>
    <n v="0"/>
    <x v="1"/>
    <x v="0"/>
    <n v="0"/>
  </r>
  <r>
    <n v="833690000000000"/>
    <x v="1"/>
    <x v="61"/>
    <x v="1"/>
    <s v="SANTA TEREZA"/>
    <d v="2016-04-29T00:00:00"/>
    <d v="2016-05-13T00:00:00"/>
    <x v="0"/>
    <x v="80"/>
    <x v="2"/>
    <n v="0"/>
    <x v="1"/>
    <n v="0"/>
    <n v="0"/>
    <n v="0"/>
    <x v="1"/>
    <x v="0"/>
    <n v="0"/>
  </r>
  <r>
    <n v="2492830000000"/>
    <x v="0"/>
    <x v="64"/>
    <x v="3"/>
    <s v="SANTO ANDRE"/>
    <d v="2016-04-29T00:00:00"/>
    <d v="2016-05-04T00:00:00"/>
    <x v="1"/>
    <x v="92"/>
    <x v="3"/>
    <n v="0"/>
    <x v="1"/>
    <n v="0"/>
    <n v="0"/>
    <n v="0"/>
    <x v="0"/>
    <x v="0"/>
    <n v="0"/>
  </r>
  <r>
    <n v="173714000000000"/>
    <x v="0"/>
    <x v="64"/>
    <x v="3"/>
    <s v="PRAIA DO CANTO"/>
    <d v="2016-04-29T00:00:00"/>
    <d v="2016-05-10T00:00:00"/>
    <x v="4"/>
    <x v="81"/>
    <x v="2"/>
    <n v="0"/>
    <x v="1"/>
    <n v="0"/>
    <n v="0"/>
    <n v="0"/>
    <x v="1"/>
    <x v="0"/>
    <n v="0"/>
  </r>
  <r>
    <n v="3525370000000"/>
    <x v="1"/>
    <x v="7"/>
    <x v="3"/>
    <s v="RESISTENCIA"/>
    <d v="2016-04-29T00:00:00"/>
    <d v="2016-05-04T00:00:00"/>
    <x v="1"/>
    <x v="92"/>
    <x v="3"/>
    <n v="0"/>
    <x v="0"/>
    <n v="0"/>
    <n v="0"/>
    <n v="0"/>
    <x v="1"/>
    <x v="1"/>
    <n v="1"/>
  </r>
  <r>
    <n v="79775900000000"/>
    <x v="0"/>
    <x v="56"/>
    <x v="1"/>
    <s v="RESISTENCIA"/>
    <d v="2016-04-29T00:00:00"/>
    <d v="2016-06-08T00:00:00"/>
    <x v="1"/>
    <x v="69"/>
    <x v="0"/>
    <n v="0"/>
    <x v="1"/>
    <n v="0"/>
    <n v="0"/>
    <n v="0"/>
    <x v="0"/>
    <x v="0"/>
    <n v="0"/>
  </r>
  <r>
    <n v="273182000000000"/>
    <x v="0"/>
    <x v="48"/>
    <x v="3"/>
    <s v="VILA RUBIM"/>
    <d v="2016-04-29T00:00:00"/>
    <d v="2016-04-29T00:00:00"/>
    <x v="0"/>
    <x v="94"/>
    <x v="5"/>
    <n v="0"/>
    <x v="0"/>
    <n v="1"/>
    <n v="0"/>
    <n v="1"/>
    <x v="1"/>
    <x v="0"/>
    <n v="0"/>
  </r>
  <r>
    <n v="239159000000000"/>
    <x v="0"/>
    <x v="17"/>
    <x v="4"/>
    <s v="CENTRO"/>
    <d v="2016-04-29T00:00:00"/>
    <d v="2016-04-29T00:00:00"/>
    <x v="0"/>
    <x v="94"/>
    <x v="5"/>
    <n v="1"/>
    <x v="1"/>
    <n v="0"/>
    <n v="0"/>
    <n v="0"/>
    <x v="1"/>
    <x v="0"/>
    <n v="0"/>
  </r>
  <r>
    <n v="43949900000000"/>
    <x v="0"/>
    <x v="37"/>
    <x v="3"/>
    <s v="CONSOLACAO"/>
    <d v="2016-04-29T00:00:00"/>
    <d v="2016-05-17T00:00:00"/>
    <x v="4"/>
    <x v="74"/>
    <x v="1"/>
    <n v="0"/>
    <x v="1"/>
    <n v="0"/>
    <n v="0"/>
    <n v="0"/>
    <x v="1"/>
    <x v="1"/>
    <n v="1"/>
  </r>
  <r>
    <n v="632688000000"/>
    <x v="0"/>
    <x v="23"/>
    <x v="3"/>
    <s v="PARQUE MOSCOSO"/>
    <d v="2016-04-29T00:00:00"/>
    <d v="2016-05-02T00:00:00"/>
    <x v="2"/>
    <x v="89"/>
    <x v="4"/>
    <n v="0"/>
    <x v="0"/>
    <n v="0"/>
    <n v="0"/>
    <n v="0"/>
    <x v="0"/>
    <x v="0"/>
    <n v="0"/>
  </r>
  <r>
    <n v="2983680000000"/>
    <x v="0"/>
    <x v="68"/>
    <x v="4"/>
    <s v="CONSOLACAO"/>
    <d v="2016-04-29T00:00:00"/>
    <d v="2016-05-03T00:00:00"/>
    <x v="4"/>
    <x v="86"/>
    <x v="3"/>
    <n v="0"/>
    <x v="1"/>
    <n v="0"/>
    <n v="0"/>
    <n v="0"/>
    <x v="0"/>
    <x v="1"/>
    <n v="1"/>
  </r>
  <r>
    <n v="6625820000000"/>
    <x v="0"/>
    <x v="12"/>
    <x v="3"/>
    <s v="SANTO ANDRE"/>
    <d v="2016-04-29T00:00:00"/>
    <d v="2016-06-01T00:00:00"/>
    <x v="1"/>
    <x v="62"/>
    <x v="0"/>
    <n v="0"/>
    <x v="1"/>
    <n v="0"/>
    <n v="0"/>
    <n v="0"/>
    <x v="0"/>
    <x v="0"/>
    <n v="0"/>
  </r>
  <r>
    <n v="15137700000000"/>
    <x v="1"/>
    <x v="12"/>
    <x v="3"/>
    <s v="PRAIA DO SUA"/>
    <d v="2016-04-29T00:00:00"/>
    <d v="2016-05-10T00:00:00"/>
    <x v="4"/>
    <x v="81"/>
    <x v="2"/>
    <n v="0"/>
    <x v="0"/>
    <n v="0"/>
    <n v="0"/>
    <n v="0"/>
    <x v="0"/>
    <x v="1"/>
    <n v="1"/>
  </r>
  <r>
    <n v="4325300000000"/>
    <x v="0"/>
    <x v="76"/>
    <x v="0"/>
    <s v="BARRO VERMELHO"/>
    <d v="2016-04-29T00:00:00"/>
    <d v="2016-05-10T00:00:00"/>
    <x v="4"/>
    <x v="81"/>
    <x v="2"/>
    <n v="0"/>
    <x v="1"/>
    <n v="0"/>
    <n v="0"/>
    <n v="0"/>
    <x v="0"/>
    <x v="0"/>
    <n v="0"/>
  </r>
  <r>
    <n v="28693700000000"/>
    <x v="0"/>
    <x v="17"/>
    <x v="4"/>
    <s v="JABOUR"/>
    <d v="2016-04-29T00:00:00"/>
    <d v="2016-05-24T00:00:00"/>
    <x v="4"/>
    <x v="70"/>
    <x v="1"/>
    <n v="0"/>
    <x v="1"/>
    <n v="0"/>
    <n v="0"/>
    <n v="0"/>
    <x v="0"/>
    <x v="0"/>
    <n v="0"/>
  </r>
  <r>
    <n v="678651000000"/>
    <x v="1"/>
    <x v="67"/>
    <x v="4"/>
    <s v="CENTRO"/>
    <d v="2016-04-29T00:00:00"/>
    <d v="2016-04-29T00:00:00"/>
    <x v="0"/>
    <x v="94"/>
    <x v="5"/>
    <n v="0"/>
    <x v="1"/>
    <n v="0"/>
    <n v="0"/>
    <n v="0"/>
    <x v="1"/>
    <x v="0"/>
    <n v="0"/>
  </r>
  <r>
    <n v="65472300000000"/>
    <x v="1"/>
    <x v="32"/>
    <x v="4"/>
    <s v="FORTE SAO JOAO"/>
    <d v="2016-04-29T00:00:00"/>
    <d v="2016-04-29T00:00:00"/>
    <x v="0"/>
    <x v="94"/>
    <x v="5"/>
    <n v="0"/>
    <x v="1"/>
    <n v="0"/>
    <n v="0"/>
    <n v="0"/>
    <x v="1"/>
    <x v="0"/>
    <n v="0"/>
  </r>
  <r>
    <n v="98151300000000"/>
    <x v="0"/>
    <x v="54"/>
    <x v="1"/>
    <s v="BONFIM"/>
    <d v="2016-04-29T00:00:00"/>
    <d v="2016-05-04T00:00:00"/>
    <x v="1"/>
    <x v="92"/>
    <x v="3"/>
    <n v="0"/>
    <x v="1"/>
    <n v="0"/>
    <n v="0"/>
    <n v="0"/>
    <x v="0"/>
    <x v="0"/>
    <n v="0"/>
  </r>
  <r>
    <n v="622494000000000"/>
    <x v="1"/>
    <x v="54"/>
    <x v="1"/>
    <s v="SAO BENEDITO"/>
    <d v="2016-04-29T00:00:00"/>
    <d v="2016-05-02T00:00:00"/>
    <x v="2"/>
    <x v="89"/>
    <x v="4"/>
    <n v="0"/>
    <x v="0"/>
    <n v="0"/>
    <n v="0"/>
    <n v="0"/>
    <x v="0"/>
    <x v="0"/>
    <n v="0"/>
  </r>
  <r>
    <n v="241576000000000"/>
    <x v="0"/>
    <x v="62"/>
    <x v="3"/>
    <s v="CONSOLACAO"/>
    <d v="2016-04-29T00:00:00"/>
    <d v="2016-05-24T00:00:00"/>
    <x v="4"/>
    <x v="70"/>
    <x v="1"/>
    <n v="1"/>
    <x v="1"/>
    <n v="0"/>
    <n v="0"/>
    <n v="0"/>
    <x v="0"/>
    <x v="1"/>
    <n v="1"/>
  </r>
  <r>
    <n v="3688170000000"/>
    <x v="1"/>
    <x v="68"/>
    <x v="4"/>
    <s v="MARUIPE"/>
    <d v="2016-04-29T00:00:00"/>
    <d v="2016-04-29T00:00:00"/>
    <x v="0"/>
    <x v="94"/>
    <x v="5"/>
    <n v="0"/>
    <x v="1"/>
    <n v="0"/>
    <n v="0"/>
    <n v="0"/>
    <x v="1"/>
    <x v="0"/>
    <n v="0"/>
  </r>
  <r>
    <n v="91851600000000"/>
    <x v="0"/>
    <x v="25"/>
    <x v="4"/>
    <s v="GURIGICA"/>
    <d v="2016-04-29T00:00:00"/>
    <d v="2016-05-30T00:00:00"/>
    <x v="2"/>
    <x v="57"/>
    <x v="0"/>
    <n v="0"/>
    <x v="1"/>
    <n v="0"/>
    <n v="0"/>
    <n v="0"/>
    <x v="0"/>
    <x v="0"/>
    <n v="0"/>
  </r>
  <r>
    <n v="23946273141"/>
    <x v="0"/>
    <x v="47"/>
    <x v="4"/>
    <s v="JARDIM CAMBURI"/>
    <d v="2016-04-29T00:00:00"/>
    <d v="2016-05-02T00:00:00"/>
    <x v="2"/>
    <x v="89"/>
    <x v="4"/>
    <n v="0"/>
    <x v="1"/>
    <n v="0"/>
    <n v="0"/>
    <n v="0"/>
    <x v="0"/>
    <x v="0"/>
    <n v="0"/>
  </r>
  <r>
    <n v="74228900000000"/>
    <x v="0"/>
    <x v="62"/>
    <x v="3"/>
    <s v="DO MOSCOSO"/>
    <d v="2016-04-29T00:00:00"/>
    <d v="2016-05-06T00:00:00"/>
    <x v="0"/>
    <x v="87"/>
    <x v="3"/>
    <n v="0"/>
    <x v="1"/>
    <n v="0"/>
    <n v="0"/>
    <n v="0"/>
    <x v="1"/>
    <x v="0"/>
    <n v="0"/>
  </r>
  <r>
    <n v="89239700000000"/>
    <x v="0"/>
    <x v="45"/>
    <x v="1"/>
    <s v="CRUZAMENTO"/>
    <d v="2016-04-29T00:00:00"/>
    <d v="2016-04-29T00:00:00"/>
    <x v="0"/>
    <x v="94"/>
    <x v="5"/>
    <n v="1"/>
    <x v="0"/>
    <n v="0"/>
    <n v="1"/>
    <n v="0"/>
    <x v="1"/>
    <x v="0"/>
    <n v="0"/>
  </r>
  <r>
    <n v="44879439571"/>
    <x v="1"/>
    <x v="55"/>
    <x v="2"/>
    <s v="SAO PEDRO"/>
    <d v="2016-04-29T00:00:00"/>
    <d v="2016-05-30T00:00:00"/>
    <x v="2"/>
    <x v="57"/>
    <x v="0"/>
    <n v="0"/>
    <x v="1"/>
    <n v="0"/>
    <n v="0"/>
    <n v="0"/>
    <x v="1"/>
    <x v="0"/>
    <n v="0"/>
  </r>
  <r>
    <n v="8435223536"/>
    <x v="1"/>
    <x v="37"/>
    <x v="3"/>
    <s v="INHANGUETA"/>
    <d v="2016-04-29T00:00:00"/>
    <d v="2016-04-29T00:00:00"/>
    <x v="0"/>
    <x v="94"/>
    <x v="5"/>
    <n v="0"/>
    <x v="1"/>
    <n v="0"/>
    <n v="1"/>
    <n v="0"/>
    <x v="1"/>
    <x v="0"/>
    <n v="0"/>
  </r>
  <r>
    <n v="6233640000000"/>
    <x v="0"/>
    <x v="63"/>
    <x v="0"/>
    <s v="FORTE SAO JOAO"/>
    <d v="2016-04-29T00:00:00"/>
    <d v="2016-05-16T00:00:00"/>
    <x v="2"/>
    <x v="75"/>
    <x v="1"/>
    <n v="0"/>
    <x v="0"/>
    <n v="0"/>
    <n v="0"/>
    <n v="0"/>
    <x v="1"/>
    <x v="0"/>
    <n v="0"/>
  </r>
  <r>
    <n v="6885170000000"/>
    <x v="0"/>
    <x v="87"/>
    <x v="1"/>
    <s v="JOANA D ARC"/>
    <d v="2016-04-29T00:00:00"/>
    <d v="2016-05-12T00:00:00"/>
    <x v="3"/>
    <x v="82"/>
    <x v="2"/>
    <n v="0"/>
    <x v="1"/>
    <n v="0"/>
    <n v="0"/>
    <n v="0"/>
    <x v="1"/>
    <x v="1"/>
    <n v="1"/>
  </r>
  <r>
    <n v="351449000000000"/>
    <x v="0"/>
    <x v="5"/>
    <x v="1"/>
    <s v="CENTRO"/>
    <d v="2016-04-29T00:00:00"/>
    <d v="2016-05-16T00:00:00"/>
    <x v="2"/>
    <x v="75"/>
    <x v="1"/>
    <n v="0"/>
    <x v="1"/>
    <n v="0"/>
    <n v="0"/>
    <n v="0"/>
    <x v="1"/>
    <x v="1"/>
    <n v="1"/>
  </r>
  <r>
    <n v="3536520000000"/>
    <x v="0"/>
    <x v="37"/>
    <x v="3"/>
    <s v="SAO BENEDITO"/>
    <d v="2016-04-29T00:00:00"/>
    <d v="2016-05-30T00:00:00"/>
    <x v="2"/>
    <x v="57"/>
    <x v="0"/>
    <n v="1"/>
    <x v="1"/>
    <n v="0"/>
    <n v="0"/>
    <n v="0"/>
    <x v="1"/>
    <x v="0"/>
    <n v="0"/>
  </r>
  <r>
    <n v="54586200000000"/>
    <x v="0"/>
    <x v="22"/>
    <x v="4"/>
    <s v="CARATOIRA"/>
    <d v="2016-04-29T00:00:00"/>
    <d v="2016-05-02T00:00:00"/>
    <x v="2"/>
    <x v="89"/>
    <x v="4"/>
    <n v="1"/>
    <x v="1"/>
    <n v="0"/>
    <n v="0"/>
    <n v="0"/>
    <x v="0"/>
    <x v="0"/>
    <n v="0"/>
  </r>
  <r>
    <n v="2685160000000"/>
    <x v="0"/>
    <x v="62"/>
    <x v="3"/>
    <s v="CENTRO"/>
    <d v="2016-04-29T00:00:00"/>
    <d v="2016-04-29T00:00:00"/>
    <x v="0"/>
    <x v="94"/>
    <x v="5"/>
    <n v="0"/>
    <x v="1"/>
    <n v="0"/>
    <n v="0"/>
    <n v="1"/>
    <x v="1"/>
    <x v="0"/>
    <n v="0"/>
  </r>
  <r>
    <n v="954565000000000"/>
    <x v="0"/>
    <x v="84"/>
    <x v="1"/>
    <s v="CENTRO"/>
    <d v="2016-04-29T00:00:00"/>
    <d v="2016-05-16T00:00:00"/>
    <x v="2"/>
    <x v="75"/>
    <x v="1"/>
    <n v="0"/>
    <x v="1"/>
    <n v="0"/>
    <n v="0"/>
    <n v="0"/>
    <x v="1"/>
    <x v="0"/>
    <n v="0"/>
  </r>
  <r>
    <n v="33222557638"/>
    <x v="1"/>
    <x v="64"/>
    <x v="3"/>
    <s v="SANTO ANTONIO"/>
    <d v="2016-04-29T00:00:00"/>
    <d v="2016-05-16T00:00:00"/>
    <x v="2"/>
    <x v="75"/>
    <x v="1"/>
    <n v="0"/>
    <x v="1"/>
    <n v="1"/>
    <n v="0"/>
    <n v="0"/>
    <x v="1"/>
    <x v="0"/>
    <n v="0"/>
  </r>
  <r>
    <n v="356565000000000"/>
    <x v="1"/>
    <x v="47"/>
    <x v="4"/>
    <s v="JARDIM CAMBURI"/>
    <d v="2016-04-29T00:00:00"/>
    <d v="2016-05-03T00:00:00"/>
    <x v="4"/>
    <x v="86"/>
    <x v="3"/>
    <n v="0"/>
    <x v="1"/>
    <n v="0"/>
    <n v="0"/>
    <n v="0"/>
    <x v="0"/>
    <x v="0"/>
    <n v="0"/>
  </r>
  <r>
    <n v="16511600000000"/>
    <x v="0"/>
    <x v="46"/>
    <x v="2"/>
    <s v="SAO JOSE"/>
    <d v="2016-04-29T00:00:00"/>
    <d v="2016-05-02T00:00:00"/>
    <x v="2"/>
    <x v="89"/>
    <x v="4"/>
    <n v="0"/>
    <x v="1"/>
    <n v="0"/>
    <n v="0"/>
    <n v="0"/>
    <x v="0"/>
    <x v="0"/>
    <n v="0"/>
  </r>
  <r>
    <n v="9744190000000"/>
    <x v="1"/>
    <x v="24"/>
    <x v="1"/>
    <s v="ILHA DE SANTA MARIA"/>
    <d v="2016-04-29T00:00:00"/>
    <d v="2016-04-29T00:00:00"/>
    <x v="0"/>
    <x v="94"/>
    <x v="5"/>
    <n v="0"/>
    <x v="1"/>
    <n v="0"/>
    <n v="0"/>
    <n v="0"/>
    <x v="1"/>
    <x v="0"/>
    <n v="0"/>
  </r>
  <r>
    <n v="73722900000000"/>
    <x v="1"/>
    <x v="43"/>
    <x v="2"/>
    <s v="SAO BENEDITO"/>
    <d v="2016-04-29T00:00:00"/>
    <d v="2016-04-29T00:00:00"/>
    <x v="0"/>
    <x v="94"/>
    <x v="5"/>
    <n v="0"/>
    <x v="1"/>
    <n v="0"/>
    <n v="0"/>
    <n v="0"/>
    <x v="1"/>
    <x v="0"/>
    <n v="0"/>
  </r>
  <r>
    <n v="24448321454"/>
    <x v="1"/>
    <x v="4"/>
    <x v="2"/>
    <s v="ANDORINHAS"/>
    <d v="2016-04-29T00:00:00"/>
    <d v="2016-04-29T00:00:00"/>
    <x v="0"/>
    <x v="94"/>
    <x v="5"/>
    <n v="0"/>
    <x v="1"/>
    <n v="0"/>
    <n v="0"/>
    <n v="0"/>
    <x v="1"/>
    <x v="0"/>
    <n v="0"/>
  </r>
  <r>
    <n v="1693480000000"/>
    <x v="0"/>
    <x v="22"/>
    <x v="4"/>
    <s v="BELA VISTA"/>
    <d v="2016-04-29T00:00:00"/>
    <d v="2016-05-03T00:00:00"/>
    <x v="4"/>
    <x v="86"/>
    <x v="3"/>
    <n v="1"/>
    <x v="1"/>
    <n v="0"/>
    <n v="0"/>
    <n v="0"/>
    <x v="0"/>
    <x v="0"/>
    <n v="0"/>
  </r>
  <r>
    <n v="739199000000"/>
    <x v="1"/>
    <x v="46"/>
    <x v="2"/>
    <s v="PRAIA DO CANTO"/>
    <d v="2016-04-29T00:00:00"/>
    <d v="2016-05-13T00:00:00"/>
    <x v="0"/>
    <x v="80"/>
    <x v="2"/>
    <n v="0"/>
    <x v="1"/>
    <n v="0"/>
    <n v="0"/>
    <n v="0"/>
    <x v="1"/>
    <x v="0"/>
    <n v="0"/>
  </r>
  <r>
    <n v="7124330000000"/>
    <x v="1"/>
    <x v="60"/>
    <x v="2"/>
    <s v="DO MOSCOSO"/>
    <d v="2016-04-29T00:00:00"/>
    <d v="2016-05-05T00:00:00"/>
    <x v="3"/>
    <x v="90"/>
    <x v="3"/>
    <n v="0"/>
    <x v="1"/>
    <n v="0"/>
    <n v="0"/>
    <n v="0"/>
    <x v="0"/>
    <x v="1"/>
    <n v="1"/>
  </r>
  <r>
    <n v="221343000000000"/>
    <x v="0"/>
    <x v="87"/>
    <x v="1"/>
    <s v="SOLON BORGES"/>
    <d v="2016-04-29T00:00:00"/>
    <d v="2016-05-13T00:00:00"/>
    <x v="0"/>
    <x v="80"/>
    <x v="2"/>
    <n v="0"/>
    <x v="1"/>
    <n v="0"/>
    <n v="0"/>
    <n v="0"/>
    <x v="1"/>
    <x v="0"/>
    <n v="0"/>
  </r>
  <r>
    <n v="16298300000000"/>
    <x v="1"/>
    <x v="52"/>
    <x v="2"/>
    <s v="REDENCAO"/>
    <d v="2016-04-29T00:00:00"/>
    <d v="2016-04-29T00:00:00"/>
    <x v="0"/>
    <x v="94"/>
    <x v="5"/>
    <n v="0"/>
    <x v="1"/>
    <n v="0"/>
    <n v="0"/>
    <n v="0"/>
    <x v="1"/>
    <x v="0"/>
    <n v="0"/>
  </r>
  <r>
    <n v="643485000000"/>
    <x v="0"/>
    <x v="78"/>
    <x v="0"/>
    <s v="SAO JOSE"/>
    <d v="2016-04-29T00:00:00"/>
    <d v="2016-05-04T00:00:00"/>
    <x v="1"/>
    <x v="92"/>
    <x v="3"/>
    <n v="0"/>
    <x v="0"/>
    <n v="1"/>
    <n v="0"/>
    <n v="0"/>
    <x v="0"/>
    <x v="0"/>
    <n v="0"/>
  </r>
  <r>
    <n v="4975910000000"/>
    <x v="0"/>
    <x v="4"/>
    <x v="2"/>
    <s v="MARIA ORTIZ"/>
    <d v="2016-04-29T00:00:00"/>
    <d v="2016-06-03T00:00:00"/>
    <x v="0"/>
    <x v="59"/>
    <x v="0"/>
    <n v="0"/>
    <x v="1"/>
    <n v="0"/>
    <n v="0"/>
    <n v="0"/>
    <x v="1"/>
    <x v="1"/>
    <n v="1"/>
  </r>
  <r>
    <n v="293464000000000"/>
    <x v="0"/>
    <x v="74"/>
    <x v="1"/>
    <s v="CENTRO"/>
    <d v="2016-04-29T00:00:00"/>
    <d v="2016-05-18T00:00:00"/>
    <x v="1"/>
    <x v="77"/>
    <x v="1"/>
    <n v="0"/>
    <x v="1"/>
    <n v="0"/>
    <n v="0"/>
    <n v="0"/>
    <x v="1"/>
    <x v="1"/>
    <n v="1"/>
  </r>
  <r>
    <n v="632524000000000"/>
    <x v="0"/>
    <x v="45"/>
    <x v="1"/>
    <s v="CENTRO"/>
    <d v="2016-04-29T00:00:00"/>
    <d v="2016-04-29T00:00:00"/>
    <x v="0"/>
    <x v="94"/>
    <x v="5"/>
    <n v="0"/>
    <x v="1"/>
    <n v="0"/>
    <n v="0"/>
    <n v="0"/>
    <x v="1"/>
    <x v="0"/>
    <n v="0"/>
  </r>
  <r>
    <n v="87979500000000"/>
    <x v="0"/>
    <x v="40"/>
    <x v="1"/>
    <s v="CENTRO"/>
    <d v="2016-04-29T00:00:00"/>
    <d v="2016-05-17T00:00:00"/>
    <x v="4"/>
    <x v="74"/>
    <x v="1"/>
    <n v="0"/>
    <x v="1"/>
    <n v="0"/>
    <n v="0"/>
    <n v="0"/>
    <x v="1"/>
    <x v="0"/>
    <n v="0"/>
  </r>
  <r>
    <n v="85564300000000"/>
    <x v="0"/>
    <x v="52"/>
    <x v="2"/>
    <s v="CENTRO"/>
    <d v="2016-04-29T00:00:00"/>
    <d v="2016-05-16T00:00:00"/>
    <x v="2"/>
    <x v="75"/>
    <x v="1"/>
    <n v="0"/>
    <x v="1"/>
    <n v="0"/>
    <n v="0"/>
    <n v="0"/>
    <x v="1"/>
    <x v="0"/>
    <n v="0"/>
  </r>
  <r>
    <n v="388141000000000"/>
    <x v="1"/>
    <x v="41"/>
    <x v="4"/>
    <s v="DO CABRAL"/>
    <d v="2016-04-29T00:00:00"/>
    <d v="2016-04-29T00:00:00"/>
    <x v="0"/>
    <x v="94"/>
    <x v="5"/>
    <n v="0"/>
    <x v="1"/>
    <n v="0"/>
    <n v="0"/>
    <n v="0"/>
    <x v="1"/>
    <x v="0"/>
    <n v="0"/>
  </r>
  <r>
    <n v="468979000000000"/>
    <x v="1"/>
    <x v="52"/>
    <x v="2"/>
    <s v="DO MOSCOSO"/>
    <d v="2016-04-29T00:00:00"/>
    <d v="2016-04-29T00:00:00"/>
    <x v="0"/>
    <x v="94"/>
    <x v="5"/>
    <n v="0"/>
    <x v="1"/>
    <n v="0"/>
    <n v="0"/>
    <n v="0"/>
    <x v="1"/>
    <x v="0"/>
    <n v="0"/>
  </r>
  <r>
    <n v="3673490000000"/>
    <x v="0"/>
    <x v="15"/>
    <x v="3"/>
    <s v="JARDIM CAMBURI"/>
    <d v="2016-04-29T00:00:00"/>
    <d v="2016-05-03T00:00:00"/>
    <x v="4"/>
    <x v="86"/>
    <x v="3"/>
    <n v="0"/>
    <x v="1"/>
    <n v="0"/>
    <n v="0"/>
    <n v="0"/>
    <x v="0"/>
    <x v="0"/>
    <n v="0"/>
  </r>
  <r>
    <n v="8214380000000"/>
    <x v="0"/>
    <x v="41"/>
    <x v="4"/>
    <s v="SAO BENEDITO"/>
    <d v="2016-04-29T00:00:00"/>
    <d v="2016-05-05T00:00:00"/>
    <x v="3"/>
    <x v="90"/>
    <x v="3"/>
    <n v="0"/>
    <x v="1"/>
    <n v="0"/>
    <n v="1"/>
    <n v="0"/>
    <x v="0"/>
    <x v="0"/>
    <n v="0"/>
  </r>
  <r>
    <n v="3558900000000"/>
    <x v="0"/>
    <x v="6"/>
    <x v="0"/>
    <s v="SANTOS DUMONT"/>
    <d v="2016-04-29T00:00:00"/>
    <d v="2016-04-29T00:00:00"/>
    <x v="0"/>
    <x v="94"/>
    <x v="5"/>
    <n v="0"/>
    <x v="0"/>
    <n v="0"/>
    <n v="0"/>
    <n v="0"/>
    <x v="1"/>
    <x v="0"/>
    <n v="0"/>
  </r>
  <r>
    <n v="121718000000000"/>
    <x v="0"/>
    <x v="6"/>
    <x v="0"/>
    <s v="PARQUE MOSCOSO"/>
    <d v="2016-04-29T00:00:00"/>
    <d v="2016-05-09T00:00:00"/>
    <x v="2"/>
    <x v="83"/>
    <x v="2"/>
    <n v="0"/>
    <x v="0"/>
    <n v="0"/>
    <n v="0"/>
    <n v="0"/>
    <x v="1"/>
    <x v="0"/>
    <n v="0"/>
  </r>
  <r>
    <n v="4499380000000"/>
    <x v="0"/>
    <x v="15"/>
    <x v="3"/>
    <s v="MONTE BELO"/>
    <d v="2016-04-29T00:00:00"/>
    <d v="2016-04-29T00:00:00"/>
    <x v="0"/>
    <x v="94"/>
    <x v="5"/>
    <n v="0"/>
    <x v="1"/>
    <n v="0"/>
    <n v="0"/>
    <n v="0"/>
    <x v="1"/>
    <x v="0"/>
    <n v="0"/>
  </r>
  <r>
    <n v="13621981994"/>
    <x v="0"/>
    <x v="73"/>
    <x v="4"/>
    <s v="SOLON BORGES"/>
    <d v="2016-04-29T00:00:00"/>
    <d v="2016-05-13T00:00:00"/>
    <x v="0"/>
    <x v="80"/>
    <x v="2"/>
    <n v="0"/>
    <x v="1"/>
    <n v="0"/>
    <n v="0"/>
    <n v="0"/>
    <x v="1"/>
    <x v="0"/>
    <n v="0"/>
  </r>
  <r>
    <n v="196952000000"/>
    <x v="0"/>
    <x v="46"/>
    <x v="2"/>
    <s v="CENTRO"/>
    <d v="2016-04-29T00:00:00"/>
    <d v="2016-05-24T00:00:00"/>
    <x v="4"/>
    <x v="70"/>
    <x v="1"/>
    <n v="0"/>
    <x v="1"/>
    <n v="0"/>
    <n v="0"/>
    <n v="0"/>
    <x v="1"/>
    <x v="1"/>
    <n v="1"/>
  </r>
  <r>
    <n v="4652600000000"/>
    <x v="0"/>
    <x v="20"/>
    <x v="0"/>
    <s v="CENTRO"/>
    <d v="2016-04-29T00:00:00"/>
    <d v="2016-05-10T00:00:00"/>
    <x v="4"/>
    <x v="81"/>
    <x v="2"/>
    <n v="0"/>
    <x v="1"/>
    <n v="0"/>
    <n v="0"/>
    <n v="0"/>
    <x v="0"/>
    <x v="1"/>
    <n v="1"/>
  </r>
  <r>
    <n v="173830000000000"/>
    <x v="0"/>
    <x v="46"/>
    <x v="2"/>
    <s v="RESISTENCIA"/>
    <d v="2016-04-29T00:00:00"/>
    <d v="2016-04-29T00:00:00"/>
    <x v="0"/>
    <x v="94"/>
    <x v="5"/>
    <n v="0"/>
    <x v="1"/>
    <n v="0"/>
    <n v="0"/>
    <n v="0"/>
    <x v="1"/>
    <x v="0"/>
    <n v="0"/>
  </r>
  <r>
    <n v="5241580000000"/>
    <x v="0"/>
    <x v="62"/>
    <x v="3"/>
    <s v="JABOUR"/>
    <d v="2016-04-29T00:00:00"/>
    <d v="2016-04-29T00:00:00"/>
    <x v="0"/>
    <x v="94"/>
    <x v="5"/>
    <n v="0"/>
    <x v="1"/>
    <n v="0"/>
    <n v="0"/>
    <n v="0"/>
    <x v="1"/>
    <x v="0"/>
    <n v="0"/>
  </r>
  <r>
    <n v="871976000000"/>
    <x v="0"/>
    <x v="47"/>
    <x v="4"/>
    <s v="ARIOVALDO FAVALESSA"/>
    <d v="2016-04-29T00:00:00"/>
    <d v="2016-05-06T00:00:00"/>
    <x v="0"/>
    <x v="87"/>
    <x v="3"/>
    <n v="1"/>
    <x v="1"/>
    <n v="0"/>
    <n v="0"/>
    <n v="1"/>
    <x v="1"/>
    <x v="0"/>
    <n v="0"/>
  </r>
  <r>
    <n v="27697300000000"/>
    <x v="1"/>
    <x v="67"/>
    <x v="4"/>
    <s v="CENTRO"/>
    <d v="2016-04-29T00:00:00"/>
    <d v="2016-05-18T00:00:00"/>
    <x v="1"/>
    <x v="77"/>
    <x v="1"/>
    <n v="0"/>
    <x v="1"/>
    <n v="0"/>
    <n v="0"/>
    <n v="0"/>
    <x v="1"/>
    <x v="1"/>
    <n v="1"/>
  </r>
  <r>
    <n v="14480000000000"/>
    <x v="1"/>
    <x v="40"/>
    <x v="1"/>
    <s v="BONFIM"/>
    <d v="2016-04-29T00:00:00"/>
    <d v="2016-05-04T00:00:00"/>
    <x v="1"/>
    <x v="92"/>
    <x v="3"/>
    <n v="0"/>
    <x v="0"/>
    <n v="0"/>
    <n v="0"/>
    <n v="0"/>
    <x v="0"/>
    <x v="0"/>
    <n v="0"/>
  </r>
  <r>
    <n v="172924000000000"/>
    <x v="1"/>
    <x v="92"/>
    <x v="0"/>
    <s v="GRANDE VITORIA"/>
    <d v="2016-04-29T00:00:00"/>
    <d v="2016-06-03T00:00:00"/>
    <x v="0"/>
    <x v="59"/>
    <x v="0"/>
    <n v="0"/>
    <x v="0"/>
    <n v="0"/>
    <n v="0"/>
    <n v="0"/>
    <x v="1"/>
    <x v="0"/>
    <n v="0"/>
  </r>
  <r>
    <n v="6229870000000"/>
    <x v="1"/>
    <x v="30"/>
    <x v="3"/>
    <s v="TABUAZEIRO"/>
    <d v="2016-04-29T00:00:00"/>
    <d v="2016-04-29T00:00:00"/>
    <x v="0"/>
    <x v="94"/>
    <x v="5"/>
    <n v="0"/>
    <x v="1"/>
    <n v="0"/>
    <n v="0"/>
    <n v="0"/>
    <x v="1"/>
    <x v="0"/>
    <n v="0"/>
  </r>
  <r>
    <n v="6898630000000"/>
    <x v="0"/>
    <x v="75"/>
    <x v="5"/>
    <s v="MARIO CYPRESTE"/>
    <d v="2016-04-29T00:00:00"/>
    <d v="2016-05-02T00:00:00"/>
    <x v="2"/>
    <x v="89"/>
    <x v="4"/>
    <n v="0"/>
    <x v="1"/>
    <n v="0"/>
    <n v="0"/>
    <n v="0"/>
    <x v="0"/>
    <x v="1"/>
    <n v="1"/>
  </r>
  <r>
    <n v="8718260000000"/>
    <x v="0"/>
    <x v="67"/>
    <x v="4"/>
    <s v="JOANA D ARC"/>
    <d v="2016-04-29T00:00:00"/>
    <d v="2016-06-06T00:00:00"/>
    <x v="2"/>
    <x v="52"/>
    <x v="0"/>
    <n v="0"/>
    <x v="1"/>
    <n v="0"/>
    <n v="0"/>
    <n v="0"/>
    <x v="0"/>
    <x v="1"/>
    <n v="1"/>
  </r>
  <r>
    <n v="14781900000000"/>
    <x v="0"/>
    <x v="34"/>
    <x v="0"/>
    <s v="PARQUE MOSCOSO"/>
    <d v="2016-04-29T00:00:00"/>
    <d v="2016-05-24T00:00:00"/>
    <x v="4"/>
    <x v="70"/>
    <x v="1"/>
    <n v="0"/>
    <x v="1"/>
    <n v="0"/>
    <n v="0"/>
    <n v="0"/>
    <x v="0"/>
    <x v="0"/>
    <n v="0"/>
  </r>
  <r>
    <n v="336144000000"/>
    <x v="1"/>
    <x v="56"/>
    <x v="1"/>
    <s v="RESISTENCIA"/>
    <d v="2016-04-29T00:00:00"/>
    <d v="2016-04-29T00:00:00"/>
    <x v="0"/>
    <x v="94"/>
    <x v="5"/>
    <n v="0"/>
    <x v="1"/>
    <n v="0"/>
    <n v="0"/>
    <n v="0"/>
    <x v="1"/>
    <x v="0"/>
    <n v="0"/>
  </r>
  <r>
    <n v="3120000000000"/>
    <x v="0"/>
    <x v="41"/>
    <x v="4"/>
    <s v="RESISTENCIA"/>
    <d v="2016-04-29T00:00:00"/>
    <d v="2016-06-08T00:00:00"/>
    <x v="1"/>
    <x v="69"/>
    <x v="0"/>
    <n v="0"/>
    <x v="1"/>
    <n v="0"/>
    <n v="0"/>
    <n v="0"/>
    <x v="0"/>
    <x v="1"/>
    <n v="1"/>
  </r>
  <r>
    <n v="65556286469"/>
    <x v="1"/>
    <x v="32"/>
    <x v="4"/>
    <s v="ANDORINHAS"/>
    <d v="2016-04-29T00:00:00"/>
    <d v="2016-05-09T00:00:00"/>
    <x v="2"/>
    <x v="83"/>
    <x v="2"/>
    <n v="0"/>
    <x v="1"/>
    <n v="0"/>
    <n v="0"/>
    <n v="0"/>
    <x v="1"/>
    <x v="0"/>
    <n v="0"/>
  </r>
  <r>
    <n v="675161000000000"/>
    <x v="1"/>
    <x v="73"/>
    <x v="4"/>
    <s v="SANTO ANTONIO"/>
    <d v="2016-04-29T00:00:00"/>
    <d v="2016-05-03T00:00:00"/>
    <x v="4"/>
    <x v="86"/>
    <x v="3"/>
    <n v="0"/>
    <x v="1"/>
    <n v="0"/>
    <n v="0"/>
    <n v="0"/>
    <x v="0"/>
    <x v="0"/>
    <n v="0"/>
  </r>
  <r>
    <n v="752269000000000"/>
    <x v="0"/>
    <x v="55"/>
    <x v="2"/>
    <s v="JESUS DE NAZARETH"/>
    <d v="2016-04-29T00:00:00"/>
    <d v="2016-05-03T00:00:00"/>
    <x v="4"/>
    <x v="86"/>
    <x v="3"/>
    <n v="0"/>
    <x v="1"/>
    <n v="0"/>
    <n v="0"/>
    <n v="0"/>
    <x v="1"/>
    <x v="1"/>
    <n v="1"/>
  </r>
  <r>
    <n v="4266440000000"/>
    <x v="0"/>
    <x v="71"/>
    <x v="4"/>
    <s v="CENTRO"/>
    <d v="2016-04-29T00:00:00"/>
    <d v="2016-05-24T00:00:00"/>
    <x v="4"/>
    <x v="70"/>
    <x v="1"/>
    <n v="0"/>
    <x v="1"/>
    <n v="0"/>
    <n v="0"/>
    <n v="0"/>
    <x v="0"/>
    <x v="1"/>
    <n v="1"/>
  </r>
  <r>
    <n v="163596000000000"/>
    <x v="0"/>
    <x v="28"/>
    <x v="3"/>
    <s v="VILA RUBIM"/>
    <d v="2016-04-29T00:00:00"/>
    <d v="2016-05-02T00:00:00"/>
    <x v="2"/>
    <x v="89"/>
    <x v="4"/>
    <n v="0"/>
    <x v="0"/>
    <n v="0"/>
    <n v="0"/>
    <n v="0"/>
    <x v="0"/>
    <x v="0"/>
    <n v="0"/>
  </r>
  <r>
    <n v="173830000000000"/>
    <x v="0"/>
    <x v="46"/>
    <x v="2"/>
    <s v="RESISTENCIA"/>
    <d v="2016-04-29T00:00:00"/>
    <d v="2016-05-06T00:00:00"/>
    <x v="0"/>
    <x v="87"/>
    <x v="3"/>
    <n v="0"/>
    <x v="1"/>
    <n v="0"/>
    <n v="0"/>
    <n v="0"/>
    <x v="0"/>
    <x v="0"/>
    <n v="0"/>
  </r>
  <r>
    <n v="89168300000000"/>
    <x v="1"/>
    <x v="70"/>
    <x v="5"/>
    <s v="SAO BENEDITO"/>
    <d v="2016-04-29T00:00:00"/>
    <d v="2016-05-17T00:00:00"/>
    <x v="4"/>
    <x v="74"/>
    <x v="1"/>
    <n v="1"/>
    <x v="1"/>
    <n v="0"/>
    <n v="0"/>
    <n v="0"/>
    <x v="1"/>
    <x v="1"/>
    <n v="1"/>
  </r>
  <r>
    <n v="195319000000"/>
    <x v="0"/>
    <x v="30"/>
    <x v="3"/>
    <s v="CENTRO"/>
    <d v="2016-04-29T00:00:00"/>
    <d v="2016-05-04T00:00:00"/>
    <x v="1"/>
    <x v="92"/>
    <x v="3"/>
    <n v="0"/>
    <x v="1"/>
    <n v="0"/>
    <n v="0"/>
    <n v="0"/>
    <x v="0"/>
    <x v="0"/>
    <n v="0"/>
  </r>
  <r>
    <n v="357786000000"/>
    <x v="0"/>
    <x v="31"/>
    <x v="1"/>
    <s v="FORTE SAO JOAO"/>
    <d v="2016-04-29T00:00:00"/>
    <d v="2016-04-29T00:00:00"/>
    <x v="0"/>
    <x v="94"/>
    <x v="5"/>
    <n v="0"/>
    <x v="1"/>
    <n v="0"/>
    <n v="0"/>
    <n v="0"/>
    <x v="1"/>
    <x v="0"/>
    <n v="0"/>
  </r>
  <r>
    <n v="86484800000000"/>
    <x v="0"/>
    <x v="29"/>
    <x v="3"/>
    <s v="RESISTENCIA"/>
    <d v="2016-04-29T00:00:00"/>
    <d v="2016-05-04T00:00:00"/>
    <x v="1"/>
    <x v="92"/>
    <x v="3"/>
    <n v="0"/>
    <x v="0"/>
    <n v="1"/>
    <n v="0"/>
    <n v="0"/>
    <x v="0"/>
    <x v="0"/>
    <n v="0"/>
  </r>
  <r>
    <n v="78161300000000"/>
    <x v="1"/>
    <x v="22"/>
    <x v="4"/>
    <s v="SANTO ANTONIO"/>
    <d v="2016-04-29T00:00:00"/>
    <d v="2016-04-29T00:00:00"/>
    <x v="0"/>
    <x v="94"/>
    <x v="5"/>
    <n v="0"/>
    <x v="1"/>
    <n v="0"/>
    <n v="0"/>
    <n v="0"/>
    <x v="1"/>
    <x v="0"/>
    <n v="0"/>
  </r>
  <r>
    <n v="62469500000000"/>
    <x v="1"/>
    <x v="60"/>
    <x v="2"/>
    <s v="SOLON BORGES"/>
    <d v="2016-04-29T00:00:00"/>
    <d v="2016-05-04T00:00:00"/>
    <x v="1"/>
    <x v="92"/>
    <x v="3"/>
    <n v="0"/>
    <x v="1"/>
    <n v="0"/>
    <n v="0"/>
    <n v="0"/>
    <x v="0"/>
    <x v="0"/>
    <n v="0"/>
  </r>
  <r>
    <n v="28868200000000"/>
    <x v="1"/>
    <x v="29"/>
    <x v="3"/>
    <s v="SANTO ANDRE"/>
    <d v="2016-04-29T00:00:00"/>
    <d v="2016-05-06T00:00:00"/>
    <x v="0"/>
    <x v="87"/>
    <x v="3"/>
    <n v="0"/>
    <x v="0"/>
    <n v="1"/>
    <n v="0"/>
    <n v="0"/>
    <x v="1"/>
    <x v="0"/>
    <n v="0"/>
  </r>
  <r>
    <n v="289782000000000"/>
    <x v="0"/>
    <x v="30"/>
    <x v="3"/>
    <s v="JARDIM DA PENHA"/>
    <d v="2016-04-29T00:00:00"/>
    <d v="2016-05-02T00:00:00"/>
    <x v="2"/>
    <x v="89"/>
    <x v="4"/>
    <n v="0"/>
    <x v="1"/>
    <n v="0"/>
    <n v="0"/>
    <n v="0"/>
    <x v="0"/>
    <x v="0"/>
    <n v="0"/>
  </r>
  <r>
    <n v="29539000000000"/>
    <x v="1"/>
    <x v="62"/>
    <x v="3"/>
    <s v="SANTOS DUMONT"/>
    <d v="2016-04-29T00:00:00"/>
    <d v="2016-04-29T00:00:00"/>
    <x v="0"/>
    <x v="94"/>
    <x v="5"/>
    <n v="0"/>
    <x v="0"/>
    <n v="0"/>
    <n v="0"/>
    <n v="0"/>
    <x v="1"/>
    <x v="0"/>
    <n v="0"/>
  </r>
  <r>
    <n v="236183000000000"/>
    <x v="0"/>
    <x v="41"/>
    <x v="4"/>
    <s v="FORTE SAO JOAO"/>
    <d v="2016-04-29T00:00:00"/>
    <d v="2016-04-29T00:00:00"/>
    <x v="0"/>
    <x v="94"/>
    <x v="5"/>
    <n v="0"/>
    <x v="1"/>
    <n v="0"/>
    <n v="0"/>
    <n v="0"/>
    <x v="1"/>
    <x v="0"/>
    <n v="0"/>
  </r>
  <r>
    <n v="7528570000000"/>
    <x v="0"/>
    <x v="54"/>
    <x v="1"/>
    <s v="TABUAZEIRO"/>
    <d v="2016-04-29T00:00:00"/>
    <d v="2016-05-12T00:00:00"/>
    <x v="3"/>
    <x v="82"/>
    <x v="2"/>
    <n v="0"/>
    <x v="1"/>
    <n v="0"/>
    <n v="0"/>
    <n v="0"/>
    <x v="0"/>
    <x v="0"/>
    <n v="0"/>
  </r>
  <r>
    <n v="649644000000"/>
    <x v="0"/>
    <x v="41"/>
    <x v="4"/>
    <s v="SAO JOSE"/>
    <d v="2016-04-29T00:00:00"/>
    <d v="2016-05-04T00:00:00"/>
    <x v="1"/>
    <x v="92"/>
    <x v="3"/>
    <n v="0"/>
    <x v="1"/>
    <n v="0"/>
    <n v="0"/>
    <n v="0"/>
    <x v="0"/>
    <x v="1"/>
    <n v="1"/>
  </r>
  <r>
    <n v="81548692662"/>
    <x v="0"/>
    <x v="37"/>
    <x v="3"/>
    <s v="TABUAZEIRO"/>
    <d v="2016-04-29T00:00:00"/>
    <d v="2016-05-04T00:00:00"/>
    <x v="1"/>
    <x v="92"/>
    <x v="3"/>
    <n v="0"/>
    <x v="1"/>
    <n v="0"/>
    <n v="0"/>
    <n v="0"/>
    <x v="0"/>
    <x v="0"/>
    <n v="0"/>
  </r>
  <r>
    <n v="24775900000000"/>
    <x v="0"/>
    <x v="17"/>
    <x v="4"/>
    <s v="SANTA TEREZA"/>
    <d v="2016-04-29T00:00:00"/>
    <d v="2016-04-29T00:00:00"/>
    <x v="0"/>
    <x v="94"/>
    <x v="5"/>
    <n v="1"/>
    <x v="1"/>
    <n v="0"/>
    <n v="0"/>
    <n v="0"/>
    <x v="1"/>
    <x v="0"/>
    <n v="0"/>
  </r>
  <r>
    <n v="948820000000000"/>
    <x v="1"/>
    <x v="33"/>
    <x v="4"/>
    <s v="CENTRO"/>
    <d v="2016-04-29T00:00:00"/>
    <d v="2016-05-30T00:00:00"/>
    <x v="2"/>
    <x v="57"/>
    <x v="0"/>
    <n v="0"/>
    <x v="1"/>
    <n v="0"/>
    <n v="0"/>
    <n v="0"/>
    <x v="1"/>
    <x v="0"/>
    <n v="0"/>
  </r>
  <r>
    <n v="392698000000000"/>
    <x v="0"/>
    <x v="45"/>
    <x v="1"/>
    <s v="CENTRO"/>
    <d v="2016-04-29T00:00:00"/>
    <d v="2016-05-25T00:00:00"/>
    <x v="1"/>
    <x v="68"/>
    <x v="1"/>
    <n v="0"/>
    <x v="1"/>
    <n v="0"/>
    <n v="0"/>
    <n v="0"/>
    <x v="0"/>
    <x v="1"/>
    <n v="1"/>
  </r>
  <r>
    <n v="697622000000"/>
    <x v="0"/>
    <x v="61"/>
    <x v="1"/>
    <s v="SANTA CLARA"/>
    <d v="2016-04-29T00:00:00"/>
    <d v="2016-04-29T00:00:00"/>
    <x v="0"/>
    <x v="94"/>
    <x v="5"/>
    <n v="0"/>
    <x v="1"/>
    <n v="0"/>
    <n v="0"/>
    <n v="0"/>
    <x v="1"/>
    <x v="0"/>
    <n v="0"/>
  </r>
  <r>
    <n v="3711190000000"/>
    <x v="0"/>
    <x v="9"/>
    <x v="0"/>
    <s v="JARDIM DA PENHA"/>
    <d v="2016-04-29T00:00:00"/>
    <d v="2016-04-29T00:00:00"/>
    <x v="0"/>
    <x v="94"/>
    <x v="5"/>
    <n v="0"/>
    <x v="0"/>
    <n v="0"/>
    <n v="0"/>
    <n v="0"/>
    <x v="1"/>
    <x v="0"/>
    <n v="0"/>
  </r>
  <r>
    <n v="66293700000000"/>
    <x v="0"/>
    <x v="38"/>
    <x v="4"/>
    <s v="JABOUR"/>
    <d v="2016-04-29T00:00:00"/>
    <d v="2016-05-25T00:00:00"/>
    <x v="1"/>
    <x v="68"/>
    <x v="1"/>
    <n v="0"/>
    <x v="1"/>
    <n v="1"/>
    <n v="0"/>
    <n v="0"/>
    <x v="0"/>
    <x v="1"/>
    <n v="1"/>
  </r>
  <r>
    <n v="42288800000000"/>
    <x v="1"/>
    <x v="9"/>
    <x v="0"/>
    <s v="VILA RUBIM"/>
    <d v="2016-04-29T00:00:00"/>
    <d v="2016-05-10T00:00:00"/>
    <x v="4"/>
    <x v="81"/>
    <x v="2"/>
    <n v="0"/>
    <x v="0"/>
    <n v="1"/>
    <n v="0"/>
    <n v="0"/>
    <x v="0"/>
    <x v="1"/>
    <n v="1"/>
  </r>
  <r>
    <n v="825272000000"/>
    <x v="1"/>
    <x v="66"/>
    <x v="2"/>
    <s v="SANTA LUCIA"/>
    <d v="2016-04-29T00:00:00"/>
    <d v="2016-05-02T00:00:00"/>
    <x v="2"/>
    <x v="89"/>
    <x v="4"/>
    <n v="0"/>
    <x v="1"/>
    <n v="0"/>
    <n v="0"/>
    <n v="0"/>
    <x v="0"/>
    <x v="0"/>
    <n v="0"/>
  </r>
  <r>
    <n v="74738700000000"/>
    <x v="0"/>
    <x v="74"/>
    <x v="1"/>
    <s v="CENTRO"/>
    <d v="2016-04-29T00:00:00"/>
    <d v="2016-05-31T00:00:00"/>
    <x v="4"/>
    <x v="54"/>
    <x v="0"/>
    <n v="0"/>
    <x v="1"/>
    <n v="0"/>
    <n v="0"/>
    <n v="0"/>
    <x v="0"/>
    <x v="1"/>
    <n v="1"/>
  </r>
  <r>
    <n v="9489346198"/>
    <x v="0"/>
    <x v="19"/>
    <x v="2"/>
    <s v="DO QUADRO"/>
    <d v="2016-04-29T00:00:00"/>
    <d v="2016-05-03T00:00:00"/>
    <x v="4"/>
    <x v="86"/>
    <x v="3"/>
    <n v="0"/>
    <x v="1"/>
    <n v="0"/>
    <n v="0"/>
    <n v="0"/>
    <x v="0"/>
    <x v="0"/>
    <n v="0"/>
  </r>
  <r>
    <n v="9195790000000"/>
    <x v="0"/>
    <x v="2"/>
    <x v="1"/>
    <s v="ENSEADA DO SUA"/>
    <d v="2016-04-29T00:00:00"/>
    <d v="2016-05-03T00:00:00"/>
    <x v="4"/>
    <x v="86"/>
    <x v="3"/>
    <n v="0"/>
    <x v="1"/>
    <n v="0"/>
    <n v="0"/>
    <n v="0"/>
    <x v="0"/>
    <x v="0"/>
    <n v="0"/>
  </r>
  <r>
    <n v="1959450000000"/>
    <x v="0"/>
    <x v="18"/>
    <x v="0"/>
    <s v="CENTRO"/>
    <d v="2016-04-29T00:00:00"/>
    <d v="2016-04-29T00:00:00"/>
    <x v="0"/>
    <x v="94"/>
    <x v="5"/>
    <n v="0"/>
    <x v="0"/>
    <n v="0"/>
    <n v="0"/>
    <n v="0"/>
    <x v="1"/>
    <x v="0"/>
    <n v="0"/>
  </r>
  <r>
    <n v="623393000000"/>
    <x v="1"/>
    <x v="17"/>
    <x v="4"/>
    <s v="SAO PEDRO"/>
    <d v="2016-04-29T00:00:00"/>
    <d v="2016-05-06T00:00:00"/>
    <x v="0"/>
    <x v="87"/>
    <x v="3"/>
    <n v="0"/>
    <x v="0"/>
    <n v="0"/>
    <n v="0"/>
    <n v="0"/>
    <x v="0"/>
    <x v="0"/>
    <n v="0"/>
  </r>
  <r>
    <n v="96476600000000"/>
    <x v="1"/>
    <x v="46"/>
    <x v="2"/>
    <s v="CRUZAMENTO"/>
    <d v="2016-04-29T00:00:00"/>
    <d v="2016-05-25T00:00:00"/>
    <x v="1"/>
    <x v="68"/>
    <x v="1"/>
    <n v="0"/>
    <x v="1"/>
    <n v="0"/>
    <n v="0"/>
    <n v="0"/>
    <x v="0"/>
    <x v="0"/>
    <n v="0"/>
  </r>
  <r>
    <n v="3716910000000"/>
    <x v="0"/>
    <x v="17"/>
    <x v="4"/>
    <s v="BELA VISTA"/>
    <d v="2016-04-29T00:00:00"/>
    <d v="2016-05-04T00:00:00"/>
    <x v="1"/>
    <x v="92"/>
    <x v="3"/>
    <n v="1"/>
    <x v="1"/>
    <n v="0"/>
    <n v="0"/>
    <n v="0"/>
    <x v="0"/>
    <x v="0"/>
    <n v="0"/>
  </r>
  <r>
    <n v="19645400000000"/>
    <x v="0"/>
    <x v="2"/>
    <x v="1"/>
    <s v="GURIGICA"/>
    <d v="2016-04-29T00:00:00"/>
    <d v="2016-05-03T00:00:00"/>
    <x v="4"/>
    <x v="86"/>
    <x v="3"/>
    <n v="0"/>
    <x v="0"/>
    <n v="0"/>
    <n v="0"/>
    <n v="0"/>
    <x v="0"/>
    <x v="0"/>
    <n v="0"/>
  </r>
  <r>
    <n v="815484000000000"/>
    <x v="1"/>
    <x v="34"/>
    <x v="0"/>
    <s v="MARIA ORTIZ"/>
    <d v="2016-04-29T00:00:00"/>
    <d v="2016-04-29T00:00:00"/>
    <x v="0"/>
    <x v="94"/>
    <x v="5"/>
    <n v="0"/>
    <x v="1"/>
    <n v="0"/>
    <n v="0"/>
    <n v="0"/>
    <x v="1"/>
    <x v="0"/>
    <n v="0"/>
  </r>
  <r>
    <n v="6142380000000"/>
    <x v="0"/>
    <x v="74"/>
    <x v="1"/>
    <s v="MARUIPE"/>
    <d v="2016-04-29T00:00:00"/>
    <d v="2016-04-29T00:00:00"/>
    <x v="0"/>
    <x v="94"/>
    <x v="5"/>
    <n v="0"/>
    <x v="1"/>
    <n v="0"/>
    <n v="0"/>
    <n v="0"/>
    <x v="1"/>
    <x v="1"/>
    <n v="1"/>
  </r>
  <r>
    <n v="238717000000000"/>
    <x v="0"/>
    <x v="79"/>
    <x v="5"/>
    <s v="SAO JOSE"/>
    <d v="2016-04-29T00:00:00"/>
    <d v="2016-05-13T00:00:00"/>
    <x v="0"/>
    <x v="80"/>
    <x v="2"/>
    <n v="0"/>
    <x v="1"/>
    <n v="0"/>
    <n v="0"/>
    <n v="0"/>
    <x v="1"/>
    <x v="1"/>
    <n v="1"/>
  </r>
  <r>
    <n v="768488000000000"/>
    <x v="1"/>
    <x v="45"/>
    <x v="1"/>
    <s v="SANTOS DUMONT"/>
    <d v="2016-04-29T00:00:00"/>
    <d v="2016-04-29T00:00:00"/>
    <x v="0"/>
    <x v="94"/>
    <x v="5"/>
    <n v="0"/>
    <x v="1"/>
    <n v="0"/>
    <n v="0"/>
    <n v="0"/>
    <x v="1"/>
    <x v="0"/>
    <n v="0"/>
  </r>
  <r>
    <n v="7271860000000"/>
    <x v="1"/>
    <x v="2"/>
    <x v="1"/>
    <s v="SANTO ANDRE"/>
    <d v="2016-04-29T00:00:00"/>
    <d v="2016-05-03T00:00:00"/>
    <x v="4"/>
    <x v="86"/>
    <x v="3"/>
    <n v="0"/>
    <x v="1"/>
    <n v="1"/>
    <n v="0"/>
    <n v="0"/>
    <x v="0"/>
    <x v="0"/>
    <n v="0"/>
  </r>
  <r>
    <n v="386920000000000"/>
    <x v="0"/>
    <x v="24"/>
    <x v="1"/>
    <s v="MARIA ORTIZ"/>
    <d v="2016-04-29T00:00:00"/>
    <d v="2016-05-04T00:00:00"/>
    <x v="1"/>
    <x v="92"/>
    <x v="3"/>
    <n v="0"/>
    <x v="1"/>
    <n v="0"/>
    <n v="0"/>
    <n v="0"/>
    <x v="0"/>
    <x v="1"/>
    <n v="1"/>
  </r>
  <r>
    <n v="5312200000000"/>
    <x v="1"/>
    <x v="70"/>
    <x v="5"/>
    <s v="DO MOSCOSO"/>
    <d v="2016-04-29T00:00:00"/>
    <d v="2016-05-11T00:00:00"/>
    <x v="1"/>
    <x v="84"/>
    <x v="2"/>
    <n v="1"/>
    <x v="1"/>
    <n v="0"/>
    <n v="0"/>
    <n v="0"/>
    <x v="0"/>
    <x v="0"/>
    <n v="0"/>
  </r>
  <r>
    <n v="743344000000000"/>
    <x v="0"/>
    <x v="55"/>
    <x v="2"/>
    <s v="JABOUR"/>
    <d v="2016-04-29T00:00:00"/>
    <d v="2016-06-02T00:00:00"/>
    <x v="3"/>
    <x v="58"/>
    <x v="0"/>
    <n v="0"/>
    <x v="1"/>
    <n v="0"/>
    <n v="0"/>
    <n v="0"/>
    <x v="0"/>
    <x v="0"/>
    <n v="0"/>
  </r>
  <r>
    <n v="374789000000000"/>
    <x v="1"/>
    <x v="65"/>
    <x v="2"/>
    <s v="SANTA LUCIA"/>
    <d v="2016-04-29T00:00:00"/>
    <d v="2016-05-17T00:00:00"/>
    <x v="4"/>
    <x v="74"/>
    <x v="1"/>
    <n v="0"/>
    <x v="1"/>
    <n v="0"/>
    <n v="0"/>
    <n v="0"/>
    <x v="1"/>
    <x v="1"/>
    <n v="1"/>
  </r>
  <r>
    <n v="37846600000000"/>
    <x v="1"/>
    <x v="80"/>
    <x v="2"/>
    <s v="MARIA ORTIZ"/>
    <d v="2016-04-29T00:00:00"/>
    <d v="2016-04-29T00:00:00"/>
    <x v="0"/>
    <x v="94"/>
    <x v="5"/>
    <n v="0"/>
    <x v="1"/>
    <n v="0"/>
    <n v="0"/>
    <n v="0"/>
    <x v="1"/>
    <x v="0"/>
    <n v="0"/>
  </r>
  <r>
    <n v="3995370000000"/>
    <x v="0"/>
    <x v="5"/>
    <x v="1"/>
    <s v="MARIA ORTIZ"/>
    <d v="2016-04-29T00:00:00"/>
    <d v="2016-04-29T00:00:00"/>
    <x v="0"/>
    <x v="94"/>
    <x v="5"/>
    <n v="0"/>
    <x v="1"/>
    <n v="0"/>
    <n v="0"/>
    <n v="0"/>
    <x v="1"/>
    <x v="0"/>
    <n v="0"/>
  </r>
  <r>
    <n v="4172380000000"/>
    <x v="0"/>
    <x v="55"/>
    <x v="2"/>
    <s v="GOIABEIRAS"/>
    <d v="2016-04-29T00:00:00"/>
    <d v="2016-05-09T00:00:00"/>
    <x v="2"/>
    <x v="83"/>
    <x v="2"/>
    <n v="0"/>
    <x v="1"/>
    <n v="0"/>
    <n v="0"/>
    <n v="0"/>
    <x v="1"/>
    <x v="0"/>
    <n v="0"/>
  </r>
  <r>
    <n v="7276250000000"/>
    <x v="0"/>
    <x v="20"/>
    <x v="0"/>
    <s v="PIEDADE"/>
    <d v="2016-04-29T00:00:00"/>
    <d v="2016-05-05T00:00:00"/>
    <x v="3"/>
    <x v="90"/>
    <x v="3"/>
    <n v="0"/>
    <x v="0"/>
    <n v="1"/>
    <n v="0"/>
    <n v="0"/>
    <x v="1"/>
    <x v="0"/>
    <n v="0"/>
  </r>
  <r>
    <n v="135762000000000"/>
    <x v="1"/>
    <x v="17"/>
    <x v="4"/>
    <s v="CENTRO"/>
    <d v="2016-04-29T00:00:00"/>
    <d v="2016-05-24T00:00:00"/>
    <x v="4"/>
    <x v="70"/>
    <x v="1"/>
    <n v="0"/>
    <x v="1"/>
    <n v="0"/>
    <n v="0"/>
    <n v="0"/>
    <x v="0"/>
    <x v="0"/>
    <n v="0"/>
  </r>
  <r>
    <n v="598422000000000"/>
    <x v="0"/>
    <x v="66"/>
    <x v="2"/>
    <s v="CENTRO"/>
    <d v="2016-04-29T00:00:00"/>
    <d v="2016-06-01T00:00:00"/>
    <x v="1"/>
    <x v="62"/>
    <x v="0"/>
    <n v="1"/>
    <x v="1"/>
    <n v="0"/>
    <n v="0"/>
    <n v="0"/>
    <x v="0"/>
    <x v="1"/>
    <n v="1"/>
  </r>
  <r>
    <n v="2459840000000"/>
    <x v="0"/>
    <x v="64"/>
    <x v="3"/>
    <s v="PARQUE MOSCOSO"/>
    <d v="2016-04-29T00:00:00"/>
    <d v="2016-05-16T00:00:00"/>
    <x v="2"/>
    <x v="75"/>
    <x v="1"/>
    <n v="0"/>
    <x v="0"/>
    <n v="0"/>
    <n v="0"/>
    <n v="0"/>
    <x v="1"/>
    <x v="0"/>
    <n v="0"/>
  </r>
  <r>
    <n v="5618960000000"/>
    <x v="0"/>
    <x v="71"/>
    <x v="4"/>
    <s v="FORTE SAO JOAO"/>
    <d v="2016-04-29T00:00:00"/>
    <d v="2016-05-02T00:00:00"/>
    <x v="2"/>
    <x v="89"/>
    <x v="4"/>
    <n v="1"/>
    <x v="1"/>
    <n v="0"/>
    <n v="0"/>
    <n v="0"/>
    <x v="0"/>
    <x v="0"/>
    <n v="0"/>
  </r>
  <r>
    <n v="174398000000"/>
    <x v="0"/>
    <x v="20"/>
    <x v="0"/>
    <s v="PRAIA DO SUA"/>
    <d v="2016-04-29T00:00:00"/>
    <d v="2016-05-03T00:00:00"/>
    <x v="4"/>
    <x v="86"/>
    <x v="3"/>
    <n v="0"/>
    <x v="1"/>
    <n v="0"/>
    <n v="0"/>
    <n v="0"/>
    <x v="0"/>
    <x v="1"/>
    <n v="1"/>
  </r>
  <r>
    <n v="5197840000000"/>
    <x v="0"/>
    <x v="5"/>
    <x v="1"/>
    <s v="CENTRO"/>
    <d v="2016-04-29T00:00:00"/>
    <d v="2016-05-17T00:00:00"/>
    <x v="4"/>
    <x v="74"/>
    <x v="1"/>
    <n v="0"/>
    <x v="1"/>
    <n v="0"/>
    <n v="0"/>
    <n v="0"/>
    <x v="1"/>
    <x v="0"/>
    <n v="0"/>
  </r>
  <r>
    <n v="433939000000"/>
    <x v="0"/>
    <x v="9"/>
    <x v="0"/>
    <s v="JESUS DE NAZARETH"/>
    <d v="2016-04-29T00:00:00"/>
    <d v="2016-05-09T00:00:00"/>
    <x v="2"/>
    <x v="83"/>
    <x v="2"/>
    <n v="0"/>
    <x v="0"/>
    <n v="1"/>
    <n v="0"/>
    <n v="0"/>
    <x v="1"/>
    <x v="1"/>
    <n v="1"/>
  </r>
  <r>
    <n v="8746500000000"/>
    <x v="0"/>
    <x v="4"/>
    <x v="2"/>
    <s v="SANTO ANDRE"/>
    <d v="2016-04-29T00:00:00"/>
    <d v="2016-04-29T00:00:00"/>
    <x v="0"/>
    <x v="94"/>
    <x v="5"/>
    <n v="0"/>
    <x v="1"/>
    <n v="0"/>
    <n v="0"/>
    <n v="0"/>
    <x v="1"/>
    <x v="0"/>
    <n v="0"/>
  </r>
  <r>
    <n v="847238000000"/>
    <x v="0"/>
    <x v="29"/>
    <x v="3"/>
    <s v="SANTO ANTONIO"/>
    <d v="2016-04-29T00:00:00"/>
    <d v="2016-04-29T00:00:00"/>
    <x v="0"/>
    <x v="94"/>
    <x v="5"/>
    <n v="0"/>
    <x v="0"/>
    <n v="0"/>
    <n v="0"/>
    <n v="0"/>
    <x v="1"/>
    <x v="0"/>
    <n v="0"/>
  </r>
  <r>
    <n v="766439000000000"/>
    <x v="0"/>
    <x v="52"/>
    <x v="2"/>
    <s v="MARIA ORTIZ"/>
    <d v="2016-04-29T00:00:00"/>
    <d v="2016-04-29T00:00:00"/>
    <x v="0"/>
    <x v="94"/>
    <x v="5"/>
    <n v="0"/>
    <x v="1"/>
    <n v="0"/>
    <n v="0"/>
    <n v="0"/>
    <x v="1"/>
    <x v="0"/>
    <n v="0"/>
  </r>
  <r>
    <n v="96249800000000"/>
    <x v="1"/>
    <x v="7"/>
    <x v="3"/>
    <s v="SANTA LUCIA"/>
    <d v="2016-04-29T00:00:00"/>
    <d v="2016-04-29T00:00:00"/>
    <x v="0"/>
    <x v="94"/>
    <x v="5"/>
    <n v="0"/>
    <x v="0"/>
    <n v="1"/>
    <n v="0"/>
    <n v="0"/>
    <x v="1"/>
    <x v="0"/>
    <n v="0"/>
  </r>
  <r>
    <n v="4574310000000"/>
    <x v="0"/>
    <x v="24"/>
    <x v="1"/>
    <s v="ITARARE"/>
    <d v="2016-04-29T00:00:00"/>
    <d v="2016-04-29T00:00:00"/>
    <x v="0"/>
    <x v="94"/>
    <x v="5"/>
    <n v="0"/>
    <x v="0"/>
    <n v="1"/>
    <n v="0"/>
    <n v="0"/>
    <x v="1"/>
    <x v="0"/>
    <n v="0"/>
  </r>
  <r>
    <n v="131288000000000"/>
    <x v="1"/>
    <x v="70"/>
    <x v="5"/>
    <s v="RESISTENCIA"/>
    <d v="2016-04-29T00:00:00"/>
    <d v="2016-04-29T00:00:00"/>
    <x v="0"/>
    <x v="94"/>
    <x v="5"/>
    <n v="0"/>
    <x v="1"/>
    <n v="0"/>
    <n v="0"/>
    <n v="0"/>
    <x v="1"/>
    <x v="0"/>
    <n v="0"/>
  </r>
  <r>
    <n v="2147150000000"/>
    <x v="0"/>
    <x v="81"/>
    <x v="5"/>
    <s v="ITARARE"/>
    <d v="2016-04-29T00:00:00"/>
    <d v="2016-04-29T00:00:00"/>
    <x v="0"/>
    <x v="94"/>
    <x v="5"/>
    <n v="0"/>
    <x v="1"/>
    <n v="0"/>
    <n v="0"/>
    <n v="0"/>
    <x v="1"/>
    <x v="0"/>
    <n v="0"/>
  </r>
  <r>
    <n v="92131800000000"/>
    <x v="1"/>
    <x v="59"/>
    <x v="2"/>
    <s v="SANTOS DUMONT"/>
    <d v="2016-04-29T00:00:00"/>
    <d v="2016-04-29T00:00:00"/>
    <x v="0"/>
    <x v="94"/>
    <x v="5"/>
    <n v="1"/>
    <x v="1"/>
    <n v="0"/>
    <n v="0"/>
    <n v="0"/>
    <x v="1"/>
    <x v="0"/>
    <n v="0"/>
  </r>
  <r>
    <n v="914158000000000"/>
    <x v="0"/>
    <x v="43"/>
    <x v="2"/>
    <s v="SANTA HELENA"/>
    <d v="2016-04-29T00:00:00"/>
    <d v="2016-05-20T00:00:00"/>
    <x v="0"/>
    <x v="73"/>
    <x v="1"/>
    <n v="0"/>
    <x v="1"/>
    <n v="0"/>
    <n v="0"/>
    <n v="0"/>
    <x v="1"/>
    <x v="0"/>
    <n v="0"/>
  </r>
  <r>
    <n v="6216770000000"/>
    <x v="0"/>
    <x v="5"/>
    <x v="1"/>
    <s v="SANTA HELENA"/>
    <d v="2016-04-29T00:00:00"/>
    <d v="2016-05-20T00:00:00"/>
    <x v="0"/>
    <x v="73"/>
    <x v="1"/>
    <n v="0"/>
    <x v="1"/>
    <n v="0"/>
    <n v="0"/>
    <n v="0"/>
    <x v="1"/>
    <x v="0"/>
    <n v="0"/>
  </r>
  <r>
    <n v="8247350000000"/>
    <x v="0"/>
    <x v="41"/>
    <x v="4"/>
    <s v="JESUS DE NAZARETH"/>
    <d v="2016-04-29T00:00:00"/>
    <d v="2016-05-02T00:00:00"/>
    <x v="2"/>
    <x v="89"/>
    <x v="4"/>
    <n v="0"/>
    <x v="1"/>
    <n v="0"/>
    <n v="0"/>
    <n v="0"/>
    <x v="1"/>
    <x v="1"/>
    <n v="1"/>
  </r>
  <r>
    <n v="791343000000000"/>
    <x v="0"/>
    <x v="49"/>
    <x v="4"/>
    <s v="RESISTENCIA"/>
    <d v="2016-04-29T00:00:00"/>
    <d v="2016-04-29T00:00:00"/>
    <x v="0"/>
    <x v="94"/>
    <x v="5"/>
    <n v="0"/>
    <x v="1"/>
    <n v="0"/>
    <n v="0"/>
    <n v="0"/>
    <x v="1"/>
    <x v="0"/>
    <n v="0"/>
  </r>
  <r>
    <n v="844228000000000"/>
    <x v="0"/>
    <x v="30"/>
    <x v="3"/>
    <s v="MATA DA PRAIA"/>
    <d v="2016-04-29T00:00:00"/>
    <d v="2016-05-03T00:00:00"/>
    <x v="4"/>
    <x v="86"/>
    <x v="3"/>
    <n v="0"/>
    <x v="1"/>
    <n v="0"/>
    <n v="0"/>
    <n v="0"/>
    <x v="0"/>
    <x v="0"/>
    <n v="0"/>
  </r>
  <r>
    <n v="242365000000000"/>
    <x v="0"/>
    <x v="50"/>
    <x v="1"/>
    <s v="CENTRO"/>
    <d v="2016-04-29T00:00:00"/>
    <d v="2016-05-03T00:00:00"/>
    <x v="4"/>
    <x v="86"/>
    <x v="3"/>
    <n v="0"/>
    <x v="1"/>
    <n v="0"/>
    <n v="0"/>
    <n v="0"/>
    <x v="0"/>
    <x v="0"/>
    <n v="0"/>
  </r>
  <r>
    <n v="655179000000"/>
    <x v="0"/>
    <x v="54"/>
    <x v="1"/>
    <s v="JOANA D ARC"/>
    <d v="2016-04-29T00:00:00"/>
    <d v="2016-05-20T00:00:00"/>
    <x v="0"/>
    <x v="73"/>
    <x v="1"/>
    <n v="0"/>
    <x v="1"/>
    <n v="0"/>
    <n v="0"/>
    <n v="0"/>
    <x v="1"/>
    <x v="1"/>
    <n v="1"/>
  </r>
  <r>
    <n v="27436200000000"/>
    <x v="1"/>
    <x v="72"/>
    <x v="5"/>
    <s v="JESUS DE NAZARETH"/>
    <d v="2016-04-29T00:00:00"/>
    <d v="2016-05-06T00:00:00"/>
    <x v="0"/>
    <x v="87"/>
    <x v="3"/>
    <n v="0"/>
    <x v="1"/>
    <n v="0"/>
    <n v="0"/>
    <n v="0"/>
    <x v="1"/>
    <x v="0"/>
    <n v="0"/>
  </r>
  <r>
    <n v="3496670000000"/>
    <x v="0"/>
    <x v="37"/>
    <x v="3"/>
    <s v="DA PENHA"/>
    <d v="2016-04-29T00:00:00"/>
    <d v="2016-05-03T00:00:00"/>
    <x v="4"/>
    <x v="86"/>
    <x v="3"/>
    <n v="0"/>
    <x v="1"/>
    <n v="0"/>
    <n v="0"/>
    <n v="0"/>
    <x v="1"/>
    <x v="0"/>
    <n v="0"/>
  </r>
  <r>
    <n v="16994800000000"/>
    <x v="1"/>
    <x v="40"/>
    <x v="1"/>
    <s v="TABUAZEIRO"/>
    <d v="2016-04-29T00:00:00"/>
    <d v="2016-05-24T00:00:00"/>
    <x v="4"/>
    <x v="70"/>
    <x v="1"/>
    <n v="0"/>
    <x v="1"/>
    <n v="0"/>
    <n v="0"/>
    <n v="0"/>
    <x v="0"/>
    <x v="1"/>
    <n v="1"/>
  </r>
  <r>
    <n v="25488700000000"/>
    <x v="0"/>
    <x v="73"/>
    <x v="4"/>
    <s v="MARIA ORTIZ"/>
    <d v="2016-04-29T00:00:00"/>
    <d v="2016-05-05T00:00:00"/>
    <x v="3"/>
    <x v="90"/>
    <x v="3"/>
    <n v="0"/>
    <x v="1"/>
    <n v="0"/>
    <n v="0"/>
    <n v="0"/>
    <x v="0"/>
    <x v="1"/>
    <n v="1"/>
  </r>
  <r>
    <n v="62166400000000"/>
    <x v="0"/>
    <x v="48"/>
    <x v="3"/>
    <s v="JARDIM CAMBURI"/>
    <d v="2016-04-29T00:00:00"/>
    <d v="2016-05-02T00:00:00"/>
    <x v="2"/>
    <x v="89"/>
    <x v="4"/>
    <n v="0"/>
    <x v="1"/>
    <n v="0"/>
    <n v="0"/>
    <n v="0"/>
    <x v="0"/>
    <x v="0"/>
    <n v="0"/>
  </r>
  <r>
    <n v="9800000000000"/>
    <x v="0"/>
    <x v="69"/>
    <x v="4"/>
    <s v="ANDORINHAS"/>
    <d v="2016-04-29T00:00:00"/>
    <d v="2016-05-24T00:00:00"/>
    <x v="4"/>
    <x v="70"/>
    <x v="1"/>
    <n v="1"/>
    <x v="1"/>
    <n v="0"/>
    <n v="0"/>
    <n v="0"/>
    <x v="0"/>
    <x v="0"/>
    <n v="0"/>
  </r>
  <r>
    <n v="39419300000000"/>
    <x v="0"/>
    <x v="1"/>
    <x v="0"/>
    <s v="DE LOURDES"/>
    <d v="2016-04-29T00:00:00"/>
    <d v="2016-05-20T00:00:00"/>
    <x v="0"/>
    <x v="73"/>
    <x v="1"/>
    <n v="0"/>
    <x v="0"/>
    <n v="1"/>
    <n v="0"/>
    <n v="0"/>
    <x v="1"/>
    <x v="0"/>
    <n v="0"/>
  </r>
  <r>
    <n v="268352000000000"/>
    <x v="0"/>
    <x v="49"/>
    <x v="4"/>
    <s v="JABOUR"/>
    <d v="2016-04-29T00:00:00"/>
    <d v="2016-05-25T00:00:00"/>
    <x v="1"/>
    <x v="68"/>
    <x v="1"/>
    <n v="0"/>
    <x v="1"/>
    <n v="0"/>
    <n v="0"/>
    <n v="0"/>
    <x v="0"/>
    <x v="0"/>
    <n v="0"/>
  </r>
  <r>
    <n v="811875000000000"/>
    <x v="0"/>
    <x v="22"/>
    <x v="4"/>
    <s v="MARUIPE"/>
    <d v="2016-04-29T00:00:00"/>
    <d v="2016-04-29T00:00:00"/>
    <x v="0"/>
    <x v="94"/>
    <x v="5"/>
    <n v="0"/>
    <x v="1"/>
    <n v="0"/>
    <n v="0"/>
    <n v="0"/>
    <x v="1"/>
    <x v="0"/>
    <n v="0"/>
  </r>
  <r>
    <n v="938998000000000"/>
    <x v="0"/>
    <x v="37"/>
    <x v="3"/>
    <s v="CENTRO"/>
    <d v="2016-04-29T00:00:00"/>
    <d v="2016-05-31T00:00:00"/>
    <x v="4"/>
    <x v="54"/>
    <x v="0"/>
    <n v="0"/>
    <x v="1"/>
    <n v="0"/>
    <n v="0"/>
    <n v="0"/>
    <x v="0"/>
    <x v="0"/>
    <n v="0"/>
  </r>
  <r>
    <n v="547545000000"/>
    <x v="0"/>
    <x v="55"/>
    <x v="2"/>
    <s v="SANTO ANTONIO"/>
    <d v="2016-04-29T00:00:00"/>
    <d v="2016-04-29T00:00:00"/>
    <x v="0"/>
    <x v="94"/>
    <x v="5"/>
    <n v="0"/>
    <x v="1"/>
    <n v="0"/>
    <n v="0"/>
    <n v="0"/>
    <x v="1"/>
    <x v="0"/>
    <n v="0"/>
  </r>
  <r>
    <n v="2396470000000"/>
    <x v="0"/>
    <x v="68"/>
    <x v="4"/>
    <s v="ITARARE"/>
    <d v="2016-04-29T00:00:00"/>
    <d v="2016-05-10T00:00:00"/>
    <x v="4"/>
    <x v="81"/>
    <x v="2"/>
    <n v="0"/>
    <x v="1"/>
    <n v="0"/>
    <n v="0"/>
    <n v="0"/>
    <x v="0"/>
    <x v="1"/>
    <n v="1"/>
  </r>
  <r>
    <n v="73229700000000"/>
    <x v="1"/>
    <x v="12"/>
    <x v="3"/>
    <s v="ITARARE"/>
    <d v="2016-04-29T00:00:00"/>
    <d v="2016-05-03T00:00:00"/>
    <x v="4"/>
    <x v="86"/>
    <x v="3"/>
    <n v="0"/>
    <x v="1"/>
    <n v="0"/>
    <n v="0"/>
    <n v="0"/>
    <x v="0"/>
    <x v="1"/>
    <n v="1"/>
  </r>
  <r>
    <n v="19789100000000"/>
    <x v="0"/>
    <x v="83"/>
    <x v="0"/>
    <s v="SANTA MARTHA"/>
    <d v="2016-04-29T00:00:00"/>
    <d v="2016-05-02T00:00:00"/>
    <x v="2"/>
    <x v="89"/>
    <x v="4"/>
    <n v="0"/>
    <x v="0"/>
    <n v="1"/>
    <n v="0"/>
    <n v="0"/>
    <x v="0"/>
    <x v="0"/>
    <n v="0"/>
  </r>
  <r>
    <n v="14236800000000"/>
    <x v="0"/>
    <x v="81"/>
    <x v="5"/>
    <s v="JARDIM DA PENHA"/>
    <d v="2016-04-29T00:00:00"/>
    <d v="2016-04-29T00:00:00"/>
    <x v="0"/>
    <x v="94"/>
    <x v="5"/>
    <n v="0"/>
    <x v="1"/>
    <n v="0"/>
    <n v="0"/>
    <n v="0"/>
    <x v="1"/>
    <x v="0"/>
    <n v="0"/>
  </r>
  <r>
    <n v="8177730000000"/>
    <x v="0"/>
    <x v="73"/>
    <x v="4"/>
    <s v="MARIA ORTIZ"/>
    <d v="2016-04-29T00:00:00"/>
    <d v="2016-05-17T00:00:00"/>
    <x v="4"/>
    <x v="74"/>
    <x v="1"/>
    <n v="0"/>
    <x v="1"/>
    <n v="0"/>
    <n v="0"/>
    <n v="0"/>
    <x v="1"/>
    <x v="1"/>
    <n v="1"/>
  </r>
  <r>
    <n v="231548000000000"/>
    <x v="0"/>
    <x v="46"/>
    <x v="2"/>
    <s v="BELA VISTA"/>
    <d v="2016-04-29T00:00:00"/>
    <d v="2016-04-29T00:00:00"/>
    <x v="0"/>
    <x v="94"/>
    <x v="5"/>
    <n v="0"/>
    <x v="1"/>
    <n v="0"/>
    <n v="0"/>
    <n v="0"/>
    <x v="1"/>
    <x v="0"/>
    <n v="0"/>
  </r>
  <r>
    <n v="733194000000"/>
    <x v="0"/>
    <x v="47"/>
    <x v="4"/>
    <s v="SAO PEDRO"/>
    <d v="2016-04-29T00:00:00"/>
    <d v="2016-05-30T00:00:00"/>
    <x v="2"/>
    <x v="57"/>
    <x v="0"/>
    <n v="0"/>
    <x v="1"/>
    <n v="0"/>
    <n v="0"/>
    <n v="0"/>
    <x v="1"/>
    <x v="0"/>
    <n v="0"/>
  </r>
  <r>
    <n v="461488000000000"/>
    <x v="0"/>
    <x v="87"/>
    <x v="1"/>
    <s v="BENTO FERREIRA"/>
    <d v="2016-04-29T00:00:00"/>
    <d v="2016-05-18T00:00:00"/>
    <x v="1"/>
    <x v="77"/>
    <x v="1"/>
    <n v="0"/>
    <x v="1"/>
    <n v="0"/>
    <n v="0"/>
    <n v="0"/>
    <x v="1"/>
    <x v="0"/>
    <n v="0"/>
  </r>
  <r>
    <n v="231548000000000"/>
    <x v="0"/>
    <x v="46"/>
    <x v="2"/>
    <s v="BELA VISTA"/>
    <d v="2016-04-29T00:00:00"/>
    <d v="2016-04-29T00:00:00"/>
    <x v="0"/>
    <x v="94"/>
    <x v="5"/>
    <n v="0"/>
    <x v="1"/>
    <n v="0"/>
    <n v="0"/>
    <n v="0"/>
    <x v="1"/>
    <x v="1"/>
    <n v="1"/>
  </r>
  <r>
    <n v="9722280000000"/>
    <x v="0"/>
    <x v="5"/>
    <x v="1"/>
    <s v="JESUS DE NAZARETH"/>
    <d v="2016-04-29T00:00:00"/>
    <d v="2016-04-29T00:00:00"/>
    <x v="0"/>
    <x v="94"/>
    <x v="5"/>
    <n v="1"/>
    <x v="0"/>
    <n v="0"/>
    <n v="0"/>
    <n v="1"/>
    <x v="1"/>
    <x v="0"/>
    <n v="0"/>
  </r>
  <r>
    <n v="219327000000000"/>
    <x v="0"/>
    <x v="17"/>
    <x v="4"/>
    <s v="JESUS DE NAZARETH"/>
    <d v="2016-04-29T00:00:00"/>
    <d v="2016-04-29T00:00:00"/>
    <x v="0"/>
    <x v="94"/>
    <x v="5"/>
    <n v="1"/>
    <x v="1"/>
    <n v="0"/>
    <n v="0"/>
    <n v="0"/>
    <x v="1"/>
    <x v="0"/>
    <n v="0"/>
  </r>
  <r>
    <n v="4972430000000"/>
    <x v="0"/>
    <x v="26"/>
    <x v="0"/>
    <s v="SANTA MARTHA"/>
    <d v="2016-04-29T00:00:00"/>
    <d v="2016-05-02T00:00:00"/>
    <x v="2"/>
    <x v="89"/>
    <x v="4"/>
    <n v="0"/>
    <x v="0"/>
    <n v="0"/>
    <n v="0"/>
    <n v="0"/>
    <x v="1"/>
    <x v="0"/>
    <n v="0"/>
  </r>
  <r>
    <n v="894265000000000"/>
    <x v="0"/>
    <x v="14"/>
    <x v="3"/>
    <s v="SANTA TEREZA"/>
    <d v="2016-04-29T00:00:00"/>
    <d v="2016-05-05T00:00:00"/>
    <x v="3"/>
    <x v="90"/>
    <x v="3"/>
    <n v="0"/>
    <x v="0"/>
    <n v="0"/>
    <n v="0"/>
    <n v="0"/>
    <x v="0"/>
    <x v="0"/>
    <n v="0"/>
  </r>
  <r>
    <n v="78929800000000"/>
    <x v="0"/>
    <x v="62"/>
    <x v="3"/>
    <s v="BELA VISTA"/>
    <d v="2016-04-29T00:00:00"/>
    <d v="2016-05-09T00:00:00"/>
    <x v="2"/>
    <x v="83"/>
    <x v="2"/>
    <n v="0"/>
    <x v="0"/>
    <n v="1"/>
    <n v="0"/>
    <n v="0"/>
    <x v="1"/>
    <x v="0"/>
    <n v="0"/>
  </r>
  <r>
    <n v="7746650000000"/>
    <x v="1"/>
    <x v="67"/>
    <x v="4"/>
    <s v="DE LOURDES"/>
    <d v="2016-04-29T00:00:00"/>
    <d v="2016-04-29T00:00:00"/>
    <x v="0"/>
    <x v="94"/>
    <x v="5"/>
    <n v="0"/>
    <x v="1"/>
    <n v="0"/>
    <n v="0"/>
    <n v="0"/>
    <x v="1"/>
    <x v="0"/>
    <n v="0"/>
  </r>
  <r>
    <n v="54954000000000"/>
    <x v="0"/>
    <x v="29"/>
    <x v="3"/>
    <s v="ILHA DE SANTA MARIA"/>
    <d v="2016-04-29T00:00:00"/>
    <d v="2016-05-02T00:00:00"/>
    <x v="2"/>
    <x v="89"/>
    <x v="4"/>
    <n v="0"/>
    <x v="1"/>
    <n v="0"/>
    <n v="1"/>
    <n v="0"/>
    <x v="0"/>
    <x v="1"/>
    <n v="1"/>
  </r>
  <r>
    <n v="298934000000"/>
    <x v="1"/>
    <x v="30"/>
    <x v="3"/>
    <s v="ITARARE"/>
    <d v="2016-04-29T00:00:00"/>
    <d v="2016-05-02T00:00:00"/>
    <x v="2"/>
    <x v="89"/>
    <x v="4"/>
    <n v="0"/>
    <x v="1"/>
    <n v="0"/>
    <n v="0"/>
    <n v="0"/>
    <x v="0"/>
    <x v="0"/>
    <n v="0"/>
  </r>
  <r>
    <n v="31478700000000"/>
    <x v="1"/>
    <x v="12"/>
    <x v="3"/>
    <s v="RESISTENCIA"/>
    <d v="2016-04-29T00:00:00"/>
    <d v="2016-04-29T00:00:00"/>
    <x v="0"/>
    <x v="94"/>
    <x v="5"/>
    <n v="0"/>
    <x v="0"/>
    <n v="0"/>
    <n v="1"/>
    <n v="0"/>
    <x v="1"/>
    <x v="0"/>
    <n v="0"/>
  </r>
  <r>
    <n v="15769800000000"/>
    <x v="0"/>
    <x v="22"/>
    <x v="4"/>
    <s v="RESISTENCIA"/>
    <d v="2016-04-29T00:00:00"/>
    <d v="2016-05-31T00:00:00"/>
    <x v="4"/>
    <x v="54"/>
    <x v="0"/>
    <n v="0"/>
    <x v="1"/>
    <n v="0"/>
    <n v="0"/>
    <n v="0"/>
    <x v="0"/>
    <x v="0"/>
    <n v="0"/>
  </r>
  <r>
    <n v="31769200000000"/>
    <x v="1"/>
    <x v="28"/>
    <x v="3"/>
    <s v="SAO PEDRO"/>
    <d v="2016-04-29T00:00:00"/>
    <d v="2016-05-03T00:00:00"/>
    <x v="4"/>
    <x v="86"/>
    <x v="3"/>
    <n v="0"/>
    <x v="0"/>
    <n v="1"/>
    <n v="0"/>
    <n v="0"/>
    <x v="0"/>
    <x v="0"/>
    <n v="0"/>
  </r>
  <r>
    <n v="743357000000000"/>
    <x v="0"/>
    <x v="18"/>
    <x v="0"/>
    <s v="SANTOS DUMONT"/>
    <d v="2016-04-29T00:00:00"/>
    <d v="2016-06-06T00:00:00"/>
    <x v="2"/>
    <x v="52"/>
    <x v="0"/>
    <n v="0"/>
    <x v="1"/>
    <n v="0"/>
    <n v="0"/>
    <n v="0"/>
    <x v="1"/>
    <x v="1"/>
    <n v="1"/>
  </r>
  <r>
    <n v="224936000000000"/>
    <x v="1"/>
    <x v="28"/>
    <x v="3"/>
    <s v="PARQUE MOSCOSO"/>
    <d v="2016-04-29T00:00:00"/>
    <d v="2016-05-30T00:00:00"/>
    <x v="2"/>
    <x v="57"/>
    <x v="0"/>
    <n v="0"/>
    <x v="0"/>
    <n v="0"/>
    <n v="0"/>
    <n v="1"/>
    <x v="0"/>
    <x v="0"/>
    <n v="0"/>
  </r>
  <r>
    <n v="42984300000000"/>
    <x v="0"/>
    <x v="48"/>
    <x v="3"/>
    <s v="SAO CRISTOVAO"/>
    <d v="2016-04-29T00:00:00"/>
    <d v="2016-05-03T00:00:00"/>
    <x v="4"/>
    <x v="86"/>
    <x v="3"/>
    <n v="0"/>
    <x v="0"/>
    <n v="0"/>
    <n v="0"/>
    <n v="0"/>
    <x v="0"/>
    <x v="0"/>
    <n v="0"/>
  </r>
  <r>
    <n v="73543300000000"/>
    <x v="0"/>
    <x v="24"/>
    <x v="1"/>
    <s v="JESUS DE NAZARETH"/>
    <d v="2016-04-29T00:00:00"/>
    <d v="2016-05-03T00:00:00"/>
    <x v="4"/>
    <x v="86"/>
    <x v="3"/>
    <n v="0"/>
    <x v="1"/>
    <n v="1"/>
    <n v="0"/>
    <n v="0"/>
    <x v="0"/>
    <x v="0"/>
    <n v="0"/>
  </r>
  <r>
    <n v="15296119141"/>
    <x v="0"/>
    <x v="0"/>
    <x v="0"/>
    <s v="REDENCAO"/>
    <d v="2016-04-29T00:00:00"/>
    <d v="2016-05-03T00:00:00"/>
    <x v="4"/>
    <x v="86"/>
    <x v="3"/>
    <n v="0"/>
    <x v="0"/>
    <n v="1"/>
    <n v="0"/>
    <n v="0"/>
    <x v="0"/>
    <x v="0"/>
    <n v="0"/>
  </r>
  <r>
    <n v="55854600000000"/>
    <x v="0"/>
    <x v="50"/>
    <x v="1"/>
    <s v="JESUS DE NAZARETH"/>
    <d v="2016-04-29T00:00:00"/>
    <d v="2016-05-03T00:00:00"/>
    <x v="4"/>
    <x v="86"/>
    <x v="3"/>
    <n v="1"/>
    <x v="0"/>
    <n v="0"/>
    <n v="0"/>
    <n v="0"/>
    <x v="0"/>
    <x v="0"/>
    <n v="0"/>
  </r>
  <r>
    <n v="16415000000000"/>
    <x v="0"/>
    <x v="21"/>
    <x v="1"/>
    <s v="MARUIPE"/>
    <d v="2016-04-29T00:00:00"/>
    <d v="2016-06-03T00:00:00"/>
    <x v="0"/>
    <x v="59"/>
    <x v="0"/>
    <n v="0"/>
    <x v="1"/>
    <n v="1"/>
    <n v="0"/>
    <n v="0"/>
    <x v="0"/>
    <x v="0"/>
    <n v="0"/>
  </r>
  <r>
    <n v="4737460000000"/>
    <x v="0"/>
    <x v="4"/>
    <x v="2"/>
    <s v="GURIGICA"/>
    <d v="2016-04-29T00:00:00"/>
    <d v="2016-05-02T00:00:00"/>
    <x v="2"/>
    <x v="89"/>
    <x v="4"/>
    <n v="0"/>
    <x v="1"/>
    <n v="0"/>
    <n v="0"/>
    <n v="0"/>
    <x v="0"/>
    <x v="0"/>
    <n v="0"/>
  </r>
  <r>
    <n v="477586000000"/>
    <x v="1"/>
    <x v="19"/>
    <x v="2"/>
    <s v="SAO PEDRO"/>
    <d v="2016-04-29T00:00:00"/>
    <d v="2016-05-16T00:00:00"/>
    <x v="2"/>
    <x v="75"/>
    <x v="1"/>
    <n v="0"/>
    <x v="1"/>
    <n v="0"/>
    <n v="0"/>
    <n v="0"/>
    <x v="1"/>
    <x v="1"/>
    <n v="1"/>
  </r>
  <r>
    <n v="49263500000000"/>
    <x v="0"/>
    <x v="29"/>
    <x v="3"/>
    <s v="SAO JOSE"/>
    <d v="2016-04-29T00:00:00"/>
    <d v="2016-05-02T00:00:00"/>
    <x v="2"/>
    <x v="89"/>
    <x v="4"/>
    <n v="0"/>
    <x v="1"/>
    <n v="0"/>
    <n v="0"/>
    <n v="0"/>
    <x v="1"/>
    <x v="0"/>
    <n v="0"/>
  </r>
  <r>
    <n v="19359500000000"/>
    <x v="1"/>
    <x v="29"/>
    <x v="3"/>
    <s v="CENTRO"/>
    <d v="2016-04-29T00:00:00"/>
    <d v="2016-05-30T00:00:00"/>
    <x v="2"/>
    <x v="57"/>
    <x v="0"/>
    <n v="0"/>
    <x v="1"/>
    <n v="0"/>
    <n v="0"/>
    <n v="0"/>
    <x v="0"/>
    <x v="0"/>
    <n v="0"/>
  </r>
  <r>
    <n v="7916720000000"/>
    <x v="1"/>
    <x v="84"/>
    <x v="1"/>
    <s v="MARUIPE"/>
    <d v="2016-04-29T00:00:00"/>
    <d v="2016-05-03T00:00:00"/>
    <x v="4"/>
    <x v="86"/>
    <x v="3"/>
    <n v="0"/>
    <x v="1"/>
    <n v="0"/>
    <n v="0"/>
    <n v="0"/>
    <x v="0"/>
    <x v="0"/>
    <n v="0"/>
  </r>
  <r>
    <n v="64855400000000"/>
    <x v="0"/>
    <x v="40"/>
    <x v="1"/>
    <s v="MARIA ORTIZ"/>
    <d v="2016-04-29T00:00:00"/>
    <d v="2016-05-03T00:00:00"/>
    <x v="4"/>
    <x v="86"/>
    <x v="3"/>
    <n v="0"/>
    <x v="1"/>
    <n v="0"/>
    <n v="0"/>
    <n v="0"/>
    <x v="0"/>
    <x v="1"/>
    <n v="1"/>
  </r>
  <r>
    <n v="872433000000000"/>
    <x v="1"/>
    <x v="29"/>
    <x v="3"/>
    <s v="JARDIM CAMBURI"/>
    <d v="2016-04-29T00:00:00"/>
    <d v="2016-05-04T00:00:00"/>
    <x v="1"/>
    <x v="92"/>
    <x v="3"/>
    <n v="0"/>
    <x v="1"/>
    <n v="0"/>
    <n v="0"/>
    <n v="0"/>
    <x v="0"/>
    <x v="0"/>
    <n v="0"/>
  </r>
  <r>
    <n v="112691000000000"/>
    <x v="0"/>
    <x v="15"/>
    <x v="3"/>
    <s v="GURIGICA"/>
    <d v="2016-04-29T00:00:00"/>
    <d v="2016-05-02T00:00:00"/>
    <x v="2"/>
    <x v="89"/>
    <x v="4"/>
    <n v="0"/>
    <x v="0"/>
    <n v="1"/>
    <n v="0"/>
    <n v="0"/>
    <x v="1"/>
    <x v="0"/>
    <n v="0"/>
  </r>
  <r>
    <n v="786992000000"/>
    <x v="0"/>
    <x v="2"/>
    <x v="1"/>
    <s v="MARIA ORTIZ"/>
    <d v="2016-04-29T00:00:00"/>
    <d v="2016-04-29T00:00:00"/>
    <x v="0"/>
    <x v="94"/>
    <x v="5"/>
    <n v="0"/>
    <x v="1"/>
    <n v="0"/>
    <n v="0"/>
    <n v="0"/>
    <x v="1"/>
    <x v="0"/>
    <n v="0"/>
  </r>
  <r>
    <n v="4974943167"/>
    <x v="0"/>
    <x v="74"/>
    <x v="1"/>
    <s v="ESTRELINHA"/>
    <d v="2016-04-29T00:00:00"/>
    <d v="2016-05-25T00:00:00"/>
    <x v="1"/>
    <x v="68"/>
    <x v="1"/>
    <n v="1"/>
    <x v="0"/>
    <n v="1"/>
    <n v="0"/>
    <n v="0"/>
    <x v="0"/>
    <x v="0"/>
    <n v="0"/>
  </r>
  <r>
    <n v="99637837716"/>
    <x v="0"/>
    <x v="71"/>
    <x v="4"/>
    <s v="NOVA PALESTINA"/>
    <d v="2016-04-29T00:00:00"/>
    <d v="2016-05-02T00:00:00"/>
    <x v="2"/>
    <x v="89"/>
    <x v="4"/>
    <n v="0"/>
    <x v="1"/>
    <n v="0"/>
    <n v="0"/>
    <n v="0"/>
    <x v="1"/>
    <x v="1"/>
    <n v="1"/>
  </r>
  <r>
    <n v="4283540000000"/>
    <x v="0"/>
    <x v="87"/>
    <x v="1"/>
    <s v="DA PENHA"/>
    <d v="2016-04-29T00:00:00"/>
    <d v="2016-05-10T00:00:00"/>
    <x v="4"/>
    <x v="81"/>
    <x v="2"/>
    <n v="1"/>
    <x v="1"/>
    <n v="0"/>
    <n v="0"/>
    <n v="0"/>
    <x v="0"/>
    <x v="0"/>
    <n v="0"/>
  </r>
  <r>
    <n v="99584000000000"/>
    <x v="0"/>
    <x v="20"/>
    <x v="0"/>
    <s v="JARDIM DA PENHA"/>
    <d v="2016-04-29T00:00:00"/>
    <d v="2016-04-29T00:00:00"/>
    <x v="0"/>
    <x v="94"/>
    <x v="5"/>
    <n v="0"/>
    <x v="0"/>
    <n v="0"/>
    <n v="0"/>
    <n v="0"/>
    <x v="1"/>
    <x v="0"/>
    <n v="0"/>
  </r>
  <r>
    <n v="83919700000000"/>
    <x v="1"/>
    <x v="73"/>
    <x v="4"/>
    <s v="BONFIM"/>
    <d v="2016-04-29T00:00:00"/>
    <d v="2016-05-13T00:00:00"/>
    <x v="0"/>
    <x v="80"/>
    <x v="2"/>
    <n v="0"/>
    <x v="1"/>
    <n v="0"/>
    <n v="0"/>
    <n v="0"/>
    <x v="1"/>
    <x v="1"/>
    <n v="1"/>
  </r>
  <r>
    <n v="34964400000000"/>
    <x v="0"/>
    <x v="54"/>
    <x v="1"/>
    <s v="NOVA PALESTINA"/>
    <d v="2016-04-29T00:00:00"/>
    <d v="2016-05-19T00:00:00"/>
    <x v="3"/>
    <x v="76"/>
    <x v="1"/>
    <n v="0"/>
    <x v="1"/>
    <n v="0"/>
    <n v="1"/>
    <n v="0"/>
    <x v="1"/>
    <x v="1"/>
    <n v="1"/>
  </r>
  <r>
    <n v="692272000000"/>
    <x v="0"/>
    <x v="44"/>
    <x v="4"/>
    <s v="SANTOS DUMONT"/>
    <d v="2016-04-29T00:00:00"/>
    <d v="2016-05-16T00:00:00"/>
    <x v="2"/>
    <x v="75"/>
    <x v="1"/>
    <n v="1"/>
    <x v="1"/>
    <n v="0"/>
    <n v="0"/>
    <n v="0"/>
    <x v="1"/>
    <x v="0"/>
    <n v="0"/>
  </r>
  <r>
    <n v="535224000000000"/>
    <x v="0"/>
    <x v="15"/>
    <x v="3"/>
    <s v="SANTA CLARA"/>
    <d v="2016-04-30T00:00:00"/>
    <d v="2016-05-03T00:00:00"/>
    <x v="4"/>
    <x v="89"/>
    <x v="4"/>
    <n v="0"/>
    <x v="1"/>
    <n v="0"/>
    <n v="0"/>
    <n v="0"/>
    <x v="1"/>
    <x v="0"/>
    <n v="0"/>
  </r>
  <r>
    <n v="121718000000000"/>
    <x v="0"/>
    <x v="6"/>
    <x v="0"/>
    <s v="PARQUE MOSCOSO"/>
    <d v="2016-05-02T00:00:00"/>
    <d v="2016-05-05T00:00:00"/>
    <x v="3"/>
    <x v="89"/>
    <x v="4"/>
    <n v="0"/>
    <x v="0"/>
    <n v="0"/>
    <n v="0"/>
    <n v="0"/>
    <x v="0"/>
    <x v="0"/>
    <n v="0"/>
  </r>
  <r>
    <n v="233659000000000"/>
    <x v="0"/>
    <x v="1"/>
    <x v="0"/>
    <s v="MARUIPE"/>
    <d v="2016-05-02T00:00:00"/>
    <d v="2016-05-04T00:00:00"/>
    <x v="1"/>
    <x v="91"/>
    <x v="4"/>
    <n v="0"/>
    <x v="1"/>
    <n v="0"/>
    <n v="0"/>
    <n v="0"/>
    <x v="1"/>
    <x v="0"/>
    <n v="0"/>
  </r>
  <r>
    <n v="35615400000000"/>
    <x v="0"/>
    <x v="71"/>
    <x v="4"/>
    <s v="SAO JOSE"/>
    <d v="2016-05-02T00:00:00"/>
    <d v="2016-05-02T00:00:00"/>
    <x v="2"/>
    <x v="94"/>
    <x v="5"/>
    <n v="1"/>
    <x v="1"/>
    <n v="0"/>
    <n v="0"/>
    <n v="0"/>
    <x v="1"/>
    <x v="0"/>
    <n v="0"/>
  </r>
  <r>
    <n v="227453000000"/>
    <x v="0"/>
    <x v="2"/>
    <x v="1"/>
    <s v="JARDIM CAMBURI"/>
    <d v="2016-05-02T00:00:00"/>
    <d v="2016-05-04T00:00:00"/>
    <x v="1"/>
    <x v="91"/>
    <x v="4"/>
    <n v="0"/>
    <x v="1"/>
    <n v="0"/>
    <n v="0"/>
    <n v="0"/>
    <x v="1"/>
    <x v="1"/>
    <n v="1"/>
  </r>
  <r>
    <n v="131236000000000"/>
    <x v="0"/>
    <x v="23"/>
    <x v="3"/>
    <s v="SAO PEDRO"/>
    <d v="2016-05-02T00:00:00"/>
    <d v="2016-05-02T00:00:00"/>
    <x v="2"/>
    <x v="94"/>
    <x v="5"/>
    <n v="0"/>
    <x v="1"/>
    <n v="1"/>
    <n v="0"/>
    <n v="0"/>
    <x v="1"/>
    <x v="0"/>
    <n v="0"/>
  </r>
  <r>
    <n v="38973800000000"/>
    <x v="1"/>
    <x v="48"/>
    <x v="3"/>
    <s v="CENTRO"/>
    <d v="2016-05-02T00:00:00"/>
    <d v="2016-05-09T00:00:00"/>
    <x v="2"/>
    <x v="87"/>
    <x v="3"/>
    <n v="0"/>
    <x v="0"/>
    <n v="1"/>
    <n v="0"/>
    <n v="0"/>
    <x v="1"/>
    <x v="0"/>
    <n v="0"/>
  </r>
  <r>
    <n v="353918000000000"/>
    <x v="0"/>
    <x v="33"/>
    <x v="4"/>
    <s v="SAO PEDRO"/>
    <d v="2016-05-02T00:00:00"/>
    <d v="2016-05-02T00:00:00"/>
    <x v="2"/>
    <x v="94"/>
    <x v="5"/>
    <n v="1"/>
    <x v="1"/>
    <n v="0"/>
    <n v="0"/>
    <n v="0"/>
    <x v="1"/>
    <x v="1"/>
    <n v="1"/>
  </r>
  <r>
    <n v="74131100000000"/>
    <x v="1"/>
    <x v="49"/>
    <x v="4"/>
    <s v="JOANA D ARC"/>
    <d v="2016-05-02T00:00:00"/>
    <d v="2016-05-02T00:00:00"/>
    <x v="2"/>
    <x v="94"/>
    <x v="5"/>
    <n v="0"/>
    <x v="1"/>
    <n v="0"/>
    <n v="0"/>
    <n v="0"/>
    <x v="1"/>
    <x v="0"/>
    <n v="0"/>
  </r>
  <r>
    <n v="9642480000000"/>
    <x v="0"/>
    <x v="66"/>
    <x v="2"/>
    <s v="CRUZAMENTO"/>
    <d v="2016-05-02T00:00:00"/>
    <d v="2016-05-02T00:00:00"/>
    <x v="2"/>
    <x v="94"/>
    <x v="5"/>
    <n v="0"/>
    <x v="1"/>
    <n v="0"/>
    <n v="0"/>
    <n v="0"/>
    <x v="1"/>
    <x v="0"/>
    <n v="0"/>
  </r>
  <r>
    <n v="823513000000"/>
    <x v="1"/>
    <x v="19"/>
    <x v="2"/>
    <s v="RESISTENCIA"/>
    <d v="2016-05-02T00:00:00"/>
    <d v="2016-05-02T00:00:00"/>
    <x v="2"/>
    <x v="94"/>
    <x v="5"/>
    <n v="0"/>
    <x v="1"/>
    <n v="0"/>
    <n v="0"/>
    <n v="0"/>
    <x v="1"/>
    <x v="0"/>
    <n v="0"/>
  </r>
  <r>
    <n v="52212700000000"/>
    <x v="0"/>
    <x v="29"/>
    <x v="3"/>
    <s v="BELA VISTA"/>
    <d v="2016-05-02T00:00:00"/>
    <d v="2016-05-04T00:00:00"/>
    <x v="1"/>
    <x v="91"/>
    <x v="4"/>
    <n v="0"/>
    <x v="1"/>
    <n v="0"/>
    <n v="0"/>
    <n v="0"/>
    <x v="1"/>
    <x v="0"/>
    <n v="0"/>
  </r>
  <r>
    <n v="47426500000000"/>
    <x v="1"/>
    <x v="80"/>
    <x v="2"/>
    <s v="FORTE SAO JOAO"/>
    <d v="2016-05-02T00:00:00"/>
    <d v="2016-05-02T00:00:00"/>
    <x v="2"/>
    <x v="94"/>
    <x v="5"/>
    <n v="0"/>
    <x v="1"/>
    <n v="0"/>
    <n v="0"/>
    <n v="0"/>
    <x v="1"/>
    <x v="0"/>
    <n v="0"/>
  </r>
  <r>
    <n v="255989000000"/>
    <x v="1"/>
    <x v="46"/>
    <x v="2"/>
    <s v="CARATOIRA"/>
    <d v="2016-05-02T00:00:00"/>
    <d v="2016-05-02T00:00:00"/>
    <x v="2"/>
    <x v="94"/>
    <x v="5"/>
    <n v="0"/>
    <x v="1"/>
    <n v="0"/>
    <n v="0"/>
    <n v="0"/>
    <x v="1"/>
    <x v="0"/>
    <n v="0"/>
  </r>
  <r>
    <n v="1758980000000"/>
    <x v="1"/>
    <x v="17"/>
    <x v="4"/>
    <s v="PARQUE MOSCOSO"/>
    <d v="2016-05-02T00:00:00"/>
    <d v="2016-05-02T00:00:00"/>
    <x v="2"/>
    <x v="94"/>
    <x v="5"/>
    <n v="0"/>
    <x v="1"/>
    <n v="0"/>
    <n v="0"/>
    <n v="0"/>
    <x v="1"/>
    <x v="1"/>
    <n v="1"/>
  </r>
  <r>
    <n v="95541400000000"/>
    <x v="0"/>
    <x v="71"/>
    <x v="4"/>
    <s v="MARIA ORTIZ"/>
    <d v="2016-05-02T00:00:00"/>
    <d v="2016-05-04T00:00:00"/>
    <x v="1"/>
    <x v="91"/>
    <x v="4"/>
    <n v="0"/>
    <x v="1"/>
    <n v="0"/>
    <n v="0"/>
    <n v="0"/>
    <x v="1"/>
    <x v="1"/>
    <n v="1"/>
  </r>
  <r>
    <n v="98571400000000"/>
    <x v="1"/>
    <x v="81"/>
    <x v="5"/>
    <s v="GOIABEIRAS"/>
    <d v="2016-05-02T00:00:00"/>
    <d v="2016-05-02T00:00:00"/>
    <x v="2"/>
    <x v="94"/>
    <x v="5"/>
    <n v="0"/>
    <x v="1"/>
    <n v="0"/>
    <n v="0"/>
    <n v="0"/>
    <x v="1"/>
    <x v="0"/>
    <n v="0"/>
  </r>
  <r>
    <n v="84171700000000"/>
    <x v="0"/>
    <x v="56"/>
    <x v="1"/>
    <s v="BOA VISTA"/>
    <d v="2016-05-02T00:00:00"/>
    <d v="2016-05-04T00:00:00"/>
    <x v="1"/>
    <x v="91"/>
    <x v="4"/>
    <n v="0"/>
    <x v="0"/>
    <n v="1"/>
    <n v="0"/>
    <n v="0"/>
    <x v="1"/>
    <x v="0"/>
    <n v="0"/>
  </r>
  <r>
    <n v="17893800000000"/>
    <x v="1"/>
    <x v="56"/>
    <x v="1"/>
    <s v="CRUZAMENTO"/>
    <d v="2016-05-02T00:00:00"/>
    <d v="2016-05-09T00:00:00"/>
    <x v="2"/>
    <x v="87"/>
    <x v="3"/>
    <n v="0"/>
    <x v="1"/>
    <n v="0"/>
    <n v="0"/>
    <n v="0"/>
    <x v="1"/>
    <x v="1"/>
    <n v="1"/>
  </r>
  <r>
    <n v="31617800000000"/>
    <x v="0"/>
    <x v="67"/>
    <x v="4"/>
    <s v="MARUIPE"/>
    <d v="2016-05-02T00:00:00"/>
    <d v="2016-05-02T00:00:00"/>
    <x v="2"/>
    <x v="94"/>
    <x v="5"/>
    <n v="0"/>
    <x v="1"/>
    <n v="0"/>
    <n v="0"/>
    <n v="0"/>
    <x v="1"/>
    <x v="0"/>
    <n v="0"/>
  </r>
  <r>
    <n v="82769000000000"/>
    <x v="1"/>
    <x v="80"/>
    <x v="2"/>
    <s v="JOANA D ARC"/>
    <d v="2016-05-02T00:00:00"/>
    <d v="2016-05-02T00:00:00"/>
    <x v="2"/>
    <x v="94"/>
    <x v="5"/>
    <n v="1"/>
    <x v="1"/>
    <n v="0"/>
    <n v="0"/>
    <n v="0"/>
    <x v="1"/>
    <x v="0"/>
    <n v="0"/>
  </r>
  <r>
    <n v="58818100000000"/>
    <x v="1"/>
    <x v="80"/>
    <x v="2"/>
    <s v="ANDORINHAS"/>
    <d v="2016-05-02T00:00:00"/>
    <d v="2016-05-02T00:00:00"/>
    <x v="2"/>
    <x v="94"/>
    <x v="5"/>
    <n v="0"/>
    <x v="1"/>
    <n v="0"/>
    <n v="0"/>
    <n v="0"/>
    <x v="1"/>
    <x v="0"/>
    <n v="0"/>
  </r>
  <r>
    <n v="7322190000000"/>
    <x v="0"/>
    <x v="20"/>
    <x v="0"/>
    <s v="CENTRO"/>
    <d v="2016-05-02T00:00:00"/>
    <d v="2016-05-02T00:00:00"/>
    <x v="2"/>
    <x v="94"/>
    <x v="5"/>
    <n v="0"/>
    <x v="1"/>
    <n v="0"/>
    <n v="0"/>
    <n v="0"/>
    <x v="1"/>
    <x v="0"/>
    <n v="0"/>
  </r>
  <r>
    <n v="4755690000000"/>
    <x v="1"/>
    <x v="43"/>
    <x v="2"/>
    <s v="TABUAZEIRO"/>
    <d v="2016-05-02T00:00:00"/>
    <d v="2016-05-02T00:00:00"/>
    <x v="2"/>
    <x v="94"/>
    <x v="5"/>
    <n v="0"/>
    <x v="1"/>
    <n v="0"/>
    <n v="0"/>
    <n v="0"/>
    <x v="1"/>
    <x v="0"/>
    <n v="0"/>
  </r>
  <r>
    <n v="77619700000000"/>
    <x v="0"/>
    <x v="24"/>
    <x v="1"/>
    <s v="RESISTENCIA"/>
    <d v="2016-05-02T00:00:00"/>
    <d v="2016-05-02T00:00:00"/>
    <x v="2"/>
    <x v="94"/>
    <x v="5"/>
    <n v="0"/>
    <x v="0"/>
    <n v="0"/>
    <n v="0"/>
    <n v="0"/>
    <x v="1"/>
    <x v="0"/>
    <n v="0"/>
  </r>
  <r>
    <n v="99685900000000"/>
    <x v="0"/>
    <x v="63"/>
    <x v="0"/>
    <s v="JARDIM CAMBURI"/>
    <d v="2016-05-02T00:00:00"/>
    <d v="2016-05-02T00:00:00"/>
    <x v="2"/>
    <x v="94"/>
    <x v="5"/>
    <n v="0"/>
    <x v="1"/>
    <n v="0"/>
    <n v="0"/>
    <n v="0"/>
    <x v="1"/>
    <x v="0"/>
    <n v="0"/>
  </r>
  <r>
    <n v="16992900000000"/>
    <x v="0"/>
    <x v="57"/>
    <x v="2"/>
    <s v="RESISTENCIA"/>
    <d v="2016-05-02T00:00:00"/>
    <d v="2016-05-02T00:00:00"/>
    <x v="2"/>
    <x v="94"/>
    <x v="5"/>
    <n v="0"/>
    <x v="1"/>
    <n v="0"/>
    <n v="0"/>
    <n v="0"/>
    <x v="1"/>
    <x v="0"/>
    <n v="0"/>
  </r>
  <r>
    <n v="36629000000000"/>
    <x v="0"/>
    <x v="62"/>
    <x v="3"/>
    <s v="BONFIM"/>
    <d v="2016-05-02T00:00:00"/>
    <d v="2016-05-04T00:00:00"/>
    <x v="1"/>
    <x v="91"/>
    <x v="4"/>
    <n v="0"/>
    <x v="1"/>
    <n v="0"/>
    <n v="0"/>
    <n v="0"/>
    <x v="1"/>
    <x v="0"/>
    <n v="0"/>
  </r>
  <r>
    <n v="19199000000000"/>
    <x v="0"/>
    <x v="49"/>
    <x v="4"/>
    <s v="ROMAO"/>
    <d v="2016-05-02T00:00:00"/>
    <d v="2016-05-06T00:00:00"/>
    <x v="0"/>
    <x v="86"/>
    <x v="3"/>
    <n v="0"/>
    <x v="1"/>
    <n v="0"/>
    <n v="0"/>
    <n v="0"/>
    <x v="0"/>
    <x v="0"/>
    <n v="0"/>
  </r>
  <r>
    <n v="26356187571"/>
    <x v="0"/>
    <x v="54"/>
    <x v="1"/>
    <s v="PRAIA DO SUA"/>
    <d v="2016-05-02T00:00:00"/>
    <d v="2016-05-02T00:00:00"/>
    <x v="2"/>
    <x v="94"/>
    <x v="5"/>
    <n v="1"/>
    <x v="1"/>
    <n v="0"/>
    <n v="0"/>
    <n v="0"/>
    <x v="1"/>
    <x v="0"/>
    <n v="0"/>
  </r>
  <r>
    <n v="856233000000000"/>
    <x v="1"/>
    <x v="57"/>
    <x v="2"/>
    <s v="RESISTENCIA"/>
    <d v="2016-05-02T00:00:00"/>
    <d v="2016-05-02T00:00:00"/>
    <x v="2"/>
    <x v="94"/>
    <x v="5"/>
    <n v="0"/>
    <x v="1"/>
    <n v="0"/>
    <n v="0"/>
    <n v="0"/>
    <x v="1"/>
    <x v="0"/>
    <n v="0"/>
  </r>
  <r>
    <n v="3295310000000"/>
    <x v="0"/>
    <x v="50"/>
    <x v="1"/>
    <s v="SAO BENEDITO"/>
    <d v="2016-05-02T00:00:00"/>
    <d v="2016-05-25T00:00:00"/>
    <x v="1"/>
    <x v="67"/>
    <x v="1"/>
    <n v="1"/>
    <x v="1"/>
    <n v="0"/>
    <n v="0"/>
    <n v="0"/>
    <x v="0"/>
    <x v="0"/>
    <n v="0"/>
  </r>
  <r>
    <n v="7254160000000"/>
    <x v="1"/>
    <x v="2"/>
    <x v="1"/>
    <s v="NOVA PALESTINA"/>
    <d v="2016-05-02T00:00:00"/>
    <d v="2016-05-02T00:00:00"/>
    <x v="2"/>
    <x v="94"/>
    <x v="5"/>
    <n v="0"/>
    <x v="1"/>
    <n v="0"/>
    <n v="0"/>
    <n v="0"/>
    <x v="1"/>
    <x v="0"/>
    <n v="0"/>
  </r>
  <r>
    <n v="3295310000000"/>
    <x v="0"/>
    <x v="50"/>
    <x v="1"/>
    <s v="SAO BENEDITO"/>
    <d v="2016-05-02T00:00:00"/>
    <d v="2016-05-12T00:00:00"/>
    <x v="3"/>
    <x v="83"/>
    <x v="2"/>
    <n v="1"/>
    <x v="1"/>
    <n v="0"/>
    <n v="0"/>
    <n v="0"/>
    <x v="0"/>
    <x v="1"/>
    <n v="1"/>
  </r>
  <r>
    <n v="3566840000000"/>
    <x v="0"/>
    <x v="2"/>
    <x v="1"/>
    <s v="DA PENHA"/>
    <d v="2016-05-02T00:00:00"/>
    <d v="2016-05-02T00:00:00"/>
    <x v="2"/>
    <x v="94"/>
    <x v="5"/>
    <n v="1"/>
    <x v="1"/>
    <n v="0"/>
    <n v="0"/>
    <n v="0"/>
    <x v="1"/>
    <x v="0"/>
    <n v="0"/>
  </r>
  <r>
    <n v="795748000000000"/>
    <x v="1"/>
    <x v="44"/>
    <x v="4"/>
    <s v="SANTOS DUMONT"/>
    <d v="2016-05-02T00:00:00"/>
    <d v="2016-05-16T00:00:00"/>
    <x v="2"/>
    <x v="80"/>
    <x v="2"/>
    <n v="0"/>
    <x v="1"/>
    <n v="0"/>
    <n v="0"/>
    <n v="0"/>
    <x v="1"/>
    <x v="0"/>
    <n v="0"/>
  </r>
  <r>
    <n v="364297000000"/>
    <x v="0"/>
    <x v="47"/>
    <x v="4"/>
    <s v="NOVA PALESTINA"/>
    <d v="2016-05-02T00:00:00"/>
    <d v="2016-05-02T00:00:00"/>
    <x v="2"/>
    <x v="94"/>
    <x v="5"/>
    <n v="0"/>
    <x v="1"/>
    <n v="0"/>
    <n v="0"/>
    <n v="0"/>
    <x v="1"/>
    <x v="0"/>
    <n v="0"/>
  </r>
  <r>
    <n v="8223850000000"/>
    <x v="0"/>
    <x v="18"/>
    <x v="0"/>
    <s v="ITARARE"/>
    <d v="2016-05-02T00:00:00"/>
    <d v="2016-05-02T00:00:00"/>
    <x v="2"/>
    <x v="94"/>
    <x v="5"/>
    <n v="0"/>
    <x v="0"/>
    <n v="0"/>
    <n v="0"/>
    <n v="0"/>
    <x v="1"/>
    <x v="0"/>
    <n v="0"/>
  </r>
  <r>
    <n v="7334250000000"/>
    <x v="0"/>
    <x v="17"/>
    <x v="4"/>
    <s v="CENTRO"/>
    <d v="2016-05-02T00:00:00"/>
    <d v="2016-05-31T00:00:00"/>
    <x v="4"/>
    <x v="63"/>
    <x v="1"/>
    <n v="1"/>
    <x v="1"/>
    <n v="0"/>
    <n v="0"/>
    <n v="0"/>
    <x v="0"/>
    <x v="0"/>
    <n v="0"/>
  </r>
  <r>
    <n v="9699760000000"/>
    <x v="0"/>
    <x v="46"/>
    <x v="2"/>
    <s v="JESUS DE NAZARETH"/>
    <d v="2016-05-02T00:00:00"/>
    <d v="2016-05-02T00:00:00"/>
    <x v="2"/>
    <x v="94"/>
    <x v="5"/>
    <n v="0"/>
    <x v="1"/>
    <n v="0"/>
    <n v="0"/>
    <n v="0"/>
    <x v="1"/>
    <x v="0"/>
    <n v="0"/>
  </r>
  <r>
    <n v="839797000000"/>
    <x v="0"/>
    <x v="73"/>
    <x v="4"/>
    <s v="SAO JOSE"/>
    <d v="2016-05-02T00:00:00"/>
    <d v="2016-05-31T00:00:00"/>
    <x v="4"/>
    <x v="63"/>
    <x v="1"/>
    <n v="1"/>
    <x v="1"/>
    <n v="0"/>
    <n v="0"/>
    <n v="0"/>
    <x v="0"/>
    <x v="0"/>
    <n v="0"/>
  </r>
  <r>
    <n v="33618400000000"/>
    <x v="1"/>
    <x v="5"/>
    <x v="1"/>
    <s v="ITARARE"/>
    <d v="2016-05-02T00:00:00"/>
    <d v="2016-05-02T00:00:00"/>
    <x v="2"/>
    <x v="94"/>
    <x v="5"/>
    <n v="0"/>
    <x v="1"/>
    <n v="0"/>
    <n v="0"/>
    <n v="0"/>
    <x v="1"/>
    <x v="0"/>
    <n v="0"/>
  </r>
  <r>
    <n v="91837400000000"/>
    <x v="1"/>
    <x v="24"/>
    <x v="1"/>
    <s v="NOVA PALESTINA"/>
    <d v="2016-05-02T00:00:00"/>
    <d v="2016-05-02T00:00:00"/>
    <x v="2"/>
    <x v="94"/>
    <x v="5"/>
    <n v="0"/>
    <x v="1"/>
    <n v="0"/>
    <n v="1"/>
    <n v="0"/>
    <x v="1"/>
    <x v="0"/>
    <n v="0"/>
  </r>
  <r>
    <n v="369158000000000"/>
    <x v="0"/>
    <x v="81"/>
    <x v="5"/>
    <s v="BENTO FERREIRA"/>
    <d v="2016-05-02T00:00:00"/>
    <d v="2016-05-02T00:00:00"/>
    <x v="2"/>
    <x v="94"/>
    <x v="5"/>
    <n v="0"/>
    <x v="1"/>
    <n v="0"/>
    <n v="0"/>
    <n v="0"/>
    <x v="1"/>
    <x v="0"/>
    <n v="0"/>
  </r>
  <r>
    <n v="266956000000000"/>
    <x v="0"/>
    <x v="80"/>
    <x v="2"/>
    <s v="CONQUISTA"/>
    <d v="2016-05-02T00:00:00"/>
    <d v="2016-05-02T00:00:00"/>
    <x v="2"/>
    <x v="94"/>
    <x v="5"/>
    <n v="0"/>
    <x v="1"/>
    <n v="0"/>
    <n v="0"/>
    <n v="0"/>
    <x v="1"/>
    <x v="0"/>
    <n v="0"/>
  </r>
  <r>
    <n v="17979800000000"/>
    <x v="0"/>
    <x v="5"/>
    <x v="1"/>
    <s v="PRAIA DO CANTO"/>
    <d v="2016-05-02T00:00:00"/>
    <d v="2016-05-16T00:00:00"/>
    <x v="2"/>
    <x v="80"/>
    <x v="2"/>
    <n v="0"/>
    <x v="1"/>
    <n v="0"/>
    <n v="0"/>
    <n v="0"/>
    <x v="1"/>
    <x v="0"/>
    <n v="0"/>
  </r>
  <r>
    <n v="71219300000000"/>
    <x v="0"/>
    <x v="21"/>
    <x v="1"/>
    <s v="SAO CRISTOVAO"/>
    <d v="2016-05-02T00:00:00"/>
    <d v="2016-05-02T00:00:00"/>
    <x v="2"/>
    <x v="94"/>
    <x v="5"/>
    <n v="0"/>
    <x v="0"/>
    <n v="0"/>
    <n v="0"/>
    <n v="0"/>
    <x v="1"/>
    <x v="0"/>
    <n v="0"/>
  </r>
  <r>
    <n v="41178600000000"/>
    <x v="0"/>
    <x v="42"/>
    <x v="3"/>
    <s v="PRAIA DO CANTO"/>
    <d v="2016-05-02T00:00:00"/>
    <d v="2016-05-04T00:00:00"/>
    <x v="1"/>
    <x v="91"/>
    <x v="4"/>
    <n v="0"/>
    <x v="1"/>
    <n v="0"/>
    <n v="0"/>
    <n v="0"/>
    <x v="1"/>
    <x v="1"/>
    <n v="1"/>
  </r>
  <r>
    <n v="9185960000000"/>
    <x v="0"/>
    <x v="17"/>
    <x v="4"/>
    <s v="DA PENHA"/>
    <d v="2016-05-02T00:00:00"/>
    <d v="2016-05-02T00:00:00"/>
    <x v="2"/>
    <x v="94"/>
    <x v="5"/>
    <n v="0"/>
    <x v="1"/>
    <n v="0"/>
    <n v="0"/>
    <n v="0"/>
    <x v="1"/>
    <x v="0"/>
    <n v="0"/>
  </r>
  <r>
    <n v="41799300000000"/>
    <x v="1"/>
    <x v="52"/>
    <x v="2"/>
    <s v="NOVA PALESTINA"/>
    <d v="2016-05-02T00:00:00"/>
    <d v="2016-05-02T00:00:00"/>
    <x v="2"/>
    <x v="94"/>
    <x v="5"/>
    <n v="0"/>
    <x v="1"/>
    <n v="0"/>
    <n v="0"/>
    <n v="0"/>
    <x v="1"/>
    <x v="0"/>
    <n v="0"/>
  </r>
  <r>
    <n v="768211000000000"/>
    <x v="1"/>
    <x v="4"/>
    <x v="2"/>
    <s v="ROMAO"/>
    <d v="2016-05-02T00:00:00"/>
    <d v="2016-05-02T00:00:00"/>
    <x v="2"/>
    <x v="94"/>
    <x v="5"/>
    <n v="0"/>
    <x v="1"/>
    <n v="0"/>
    <n v="0"/>
    <n v="0"/>
    <x v="1"/>
    <x v="0"/>
    <n v="0"/>
  </r>
  <r>
    <n v="56818000000000"/>
    <x v="0"/>
    <x v="54"/>
    <x v="1"/>
    <s v="CRUZAMENTO"/>
    <d v="2016-05-02T00:00:00"/>
    <d v="2016-05-02T00:00:00"/>
    <x v="2"/>
    <x v="94"/>
    <x v="5"/>
    <n v="0"/>
    <x v="1"/>
    <n v="0"/>
    <n v="0"/>
    <n v="0"/>
    <x v="1"/>
    <x v="0"/>
    <n v="0"/>
  </r>
  <r>
    <n v="542427000000"/>
    <x v="0"/>
    <x v="60"/>
    <x v="2"/>
    <s v="SANTA MARTHA"/>
    <d v="2016-05-02T00:00:00"/>
    <d v="2016-05-02T00:00:00"/>
    <x v="2"/>
    <x v="94"/>
    <x v="5"/>
    <n v="0"/>
    <x v="1"/>
    <n v="0"/>
    <n v="0"/>
    <n v="0"/>
    <x v="1"/>
    <x v="0"/>
    <n v="0"/>
  </r>
  <r>
    <n v="52765200000000"/>
    <x v="0"/>
    <x v="64"/>
    <x v="3"/>
    <s v="JARDIM CAMBURI"/>
    <d v="2016-05-02T00:00:00"/>
    <d v="2016-05-17T00:00:00"/>
    <x v="4"/>
    <x v="79"/>
    <x v="1"/>
    <n v="0"/>
    <x v="1"/>
    <n v="0"/>
    <n v="0"/>
    <n v="0"/>
    <x v="1"/>
    <x v="0"/>
    <n v="0"/>
  </r>
  <r>
    <n v="552332000000000"/>
    <x v="1"/>
    <x v="17"/>
    <x v="4"/>
    <s v="RESISTENCIA"/>
    <d v="2016-05-02T00:00:00"/>
    <d v="2016-05-02T00:00:00"/>
    <x v="2"/>
    <x v="94"/>
    <x v="5"/>
    <n v="0"/>
    <x v="1"/>
    <n v="0"/>
    <n v="0"/>
    <n v="0"/>
    <x v="1"/>
    <x v="0"/>
    <n v="0"/>
  </r>
  <r>
    <n v="989386000000000"/>
    <x v="0"/>
    <x v="59"/>
    <x v="2"/>
    <s v="CONQUISTA"/>
    <d v="2016-05-02T00:00:00"/>
    <d v="2016-05-02T00:00:00"/>
    <x v="2"/>
    <x v="94"/>
    <x v="5"/>
    <n v="0"/>
    <x v="1"/>
    <n v="0"/>
    <n v="0"/>
    <n v="0"/>
    <x v="1"/>
    <x v="0"/>
    <n v="0"/>
  </r>
  <r>
    <n v="18276800000000"/>
    <x v="1"/>
    <x v="4"/>
    <x v="2"/>
    <s v="SAO BENEDITO"/>
    <d v="2016-05-02T00:00:00"/>
    <d v="2016-05-02T00:00:00"/>
    <x v="2"/>
    <x v="94"/>
    <x v="5"/>
    <n v="1"/>
    <x v="1"/>
    <n v="0"/>
    <n v="0"/>
    <n v="0"/>
    <x v="1"/>
    <x v="0"/>
    <n v="0"/>
  </r>
  <r>
    <n v="9486570000000"/>
    <x v="0"/>
    <x v="59"/>
    <x v="2"/>
    <s v="REDENCAO"/>
    <d v="2016-05-02T00:00:00"/>
    <d v="2016-05-02T00:00:00"/>
    <x v="2"/>
    <x v="94"/>
    <x v="5"/>
    <n v="0"/>
    <x v="1"/>
    <n v="0"/>
    <n v="0"/>
    <n v="0"/>
    <x v="1"/>
    <x v="0"/>
    <n v="0"/>
  </r>
  <r>
    <n v="6122220000000"/>
    <x v="0"/>
    <x v="22"/>
    <x v="4"/>
    <s v="SANTA MARTHA"/>
    <d v="2016-05-02T00:00:00"/>
    <d v="2016-05-05T00:00:00"/>
    <x v="3"/>
    <x v="89"/>
    <x v="4"/>
    <n v="0"/>
    <x v="1"/>
    <n v="0"/>
    <n v="0"/>
    <n v="0"/>
    <x v="1"/>
    <x v="0"/>
    <n v="0"/>
  </r>
  <r>
    <n v="69765200000000"/>
    <x v="1"/>
    <x v="50"/>
    <x v="1"/>
    <s v="PRAIA DO CANTO"/>
    <d v="2016-05-02T00:00:00"/>
    <d v="2016-05-02T00:00:00"/>
    <x v="2"/>
    <x v="94"/>
    <x v="5"/>
    <n v="0"/>
    <x v="1"/>
    <n v="0"/>
    <n v="0"/>
    <n v="0"/>
    <x v="1"/>
    <x v="0"/>
    <n v="0"/>
  </r>
  <r>
    <n v="89473100000000"/>
    <x v="1"/>
    <x v="74"/>
    <x v="1"/>
    <s v="NOVA PALESTINA"/>
    <d v="2016-05-02T00:00:00"/>
    <d v="2016-05-02T00:00:00"/>
    <x v="2"/>
    <x v="94"/>
    <x v="5"/>
    <n v="0"/>
    <x v="0"/>
    <n v="0"/>
    <n v="0"/>
    <n v="0"/>
    <x v="1"/>
    <x v="0"/>
    <n v="0"/>
  </r>
  <r>
    <n v="24545900000000"/>
    <x v="0"/>
    <x v="68"/>
    <x v="4"/>
    <s v="BELA VISTA"/>
    <d v="2016-05-02T00:00:00"/>
    <d v="2016-05-02T00:00:00"/>
    <x v="2"/>
    <x v="94"/>
    <x v="5"/>
    <n v="0"/>
    <x v="1"/>
    <n v="0"/>
    <n v="0"/>
    <n v="0"/>
    <x v="1"/>
    <x v="0"/>
    <n v="0"/>
  </r>
  <r>
    <n v="498419000000"/>
    <x v="0"/>
    <x v="38"/>
    <x v="4"/>
    <s v="SAO JOSE"/>
    <d v="2016-05-02T00:00:00"/>
    <d v="2016-05-31T00:00:00"/>
    <x v="4"/>
    <x v="63"/>
    <x v="1"/>
    <n v="1"/>
    <x v="1"/>
    <n v="0"/>
    <n v="0"/>
    <n v="0"/>
    <x v="0"/>
    <x v="0"/>
    <n v="0"/>
  </r>
  <r>
    <n v="32698500000000"/>
    <x v="1"/>
    <x v="21"/>
    <x v="1"/>
    <s v="BELA VISTA"/>
    <d v="2016-05-02T00:00:00"/>
    <d v="2016-05-30T00:00:00"/>
    <x v="2"/>
    <x v="64"/>
    <x v="1"/>
    <n v="0"/>
    <x v="0"/>
    <n v="0"/>
    <n v="0"/>
    <n v="0"/>
    <x v="1"/>
    <x v="0"/>
    <n v="0"/>
  </r>
  <r>
    <n v="787697000000000"/>
    <x v="0"/>
    <x v="50"/>
    <x v="1"/>
    <s v="JOANA D ARC"/>
    <d v="2016-05-02T00:00:00"/>
    <d v="2016-05-16T00:00:00"/>
    <x v="2"/>
    <x v="80"/>
    <x v="2"/>
    <n v="0"/>
    <x v="1"/>
    <n v="0"/>
    <n v="0"/>
    <n v="0"/>
    <x v="1"/>
    <x v="0"/>
    <n v="0"/>
  </r>
  <r>
    <n v="69979500000000"/>
    <x v="0"/>
    <x v="39"/>
    <x v="4"/>
    <s v="GURIGICA"/>
    <d v="2016-05-02T00:00:00"/>
    <d v="2016-05-02T00:00:00"/>
    <x v="2"/>
    <x v="94"/>
    <x v="5"/>
    <n v="0"/>
    <x v="0"/>
    <n v="0"/>
    <n v="0"/>
    <n v="0"/>
    <x v="1"/>
    <x v="0"/>
    <n v="0"/>
  </r>
  <r>
    <n v="775164000000000"/>
    <x v="0"/>
    <x v="26"/>
    <x v="0"/>
    <s v="SAO JOSE"/>
    <d v="2016-05-02T00:00:00"/>
    <d v="2016-05-02T00:00:00"/>
    <x v="2"/>
    <x v="94"/>
    <x v="5"/>
    <n v="0"/>
    <x v="0"/>
    <n v="1"/>
    <n v="0"/>
    <n v="0"/>
    <x v="1"/>
    <x v="0"/>
    <n v="0"/>
  </r>
  <r>
    <n v="17232200000000"/>
    <x v="0"/>
    <x v="35"/>
    <x v="0"/>
    <s v="SANTA MARTHA"/>
    <d v="2016-05-02T00:00:00"/>
    <d v="2016-05-02T00:00:00"/>
    <x v="2"/>
    <x v="94"/>
    <x v="5"/>
    <n v="0"/>
    <x v="0"/>
    <n v="0"/>
    <n v="0"/>
    <n v="1"/>
    <x v="1"/>
    <x v="1"/>
    <n v="1"/>
  </r>
  <r>
    <n v="573173000000000"/>
    <x v="1"/>
    <x v="66"/>
    <x v="2"/>
    <s v="TABUAZEIRO"/>
    <d v="2016-05-02T00:00:00"/>
    <d v="2016-05-24T00:00:00"/>
    <x v="4"/>
    <x v="71"/>
    <x v="1"/>
    <n v="0"/>
    <x v="1"/>
    <n v="0"/>
    <n v="0"/>
    <n v="0"/>
    <x v="0"/>
    <x v="1"/>
    <n v="1"/>
  </r>
  <r>
    <n v="82235100000000"/>
    <x v="1"/>
    <x v="30"/>
    <x v="3"/>
    <s v="SAO CRISTOVAO"/>
    <d v="2016-05-02T00:00:00"/>
    <d v="2016-05-09T00:00:00"/>
    <x v="2"/>
    <x v="87"/>
    <x v="3"/>
    <n v="0"/>
    <x v="1"/>
    <n v="0"/>
    <n v="0"/>
    <n v="0"/>
    <x v="1"/>
    <x v="0"/>
    <n v="0"/>
  </r>
  <r>
    <n v="55227000000000"/>
    <x v="1"/>
    <x v="15"/>
    <x v="3"/>
    <s v="MARIA ORTIZ"/>
    <d v="2016-05-02T00:00:00"/>
    <d v="2016-05-09T00:00:00"/>
    <x v="2"/>
    <x v="87"/>
    <x v="3"/>
    <n v="0"/>
    <x v="1"/>
    <n v="0"/>
    <n v="0"/>
    <n v="0"/>
    <x v="1"/>
    <x v="0"/>
    <n v="0"/>
  </r>
  <r>
    <n v="8532230000000"/>
    <x v="0"/>
    <x v="5"/>
    <x v="1"/>
    <s v="SANTA MARTHA"/>
    <d v="2016-05-02T00:00:00"/>
    <d v="2016-05-30T00:00:00"/>
    <x v="2"/>
    <x v="64"/>
    <x v="1"/>
    <n v="1"/>
    <x v="1"/>
    <n v="0"/>
    <n v="0"/>
    <n v="0"/>
    <x v="0"/>
    <x v="1"/>
    <n v="1"/>
  </r>
  <r>
    <n v="748650000000"/>
    <x v="1"/>
    <x v="4"/>
    <x v="2"/>
    <s v="JOANA D ARC"/>
    <d v="2016-05-02T00:00:00"/>
    <d v="2016-05-25T00:00:00"/>
    <x v="1"/>
    <x v="67"/>
    <x v="1"/>
    <n v="0"/>
    <x v="1"/>
    <n v="0"/>
    <n v="0"/>
    <n v="0"/>
    <x v="0"/>
    <x v="0"/>
    <n v="0"/>
  </r>
  <r>
    <n v="462221000000000"/>
    <x v="0"/>
    <x v="41"/>
    <x v="4"/>
    <s v="PARQUE MOSCOSO"/>
    <d v="2016-05-02T00:00:00"/>
    <d v="2016-05-09T00:00:00"/>
    <x v="2"/>
    <x v="87"/>
    <x v="3"/>
    <n v="0"/>
    <x v="1"/>
    <n v="0"/>
    <n v="0"/>
    <n v="0"/>
    <x v="1"/>
    <x v="0"/>
    <n v="0"/>
  </r>
  <r>
    <n v="328864000000"/>
    <x v="0"/>
    <x v="21"/>
    <x v="1"/>
    <s v="JARDIM DA PENHA"/>
    <d v="2016-05-02T00:00:00"/>
    <d v="2016-05-17T00:00:00"/>
    <x v="4"/>
    <x v="79"/>
    <x v="1"/>
    <n v="0"/>
    <x v="1"/>
    <n v="0"/>
    <n v="0"/>
    <n v="0"/>
    <x v="1"/>
    <x v="0"/>
    <n v="0"/>
  </r>
  <r>
    <n v="367546000000"/>
    <x v="0"/>
    <x v="55"/>
    <x v="2"/>
    <s v="CARATOIRA"/>
    <d v="2016-05-02T00:00:00"/>
    <d v="2016-05-03T00:00:00"/>
    <x v="4"/>
    <x v="93"/>
    <x v="4"/>
    <n v="1"/>
    <x v="1"/>
    <n v="0"/>
    <n v="0"/>
    <n v="0"/>
    <x v="1"/>
    <x v="0"/>
    <n v="0"/>
  </r>
  <r>
    <n v="53632500000000"/>
    <x v="1"/>
    <x v="57"/>
    <x v="2"/>
    <s v="SANTA CLARA"/>
    <d v="2016-05-02T00:00:00"/>
    <d v="2016-05-02T00:00:00"/>
    <x v="2"/>
    <x v="94"/>
    <x v="5"/>
    <n v="0"/>
    <x v="1"/>
    <n v="0"/>
    <n v="0"/>
    <n v="0"/>
    <x v="1"/>
    <x v="0"/>
    <n v="0"/>
  </r>
  <r>
    <n v="279389000000"/>
    <x v="1"/>
    <x v="46"/>
    <x v="2"/>
    <s v="CARATOIRA"/>
    <d v="2016-05-02T00:00:00"/>
    <d v="2016-05-05T00:00:00"/>
    <x v="3"/>
    <x v="89"/>
    <x v="4"/>
    <n v="0"/>
    <x v="1"/>
    <n v="0"/>
    <n v="0"/>
    <n v="0"/>
    <x v="0"/>
    <x v="0"/>
    <n v="0"/>
  </r>
  <r>
    <n v="35594800000000"/>
    <x v="0"/>
    <x v="15"/>
    <x v="3"/>
    <s v="SAO PEDRO"/>
    <d v="2016-05-02T00:00:00"/>
    <d v="2016-05-17T00:00:00"/>
    <x v="4"/>
    <x v="79"/>
    <x v="1"/>
    <n v="0"/>
    <x v="1"/>
    <n v="0"/>
    <n v="0"/>
    <n v="0"/>
    <x v="1"/>
    <x v="0"/>
    <n v="0"/>
  </r>
  <r>
    <n v="628718000000000"/>
    <x v="0"/>
    <x v="48"/>
    <x v="3"/>
    <s v="MARIA ORTIZ"/>
    <d v="2016-05-02T00:00:00"/>
    <d v="2016-05-02T00:00:00"/>
    <x v="2"/>
    <x v="94"/>
    <x v="5"/>
    <n v="0"/>
    <x v="1"/>
    <n v="0"/>
    <n v="0"/>
    <n v="0"/>
    <x v="1"/>
    <x v="1"/>
    <n v="1"/>
  </r>
  <r>
    <n v="4276860000000"/>
    <x v="0"/>
    <x v="46"/>
    <x v="2"/>
    <s v="DE LOURDES"/>
    <d v="2016-05-02T00:00:00"/>
    <d v="2016-05-16T00:00:00"/>
    <x v="2"/>
    <x v="80"/>
    <x v="2"/>
    <n v="0"/>
    <x v="1"/>
    <n v="0"/>
    <n v="0"/>
    <n v="0"/>
    <x v="1"/>
    <x v="0"/>
    <n v="0"/>
  </r>
  <r>
    <n v="7173960000000"/>
    <x v="1"/>
    <x v="75"/>
    <x v="5"/>
    <s v="ANDORINHAS"/>
    <d v="2016-05-02T00:00:00"/>
    <d v="2016-05-09T00:00:00"/>
    <x v="2"/>
    <x v="87"/>
    <x v="3"/>
    <n v="0"/>
    <x v="1"/>
    <n v="0"/>
    <n v="0"/>
    <n v="0"/>
    <x v="1"/>
    <x v="0"/>
    <n v="0"/>
  </r>
  <r>
    <n v="84564200000000"/>
    <x v="1"/>
    <x v="59"/>
    <x v="2"/>
    <s v="ILHA DO PRINCIPE"/>
    <d v="2016-05-02T00:00:00"/>
    <d v="2016-05-02T00:00:00"/>
    <x v="2"/>
    <x v="94"/>
    <x v="5"/>
    <n v="1"/>
    <x v="1"/>
    <n v="0"/>
    <n v="0"/>
    <n v="0"/>
    <x v="1"/>
    <x v="0"/>
    <n v="0"/>
  </r>
  <r>
    <n v="67548400000000"/>
    <x v="0"/>
    <x v="1"/>
    <x v="0"/>
    <s v="TABUAZEIRO"/>
    <d v="2016-05-02T00:00:00"/>
    <d v="2016-06-06T00:00:00"/>
    <x v="2"/>
    <x v="59"/>
    <x v="0"/>
    <n v="0"/>
    <x v="0"/>
    <n v="1"/>
    <n v="0"/>
    <n v="0"/>
    <x v="0"/>
    <x v="0"/>
    <n v="0"/>
  </r>
  <r>
    <n v="254163000000000"/>
    <x v="0"/>
    <x v="92"/>
    <x v="0"/>
    <s v="MARIA ORTIZ"/>
    <d v="2016-05-02T00:00:00"/>
    <d v="2016-05-10T00:00:00"/>
    <x v="4"/>
    <x v="88"/>
    <x v="2"/>
    <n v="0"/>
    <x v="1"/>
    <n v="0"/>
    <n v="0"/>
    <n v="0"/>
    <x v="0"/>
    <x v="0"/>
    <n v="0"/>
  </r>
  <r>
    <n v="3817680000000"/>
    <x v="0"/>
    <x v="88"/>
    <x v="0"/>
    <s v="JARDIM CAMBURI"/>
    <d v="2016-05-02T00:00:00"/>
    <d v="2016-05-02T00:00:00"/>
    <x v="2"/>
    <x v="94"/>
    <x v="5"/>
    <n v="0"/>
    <x v="1"/>
    <n v="0"/>
    <n v="0"/>
    <n v="0"/>
    <x v="1"/>
    <x v="0"/>
    <n v="0"/>
  </r>
  <r>
    <n v="83297400000000"/>
    <x v="0"/>
    <x v="47"/>
    <x v="4"/>
    <s v="PRAIA DO SUA"/>
    <d v="2016-05-02T00:00:00"/>
    <d v="2016-05-20T00:00:00"/>
    <x v="0"/>
    <x v="74"/>
    <x v="1"/>
    <n v="1"/>
    <x v="1"/>
    <n v="0"/>
    <n v="0"/>
    <n v="0"/>
    <x v="1"/>
    <x v="1"/>
    <n v="1"/>
  </r>
  <r>
    <n v="915397000000000"/>
    <x v="0"/>
    <x v="50"/>
    <x v="1"/>
    <s v="SANTA MARTHA"/>
    <d v="2016-05-02T00:00:00"/>
    <d v="2016-05-02T00:00:00"/>
    <x v="2"/>
    <x v="94"/>
    <x v="5"/>
    <n v="1"/>
    <x v="1"/>
    <n v="0"/>
    <n v="0"/>
    <n v="0"/>
    <x v="1"/>
    <x v="0"/>
    <n v="0"/>
  </r>
  <r>
    <n v="68465500000000"/>
    <x v="0"/>
    <x v="45"/>
    <x v="1"/>
    <s v="REDENCAO"/>
    <d v="2016-05-02T00:00:00"/>
    <d v="2016-05-02T00:00:00"/>
    <x v="2"/>
    <x v="94"/>
    <x v="5"/>
    <n v="0"/>
    <x v="0"/>
    <n v="1"/>
    <n v="0"/>
    <n v="0"/>
    <x v="1"/>
    <x v="0"/>
    <n v="0"/>
  </r>
  <r>
    <n v="2839330000000"/>
    <x v="0"/>
    <x v="65"/>
    <x v="2"/>
    <s v="ESTRELINHA"/>
    <d v="2016-05-02T00:00:00"/>
    <d v="2016-05-02T00:00:00"/>
    <x v="2"/>
    <x v="94"/>
    <x v="5"/>
    <n v="0"/>
    <x v="1"/>
    <n v="0"/>
    <n v="0"/>
    <n v="0"/>
    <x v="1"/>
    <x v="0"/>
    <n v="0"/>
  </r>
  <r>
    <n v="58621700000000"/>
    <x v="0"/>
    <x v="38"/>
    <x v="4"/>
    <s v="NOVA PALESTINA"/>
    <d v="2016-05-02T00:00:00"/>
    <d v="2016-05-02T00:00:00"/>
    <x v="2"/>
    <x v="94"/>
    <x v="5"/>
    <n v="0"/>
    <x v="1"/>
    <n v="0"/>
    <n v="0"/>
    <n v="0"/>
    <x v="1"/>
    <x v="0"/>
    <n v="0"/>
  </r>
  <r>
    <n v="315792000000"/>
    <x v="1"/>
    <x v="52"/>
    <x v="2"/>
    <s v="GOIABEIRAS"/>
    <d v="2016-05-02T00:00:00"/>
    <d v="2016-05-02T00:00:00"/>
    <x v="2"/>
    <x v="94"/>
    <x v="5"/>
    <n v="0"/>
    <x v="1"/>
    <n v="0"/>
    <n v="0"/>
    <n v="0"/>
    <x v="1"/>
    <x v="0"/>
    <n v="0"/>
  </r>
  <r>
    <n v="55925500000000"/>
    <x v="1"/>
    <x v="47"/>
    <x v="4"/>
    <s v="ANDORINHAS"/>
    <d v="2016-05-02T00:00:00"/>
    <d v="2016-05-02T00:00:00"/>
    <x v="2"/>
    <x v="94"/>
    <x v="5"/>
    <n v="0"/>
    <x v="1"/>
    <n v="0"/>
    <n v="0"/>
    <n v="0"/>
    <x v="1"/>
    <x v="0"/>
    <n v="0"/>
  </r>
  <r>
    <n v="95228100000000"/>
    <x v="1"/>
    <x v="52"/>
    <x v="2"/>
    <s v="SANTO ANTONIO"/>
    <d v="2016-05-02T00:00:00"/>
    <d v="2016-05-02T00:00:00"/>
    <x v="2"/>
    <x v="94"/>
    <x v="5"/>
    <n v="0"/>
    <x v="1"/>
    <n v="0"/>
    <n v="0"/>
    <n v="0"/>
    <x v="1"/>
    <x v="0"/>
    <n v="0"/>
  </r>
  <r>
    <n v="329274000000000"/>
    <x v="0"/>
    <x v="50"/>
    <x v="1"/>
    <s v="DA PENHA"/>
    <d v="2016-05-02T00:00:00"/>
    <d v="2016-05-03T00:00:00"/>
    <x v="4"/>
    <x v="93"/>
    <x v="4"/>
    <n v="0"/>
    <x v="1"/>
    <n v="0"/>
    <n v="0"/>
    <n v="0"/>
    <x v="1"/>
    <x v="0"/>
    <n v="0"/>
  </r>
  <r>
    <n v="981726000000"/>
    <x v="1"/>
    <x v="14"/>
    <x v="3"/>
    <s v="VILA RUBIM"/>
    <d v="2016-05-02T00:00:00"/>
    <d v="2016-05-16T00:00:00"/>
    <x v="2"/>
    <x v="80"/>
    <x v="2"/>
    <n v="0"/>
    <x v="1"/>
    <n v="0"/>
    <n v="0"/>
    <n v="0"/>
    <x v="1"/>
    <x v="0"/>
    <n v="0"/>
  </r>
  <r>
    <n v="566597000000"/>
    <x v="0"/>
    <x v="30"/>
    <x v="3"/>
    <s v="VILA RUBIM"/>
    <d v="2016-05-02T00:00:00"/>
    <d v="2016-05-16T00:00:00"/>
    <x v="2"/>
    <x v="80"/>
    <x v="2"/>
    <n v="0"/>
    <x v="1"/>
    <n v="0"/>
    <n v="0"/>
    <n v="0"/>
    <x v="1"/>
    <x v="0"/>
    <n v="0"/>
  </r>
  <r>
    <n v="51877700000000"/>
    <x v="1"/>
    <x v="43"/>
    <x v="2"/>
    <s v="CONQUISTA"/>
    <d v="2016-05-02T00:00:00"/>
    <d v="2016-05-02T00:00:00"/>
    <x v="2"/>
    <x v="94"/>
    <x v="5"/>
    <n v="0"/>
    <x v="1"/>
    <n v="0"/>
    <n v="0"/>
    <n v="0"/>
    <x v="1"/>
    <x v="0"/>
    <n v="0"/>
  </r>
  <r>
    <n v="864695000000000"/>
    <x v="0"/>
    <x v="52"/>
    <x v="2"/>
    <s v="SANTA TEREZA"/>
    <d v="2016-05-02T00:00:00"/>
    <d v="2016-05-02T00:00:00"/>
    <x v="2"/>
    <x v="94"/>
    <x v="5"/>
    <n v="0"/>
    <x v="1"/>
    <n v="0"/>
    <n v="0"/>
    <n v="0"/>
    <x v="1"/>
    <x v="0"/>
    <n v="0"/>
  </r>
  <r>
    <n v="3721243543"/>
    <x v="1"/>
    <x v="23"/>
    <x v="3"/>
    <s v="SANTA CLARA"/>
    <d v="2016-05-02T00:00:00"/>
    <d v="2016-05-03T00:00:00"/>
    <x v="4"/>
    <x v="93"/>
    <x v="4"/>
    <n v="0"/>
    <x v="1"/>
    <n v="0"/>
    <n v="0"/>
    <n v="0"/>
    <x v="1"/>
    <x v="0"/>
    <n v="0"/>
  </r>
  <r>
    <n v="866517000000000"/>
    <x v="0"/>
    <x v="80"/>
    <x v="2"/>
    <s v="SANTOS DUMONT"/>
    <d v="2016-05-02T00:00:00"/>
    <d v="2016-05-18T00:00:00"/>
    <x v="1"/>
    <x v="78"/>
    <x v="1"/>
    <n v="0"/>
    <x v="1"/>
    <n v="0"/>
    <n v="0"/>
    <n v="0"/>
    <x v="1"/>
    <x v="1"/>
    <n v="1"/>
  </r>
  <r>
    <n v="16298300000000"/>
    <x v="1"/>
    <x v="52"/>
    <x v="2"/>
    <s v="REDENCAO"/>
    <d v="2016-05-02T00:00:00"/>
    <d v="2016-05-02T00:00:00"/>
    <x v="2"/>
    <x v="94"/>
    <x v="5"/>
    <n v="0"/>
    <x v="1"/>
    <n v="0"/>
    <n v="0"/>
    <n v="0"/>
    <x v="1"/>
    <x v="0"/>
    <n v="0"/>
  </r>
  <r>
    <n v="864698000000"/>
    <x v="0"/>
    <x v="81"/>
    <x v="5"/>
    <s v="MATA DA PRAIA"/>
    <d v="2016-05-02T00:00:00"/>
    <d v="2016-05-03T00:00:00"/>
    <x v="4"/>
    <x v="93"/>
    <x v="4"/>
    <n v="0"/>
    <x v="1"/>
    <n v="0"/>
    <n v="0"/>
    <n v="0"/>
    <x v="1"/>
    <x v="0"/>
    <n v="0"/>
  </r>
  <r>
    <n v="483748000000000"/>
    <x v="0"/>
    <x v="58"/>
    <x v="0"/>
    <s v="BONFIM"/>
    <d v="2016-05-02T00:00:00"/>
    <d v="2016-05-05T00:00:00"/>
    <x v="3"/>
    <x v="89"/>
    <x v="4"/>
    <n v="0"/>
    <x v="0"/>
    <n v="0"/>
    <n v="0"/>
    <n v="0"/>
    <x v="0"/>
    <x v="0"/>
    <n v="0"/>
  </r>
  <r>
    <n v="15169400000000"/>
    <x v="0"/>
    <x v="16"/>
    <x v="1"/>
    <s v="SAO PEDRO"/>
    <d v="2016-05-02T00:00:00"/>
    <d v="2016-05-02T00:00:00"/>
    <x v="2"/>
    <x v="94"/>
    <x v="5"/>
    <n v="0"/>
    <x v="1"/>
    <n v="0"/>
    <n v="0"/>
    <n v="0"/>
    <x v="1"/>
    <x v="0"/>
    <n v="0"/>
  </r>
  <r>
    <n v="987311000000"/>
    <x v="0"/>
    <x v="42"/>
    <x v="3"/>
    <s v="MARIA ORTIZ"/>
    <d v="2016-05-02T00:00:00"/>
    <d v="2016-05-05T00:00:00"/>
    <x v="3"/>
    <x v="89"/>
    <x v="4"/>
    <n v="0"/>
    <x v="1"/>
    <n v="0"/>
    <n v="0"/>
    <n v="0"/>
    <x v="0"/>
    <x v="0"/>
    <n v="0"/>
  </r>
  <r>
    <n v="36362133263"/>
    <x v="1"/>
    <x v="27"/>
    <x v="3"/>
    <s v="MARIA ORTIZ"/>
    <d v="2016-05-02T00:00:00"/>
    <d v="2016-05-03T00:00:00"/>
    <x v="4"/>
    <x v="93"/>
    <x v="4"/>
    <n v="0"/>
    <x v="1"/>
    <n v="0"/>
    <n v="0"/>
    <n v="0"/>
    <x v="1"/>
    <x v="0"/>
    <n v="0"/>
  </r>
  <r>
    <n v="1979670000000"/>
    <x v="0"/>
    <x v="72"/>
    <x v="5"/>
    <s v="PRAIA DO SUA"/>
    <d v="2016-05-02T00:00:00"/>
    <d v="2016-05-02T00:00:00"/>
    <x v="2"/>
    <x v="94"/>
    <x v="5"/>
    <n v="0"/>
    <x v="1"/>
    <n v="0"/>
    <n v="0"/>
    <n v="0"/>
    <x v="1"/>
    <x v="0"/>
    <n v="0"/>
  </r>
  <r>
    <n v="463856000000"/>
    <x v="1"/>
    <x v="46"/>
    <x v="2"/>
    <s v="NOVA PALESTINA"/>
    <d v="2016-05-02T00:00:00"/>
    <d v="2016-05-10T00:00:00"/>
    <x v="4"/>
    <x v="88"/>
    <x v="2"/>
    <n v="0"/>
    <x v="1"/>
    <n v="0"/>
    <n v="0"/>
    <n v="0"/>
    <x v="0"/>
    <x v="1"/>
    <n v="1"/>
  </r>
  <r>
    <n v="376414000000000"/>
    <x v="1"/>
    <x v="72"/>
    <x v="5"/>
    <s v="SANTO ANTONIO"/>
    <d v="2016-05-02T00:00:00"/>
    <d v="2016-05-02T00:00:00"/>
    <x v="2"/>
    <x v="94"/>
    <x v="5"/>
    <n v="1"/>
    <x v="1"/>
    <n v="0"/>
    <n v="0"/>
    <n v="0"/>
    <x v="1"/>
    <x v="0"/>
    <n v="0"/>
  </r>
  <r>
    <n v="54782200000000"/>
    <x v="0"/>
    <x v="84"/>
    <x v="1"/>
    <s v="MARIA ORTIZ"/>
    <d v="2016-05-02T00:00:00"/>
    <d v="2016-05-10T00:00:00"/>
    <x v="4"/>
    <x v="88"/>
    <x v="2"/>
    <n v="0"/>
    <x v="1"/>
    <n v="0"/>
    <n v="0"/>
    <n v="0"/>
    <x v="0"/>
    <x v="0"/>
    <n v="0"/>
  </r>
  <r>
    <n v="23581600000000"/>
    <x v="1"/>
    <x v="42"/>
    <x v="3"/>
    <s v="JESUS DE NAZARETH"/>
    <d v="2016-05-02T00:00:00"/>
    <d v="2016-05-02T00:00:00"/>
    <x v="2"/>
    <x v="94"/>
    <x v="5"/>
    <n v="0"/>
    <x v="1"/>
    <n v="0"/>
    <n v="1"/>
    <n v="0"/>
    <x v="1"/>
    <x v="0"/>
    <n v="0"/>
  </r>
  <r>
    <n v="8831790000000"/>
    <x v="1"/>
    <x v="91"/>
    <x v="0"/>
    <s v="ITARARE"/>
    <d v="2016-05-02T00:00:00"/>
    <d v="2016-05-03T00:00:00"/>
    <x v="4"/>
    <x v="93"/>
    <x v="4"/>
    <n v="0"/>
    <x v="0"/>
    <n v="0"/>
    <n v="0"/>
    <n v="0"/>
    <x v="1"/>
    <x v="0"/>
    <n v="0"/>
  </r>
  <r>
    <n v="69237700000000"/>
    <x v="0"/>
    <x v="50"/>
    <x v="1"/>
    <s v="MARIA ORTIZ"/>
    <d v="2016-05-02T00:00:00"/>
    <d v="2016-05-03T00:00:00"/>
    <x v="4"/>
    <x v="93"/>
    <x v="4"/>
    <n v="0"/>
    <x v="1"/>
    <n v="0"/>
    <n v="0"/>
    <n v="0"/>
    <x v="1"/>
    <x v="0"/>
    <n v="0"/>
  </r>
  <r>
    <n v="26723400000000"/>
    <x v="1"/>
    <x v="46"/>
    <x v="2"/>
    <s v="CONQUISTA"/>
    <d v="2016-05-02T00:00:00"/>
    <d v="2016-05-02T00:00:00"/>
    <x v="2"/>
    <x v="94"/>
    <x v="5"/>
    <n v="0"/>
    <x v="1"/>
    <n v="0"/>
    <n v="0"/>
    <n v="0"/>
    <x v="1"/>
    <x v="0"/>
    <n v="0"/>
  </r>
  <r>
    <n v="6122250000000"/>
    <x v="0"/>
    <x v="64"/>
    <x v="3"/>
    <s v="SANTA TEREZA"/>
    <d v="2016-05-02T00:00:00"/>
    <d v="2016-05-02T00:00:00"/>
    <x v="2"/>
    <x v="94"/>
    <x v="5"/>
    <n v="0"/>
    <x v="1"/>
    <n v="0"/>
    <n v="0"/>
    <n v="0"/>
    <x v="1"/>
    <x v="0"/>
    <n v="0"/>
  </r>
  <r>
    <n v="684640000000000"/>
    <x v="0"/>
    <x v="56"/>
    <x v="1"/>
    <s v="DO CABRAL"/>
    <d v="2016-05-02T00:00:00"/>
    <d v="2016-05-02T00:00:00"/>
    <x v="2"/>
    <x v="94"/>
    <x v="5"/>
    <n v="0"/>
    <x v="1"/>
    <n v="0"/>
    <n v="0"/>
    <n v="0"/>
    <x v="1"/>
    <x v="0"/>
    <n v="0"/>
  </r>
  <r>
    <n v="3757320000000"/>
    <x v="0"/>
    <x v="0"/>
    <x v="0"/>
    <s v="JARDIM CAMBURI"/>
    <d v="2016-05-02T00:00:00"/>
    <d v="2016-05-04T00:00:00"/>
    <x v="1"/>
    <x v="91"/>
    <x v="4"/>
    <n v="0"/>
    <x v="1"/>
    <n v="0"/>
    <n v="0"/>
    <n v="0"/>
    <x v="1"/>
    <x v="0"/>
    <n v="0"/>
  </r>
  <r>
    <n v="217366000000000"/>
    <x v="1"/>
    <x v="81"/>
    <x v="5"/>
    <s v="FORTE SAO JOAO"/>
    <d v="2016-05-02T00:00:00"/>
    <d v="2016-05-03T00:00:00"/>
    <x v="4"/>
    <x v="93"/>
    <x v="4"/>
    <n v="0"/>
    <x v="1"/>
    <n v="0"/>
    <n v="0"/>
    <n v="0"/>
    <x v="1"/>
    <x v="0"/>
    <n v="0"/>
  </r>
  <r>
    <n v="434236000000000"/>
    <x v="0"/>
    <x v="24"/>
    <x v="1"/>
    <s v="CENTRO"/>
    <d v="2016-05-02T00:00:00"/>
    <d v="2016-05-30T00:00:00"/>
    <x v="2"/>
    <x v="64"/>
    <x v="1"/>
    <n v="0"/>
    <x v="1"/>
    <n v="0"/>
    <n v="0"/>
    <n v="0"/>
    <x v="0"/>
    <x v="0"/>
    <n v="0"/>
  </r>
  <r>
    <n v="92293900000000"/>
    <x v="0"/>
    <x v="34"/>
    <x v="0"/>
    <s v="DA PENHA"/>
    <d v="2016-05-02T00:00:00"/>
    <d v="2016-05-24T00:00:00"/>
    <x v="4"/>
    <x v="71"/>
    <x v="1"/>
    <n v="0"/>
    <x v="0"/>
    <n v="0"/>
    <n v="0"/>
    <n v="1"/>
    <x v="1"/>
    <x v="1"/>
    <n v="1"/>
  </r>
  <r>
    <n v="53622200000000"/>
    <x v="0"/>
    <x v="76"/>
    <x v="0"/>
    <s v="CENTRO"/>
    <d v="2016-05-02T00:00:00"/>
    <d v="2016-05-02T00:00:00"/>
    <x v="2"/>
    <x v="94"/>
    <x v="5"/>
    <n v="0"/>
    <x v="0"/>
    <n v="0"/>
    <n v="0"/>
    <n v="0"/>
    <x v="1"/>
    <x v="0"/>
    <n v="0"/>
  </r>
  <r>
    <n v="7472860000000"/>
    <x v="0"/>
    <x v="2"/>
    <x v="1"/>
    <s v="JABOUR"/>
    <d v="2016-05-02T00:00:00"/>
    <d v="2016-05-19T00:00:00"/>
    <x v="3"/>
    <x v="75"/>
    <x v="1"/>
    <n v="1"/>
    <x v="1"/>
    <n v="0"/>
    <n v="0"/>
    <n v="0"/>
    <x v="1"/>
    <x v="1"/>
    <n v="1"/>
  </r>
  <r>
    <n v="567139000000000"/>
    <x v="0"/>
    <x v="14"/>
    <x v="3"/>
    <s v="PRAIA DO CANTO"/>
    <d v="2016-05-02T00:00:00"/>
    <d v="2016-05-04T00:00:00"/>
    <x v="1"/>
    <x v="91"/>
    <x v="4"/>
    <n v="0"/>
    <x v="1"/>
    <n v="0"/>
    <n v="0"/>
    <n v="0"/>
    <x v="1"/>
    <x v="0"/>
    <n v="0"/>
  </r>
  <r>
    <n v="7611823977"/>
    <x v="1"/>
    <x v="9"/>
    <x v="0"/>
    <s v="MARIA ORTIZ"/>
    <d v="2016-05-02T00:00:00"/>
    <d v="2016-05-02T00:00:00"/>
    <x v="2"/>
    <x v="94"/>
    <x v="5"/>
    <n v="0"/>
    <x v="1"/>
    <n v="0"/>
    <n v="0"/>
    <n v="0"/>
    <x v="1"/>
    <x v="0"/>
    <n v="0"/>
  </r>
  <r>
    <n v="954598000000000"/>
    <x v="1"/>
    <x v="49"/>
    <x v="4"/>
    <s v="JARDIM CAMBURI"/>
    <d v="2016-05-02T00:00:00"/>
    <d v="2016-05-02T00:00:00"/>
    <x v="2"/>
    <x v="94"/>
    <x v="5"/>
    <n v="0"/>
    <x v="1"/>
    <n v="0"/>
    <n v="0"/>
    <n v="0"/>
    <x v="1"/>
    <x v="0"/>
    <n v="0"/>
  </r>
  <r>
    <n v="7637660000000"/>
    <x v="1"/>
    <x v="55"/>
    <x v="2"/>
    <s v="JESUS DE NAZARETH"/>
    <d v="2016-05-02T00:00:00"/>
    <d v="2016-06-03T00:00:00"/>
    <x v="0"/>
    <x v="54"/>
    <x v="0"/>
    <n v="0"/>
    <x v="1"/>
    <n v="0"/>
    <n v="0"/>
    <n v="0"/>
    <x v="0"/>
    <x v="1"/>
    <n v="1"/>
  </r>
  <r>
    <n v="55276200000000"/>
    <x v="0"/>
    <x v="69"/>
    <x v="4"/>
    <s v="NOVA PALESTINA"/>
    <d v="2016-05-02T00:00:00"/>
    <d v="2016-05-09T00:00:00"/>
    <x v="2"/>
    <x v="87"/>
    <x v="3"/>
    <n v="0"/>
    <x v="1"/>
    <n v="0"/>
    <n v="0"/>
    <n v="0"/>
    <x v="1"/>
    <x v="1"/>
    <n v="1"/>
  </r>
  <r>
    <n v="18825700000000"/>
    <x v="1"/>
    <x v="23"/>
    <x v="3"/>
    <s v="CENTRO"/>
    <d v="2016-05-02T00:00:00"/>
    <d v="2016-06-07T00:00:00"/>
    <x v="4"/>
    <x v="55"/>
    <x v="0"/>
    <n v="0"/>
    <x v="1"/>
    <n v="0"/>
    <n v="0"/>
    <n v="0"/>
    <x v="0"/>
    <x v="0"/>
    <n v="0"/>
  </r>
  <r>
    <n v="118991000000000"/>
    <x v="0"/>
    <x v="32"/>
    <x v="4"/>
    <s v="CENTRO"/>
    <d v="2016-05-02T00:00:00"/>
    <d v="2016-06-03T00:00:00"/>
    <x v="0"/>
    <x v="54"/>
    <x v="0"/>
    <n v="0"/>
    <x v="1"/>
    <n v="0"/>
    <n v="0"/>
    <n v="0"/>
    <x v="0"/>
    <x v="1"/>
    <n v="1"/>
  </r>
  <r>
    <n v="45239200000000"/>
    <x v="0"/>
    <x v="18"/>
    <x v="0"/>
    <s v="MARIA ORTIZ"/>
    <d v="2016-05-02T00:00:00"/>
    <d v="2016-05-06T00:00:00"/>
    <x v="0"/>
    <x v="86"/>
    <x v="3"/>
    <n v="0"/>
    <x v="1"/>
    <n v="0"/>
    <n v="0"/>
    <n v="0"/>
    <x v="0"/>
    <x v="0"/>
    <n v="0"/>
  </r>
  <r>
    <n v="879847000000"/>
    <x v="0"/>
    <x v="44"/>
    <x v="4"/>
    <s v="JARDIM CAMBURI"/>
    <d v="2016-05-02T00:00:00"/>
    <d v="2016-05-11T00:00:00"/>
    <x v="1"/>
    <x v="85"/>
    <x v="2"/>
    <n v="0"/>
    <x v="1"/>
    <n v="0"/>
    <n v="0"/>
    <n v="0"/>
    <x v="0"/>
    <x v="1"/>
    <n v="1"/>
  </r>
  <r>
    <n v="25186700000000"/>
    <x v="0"/>
    <x v="15"/>
    <x v="3"/>
    <s v="JABOUR"/>
    <d v="2016-05-02T00:00:00"/>
    <d v="2016-05-18T00:00:00"/>
    <x v="1"/>
    <x v="78"/>
    <x v="1"/>
    <n v="1"/>
    <x v="1"/>
    <n v="0"/>
    <n v="0"/>
    <n v="0"/>
    <x v="1"/>
    <x v="0"/>
    <n v="0"/>
  </r>
  <r>
    <n v="3664860000000"/>
    <x v="0"/>
    <x v="68"/>
    <x v="4"/>
    <s v="INHANGUETA"/>
    <d v="2016-05-02T00:00:00"/>
    <d v="2016-05-04T00:00:00"/>
    <x v="1"/>
    <x v="91"/>
    <x v="4"/>
    <n v="1"/>
    <x v="1"/>
    <n v="0"/>
    <n v="0"/>
    <n v="0"/>
    <x v="1"/>
    <x v="0"/>
    <n v="0"/>
  </r>
  <r>
    <n v="54494700000000"/>
    <x v="1"/>
    <x v="6"/>
    <x v="0"/>
    <s v="BONFIM"/>
    <d v="2016-05-02T00:00:00"/>
    <d v="2016-05-02T00:00:00"/>
    <x v="2"/>
    <x v="94"/>
    <x v="5"/>
    <n v="0"/>
    <x v="0"/>
    <n v="1"/>
    <n v="0"/>
    <n v="0"/>
    <x v="1"/>
    <x v="0"/>
    <n v="0"/>
  </r>
  <r>
    <n v="81372600000000"/>
    <x v="0"/>
    <x v="20"/>
    <x v="0"/>
    <s v="FORTE SAO JOAO"/>
    <d v="2016-05-02T00:00:00"/>
    <d v="2016-05-04T00:00:00"/>
    <x v="1"/>
    <x v="91"/>
    <x v="4"/>
    <n v="0"/>
    <x v="1"/>
    <n v="0"/>
    <n v="0"/>
    <n v="0"/>
    <x v="1"/>
    <x v="0"/>
    <n v="0"/>
  </r>
  <r>
    <n v="2739850000000"/>
    <x v="0"/>
    <x v="26"/>
    <x v="0"/>
    <s v="SOLON BORGES"/>
    <d v="2016-05-02T00:00:00"/>
    <d v="2016-05-04T00:00:00"/>
    <x v="1"/>
    <x v="91"/>
    <x v="4"/>
    <n v="0"/>
    <x v="1"/>
    <n v="0"/>
    <n v="0"/>
    <n v="0"/>
    <x v="1"/>
    <x v="0"/>
    <n v="0"/>
  </r>
  <r>
    <n v="9899670000000"/>
    <x v="1"/>
    <x v="24"/>
    <x v="1"/>
    <s v="SANTA MARTHA"/>
    <d v="2016-05-02T00:00:00"/>
    <d v="2016-05-04T00:00:00"/>
    <x v="1"/>
    <x v="91"/>
    <x v="4"/>
    <n v="0"/>
    <x v="0"/>
    <n v="0"/>
    <n v="1"/>
    <n v="0"/>
    <x v="1"/>
    <x v="0"/>
    <n v="0"/>
  </r>
  <r>
    <n v="37825800000000"/>
    <x v="1"/>
    <x v="52"/>
    <x v="2"/>
    <s v="CONQUISTA"/>
    <d v="2016-05-02T00:00:00"/>
    <d v="2016-05-09T00:00:00"/>
    <x v="2"/>
    <x v="87"/>
    <x v="3"/>
    <n v="0"/>
    <x v="1"/>
    <n v="0"/>
    <n v="0"/>
    <n v="0"/>
    <x v="1"/>
    <x v="0"/>
    <n v="0"/>
  </r>
  <r>
    <n v="36226000000000"/>
    <x v="1"/>
    <x v="21"/>
    <x v="1"/>
    <s v="FRADINHOS"/>
    <d v="2016-05-02T00:00:00"/>
    <d v="2016-05-04T00:00:00"/>
    <x v="1"/>
    <x v="91"/>
    <x v="4"/>
    <n v="0"/>
    <x v="1"/>
    <n v="0"/>
    <n v="0"/>
    <n v="0"/>
    <x v="1"/>
    <x v="0"/>
    <n v="0"/>
  </r>
  <r>
    <n v="98779700000000"/>
    <x v="0"/>
    <x v="71"/>
    <x v="4"/>
    <s v="CONQUISTA"/>
    <d v="2016-05-02T00:00:00"/>
    <d v="2016-05-16T00:00:00"/>
    <x v="2"/>
    <x v="80"/>
    <x v="2"/>
    <n v="1"/>
    <x v="1"/>
    <n v="0"/>
    <n v="0"/>
    <n v="0"/>
    <x v="1"/>
    <x v="0"/>
    <n v="0"/>
  </r>
  <r>
    <n v="69963800000000"/>
    <x v="0"/>
    <x v="12"/>
    <x v="3"/>
    <s v="JARDIM CAMBURI"/>
    <d v="2016-05-02T00:00:00"/>
    <d v="2016-05-04T00:00:00"/>
    <x v="1"/>
    <x v="91"/>
    <x v="4"/>
    <n v="0"/>
    <x v="1"/>
    <n v="0"/>
    <n v="0"/>
    <n v="0"/>
    <x v="1"/>
    <x v="0"/>
    <n v="0"/>
  </r>
  <r>
    <n v="8517740000000"/>
    <x v="0"/>
    <x v="70"/>
    <x v="5"/>
    <s v="JESUS DE NAZARETH"/>
    <d v="2016-05-02T00:00:00"/>
    <d v="2016-05-04T00:00:00"/>
    <x v="1"/>
    <x v="91"/>
    <x v="4"/>
    <n v="1"/>
    <x v="1"/>
    <n v="0"/>
    <n v="0"/>
    <n v="0"/>
    <x v="1"/>
    <x v="0"/>
    <n v="0"/>
  </r>
  <r>
    <n v="38899500000000"/>
    <x v="0"/>
    <x v="18"/>
    <x v="0"/>
    <s v="SAO BENEDITO"/>
    <d v="2016-05-02T00:00:00"/>
    <d v="2016-05-04T00:00:00"/>
    <x v="1"/>
    <x v="91"/>
    <x v="4"/>
    <n v="0"/>
    <x v="0"/>
    <n v="1"/>
    <n v="0"/>
    <n v="0"/>
    <x v="1"/>
    <x v="0"/>
    <n v="0"/>
  </r>
  <r>
    <n v="151111000000"/>
    <x v="0"/>
    <x v="44"/>
    <x v="4"/>
    <s v="SANTA MARTHA"/>
    <d v="2016-05-02T00:00:00"/>
    <d v="2016-05-02T00:00:00"/>
    <x v="2"/>
    <x v="94"/>
    <x v="5"/>
    <n v="0"/>
    <x v="1"/>
    <n v="0"/>
    <n v="0"/>
    <n v="0"/>
    <x v="1"/>
    <x v="0"/>
    <n v="0"/>
  </r>
  <r>
    <n v="659837000000000"/>
    <x v="1"/>
    <x v="73"/>
    <x v="4"/>
    <s v="SANTA TEREZA"/>
    <d v="2016-05-02T00:00:00"/>
    <d v="2016-05-02T00:00:00"/>
    <x v="2"/>
    <x v="94"/>
    <x v="5"/>
    <n v="0"/>
    <x v="1"/>
    <n v="0"/>
    <n v="0"/>
    <n v="0"/>
    <x v="1"/>
    <x v="0"/>
    <n v="0"/>
  </r>
  <r>
    <n v="817677000000000"/>
    <x v="0"/>
    <x v="23"/>
    <x v="3"/>
    <s v="JARDIM DA PENHA"/>
    <d v="2016-05-02T00:00:00"/>
    <d v="2016-05-20T00:00:00"/>
    <x v="0"/>
    <x v="74"/>
    <x v="1"/>
    <n v="0"/>
    <x v="1"/>
    <n v="0"/>
    <n v="0"/>
    <n v="0"/>
    <x v="1"/>
    <x v="1"/>
    <n v="1"/>
  </r>
  <r>
    <n v="817677000000000"/>
    <x v="0"/>
    <x v="23"/>
    <x v="3"/>
    <s v="JARDIM DA PENHA"/>
    <d v="2016-05-02T00:00:00"/>
    <d v="2016-05-20T00:00:00"/>
    <x v="0"/>
    <x v="74"/>
    <x v="1"/>
    <n v="0"/>
    <x v="1"/>
    <n v="0"/>
    <n v="0"/>
    <n v="0"/>
    <x v="1"/>
    <x v="1"/>
    <n v="1"/>
  </r>
  <r>
    <n v="4778130000000"/>
    <x v="1"/>
    <x v="22"/>
    <x v="4"/>
    <s v="GRANDE VITORIA"/>
    <d v="2016-05-02T00:00:00"/>
    <d v="2016-05-02T00:00:00"/>
    <x v="2"/>
    <x v="94"/>
    <x v="5"/>
    <n v="0"/>
    <x v="1"/>
    <n v="0"/>
    <n v="0"/>
    <n v="0"/>
    <x v="1"/>
    <x v="0"/>
    <n v="0"/>
  </r>
  <r>
    <n v="15832800000000"/>
    <x v="0"/>
    <x v="87"/>
    <x v="1"/>
    <s v="RESISTENCIA"/>
    <d v="2016-05-02T00:00:00"/>
    <d v="2016-05-02T00:00:00"/>
    <x v="2"/>
    <x v="94"/>
    <x v="5"/>
    <n v="0"/>
    <x v="1"/>
    <n v="0"/>
    <n v="0"/>
    <n v="0"/>
    <x v="1"/>
    <x v="0"/>
    <n v="0"/>
  </r>
  <r>
    <n v="9851770000000"/>
    <x v="1"/>
    <x v="77"/>
    <x v="4"/>
    <s v="JESUS DE NAZARETH"/>
    <d v="2016-05-02T00:00:00"/>
    <d v="2016-05-30T00:00:00"/>
    <x v="2"/>
    <x v="64"/>
    <x v="1"/>
    <n v="0"/>
    <x v="1"/>
    <n v="0"/>
    <n v="0"/>
    <n v="0"/>
    <x v="1"/>
    <x v="1"/>
    <n v="1"/>
  </r>
  <r>
    <n v="652228000000"/>
    <x v="0"/>
    <x v="83"/>
    <x v="0"/>
    <s v="JARDIM CAMBURI"/>
    <d v="2016-05-02T00:00:00"/>
    <d v="2016-05-02T00:00:00"/>
    <x v="2"/>
    <x v="94"/>
    <x v="5"/>
    <n v="0"/>
    <x v="0"/>
    <n v="0"/>
    <n v="0"/>
    <n v="0"/>
    <x v="1"/>
    <x v="0"/>
    <n v="0"/>
  </r>
  <r>
    <n v="45269300000000"/>
    <x v="1"/>
    <x v="41"/>
    <x v="4"/>
    <s v="SAO PEDRO"/>
    <d v="2016-05-02T00:00:00"/>
    <d v="2016-05-09T00:00:00"/>
    <x v="2"/>
    <x v="87"/>
    <x v="3"/>
    <n v="0"/>
    <x v="1"/>
    <n v="0"/>
    <n v="0"/>
    <n v="0"/>
    <x v="1"/>
    <x v="0"/>
    <n v="0"/>
  </r>
  <r>
    <n v="272616000000000"/>
    <x v="0"/>
    <x v="57"/>
    <x v="2"/>
    <s v="SANTA CLARA"/>
    <d v="2016-05-02T00:00:00"/>
    <d v="2016-05-16T00:00:00"/>
    <x v="2"/>
    <x v="80"/>
    <x v="2"/>
    <n v="0"/>
    <x v="1"/>
    <n v="0"/>
    <n v="0"/>
    <n v="0"/>
    <x v="1"/>
    <x v="1"/>
    <n v="1"/>
  </r>
  <r>
    <n v="39674000000000"/>
    <x v="0"/>
    <x v="39"/>
    <x v="4"/>
    <s v="GRANDE VITORIA"/>
    <d v="2016-05-02T00:00:00"/>
    <d v="2016-05-13T00:00:00"/>
    <x v="0"/>
    <x v="81"/>
    <x v="2"/>
    <n v="0"/>
    <x v="1"/>
    <n v="0"/>
    <n v="0"/>
    <n v="0"/>
    <x v="1"/>
    <x v="1"/>
    <n v="1"/>
  </r>
  <r>
    <n v="21461400000000"/>
    <x v="0"/>
    <x v="70"/>
    <x v="5"/>
    <s v="DA PENHA"/>
    <d v="2016-05-02T00:00:00"/>
    <d v="2016-05-02T00:00:00"/>
    <x v="2"/>
    <x v="94"/>
    <x v="5"/>
    <n v="1"/>
    <x v="1"/>
    <n v="0"/>
    <n v="0"/>
    <n v="0"/>
    <x v="1"/>
    <x v="0"/>
    <n v="0"/>
  </r>
  <r>
    <n v="57145300000000"/>
    <x v="1"/>
    <x v="56"/>
    <x v="1"/>
    <s v="JABOUR"/>
    <d v="2016-05-02T00:00:00"/>
    <d v="2016-05-10T00:00:00"/>
    <x v="4"/>
    <x v="88"/>
    <x v="2"/>
    <n v="0"/>
    <x v="1"/>
    <n v="0"/>
    <n v="0"/>
    <n v="0"/>
    <x v="0"/>
    <x v="0"/>
    <n v="0"/>
  </r>
  <r>
    <n v="77961100000000"/>
    <x v="0"/>
    <x v="40"/>
    <x v="1"/>
    <s v="FORTE SAO JOAO"/>
    <d v="2016-05-02T00:00:00"/>
    <d v="2016-05-09T00:00:00"/>
    <x v="2"/>
    <x v="87"/>
    <x v="3"/>
    <n v="1"/>
    <x v="1"/>
    <n v="0"/>
    <n v="0"/>
    <n v="0"/>
    <x v="1"/>
    <x v="1"/>
    <n v="1"/>
  </r>
  <r>
    <n v="22841400000000"/>
    <x v="0"/>
    <x v="66"/>
    <x v="2"/>
    <s v="GURIGICA"/>
    <d v="2016-05-02T00:00:00"/>
    <d v="2016-05-11T00:00:00"/>
    <x v="1"/>
    <x v="85"/>
    <x v="2"/>
    <n v="0"/>
    <x v="1"/>
    <n v="0"/>
    <n v="0"/>
    <n v="0"/>
    <x v="0"/>
    <x v="0"/>
    <n v="0"/>
  </r>
  <r>
    <n v="6846940000000"/>
    <x v="0"/>
    <x v="40"/>
    <x v="1"/>
    <s v="MATA DA PRAIA"/>
    <d v="2016-05-02T00:00:00"/>
    <d v="2016-05-13T00:00:00"/>
    <x v="0"/>
    <x v="81"/>
    <x v="2"/>
    <n v="0"/>
    <x v="1"/>
    <n v="0"/>
    <n v="0"/>
    <n v="0"/>
    <x v="1"/>
    <x v="1"/>
    <n v="1"/>
  </r>
  <r>
    <n v="64994411483"/>
    <x v="0"/>
    <x v="46"/>
    <x v="2"/>
    <s v="GURIGICA"/>
    <d v="2016-05-02T00:00:00"/>
    <d v="2016-05-02T00:00:00"/>
    <x v="2"/>
    <x v="94"/>
    <x v="5"/>
    <n v="0"/>
    <x v="1"/>
    <n v="0"/>
    <n v="0"/>
    <n v="0"/>
    <x v="1"/>
    <x v="0"/>
    <n v="0"/>
  </r>
  <r>
    <n v="58421800000000"/>
    <x v="1"/>
    <x v="71"/>
    <x v="4"/>
    <s v="CENTRO"/>
    <d v="2016-05-02T00:00:00"/>
    <d v="2016-05-02T00:00:00"/>
    <x v="2"/>
    <x v="94"/>
    <x v="5"/>
    <n v="0"/>
    <x v="1"/>
    <n v="0"/>
    <n v="0"/>
    <n v="0"/>
    <x v="1"/>
    <x v="0"/>
    <n v="0"/>
  </r>
  <r>
    <n v="3234390000000"/>
    <x v="1"/>
    <x v="4"/>
    <x v="2"/>
    <s v="SAO PEDRO"/>
    <d v="2016-05-02T00:00:00"/>
    <d v="2016-05-17T00:00:00"/>
    <x v="4"/>
    <x v="79"/>
    <x v="1"/>
    <n v="0"/>
    <x v="1"/>
    <n v="0"/>
    <n v="0"/>
    <n v="0"/>
    <x v="1"/>
    <x v="1"/>
    <n v="1"/>
  </r>
  <r>
    <n v="431787000000000"/>
    <x v="1"/>
    <x v="54"/>
    <x v="1"/>
    <s v="INHANGUETA"/>
    <d v="2016-05-02T00:00:00"/>
    <d v="2016-05-04T00:00:00"/>
    <x v="1"/>
    <x v="91"/>
    <x v="4"/>
    <n v="0"/>
    <x v="0"/>
    <n v="0"/>
    <n v="0"/>
    <n v="0"/>
    <x v="1"/>
    <x v="0"/>
    <n v="0"/>
  </r>
  <r>
    <n v="8199730000000"/>
    <x v="0"/>
    <x v="29"/>
    <x v="3"/>
    <s v="DA PENHA"/>
    <d v="2016-05-02T00:00:00"/>
    <d v="2016-05-04T00:00:00"/>
    <x v="1"/>
    <x v="91"/>
    <x v="4"/>
    <n v="0"/>
    <x v="0"/>
    <n v="0"/>
    <n v="0"/>
    <n v="0"/>
    <x v="1"/>
    <x v="0"/>
    <n v="0"/>
  </r>
  <r>
    <n v="9957510000000"/>
    <x v="1"/>
    <x v="46"/>
    <x v="2"/>
    <s v="NOVA PALESTINA"/>
    <d v="2016-05-02T00:00:00"/>
    <d v="2016-05-10T00:00:00"/>
    <x v="4"/>
    <x v="88"/>
    <x v="2"/>
    <n v="0"/>
    <x v="1"/>
    <n v="0"/>
    <n v="0"/>
    <n v="0"/>
    <x v="0"/>
    <x v="0"/>
    <n v="0"/>
  </r>
  <r>
    <n v="199386000000"/>
    <x v="0"/>
    <x v="27"/>
    <x v="3"/>
    <s v="CONQUISTA"/>
    <d v="2016-05-02T00:00:00"/>
    <d v="2016-05-02T00:00:00"/>
    <x v="2"/>
    <x v="94"/>
    <x v="5"/>
    <n v="0"/>
    <x v="0"/>
    <n v="0"/>
    <n v="0"/>
    <n v="0"/>
    <x v="1"/>
    <x v="0"/>
    <n v="0"/>
  </r>
  <r>
    <n v="1611158895"/>
    <x v="1"/>
    <x v="55"/>
    <x v="2"/>
    <s v="BONFIM"/>
    <d v="2016-05-02T00:00:00"/>
    <d v="2016-05-13T00:00:00"/>
    <x v="0"/>
    <x v="81"/>
    <x v="2"/>
    <n v="0"/>
    <x v="1"/>
    <n v="0"/>
    <n v="0"/>
    <n v="0"/>
    <x v="1"/>
    <x v="0"/>
    <n v="0"/>
  </r>
  <r>
    <n v="52652900000000"/>
    <x v="1"/>
    <x v="19"/>
    <x v="2"/>
    <s v="JARDIM DA PENHA"/>
    <d v="2016-05-02T00:00:00"/>
    <d v="2016-05-02T00:00:00"/>
    <x v="2"/>
    <x v="94"/>
    <x v="5"/>
    <n v="0"/>
    <x v="1"/>
    <n v="0"/>
    <n v="0"/>
    <n v="0"/>
    <x v="1"/>
    <x v="0"/>
    <n v="0"/>
  </r>
  <r>
    <n v="94525800000000"/>
    <x v="1"/>
    <x v="66"/>
    <x v="2"/>
    <s v="SANTA MARTHA"/>
    <d v="2016-05-02T00:00:00"/>
    <d v="2016-05-03T00:00:00"/>
    <x v="4"/>
    <x v="93"/>
    <x v="4"/>
    <n v="0"/>
    <x v="1"/>
    <n v="0"/>
    <n v="0"/>
    <n v="0"/>
    <x v="1"/>
    <x v="0"/>
    <n v="0"/>
  </r>
  <r>
    <n v="216414000000"/>
    <x v="0"/>
    <x v="74"/>
    <x v="1"/>
    <s v="CENTRO"/>
    <d v="2016-05-02T00:00:00"/>
    <d v="2016-05-11T00:00:00"/>
    <x v="1"/>
    <x v="85"/>
    <x v="2"/>
    <n v="0"/>
    <x v="1"/>
    <n v="0"/>
    <n v="0"/>
    <n v="1"/>
    <x v="0"/>
    <x v="0"/>
    <n v="0"/>
  </r>
  <r>
    <n v="748688000000000"/>
    <x v="0"/>
    <x v="13"/>
    <x v="0"/>
    <s v="JARDIM DA PENHA"/>
    <d v="2016-05-02T00:00:00"/>
    <d v="2016-05-19T00:00:00"/>
    <x v="3"/>
    <x v="75"/>
    <x v="1"/>
    <n v="0"/>
    <x v="0"/>
    <n v="0"/>
    <n v="0"/>
    <n v="0"/>
    <x v="1"/>
    <x v="0"/>
    <n v="0"/>
  </r>
  <r>
    <n v="695445000000000"/>
    <x v="0"/>
    <x v="21"/>
    <x v="1"/>
    <s v="JARDIM CAMBURI"/>
    <d v="2016-05-02T00:00:00"/>
    <d v="2016-05-03T00:00:00"/>
    <x v="4"/>
    <x v="93"/>
    <x v="4"/>
    <n v="0"/>
    <x v="1"/>
    <n v="0"/>
    <n v="0"/>
    <n v="0"/>
    <x v="1"/>
    <x v="1"/>
    <n v="1"/>
  </r>
  <r>
    <n v="617448000000000"/>
    <x v="0"/>
    <x v="46"/>
    <x v="2"/>
    <s v="SOLON BORGES"/>
    <d v="2016-05-02T00:00:00"/>
    <d v="2016-05-16T00:00:00"/>
    <x v="2"/>
    <x v="80"/>
    <x v="2"/>
    <n v="0"/>
    <x v="1"/>
    <n v="0"/>
    <n v="0"/>
    <n v="0"/>
    <x v="1"/>
    <x v="0"/>
    <n v="0"/>
  </r>
  <r>
    <n v="816639000000"/>
    <x v="0"/>
    <x v="70"/>
    <x v="5"/>
    <s v="CRUZAMENTO"/>
    <d v="2016-05-02T00:00:00"/>
    <d v="2016-05-03T00:00:00"/>
    <x v="4"/>
    <x v="93"/>
    <x v="4"/>
    <n v="1"/>
    <x v="1"/>
    <n v="0"/>
    <n v="0"/>
    <n v="0"/>
    <x v="1"/>
    <x v="1"/>
    <n v="1"/>
  </r>
  <r>
    <n v="4972200000000"/>
    <x v="1"/>
    <x v="34"/>
    <x v="0"/>
    <s v="JARDIM DA PENHA"/>
    <d v="2016-05-02T00:00:00"/>
    <d v="2016-05-31T00:00:00"/>
    <x v="4"/>
    <x v="63"/>
    <x v="1"/>
    <n v="0"/>
    <x v="0"/>
    <n v="0"/>
    <n v="0"/>
    <n v="1"/>
    <x v="1"/>
    <x v="0"/>
    <n v="0"/>
  </r>
  <r>
    <n v="619245000000000"/>
    <x v="0"/>
    <x v="31"/>
    <x v="1"/>
    <s v="SAO JOSE"/>
    <d v="2016-05-02T00:00:00"/>
    <d v="2016-05-12T00:00:00"/>
    <x v="3"/>
    <x v="83"/>
    <x v="2"/>
    <n v="0"/>
    <x v="1"/>
    <n v="0"/>
    <n v="0"/>
    <n v="0"/>
    <x v="0"/>
    <x v="0"/>
    <n v="0"/>
  </r>
  <r>
    <n v="12648400000000"/>
    <x v="0"/>
    <x v="71"/>
    <x v="4"/>
    <s v="SANTA TEREZA"/>
    <d v="2016-05-02T00:00:00"/>
    <d v="2016-05-03T00:00:00"/>
    <x v="4"/>
    <x v="93"/>
    <x v="4"/>
    <n v="0"/>
    <x v="1"/>
    <n v="0"/>
    <n v="0"/>
    <n v="0"/>
    <x v="1"/>
    <x v="0"/>
    <n v="0"/>
  </r>
  <r>
    <n v="727579000000000"/>
    <x v="0"/>
    <x v="42"/>
    <x v="3"/>
    <s v="SANTA MARTHA"/>
    <d v="2016-05-02T00:00:00"/>
    <d v="2016-05-04T00:00:00"/>
    <x v="1"/>
    <x v="91"/>
    <x v="4"/>
    <n v="0"/>
    <x v="1"/>
    <n v="1"/>
    <n v="0"/>
    <n v="0"/>
    <x v="1"/>
    <x v="0"/>
    <n v="0"/>
  </r>
  <r>
    <n v="31414200000000"/>
    <x v="0"/>
    <x v="63"/>
    <x v="0"/>
    <s v="SANTO ANTONIO"/>
    <d v="2016-05-02T00:00:00"/>
    <d v="2016-05-02T00:00:00"/>
    <x v="2"/>
    <x v="94"/>
    <x v="5"/>
    <n v="0"/>
    <x v="0"/>
    <n v="1"/>
    <n v="0"/>
    <n v="1"/>
    <x v="1"/>
    <x v="0"/>
    <n v="0"/>
  </r>
  <r>
    <n v="41166200000000"/>
    <x v="0"/>
    <x v="46"/>
    <x v="2"/>
    <s v="MONTE BELO"/>
    <d v="2016-05-02T00:00:00"/>
    <d v="2016-05-09T00:00:00"/>
    <x v="2"/>
    <x v="87"/>
    <x v="3"/>
    <n v="0"/>
    <x v="1"/>
    <n v="0"/>
    <n v="0"/>
    <n v="0"/>
    <x v="1"/>
    <x v="1"/>
    <n v="1"/>
  </r>
  <r>
    <n v="38797900000000"/>
    <x v="0"/>
    <x v="59"/>
    <x v="2"/>
    <s v="ROMAO"/>
    <d v="2016-05-02T00:00:00"/>
    <d v="2016-05-09T00:00:00"/>
    <x v="2"/>
    <x v="87"/>
    <x v="3"/>
    <n v="0"/>
    <x v="1"/>
    <n v="0"/>
    <n v="0"/>
    <n v="0"/>
    <x v="1"/>
    <x v="0"/>
    <n v="0"/>
  </r>
  <r>
    <n v="178296000000000"/>
    <x v="0"/>
    <x v="41"/>
    <x v="4"/>
    <s v="BARRO VERMELHO"/>
    <d v="2016-05-02T00:00:00"/>
    <d v="2016-05-11T00:00:00"/>
    <x v="1"/>
    <x v="85"/>
    <x v="2"/>
    <n v="0"/>
    <x v="1"/>
    <n v="0"/>
    <n v="0"/>
    <n v="0"/>
    <x v="0"/>
    <x v="1"/>
    <n v="1"/>
  </r>
  <r>
    <n v="69688400000000"/>
    <x v="0"/>
    <x v="4"/>
    <x v="2"/>
    <s v="DA PENHA"/>
    <d v="2016-05-02T00:00:00"/>
    <d v="2016-05-04T00:00:00"/>
    <x v="1"/>
    <x v="91"/>
    <x v="4"/>
    <n v="0"/>
    <x v="1"/>
    <n v="0"/>
    <n v="0"/>
    <n v="0"/>
    <x v="1"/>
    <x v="1"/>
    <n v="1"/>
  </r>
  <r>
    <n v="13495600000000"/>
    <x v="1"/>
    <x v="59"/>
    <x v="2"/>
    <s v="FONTE GRANDE"/>
    <d v="2016-05-02T00:00:00"/>
    <d v="2016-05-31T00:00:00"/>
    <x v="4"/>
    <x v="63"/>
    <x v="1"/>
    <n v="0"/>
    <x v="1"/>
    <n v="0"/>
    <n v="0"/>
    <n v="0"/>
    <x v="0"/>
    <x v="1"/>
    <n v="1"/>
  </r>
  <r>
    <n v="393612000000000"/>
    <x v="1"/>
    <x v="78"/>
    <x v="0"/>
    <s v="SANTO ANTONIO"/>
    <d v="2016-05-02T00:00:00"/>
    <d v="2016-05-31T00:00:00"/>
    <x v="4"/>
    <x v="63"/>
    <x v="1"/>
    <n v="0"/>
    <x v="1"/>
    <n v="0"/>
    <n v="0"/>
    <n v="0"/>
    <x v="0"/>
    <x v="1"/>
    <n v="1"/>
  </r>
  <r>
    <n v="61769900000000"/>
    <x v="0"/>
    <x v="67"/>
    <x v="4"/>
    <s v="JARDIM DA PENHA"/>
    <d v="2016-05-02T00:00:00"/>
    <d v="2016-05-10T00:00:00"/>
    <x v="4"/>
    <x v="88"/>
    <x v="2"/>
    <n v="0"/>
    <x v="1"/>
    <n v="0"/>
    <n v="0"/>
    <n v="0"/>
    <x v="0"/>
    <x v="0"/>
    <n v="0"/>
  </r>
  <r>
    <n v="987382000000000"/>
    <x v="0"/>
    <x v="31"/>
    <x v="1"/>
    <s v="SOLON BORGES"/>
    <d v="2016-05-02T00:00:00"/>
    <d v="2016-05-04T00:00:00"/>
    <x v="1"/>
    <x v="91"/>
    <x v="4"/>
    <n v="0"/>
    <x v="1"/>
    <n v="0"/>
    <n v="0"/>
    <n v="0"/>
    <x v="1"/>
    <x v="0"/>
    <n v="0"/>
  </r>
  <r>
    <n v="57481200000000"/>
    <x v="0"/>
    <x v="28"/>
    <x v="3"/>
    <s v="ESTRELINHA"/>
    <d v="2016-05-02T00:00:00"/>
    <d v="2016-05-13T00:00:00"/>
    <x v="0"/>
    <x v="81"/>
    <x v="2"/>
    <n v="0"/>
    <x v="0"/>
    <n v="1"/>
    <n v="0"/>
    <n v="0"/>
    <x v="1"/>
    <x v="0"/>
    <n v="0"/>
  </r>
  <r>
    <n v="599885000000"/>
    <x v="0"/>
    <x v="55"/>
    <x v="2"/>
    <s v="CENTRO"/>
    <d v="2016-05-02T00:00:00"/>
    <d v="2016-05-02T00:00:00"/>
    <x v="2"/>
    <x v="94"/>
    <x v="5"/>
    <n v="0"/>
    <x v="1"/>
    <n v="0"/>
    <n v="0"/>
    <n v="0"/>
    <x v="1"/>
    <x v="0"/>
    <n v="0"/>
  </r>
  <r>
    <n v="3618380000000"/>
    <x v="1"/>
    <x v="74"/>
    <x v="1"/>
    <s v="SANTO ANTONIO"/>
    <d v="2016-05-02T00:00:00"/>
    <d v="2016-05-04T00:00:00"/>
    <x v="1"/>
    <x v="91"/>
    <x v="4"/>
    <n v="0"/>
    <x v="1"/>
    <n v="0"/>
    <n v="0"/>
    <n v="0"/>
    <x v="1"/>
    <x v="0"/>
    <n v="0"/>
  </r>
  <r>
    <n v="38192900000000"/>
    <x v="0"/>
    <x v="92"/>
    <x v="0"/>
    <s v="ANDORINHAS"/>
    <d v="2016-05-02T00:00:00"/>
    <d v="2016-05-10T00:00:00"/>
    <x v="4"/>
    <x v="88"/>
    <x v="2"/>
    <n v="0"/>
    <x v="0"/>
    <n v="0"/>
    <n v="0"/>
    <n v="1"/>
    <x v="1"/>
    <x v="0"/>
    <n v="0"/>
  </r>
  <r>
    <n v="28814900000000"/>
    <x v="1"/>
    <x v="24"/>
    <x v="1"/>
    <s v="JESUS DE NAZARETH"/>
    <d v="2016-05-02T00:00:00"/>
    <d v="2016-05-04T00:00:00"/>
    <x v="1"/>
    <x v="91"/>
    <x v="4"/>
    <n v="0"/>
    <x v="1"/>
    <n v="0"/>
    <n v="0"/>
    <n v="0"/>
    <x v="1"/>
    <x v="1"/>
    <n v="1"/>
  </r>
  <r>
    <n v="4432850000000"/>
    <x v="0"/>
    <x v="69"/>
    <x v="4"/>
    <s v="ROMAO"/>
    <d v="2016-05-02T00:00:00"/>
    <d v="2016-05-10T00:00:00"/>
    <x v="4"/>
    <x v="88"/>
    <x v="2"/>
    <n v="1"/>
    <x v="1"/>
    <n v="0"/>
    <n v="0"/>
    <n v="0"/>
    <x v="0"/>
    <x v="1"/>
    <n v="1"/>
  </r>
  <r>
    <n v="96882100000000"/>
    <x v="1"/>
    <x v="56"/>
    <x v="1"/>
    <s v="NOVA PALESTINA"/>
    <d v="2016-05-02T00:00:00"/>
    <d v="2016-05-04T00:00:00"/>
    <x v="1"/>
    <x v="91"/>
    <x v="4"/>
    <n v="0"/>
    <x v="1"/>
    <n v="0"/>
    <n v="0"/>
    <n v="0"/>
    <x v="1"/>
    <x v="0"/>
    <n v="0"/>
  </r>
  <r>
    <n v="476946000000000"/>
    <x v="0"/>
    <x v="46"/>
    <x v="2"/>
    <s v="MARIA ORTIZ"/>
    <d v="2016-05-02T00:00:00"/>
    <d v="2016-05-02T00:00:00"/>
    <x v="2"/>
    <x v="94"/>
    <x v="5"/>
    <n v="0"/>
    <x v="1"/>
    <n v="0"/>
    <n v="0"/>
    <n v="0"/>
    <x v="1"/>
    <x v="0"/>
    <n v="0"/>
  </r>
  <r>
    <n v="2167140000000"/>
    <x v="0"/>
    <x v="77"/>
    <x v="4"/>
    <s v="JARDIM DA PENHA"/>
    <d v="2016-05-02T00:00:00"/>
    <d v="2016-05-11T00:00:00"/>
    <x v="1"/>
    <x v="85"/>
    <x v="2"/>
    <n v="0"/>
    <x v="1"/>
    <n v="0"/>
    <n v="0"/>
    <n v="0"/>
    <x v="0"/>
    <x v="1"/>
    <n v="1"/>
  </r>
  <r>
    <n v="986596000000"/>
    <x v="1"/>
    <x v="63"/>
    <x v="0"/>
    <s v="JABOUR"/>
    <d v="2016-05-02T00:00:00"/>
    <d v="2016-05-11T00:00:00"/>
    <x v="1"/>
    <x v="85"/>
    <x v="2"/>
    <n v="0"/>
    <x v="1"/>
    <n v="0"/>
    <n v="0"/>
    <n v="0"/>
    <x v="0"/>
    <x v="0"/>
    <n v="0"/>
  </r>
  <r>
    <n v="5795318431"/>
    <x v="0"/>
    <x v="44"/>
    <x v="4"/>
    <s v="ITARARE"/>
    <d v="2016-05-02T00:00:00"/>
    <d v="2016-05-12T00:00:00"/>
    <x v="3"/>
    <x v="83"/>
    <x v="2"/>
    <n v="0"/>
    <x v="1"/>
    <n v="0"/>
    <n v="0"/>
    <n v="0"/>
    <x v="0"/>
    <x v="1"/>
    <n v="1"/>
  </r>
  <r>
    <n v="44688600000000"/>
    <x v="0"/>
    <x v="23"/>
    <x v="3"/>
    <s v="ESTRELINHA"/>
    <d v="2016-05-02T00:00:00"/>
    <d v="2016-05-03T00:00:00"/>
    <x v="4"/>
    <x v="93"/>
    <x v="4"/>
    <n v="0"/>
    <x v="0"/>
    <n v="0"/>
    <n v="0"/>
    <n v="0"/>
    <x v="1"/>
    <x v="0"/>
    <n v="0"/>
  </r>
  <r>
    <n v="1658980000000"/>
    <x v="1"/>
    <x v="32"/>
    <x v="4"/>
    <s v="MARUIPE"/>
    <d v="2016-05-02T00:00:00"/>
    <d v="2016-05-04T00:00:00"/>
    <x v="1"/>
    <x v="91"/>
    <x v="4"/>
    <n v="0"/>
    <x v="1"/>
    <n v="0"/>
    <n v="0"/>
    <n v="0"/>
    <x v="1"/>
    <x v="0"/>
    <n v="0"/>
  </r>
  <r>
    <n v="558445000000000"/>
    <x v="0"/>
    <x v="57"/>
    <x v="2"/>
    <s v="MARIA ORTIZ"/>
    <d v="2016-05-02T00:00:00"/>
    <d v="2016-06-03T00:00:00"/>
    <x v="0"/>
    <x v="54"/>
    <x v="0"/>
    <n v="1"/>
    <x v="1"/>
    <n v="0"/>
    <n v="0"/>
    <n v="0"/>
    <x v="0"/>
    <x v="0"/>
    <n v="0"/>
  </r>
  <r>
    <n v="53131600000000"/>
    <x v="0"/>
    <x v="66"/>
    <x v="2"/>
    <s v="JABOUR"/>
    <d v="2016-05-02T00:00:00"/>
    <d v="2016-06-03T00:00:00"/>
    <x v="0"/>
    <x v="54"/>
    <x v="0"/>
    <n v="0"/>
    <x v="1"/>
    <n v="0"/>
    <n v="0"/>
    <n v="0"/>
    <x v="0"/>
    <x v="0"/>
    <n v="0"/>
  </r>
  <r>
    <n v="72416100000000"/>
    <x v="0"/>
    <x v="81"/>
    <x v="5"/>
    <s v="ROMAO"/>
    <d v="2016-05-02T00:00:00"/>
    <d v="2016-05-02T00:00:00"/>
    <x v="2"/>
    <x v="94"/>
    <x v="5"/>
    <n v="0"/>
    <x v="1"/>
    <n v="0"/>
    <n v="0"/>
    <n v="0"/>
    <x v="1"/>
    <x v="0"/>
    <n v="0"/>
  </r>
  <r>
    <n v="99282300000000"/>
    <x v="1"/>
    <x v="49"/>
    <x v="4"/>
    <s v="SAO PEDRO"/>
    <d v="2016-05-02T00:00:00"/>
    <d v="2016-05-02T00:00:00"/>
    <x v="2"/>
    <x v="94"/>
    <x v="5"/>
    <n v="0"/>
    <x v="1"/>
    <n v="0"/>
    <n v="0"/>
    <n v="0"/>
    <x v="1"/>
    <x v="1"/>
    <n v="1"/>
  </r>
  <r>
    <n v="496346000000"/>
    <x v="1"/>
    <x v="66"/>
    <x v="2"/>
    <s v="SANTO ANTONIO"/>
    <d v="2016-05-02T00:00:00"/>
    <d v="2016-05-10T00:00:00"/>
    <x v="4"/>
    <x v="88"/>
    <x v="2"/>
    <n v="0"/>
    <x v="1"/>
    <n v="0"/>
    <n v="0"/>
    <n v="0"/>
    <x v="1"/>
    <x v="1"/>
    <n v="1"/>
  </r>
  <r>
    <n v="38477200000000"/>
    <x v="0"/>
    <x v="15"/>
    <x v="3"/>
    <s v="JARDIM CAMBURI"/>
    <d v="2016-05-02T00:00:00"/>
    <d v="2016-05-03T00:00:00"/>
    <x v="4"/>
    <x v="93"/>
    <x v="4"/>
    <n v="0"/>
    <x v="1"/>
    <n v="0"/>
    <n v="0"/>
    <n v="0"/>
    <x v="1"/>
    <x v="0"/>
    <n v="0"/>
  </r>
  <r>
    <n v="38477200000000"/>
    <x v="0"/>
    <x v="15"/>
    <x v="3"/>
    <s v="JARDIM CAMBURI"/>
    <d v="2016-05-02T00:00:00"/>
    <d v="2016-05-03T00:00:00"/>
    <x v="4"/>
    <x v="93"/>
    <x v="4"/>
    <n v="0"/>
    <x v="1"/>
    <n v="0"/>
    <n v="0"/>
    <n v="0"/>
    <x v="1"/>
    <x v="0"/>
    <n v="0"/>
  </r>
  <r>
    <n v="54963600000000"/>
    <x v="0"/>
    <x v="39"/>
    <x v="4"/>
    <s v="ITARARE"/>
    <d v="2016-05-02T00:00:00"/>
    <d v="2016-05-04T00:00:00"/>
    <x v="1"/>
    <x v="91"/>
    <x v="4"/>
    <n v="0"/>
    <x v="1"/>
    <n v="0"/>
    <n v="0"/>
    <n v="0"/>
    <x v="1"/>
    <x v="1"/>
    <n v="1"/>
  </r>
  <r>
    <n v="9649560000000"/>
    <x v="0"/>
    <x v="42"/>
    <x v="3"/>
    <s v="JARDIM CAMBURI"/>
    <d v="2016-05-02T00:00:00"/>
    <d v="2016-05-02T00:00:00"/>
    <x v="2"/>
    <x v="94"/>
    <x v="5"/>
    <n v="0"/>
    <x v="0"/>
    <n v="0"/>
    <n v="0"/>
    <n v="0"/>
    <x v="1"/>
    <x v="0"/>
    <n v="0"/>
  </r>
  <r>
    <n v="45728200000000"/>
    <x v="0"/>
    <x v="73"/>
    <x v="4"/>
    <s v="CRUZAMENTO"/>
    <d v="2016-05-02T00:00:00"/>
    <d v="2016-05-30T00:00:00"/>
    <x v="2"/>
    <x v="64"/>
    <x v="1"/>
    <n v="1"/>
    <x v="1"/>
    <n v="0"/>
    <n v="0"/>
    <n v="0"/>
    <x v="0"/>
    <x v="0"/>
    <n v="0"/>
  </r>
  <r>
    <n v="18839700000000"/>
    <x v="0"/>
    <x v="54"/>
    <x v="1"/>
    <s v="JARDIM DA PENHA"/>
    <d v="2016-05-02T00:00:00"/>
    <d v="2016-05-19T00:00:00"/>
    <x v="3"/>
    <x v="75"/>
    <x v="1"/>
    <n v="0"/>
    <x v="1"/>
    <n v="0"/>
    <n v="0"/>
    <n v="0"/>
    <x v="1"/>
    <x v="0"/>
    <n v="0"/>
  </r>
  <r>
    <n v="64691800000000"/>
    <x v="1"/>
    <x v="76"/>
    <x v="0"/>
    <s v="JARDIM CAMBURI"/>
    <d v="2016-05-02T00:00:00"/>
    <d v="2016-05-04T00:00:00"/>
    <x v="1"/>
    <x v="91"/>
    <x v="4"/>
    <n v="0"/>
    <x v="1"/>
    <n v="0"/>
    <n v="0"/>
    <n v="0"/>
    <x v="1"/>
    <x v="0"/>
    <n v="0"/>
  </r>
  <r>
    <n v="52695400000000"/>
    <x v="1"/>
    <x v="48"/>
    <x v="3"/>
    <s v="REDENCAO"/>
    <d v="2016-05-02T00:00:00"/>
    <d v="2016-05-04T00:00:00"/>
    <x v="1"/>
    <x v="91"/>
    <x v="4"/>
    <n v="0"/>
    <x v="0"/>
    <n v="0"/>
    <n v="0"/>
    <n v="0"/>
    <x v="1"/>
    <x v="0"/>
    <n v="0"/>
  </r>
  <r>
    <n v="3285230000000"/>
    <x v="0"/>
    <x v="30"/>
    <x v="3"/>
    <s v="BONFIM"/>
    <d v="2016-05-02T00:00:00"/>
    <d v="2016-05-05T00:00:00"/>
    <x v="3"/>
    <x v="89"/>
    <x v="4"/>
    <n v="0"/>
    <x v="0"/>
    <n v="0"/>
    <n v="0"/>
    <n v="0"/>
    <x v="1"/>
    <x v="0"/>
    <n v="0"/>
  </r>
  <r>
    <n v="38147500000000"/>
    <x v="0"/>
    <x v="44"/>
    <x v="4"/>
    <s v="ILHA DE SANTA MARIA"/>
    <d v="2016-05-02T00:00:00"/>
    <d v="2016-05-02T00:00:00"/>
    <x v="2"/>
    <x v="94"/>
    <x v="5"/>
    <n v="0"/>
    <x v="1"/>
    <n v="0"/>
    <n v="0"/>
    <n v="0"/>
    <x v="1"/>
    <x v="0"/>
    <n v="0"/>
  </r>
  <r>
    <n v="284751000000000"/>
    <x v="0"/>
    <x v="46"/>
    <x v="2"/>
    <s v="SAO BENEDITO"/>
    <d v="2016-05-02T00:00:00"/>
    <d v="2016-05-31T00:00:00"/>
    <x v="4"/>
    <x v="63"/>
    <x v="1"/>
    <n v="0"/>
    <x v="1"/>
    <n v="0"/>
    <n v="0"/>
    <n v="0"/>
    <x v="0"/>
    <x v="1"/>
    <n v="1"/>
  </r>
  <r>
    <n v="9886917346"/>
    <x v="0"/>
    <x v="81"/>
    <x v="5"/>
    <s v="SANTA LUCIA"/>
    <d v="2016-05-02T00:00:00"/>
    <d v="2016-05-18T00:00:00"/>
    <x v="1"/>
    <x v="78"/>
    <x v="1"/>
    <n v="0"/>
    <x v="1"/>
    <n v="0"/>
    <n v="0"/>
    <n v="0"/>
    <x v="1"/>
    <x v="0"/>
    <n v="0"/>
  </r>
  <r>
    <n v="8118440000000"/>
    <x v="0"/>
    <x v="37"/>
    <x v="3"/>
    <s v="VILA RUBIM"/>
    <d v="2016-05-02T00:00:00"/>
    <d v="2016-05-05T00:00:00"/>
    <x v="3"/>
    <x v="89"/>
    <x v="4"/>
    <n v="0"/>
    <x v="1"/>
    <n v="0"/>
    <n v="0"/>
    <n v="0"/>
    <x v="1"/>
    <x v="0"/>
    <n v="0"/>
  </r>
  <r>
    <n v="631652000000000"/>
    <x v="1"/>
    <x v="41"/>
    <x v="4"/>
    <s v="CRUZAMENTO"/>
    <d v="2016-05-02T00:00:00"/>
    <d v="2016-05-04T00:00:00"/>
    <x v="1"/>
    <x v="91"/>
    <x v="4"/>
    <n v="0"/>
    <x v="1"/>
    <n v="0"/>
    <n v="0"/>
    <n v="0"/>
    <x v="1"/>
    <x v="0"/>
    <n v="0"/>
  </r>
  <r>
    <n v="7275110000000"/>
    <x v="0"/>
    <x v="26"/>
    <x v="0"/>
    <s v="SANTO ANDRE"/>
    <d v="2016-05-02T00:00:00"/>
    <d v="2016-05-05T00:00:00"/>
    <x v="3"/>
    <x v="89"/>
    <x v="4"/>
    <n v="0"/>
    <x v="0"/>
    <n v="1"/>
    <n v="0"/>
    <n v="0"/>
    <x v="1"/>
    <x v="0"/>
    <n v="0"/>
  </r>
  <r>
    <n v="677258000000"/>
    <x v="1"/>
    <x v="2"/>
    <x v="1"/>
    <s v="MONTE BELO"/>
    <d v="2016-05-02T00:00:00"/>
    <d v="2016-05-02T00:00:00"/>
    <x v="2"/>
    <x v="94"/>
    <x v="5"/>
    <n v="0"/>
    <x v="1"/>
    <n v="0"/>
    <n v="0"/>
    <n v="0"/>
    <x v="1"/>
    <x v="0"/>
    <n v="0"/>
  </r>
  <r>
    <n v="61724300000000"/>
    <x v="0"/>
    <x v="23"/>
    <x v="3"/>
    <s v="JARDIM CAMBURI"/>
    <d v="2016-05-02T00:00:00"/>
    <d v="2016-05-02T00:00:00"/>
    <x v="2"/>
    <x v="94"/>
    <x v="5"/>
    <n v="0"/>
    <x v="1"/>
    <n v="0"/>
    <n v="0"/>
    <n v="0"/>
    <x v="1"/>
    <x v="0"/>
    <n v="0"/>
  </r>
  <r>
    <n v="323449000000"/>
    <x v="0"/>
    <x v="79"/>
    <x v="5"/>
    <s v="JARDIM CAMBURI"/>
    <d v="2016-05-02T00:00:00"/>
    <d v="2016-05-04T00:00:00"/>
    <x v="1"/>
    <x v="91"/>
    <x v="4"/>
    <n v="0"/>
    <x v="1"/>
    <n v="0"/>
    <n v="0"/>
    <n v="0"/>
    <x v="1"/>
    <x v="1"/>
    <n v="1"/>
  </r>
  <r>
    <n v="84253400000000"/>
    <x v="0"/>
    <x v="39"/>
    <x v="4"/>
    <s v="SAO CRISTOVAO"/>
    <d v="2016-05-02T00:00:00"/>
    <d v="2016-05-11T00:00:00"/>
    <x v="1"/>
    <x v="85"/>
    <x v="2"/>
    <n v="0"/>
    <x v="1"/>
    <n v="0"/>
    <n v="0"/>
    <n v="0"/>
    <x v="0"/>
    <x v="1"/>
    <n v="1"/>
  </r>
  <r>
    <n v="96677400000000"/>
    <x v="1"/>
    <x v="56"/>
    <x v="1"/>
    <s v="SANTA CLARA"/>
    <d v="2016-05-02T00:00:00"/>
    <d v="2016-05-11T00:00:00"/>
    <x v="1"/>
    <x v="85"/>
    <x v="2"/>
    <n v="0"/>
    <x v="1"/>
    <n v="0"/>
    <n v="0"/>
    <n v="0"/>
    <x v="0"/>
    <x v="0"/>
    <n v="0"/>
  </r>
  <r>
    <n v="836852000000"/>
    <x v="1"/>
    <x v="55"/>
    <x v="2"/>
    <s v="MARIA ORTIZ"/>
    <d v="2016-05-02T00:00:00"/>
    <d v="2016-06-08T00:00:00"/>
    <x v="1"/>
    <x v="53"/>
    <x v="0"/>
    <n v="0"/>
    <x v="1"/>
    <n v="0"/>
    <n v="0"/>
    <n v="0"/>
    <x v="0"/>
    <x v="0"/>
    <n v="0"/>
  </r>
  <r>
    <n v="198777000000000"/>
    <x v="0"/>
    <x v="14"/>
    <x v="3"/>
    <s v="MARIA ORTIZ"/>
    <d v="2016-05-02T00:00:00"/>
    <d v="2016-05-12T00:00:00"/>
    <x v="3"/>
    <x v="83"/>
    <x v="2"/>
    <n v="0"/>
    <x v="1"/>
    <n v="0"/>
    <n v="0"/>
    <n v="0"/>
    <x v="0"/>
    <x v="0"/>
    <n v="0"/>
  </r>
  <r>
    <n v="957233000000"/>
    <x v="1"/>
    <x v="48"/>
    <x v="3"/>
    <s v="JABOUR"/>
    <d v="2016-05-02T00:00:00"/>
    <d v="2016-05-05T00:00:00"/>
    <x v="3"/>
    <x v="89"/>
    <x v="4"/>
    <n v="0"/>
    <x v="0"/>
    <n v="0"/>
    <n v="0"/>
    <n v="0"/>
    <x v="1"/>
    <x v="0"/>
    <n v="0"/>
  </r>
  <r>
    <n v="424792000000000"/>
    <x v="0"/>
    <x v="62"/>
    <x v="3"/>
    <s v="SANTA CECILIA"/>
    <d v="2016-05-02T00:00:00"/>
    <d v="2016-05-04T00:00:00"/>
    <x v="1"/>
    <x v="91"/>
    <x v="4"/>
    <n v="0"/>
    <x v="0"/>
    <n v="0"/>
    <n v="0"/>
    <n v="0"/>
    <x v="1"/>
    <x v="0"/>
    <n v="0"/>
  </r>
  <r>
    <n v="8117960000000"/>
    <x v="1"/>
    <x v="46"/>
    <x v="2"/>
    <s v="SAO PEDRO"/>
    <d v="2016-05-02T00:00:00"/>
    <d v="2016-05-09T00:00:00"/>
    <x v="2"/>
    <x v="87"/>
    <x v="3"/>
    <n v="0"/>
    <x v="1"/>
    <n v="0"/>
    <n v="0"/>
    <n v="0"/>
    <x v="1"/>
    <x v="1"/>
    <n v="1"/>
  </r>
  <r>
    <n v="8882580000000"/>
    <x v="1"/>
    <x v="4"/>
    <x v="2"/>
    <s v="SAO PEDRO"/>
    <d v="2016-05-02T00:00:00"/>
    <d v="2016-05-09T00:00:00"/>
    <x v="2"/>
    <x v="87"/>
    <x v="3"/>
    <n v="0"/>
    <x v="1"/>
    <n v="0"/>
    <n v="0"/>
    <n v="0"/>
    <x v="1"/>
    <x v="0"/>
    <n v="0"/>
  </r>
  <r>
    <n v="22851500000000"/>
    <x v="1"/>
    <x v="10"/>
    <x v="4"/>
    <s v="MARIA ORTIZ"/>
    <d v="2016-05-02T00:00:00"/>
    <d v="2016-05-02T00:00:00"/>
    <x v="2"/>
    <x v="94"/>
    <x v="5"/>
    <n v="0"/>
    <x v="1"/>
    <n v="0"/>
    <n v="0"/>
    <n v="0"/>
    <x v="1"/>
    <x v="0"/>
    <n v="0"/>
  </r>
  <r>
    <n v="83449300000000"/>
    <x v="0"/>
    <x v="4"/>
    <x v="2"/>
    <s v="SAO PEDRO"/>
    <d v="2016-05-02T00:00:00"/>
    <d v="2016-05-16T00:00:00"/>
    <x v="2"/>
    <x v="80"/>
    <x v="2"/>
    <n v="0"/>
    <x v="1"/>
    <n v="0"/>
    <n v="0"/>
    <n v="0"/>
    <x v="1"/>
    <x v="0"/>
    <n v="0"/>
  </r>
  <r>
    <n v="794466000000000"/>
    <x v="0"/>
    <x v="32"/>
    <x v="4"/>
    <s v="PARQUE MOSCOSO"/>
    <d v="2016-05-02T00:00:00"/>
    <d v="2016-05-31T00:00:00"/>
    <x v="4"/>
    <x v="63"/>
    <x v="1"/>
    <n v="0"/>
    <x v="1"/>
    <n v="0"/>
    <n v="0"/>
    <n v="0"/>
    <x v="0"/>
    <x v="0"/>
    <n v="0"/>
  </r>
  <r>
    <n v="77426400000000"/>
    <x v="0"/>
    <x v="17"/>
    <x v="4"/>
    <s v="ITARARE"/>
    <d v="2016-05-02T00:00:00"/>
    <d v="2016-05-03T00:00:00"/>
    <x v="4"/>
    <x v="93"/>
    <x v="4"/>
    <n v="1"/>
    <x v="1"/>
    <n v="0"/>
    <n v="0"/>
    <n v="0"/>
    <x v="1"/>
    <x v="1"/>
    <n v="1"/>
  </r>
  <r>
    <n v="2243320000000"/>
    <x v="0"/>
    <x v="87"/>
    <x v="1"/>
    <s v="SANTO ANTONIO"/>
    <d v="2016-05-02T00:00:00"/>
    <d v="2016-05-19T00:00:00"/>
    <x v="3"/>
    <x v="75"/>
    <x v="1"/>
    <n v="0"/>
    <x v="0"/>
    <n v="0"/>
    <n v="0"/>
    <n v="0"/>
    <x v="1"/>
    <x v="0"/>
    <n v="0"/>
  </r>
  <r>
    <n v="6677860000000"/>
    <x v="1"/>
    <x v="46"/>
    <x v="2"/>
    <s v="JARDIM DA PENHA"/>
    <d v="2016-05-02T00:00:00"/>
    <d v="2016-05-05T00:00:00"/>
    <x v="3"/>
    <x v="89"/>
    <x v="4"/>
    <n v="0"/>
    <x v="1"/>
    <n v="0"/>
    <n v="0"/>
    <n v="0"/>
    <x v="1"/>
    <x v="0"/>
    <n v="0"/>
  </r>
  <r>
    <n v="2647790000000"/>
    <x v="1"/>
    <x v="8"/>
    <x v="0"/>
    <s v="JARDIM DA PENHA"/>
    <d v="2016-05-02T00:00:00"/>
    <d v="2016-05-02T00:00:00"/>
    <x v="2"/>
    <x v="94"/>
    <x v="5"/>
    <n v="0"/>
    <x v="1"/>
    <n v="0"/>
    <n v="0"/>
    <n v="0"/>
    <x v="1"/>
    <x v="0"/>
    <n v="0"/>
  </r>
  <r>
    <n v="99637671331"/>
    <x v="1"/>
    <x v="84"/>
    <x v="1"/>
    <s v="JABOUR"/>
    <d v="2016-05-02T00:00:00"/>
    <d v="2016-05-02T00:00:00"/>
    <x v="2"/>
    <x v="94"/>
    <x v="5"/>
    <n v="0"/>
    <x v="1"/>
    <n v="0"/>
    <n v="0"/>
    <n v="0"/>
    <x v="1"/>
    <x v="0"/>
    <n v="0"/>
  </r>
  <r>
    <n v="1484140000000"/>
    <x v="0"/>
    <x v="15"/>
    <x v="3"/>
    <s v="GRANDE VITORIA"/>
    <d v="2016-05-02T00:00:00"/>
    <d v="2016-05-10T00:00:00"/>
    <x v="4"/>
    <x v="88"/>
    <x v="2"/>
    <n v="0"/>
    <x v="0"/>
    <n v="0"/>
    <n v="0"/>
    <n v="0"/>
    <x v="1"/>
    <x v="0"/>
    <n v="0"/>
  </r>
  <r>
    <n v="1484140000000"/>
    <x v="0"/>
    <x v="15"/>
    <x v="3"/>
    <s v="GRANDE VITORIA"/>
    <d v="2016-05-02T00:00:00"/>
    <d v="2016-05-12T00:00:00"/>
    <x v="3"/>
    <x v="83"/>
    <x v="2"/>
    <n v="0"/>
    <x v="0"/>
    <n v="0"/>
    <n v="0"/>
    <n v="0"/>
    <x v="0"/>
    <x v="0"/>
    <n v="0"/>
  </r>
  <r>
    <n v="1572720000000"/>
    <x v="0"/>
    <x v="23"/>
    <x v="3"/>
    <s v="BELA VISTA"/>
    <d v="2016-05-02T00:00:00"/>
    <d v="2016-05-11T00:00:00"/>
    <x v="1"/>
    <x v="85"/>
    <x v="2"/>
    <n v="0"/>
    <x v="0"/>
    <n v="0"/>
    <n v="0"/>
    <n v="0"/>
    <x v="0"/>
    <x v="0"/>
    <n v="0"/>
  </r>
  <r>
    <n v="74432800000000"/>
    <x v="0"/>
    <x v="6"/>
    <x v="0"/>
    <s v="SANTO ANDRE"/>
    <d v="2016-05-02T00:00:00"/>
    <d v="2016-05-11T00:00:00"/>
    <x v="1"/>
    <x v="85"/>
    <x v="2"/>
    <n v="0"/>
    <x v="0"/>
    <n v="1"/>
    <n v="0"/>
    <n v="0"/>
    <x v="0"/>
    <x v="0"/>
    <n v="0"/>
  </r>
  <r>
    <n v="692248000000"/>
    <x v="0"/>
    <x v="78"/>
    <x v="0"/>
    <s v="GOIABEIRAS"/>
    <d v="2016-05-02T00:00:00"/>
    <d v="2016-05-12T00:00:00"/>
    <x v="3"/>
    <x v="83"/>
    <x v="2"/>
    <n v="0"/>
    <x v="1"/>
    <n v="0"/>
    <n v="0"/>
    <n v="0"/>
    <x v="0"/>
    <x v="0"/>
    <n v="0"/>
  </r>
  <r>
    <n v="7122920000000"/>
    <x v="0"/>
    <x v="38"/>
    <x v="4"/>
    <s v="JARDIM CAMBURI"/>
    <d v="2016-05-02T00:00:00"/>
    <d v="2016-05-02T00:00:00"/>
    <x v="2"/>
    <x v="94"/>
    <x v="5"/>
    <n v="0"/>
    <x v="1"/>
    <n v="0"/>
    <n v="0"/>
    <n v="0"/>
    <x v="1"/>
    <x v="0"/>
    <n v="0"/>
  </r>
  <r>
    <n v="9475780000000"/>
    <x v="0"/>
    <x v="51"/>
    <x v="2"/>
    <s v="CARATOIRA"/>
    <d v="2016-05-03T00:00:00"/>
    <d v="2016-05-04T00:00:00"/>
    <x v="1"/>
    <x v="93"/>
    <x v="4"/>
    <n v="0"/>
    <x v="1"/>
    <n v="0"/>
    <n v="0"/>
    <n v="0"/>
    <x v="1"/>
    <x v="0"/>
    <n v="0"/>
  </r>
  <r>
    <n v="353442000000"/>
    <x v="1"/>
    <x v="63"/>
    <x v="0"/>
    <s v="MONTE BELO"/>
    <d v="2016-05-03T00:00:00"/>
    <d v="2016-05-03T00:00:00"/>
    <x v="4"/>
    <x v="94"/>
    <x v="5"/>
    <n v="0"/>
    <x v="1"/>
    <n v="0"/>
    <n v="0"/>
    <n v="0"/>
    <x v="1"/>
    <x v="0"/>
    <n v="0"/>
  </r>
  <r>
    <n v="97656700000000"/>
    <x v="1"/>
    <x v="84"/>
    <x v="1"/>
    <s v="FORTE SAO JOAO"/>
    <d v="2016-05-03T00:00:00"/>
    <d v="2016-05-05T00:00:00"/>
    <x v="3"/>
    <x v="91"/>
    <x v="4"/>
    <n v="0"/>
    <x v="1"/>
    <n v="0"/>
    <n v="0"/>
    <n v="0"/>
    <x v="1"/>
    <x v="0"/>
    <n v="0"/>
  </r>
  <r>
    <n v="98227900000000"/>
    <x v="0"/>
    <x v="26"/>
    <x v="0"/>
    <s v="BONFIM"/>
    <d v="2016-05-03T00:00:00"/>
    <d v="2016-05-05T00:00:00"/>
    <x v="3"/>
    <x v="91"/>
    <x v="4"/>
    <n v="0"/>
    <x v="0"/>
    <n v="0"/>
    <n v="0"/>
    <n v="0"/>
    <x v="1"/>
    <x v="0"/>
    <n v="0"/>
  </r>
  <r>
    <n v="3696120000000"/>
    <x v="1"/>
    <x v="54"/>
    <x v="1"/>
    <s v="REDENCAO"/>
    <d v="2016-05-03T00:00:00"/>
    <d v="2016-05-09T00:00:00"/>
    <x v="2"/>
    <x v="90"/>
    <x v="3"/>
    <n v="0"/>
    <x v="1"/>
    <n v="0"/>
    <n v="0"/>
    <n v="0"/>
    <x v="1"/>
    <x v="0"/>
    <n v="0"/>
  </r>
  <r>
    <n v="899228000000000"/>
    <x v="0"/>
    <x v="74"/>
    <x v="1"/>
    <s v="VILA RUBIM"/>
    <d v="2016-05-03T00:00:00"/>
    <d v="2016-06-01T00:00:00"/>
    <x v="1"/>
    <x v="63"/>
    <x v="1"/>
    <n v="0"/>
    <x v="0"/>
    <n v="0"/>
    <n v="0"/>
    <n v="0"/>
    <x v="0"/>
    <x v="0"/>
    <n v="0"/>
  </r>
  <r>
    <n v="39297500000000"/>
    <x v="0"/>
    <x v="36"/>
    <x v="3"/>
    <s v="MARIA ORTIZ"/>
    <d v="2016-05-03T00:00:00"/>
    <d v="2016-05-05T00:00:00"/>
    <x v="3"/>
    <x v="91"/>
    <x v="4"/>
    <n v="0"/>
    <x v="1"/>
    <n v="0"/>
    <n v="0"/>
    <n v="0"/>
    <x v="1"/>
    <x v="0"/>
    <n v="0"/>
  </r>
  <r>
    <n v="3336660000000"/>
    <x v="1"/>
    <x v="53"/>
    <x v="0"/>
    <s v="ITARARE"/>
    <d v="2016-05-03T00:00:00"/>
    <d v="2016-05-05T00:00:00"/>
    <x v="3"/>
    <x v="91"/>
    <x v="4"/>
    <n v="0"/>
    <x v="0"/>
    <n v="1"/>
    <n v="0"/>
    <n v="0"/>
    <x v="1"/>
    <x v="1"/>
    <n v="1"/>
  </r>
  <r>
    <n v="899228000000000"/>
    <x v="0"/>
    <x v="74"/>
    <x v="1"/>
    <s v="VILA RUBIM"/>
    <d v="2016-05-03T00:00:00"/>
    <d v="2016-06-01T00:00:00"/>
    <x v="1"/>
    <x v="63"/>
    <x v="1"/>
    <n v="0"/>
    <x v="0"/>
    <n v="0"/>
    <n v="0"/>
    <n v="0"/>
    <x v="1"/>
    <x v="0"/>
    <n v="0"/>
  </r>
  <r>
    <n v="2314360000000"/>
    <x v="0"/>
    <x v="17"/>
    <x v="4"/>
    <s v="SANTA TEREZA"/>
    <d v="2016-05-03T00:00:00"/>
    <d v="2016-06-02T00:00:00"/>
    <x v="3"/>
    <x v="60"/>
    <x v="1"/>
    <n v="0"/>
    <x v="1"/>
    <n v="0"/>
    <n v="0"/>
    <n v="0"/>
    <x v="0"/>
    <x v="0"/>
    <n v="0"/>
  </r>
  <r>
    <n v="562277000000000"/>
    <x v="1"/>
    <x v="16"/>
    <x v="1"/>
    <s v="JARDIM CAMBURI"/>
    <d v="2016-05-03T00:00:00"/>
    <d v="2016-05-05T00:00:00"/>
    <x v="3"/>
    <x v="91"/>
    <x v="4"/>
    <n v="0"/>
    <x v="1"/>
    <n v="0"/>
    <n v="0"/>
    <n v="0"/>
    <x v="1"/>
    <x v="0"/>
    <n v="0"/>
  </r>
  <r>
    <n v="38311100000000"/>
    <x v="1"/>
    <x v="15"/>
    <x v="3"/>
    <s v="BENTO FERREIRA"/>
    <d v="2016-05-03T00:00:00"/>
    <d v="2016-05-05T00:00:00"/>
    <x v="3"/>
    <x v="91"/>
    <x v="4"/>
    <n v="0"/>
    <x v="1"/>
    <n v="0"/>
    <n v="0"/>
    <n v="0"/>
    <x v="1"/>
    <x v="0"/>
    <n v="0"/>
  </r>
  <r>
    <n v="62448900000000"/>
    <x v="1"/>
    <x v="19"/>
    <x v="2"/>
    <s v="BONFIM"/>
    <d v="2016-05-03T00:00:00"/>
    <d v="2016-05-03T00:00:00"/>
    <x v="4"/>
    <x v="94"/>
    <x v="5"/>
    <n v="0"/>
    <x v="1"/>
    <n v="0"/>
    <n v="0"/>
    <n v="0"/>
    <x v="1"/>
    <x v="0"/>
    <n v="0"/>
  </r>
  <r>
    <n v="83287147316"/>
    <x v="0"/>
    <x v="21"/>
    <x v="1"/>
    <s v="CONQUISTA"/>
    <d v="2016-05-03T00:00:00"/>
    <d v="2016-05-05T00:00:00"/>
    <x v="3"/>
    <x v="91"/>
    <x v="4"/>
    <n v="0"/>
    <x v="1"/>
    <n v="0"/>
    <n v="0"/>
    <n v="0"/>
    <x v="1"/>
    <x v="0"/>
    <n v="0"/>
  </r>
  <r>
    <n v="86172747259"/>
    <x v="1"/>
    <x v="67"/>
    <x v="4"/>
    <s v="CENTRO"/>
    <d v="2016-05-03T00:00:00"/>
    <d v="2016-05-03T00:00:00"/>
    <x v="4"/>
    <x v="94"/>
    <x v="5"/>
    <n v="0"/>
    <x v="1"/>
    <n v="0"/>
    <n v="0"/>
    <n v="0"/>
    <x v="1"/>
    <x v="0"/>
    <n v="0"/>
  </r>
  <r>
    <n v="26774100000000"/>
    <x v="0"/>
    <x v="37"/>
    <x v="3"/>
    <s v="REDENCAO"/>
    <d v="2016-05-03T00:00:00"/>
    <d v="2016-05-10T00:00:00"/>
    <x v="4"/>
    <x v="87"/>
    <x v="3"/>
    <n v="1"/>
    <x v="0"/>
    <n v="1"/>
    <n v="0"/>
    <n v="0"/>
    <x v="0"/>
    <x v="0"/>
    <n v="0"/>
  </r>
  <r>
    <n v="275922000000000"/>
    <x v="0"/>
    <x v="69"/>
    <x v="4"/>
    <s v="ILHA DO PRINCIPE"/>
    <d v="2016-05-03T00:00:00"/>
    <d v="2016-05-09T00:00:00"/>
    <x v="2"/>
    <x v="90"/>
    <x v="3"/>
    <n v="0"/>
    <x v="1"/>
    <n v="0"/>
    <n v="0"/>
    <n v="0"/>
    <x v="1"/>
    <x v="0"/>
    <n v="0"/>
  </r>
  <r>
    <n v="494347000000"/>
    <x v="0"/>
    <x v="14"/>
    <x v="3"/>
    <s v="ILHA DE SANTA MARIA"/>
    <d v="2016-05-03T00:00:00"/>
    <d v="2016-05-05T00:00:00"/>
    <x v="3"/>
    <x v="91"/>
    <x v="4"/>
    <n v="0"/>
    <x v="1"/>
    <n v="0"/>
    <n v="0"/>
    <n v="0"/>
    <x v="1"/>
    <x v="0"/>
    <n v="0"/>
  </r>
  <r>
    <n v="548821000000"/>
    <x v="1"/>
    <x v="46"/>
    <x v="2"/>
    <s v="CARATOIRA"/>
    <d v="2016-05-03T00:00:00"/>
    <d v="2016-05-03T00:00:00"/>
    <x v="4"/>
    <x v="94"/>
    <x v="5"/>
    <n v="0"/>
    <x v="1"/>
    <n v="0"/>
    <n v="0"/>
    <n v="0"/>
    <x v="1"/>
    <x v="0"/>
    <n v="0"/>
  </r>
  <r>
    <n v="2668350000000"/>
    <x v="0"/>
    <x v="92"/>
    <x v="0"/>
    <s v="VILA RUBIM"/>
    <d v="2016-05-03T00:00:00"/>
    <d v="2016-06-02T00:00:00"/>
    <x v="3"/>
    <x v="60"/>
    <x v="1"/>
    <n v="0"/>
    <x v="0"/>
    <n v="0"/>
    <n v="0"/>
    <n v="0"/>
    <x v="0"/>
    <x v="1"/>
    <n v="1"/>
  </r>
  <r>
    <n v="79223700000000"/>
    <x v="0"/>
    <x v="51"/>
    <x v="2"/>
    <s v="SANTA TEREZA"/>
    <d v="2016-05-03T00:00:00"/>
    <d v="2016-06-03T00:00:00"/>
    <x v="0"/>
    <x v="57"/>
    <x v="0"/>
    <n v="0"/>
    <x v="1"/>
    <n v="0"/>
    <n v="0"/>
    <n v="0"/>
    <x v="0"/>
    <x v="0"/>
    <n v="0"/>
  </r>
  <r>
    <n v="32119000000000"/>
    <x v="0"/>
    <x v="55"/>
    <x v="2"/>
    <s v="SAO JOSE"/>
    <d v="2016-05-03T00:00:00"/>
    <d v="2016-05-11T00:00:00"/>
    <x v="1"/>
    <x v="88"/>
    <x v="2"/>
    <n v="0"/>
    <x v="1"/>
    <n v="0"/>
    <n v="0"/>
    <n v="0"/>
    <x v="1"/>
    <x v="0"/>
    <n v="0"/>
  </r>
  <r>
    <n v="114618000000000"/>
    <x v="0"/>
    <x v="30"/>
    <x v="3"/>
    <s v="REDENCAO"/>
    <d v="2016-05-03T00:00:00"/>
    <d v="2016-05-11T00:00:00"/>
    <x v="1"/>
    <x v="88"/>
    <x v="2"/>
    <n v="0"/>
    <x v="1"/>
    <n v="0"/>
    <n v="0"/>
    <n v="0"/>
    <x v="0"/>
    <x v="0"/>
    <n v="0"/>
  </r>
  <r>
    <n v="697370000000000"/>
    <x v="0"/>
    <x v="7"/>
    <x v="3"/>
    <s v="DO QUADRO"/>
    <d v="2016-05-03T00:00:00"/>
    <d v="2016-06-06T00:00:00"/>
    <x v="2"/>
    <x v="58"/>
    <x v="0"/>
    <n v="0"/>
    <x v="0"/>
    <n v="0"/>
    <n v="0"/>
    <n v="0"/>
    <x v="0"/>
    <x v="0"/>
    <n v="0"/>
  </r>
  <r>
    <n v="66534400000000"/>
    <x v="0"/>
    <x v="38"/>
    <x v="4"/>
    <s v="FORTE SAO JOAO"/>
    <d v="2016-05-03T00:00:00"/>
    <d v="2016-05-05T00:00:00"/>
    <x v="3"/>
    <x v="91"/>
    <x v="4"/>
    <n v="0"/>
    <x v="1"/>
    <n v="0"/>
    <n v="0"/>
    <n v="0"/>
    <x v="1"/>
    <x v="0"/>
    <n v="0"/>
  </r>
  <r>
    <n v="11327263153"/>
    <x v="1"/>
    <x v="14"/>
    <x v="3"/>
    <s v="ILHA DAS CAIEIRAS"/>
    <d v="2016-05-03T00:00:00"/>
    <d v="2016-05-03T00:00:00"/>
    <x v="4"/>
    <x v="94"/>
    <x v="5"/>
    <n v="0"/>
    <x v="0"/>
    <n v="0"/>
    <n v="0"/>
    <n v="0"/>
    <x v="1"/>
    <x v="0"/>
    <n v="0"/>
  </r>
  <r>
    <n v="33566728287"/>
    <x v="0"/>
    <x v="23"/>
    <x v="3"/>
    <s v="DO CABRAL"/>
    <d v="2016-05-03T00:00:00"/>
    <d v="2016-06-01T00:00:00"/>
    <x v="1"/>
    <x v="63"/>
    <x v="1"/>
    <n v="0"/>
    <x v="0"/>
    <n v="0"/>
    <n v="0"/>
    <n v="0"/>
    <x v="0"/>
    <x v="0"/>
    <n v="0"/>
  </r>
  <r>
    <n v="51822700000000"/>
    <x v="1"/>
    <x v="46"/>
    <x v="2"/>
    <s v="ILHA DO PRINCIPE"/>
    <d v="2016-05-03T00:00:00"/>
    <d v="2016-05-12T00:00:00"/>
    <x v="3"/>
    <x v="85"/>
    <x v="2"/>
    <n v="0"/>
    <x v="1"/>
    <n v="0"/>
    <n v="0"/>
    <n v="0"/>
    <x v="0"/>
    <x v="0"/>
    <n v="0"/>
  </r>
  <r>
    <n v="619878000000"/>
    <x v="0"/>
    <x v="25"/>
    <x v="4"/>
    <s v="REDENCAO"/>
    <d v="2016-05-03T00:00:00"/>
    <d v="2016-05-13T00:00:00"/>
    <x v="0"/>
    <x v="83"/>
    <x v="2"/>
    <n v="0"/>
    <x v="1"/>
    <n v="0"/>
    <n v="0"/>
    <n v="0"/>
    <x v="1"/>
    <x v="0"/>
    <n v="0"/>
  </r>
  <r>
    <n v="22384900000000"/>
    <x v="1"/>
    <x v="87"/>
    <x v="1"/>
    <s v="SANTA TEREZA"/>
    <d v="2016-05-03T00:00:00"/>
    <d v="2016-06-03T00:00:00"/>
    <x v="0"/>
    <x v="57"/>
    <x v="0"/>
    <n v="0"/>
    <x v="1"/>
    <n v="0"/>
    <n v="0"/>
    <n v="0"/>
    <x v="0"/>
    <x v="0"/>
    <n v="0"/>
  </r>
  <r>
    <n v="39689400000000"/>
    <x v="0"/>
    <x v="48"/>
    <x v="3"/>
    <s v="VILA RUBIM"/>
    <d v="2016-05-03T00:00:00"/>
    <d v="2016-06-03T00:00:00"/>
    <x v="0"/>
    <x v="57"/>
    <x v="0"/>
    <n v="0"/>
    <x v="1"/>
    <n v="0"/>
    <n v="0"/>
    <n v="0"/>
    <x v="0"/>
    <x v="0"/>
    <n v="0"/>
  </r>
  <r>
    <n v="495642000000000"/>
    <x v="0"/>
    <x v="31"/>
    <x v="1"/>
    <s v="SAO CRISTOVAO"/>
    <d v="2016-05-03T00:00:00"/>
    <d v="2016-05-03T00:00:00"/>
    <x v="4"/>
    <x v="94"/>
    <x v="5"/>
    <n v="0"/>
    <x v="1"/>
    <n v="0"/>
    <n v="0"/>
    <n v="0"/>
    <x v="1"/>
    <x v="0"/>
    <n v="0"/>
  </r>
  <r>
    <n v="247854000000000"/>
    <x v="1"/>
    <x v="37"/>
    <x v="3"/>
    <s v="PARQUE MOSCOSO"/>
    <d v="2016-05-03T00:00:00"/>
    <d v="2016-05-24T00:00:00"/>
    <x v="4"/>
    <x v="73"/>
    <x v="1"/>
    <n v="0"/>
    <x v="1"/>
    <n v="0"/>
    <n v="0"/>
    <n v="0"/>
    <x v="1"/>
    <x v="0"/>
    <n v="0"/>
  </r>
  <r>
    <n v="463679000000"/>
    <x v="0"/>
    <x v="4"/>
    <x v="2"/>
    <s v="SANTO ANTONIO"/>
    <d v="2016-05-03T00:00:00"/>
    <d v="2016-05-03T00:00:00"/>
    <x v="4"/>
    <x v="94"/>
    <x v="5"/>
    <n v="0"/>
    <x v="1"/>
    <n v="0"/>
    <n v="0"/>
    <n v="0"/>
    <x v="1"/>
    <x v="0"/>
    <n v="0"/>
  </r>
  <r>
    <n v="5766800000000"/>
    <x v="0"/>
    <x v="61"/>
    <x v="1"/>
    <s v="BELA VISTA"/>
    <d v="2016-05-03T00:00:00"/>
    <d v="2016-05-03T00:00:00"/>
    <x v="4"/>
    <x v="94"/>
    <x v="5"/>
    <n v="0"/>
    <x v="1"/>
    <n v="0"/>
    <n v="0"/>
    <n v="0"/>
    <x v="1"/>
    <x v="0"/>
    <n v="0"/>
  </r>
  <r>
    <n v="67132725646"/>
    <x v="0"/>
    <x v="16"/>
    <x v="1"/>
    <s v="REDENCAO"/>
    <d v="2016-05-03T00:00:00"/>
    <d v="2016-05-13T00:00:00"/>
    <x v="0"/>
    <x v="83"/>
    <x v="2"/>
    <n v="0"/>
    <x v="0"/>
    <n v="1"/>
    <n v="0"/>
    <n v="0"/>
    <x v="1"/>
    <x v="0"/>
    <n v="0"/>
  </r>
  <r>
    <n v="84577800000000"/>
    <x v="0"/>
    <x v="83"/>
    <x v="0"/>
    <s v="VILA RUBIM"/>
    <d v="2016-05-03T00:00:00"/>
    <d v="2016-05-11T00:00:00"/>
    <x v="1"/>
    <x v="88"/>
    <x v="2"/>
    <n v="0"/>
    <x v="1"/>
    <n v="0"/>
    <n v="0"/>
    <n v="0"/>
    <x v="0"/>
    <x v="0"/>
    <n v="0"/>
  </r>
  <r>
    <n v="14584333893"/>
    <x v="1"/>
    <x v="65"/>
    <x v="2"/>
    <s v="RESISTENCIA"/>
    <d v="2016-05-03T00:00:00"/>
    <d v="2016-05-05T00:00:00"/>
    <x v="3"/>
    <x v="91"/>
    <x v="4"/>
    <n v="0"/>
    <x v="1"/>
    <n v="0"/>
    <n v="0"/>
    <n v="0"/>
    <x v="1"/>
    <x v="1"/>
    <n v="1"/>
  </r>
  <r>
    <n v="9171190000000"/>
    <x v="1"/>
    <x v="37"/>
    <x v="3"/>
    <s v="FORTE SAO JOAO"/>
    <d v="2016-05-03T00:00:00"/>
    <d v="2016-05-05T00:00:00"/>
    <x v="3"/>
    <x v="91"/>
    <x v="4"/>
    <n v="0"/>
    <x v="1"/>
    <n v="0"/>
    <n v="0"/>
    <n v="0"/>
    <x v="1"/>
    <x v="1"/>
    <n v="1"/>
  </r>
  <r>
    <n v="834512000000"/>
    <x v="1"/>
    <x v="19"/>
    <x v="2"/>
    <s v="SAO CRISTOVAO"/>
    <d v="2016-05-03T00:00:00"/>
    <d v="2016-05-05T00:00:00"/>
    <x v="3"/>
    <x v="91"/>
    <x v="4"/>
    <n v="0"/>
    <x v="1"/>
    <n v="0"/>
    <n v="0"/>
    <n v="0"/>
    <x v="1"/>
    <x v="0"/>
    <n v="0"/>
  </r>
  <r>
    <n v="9643850000000"/>
    <x v="1"/>
    <x v="80"/>
    <x v="2"/>
    <s v="TABUAZEIRO"/>
    <d v="2016-05-03T00:00:00"/>
    <d v="2016-05-04T00:00:00"/>
    <x v="1"/>
    <x v="93"/>
    <x v="4"/>
    <n v="0"/>
    <x v="1"/>
    <n v="0"/>
    <n v="0"/>
    <n v="0"/>
    <x v="1"/>
    <x v="0"/>
    <n v="0"/>
  </r>
  <r>
    <n v="892861000000000"/>
    <x v="0"/>
    <x v="75"/>
    <x v="5"/>
    <s v="SAO CRISTOVAO"/>
    <d v="2016-05-03T00:00:00"/>
    <d v="2016-05-05T00:00:00"/>
    <x v="3"/>
    <x v="91"/>
    <x v="4"/>
    <n v="0"/>
    <x v="1"/>
    <n v="0"/>
    <n v="0"/>
    <n v="0"/>
    <x v="1"/>
    <x v="1"/>
    <n v="1"/>
  </r>
  <r>
    <n v="2746250000000"/>
    <x v="0"/>
    <x v="21"/>
    <x v="1"/>
    <s v="JARDIM CAMBURI"/>
    <d v="2016-05-03T00:00:00"/>
    <d v="2016-05-05T00:00:00"/>
    <x v="3"/>
    <x v="91"/>
    <x v="4"/>
    <n v="0"/>
    <x v="1"/>
    <n v="0"/>
    <n v="0"/>
    <n v="0"/>
    <x v="1"/>
    <x v="0"/>
    <n v="0"/>
  </r>
  <r>
    <n v="52918700000000"/>
    <x v="0"/>
    <x v="63"/>
    <x v="0"/>
    <s v="ILHA DO PRINCIPE"/>
    <d v="2016-05-03T00:00:00"/>
    <d v="2016-05-04T00:00:00"/>
    <x v="1"/>
    <x v="93"/>
    <x v="4"/>
    <n v="0"/>
    <x v="0"/>
    <n v="0"/>
    <n v="0"/>
    <n v="0"/>
    <x v="1"/>
    <x v="0"/>
    <n v="0"/>
  </r>
  <r>
    <n v="55647900000000"/>
    <x v="0"/>
    <x v="78"/>
    <x v="0"/>
    <s v="TABUAZEIRO"/>
    <d v="2016-05-03T00:00:00"/>
    <d v="2016-05-03T00:00:00"/>
    <x v="4"/>
    <x v="94"/>
    <x v="5"/>
    <n v="0"/>
    <x v="0"/>
    <n v="1"/>
    <n v="0"/>
    <n v="1"/>
    <x v="1"/>
    <x v="0"/>
    <n v="0"/>
  </r>
  <r>
    <n v="322662000000000"/>
    <x v="1"/>
    <x v="4"/>
    <x v="2"/>
    <s v="BONFIM"/>
    <d v="2016-05-03T00:00:00"/>
    <d v="2016-05-03T00:00:00"/>
    <x v="4"/>
    <x v="94"/>
    <x v="5"/>
    <n v="0"/>
    <x v="1"/>
    <n v="0"/>
    <n v="0"/>
    <n v="0"/>
    <x v="1"/>
    <x v="0"/>
    <n v="0"/>
  </r>
  <r>
    <n v="764595000000000"/>
    <x v="0"/>
    <x v="23"/>
    <x v="3"/>
    <s v="ILHA DO PRINCIPE"/>
    <d v="2016-05-03T00:00:00"/>
    <d v="2016-05-03T00:00:00"/>
    <x v="4"/>
    <x v="94"/>
    <x v="5"/>
    <n v="0"/>
    <x v="1"/>
    <n v="0"/>
    <n v="0"/>
    <n v="0"/>
    <x v="1"/>
    <x v="0"/>
    <n v="0"/>
  </r>
  <r>
    <n v="61561600000000"/>
    <x v="1"/>
    <x v="61"/>
    <x v="1"/>
    <s v="FORTE SAO JOAO"/>
    <d v="2016-05-03T00:00:00"/>
    <d v="2016-05-06T00:00:00"/>
    <x v="0"/>
    <x v="89"/>
    <x v="4"/>
    <n v="0"/>
    <x v="1"/>
    <n v="1"/>
    <n v="0"/>
    <n v="0"/>
    <x v="0"/>
    <x v="0"/>
    <n v="0"/>
  </r>
  <r>
    <n v="733839000000000"/>
    <x v="0"/>
    <x v="18"/>
    <x v="0"/>
    <s v="FORTE SAO JOAO"/>
    <d v="2016-05-03T00:00:00"/>
    <d v="2016-05-10T00:00:00"/>
    <x v="4"/>
    <x v="87"/>
    <x v="3"/>
    <n v="0"/>
    <x v="0"/>
    <n v="1"/>
    <n v="0"/>
    <n v="0"/>
    <x v="0"/>
    <x v="0"/>
    <n v="0"/>
  </r>
  <r>
    <n v="244476000000000"/>
    <x v="1"/>
    <x v="89"/>
    <x v="0"/>
    <s v="JUCUTUQUARA"/>
    <d v="2016-05-03T00:00:00"/>
    <d v="2016-05-05T00:00:00"/>
    <x v="3"/>
    <x v="91"/>
    <x v="4"/>
    <n v="0"/>
    <x v="1"/>
    <n v="0"/>
    <n v="0"/>
    <n v="0"/>
    <x v="1"/>
    <x v="1"/>
    <n v="1"/>
  </r>
  <r>
    <n v="4636530000000"/>
    <x v="0"/>
    <x v="81"/>
    <x v="5"/>
    <s v="DO CABRAL"/>
    <d v="2016-05-03T00:00:00"/>
    <d v="2016-06-03T00:00:00"/>
    <x v="0"/>
    <x v="57"/>
    <x v="0"/>
    <n v="0"/>
    <x v="1"/>
    <n v="0"/>
    <n v="0"/>
    <n v="0"/>
    <x v="0"/>
    <x v="0"/>
    <n v="0"/>
  </r>
  <r>
    <n v="462842000000000"/>
    <x v="0"/>
    <x v="39"/>
    <x v="4"/>
    <s v="JESUS DE NAZARETH"/>
    <d v="2016-05-03T00:00:00"/>
    <d v="2016-05-03T00:00:00"/>
    <x v="4"/>
    <x v="94"/>
    <x v="5"/>
    <n v="0"/>
    <x v="1"/>
    <n v="0"/>
    <n v="0"/>
    <n v="0"/>
    <x v="1"/>
    <x v="0"/>
    <n v="0"/>
  </r>
  <r>
    <n v="715295000000000"/>
    <x v="0"/>
    <x v="92"/>
    <x v="0"/>
    <s v="FORTE SAO JOAO"/>
    <d v="2016-05-03T00:00:00"/>
    <d v="2016-05-06T00:00:00"/>
    <x v="0"/>
    <x v="89"/>
    <x v="4"/>
    <n v="0"/>
    <x v="0"/>
    <n v="1"/>
    <n v="0"/>
    <n v="0"/>
    <x v="0"/>
    <x v="0"/>
    <n v="0"/>
  </r>
  <r>
    <n v="423929000000000"/>
    <x v="1"/>
    <x v="32"/>
    <x v="4"/>
    <s v="CONQUISTA"/>
    <d v="2016-05-03T00:00:00"/>
    <d v="2016-05-20T00:00:00"/>
    <x v="0"/>
    <x v="75"/>
    <x v="1"/>
    <n v="0"/>
    <x v="1"/>
    <n v="0"/>
    <n v="0"/>
    <n v="0"/>
    <x v="1"/>
    <x v="1"/>
    <n v="1"/>
  </r>
  <r>
    <n v="76855400000000"/>
    <x v="1"/>
    <x v="43"/>
    <x v="2"/>
    <s v="SANTO ANTONIO"/>
    <d v="2016-05-03T00:00:00"/>
    <d v="2016-05-03T00:00:00"/>
    <x v="4"/>
    <x v="94"/>
    <x v="5"/>
    <n v="0"/>
    <x v="1"/>
    <n v="0"/>
    <n v="0"/>
    <n v="0"/>
    <x v="1"/>
    <x v="0"/>
    <n v="0"/>
  </r>
  <r>
    <n v="3553380000000"/>
    <x v="0"/>
    <x v="72"/>
    <x v="5"/>
    <s v="TABUAZEIRO"/>
    <d v="2016-05-03T00:00:00"/>
    <d v="2016-05-03T00:00:00"/>
    <x v="4"/>
    <x v="94"/>
    <x v="5"/>
    <n v="1"/>
    <x v="1"/>
    <n v="0"/>
    <n v="0"/>
    <n v="1"/>
    <x v="1"/>
    <x v="0"/>
    <n v="0"/>
  </r>
  <r>
    <n v="59416500000000"/>
    <x v="0"/>
    <x v="84"/>
    <x v="1"/>
    <s v="NOVA PALESTINA"/>
    <d v="2016-05-03T00:00:00"/>
    <d v="2016-05-03T00:00:00"/>
    <x v="4"/>
    <x v="94"/>
    <x v="5"/>
    <n v="1"/>
    <x v="0"/>
    <n v="1"/>
    <n v="0"/>
    <n v="0"/>
    <x v="1"/>
    <x v="0"/>
    <n v="0"/>
  </r>
  <r>
    <n v="3552850000000"/>
    <x v="1"/>
    <x v="63"/>
    <x v="0"/>
    <s v="SAO CRISTOVAO"/>
    <d v="2016-05-03T00:00:00"/>
    <d v="2016-05-03T00:00:00"/>
    <x v="4"/>
    <x v="94"/>
    <x v="5"/>
    <n v="0"/>
    <x v="0"/>
    <n v="0"/>
    <n v="0"/>
    <n v="0"/>
    <x v="1"/>
    <x v="0"/>
    <n v="0"/>
  </r>
  <r>
    <n v="34867400000000"/>
    <x v="0"/>
    <x v="65"/>
    <x v="2"/>
    <s v="DA PENHA"/>
    <d v="2016-05-03T00:00:00"/>
    <d v="2016-05-03T00:00:00"/>
    <x v="4"/>
    <x v="94"/>
    <x v="5"/>
    <n v="0"/>
    <x v="1"/>
    <n v="0"/>
    <n v="0"/>
    <n v="0"/>
    <x v="1"/>
    <x v="0"/>
    <n v="0"/>
  </r>
  <r>
    <n v="166272000000"/>
    <x v="1"/>
    <x v="1"/>
    <x v="0"/>
    <s v="SAO JOSE"/>
    <d v="2016-05-03T00:00:00"/>
    <d v="2016-05-03T00:00:00"/>
    <x v="4"/>
    <x v="94"/>
    <x v="5"/>
    <n v="0"/>
    <x v="0"/>
    <n v="0"/>
    <n v="0"/>
    <n v="0"/>
    <x v="1"/>
    <x v="0"/>
    <n v="0"/>
  </r>
  <r>
    <n v="63179900000000"/>
    <x v="1"/>
    <x v="46"/>
    <x v="2"/>
    <s v="MARIA ORTIZ"/>
    <d v="2016-05-03T00:00:00"/>
    <d v="2016-05-03T00:00:00"/>
    <x v="4"/>
    <x v="94"/>
    <x v="5"/>
    <n v="0"/>
    <x v="1"/>
    <n v="0"/>
    <n v="0"/>
    <n v="0"/>
    <x v="1"/>
    <x v="0"/>
    <n v="0"/>
  </r>
  <r>
    <n v="8759820000000"/>
    <x v="0"/>
    <x v="48"/>
    <x v="3"/>
    <s v="VILA RUBIM"/>
    <d v="2016-05-03T00:00:00"/>
    <d v="2016-06-08T00:00:00"/>
    <x v="1"/>
    <x v="55"/>
    <x v="0"/>
    <n v="1"/>
    <x v="1"/>
    <n v="0"/>
    <n v="0"/>
    <n v="0"/>
    <x v="0"/>
    <x v="0"/>
    <n v="0"/>
  </r>
  <r>
    <n v="656362000000000"/>
    <x v="0"/>
    <x v="17"/>
    <x v="4"/>
    <s v="INHANGUETA"/>
    <d v="2016-05-03T00:00:00"/>
    <d v="2016-05-25T00:00:00"/>
    <x v="1"/>
    <x v="71"/>
    <x v="1"/>
    <n v="0"/>
    <x v="1"/>
    <n v="0"/>
    <n v="0"/>
    <n v="0"/>
    <x v="0"/>
    <x v="0"/>
    <n v="0"/>
  </r>
  <r>
    <n v="435285000000000"/>
    <x v="1"/>
    <x v="80"/>
    <x v="2"/>
    <s v="SANTA TEREZA"/>
    <d v="2016-05-03T00:00:00"/>
    <d v="2016-06-06T00:00:00"/>
    <x v="2"/>
    <x v="58"/>
    <x v="0"/>
    <n v="0"/>
    <x v="1"/>
    <n v="0"/>
    <n v="0"/>
    <n v="0"/>
    <x v="1"/>
    <x v="0"/>
    <n v="0"/>
  </r>
  <r>
    <n v="9842780000000"/>
    <x v="0"/>
    <x v="50"/>
    <x v="1"/>
    <s v="ILHA DO PRINCIPE"/>
    <d v="2016-05-03T00:00:00"/>
    <d v="2016-05-10T00:00:00"/>
    <x v="4"/>
    <x v="87"/>
    <x v="3"/>
    <n v="0"/>
    <x v="1"/>
    <n v="0"/>
    <n v="0"/>
    <n v="0"/>
    <x v="0"/>
    <x v="0"/>
    <n v="0"/>
  </r>
  <r>
    <n v="749830000000000"/>
    <x v="1"/>
    <x v="38"/>
    <x v="4"/>
    <s v="CARATOIRA"/>
    <d v="2016-05-03T00:00:00"/>
    <d v="2016-05-03T00:00:00"/>
    <x v="4"/>
    <x v="94"/>
    <x v="5"/>
    <n v="0"/>
    <x v="0"/>
    <n v="0"/>
    <n v="0"/>
    <n v="0"/>
    <x v="1"/>
    <x v="0"/>
    <n v="0"/>
  </r>
  <r>
    <n v="163518000000"/>
    <x v="1"/>
    <x v="46"/>
    <x v="2"/>
    <s v="SAO JOSE"/>
    <d v="2016-05-03T00:00:00"/>
    <d v="2016-05-03T00:00:00"/>
    <x v="4"/>
    <x v="94"/>
    <x v="5"/>
    <n v="0"/>
    <x v="1"/>
    <n v="0"/>
    <n v="0"/>
    <n v="0"/>
    <x v="1"/>
    <x v="0"/>
    <n v="0"/>
  </r>
  <r>
    <n v="87312700000000"/>
    <x v="0"/>
    <x v="24"/>
    <x v="1"/>
    <s v="JARDIM DA PENHA"/>
    <d v="2016-05-03T00:00:00"/>
    <d v="2016-05-20T00:00:00"/>
    <x v="0"/>
    <x v="75"/>
    <x v="1"/>
    <n v="0"/>
    <x v="1"/>
    <n v="0"/>
    <n v="0"/>
    <n v="0"/>
    <x v="1"/>
    <x v="0"/>
    <n v="0"/>
  </r>
  <r>
    <n v="615524000000000"/>
    <x v="0"/>
    <x v="5"/>
    <x v="1"/>
    <s v="JARDIM DA PENHA"/>
    <d v="2016-05-03T00:00:00"/>
    <d v="2016-05-04T00:00:00"/>
    <x v="1"/>
    <x v="93"/>
    <x v="4"/>
    <n v="0"/>
    <x v="1"/>
    <n v="0"/>
    <n v="0"/>
    <n v="0"/>
    <x v="1"/>
    <x v="1"/>
    <n v="1"/>
  </r>
  <r>
    <n v="24919200000000"/>
    <x v="0"/>
    <x v="66"/>
    <x v="2"/>
    <s v="JARDIM CAMBURI"/>
    <d v="2016-05-03T00:00:00"/>
    <d v="2016-05-03T00:00:00"/>
    <x v="4"/>
    <x v="94"/>
    <x v="5"/>
    <n v="0"/>
    <x v="1"/>
    <n v="0"/>
    <n v="0"/>
    <n v="0"/>
    <x v="1"/>
    <x v="0"/>
    <n v="0"/>
  </r>
  <r>
    <n v="527495000000000"/>
    <x v="0"/>
    <x v="32"/>
    <x v="4"/>
    <s v="BONFIM"/>
    <d v="2016-05-03T00:00:00"/>
    <d v="2016-05-11T00:00:00"/>
    <x v="1"/>
    <x v="88"/>
    <x v="2"/>
    <n v="0"/>
    <x v="1"/>
    <n v="1"/>
    <n v="0"/>
    <n v="0"/>
    <x v="0"/>
    <x v="1"/>
    <n v="1"/>
  </r>
  <r>
    <n v="11989700000000"/>
    <x v="0"/>
    <x v="57"/>
    <x v="2"/>
    <s v="ILHA DAS CAIEIRAS"/>
    <d v="2016-05-03T00:00:00"/>
    <d v="2016-05-03T00:00:00"/>
    <x v="4"/>
    <x v="94"/>
    <x v="5"/>
    <n v="0"/>
    <x v="1"/>
    <n v="0"/>
    <n v="0"/>
    <n v="0"/>
    <x v="1"/>
    <x v="0"/>
    <n v="0"/>
  </r>
  <r>
    <n v="56363300000000"/>
    <x v="0"/>
    <x v="47"/>
    <x v="4"/>
    <s v="RESISTENCIA"/>
    <d v="2016-05-03T00:00:00"/>
    <d v="2016-05-03T00:00:00"/>
    <x v="4"/>
    <x v="94"/>
    <x v="5"/>
    <n v="0"/>
    <x v="1"/>
    <n v="0"/>
    <n v="0"/>
    <n v="0"/>
    <x v="1"/>
    <x v="0"/>
    <n v="0"/>
  </r>
  <r>
    <n v="679157000000000"/>
    <x v="0"/>
    <x v="25"/>
    <x v="4"/>
    <s v="FORTE SAO JOAO"/>
    <d v="2016-05-03T00:00:00"/>
    <d v="2016-05-03T00:00:00"/>
    <x v="4"/>
    <x v="94"/>
    <x v="5"/>
    <n v="0"/>
    <x v="0"/>
    <n v="0"/>
    <n v="0"/>
    <n v="0"/>
    <x v="1"/>
    <x v="0"/>
    <n v="0"/>
  </r>
  <r>
    <n v="462842000000000"/>
    <x v="0"/>
    <x v="39"/>
    <x v="4"/>
    <s v="JESUS DE NAZARETH"/>
    <d v="2016-05-03T00:00:00"/>
    <d v="2016-05-20T00:00:00"/>
    <x v="0"/>
    <x v="75"/>
    <x v="1"/>
    <n v="0"/>
    <x v="1"/>
    <n v="0"/>
    <n v="0"/>
    <n v="0"/>
    <x v="1"/>
    <x v="0"/>
    <n v="0"/>
  </r>
  <r>
    <n v="281640000000000"/>
    <x v="0"/>
    <x v="74"/>
    <x v="1"/>
    <s v="CONSOLACAO"/>
    <d v="2016-05-03T00:00:00"/>
    <d v="2016-05-25T00:00:00"/>
    <x v="1"/>
    <x v="71"/>
    <x v="1"/>
    <n v="0"/>
    <x v="1"/>
    <n v="0"/>
    <n v="0"/>
    <n v="0"/>
    <x v="0"/>
    <x v="0"/>
    <n v="0"/>
  </r>
  <r>
    <n v="451297000000000"/>
    <x v="1"/>
    <x v="83"/>
    <x v="0"/>
    <s v="SANTA MARTHA"/>
    <d v="2016-05-03T00:00:00"/>
    <d v="2016-05-03T00:00:00"/>
    <x v="4"/>
    <x v="94"/>
    <x v="5"/>
    <n v="0"/>
    <x v="0"/>
    <n v="0"/>
    <n v="0"/>
    <n v="0"/>
    <x v="1"/>
    <x v="0"/>
    <n v="0"/>
  </r>
  <r>
    <n v="26695500000000"/>
    <x v="1"/>
    <x v="51"/>
    <x v="2"/>
    <s v="NOVA PALESTINA"/>
    <d v="2016-05-03T00:00:00"/>
    <d v="2016-05-17T00:00:00"/>
    <x v="4"/>
    <x v="80"/>
    <x v="2"/>
    <n v="0"/>
    <x v="1"/>
    <n v="0"/>
    <n v="0"/>
    <n v="0"/>
    <x v="1"/>
    <x v="1"/>
    <n v="1"/>
  </r>
  <r>
    <n v="25411500000000"/>
    <x v="1"/>
    <x v="57"/>
    <x v="2"/>
    <s v="MARIA ORTIZ"/>
    <d v="2016-05-03T00:00:00"/>
    <d v="2016-05-03T00:00:00"/>
    <x v="4"/>
    <x v="94"/>
    <x v="5"/>
    <n v="0"/>
    <x v="1"/>
    <n v="0"/>
    <n v="0"/>
    <n v="0"/>
    <x v="1"/>
    <x v="0"/>
    <n v="0"/>
  </r>
  <r>
    <n v="4211920000000"/>
    <x v="0"/>
    <x v="37"/>
    <x v="3"/>
    <s v="SAO CRISTOVAO"/>
    <d v="2016-05-03T00:00:00"/>
    <d v="2016-05-03T00:00:00"/>
    <x v="4"/>
    <x v="94"/>
    <x v="5"/>
    <n v="0"/>
    <x v="0"/>
    <n v="1"/>
    <n v="0"/>
    <n v="0"/>
    <x v="1"/>
    <x v="0"/>
    <n v="0"/>
  </r>
  <r>
    <n v="6567270000000"/>
    <x v="1"/>
    <x v="46"/>
    <x v="2"/>
    <s v="CONSOLACAO"/>
    <d v="2016-05-03T00:00:00"/>
    <d v="2016-05-05T00:00:00"/>
    <x v="3"/>
    <x v="91"/>
    <x v="4"/>
    <n v="0"/>
    <x v="1"/>
    <n v="0"/>
    <n v="0"/>
    <n v="0"/>
    <x v="1"/>
    <x v="0"/>
    <n v="0"/>
  </r>
  <r>
    <n v="743443000000"/>
    <x v="0"/>
    <x v="70"/>
    <x v="5"/>
    <s v="CONSOLACAO"/>
    <d v="2016-05-03T00:00:00"/>
    <d v="2016-05-03T00:00:00"/>
    <x v="4"/>
    <x v="94"/>
    <x v="5"/>
    <n v="1"/>
    <x v="1"/>
    <n v="0"/>
    <n v="0"/>
    <n v="0"/>
    <x v="1"/>
    <x v="0"/>
    <n v="0"/>
  </r>
  <r>
    <n v="144761000000000"/>
    <x v="1"/>
    <x v="32"/>
    <x v="4"/>
    <s v="SANTA TEREZA"/>
    <d v="2016-05-03T00:00:00"/>
    <d v="2016-05-10T00:00:00"/>
    <x v="4"/>
    <x v="87"/>
    <x v="3"/>
    <n v="0"/>
    <x v="1"/>
    <n v="0"/>
    <n v="0"/>
    <n v="0"/>
    <x v="0"/>
    <x v="0"/>
    <n v="0"/>
  </r>
  <r>
    <n v="8329200000000"/>
    <x v="0"/>
    <x v="28"/>
    <x v="3"/>
    <s v="CENTRO"/>
    <d v="2016-05-03T00:00:00"/>
    <d v="2016-05-03T00:00:00"/>
    <x v="4"/>
    <x v="94"/>
    <x v="5"/>
    <n v="0"/>
    <x v="1"/>
    <n v="0"/>
    <n v="0"/>
    <n v="1"/>
    <x v="1"/>
    <x v="1"/>
    <n v="1"/>
  </r>
  <r>
    <n v="558264000000000"/>
    <x v="1"/>
    <x v="84"/>
    <x v="1"/>
    <s v="RESISTENCIA"/>
    <d v="2016-05-03T00:00:00"/>
    <d v="2016-05-03T00:00:00"/>
    <x v="4"/>
    <x v="94"/>
    <x v="5"/>
    <n v="0"/>
    <x v="1"/>
    <n v="1"/>
    <n v="0"/>
    <n v="0"/>
    <x v="1"/>
    <x v="0"/>
    <n v="0"/>
  </r>
  <r>
    <n v="348192000000000"/>
    <x v="0"/>
    <x v="24"/>
    <x v="1"/>
    <s v="DO CABRAL"/>
    <d v="2016-05-03T00:00:00"/>
    <d v="2016-06-08T00:00:00"/>
    <x v="1"/>
    <x v="55"/>
    <x v="0"/>
    <n v="1"/>
    <x v="1"/>
    <n v="0"/>
    <n v="0"/>
    <n v="0"/>
    <x v="0"/>
    <x v="1"/>
    <n v="1"/>
  </r>
  <r>
    <n v="2698500000000"/>
    <x v="0"/>
    <x v="45"/>
    <x v="1"/>
    <s v="CONQUISTA"/>
    <d v="2016-05-03T00:00:00"/>
    <d v="2016-05-03T00:00:00"/>
    <x v="4"/>
    <x v="94"/>
    <x v="5"/>
    <n v="1"/>
    <x v="1"/>
    <n v="0"/>
    <n v="0"/>
    <n v="0"/>
    <x v="1"/>
    <x v="0"/>
    <n v="0"/>
  </r>
  <r>
    <n v="92388600000000"/>
    <x v="0"/>
    <x v="36"/>
    <x v="3"/>
    <s v="CRUZAMENTO"/>
    <d v="2016-05-03T00:00:00"/>
    <d v="2016-05-03T00:00:00"/>
    <x v="4"/>
    <x v="94"/>
    <x v="5"/>
    <n v="1"/>
    <x v="0"/>
    <n v="0"/>
    <n v="0"/>
    <n v="0"/>
    <x v="1"/>
    <x v="0"/>
    <n v="0"/>
  </r>
  <r>
    <n v="67254200000000"/>
    <x v="1"/>
    <x v="52"/>
    <x v="2"/>
    <s v="SANTA MARTHA"/>
    <d v="2016-05-03T00:00:00"/>
    <d v="2016-05-10T00:00:00"/>
    <x v="4"/>
    <x v="87"/>
    <x v="3"/>
    <n v="0"/>
    <x v="1"/>
    <n v="0"/>
    <n v="0"/>
    <n v="0"/>
    <x v="0"/>
    <x v="1"/>
    <n v="1"/>
  </r>
  <r>
    <n v="253866000000000"/>
    <x v="0"/>
    <x v="37"/>
    <x v="3"/>
    <s v="DO QUADRO"/>
    <d v="2016-05-03T00:00:00"/>
    <d v="2016-05-19T00:00:00"/>
    <x v="3"/>
    <x v="78"/>
    <x v="1"/>
    <n v="0"/>
    <x v="1"/>
    <n v="0"/>
    <n v="0"/>
    <n v="0"/>
    <x v="1"/>
    <x v="0"/>
    <n v="0"/>
  </r>
  <r>
    <n v="4236330000000"/>
    <x v="1"/>
    <x v="46"/>
    <x v="2"/>
    <s v="SAO JOSE"/>
    <d v="2016-05-03T00:00:00"/>
    <d v="2016-05-03T00:00:00"/>
    <x v="4"/>
    <x v="94"/>
    <x v="5"/>
    <n v="0"/>
    <x v="1"/>
    <n v="0"/>
    <n v="0"/>
    <n v="0"/>
    <x v="1"/>
    <x v="0"/>
    <n v="0"/>
  </r>
  <r>
    <n v="44219600000000"/>
    <x v="0"/>
    <x v="30"/>
    <x v="3"/>
    <s v="SANTO ANDRE"/>
    <d v="2016-05-03T00:00:00"/>
    <d v="2016-05-09T00:00:00"/>
    <x v="2"/>
    <x v="90"/>
    <x v="3"/>
    <n v="0"/>
    <x v="0"/>
    <n v="0"/>
    <n v="0"/>
    <n v="0"/>
    <x v="1"/>
    <x v="0"/>
    <n v="0"/>
  </r>
  <r>
    <n v="3662940000000"/>
    <x v="1"/>
    <x v="22"/>
    <x v="4"/>
    <s v="JARDIM DA PENHA"/>
    <d v="2016-05-03T00:00:00"/>
    <d v="2016-05-10T00:00:00"/>
    <x v="4"/>
    <x v="87"/>
    <x v="3"/>
    <n v="0"/>
    <x v="1"/>
    <n v="0"/>
    <n v="0"/>
    <n v="0"/>
    <x v="0"/>
    <x v="0"/>
    <n v="0"/>
  </r>
  <r>
    <n v="65445800000000"/>
    <x v="1"/>
    <x v="46"/>
    <x v="2"/>
    <s v="SANTOS REIS"/>
    <d v="2016-05-03T00:00:00"/>
    <d v="2016-05-05T00:00:00"/>
    <x v="3"/>
    <x v="91"/>
    <x v="4"/>
    <n v="0"/>
    <x v="1"/>
    <n v="0"/>
    <n v="0"/>
    <n v="0"/>
    <x v="1"/>
    <x v="0"/>
    <n v="0"/>
  </r>
  <r>
    <n v="16494700000000"/>
    <x v="0"/>
    <x v="38"/>
    <x v="4"/>
    <s v="CONSOLACAO"/>
    <d v="2016-05-03T00:00:00"/>
    <d v="2016-05-16T00:00:00"/>
    <x v="2"/>
    <x v="82"/>
    <x v="2"/>
    <n v="0"/>
    <x v="1"/>
    <n v="0"/>
    <n v="0"/>
    <n v="0"/>
    <x v="1"/>
    <x v="0"/>
    <n v="0"/>
  </r>
  <r>
    <n v="4372870000000"/>
    <x v="1"/>
    <x v="60"/>
    <x v="2"/>
    <s v="RESISTENCIA"/>
    <d v="2016-05-03T00:00:00"/>
    <d v="2016-05-03T00:00:00"/>
    <x v="4"/>
    <x v="94"/>
    <x v="5"/>
    <n v="0"/>
    <x v="1"/>
    <n v="0"/>
    <n v="0"/>
    <n v="0"/>
    <x v="1"/>
    <x v="0"/>
    <n v="0"/>
  </r>
  <r>
    <n v="556622000000000"/>
    <x v="0"/>
    <x v="11"/>
    <x v="0"/>
    <s v="JARDIM DA PENHA"/>
    <d v="2016-05-03T00:00:00"/>
    <d v="2016-05-04T00:00:00"/>
    <x v="1"/>
    <x v="93"/>
    <x v="4"/>
    <n v="0"/>
    <x v="1"/>
    <n v="0"/>
    <n v="0"/>
    <n v="0"/>
    <x v="1"/>
    <x v="0"/>
    <n v="0"/>
  </r>
  <r>
    <n v="465883000000000"/>
    <x v="1"/>
    <x v="21"/>
    <x v="1"/>
    <s v="RESISTENCIA"/>
    <d v="2016-05-03T00:00:00"/>
    <d v="2016-05-04T00:00:00"/>
    <x v="1"/>
    <x v="93"/>
    <x v="4"/>
    <n v="0"/>
    <x v="1"/>
    <n v="0"/>
    <n v="0"/>
    <n v="0"/>
    <x v="1"/>
    <x v="0"/>
    <n v="0"/>
  </r>
  <r>
    <n v="438887000000000"/>
    <x v="0"/>
    <x v="71"/>
    <x v="4"/>
    <s v="JESUS DE NAZARETH"/>
    <d v="2016-05-03T00:00:00"/>
    <d v="2016-05-31T00:00:00"/>
    <x v="4"/>
    <x v="64"/>
    <x v="1"/>
    <n v="0"/>
    <x v="1"/>
    <n v="0"/>
    <n v="0"/>
    <n v="0"/>
    <x v="0"/>
    <x v="0"/>
    <n v="0"/>
  </r>
  <r>
    <n v="7269330000000"/>
    <x v="1"/>
    <x v="12"/>
    <x v="3"/>
    <s v="MARUIPE"/>
    <d v="2016-05-03T00:00:00"/>
    <d v="2016-05-03T00:00:00"/>
    <x v="4"/>
    <x v="94"/>
    <x v="5"/>
    <n v="0"/>
    <x v="1"/>
    <n v="0"/>
    <n v="0"/>
    <n v="0"/>
    <x v="1"/>
    <x v="0"/>
    <n v="0"/>
  </r>
  <r>
    <n v="98928652948"/>
    <x v="1"/>
    <x v="33"/>
    <x v="4"/>
    <s v="ILHA DO PRINCIPE"/>
    <d v="2016-05-03T00:00:00"/>
    <d v="2016-05-10T00:00:00"/>
    <x v="4"/>
    <x v="87"/>
    <x v="3"/>
    <n v="0"/>
    <x v="1"/>
    <n v="0"/>
    <n v="0"/>
    <n v="0"/>
    <x v="0"/>
    <x v="0"/>
    <n v="0"/>
  </r>
  <r>
    <n v="3661960000000"/>
    <x v="1"/>
    <x v="56"/>
    <x v="1"/>
    <s v="SAO PEDRO"/>
    <d v="2016-05-03T00:00:00"/>
    <d v="2016-05-06T00:00:00"/>
    <x v="0"/>
    <x v="89"/>
    <x v="4"/>
    <n v="0"/>
    <x v="1"/>
    <n v="0"/>
    <n v="0"/>
    <n v="0"/>
    <x v="0"/>
    <x v="0"/>
    <n v="0"/>
  </r>
  <r>
    <n v="46615500000000"/>
    <x v="0"/>
    <x v="52"/>
    <x v="2"/>
    <s v="ANDORINHAS"/>
    <d v="2016-05-03T00:00:00"/>
    <d v="2016-05-03T00:00:00"/>
    <x v="4"/>
    <x v="94"/>
    <x v="5"/>
    <n v="1"/>
    <x v="1"/>
    <n v="0"/>
    <n v="0"/>
    <n v="0"/>
    <x v="1"/>
    <x v="0"/>
    <n v="0"/>
  </r>
  <r>
    <n v="42434800000000"/>
    <x v="0"/>
    <x v="5"/>
    <x v="1"/>
    <s v="JOANA D ARC"/>
    <d v="2016-05-03T00:00:00"/>
    <d v="2016-05-17T00:00:00"/>
    <x v="4"/>
    <x v="80"/>
    <x v="2"/>
    <n v="1"/>
    <x v="1"/>
    <n v="0"/>
    <n v="0"/>
    <n v="0"/>
    <x v="1"/>
    <x v="0"/>
    <n v="0"/>
  </r>
  <r>
    <n v="74551900000000"/>
    <x v="0"/>
    <x v="21"/>
    <x v="1"/>
    <s v="CARATOIRA"/>
    <d v="2016-05-03T00:00:00"/>
    <d v="2016-05-10T00:00:00"/>
    <x v="4"/>
    <x v="87"/>
    <x v="3"/>
    <n v="0"/>
    <x v="1"/>
    <n v="0"/>
    <n v="0"/>
    <n v="0"/>
    <x v="0"/>
    <x v="1"/>
    <n v="1"/>
  </r>
  <r>
    <n v="486365000000000"/>
    <x v="0"/>
    <x v="59"/>
    <x v="2"/>
    <s v="SANTA MARTHA"/>
    <d v="2016-05-03T00:00:00"/>
    <d v="2016-05-03T00:00:00"/>
    <x v="4"/>
    <x v="94"/>
    <x v="5"/>
    <n v="0"/>
    <x v="1"/>
    <n v="0"/>
    <n v="0"/>
    <n v="0"/>
    <x v="1"/>
    <x v="0"/>
    <n v="0"/>
  </r>
  <r>
    <n v="579711000000000"/>
    <x v="0"/>
    <x v="5"/>
    <x v="1"/>
    <s v="CONSOLACAO"/>
    <d v="2016-05-03T00:00:00"/>
    <d v="2016-05-13T00:00:00"/>
    <x v="0"/>
    <x v="83"/>
    <x v="2"/>
    <n v="0"/>
    <x v="1"/>
    <n v="0"/>
    <n v="0"/>
    <n v="0"/>
    <x v="1"/>
    <x v="0"/>
    <n v="0"/>
  </r>
  <r>
    <n v="9129930000000"/>
    <x v="0"/>
    <x v="5"/>
    <x v="1"/>
    <s v="SANTA MARTHA"/>
    <d v="2016-05-03T00:00:00"/>
    <d v="2016-05-09T00:00:00"/>
    <x v="2"/>
    <x v="90"/>
    <x v="3"/>
    <n v="0"/>
    <x v="1"/>
    <n v="0"/>
    <n v="0"/>
    <n v="0"/>
    <x v="1"/>
    <x v="1"/>
    <n v="1"/>
  </r>
  <r>
    <n v="99526400000000"/>
    <x v="0"/>
    <x v="47"/>
    <x v="4"/>
    <s v="ILHA DO PRINCIPE"/>
    <d v="2016-05-03T00:00:00"/>
    <d v="2016-05-03T00:00:00"/>
    <x v="4"/>
    <x v="94"/>
    <x v="5"/>
    <n v="1"/>
    <x v="1"/>
    <n v="0"/>
    <n v="0"/>
    <n v="0"/>
    <x v="1"/>
    <x v="0"/>
    <n v="0"/>
  </r>
  <r>
    <n v="972711000000"/>
    <x v="0"/>
    <x v="46"/>
    <x v="2"/>
    <s v="BELA VISTA"/>
    <d v="2016-05-03T00:00:00"/>
    <d v="2016-05-03T00:00:00"/>
    <x v="4"/>
    <x v="94"/>
    <x v="5"/>
    <n v="1"/>
    <x v="1"/>
    <n v="0"/>
    <n v="0"/>
    <n v="0"/>
    <x v="1"/>
    <x v="0"/>
    <n v="0"/>
  </r>
  <r>
    <n v="11424400000000"/>
    <x v="0"/>
    <x v="33"/>
    <x v="4"/>
    <s v="GRANDE VITORIA"/>
    <d v="2016-05-03T00:00:00"/>
    <d v="2016-05-13T00:00:00"/>
    <x v="0"/>
    <x v="83"/>
    <x v="2"/>
    <n v="0"/>
    <x v="1"/>
    <n v="0"/>
    <n v="0"/>
    <n v="0"/>
    <x v="1"/>
    <x v="0"/>
    <n v="0"/>
  </r>
  <r>
    <n v="86887600000000"/>
    <x v="1"/>
    <x v="50"/>
    <x v="1"/>
    <s v="CARATOIRA"/>
    <d v="2016-05-03T00:00:00"/>
    <d v="2016-05-13T00:00:00"/>
    <x v="0"/>
    <x v="83"/>
    <x v="2"/>
    <n v="1"/>
    <x v="1"/>
    <n v="0"/>
    <n v="0"/>
    <n v="0"/>
    <x v="1"/>
    <x v="0"/>
    <n v="0"/>
  </r>
  <r>
    <n v="758886000000000"/>
    <x v="0"/>
    <x v="37"/>
    <x v="3"/>
    <s v="GOIABEIRAS"/>
    <d v="2016-05-03T00:00:00"/>
    <d v="2016-05-03T00:00:00"/>
    <x v="4"/>
    <x v="94"/>
    <x v="5"/>
    <n v="1"/>
    <x v="1"/>
    <n v="0"/>
    <n v="0"/>
    <n v="0"/>
    <x v="1"/>
    <x v="0"/>
    <n v="0"/>
  </r>
  <r>
    <n v="44886400000000"/>
    <x v="0"/>
    <x v="50"/>
    <x v="1"/>
    <s v="SAO JOSE"/>
    <d v="2016-05-03T00:00:00"/>
    <d v="2016-05-03T00:00:00"/>
    <x v="4"/>
    <x v="94"/>
    <x v="5"/>
    <n v="1"/>
    <x v="1"/>
    <n v="0"/>
    <n v="0"/>
    <n v="0"/>
    <x v="1"/>
    <x v="0"/>
    <n v="0"/>
  </r>
  <r>
    <n v="219948000000000"/>
    <x v="0"/>
    <x v="74"/>
    <x v="1"/>
    <s v="SAO JOSE"/>
    <d v="2016-05-03T00:00:00"/>
    <d v="2016-05-03T00:00:00"/>
    <x v="4"/>
    <x v="94"/>
    <x v="5"/>
    <n v="1"/>
    <x v="1"/>
    <n v="0"/>
    <n v="1"/>
    <n v="0"/>
    <x v="1"/>
    <x v="0"/>
    <n v="0"/>
  </r>
  <r>
    <n v="9267590000000"/>
    <x v="0"/>
    <x v="15"/>
    <x v="3"/>
    <s v="SAO JOSE"/>
    <d v="2016-05-03T00:00:00"/>
    <d v="2016-05-03T00:00:00"/>
    <x v="4"/>
    <x v="94"/>
    <x v="5"/>
    <n v="0"/>
    <x v="1"/>
    <n v="0"/>
    <n v="0"/>
    <n v="0"/>
    <x v="1"/>
    <x v="1"/>
    <n v="1"/>
  </r>
  <r>
    <n v="918314000000000"/>
    <x v="0"/>
    <x v="17"/>
    <x v="4"/>
    <s v="JARDIM CAMBURI"/>
    <d v="2016-05-03T00:00:00"/>
    <d v="2016-05-03T00:00:00"/>
    <x v="4"/>
    <x v="94"/>
    <x v="5"/>
    <n v="0"/>
    <x v="1"/>
    <n v="0"/>
    <n v="0"/>
    <n v="0"/>
    <x v="1"/>
    <x v="0"/>
    <n v="0"/>
  </r>
  <r>
    <n v="28227144234"/>
    <x v="1"/>
    <x v="8"/>
    <x v="0"/>
    <s v="PARQUE MOSCOSO"/>
    <d v="2016-05-03T00:00:00"/>
    <d v="2016-05-16T00:00:00"/>
    <x v="2"/>
    <x v="82"/>
    <x v="2"/>
    <n v="0"/>
    <x v="0"/>
    <n v="0"/>
    <n v="0"/>
    <n v="0"/>
    <x v="1"/>
    <x v="1"/>
    <n v="1"/>
  </r>
  <r>
    <n v="74686700000000"/>
    <x v="1"/>
    <x v="67"/>
    <x v="4"/>
    <s v="SANTO ANTONIO"/>
    <d v="2016-05-03T00:00:00"/>
    <d v="2016-05-03T00:00:00"/>
    <x v="4"/>
    <x v="94"/>
    <x v="5"/>
    <n v="0"/>
    <x v="1"/>
    <n v="0"/>
    <n v="0"/>
    <n v="0"/>
    <x v="1"/>
    <x v="0"/>
    <n v="0"/>
  </r>
  <r>
    <n v="8195560000000"/>
    <x v="0"/>
    <x v="46"/>
    <x v="2"/>
    <s v="NOVA PALESTINA"/>
    <d v="2016-05-03T00:00:00"/>
    <d v="2016-05-03T00:00:00"/>
    <x v="4"/>
    <x v="94"/>
    <x v="5"/>
    <n v="0"/>
    <x v="1"/>
    <n v="0"/>
    <n v="0"/>
    <n v="0"/>
    <x v="1"/>
    <x v="0"/>
    <n v="0"/>
  </r>
  <r>
    <n v="13211500000000"/>
    <x v="0"/>
    <x v="30"/>
    <x v="3"/>
    <s v="JARDIM DA PENHA"/>
    <d v="2016-05-03T00:00:00"/>
    <d v="2016-05-03T00:00:00"/>
    <x v="4"/>
    <x v="94"/>
    <x v="5"/>
    <n v="0"/>
    <x v="0"/>
    <n v="0"/>
    <n v="0"/>
    <n v="0"/>
    <x v="1"/>
    <x v="0"/>
    <n v="0"/>
  </r>
  <r>
    <n v="95426500000000"/>
    <x v="0"/>
    <x v="41"/>
    <x v="4"/>
    <s v="NOVA PALESTINA"/>
    <d v="2016-05-03T00:00:00"/>
    <d v="2016-05-03T00:00:00"/>
    <x v="4"/>
    <x v="94"/>
    <x v="5"/>
    <n v="0"/>
    <x v="1"/>
    <n v="0"/>
    <n v="0"/>
    <n v="0"/>
    <x v="1"/>
    <x v="0"/>
    <n v="0"/>
  </r>
  <r>
    <n v="392355000000"/>
    <x v="0"/>
    <x v="87"/>
    <x v="1"/>
    <s v="RESISTENCIA"/>
    <d v="2016-05-03T00:00:00"/>
    <d v="2016-05-16T00:00:00"/>
    <x v="2"/>
    <x v="82"/>
    <x v="2"/>
    <n v="0"/>
    <x v="1"/>
    <n v="0"/>
    <n v="0"/>
    <n v="0"/>
    <x v="1"/>
    <x v="0"/>
    <n v="0"/>
  </r>
  <r>
    <n v="2393480000000"/>
    <x v="0"/>
    <x v="52"/>
    <x v="2"/>
    <s v="MATA DA PRAIA"/>
    <d v="2016-05-03T00:00:00"/>
    <d v="2016-05-12T00:00:00"/>
    <x v="3"/>
    <x v="85"/>
    <x v="2"/>
    <n v="0"/>
    <x v="1"/>
    <n v="0"/>
    <n v="0"/>
    <n v="0"/>
    <x v="1"/>
    <x v="1"/>
    <n v="1"/>
  </r>
  <r>
    <n v="32625300000000"/>
    <x v="0"/>
    <x v="29"/>
    <x v="3"/>
    <s v="ANDORINHAS"/>
    <d v="2016-05-03T00:00:00"/>
    <d v="2016-05-31T00:00:00"/>
    <x v="4"/>
    <x v="64"/>
    <x v="1"/>
    <n v="0"/>
    <x v="1"/>
    <n v="0"/>
    <n v="0"/>
    <n v="0"/>
    <x v="1"/>
    <x v="0"/>
    <n v="0"/>
  </r>
  <r>
    <n v="7719360000000"/>
    <x v="0"/>
    <x v="0"/>
    <x v="0"/>
    <s v="ILHA DO PRINCIPE"/>
    <d v="2016-05-03T00:00:00"/>
    <d v="2016-05-03T00:00:00"/>
    <x v="4"/>
    <x v="94"/>
    <x v="5"/>
    <n v="0"/>
    <x v="0"/>
    <n v="1"/>
    <n v="0"/>
    <n v="0"/>
    <x v="1"/>
    <x v="0"/>
    <n v="0"/>
  </r>
  <r>
    <n v="66175200000000"/>
    <x v="0"/>
    <x v="10"/>
    <x v="4"/>
    <s v="CENTRO"/>
    <d v="2016-05-03T00:00:00"/>
    <d v="2016-06-07T00:00:00"/>
    <x v="4"/>
    <x v="59"/>
    <x v="0"/>
    <n v="0"/>
    <x v="1"/>
    <n v="0"/>
    <n v="0"/>
    <n v="0"/>
    <x v="1"/>
    <x v="0"/>
    <n v="0"/>
  </r>
  <r>
    <n v="54963600000000"/>
    <x v="0"/>
    <x v="39"/>
    <x v="4"/>
    <s v="ITARARE"/>
    <d v="2016-05-03T00:00:00"/>
    <d v="2016-05-03T00:00:00"/>
    <x v="4"/>
    <x v="94"/>
    <x v="5"/>
    <n v="0"/>
    <x v="1"/>
    <n v="0"/>
    <n v="0"/>
    <n v="0"/>
    <x v="1"/>
    <x v="0"/>
    <n v="0"/>
  </r>
  <r>
    <n v="5331930000000"/>
    <x v="0"/>
    <x v="34"/>
    <x v="0"/>
    <s v="CRUZAMENTO"/>
    <d v="2016-05-03T00:00:00"/>
    <d v="2016-05-18T00:00:00"/>
    <x v="1"/>
    <x v="79"/>
    <x v="1"/>
    <n v="0"/>
    <x v="0"/>
    <n v="0"/>
    <n v="0"/>
    <n v="0"/>
    <x v="1"/>
    <x v="0"/>
    <n v="0"/>
  </r>
  <r>
    <n v="35375900000000"/>
    <x v="0"/>
    <x v="38"/>
    <x v="4"/>
    <s v="CONSOLACAO"/>
    <d v="2016-05-03T00:00:00"/>
    <d v="2016-05-24T00:00:00"/>
    <x v="4"/>
    <x v="73"/>
    <x v="1"/>
    <n v="0"/>
    <x v="1"/>
    <n v="0"/>
    <n v="0"/>
    <n v="0"/>
    <x v="0"/>
    <x v="1"/>
    <n v="1"/>
  </r>
  <r>
    <n v="464450000000000"/>
    <x v="1"/>
    <x v="22"/>
    <x v="4"/>
    <s v="SAO JOSE"/>
    <d v="2016-05-03T00:00:00"/>
    <d v="2016-05-13T00:00:00"/>
    <x v="0"/>
    <x v="83"/>
    <x v="2"/>
    <n v="0"/>
    <x v="1"/>
    <n v="0"/>
    <n v="0"/>
    <n v="0"/>
    <x v="1"/>
    <x v="0"/>
    <n v="0"/>
  </r>
  <r>
    <n v="9942680000000"/>
    <x v="0"/>
    <x v="73"/>
    <x v="4"/>
    <s v="JARDIM DA PENHA"/>
    <d v="2016-05-03T00:00:00"/>
    <d v="2016-05-31T00:00:00"/>
    <x v="4"/>
    <x v="64"/>
    <x v="1"/>
    <n v="0"/>
    <x v="1"/>
    <n v="0"/>
    <n v="0"/>
    <n v="0"/>
    <x v="0"/>
    <x v="0"/>
    <n v="0"/>
  </r>
  <r>
    <n v="44559500000000"/>
    <x v="0"/>
    <x v="59"/>
    <x v="2"/>
    <s v="GURIGICA"/>
    <d v="2016-05-03T00:00:00"/>
    <d v="2016-05-04T00:00:00"/>
    <x v="1"/>
    <x v="93"/>
    <x v="4"/>
    <n v="0"/>
    <x v="1"/>
    <n v="0"/>
    <n v="0"/>
    <n v="0"/>
    <x v="1"/>
    <x v="1"/>
    <n v="1"/>
  </r>
  <r>
    <n v="322278000000"/>
    <x v="0"/>
    <x v="46"/>
    <x v="2"/>
    <s v="TABUAZEIRO"/>
    <d v="2016-05-03T00:00:00"/>
    <d v="2016-05-10T00:00:00"/>
    <x v="4"/>
    <x v="87"/>
    <x v="3"/>
    <n v="0"/>
    <x v="1"/>
    <n v="0"/>
    <n v="0"/>
    <n v="0"/>
    <x v="1"/>
    <x v="1"/>
    <n v="1"/>
  </r>
  <r>
    <n v="22491900000000"/>
    <x v="1"/>
    <x v="22"/>
    <x v="4"/>
    <s v="GURIGICA"/>
    <d v="2016-05-03T00:00:00"/>
    <d v="2016-05-03T00:00:00"/>
    <x v="4"/>
    <x v="94"/>
    <x v="5"/>
    <n v="0"/>
    <x v="1"/>
    <n v="0"/>
    <n v="0"/>
    <n v="0"/>
    <x v="1"/>
    <x v="0"/>
    <n v="0"/>
  </r>
  <r>
    <n v="74417500000000"/>
    <x v="0"/>
    <x v="57"/>
    <x v="2"/>
    <s v="SAO PEDRO"/>
    <d v="2016-05-03T00:00:00"/>
    <d v="2016-05-03T00:00:00"/>
    <x v="4"/>
    <x v="94"/>
    <x v="5"/>
    <n v="0"/>
    <x v="1"/>
    <n v="0"/>
    <n v="0"/>
    <n v="0"/>
    <x v="1"/>
    <x v="0"/>
    <n v="0"/>
  </r>
  <r>
    <n v="851775000000000"/>
    <x v="0"/>
    <x v="50"/>
    <x v="1"/>
    <s v="GURIGICA"/>
    <d v="2016-05-03T00:00:00"/>
    <d v="2016-05-20T00:00:00"/>
    <x v="0"/>
    <x v="75"/>
    <x v="1"/>
    <n v="1"/>
    <x v="1"/>
    <n v="0"/>
    <n v="0"/>
    <n v="0"/>
    <x v="1"/>
    <x v="0"/>
    <n v="0"/>
  </r>
  <r>
    <n v="619982000000000"/>
    <x v="0"/>
    <x v="6"/>
    <x v="0"/>
    <s v="ESTRELINHA"/>
    <d v="2016-05-03T00:00:00"/>
    <d v="2016-05-16T00:00:00"/>
    <x v="2"/>
    <x v="82"/>
    <x v="2"/>
    <n v="0"/>
    <x v="0"/>
    <n v="0"/>
    <n v="0"/>
    <n v="0"/>
    <x v="1"/>
    <x v="0"/>
    <n v="0"/>
  </r>
  <r>
    <n v="81816500000000"/>
    <x v="0"/>
    <x v="70"/>
    <x v="5"/>
    <s v="RESISTENCIA"/>
    <d v="2016-05-03T00:00:00"/>
    <d v="2016-05-03T00:00:00"/>
    <x v="4"/>
    <x v="94"/>
    <x v="5"/>
    <n v="0"/>
    <x v="1"/>
    <n v="0"/>
    <n v="0"/>
    <n v="0"/>
    <x v="1"/>
    <x v="0"/>
    <n v="0"/>
  </r>
  <r>
    <n v="7931610000000"/>
    <x v="0"/>
    <x v="74"/>
    <x v="1"/>
    <s v="MARIA ORTIZ"/>
    <d v="2016-05-03T00:00:00"/>
    <d v="2016-06-06T00:00:00"/>
    <x v="2"/>
    <x v="58"/>
    <x v="0"/>
    <n v="0"/>
    <x v="1"/>
    <n v="0"/>
    <n v="0"/>
    <n v="0"/>
    <x v="0"/>
    <x v="0"/>
    <n v="0"/>
  </r>
  <r>
    <n v="82355000000000"/>
    <x v="0"/>
    <x v="7"/>
    <x v="3"/>
    <s v="TABUAZEIRO"/>
    <d v="2016-05-03T00:00:00"/>
    <d v="2016-05-03T00:00:00"/>
    <x v="4"/>
    <x v="94"/>
    <x v="5"/>
    <n v="0"/>
    <x v="0"/>
    <n v="0"/>
    <n v="0"/>
    <n v="0"/>
    <x v="1"/>
    <x v="0"/>
    <n v="0"/>
  </r>
  <r>
    <n v="791438000000000"/>
    <x v="0"/>
    <x v="83"/>
    <x v="0"/>
    <s v="CONSOLACAO"/>
    <d v="2016-05-03T00:00:00"/>
    <d v="2016-05-20T00:00:00"/>
    <x v="0"/>
    <x v="75"/>
    <x v="1"/>
    <n v="0"/>
    <x v="0"/>
    <n v="1"/>
    <n v="0"/>
    <n v="0"/>
    <x v="1"/>
    <x v="0"/>
    <n v="0"/>
  </r>
  <r>
    <n v="77133300000000"/>
    <x v="0"/>
    <x v="38"/>
    <x v="4"/>
    <s v="RESISTENCIA"/>
    <d v="2016-05-03T00:00:00"/>
    <d v="2016-05-03T00:00:00"/>
    <x v="4"/>
    <x v="94"/>
    <x v="5"/>
    <n v="0"/>
    <x v="1"/>
    <n v="0"/>
    <n v="0"/>
    <n v="0"/>
    <x v="1"/>
    <x v="0"/>
    <n v="0"/>
  </r>
  <r>
    <n v="1373780000000"/>
    <x v="0"/>
    <x v="24"/>
    <x v="1"/>
    <s v="CARATOIRA"/>
    <d v="2016-05-03T00:00:00"/>
    <d v="2016-05-04T00:00:00"/>
    <x v="1"/>
    <x v="93"/>
    <x v="4"/>
    <n v="0"/>
    <x v="0"/>
    <n v="0"/>
    <n v="0"/>
    <n v="0"/>
    <x v="1"/>
    <x v="0"/>
    <n v="0"/>
  </r>
  <r>
    <n v="388684000000"/>
    <x v="0"/>
    <x v="22"/>
    <x v="4"/>
    <s v="JOANA D ARC"/>
    <d v="2016-05-03T00:00:00"/>
    <d v="2016-06-07T00:00:00"/>
    <x v="4"/>
    <x v="59"/>
    <x v="0"/>
    <n v="0"/>
    <x v="1"/>
    <n v="0"/>
    <n v="0"/>
    <n v="0"/>
    <x v="1"/>
    <x v="0"/>
    <n v="0"/>
  </r>
  <r>
    <n v="841649000000000"/>
    <x v="1"/>
    <x v="46"/>
    <x v="2"/>
    <s v="CONQUISTA"/>
    <d v="2016-05-03T00:00:00"/>
    <d v="2016-05-03T00:00:00"/>
    <x v="4"/>
    <x v="94"/>
    <x v="5"/>
    <n v="0"/>
    <x v="1"/>
    <n v="0"/>
    <n v="0"/>
    <n v="0"/>
    <x v="1"/>
    <x v="0"/>
    <n v="0"/>
  </r>
  <r>
    <n v="971389000000"/>
    <x v="0"/>
    <x v="92"/>
    <x v="0"/>
    <s v="SANTA TEREZA"/>
    <d v="2016-05-03T00:00:00"/>
    <d v="2016-05-20T00:00:00"/>
    <x v="0"/>
    <x v="75"/>
    <x v="1"/>
    <n v="0"/>
    <x v="0"/>
    <n v="1"/>
    <n v="0"/>
    <n v="0"/>
    <x v="1"/>
    <x v="1"/>
    <n v="1"/>
  </r>
  <r>
    <n v="177895000000"/>
    <x v="0"/>
    <x v="55"/>
    <x v="2"/>
    <s v="SAO PEDRO"/>
    <d v="2016-05-03T00:00:00"/>
    <d v="2016-05-11T00:00:00"/>
    <x v="1"/>
    <x v="88"/>
    <x v="2"/>
    <n v="0"/>
    <x v="1"/>
    <n v="0"/>
    <n v="0"/>
    <n v="0"/>
    <x v="0"/>
    <x v="0"/>
    <n v="0"/>
  </r>
  <r>
    <n v="481366000000"/>
    <x v="0"/>
    <x v="78"/>
    <x v="0"/>
    <s v="ILHA DE SANTA MARIA"/>
    <d v="2016-05-03T00:00:00"/>
    <d v="2016-05-03T00:00:00"/>
    <x v="4"/>
    <x v="94"/>
    <x v="5"/>
    <n v="0"/>
    <x v="1"/>
    <n v="0"/>
    <n v="0"/>
    <n v="0"/>
    <x v="1"/>
    <x v="0"/>
    <n v="0"/>
  </r>
  <r>
    <n v="426872000000000"/>
    <x v="0"/>
    <x v="0"/>
    <x v="0"/>
    <s v="MARUIPE"/>
    <d v="2016-05-03T00:00:00"/>
    <d v="2016-05-04T00:00:00"/>
    <x v="1"/>
    <x v="93"/>
    <x v="4"/>
    <n v="0"/>
    <x v="1"/>
    <n v="0"/>
    <n v="0"/>
    <n v="0"/>
    <x v="1"/>
    <x v="0"/>
    <n v="0"/>
  </r>
  <r>
    <n v="847440000000"/>
    <x v="1"/>
    <x v="18"/>
    <x v="0"/>
    <s v="FONTE GRANDE"/>
    <d v="2016-05-03T00:00:00"/>
    <d v="2016-05-03T00:00:00"/>
    <x v="4"/>
    <x v="94"/>
    <x v="5"/>
    <n v="1"/>
    <x v="0"/>
    <n v="0"/>
    <n v="0"/>
    <n v="0"/>
    <x v="1"/>
    <x v="0"/>
    <n v="0"/>
  </r>
  <r>
    <n v="853569000000000"/>
    <x v="0"/>
    <x v="84"/>
    <x v="1"/>
    <s v="GOIABEIRAS"/>
    <d v="2016-05-03T00:00:00"/>
    <d v="2016-05-11T00:00:00"/>
    <x v="1"/>
    <x v="88"/>
    <x v="2"/>
    <n v="0"/>
    <x v="0"/>
    <n v="0"/>
    <n v="0"/>
    <n v="0"/>
    <x v="0"/>
    <x v="0"/>
    <n v="0"/>
  </r>
  <r>
    <n v="99244200000000"/>
    <x v="1"/>
    <x v="28"/>
    <x v="3"/>
    <s v="PRAIA DO CANTO"/>
    <d v="2016-05-03T00:00:00"/>
    <d v="2016-05-04T00:00:00"/>
    <x v="1"/>
    <x v="93"/>
    <x v="4"/>
    <n v="0"/>
    <x v="1"/>
    <n v="0"/>
    <n v="0"/>
    <n v="0"/>
    <x v="1"/>
    <x v="0"/>
    <n v="0"/>
  </r>
  <r>
    <n v="4246890000000"/>
    <x v="1"/>
    <x v="67"/>
    <x v="4"/>
    <s v="DE LOURDES"/>
    <d v="2016-05-03T00:00:00"/>
    <d v="2016-06-03T00:00:00"/>
    <x v="0"/>
    <x v="57"/>
    <x v="0"/>
    <n v="0"/>
    <x v="1"/>
    <n v="0"/>
    <n v="0"/>
    <n v="0"/>
    <x v="0"/>
    <x v="0"/>
    <n v="0"/>
  </r>
  <r>
    <n v="9472630000000"/>
    <x v="0"/>
    <x v="89"/>
    <x v="0"/>
    <s v="CONSOLACAO"/>
    <d v="2016-05-03T00:00:00"/>
    <d v="2016-05-10T00:00:00"/>
    <x v="4"/>
    <x v="87"/>
    <x v="3"/>
    <n v="0"/>
    <x v="0"/>
    <n v="0"/>
    <n v="0"/>
    <n v="0"/>
    <x v="1"/>
    <x v="0"/>
    <n v="0"/>
  </r>
  <r>
    <n v="28846800000000"/>
    <x v="1"/>
    <x v="5"/>
    <x v="1"/>
    <s v="SAO BENEDITO"/>
    <d v="2016-05-03T00:00:00"/>
    <d v="2016-05-03T00:00:00"/>
    <x v="4"/>
    <x v="94"/>
    <x v="5"/>
    <n v="0"/>
    <x v="1"/>
    <n v="0"/>
    <n v="0"/>
    <n v="0"/>
    <x v="1"/>
    <x v="0"/>
    <n v="0"/>
  </r>
  <r>
    <n v="47436500000000"/>
    <x v="0"/>
    <x v="84"/>
    <x v="1"/>
    <s v="SANTA TEREZA"/>
    <d v="2016-05-03T00:00:00"/>
    <d v="2016-05-03T00:00:00"/>
    <x v="4"/>
    <x v="94"/>
    <x v="5"/>
    <n v="0"/>
    <x v="1"/>
    <n v="0"/>
    <n v="0"/>
    <n v="0"/>
    <x v="1"/>
    <x v="0"/>
    <n v="0"/>
  </r>
  <r>
    <n v="95687300000000"/>
    <x v="0"/>
    <x v="83"/>
    <x v="0"/>
    <s v="SANTO ANTONIO"/>
    <d v="2016-05-03T00:00:00"/>
    <d v="2016-05-03T00:00:00"/>
    <x v="4"/>
    <x v="94"/>
    <x v="5"/>
    <n v="0"/>
    <x v="0"/>
    <n v="0"/>
    <n v="0"/>
    <n v="0"/>
    <x v="1"/>
    <x v="0"/>
    <n v="0"/>
  </r>
  <r>
    <n v="98586900000000"/>
    <x v="0"/>
    <x v="68"/>
    <x v="4"/>
    <s v="SANTO ANDRE"/>
    <d v="2016-05-03T00:00:00"/>
    <d v="2016-05-03T00:00:00"/>
    <x v="4"/>
    <x v="94"/>
    <x v="5"/>
    <n v="0"/>
    <x v="1"/>
    <n v="0"/>
    <n v="0"/>
    <n v="0"/>
    <x v="1"/>
    <x v="0"/>
    <n v="0"/>
  </r>
  <r>
    <n v="118376000000000"/>
    <x v="0"/>
    <x v="57"/>
    <x v="2"/>
    <s v="SANTA CLARA"/>
    <d v="2016-05-03T00:00:00"/>
    <d v="2016-05-20T00:00:00"/>
    <x v="0"/>
    <x v="75"/>
    <x v="1"/>
    <n v="1"/>
    <x v="1"/>
    <n v="0"/>
    <n v="0"/>
    <n v="0"/>
    <x v="1"/>
    <x v="1"/>
    <n v="1"/>
  </r>
  <r>
    <n v="377372000000000"/>
    <x v="0"/>
    <x v="22"/>
    <x v="4"/>
    <s v="ILHA DE SANTA MARIA"/>
    <d v="2016-05-03T00:00:00"/>
    <d v="2016-05-10T00:00:00"/>
    <x v="4"/>
    <x v="87"/>
    <x v="3"/>
    <n v="0"/>
    <x v="1"/>
    <n v="0"/>
    <n v="0"/>
    <n v="0"/>
    <x v="0"/>
    <x v="0"/>
    <n v="0"/>
  </r>
  <r>
    <n v="118376000000000"/>
    <x v="0"/>
    <x v="57"/>
    <x v="2"/>
    <s v="SANTA CLARA"/>
    <d v="2016-05-03T00:00:00"/>
    <d v="2016-05-20T00:00:00"/>
    <x v="0"/>
    <x v="75"/>
    <x v="1"/>
    <n v="1"/>
    <x v="1"/>
    <n v="0"/>
    <n v="0"/>
    <n v="0"/>
    <x v="1"/>
    <x v="1"/>
    <n v="1"/>
  </r>
  <r>
    <n v="54516500000000"/>
    <x v="0"/>
    <x v="38"/>
    <x v="4"/>
    <s v="CARATOIRA"/>
    <d v="2016-05-03T00:00:00"/>
    <d v="2016-05-12T00:00:00"/>
    <x v="3"/>
    <x v="85"/>
    <x v="2"/>
    <n v="0"/>
    <x v="1"/>
    <n v="0"/>
    <n v="0"/>
    <n v="0"/>
    <x v="1"/>
    <x v="0"/>
    <n v="0"/>
  </r>
  <r>
    <n v="85664200000000"/>
    <x v="0"/>
    <x v="17"/>
    <x v="4"/>
    <s v="SANTO ANTONIO"/>
    <d v="2016-05-03T00:00:00"/>
    <d v="2016-05-12T00:00:00"/>
    <x v="3"/>
    <x v="85"/>
    <x v="2"/>
    <n v="0"/>
    <x v="1"/>
    <n v="0"/>
    <n v="0"/>
    <n v="0"/>
    <x v="0"/>
    <x v="1"/>
    <n v="1"/>
  </r>
  <r>
    <n v="9434160000000"/>
    <x v="1"/>
    <x v="20"/>
    <x v="0"/>
    <s v="SANTA CLARA"/>
    <d v="2016-05-03T00:00:00"/>
    <d v="2016-05-20T00:00:00"/>
    <x v="0"/>
    <x v="75"/>
    <x v="1"/>
    <n v="0"/>
    <x v="0"/>
    <n v="0"/>
    <n v="0"/>
    <n v="0"/>
    <x v="1"/>
    <x v="1"/>
    <n v="1"/>
  </r>
  <r>
    <n v="3229460000000"/>
    <x v="0"/>
    <x v="42"/>
    <x v="3"/>
    <s v="SANTA MARTHA"/>
    <d v="2016-05-03T00:00:00"/>
    <d v="2016-05-05T00:00:00"/>
    <x v="3"/>
    <x v="91"/>
    <x v="4"/>
    <n v="0"/>
    <x v="0"/>
    <n v="0"/>
    <n v="0"/>
    <n v="1"/>
    <x v="1"/>
    <x v="0"/>
    <n v="0"/>
  </r>
  <r>
    <n v="335369000000"/>
    <x v="0"/>
    <x v="27"/>
    <x v="3"/>
    <s v="SAO PEDRO"/>
    <d v="2016-05-03T00:00:00"/>
    <d v="2016-05-05T00:00:00"/>
    <x v="3"/>
    <x v="91"/>
    <x v="4"/>
    <n v="0"/>
    <x v="1"/>
    <n v="0"/>
    <n v="0"/>
    <n v="0"/>
    <x v="1"/>
    <x v="1"/>
    <n v="1"/>
  </r>
  <r>
    <n v="1457930000000"/>
    <x v="1"/>
    <x v="81"/>
    <x v="5"/>
    <s v="BELA VISTA"/>
    <d v="2016-05-03T00:00:00"/>
    <d v="2016-05-03T00:00:00"/>
    <x v="4"/>
    <x v="94"/>
    <x v="5"/>
    <n v="0"/>
    <x v="1"/>
    <n v="0"/>
    <n v="0"/>
    <n v="0"/>
    <x v="1"/>
    <x v="0"/>
    <n v="0"/>
  </r>
  <r>
    <n v="9860000000000"/>
    <x v="0"/>
    <x v="22"/>
    <x v="4"/>
    <s v="SANTO ANTONIO"/>
    <d v="2016-05-03T00:00:00"/>
    <d v="2016-05-03T00:00:00"/>
    <x v="4"/>
    <x v="94"/>
    <x v="5"/>
    <n v="0"/>
    <x v="1"/>
    <n v="0"/>
    <n v="0"/>
    <n v="0"/>
    <x v="1"/>
    <x v="0"/>
    <n v="0"/>
  </r>
  <r>
    <n v="7117910000000"/>
    <x v="0"/>
    <x v="42"/>
    <x v="3"/>
    <s v="ANDORINHAS"/>
    <d v="2016-05-03T00:00:00"/>
    <d v="2016-05-10T00:00:00"/>
    <x v="4"/>
    <x v="87"/>
    <x v="3"/>
    <n v="0"/>
    <x v="0"/>
    <n v="1"/>
    <n v="0"/>
    <n v="0"/>
    <x v="1"/>
    <x v="1"/>
    <n v="1"/>
  </r>
  <r>
    <n v="8177620000000"/>
    <x v="0"/>
    <x v="30"/>
    <x v="3"/>
    <s v="CENTRO"/>
    <d v="2016-05-03T00:00:00"/>
    <d v="2016-05-05T00:00:00"/>
    <x v="3"/>
    <x v="91"/>
    <x v="4"/>
    <n v="0"/>
    <x v="0"/>
    <n v="0"/>
    <n v="0"/>
    <n v="0"/>
    <x v="1"/>
    <x v="1"/>
    <n v="1"/>
  </r>
  <r>
    <n v="26746200000000"/>
    <x v="0"/>
    <x v="47"/>
    <x v="4"/>
    <s v="JARDIM CAMBURI"/>
    <d v="2016-05-03T00:00:00"/>
    <d v="2016-05-05T00:00:00"/>
    <x v="3"/>
    <x v="91"/>
    <x v="4"/>
    <n v="0"/>
    <x v="1"/>
    <n v="0"/>
    <n v="0"/>
    <n v="0"/>
    <x v="1"/>
    <x v="0"/>
    <n v="0"/>
  </r>
  <r>
    <n v="4967980000000"/>
    <x v="0"/>
    <x v="57"/>
    <x v="2"/>
    <s v="SANTA TEREZA"/>
    <d v="2016-05-03T00:00:00"/>
    <d v="2016-05-03T00:00:00"/>
    <x v="4"/>
    <x v="94"/>
    <x v="5"/>
    <n v="0"/>
    <x v="1"/>
    <n v="0"/>
    <n v="0"/>
    <n v="0"/>
    <x v="1"/>
    <x v="0"/>
    <n v="0"/>
  </r>
  <r>
    <n v="197483000000"/>
    <x v="0"/>
    <x v="63"/>
    <x v="0"/>
    <s v="BENTO FERREIRA"/>
    <d v="2016-05-03T00:00:00"/>
    <d v="2016-05-17T00:00:00"/>
    <x v="4"/>
    <x v="80"/>
    <x v="2"/>
    <n v="0"/>
    <x v="0"/>
    <n v="0"/>
    <n v="0"/>
    <n v="0"/>
    <x v="1"/>
    <x v="0"/>
    <n v="0"/>
  </r>
  <r>
    <n v="8437760000000"/>
    <x v="0"/>
    <x v="29"/>
    <x v="3"/>
    <s v="RESISTENCIA"/>
    <d v="2016-05-03T00:00:00"/>
    <d v="2016-05-04T00:00:00"/>
    <x v="1"/>
    <x v="93"/>
    <x v="4"/>
    <n v="0"/>
    <x v="0"/>
    <n v="0"/>
    <n v="0"/>
    <n v="0"/>
    <x v="1"/>
    <x v="0"/>
    <n v="0"/>
  </r>
  <r>
    <n v="866919000000"/>
    <x v="0"/>
    <x v="58"/>
    <x v="0"/>
    <s v="DO MOSCOSO"/>
    <d v="2016-05-03T00:00:00"/>
    <d v="2016-05-04T00:00:00"/>
    <x v="1"/>
    <x v="93"/>
    <x v="4"/>
    <n v="0"/>
    <x v="0"/>
    <n v="0"/>
    <n v="0"/>
    <n v="1"/>
    <x v="1"/>
    <x v="0"/>
    <n v="0"/>
  </r>
  <r>
    <n v="922294000000"/>
    <x v="0"/>
    <x v="42"/>
    <x v="3"/>
    <s v="PRAIA DO SUA"/>
    <d v="2016-05-03T00:00:00"/>
    <d v="2016-05-04T00:00:00"/>
    <x v="1"/>
    <x v="93"/>
    <x v="4"/>
    <n v="0"/>
    <x v="0"/>
    <n v="0"/>
    <n v="0"/>
    <n v="0"/>
    <x v="1"/>
    <x v="0"/>
    <n v="0"/>
  </r>
  <r>
    <n v="3628570000000"/>
    <x v="1"/>
    <x v="68"/>
    <x v="4"/>
    <s v="ANTONIO HONORIO"/>
    <d v="2016-05-03T00:00:00"/>
    <d v="2016-05-03T00:00:00"/>
    <x v="4"/>
    <x v="94"/>
    <x v="5"/>
    <n v="0"/>
    <x v="1"/>
    <n v="0"/>
    <n v="0"/>
    <n v="0"/>
    <x v="1"/>
    <x v="0"/>
    <n v="0"/>
  </r>
  <r>
    <n v="155421000000000"/>
    <x v="0"/>
    <x v="70"/>
    <x v="5"/>
    <s v="TABUAZEIRO"/>
    <d v="2016-05-03T00:00:00"/>
    <d v="2016-05-03T00:00:00"/>
    <x v="4"/>
    <x v="94"/>
    <x v="5"/>
    <n v="0"/>
    <x v="1"/>
    <n v="0"/>
    <n v="0"/>
    <n v="0"/>
    <x v="1"/>
    <x v="0"/>
    <n v="0"/>
  </r>
  <r>
    <n v="68177800000000"/>
    <x v="1"/>
    <x v="12"/>
    <x v="3"/>
    <s v="TABUAZEIRO"/>
    <d v="2016-05-03T00:00:00"/>
    <d v="2016-05-03T00:00:00"/>
    <x v="4"/>
    <x v="94"/>
    <x v="5"/>
    <n v="0"/>
    <x v="1"/>
    <n v="0"/>
    <n v="0"/>
    <n v="0"/>
    <x v="1"/>
    <x v="0"/>
    <n v="0"/>
  </r>
  <r>
    <n v="3273320000000"/>
    <x v="1"/>
    <x v="46"/>
    <x v="2"/>
    <s v="SAO BENEDITO"/>
    <d v="2016-05-03T00:00:00"/>
    <d v="2016-05-11T00:00:00"/>
    <x v="1"/>
    <x v="88"/>
    <x v="2"/>
    <n v="0"/>
    <x v="1"/>
    <n v="0"/>
    <n v="0"/>
    <n v="0"/>
    <x v="0"/>
    <x v="0"/>
    <n v="0"/>
  </r>
  <r>
    <n v="46442500000000"/>
    <x v="0"/>
    <x v="41"/>
    <x v="4"/>
    <s v="TABUAZEIRO"/>
    <d v="2016-05-03T00:00:00"/>
    <d v="2016-05-10T00:00:00"/>
    <x v="4"/>
    <x v="87"/>
    <x v="3"/>
    <n v="0"/>
    <x v="1"/>
    <n v="0"/>
    <n v="0"/>
    <n v="0"/>
    <x v="0"/>
    <x v="1"/>
    <n v="1"/>
  </r>
  <r>
    <n v="4624220000000"/>
    <x v="0"/>
    <x v="31"/>
    <x v="1"/>
    <s v="JARDIM DA PENHA"/>
    <d v="2016-05-03T00:00:00"/>
    <d v="2016-05-11T00:00:00"/>
    <x v="1"/>
    <x v="88"/>
    <x v="2"/>
    <n v="0"/>
    <x v="1"/>
    <n v="0"/>
    <n v="0"/>
    <n v="0"/>
    <x v="0"/>
    <x v="0"/>
    <n v="0"/>
  </r>
  <r>
    <n v="462269000000"/>
    <x v="1"/>
    <x v="4"/>
    <x v="2"/>
    <s v="TABUAZEIRO"/>
    <d v="2016-05-03T00:00:00"/>
    <d v="2016-05-03T00:00:00"/>
    <x v="4"/>
    <x v="94"/>
    <x v="5"/>
    <n v="0"/>
    <x v="1"/>
    <n v="0"/>
    <n v="0"/>
    <n v="0"/>
    <x v="1"/>
    <x v="0"/>
    <n v="0"/>
  </r>
  <r>
    <n v="25597900000000"/>
    <x v="0"/>
    <x v="75"/>
    <x v="5"/>
    <s v="ILHA DO PRINCIPE"/>
    <d v="2016-05-03T00:00:00"/>
    <d v="2016-05-03T00:00:00"/>
    <x v="4"/>
    <x v="94"/>
    <x v="5"/>
    <n v="1"/>
    <x v="1"/>
    <n v="0"/>
    <n v="0"/>
    <n v="0"/>
    <x v="1"/>
    <x v="0"/>
    <n v="0"/>
  </r>
  <r>
    <n v="54524600000000"/>
    <x v="0"/>
    <x v="33"/>
    <x v="4"/>
    <s v="DA PENHA"/>
    <d v="2016-05-03T00:00:00"/>
    <d v="2016-05-05T00:00:00"/>
    <x v="3"/>
    <x v="91"/>
    <x v="4"/>
    <n v="0"/>
    <x v="0"/>
    <n v="1"/>
    <n v="0"/>
    <n v="1"/>
    <x v="1"/>
    <x v="1"/>
    <n v="1"/>
  </r>
  <r>
    <n v="5636920000000"/>
    <x v="0"/>
    <x v="23"/>
    <x v="3"/>
    <s v="BELA VISTA"/>
    <d v="2016-05-03T00:00:00"/>
    <d v="2016-05-05T00:00:00"/>
    <x v="3"/>
    <x v="91"/>
    <x v="4"/>
    <n v="0"/>
    <x v="0"/>
    <n v="0"/>
    <n v="0"/>
    <n v="0"/>
    <x v="1"/>
    <x v="0"/>
    <n v="0"/>
  </r>
  <r>
    <n v="99977900000000"/>
    <x v="1"/>
    <x v="19"/>
    <x v="2"/>
    <s v="MARIA ORTIZ"/>
    <d v="2016-05-03T00:00:00"/>
    <d v="2016-05-03T00:00:00"/>
    <x v="4"/>
    <x v="94"/>
    <x v="5"/>
    <n v="0"/>
    <x v="1"/>
    <n v="0"/>
    <n v="0"/>
    <n v="0"/>
    <x v="1"/>
    <x v="0"/>
    <n v="0"/>
  </r>
  <r>
    <n v="448729000000000"/>
    <x v="0"/>
    <x v="16"/>
    <x v="1"/>
    <s v="SANTA CLARA"/>
    <d v="2016-05-03T00:00:00"/>
    <d v="2016-05-04T00:00:00"/>
    <x v="1"/>
    <x v="93"/>
    <x v="4"/>
    <n v="0"/>
    <x v="1"/>
    <n v="0"/>
    <n v="0"/>
    <n v="0"/>
    <x v="1"/>
    <x v="0"/>
    <n v="0"/>
  </r>
  <r>
    <n v="15641567448"/>
    <x v="0"/>
    <x v="32"/>
    <x v="4"/>
    <s v="JARDIM DA PENHA"/>
    <d v="2016-05-03T00:00:00"/>
    <d v="2016-05-03T00:00:00"/>
    <x v="4"/>
    <x v="94"/>
    <x v="5"/>
    <n v="0"/>
    <x v="1"/>
    <n v="0"/>
    <n v="0"/>
    <n v="0"/>
    <x v="1"/>
    <x v="0"/>
    <n v="0"/>
  </r>
  <r>
    <n v="413286000000000"/>
    <x v="0"/>
    <x v="38"/>
    <x v="4"/>
    <s v="JARDIM DA PENHA"/>
    <d v="2016-05-03T00:00:00"/>
    <d v="2016-05-25T00:00:00"/>
    <x v="1"/>
    <x v="71"/>
    <x v="1"/>
    <n v="0"/>
    <x v="1"/>
    <n v="0"/>
    <n v="0"/>
    <n v="0"/>
    <x v="0"/>
    <x v="1"/>
    <n v="1"/>
  </r>
  <r>
    <n v="38917200000000"/>
    <x v="0"/>
    <x v="84"/>
    <x v="1"/>
    <s v="FORTE SAO JOAO"/>
    <d v="2016-05-03T00:00:00"/>
    <d v="2016-05-11T00:00:00"/>
    <x v="1"/>
    <x v="88"/>
    <x v="2"/>
    <n v="0"/>
    <x v="1"/>
    <n v="0"/>
    <n v="0"/>
    <n v="0"/>
    <x v="0"/>
    <x v="0"/>
    <n v="0"/>
  </r>
  <r>
    <n v="8691860000000"/>
    <x v="0"/>
    <x v="28"/>
    <x v="3"/>
    <s v="GURIGICA"/>
    <d v="2016-05-03T00:00:00"/>
    <d v="2016-05-05T00:00:00"/>
    <x v="3"/>
    <x v="91"/>
    <x v="4"/>
    <n v="0"/>
    <x v="0"/>
    <n v="0"/>
    <n v="0"/>
    <n v="0"/>
    <x v="1"/>
    <x v="0"/>
    <n v="0"/>
  </r>
  <r>
    <n v="31963132454"/>
    <x v="1"/>
    <x v="6"/>
    <x v="0"/>
    <s v="CENTRO"/>
    <d v="2016-05-03T00:00:00"/>
    <d v="2016-05-05T00:00:00"/>
    <x v="3"/>
    <x v="91"/>
    <x v="4"/>
    <n v="0"/>
    <x v="0"/>
    <n v="0"/>
    <n v="0"/>
    <n v="0"/>
    <x v="1"/>
    <x v="0"/>
    <n v="0"/>
  </r>
  <r>
    <n v="2184335789"/>
    <x v="0"/>
    <x v="74"/>
    <x v="1"/>
    <s v="JARDIM CAMBURI"/>
    <d v="2016-05-03T00:00:00"/>
    <d v="2016-05-03T00:00:00"/>
    <x v="4"/>
    <x v="94"/>
    <x v="5"/>
    <n v="0"/>
    <x v="1"/>
    <n v="0"/>
    <n v="0"/>
    <n v="0"/>
    <x v="1"/>
    <x v="0"/>
    <n v="0"/>
  </r>
  <r>
    <n v="27789400000000"/>
    <x v="1"/>
    <x v="33"/>
    <x v="4"/>
    <s v="MARIA ORTIZ"/>
    <d v="2016-05-03T00:00:00"/>
    <d v="2016-05-03T00:00:00"/>
    <x v="4"/>
    <x v="94"/>
    <x v="5"/>
    <n v="0"/>
    <x v="1"/>
    <n v="0"/>
    <n v="0"/>
    <n v="0"/>
    <x v="1"/>
    <x v="0"/>
    <n v="0"/>
  </r>
  <r>
    <n v="39388600000000"/>
    <x v="0"/>
    <x v="57"/>
    <x v="2"/>
    <s v="CARATOIRA"/>
    <d v="2016-05-03T00:00:00"/>
    <d v="2016-05-10T00:00:00"/>
    <x v="4"/>
    <x v="87"/>
    <x v="3"/>
    <n v="0"/>
    <x v="1"/>
    <n v="0"/>
    <n v="0"/>
    <n v="0"/>
    <x v="0"/>
    <x v="0"/>
    <n v="0"/>
  </r>
  <r>
    <n v="499651000000000"/>
    <x v="1"/>
    <x v="20"/>
    <x v="0"/>
    <s v="JARDIM DA PENHA"/>
    <d v="2016-05-03T00:00:00"/>
    <d v="2016-05-05T00:00:00"/>
    <x v="3"/>
    <x v="91"/>
    <x v="4"/>
    <n v="0"/>
    <x v="0"/>
    <n v="1"/>
    <n v="0"/>
    <n v="0"/>
    <x v="1"/>
    <x v="0"/>
    <n v="0"/>
  </r>
  <r>
    <n v="188232000000000"/>
    <x v="1"/>
    <x v="45"/>
    <x v="1"/>
    <s v="JABOUR"/>
    <d v="2016-05-03T00:00:00"/>
    <d v="2016-05-03T00:00:00"/>
    <x v="4"/>
    <x v="94"/>
    <x v="5"/>
    <n v="0"/>
    <x v="1"/>
    <n v="0"/>
    <n v="0"/>
    <n v="0"/>
    <x v="1"/>
    <x v="0"/>
    <n v="0"/>
  </r>
  <r>
    <n v="59368600000000"/>
    <x v="0"/>
    <x v="37"/>
    <x v="3"/>
    <s v="SANTOS REIS"/>
    <d v="2016-05-03T00:00:00"/>
    <d v="2016-05-05T00:00:00"/>
    <x v="3"/>
    <x v="91"/>
    <x v="4"/>
    <n v="0"/>
    <x v="1"/>
    <n v="0"/>
    <n v="0"/>
    <n v="0"/>
    <x v="1"/>
    <x v="0"/>
    <n v="0"/>
  </r>
  <r>
    <n v="81894500000000"/>
    <x v="1"/>
    <x v="33"/>
    <x v="4"/>
    <s v="ROMAO"/>
    <d v="2016-05-03T00:00:00"/>
    <d v="2016-05-03T00:00:00"/>
    <x v="4"/>
    <x v="94"/>
    <x v="5"/>
    <n v="0"/>
    <x v="1"/>
    <n v="0"/>
    <n v="0"/>
    <n v="0"/>
    <x v="1"/>
    <x v="0"/>
    <n v="0"/>
  </r>
  <r>
    <n v="917324000000000"/>
    <x v="0"/>
    <x v="10"/>
    <x v="4"/>
    <s v="SANTO ANDRE"/>
    <d v="2016-05-03T00:00:00"/>
    <d v="2016-06-03T00:00:00"/>
    <x v="0"/>
    <x v="57"/>
    <x v="0"/>
    <n v="0"/>
    <x v="1"/>
    <n v="0"/>
    <n v="0"/>
    <n v="0"/>
    <x v="0"/>
    <x v="1"/>
    <n v="1"/>
  </r>
  <r>
    <n v="648638000000000"/>
    <x v="1"/>
    <x v="81"/>
    <x v="5"/>
    <s v="JABOUR"/>
    <d v="2016-05-03T00:00:00"/>
    <d v="2016-05-03T00:00:00"/>
    <x v="4"/>
    <x v="94"/>
    <x v="5"/>
    <n v="0"/>
    <x v="1"/>
    <n v="0"/>
    <n v="0"/>
    <n v="0"/>
    <x v="1"/>
    <x v="0"/>
    <n v="0"/>
  </r>
  <r>
    <n v="94555700000000"/>
    <x v="0"/>
    <x v="28"/>
    <x v="3"/>
    <s v="SAO JOSE"/>
    <d v="2016-05-03T00:00:00"/>
    <d v="2016-05-03T00:00:00"/>
    <x v="4"/>
    <x v="94"/>
    <x v="5"/>
    <n v="1"/>
    <x v="0"/>
    <n v="1"/>
    <n v="1"/>
    <n v="0"/>
    <x v="1"/>
    <x v="0"/>
    <n v="0"/>
  </r>
  <r>
    <n v="731623000000000"/>
    <x v="0"/>
    <x v="44"/>
    <x v="4"/>
    <s v="GOIABEIRAS"/>
    <d v="2016-05-03T00:00:00"/>
    <d v="2016-05-03T00:00:00"/>
    <x v="4"/>
    <x v="94"/>
    <x v="5"/>
    <n v="0"/>
    <x v="1"/>
    <n v="0"/>
    <n v="0"/>
    <n v="0"/>
    <x v="1"/>
    <x v="0"/>
    <n v="0"/>
  </r>
  <r>
    <n v="798858000000"/>
    <x v="0"/>
    <x v="87"/>
    <x v="1"/>
    <s v="JARDIM CAMBURI"/>
    <d v="2016-05-03T00:00:00"/>
    <d v="2016-05-04T00:00:00"/>
    <x v="1"/>
    <x v="93"/>
    <x v="4"/>
    <n v="0"/>
    <x v="1"/>
    <n v="0"/>
    <n v="0"/>
    <n v="0"/>
    <x v="1"/>
    <x v="0"/>
    <n v="0"/>
  </r>
  <r>
    <n v="536746000000"/>
    <x v="0"/>
    <x v="27"/>
    <x v="3"/>
    <s v="CARATOIRA"/>
    <d v="2016-05-03T00:00:00"/>
    <d v="2016-05-03T00:00:00"/>
    <x v="4"/>
    <x v="94"/>
    <x v="5"/>
    <n v="0"/>
    <x v="1"/>
    <n v="0"/>
    <n v="0"/>
    <n v="1"/>
    <x v="1"/>
    <x v="0"/>
    <n v="0"/>
  </r>
  <r>
    <n v="966156000000000"/>
    <x v="0"/>
    <x v="19"/>
    <x v="2"/>
    <s v="CRUZAMENTO"/>
    <d v="2016-05-03T00:00:00"/>
    <d v="2016-05-04T00:00:00"/>
    <x v="1"/>
    <x v="93"/>
    <x v="4"/>
    <n v="0"/>
    <x v="1"/>
    <n v="0"/>
    <n v="0"/>
    <n v="0"/>
    <x v="1"/>
    <x v="1"/>
    <n v="1"/>
  </r>
  <r>
    <n v="932763000000000"/>
    <x v="1"/>
    <x v="4"/>
    <x v="2"/>
    <s v="BELA VISTA"/>
    <d v="2016-05-03T00:00:00"/>
    <d v="2016-05-03T00:00:00"/>
    <x v="4"/>
    <x v="94"/>
    <x v="5"/>
    <n v="0"/>
    <x v="1"/>
    <n v="0"/>
    <n v="0"/>
    <n v="0"/>
    <x v="1"/>
    <x v="0"/>
    <n v="0"/>
  </r>
  <r>
    <n v="9785990000000"/>
    <x v="0"/>
    <x v="43"/>
    <x v="2"/>
    <s v="ILHA DO PRINCIPE"/>
    <d v="2016-05-03T00:00:00"/>
    <d v="2016-05-03T00:00:00"/>
    <x v="4"/>
    <x v="94"/>
    <x v="5"/>
    <n v="0"/>
    <x v="1"/>
    <n v="0"/>
    <n v="0"/>
    <n v="0"/>
    <x v="1"/>
    <x v="0"/>
    <n v="0"/>
  </r>
  <r>
    <n v="997567000000000"/>
    <x v="0"/>
    <x v="16"/>
    <x v="1"/>
    <s v="CENTRO"/>
    <d v="2016-05-03T00:00:00"/>
    <d v="2016-06-03T00:00:00"/>
    <x v="0"/>
    <x v="57"/>
    <x v="0"/>
    <n v="0"/>
    <x v="1"/>
    <n v="0"/>
    <n v="0"/>
    <n v="0"/>
    <x v="1"/>
    <x v="0"/>
    <n v="0"/>
  </r>
  <r>
    <n v="646660000000"/>
    <x v="0"/>
    <x v="54"/>
    <x v="1"/>
    <s v="SANTA CECILIA"/>
    <d v="2016-05-03T00:00:00"/>
    <d v="2016-05-03T00:00:00"/>
    <x v="4"/>
    <x v="94"/>
    <x v="5"/>
    <n v="0"/>
    <x v="1"/>
    <n v="0"/>
    <n v="0"/>
    <n v="0"/>
    <x v="1"/>
    <x v="0"/>
    <n v="0"/>
  </r>
  <r>
    <n v="15466900000000"/>
    <x v="1"/>
    <x v="48"/>
    <x v="3"/>
    <s v="BONFIM"/>
    <d v="2016-05-03T00:00:00"/>
    <d v="2016-05-04T00:00:00"/>
    <x v="1"/>
    <x v="93"/>
    <x v="4"/>
    <n v="0"/>
    <x v="0"/>
    <n v="1"/>
    <n v="0"/>
    <n v="0"/>
    <x v="1"/>
    <x v="0"/>
    <n v="0"/>
  </r>
  <r>
    <n v="9998230000000"/>
    <x v="1"/>
    <x v="74"/>
    <x v="1"/>
    <s v="JABOUR"/>
    <d v="2016-05-03T00:00:00"/>
    <d v="2016-05-04T00:00:00"/>
    <x v="1"/>
    <x v="93"/>
    <x v="4"/>
    <n v="0"/>
    <x v="1"/>
    <n v="0"/>
    <n v="0"/>
    <n v="0"/>
    <x v="1"/>
    <x v="0"/>
    <n v="0"/>
  </r>
  <r>
    <n v="51765600000000"/>
    <x v="0"/>
    <x v="50"/>
    <x v="1"/>
    <s v="ILHA DAS CAIEIRAS"/>
    <d v="2016-05-03T00:00:00"/>
    <d v="2016-05-12T00:00:00"/>
    <x v="3"/>
    <x v="85"/>
    <x v="2"/>
    <n v="1"/>
    <x v="0"/>
    <n v="0"/>
    <n v="0"/>
    <n v="0"/>
    <x v="0"/>
    <x v="0"/>
    <n v="0"/>
  </r>
  <r>
    <n v="1119680000000"/>
    <x v="0"/>
    <x v="22"/>
    <x v="4"/>
    <s v="CONQUISTA"/>
    <d v="2016-05-03T00:00:00"/>
    <d v="2016-05-13T00:00:00"/>
    <x v="0"/>
    <x v="83"/>
    <x v="2"/>
    <n v="0"/>
    <x v="1"/>
    <n v="0"/>
    <n v="0"/>
    <n v="0"/>
    <x v="1"/>
    <x v="1"/>
    <n v="1"/>
  </r>
  <r>
    <n v="59136200000000"/>
    <x v="0"/>
    <x v="7"/>
    <x v="3"/>
    <s v="SANTO ANTONIO"/>
    <d v="2016-05-03T00:00:00"/>
    <d v="2016-05-04T00:00:00"/>
    <x v="1"/>
    <x v="93"/>
    <x v="4"/>
    <n v="0"/>
    <x v="0"/>
    <n v="0"/>
    <n v="0"/>
    <n v="0"/>
    <x v="1"/>
    <x v="0"/>
    <n v="0"/>
  </r>
  <r>
    <n v="4954280000000"/>
    <x v="0"/>
    <x v="5"/>
    <x v="1"/>
    <s v="DA PENHA"/>
    <d v="2016-05-03T00:00:00"/>
    <d v="2016-05-05T00:00:00"/>
    <x v="3"/>
    <x v="91"/>
    <x v="4"/>
    <n v="1"/>
    <x v="1"/>
    <n v="0"/>
    <n v="1"/>
    <n v="0"/>
    <x v="1"/>
    <x v="1"/>
    <n v="1"/>
  </r>
  <r>
    <n v="9442340000000"/>
    <x v="1"/>
    <x v="74"/>
    <x v="1"/>
    <s v="ITARARE"/>
    <d v="2016-05-03T00:00:00"/>
    <d v="2016-05-17T00:00:00"/>
    <x v="4"/>
    <x v="80"/>
    <x v="2"/>
    <n v="0"/>
    <x v="1"/>
    <n v="0"/>
    <n v="0"/>
    <n v="0"/>
    <x v="1"/>
    <x v="0"/>
    <n v="0"/>
  </r>
  <r>
    <n v="374449000000"/>
    <x v="1"/>
    <x v="12"/>
    <x v="3"/>
    <s v="FRADINHOS"/>
    <d v="2016-05-03T00:00:00"/>
    <d v="2016-05-10T00:00:00"/>
    <x v="4"/>
    <x v="87"/>
    <x v="3"/>
    <n v="0"/>
    <x v="1"/>
    <n v="0"/>
    <n v="0"/>
    <n v="0"/>
    <x v="0"/>
    <x v="0"/>
    <n v="0"/>
  </r>
  <r>
    <n v="249226000000"/>
    <x v="0"/>
    <x v="55"/>
    <x v="2"/>
    <s v="GOIABEIRAS"/>
    <d v="2016-05-03T00:00:00"/>
    <d v="2016-05-10T00:00:00"/>
    <x v="4"/>
    <x v="87"/>
    <x v="3"/>
    <n v="0"/>
    <x v="1"/>
    <n v="0"/>
    <n v="0"/>
    <n v="0"/>
    <x v="0"/>
    <x v="1"/>
    <n v="1"/>
  </r>
  <r>
    <n v="96871300000000"/>
    <x v="0"/>
    <x v="72"/>
    <x v="5"/>
    <s v="ILHA DO PRINCIPE"/>
    <d v="2016-05-03T00:00:00"/>
    <d v="2016-05-10T00:00:00"/>
    <x v="4"/>
    <x v="87"/>
    <x v="3"/>
    <n v="0"/>
    <x v="1"/>
    <n v="0"/>
    <n v="0"/>
    <n v="0"/>
    <x v="1"/>
    <x v="0"/>
    <n v="0"/>
  </r>
  <r>
    <n v="6495930000000"/>
    <x v="0"/>
    <x v="40"/>
    <x v="1"/>
    <s v="INHANGUETA"/>
    <d v="2016-05-03T00:00:00"/>
    <d v="2016-05-16T00:00:00"/>
    <x v="2"/>
    <x v="82"/>
    <x v="2"/>
    <n v="0"/>
    <x v="1"/>
    <n v="0"/>
    <n v="0"/>
    <n v="0"/>
    <x v="1"/>
    <x v="0"/>
    <n v="0"/>
  </r>
  <r>
    <n v="31178400000000"/>
    <x v="1"/>
    <x v="69"/>
    <x v="4"/>
    <s v="JARDIM DA PENHA"/>
    <d v="2016-05-03T00:00:00"/>
    <d v="2016-05-31T00:00:00"/>
    <x v="4"/>
    <x v="64"/>
    <x v="1"/>
    <n v="0"/>
    <x v="0"/>
    <n v="0"/>
    <n v="0"/>
    <n v="0"/>
    <x v="0"/>
    <x v="0"/>
    <n v="0"/>
  </r>
  <r>
    <n v="449812000000000"/>
    <x v="0"/>
    <x v="36"/>
    <x v="3"/>
    <s v="SANTO ANDRE"/>
    <d v="2016-05-03T00:00:00"/>
    <d v="2016-05-06T00:00:00"/>
    <x v="0"/>
    <x v="89"/>
    <x v="4"/>
    <n v="0"/>
    <x v="1"/>
    <n v="0"/>
    <n v="0"/>
    <n v="1"/>
    <x v="1"/>
    <x v="0"/>
    <n v="0"/>
  </r>
  <r>
    <n v="117226000000000"/>
    <x v="1"/>
    <x v="26"/>
    <x v="0"/>
    <s v="SAO JOSE"/>
    <d v="2016-05-03T00:00:00"/>
    <d v="2016-05-06T00:00:00"/>
    <x v="0"/>
    <x v="89"/>
    <x v="4"/>
    <n v="0"/>
    <x v="0"/>
    <n v="0"/>
    <n v="0"/>
    <n v="0"/>
    <x v="1"/>
    <x v="0"/>
    <n v="0"/>
  </r>
  <r>
    <n v="21214600000000"/>
    <x v="1"/>
    <x v="52"/>
    <x v="2"/>
    <s v="RESISTENCIA"/>
    <d v="2016-05-03T00:00:00"/>
    <d v="2016-06-08T00:00:00"/>
    <x v="1"/>
    <x v="55"/>
    <x v="0"/>
    <n v="0"/>
    <x v="1"/>
    <n v="0"/>
    <n v="0"/>
    <n v="0"/>
    <x v="0"/>
    <x v="0"/>
    <n v="0"/>
  </r>
  <r>
    <n v="12778300000000"/>
    <x v="1"/>
    <x v="11"/>
    <x v="0"/>
    <s v="MARUIPE"/>
    <d v="2016-05-03T00:00:00"/>
    <d v="2016-05-05T00:00:00"/>
    <x v="3"/>
    <x v="91"/>
    <x v="4"/>
    <n v="0"/>
    <x v="0"/>
    <n v="0"/>
    <n v="0"/>
    <n v="0"/>
    <x v="1"/>
    <x v="0"/>
    <n v="0"/>
  </r>
  <r>
    <n v="56154396464"/>
    <x v="0"/>
    <x v="40"/>
    <x v="1"/>
    <s v="BONFIM"/>
    <d v="2016-05-03T00:00:00"/>
    <d v="2016-05-09T00:00:00"/>
    <x v="2"/>
    <x v="90"/>
    <x v="3"/>
    <n v="0"/>
    <x v="1"/>
    <n v="0"/>
    <n v="0"/>
    <n v="0"/>
    <x v="1"/>
    <x v="0"/>
    <n v="0"/>
  </r>
  <r>
    <n v="5159790000000"/>
    <x v="0"/>
    <x v="34"/>
    <x v="0"/>
    <s v="CENTRO"/>
    <d v="2016-05-03T00:00:00"/>
    <d v="2016-05-05T00:00:00"/>
    <x v="3"/>
    <x v="91"/>
    <x v="4"/>
    <n v="0"/>
    <x v="1"/>
    <n v="0"/>
    <n v="0"/>
    <n v="0"/>
    <x v="1"/>
    <x v="0"/>
    <n v="0"/>
  </r>
  <r>
    <n v="358868000000"/>
    <x v="1"/>
    <x v="23"/>
    <x v="3"/>
    <s v="TABUAZEIRO"/>
    <d v="2016-05-03T00:00:00"/>
    <d v="2016-05-05T00:00:00"/>
    <x v="3"/>
    <x v="91"/>
    <x v="4"/>
    <n v="0"/>
    <x v="1"/>
    <n v="0"/>
    <n v="0"/>
    <n v="0"/>
    <x v="1"/>
    <x v="0"/>
    <n v="0"/>
  </r>
  <r>
    <n v="3925790000000"/>
    <x v="1"/>
    <x v="79"/>
    <x v="5"/>
    <s v="JARDIM CAMBURI"/>
    <d v="2016-05-03T00:00:00"/>
    <d v="2016-05-03T00:00:00"/>
    <x v="4"/>
    <x v="94"/>
    <x v="5"/>
    <n v="0"/>
    <x v="1"/>
    <n v="0"/>
    <n v="0"/>
    <n v="0"/>
    <x v="1"/>
    <x v="0"/>
    <n v="0"/>
  </r>
  <r>
    <n v="6945810000000"/>
    <x v="1"/>
    <x v="41"/>
    <x v="4"/>
    <s v="CARATOIRA"/>
    <d v="2016-05-03T00:00:00"/>
    <d v="2016-05-03T00:00:00"/>
    <x v="4"/>
    <x v="94"/>
    <x v="5"/>
    <n v="0"/>
    <x v="1"/>
    <n v="0"/>
    <n v="0"/>
    <n v="0"/>
    <x v="1"/>
    <x v="1"/>
    <n v="1"/>
  </r>
  <r>
    <n v="87223300000000"/>
    <x v="0"/>
    <x v="84"/>
    <x v="1"/>
    <s v="MARIA ORTIZ"/>
    <d v="2016-05-03T00:00:00"/>
    <d v="2016-05-19T00:00:00"/>
    <x v="3"/>
    <x v="78"/>
    <x v="1"/>
    <n v="0"/>
    <x v="1"/>
    <n v="0"/>
    <n v="0"/>
    <n v="0"/>
    <x v="1"/>
    <x v="0"/>
    <n v="0"/>
  </r>
  <r>
    <n v="491987000000000"/>
    <x v="1"/>
    <x v="27"/>
    <x v="3"/>
    <s v="SANTO ANTONIO"/>
    <d v="2016-05-03T00:00:00"/>
    <d v="2016-05-03T00:00:00"/>
    <x v="4"/>
    <x v="94"/>
    <x v="5"/>
    <n v="0"/>
    <x v="1"/>
    <n v="0"/>
    <n v="0"/>
    <n v="0"/>
    <x v="1"/>
    <x v="0"/>
    <n v="0"/>
  </r>
  <r>
    <n v="43847300000000"/>
    <x v="0"/>
    <x v="62"/>
    <x v="3"/>
    <s v="JABOUR"/>
    <d v="2016-05-03T00:00:00"/>
    <d v="2016-05-03T00:00:00"/>
    <x v="4"/>
    <x v="94"/>
    <x v="5"/>
    <n v="0"/>
    <x v="1"/>
    <n v="0"/>
    <n v="0"/>
    <n v="0"/>
    <x v="1"/>
    <x v="0"/>
    <n v="0"/>
  </r>
  <r>
    <n v="2753470000000"/>
    <x v="1"/>
    <x v="12"/>
    <x v="3"/>
    <s v="RESISTENCIA"/>
    <d v="2016-05-03T00:00:00"/>
    <d v="2016-05-24T00:00:00"/>
    <x v="4"/>
    <x v="73"/>
    <x v="1"/>
    <n v="0"/>
    <x v="1"/>
    <n v="0"/>
    <n v="0"/>
    <n v="0"/>
    <x v="1"/>
    <x v="1"/>
    <n v="1"/>
  </r>
  <r>
    <n v="161362000000000"/>
    <x v="1"/>
    <x v="75"/>
    <x v="5"/>
    <s v="ILHA DO PRINCIPE"/>
    <d v="2016-05-03T00:00:00"/>
    <d v="2016-05-13T00:00:00"/>
    <x v="0"/>
    <x v="83"/>
    <x v="2"/>
    <n v="0"/>
    <x v="1"/>
    <n v="0"/>
    <n v="0"/>
    <n v="0"/>
    <x v="1"/>
    <x v="0"/>
    <n v="0"/>
  </r>
  <r>
    <n v="633955000000000"/>
    <x v="0"/>
    <x v="4"/>
    <x v="2"/>
    <s v="SAO BENEDITO"/>
    <d v="2016-05-03T00:00:00"/>
    <d v="2016-05-03T00:00:00"/>
    <x v="4"/>
    <x v="94"/>
    <x v="5"/>
    <n v="0"/>
    <x v="1"/>
    <n v="0"/>
    <n v="0"/>
    <n v="0"/>
    <x v="1"/>
    <x v="0"/>
    <n v="0"/>
  </r>
  <r>
    <n v="219327000000000"/>
    <x v="0"/>
    <x v="17"/>
    <x v="4"/>
    <s v="JESUS DE NAZARETH"/>
    <d v="2016-05-03T00:00:00"/>
    <d v="2016-05-18T00:00:00"/>
    <x v="1"/>
    <x v="79"/>
    <x v="1"/>
    <n v="1"/>
    <x v="1"/>
    <n v="0"/>
    <n v="0"/>
    <n v="0"/>
    <x v="1"/>
    <x v="1"/>
    <n v="1"/>
  </r>
  <r>
    <n v="411171000000"/>
    <x v="1"/>
    <x v="48"/>
    <x v="3"/>
    <s v="RESISTENCIA"/>
    <d v="2016-05-03T00:00:00"/>
    <d v="2016-05-03T00:00:00"/>
    <x v="4"/>
    <x v="94"/>
    <x v="5"/>
    <n v="0"/>
    <x v="1"/>
    <n v="0"/>
    <n v="0"/>
    <n v="0"/>
    <x v="1"/>
    <x v="0"/>
    <n v="0"/>
  </r>
  <r>
    <n v="1666520000000"/>
    <x v="0"/>
    <x v="9"/>
    <x v="0"/>
    <s v="JARDIM CAMBURI"/>
    <d v="2016-05-03T00:00:00"/>
    <d v="2016-05-03T00:00:00"/>
    <x v="4"/>
    <x v="94"/>
    <x v="5"/>
    <n v="0"/>
    <x v="1"/>
    <n v="0"/>
    <n v="0"/>
    <n v="0"/>
    <x v="1"/>
    <x v="0"/>
    <n v="0"/>
  </r>
  <r>
    <n v="62786400000000"/>
    <x v="0"/>
    <x v="54"/>
    <x v="1"/>
    <s v="SANTA HELENA"/>
    <d v="2016-05-03T00:00:00"/>
    <d v="2016-05-03T00:00:00"/>
    <x v="4"/>
    <x v="94"/>
    <x v="5"/>
    <n v="0"/>
    <x v="1"/>
    <n v="0"/>
    <n v="0"/>
    <n v="0"/>
    <x v="1"/>
    <x v="0"/>
    <n v="0"/>
  </r>
  <r>
    <n v="221346000000000"/>
    <x v="1"/>
    <x v="80"/>
    <x v="2"/>
    <s v="INHANGUETA"/>
    <d v="2016-05-03T00:00:00"/>
    <d v="2016-05-04T00:00:00"/>
    <x v="1"/>
    <x v="93"/>
    <x v="4"/>
    <n v="0"/>
    <x v="1"/>
    <n v="0"/>
    <n v="0"/>
    <n v="0"/>
    <x v="1"/>
    <x v="0"/>
    <n v="0"/>
  </r>
  <r>
    <n v="133870000000"/>
    <x v="1"/>
    <x v="18"/>
    <x v="0"/>
    <s v="PIEDADE"/>
    <d v="2016-05-03T00:00:00"/>
    <d v="2016-05-05T00:00:00"/>
    <x v="3"/>
    <x v="91"/>
    <x v="4"/>
    <n v="0"/>
    <x v="1"/>
    <n v="0"/>
    <n v="0"/>
    <n v="0"/>
    <x v="1"/>
    <x v="0"/>
    <n v="0"/>
  </r>
  <r>
    <n v="39644500000000"/>
    <x v="1"/>
    <x v="12"/>
    <x v="3"/>
    <s v="JOANA D ARC"/>
    <d v="2016-05-03T00:00:00"/>
    <d v="2016-05-05T00:00:00"/>
    <x v="3"/>
    <x v="91"/>
    <x v="4"/>
    <n v="0"/>
    <x v="1"/>
    <n v="0"/>
    <n v="1"/>
    <n v="0"/>
    <x v="1"/>
    <x v="0"/>
    <n v="0"/>
  </r>
  <r>
    <n v="8535630000000"/>
    <x v="1"/>
    <x v="79"/>
    <x v="5"/>
    <s v="SAO PEDRO"/>
    <d v="2016-05-03T00:00:00"/>
    <d v="2016-05-03T00:00:00"/>
    <x v="4"/>
    <x v="94"/>
    <x v="5"/>
    <n v="0"/>
    <x v="1"/>
    <n v="0"/>
    <n v="0"/>
    <n v="0"/>
    <x v="1"/>
    <x v="0"/>
    <n v="0"/>
  </r>
  <r>
    <n v="68341200000000"/>
    <x v="0"/>
    <x v="77"/>
    <x v="4"/>
    <s v="SANTOS DUMONT"/>
    <d v="2016-05-03T00:00:00"/>
    <d v="2016-05-12T00:00:00"/>
    <x v="3"/>
    <x v="85"/>
    <x v="2"/>
    <n v="0"/>
    <x v="1"/>
    <n v="0"/>
    <n v="0"/>
    <n v="0"/>
    <x v="0"/>
    <x v="1"/>
    <n v="1"/>
  </r>
  <r>
    <n v="532617000000000"/>
    <x v="0"/>
    <x v="31"/>
    <x v="1"/>
    <s v="ILHA DO PRINCIPE"/>
    <d v="2016-05-03T00:00:00"/>
    <d v="2016-05-06T00:00:00"/>
    <x v="0"/>
    <x v="89"/>
    <x v="4"/>
    <n v="0"/>
    <x v="1"/>
    <n v="0"/>
    <n v="0"/>
    <n v="0"/>
    <x v="1"/>
    <x v="0"/>
    <n v="0"/>
  </r>
  <r>
    <n v="71216400000000"/>
    <x v="1"/>
    <x v="39"/>
    <x v="4"/>
    <s v="JARDIM CAMBURI"/>
    <d v="2016-05-03T00:00:00"/>
    <d v="2016-05-04T00:00:00"/>
    <x v="1"/>
    <x v="93"/>
    <x v="4"/>
    <n v="0"/>
    <x v="1"/>
    <n v="0"/>
    <n v="0"/>
    <n v="0"/>
    <x v="1"/>
    <x v="0"/>
    <n v="0"/>
  </r>
  <r>
    <n v="5362140000000"/>
    <x v="1"/>
    <x v="24"/>
    <x v="1"/>
    <s v="MARIA ORTIZ"/>
    <d v="2016-05-03T00:00:00"/>
    <d v="2016-05-03T00:00:00"/>
    <x v="4"/>
    <x v="94"/>
    <x v="5"/>
    <n v="0"/>
    <x v="1"/>
    <n v="0"/>
    <n v="0"/>
    <n v="0"/>
    <x v="1"/>
    <x v="0"/>
    <n v="0"/>
  </r>
  <r>
    <n v="161847000000000"/>
    <x v="0"/>
    <x v="48"/>
    <x v="3"/>
    <s v="MARUIPE"/>
    <d v="2016-05-03T00:00:00"/>
    <d v="2016-05-05T00:00:00"/>
    <x v="3"/>
    <x v="91"/>
    <x v="4"/>
    <n v="0"/>
    <x v="1"/>
    <n v="0"/>
    <n v="0"/>
    <n v="0"/>
    <x v="1"/>
    <x v="0"/>
    <n v="0"/>
  </r>
  <r>
    <n v="39288400000000"/>
    <x v="1"/>
    <x v="72"/>
    <x v="5"/>
    <s v="ENSEADA DO SUA"/>
    <d v="2016-05-03T00:00:00"/>
    <d v="2016-05-10T00:00:00"/>
    <x v="4"/>
    <x v="87"/>
    <x v="3"/>
    <n v="0"/>
    <x v="1"/>
    <n v="0"/>
    <n v="0"/>
    <n v="0"/>
    <x v="0"/>
    <x v="1"/>
    <n v="1"/>
  </r>
  <r>
    <n v="9586750000000"/>
    <x v="1"/>
    <x v="75"/>
    <x v="5"/>
    <s v="CONSOLACAO"/>
    <d v="2016-05-03T00:00:00"/>
    <d v="2016-05-20T00:00:00"/>
    <x v="0"/>
    <x v="75"/>
    <x v="1"/>
    <n v="0"/>
    <x v="1"/>
    <n v="0"/>
    <n v="0"/>
    <n v="0"/>
    <x v="1"/>
    <x v="0"/>
    <n v="0"/>
  </r>
  <r>
    <n v="261125000000000"/>
    <x v="0"/>
    <x v="39"/>
    <x v="4"/>
    <s v="DA PENHA"/>
    <d v="2016-05-03T00:00:00"/>
    <d v="2016-05-20T00:00:00"/>
    <x v="0"/>
    <x v="75"/>
    <x v="1"/>
    <n v="0"/>
    <x v="1"/>
    <n v="0"/>
    <n v="0"/>
    <n v="0"/>
    <x v="1"/>
    <x v="1"/>
    <n v="1"/>
  </r>
  <r>
    <n v="18442900000000"/>
    <x v="0"/>
    <x v="10"/>
    <x v="4"/>
    <s v="NOVA PALESTINA"/>
    <d v="2016-05-03T00:00:00"/>
    <d v="2016-05-16T00:00:00"/>
    <x v="2"/>
    <x v="82"/>
    <x v="2"/>
    <n v="0"/>
    <x v="1"/>
    <n v="0"/>
    <n v="0"/>
    <n v="0"/>
    <x v="1"/>
    <x v="0"/>
    <n v="0"/>
  </r>
  <r>
    <n v="845752000000"/>
    <x v="0"/>
    <x v="18"/>
    <x v="0"/>
    <s v="JARDIM CAMBURI"/>
    <d v="2016-05-03T00:00:00"/>
    <d v="2016-05-03T00:00:00"/>
    <x v="4"/>
    <x v="94"/>
    <x v="5"/>
    <n v="0"/>
    <x v="1"/>
    <n v="0"/>
    <n v="0"/>
    <n v="0"/>
    <x v="1"/>
    <x v="0"/>
    <n v="0"/>
  </r>
  <r>
    <n v="1278650000000"/>
    <x v="0"/>
    <x v="16"/>
    <x v="1"/>
    <s v="SANTA TEREZA"/>
    <d v="2016-05-03T00:00:00"/>
    <d v="2016-05-04T00:00:00"/>
    <x v="1"/>
    <x v="93"/>
    <x v="4"/>
    <n v="0"/>
    <x v="1"/>
    <n v="0"/>
    <n v="0"/>
    <n v="0"/>
    <x v="1"/>
    <x v="0"/>
    <n v="0"/>
  </r>
  <r>
    <n v="5247740000000"/>
    <x v="0"/>
    <x v="49"/>
    <x v="4"/>
    <s v="SAO PEDRO"/>
    <d v="2016-05-03T00:00:00"/>
    <d v="2016-05-31T00:00:00"/>
    <x v="4"/>
    <x v="64"/>
    <x v="1"/>
    <n v="0"/>
    <x v="1"/>
    <n v="0"/>
    <n v="0"/>
    <n v="0"/>
    <x v="0"/>
    <x v="0"/>
    <n v="0"/>
  </r>
  <r>
    <n v="967319000000000"/>
    <x v="0"/>
    <x v="50"/>
    <x v="1"/>
    <s v="RESISTENCIA"/>
    <d v="2016-05-03T00:00:00"/>
    <d v="2016-05-12T00:00:00"/>
    <x v="3"/>
    <x v="85"/>
    <x v="2"/>
    <n v="0"/>
    <x v="1"/>
    <n v="0"/>
    <n v="0"/>
    <n v="0"/>
    <x v="0"/>
    <x v="1"/>
    <n v="1"/>
  </r>
  <r>
    <n v="56356200000000"/>
    <x v="0"/>
    <x v="24"/>
    <x v="1"/>
    <s v="SAO CRISTOVAO"/>
    <d v="2016-05-03T00:00:00"/>
    <d v="2016-05-13T00:00:00"/>
    <x v="0"/>
    <x v="83"/>
    <x v="2"/>
    <n v="0"/>
    <x v="0"/>
    <n v="0"/>
    <n v="0"/>
    <n v="0"/>
    <x v="1"/>
    <x v="1"/>
    <n v="1"/>
  </r>
  <r>
    <n v="4328330000000"/>
    <x v="0"/>
    <x v="3"/>
    <x v="0"/>
    <s v="BENTO FERREIRA"/>
    <d v="2016-05-03T00:00:00"/>
    <d v="2016-05-13T00:00:00"/>
    <x v="0"/>
    <x v="83"/>
    <x v="2"/>
    <n v="0"/>
    <x v="0"/>
    <n v="0"/>
    <n v="0"/>
    <n v="0"/>
    <x v="1"/>
    <x v="1"/>
    <n v="1"/>
  </r>
  <r>
    <n v="4627650000000"/>
    <x v="0"/>
    <x v="48"/>
    <x v="3"/>
    <s v="SANTO ANTONIO"/>
    <d v="2016-05-03T00:00:00"/>
    <d v="2016-05-11T00:00:00"/>
    <x v="1"/>
    <x v="88"/>
    <x v="2"/>
    <n v="0"/>
    <x v="1"/>
    <n v="0"/>
    <n v="0"/>
    <n v="0"/>
    <x v="0"/>
    <x v="0"/>
    <n v="0"/>
  </r>
  <r>
    <n v="65429600000000"/>
    <x v="0"/>
    <x v="12"/>
    <x v="3"/>
    <s v="JARDIM DA PENHA"/>
    <d v="2016-05-03T00:00:00"/>
    <d v="2016-06-01T00:00:00"/>
    <x v="1"/>
    <x v="63"/>
    <x v="1"/>
    <n v="0"/>
    <x v="1"/>
    <n v="0"/>
    <n v="0"/>
    <n v="0"/>
    <x v="0"/>
    <x v="0"/>
    <n v="0"/>
  </r>
  <r>
    <n v="1281490000000"/>
    <x v="0"/>
    <x v="84"/>
    <x v="1"/>
    <s v="JARDIM CAMBURI"/>
    <d v="2016-05-03T00:00:00"/>
    <d v="2016-05-09T00:00:00"/>
    <x v="2"/>
    <x v="90"/>
    <x v="3"/>
    <n v="0"/>
    <x v="1"/>
    <n v="0"/>
    <n v="0"/>
    <n v="0"/>
    <x v="1"/>
    <x v="0"/>
    <n v="0"/>
  </r>
  <r>
    <n v="216225000000"/>
    <x v="1"/>
    <x v="24"/>
    <x v="1"/>
    <s v="SANTO ANDRE"/>
    <d v="2016-05-04T00:00:00"/>
    <d v="2016-05-06T00:00:00"/>
    <x v="0"/>
    <x v="91"/>
    <x v="4"/>
    <n v="0"/>
    <x v="1"/>
    <n v="0"/>
    <n v="0"/>
    <n v="0"/>
    <x v="1"/>
    <x v="1"/>
    <n v="1"/>
  </r>
  <r>
    <n v="31535500000000"/>
    <x v="1"/>
    <x v="77"/>
    <x v="4"/>
    <s v="TABUAZEIRO"/>
    <d v="2016-05-04T00:00:00"/>
    <d v="2016-05-13T00:00:00"/>
    <x v="0"/>
    <x v="85"/>
    <x v="2"/>
    <n v="0"/>
    <x v="1"/>
    <n v="0"/>
    <n v="0"/>
    <n v="0"/>
    <x v="1"/>
    <x v="1"/>
    <n v="1"/>
  </r>
  <r>
    <n v="6722980000000"/>
    <x v="1"/>
    <x v="57"/>
    <x v="2"/>
    <s v="JARDIM CAMBURI"/>
    <d v="2016-05-04T00:00:00"/>
    <d v="2016-05-04T00:00:00"/>
    <x v="1"/>
    <x v="94"/>
    <x v="5"/>
    <n v="0"/>
    <x v="1"/>
    <n v="0"/>
    <n v="0"/>
    <n v="0"/>
    <x v="1"/>
    <x v="0"/>
    <n v="0"/>
  </r>
  <r>
    <n v="23352300000000"/>
    <x v="0"/>
    <x v="42"/>
    <x v="3"/>
    <s v="INHANGUETA"/>
    <d v="2016-05-04T00:00:00"/>
    <d v="2016-05-05T00:00:00"/>
    <x v="3"/>
    <x v="93"/>
    <x v="4"/>
    <n v="0"/>
    <x v="1"/>
    <n v="0"/>
    <n v="0"/>
    <n v="0"/>
    <x v="1"/>
    <x v="0"/>
    <n v="0"/>
  </r>
  <r>
    <n v="298956000000000"/>
    <x v="0"/>
    <x v="18"/>
    <x v="0"/>
    <s v="SANTO ANTONIO"/>
    <d v="2016-05-04T00:00:00"/>
    <d v="2016-05-04T00:00:00"/>
    <x v="1"/>
    <x v="94"/>
    <x v="5"/>
    <n v="0"/>
    <x v="1"/>
    <n v="0"/>
    <n v="0"/>
    <n v="0"/>
    <x v="1"/>
    <x v="1"/>
    <n v="1"/>
  </r>
  <r>
    <n v="19686000000000"/>
    <x v="1"/>
    <x v="63"/>
    <x v="0"/>
    <s v="GURIGICA"/>
    <d v="2016-05-04T00:00:00"/>
    <d v="2016-05-04T00:00:00"/>
    <x v="1"/>
    <x v="94"/>
    <x v="5"/>
    <n v="0"/>
    <x v="0"/>
    <n v="1"/>
    <n v="0"/>
    <n v="0"/>
    <x v="1"/>
    <x v="0"/>
    <n v="0"/>
  </r>
  <r>
    <n v="654128000000000"/>
    <x v="0"/>
    <x v="75"/>
    <x v="5"/>
    <s v="ARIOVALDO FAVALESSA"/>
    <d v="2016-05-04T00:00:00"/>
    <d v="2016-05-04T00:00:00"/>
    <x v="1"/>
    <x v="94"/>
    <x v="5"/>
    <n v="1"/>
    <x v="1"/>
    <n v="0"/>
    <n v="0"/>
    <n v="0"/>
    <x v="1"/>
    <x v="0"/>
    <n v="0"/>
  </r>
  <r>
    <n v="646175000000000"/>
    <x v="0"/>
    <x v="52"/>
    <x v="2"/>
    <s v="FORTE SAO JOAO"/>
    <d v="2016-05-04T00:00:00"/>
    <d v="2016-05-04T00:00:00"/>
    <x v="1"/>
    <x v="94"/>
    <x v="5"/>
    <n v="0"/>
    <x v="1"/>
    <n v="0"/>
    <n v="0"/>
    <n v="0"/>
    <x v="1"/>
    <x v="0"/>
    <n v="0"/>
  </r>
  <r>
    <n v="58797500000000"/>
    <x v="0"/>
    <x v="60"/>
    <x v="2"/>
    <s v="JARDIM CAMBURI"/>
    <d v="2016-05-04T00:00:00"/>
    <d v="2016-05-24T00:00:00"/>
    <x v="4"/>
    <x v="76"/>
    <x v="1"/>
    <n v="0"/>
    <x v="1"/>
    <n v="0"/>
    <n v="0"/>
    <n v="0"/>
    <x v="0"/>
    <x v="0"/>
    <n v="0"/>
  </r>
  <r>
    <n v="367438000000000"/>
    <x v="0"/>
    <x v="36"/>
    <x v="3"/>
    <s v="JABOUR"/>
    <d v="2016-05-04T00:00:00"/>
    <d v="2016-05-04T00:00:00"/>
    <x v="1"/>
    <x v="94"/>
    <x v="5"/>
    <n v="0"/>
    <x v="1"/>
    <n v="0"/>
    <n v="0"/>
    <n v="0"/>
    <x v="1"/>
    <x v="0"/>
    <n v="0"/>
  </r>
  <r>
    <n v="246664000000"/>
    <x v="0"/>
    <x v="23"/>
    <x v="3"/>
    <s v="BELA VISTA"/>
    <d v="2016-05-04T00:00:00"/>
    <d v="2016-05-06T00:00:00"/>
    <x v="0"/>
    <x v="91"/>
    <x v="4"/>
    <n v="0"/>
    <x v="0"/>
    <n v="0"/>
    <n v="0"/>
    <n v="0"/>
    <x v="1"/>
    <x v="0"/>
    <n v="0"/>
  </r>
  <r>
    <n v="4471960000000"/>
    <x v="1"/>
    <x v="0"/>
    <x v="0"/>
    <s v="ILHA DO PRINCIPE"/>
    <d v="2016-05-04T00:00:00"/>
    <d v="2016-05-04T00:00:00"/>
    <x v="1"/>
    <x v="94"/>
    <x v="5"/>
    <n v="0"/>
    <x v="0"/>
    <n v="0"/>
    <n v="0"/>
    <n v="0"/>
    <x v="1"/>
    <x v="0"/>
    <n v="0"/>
  </r>
  <r>
    <n v="942589000000000"/>
    <x v="1"/>
    <x v="30"/>
    <x v="3"/>
    <s v="CENTRO"/>
    <d v="2016-05-04T00:00:00"/>
    <d v="2016-05-04T00:00:00"/>
    <x v="1"/>
    <x v="94"/>
    <x v="5"/>
    <n v="0"/>
    <x v="1"/>
    <n v="0"/>
    <n v="0"/>
    <n v="0"/>
    <x v="1"/>
    <x v="0"/>
    <n v="0"/>
  </r>
  <r>
    <n v="347282000000000"/>
    <x v="0"/>
    <x v="40"/>
    <x v="1"/>
    <s v="ILHA DE SANTA MARIA"/>
    <d v="2016-05-04T00:00:00"/>
    <d v="2016-05-04T00:00:00"/>
    <x v="1"/>
    <x v="94"/>
    <x v="5"/>
    <n v="0"/>
    <x v="1"/>
    <n v="0"/>
    <n v="0"/>
    <n v="0"/>
    <x v="1"/>
    <x v="0"/>
    <n v="0"/>
  </r>
  <r>
    <n v="38831600000000"/>
    <x v="0"/>
    <x v="28"/>
    <x v="3"/>
    <s v="REDENCAO"/>
    <d v="2016-05-04T00:00:00"/>
    <d v="2016-05-11T00:00:00"/>
    <x v="1"/>
    <x v="87"/>
    <x v="3"/>
    <n v="0"/>
    <x v="1"/>
    <n v="0"/>
    <n v="0"/>
    <n v="0"/>
    <x v="0"/>
    <x v="0"/>
    <n v="0"/>
  </r>
  <r>
    <n v="15616600000000"/>
    <x v="1"/>
    <x v="37"/>
    <x v="3"/>
    <s v="DO MOSCOSO"/>
    <d v="2016-05-04T00:00:00"/>
    <d v="2016-05-04T00:00:00"/>
    <x v="1"/>
    <x v="94"/>
    <x v="5"/>
    <n v="0"/>
    <x v="1"/>
    <n v="0"/>
    <n v="0"/>
    <n v="0"/>
    <x v="1"/>
    <x v="0"/>
    <n v="0"/>
  </r>
  <r>
    <n v="256165000000000"/>
    <x v="1"/>
    <x v="47"/>
    <x v="4"/>
    <s v="REDENCAO"/>
    <d v="2016-05-04T00:00:00"/>
    <d v="2016-05-11T00:00:00"/>
    <x v="1"/>
    <x v="87"/>
    <x v="3"/>
    <n v="0"/>
    <x v="1"/>
    <n v="0"/>
    <n v="0"/>
    <n v="0"/>
    <x v="0"/>
    <x v="0"/>
    <n v="0"/>
  </r>
  <r>
    <n v="694215000000"/>
    <x v="1"/>
    <x v="50"/>
    <x v="1"/>
    <s v="SANTOS DUMONT"/>
    <d v="2016-05-04T00:00:00"/>
    <d v="2016-05-19T00:00:00"/>
    <x v="3"/>
    <x v="79"/>
    <x v="1"/>
    <n v="0"/>
    <x v="1"/>
    <n v="0"/>
    <n v="0"/>
    <n v="0"/>
    <x v="1"/>
    <x v="0"/>
    <n v="0"/>
  </r>
  <r>
    <n v="1582240000000"/>
    <x v="0"/>
    <x v="62"/>
    <x v="3"/>
    <s v="REDENCAO"/>
    <d v="2016-05-04T00:00:00"/>
    <d v="2016-05-12T00:00:00"/>
    <x v="3"/>
    <x v="88"/>
    <x v="2"/>
    <n v="0"/>
    <x v="1"/>
    <n v="0"/>
    <n v="0"/>
    <n v="0"/>
    <x v="0"/>
    <x v="0"/>
    <n v="0"/>
  </r>
  <r>
    <n v="654826000000"/>
    <x v="1"/>
    <x v="43"/>
    <x v="2"/>
    <s v="SAO PEDRO"/>
    <d v="2016-05-04T00:00:00"/>
    <d v="2016-05-04T00:00:00"/>
    <x v="1"/>
    <x v="94"/>
    <x v="5"/>
    <n v="1"/>
    <x v="1"/>
    <n v="0"/>
    <n v="0"/>
    <n v="0"/>
    <x v="1"/>
    <x v="0"/>
    <n v="0"/>
  </r>
  <r>
    <n v="22567800000000"/>
    <x v="1"/>
    <x v="36"/>
    <x v="3"/>
    <s v="JARDIM CAMBURI"/>
    <d v="2016-05-04T00:00:00"/>
    <d v="2016-05-06T00:00:00"/>
    <x v="0"/>
    <x v="91"/>
    <x v="4"/>
    <n v="0"/>
    <x v="1"/>
    <n v="0"/>
    <n v="0"/>
    <n v="0"/>
    <x v="1"/>
    <x v="0"/>
    <n v="0"/>
  </r>
  <r>
    <n v="662282000000000"/>
    <x v="1"/>
    <x v="75"/>
    <x v="5"/>
    <s v="MARIO CYPRESTE"/>
    <d v="2016-05-04T00:00:00"/>
    <d v="2016-05-06T00:00:00"/>
    <x v="0"/>
    <x v="91"/>
    <x v="4"/>
    <n v="0"/>
    <x v="1"/>
    <n v="0"/>
    <n v="0"/>
    <n v="0"/>
    <x v="1"/>
    <x v="1"/>
    <n v="1"/>
  </r>
  <r>
    <n v="4553520000000"/>
    <x v="1"/>
    <x v="84"/>
    <x v="1"/>
    <s v="SAO CRISTOVAO"/>
    <d v="2016-05-04T00:00:00"/>
    <d v="2016-05-04T00:00:00"/>
    <x v="1"/>
    <x v="94"/>
    <x v="5"/>
    <n v="0"/>
    <x v="1"/>
    <n v="0"/>
    <n v="0"/>
    <n v="0"/>
    <x v="1"/>
    <x v="0"/>
    <n v="0"/>
  </r>
  <r>
    <n v="387519000000"/>
    <x v="1"/>
    <x v="42"/>
    <x v="3"/>
    <s v="TABUAZEIRO"/>
    <d v="2016-05-04T00:00:00"/>
    <d v="2016-05-04T00:00:00"/>
    <x v="1"/>
    <x v="94"/>
    <x v="5"/>
    <n v="0"/>
    <x v="1"/>
    <n v="0"/>
    <n v="0"/>
    <n v="0"/>
    <x v="1"/>
    <x v="0"/>
    <n v="0"/>
  </r>
  <r>
    <n v="3624150000000"/>
    <x v="0"/>
    <x v="56"/>
    <x v="1"/>
    <s v="SANTO ANDRE"/>
    <d v="2016-05-04T00:00:00"/>
    <d v="2016-05-04T00:00:00"/>
    <x v="1"/>
    <x v="94"/>
    <x v="5"/>
    <n v="0"/>
    <x v="1"/>
    <n v="0"/>
    <n v="0"/>
    <n v="0"/>
    <x v="1"/>
    <x v="0"/>
    <n v="0"/>
  </r>
  <r>
    <n v="721799000000000"/>
    <x v="0"/>
    <x v="47"/>
    <x v="4"/>
    <s v="TABUAZEIRO"/>
    <d v="2016-05-04T00:00:00"/>
    <d v="2016-05-04T00:00:00"/>
    <x v="1"/>
    <x v="94"/>
    <x v="5"/>
    <n v="0"/>
    <x v="1"/>
    <n v="0"/>
    <n v="0"/>
    <n v="0"/>
    <x v="1"/>
    <x v="0"/>
    <n v="0"/>
  </r>
  <r>
    <n v="95321400000000"/>
    <x v="1"/>
    <x v="41"/>
    <x v="4"/>
    <s v="COMDUSA"/>
    <d v="2016-05-04T00:00:00"/>
    <d v="2016-05-06T00:00:00"/>
    <x v="0"/>
    <x v="91"/>
    <x v="4"/>
    <n v="0"/>
    <x v="0"/>
    <n v="1"/>
    <n v="0"/>
    <n v="0"/>
    <x v="1"/>
    <x v="0"/>
    <n v="0"/>
  </r>
  <r>
    <n v="47368700000000"/>
    <x v="1"/>
    <x v="57"/>
    <x v="2"/>
    <s v="RESISTENCIA"/>
    <d v="2016-05-04T00:00:00"/>
    <d v="2016-05-04T00:00:00"/>
    <x v="1"/>
    <x v="94"/>
    <x v="5"/>
    <n v="0"/>
    <x v="1"/>
    <n v="0"/>
    <n v="0"/>
    <n v="0"/>
    <x v="1"/>
    <x v="0"/>
    <n v="0"/>
  </r>
  <r>
    <n v="478829000000000"/>
    <x v="0"/>
    <x v="12"/>
    <x v="3"/>
    <s v="BONFIM"/>
    <d v="2016-05-04T00:00:00"/>
    <d v="2016-05-04T00:00:00"/>
    <x v="1"/>
    <x v="94"/>
    <x v="5"/>
    <n v="0"/>
    <x v="0"/>
    <n v="1"/>
    <n v="0"/>
    <n v="0"/>
    <x v="1"/>
    <x v="0"/>
    <n v="0"/>
  </r>
  <r>
    <n v="373386000000000"/>
    <x v="0"/>
    <x v="62"/>
    <x v="3"/>
    <s v="JARDIM CAMBURI"/>
    <d v="2016-05-04T00:00:00"/>
    <d v="2016-05-04T00:00:00"/>
    <x v="1"/>
    <x v="94"/>
    <x v="5"/>
    <n v="0"/>
    <x v="1"/>
    <n v="0"/>
    <n v="0"/>
    <n v="0"/>
    <x v="1"/>
    <x v="0"/>
    <n v="0"/>
  </r>
  <r>
    <n v="51517000000000"/>
    <x v="0"/>
    <x v="83"/>
    <x v="0"/>
    <s v="ANDORINHAS"/>
    <d v="2016-05-04T00:00:00"/>
    <d v="2016-06-03T00:00:00"/>
    <x v="0"/>
    <x v="60"/>
    <x v="1"/>
    <n v="0"/>
    <x v="0"/>
    <n v="0"/>
    <n v="0"/>
    <n v="0"/>
    <x v="1"/>
    <x v="0"/>
    <n v="0"/>
  </r>
  <r>
    <n v="18793200000000"/>
    <x v="1"/>
    <x v="6"/>
    <x v="0"/>
    <s v="NOVA PALESTINA"/>
    <d v="2016-05-04T00:00:00"/>
    <d v="2016-05-04T00:00:00"/>
    <x v="1"/>
    <x v="94"/>
    <x v="5"/>
    <n v="1"/>
    <x v="0"/>
    <n v="0"/>
    <n v="0"/>
    <n v="0"/>
    <x v="1"/>
    <x v="0"/>
    <n v="0"/>
  </r>
  <r>
    <n v="282349000000000"/>
    <x v="0"/>
    <x v="63"/>
    <x v="0"/>
    <s v="ANDORINHAS"/>
    <d v="2016-05-04T00:00:00"/>
    <d v="2016-05-04T00:00:00"/>
    <x v="1"/>
    <x v="94"/>
    <x v="5"/>
    <n v="0"/>
    <x v="0"/>
    <n v="0"/>
    <n v="0"/>
    <n v="0"/>
    <x v="1"/>
    <x v="1"/>
    <n v="1"/>
  </r>
  <r>
    <n v="684939000000000"/>
    <x v="0"/>
    <x v="2"/>
    <x v="1"/>
    <s v="MATA DA PRAIA"/>
    <d v="2016-05-04T00:00:00"/>
    <d v="2016-05-31T00:00:00"/>
    <x v="4"/>
    <x v="65"/>
    <x v="1"/>
    <n v="0"/>
    <x v="0"/>
    <n v="1"/>
    <n v="0"/>
    <n v="0"/>
    <x v="0"/>
    <x v="0"/>
    <n v="0"/>
  </r>
  <r>
    <n v="381547000000000"/>
    <x v="1"/>
    <x v="72"/>
    <x v="5"/>
    <s v="MARIA ORTIZ"/>
    <d v="2016-05-04T00:00:00"/>
    <d v="2016-05-04T00:00:00"/>
    <x v="1"/>
    <x v="94"/>
    <x v="5"/>
    <n v="0"/>
    <x v="1"/>
    <n v="0"/>
    <n v="0"/>
    <n v="0"/>
    <x v="1"/>
    <x v="0"/>
    <n v="0"/>
  </r>
  <r>
    <n v="86227900000000"/>
    <x v="0"/>
    <x v="83"/>
    <x v="0"/>
    <s v="ROMAO"/>
    <d v="2016-05-04T00:00:00"/>
    <d v="2016-05-04T00:00:00"/>
    <x v="1"/>
    <x v="94"/>
    <x v="5"/>
    <n v="0"/>
    <x v="0"/>
    <n v="0"/>
    <n v="0"/>
    <n v="0"/>
    <x v="1"/>
    <x v="0"/>
    <n v="0"/>
  </r>
  <r>
    <n v="3498910000000"/>
    <x v="0"/>
    <x v="69"/>
    <x v="4"/>
    <s v="GRANDE VITORIA"/>
    <d v="2016-05-04T00:00:00"/>
    <d v="2016-05-04T00:00:00"/>
    <x v="1"/>
    <x v="94"/>
    <x v="5"/>
    <n v="1"/>
    <x v="1"/>
    <n v="0"/>
    <n v="0"/>
    <n v="0"/>
    <x v="1"/>
    <x v="0"/>
    <n v="0"/>
  </r>
  <r>
    <n v="666742000000000"/>
    <x v="0"/>
    <x v="49"/>
    <x v="4"/>
    <s v="ITARARE"/>
    <d v="2016-05-04T00:00:00"/>
    <d v="2016-05-06T00:00:00"/>
    <x v="0"/>
    <x v="91"/>
    <x v="4"/>
    <n v="0"/>
    <x v="1"/>
    <n v="0"/>
    <n v="0"/>
    <n v="0"/>
    <x v="1"/>
    <x v="1"/>
    <n v="1"/>
  </r>
  <r>
    <n v="2769230000000"/>
    <x v="0"/>
    <x v="55"/>
    <x v="2"/>
    <s v="TABUAZEIRO"/>
    <d v="2016-05-04T00:00:00"/>
    <d v="2016-05-09T00:00:00"/>
    <x v="2"/>
    <x v="92"/>
    <x v="3"/>
    <n v="1"/>
    <x v="1"/>
    <n v="0"/>
    <n v="0"/>
    <n v="0"/>
    <x v="1"/>
    <x v="1"/>
    <n v="1"/>
  </r>
  <r>
    <n v="42378700000000"/>
    <x v="0"/>
    <x v="19"/>
    <x v="2"/>
    <s v="ANDORINHAS"/>
    <d v="2016-05-04T00:00:00"/>
    <d v="2016-05-11T00:00:00"/>
    <x v="1"/>
    <x v="87"/>
    <x v="3"/>
    <n v="0"/>
    <x v="1"/>
    <n v="0"/>
    <n v="0"/>
    <n v="0"/>
    <x v="1"/>
    <x v="0"/>
    <n v="0"/>
  </r>
  <r>
    <n v="4821290000000"/>
    <x v="0"/>
    <x v="45"/>
    <x v="1"/>
    <s v="ITARARE"/>
    <d v="2016-05-04T00:00:00"/>
    <d v="2016-05-17T00:00:00"/>
    <x v="4"/>
    <x v="82"/>
    <x v="2"/>
    <n v="0"/>
    <x v="1"/>
    <n v="0"/>
    <n v="0"/>
    <n v="0"/>
    <x v="1"/>
    <x v="1"/>
    <n v="1"/>
  </r>
  <r>
    <n v="74459500000000"/>
    <x v="0"/>
    <x v="10"/>
    <x v="4"/>
    <s v="VILA RUBIM"/>
    <d v="2016-05-04T00:00:00"/>
    <d v="2016-06-03T00:00:00"/>
    <x v="0"/>
    <x v="60"/>
    <x v="1"/>
    <n v="1"/>
    <x v="1"/>
    <n v="0"/>
    <n v="0"/>
    <n v="0"/>
    <x v="1"/>
    <x v="0"/>
    <n v="0"/>
  </r>
  <r>
    <n v="73472900000000"/>
    <x v="1"/>
    <x v="40"/>
    <x v="1"/>
    <s v="ITARARE"/>
    <d v="2016-05-04T00:00:00"/>
    <d v="2016-05-04T00:00:00"/>
    <x v="1"/>
    <x v="94"/>
    <x v="5"/>
    <n v="0"/>
    <x v="1"/>
    <n v="0"/>
    <n v="0"/>
    <n v="0"/>
    <x v="1"/>
    <x v="0"/>
    <n v="0"/>
  </r>
  <r>
    <n v="27717200000000"/>
    <x v="1"/>
    <x v="51"/>
    <x v="2"/>
    <s v="ARIOVALDO FAVALESSA"/>
    <d v="2016-05-04T00:00:00"/>
    <d v="2016-05-06T00:00:00"/>
    <x v="0"/>
    <x v="91"/>
    <x v="4"/>
    <n v="1"/>
    <x v="1"/>
    <n v="0"/>
    <n v="0"/>
    <n v="0"/>
    <x v="1"/>
    <x v="0"/>
    <n v="0"/>
  </r>
  <r>
    <n v="434954000000"/>
    <x v="0"/>
    <x v="49"/>
    <x v="4"/>
    <s v="ITARARE"/>
    <d v="2016-05-04T00:00:00"/>
    <d v="2016-05-11T00:00:00"/>
    <x v="1"/>
    <x v="87"/>
    <x v="3"/>
    <n v="0"/>
    <x v="0"/>
    <n v="1"/>
    <n v="0"/>
    <n v="0"/>
    <x v="0"/>
    <x v="0"/>
    <n v="0"/>
  </r>
  <r>
    <n v="84224268133"/>
    <x v="0"/>
    <x v="5"/>
    <x v="1"/>
    <s v="MONTE BELO"/>
    <d v="2016-05-04T00:00:00"/>
    <d v="2016-05-04T00:00:00"/>
    <x v="1"/>
    <x v="94"/>
    <x v="5"/>
    <n v="0"/>
    <x v="1"/>
    <n v="0"/>
    <n v="0"/>
    <n v="0"/>
    <x v="1"/>
    <x v="0"/>
    <n v="0"/>
  </r>
  <r>
    <n v="8229280000000"/>
    <x v="0"/>
    <x v="84"/>
    <x v="1"/>
    <s v="PARQUE MOSCOSO"/>
    <d v="2016-05-04T00:00:00"/>
    <d v="2016-05-04T00:00:00"/>
    <x v="1"/>
    <x v="94"/>
    <x v="5"/>
    <n v="0"/>
    <x v="1"/>
    <n v="0"/>
    <n v="0"/>
    <n v="0"/>
    <x v="1"/>
    <x v="0"/>
    <n v="0"/>
  </r>
  <r>
    <n v="23558600000000"/>
    <x v="0"/>
    <x v="16"/>
    <x v="1"/>
    <s v="VILA RUBIM"/>
    <d v="2016-05-04T00:00:00"/>
    <d v="2016-05-05T00:00:00"/>
    <x v="3"/>
    <x v="93"/>
    <x v="4"/>
    <n v="1"/>
    <x v="1"/>
    <n v="0"/>
    <n v="0"/>
    <n v="0"/>
    <x v="1"/>
    <x v="0"/>
    <n v="0"/>
  </r>
  <r>
    <n v="797499000000"/>
    <x v="0"/>
    <x v="32"/>
    <x v="4"/>
    <s v="MARIA ORTIZ"/>
    <d v="2016-05-04T00:00:00"/>
    <d v="2016-05-19T00:00:00"/>
    <x v="3"/>
    <x v="79"/>
    <x v="1"/>
    <n v="0"/>
    <x v="1"/>
    <n v="0"/>
    <n v="0"/>
    <n v="0"/>
    <x v="1"/>
    <x v="0"/>
    <n v="0"/>
  </r>
  <r>
    <n v="318479000000"/>
    <x v="0"/>
    <x v="39"/>
    <x v="4"/>
    <s v="REDENCAO"/>
    <d v="2016-05-04T00:00:00"/>
    <d v="2016-05-04T00:00:00"/>
    <x v="1"/>
    <x v="94"/>
    <x v="5"/>
    <n v="1"/>
    <x v="1"/>
    <n v="0"/>
    <n v="0"/>
    <n v="0"/>
    <x v="1"/>
    <x v="0"/>
    <n v="0"/>
  </r>
  <r>
    <n v="88270000000000"/>
    <x v="0"/>
    <x v="30"/>
    <x v="3"/>
    <s v="MARIA ORTIZ"/>
    <d v="2016-05-04T00:00:00"/>
    <d v="2016-06-02T00:00:00"/>
    <x v="3"/>
    <x v="63"/>
    <x v="1"/>
    <n v="0"/>
    <x v="1"/>
    <n v="0"/>
    <n v="0"/>
    <n v="0"/>
    <x v="0"/>
    <x v="0"/>
    <n v="0"/>
  </r>
  <r>
    <n v="533578000000"/>
    <x v="0"/>
    <x v="71"/>
    <x v="4"/>
    <s v="ANDORINHAS"/>
    <d v="2016-05-04T00:00:00"/>
    <d v="2016-05-18T00:00:00"/>
    <x v="1"/>
    <x v="80"/>
    <x v="2"/>
    <n v="0"/>
    <x v="1"/>
    <n v="0"/>
    <n v="0"/>
    <n v="0"/>
    <x v="1"/>
    <x v="0"/>
    <n v="0"/>
  </r>
  <r>
    <n v="75276500000000"/>
    <x v="0"/>
    <x v="2"/>
    <x v="1"/>
    <s v="ITARARE"/>
    <d v="2016-05-04T00:00:00"/>
    <d v="2016-05-04T00:00:00"/>
    <x v="1"/>
    <x v="94"/>
    <x v="5"/>
    <n v="0"/>
    <x v="1"/>
    <n v="0"/>
    <n v="0"/>
    <n v="0"/>
    <x v="1"/>
    <x v="0"/>
    <n v="0"/>
  </r>
  <r>
    <n v="7838390000000"/>
    <x v="0"/>
    <x v="22"/>
    <x v="4"/>
    <s v="TABUAZEIRO"/>
    <d v="2016-05-04T00:00:00"/>
    <d v="2016-05-04T00:00:00"/>
    <x v="1"/>
    <x v="94"/>
    <x v="5"/>
    <n v="0"/>
    <x v="1"/>
    <n v="0"/>
    <n v="0"/>
    <n v="0"/>
    <x v="1"/>
    <x v="0"/>
    <n v="0"/>
  </r>
  <r>
    <n v="8696612447"/>
    <x v="0"/>
    <x v="69"/>
    <x v="4"/>
    <s v="BARRO VERMELHO"/>
    <d v="2016-05-04T00:00:00"/>
    <d v="2016-05-18T00:00:00"/>
    <x v="1"/>
    <x v="80"/>
    <x v="2"/>
    <n v="0"/>
    <x v="1"/>
    <n v="0"/>
    <n v="0"/>
    <n v="0"/>
    <x v="1"/>
    <x v="1"/>
    <n v="1"/>
  </r>
  <r>
    <n v="294843000000000"/>
    <x v="0"/>
    <x v="21"/>
    <x v="1"/>
    <s v="JARDIM CAMBURI"/>
    <d v="2016-05-04T00:00:00"/>
    <d v="2016-05-13T00:00:00"/>
    <x v="0"/>
    <x v="85"/>
    <x v="2"/>
    <n v="0"/>
    <x v="1"/>
    <n v="0"/>
    <n v="0"/>
    <n v="0"/>
    <x v="1"/>
    <x v="0"/>
    <n v="0"/>
  </r>
  <r>
    <n v="11923700000000"/>
    <x v="1"/>
    <x v="52"/>
    <x v="2"/>
    <s v="CENTRO"/>
    <d v="2016-05-04T00:00:00"/>
    <d v="2016-05-04T00:00:00"/>
    <x v="1"/>
    <x v="94"/>
    <x v="5"/>
    <n v="0"/>
    <x v="1"/>
    <n v="0"/>
    <n v="0"/>
    <n v="0"/>
    <x v="1"/>
    <x v="0"/>
    <n v="0"/>
  </r>
  <r>
    <n v="857246000000000"/>
    <x v="0"/>
    <x v="75"/>
    <x v="5"/>
    <s v="SANTOS DUMONT"/>
    <d v="2016-05-04T00:00:00"/>
    <d v="2016-05-18T00:00:00"/>
    <x v="1"/>
    <x v="80"/>
    <x v="2"/>
    <n v="1"/>
    <x v="1"/>
    <n v="0"/>
    <n v="0"/>
    <n v="0"/>
    <x v="1"/>
    <x v="0"/>
    <n v="0"/>
  </r>
  <r>
    <n v="69387000000000"/>
    <x v="0"/>
    <x v="42"/>
    <x v="3"/>
    <s v="BONFIM"/>
    <d v="2016-05-04T00:00:00"/>
    <d v="2016-05-04T00:00:00"/>
    <x v="1"/>
    <x v="94"/>
    <x v="5"/>
    <n v="1"/>
    <x v="0"/>
    <n v="0"/>
    <n v="0"/>
    <n v="0"/>
    <x v="1"/>
    <x v="0"/>
    <n v="0"/>
  </r>
  <r>
    <n v="26435900000000"/>
    <x v="1"/>
    <x v="78"/>
    <x v="0"/>
    <s v="SANTA TEREZA"/>
    <d v="2016-05-04T00:00:00"/>
    <d v="2016-05-04T00:00:00"/>
    <x v="1"/>
    <x v="94"/>
    <x v="5"/>
    <n v="0"/>
    <x v="0"/>
    <n v="0"/>
    <n v="0"/>
    <n v="0"/>
    <x v="1"/>
    <x v="0"/>
    <n v="0"/>
  </r>
  <r>
    <n v="3246670000000"/>
    <x v="0"/>
    <x v="51"/>
    <x v="2"/>
    <s v="JESUS DE NAZARETH"/>
    <d v="2016-05-04T00:00:00"/>
    <d v="2016-06-08T00:00:00"/>
    <x v="1"/>
    <x v="59"/>
    <x v="0"/>
    <n v="0"/>
    <x v="1"/>
    <n v="0"/>
    <n v="0"/>
    <n v="0"/>
    <x v="0"/>
    <x v="0"/>
    <n v="0"/>
  </r>
  <r>
    <n v="188232000000000"/>
    <x v="1"/>
    <x v="45"/>
    <x v="1"/>
    <s v="JABOUR"/>
    <d v="2016-05-04T00:00:00"/>
    <d v="2016-05-04T00:00:00"/>
    <x v="1"/>
    <x v="94"/>
    <x v="5"/>
    <n v="0"/>
    <x v="1"/>
    <n v="0"/>
    <n v="0"/>
    <n v="0"/>
    <x v="1"/>
    <x v="0"/>
    <n v="0"/>
  </r>
  <r>
    <n v="12948400000000"/>
    <x v="1"/>
    <x v="55"/>
    <x v="2"/>
    <s v="SAO PEDRO"/>
    <d v="2016-05-04T00:00:00"/>
    <d v="2016-05-04T00:00:00"/>
    <x v="1"/>
    <x v="94"/>
    <x v="5"/>
    <n v="0"/>
    <x v="1"/>
    <n v="0"/>
    <n v="0"/>
    <n v="0"/>
    <x v="1"/>
    <x v="0"/>
    <n v="0"/>
  </r>
  <r>
    <n v="88213500000000"/>
    <x v="1"/>
    <x v="92"/>
    <x v="0"/>
    <s v="ANDORINHAS"/>
    <d v="2016-05-04T00:00:00"/>
    <d v="2016-05-16T00:00:00"/>
    <x v="2"/>
    <x v="84"/>
    <x v="2"/>
    <n v="0"/>
    <x v="1"/>
    <n v="0"/>
    <n v="0"/>
    <n v="0"/>
    <x v="1"/>
    <x v="0"/>
    <n v="0"/>
  </r>
  <r>
    <n v="7991980000000"/>
    <x v="0"/>
    <x v="80"/>
    <x v="2"/>
    <s v="DO CABRAL"/>
    <d v="2016-05-04T00:00:00"/>
    <d v="2016-05-04T00:00:00"/>
    <x v="1"/>
    <x v="94"/>
    <x v="5"/>
    <n v="0"/>
    <x v="1"/>
    <n v="0"/>
    <n v="0"/>
    <n v="0"/>
    <x v="1"/>
    <x v="0"/>
    <n v="0"/>
  </r>
  <r>
    <n v="19216300000000"/>
    <x v="1"/>
    <x v="60"/>
    <x v="2"/>
    <s v="JESUS DE NAZARETH"/>
    <d v="2016-05-04T00:00:00"/>
    <d v="2016-05-16T00:00:00"/>
    <x v="2"/>
    <x v="84"/>
    <x v="2"/>
    <n v="0"/>
    <x v="1"/>
    <n v="0"/>
    <n v="0"/>
    <n v="1"/>
    <x v="1"/>
    <x v="1"/>
    <n v="1"/>
  </r>
  <r>
    <n v="243482000000000"/>
    <x v="0"/>
    <x v="59"/>
    <x v="2"/>
    <s v="TABUAZEIRO"/>
    <d v="2016-05-04T00:00:00"/>
    <d v="2016-05-19T00:00:00"/>
    <x v="3"/>
    <x v="79"/>
    <x v="1"/>
    <n v="1"/>
    <x v="1"/>
    <n v="0"/>
    <n v="0"/>
    <n v="0"/>
    <x v="1"/>
    <x v="0"/>
    <n v="0"/>
  </r>
  <r>
    <n v="189248000000000"/>
    <x v="0"/>
    <x v="84"/>
    <x v="1"/>
    <s v="REDENCAO"/>
    <d v="2016-05-04T00:00:00"/>
    <d v="2016-05-04T00:00:00"/>
    <x v="1"/>
    <x v="94"/>
    <x v="5"/>
    <n v="0"/>
    <x v="1"/>
    <n v="0"/>
    <n v="0"/>
    <n v="0"/>
    <x v="1"/>
    <x v="0"/>
    <n v="0"/>
  </r>
  <r>
    <n v="76612100000000"/>
    <x v="0"/>
    <x v="21"/>
    <x v="1"/>
    <s v="MARUIPE"/>
    <d v="2016-05-04T00:00:00"/>
    <d v="2016-05-04T00:00:00"/>
    <x v="1"/>
    <x v="94"/>
    <x v="5"/>
    <n v="0"/>
    <x v="0"/>
    <n v="0"/>
    <n v="0"/>
    <n v="0"/>
    <x v="1"/>
    <x v="0"/>
    <n v="0"/>
  </r>
  <r>
    <n v="6578330000000"/>
    <x v="0"/>
    <x v="52"/>
    <x v="2"/>
    <s v="SAO PEDRO"/>
    <d v="2016-05-04T00:00:00"/>
    <d v="2016-05-04T00:00:00"/>
    <x v="1"/>
    <x v="94"/>
    <x v="5"/>
    <n v="0"/>
    <x v="1"/>
    <n v="0"/>
    <n v="0"/>
    <n v="0"/>
    <x v="1"/>
    <x v="0"/>
    <n v="0"/>
  </r>
  <r>
    <n v="61932900000000"/>
    <x v="0"/>
    <x v="32"/>
    <x v="4"/>
    <s v="DA PENHA"/>
    <d v="2016-05-04T00:00:00"/>
    <d v="2016-05-04T00:00:00"/>
    <x v="1"/>
    <x v="94"/>
    <x v="5"/>
    <n v="0"/>
    <x v="1"/>
    <n v="0"/>
    <n v="0"/>
    <n v="0"/>
    <x v="1"/>
    <x v="0"/>
    <n v="0"/>
  </r>
  <r>
    <n v="998813000000000"/>
    <x v="1"/>
    <x v="4"/>
    <x v="2"/>
    <s v="ITARARE"/>
    <d v="2016-05-04T00:00:00"/>
    <d v="2016-05-16T00:00:00"/>
    <x v="2"/>
    <x v="84"/>
    <x v="2"/>
    <n v="0"/>
    <x v="1"/>
    <n v="0"/>
    <n v="0"/>
    <n v="0"/>
    <x v="1"/>
    <x v="1"/>
    <n v="1"/>
  </r>
  <r>
    <n v="64732200000000"/>
    <x v="0"/>
    <x v="18"/>
    <x v="0"/>
    <s v="CRUZAMENTO"/>
    <d v="2016-05-04T00:00:00"/>
    <d v="2016-05-11T00:00:00"/>
    <x v="1"/>
    <x v="87"/>
    <x v="3"/>
    <n v="0"/>
    <x v="0"/>
    <n v="0"/>
    <n v="0"/>
    <n v="0"/>
    <x v="0"/>
    <x v="0"/>
    <n v="0"/>
  </r>
  <r>
    <n v="19345600000000"/>
    <x v="0"/>
    <x v="25"/>
    <x v="4"/>
    <s v="JABOUR"/>
    <d v="2016-05-04T00:00:00"/>
    <d v="2016-05-24T00:00:00"/>
    <x v="4"/>
    <x v="76"/>
    <x v="1"/>
    <n v="1"/>
    <x v="1"/>
    <n v="0"/>
    <n v="0"/>
    <n v="0"/>
    <x v="0"/>
    <x v="0"/>
    <n v="0"/>
  </r>
  <r>
    <n v="185156000000000"/>
    <x v="0"/>
    <x v="19"/>
    <x v="2"/>
    <s v="ILHA DE SANTA MARIA"/>
    <d v="2016-05-04T00:00:00"/>
    <d v="2016-05-04T00:00:00"/>
    <x v="1"/>
    <x v="94"/>
    <x v="5"/>
    <n v="0"/>
    <x v="1"/>
    <n v="0"/>
    <n v="0"/>
    <n v="0"/>
    <x v="1"/>
    <x v="1"/>
    <n v="1"/>
  </r>
  <r>
    <n v="926785000000000"/>
    <x v="0"/>
    <x v="48"/>
    <x v="3"/>
    <s v="MARIA ORTIZ"/>
    <d v="2016-05-04T00:00:00"/>
    <d v="2016-05-06T00:00:00"/>
    <x v="0"/>
    <x v="91"/>
    <x v="4"/>
    <n v="0"/>
    <x v="0"/>
    <n v="0"/>
    <n v="0"/>
    <n v="0"/>
    <x v="1"/>
    <x v="0"/>
    <n v="0"/>
  </r>
  <r>
    <n v="943144000000"/>
    <x v="0"/>
    <x v="42"/>
    <x v="3"/>
    <s v="JABOUR"/>
    <d v="2016-05-04T00:00:00"/>
    <d v="2016-05-04T00:00:00"/>
    <x v="1"/>
    <x v="94"/>
    <x v="5"/>
    <n v="0"/>
    <x v="1"/>
    <n v="0"/>
    <n v="0"/>
    <n v="0"/>
    <x v="1"/>
    <x v="0"/>
    <n v="0"/>
  </r>
  <r>
    <n v="2444830000000"/>
    <x v="1"/>
    <x v="46"/>
    <x v="2"/>
    <s v="BELA VISTA"/>
    <d v="2016-05-04T00:00:00"/>
    <d v="2016-05-25T00:00:00"/>
    <x v="1"/>
    <x v="73"/>
    <x v="1"/>
    <n v="0"/>
    <x v="1"/>
    <n v="0"/>
    <n v="0"/>
    <n v="0"/>
    <x v="1"/>
    <x v="1"/>
    <n v="1"/>
  </r>
  <r>
    <n v="5123250000000"/>
    <x v="1"/>
    <x v="70"/>
    <x v="5"/>
    <s v="TABUAZEIRO"/>
    <d v="2016-05-04T00:00:00"/>
    <d v="2016-05-17T00:00:00"/>
    <x v="4"/>
    <x v="82"/>
    <x v="2"/>
    <n v="0"/>
    <x v="1"/>
    <n v="0"/>
    <n v="0"/>
    <n v="0"/>
    <x v="1"/>
    <x v="1"/>
    <n v="1"/>
  </r>
  <r>
    <n v="797855000000000"/>
    <x v="0"/>
    <x v="38"/>
    <x v="4"/>
    <s v="JESUS DE NAZARETH"/>
    <d v="2016-05-04T00:00:00"/>
    <d v="2016-05-30T00:00:00"/>
    <x v="2"/>
    <x v="68"/>
    <x v="1"/>
    <n v="0"/>
    <x v="1"/>
    <n v="0"/>
    <n v="0"/>
    <n v="0"/>
    <x v="1"/>
    <x v="1"/>
    <n v="1"/>
  </r>
  <r>
    <n v="6368410000000"/>
    <x v="0"/>
    <x v="37"/>
    <x v="3"/>
    <s v="INHANGUETA"/>
    <d v="2016-05-04T00:00:00"/>
    <d v="2016-05-05T00:00:00"/>
    <x v="3"/>
    <x v="93"/>
    <x v="4"/>
    <n v="0"/>
    <x v="0"/>
    <n v="0"/>
    <n v="0"/>
    <n v="1"/>
    <x v="1"/>
    <x v="0"/>
    <n v="0"/>
  </r>
  <r>
    <n v="8449150000000"/>
    <x v="0"/>
    <x v="25"/>
    <x v="4"/>
    <s v="SAO BENEDITO"/>
    <d v="2016-05-04T00:00:00"/>
    <d v="2016-05-12T00:00:00"/>
    <x v="3"/>
    <x v="88"/>
    <x v="2"/>
    <n v="1"/>
    <x v="1"/>
    <n v="0"/>
    <n v="0"/>
    <n v="0"/>
    <x v="0"/>
    <x v="0"/>
    <n v="0"/>
  </r>
  <r>
    <n v="123451000000000"/>
    <x v="0"/>
    <x v="17"/>
    <x v="4"/>
    <s v="SANTOS REIS"/>
    <d v="2016-05-04T00:00:00"/>
    <d v="2016-05-13T00:00:00"/>
    <x v="0"/>
    <x v="85"/>
    <x v="2"/>
    <n v="0"/>
    <x v="1"/>
    <n v="0"/>
    <n v="0"/>
    <n v="0"/>
    <x v="1"/>
    <x v="1"/>
    <n v="1"/>
  </r>
  <r>
    <n v="134721000000000"/>
    <x v="0"/>
    <x v="12"/>
    <x v="3"/>
    <s v="NOVA PALESTINA"/>
    <d v="2016-05-04T00:00:00"/>
    <d v="2016-05-04T00:00:00"/>
    <x v="1"/>
    <x v="94"/>
    <x v="5"/>
    <n v="0"/>
    <x v="1"/>
    <n v="0"/>
    <n v="0"/>
    <n v="0"/>
    <x v="1"/>
    <x v="0"/>
    <n v="0"/>
  </r>
  <r>
    <n v="375786000000000"/>
    <x v="0"/>
    <x v="77"/>
    <x v="4"/>
    <s v="GRANDE VITORIA"/>
    <d v="2016-05-04T00:00:00"/>
    <d v="2016-05-06T00:00:00"/>
    <x v="0"/>
    <x v="91"/>
    <x v="4"/>
    <n v="0"/>
    <x v="1"/>
    <n v="0"/>
    <n v="0"/>
    <n v="0"/>
    <x v="1"/>
    <x v="0"/>
    <n v="0"/>
  </r>
  <r>
    <n v="5882840000000"/>
    <x v="1"/>
    <x v="19"/>
    <x v="2"/>
    <s v="ANDORINHAS"/>
    <d v="2016-05-04T00:00:00"/>
    <d v="2016-05-17T00:00:00"/>
    <x v="4"/>
    <x v="82"/>
    <x v="2"/>
    <n v="0"/>
    <x v="1"/>
    <n v="0"/>
    <n v="0"/>
    <n v="0"/>
    <x v="1"/>
    <x v="0"/>
    <n v="0"/>
  </r>
  <r>
    <n v="46682500000000"/>
    <x v="1"/>
    <x v="42"/>
    <x v="3"/>
    <s v="ILHA DE SANTA MARIA"/>
    <d v="2016-05-04T00:00:00"/>
    <d v="2016-05-04T00:00:00"/>
    <x v="1"/>
    <x v="94"/>
    <x v="5"/>
    <n v="0"/>
    <x v="1"/>
    <n v="0"/>
    <n v="0"/>
    <n v="0"/>
    <x v="1"/>
    <x v="0"/>
    <n v="0"/>
  </r>
  <r>
    <n v="19677700000000"/>
    <x v="0"/>
    <x v="32"/>
    <x v="4"/>
    <s v="ANDORINHAS"/>
    <d v="2016-05-04T00:00:00"/>
    <d v="2016-05-04T00:00:00"/>
    <x v="1"/>
    <x v="94"/>
    <x v="5"/>
    <n v="0"/>
    <x v="1"/>
    <n v="0"/>
    <n v="0"/>
    <n v="0"/>
    <x v="1"/>
    <x v="0"/>
    <n v="0"/>
  </r>
  <r>
    <n v="36556500000000"/>
    <x v="1"/>
    <x v="47"/>
    <x v="4"/>
    <s v="SANTOS DUMONT"/>
    <d v="2016-05-04T00:00:00"/>
    <d v="2016-05-05T00:00:00"/>
    <x v="3"/>
    <x v="93"/>
    <x v="4"/>
    <n v="0"/>
    <x v="1"/>
    <n v="0"/>
    <n v="0"/>
    <n v="0"/>
    <x v="1"/>
    <x v="1"/>
    <n v="1"/>
  </r>
  <r>
    <n v="4644120000000"/>
    <x v="1"/>
    <x v="73"/>
    <x v="4"/>
    <s v="TABUAZEIRO"/>
    <d v="2016-05-04T00:00:00"/>
    <d v="2016-05-04T00:00:00"/>
    <x v="1"/>
    <x v="94"/>
    <x v="5"/>
    <n v="0"/>
    <x v="1"/>
    <n v="0"/>
    <n v="0"/>
    <n v="0"/>
    <x v="1"/>
    <x v="0"/>
    <n v="0"/>
  </r>
  <r>
    <n v="142389000000000"/>
    <x v="0"/>
    <x v="20"/>
    <x v="0"/>
    <s v="JARDIM CAMBURI"/>
    <d v="2016-05-04T00:00:00"/>
    <d v="2016-05-25T00:00:00"/>
    <x v="1"/>
    <x v="73"/>
    <x v="1"/>
    <n v="0"/>
    <x v="1"/>
    <n v="0"/>
    <n v="0"/>
    <n v="0"/>
    <x v="0"/>
    <x v="0"/>
    <n v="0"/>
  </r>
  <r>
    <n v="5498430000000"/>
    <x v="0"/>
    <x v="74"/>
    <x v="1"/>
    <s v="ILHA DO PRINCIPE"/>
    <d v="2016-05-04T00:00:00"/>
    <d v="2016-05-04T00:00:00"/>
    <x v="1"/>
    <x v="94"/>
    <x v="5"/>
    <n v="0"/>
    <x v="1"/>
    <n v="0"/>
    <n v="0"/>
    <n v="0"/>
    <x v="1"/>
    <x v="0"/>
    <n v="0"/>
  </r>
  <r>
    <n v="4462250000000"/>
    <x v="1"/>
    <x v="51"/>
    <x v="2"/>
    <s v="RESISTENCIA"/>
    <d v="2016-05-04T00:00:00"/>
    <d v="2016-05-18T00:00:00"/>
    <x v="1"/>
    <x v="80"/>
    <x v="2"/>
    <n v="0"/>
    <x v="1"/>
    <n v="0"/>
    <n v="0"/>
    <n v="0"/>
    <x v="1"/>
    <x v="1"/>
    <n v="1"/>
  </r>
  <r>
    <n v="94326800000000"/>
    <x v="0"/>
    <x v="26"/>
    <x v="0"/>
    <s v="JOANA D ARC"/>
    <d v="2016-05-04T00:00:00"/>
    <d v="2016-05-04T00:00:00"/>
    <x v="1"/>
    <x v="94"/>
    <x v="5"/>
    <n v="1"/>
    <x v="1"/>
    <n v="0"/>
    <n v="0"/>
    <n v="1"/>
    <x v="1"/>
    <x v="0"/>
    <n v="0"/>
  </r>
  <r>
    <n v="957413000000000"/>
    <x v="0"/>
    <x v="23"/>
    <x v="3"/>
    <s v="BONFIM"/>
    <d v="2016-05-04T00:00:00"/>
    <d v="2016-05-06T00:00:00"/>
    <x v="0"/>
    <x v="91"/>
    <x v="4"/>
    <n v="0"/>
    <x v="0"/>
    <n v="1"/>
    <n v="0"/>
    <n v="0"/>
    <x v="1"/>
    <x v="1"/>
    <n v="1"/>
  </r>
  <r>
    <n v="618320000000000"/>
    <x v="0"/>
    <x v="64"/>
    <x v="3"/>
    <s v="ANDORINHAS"/>
    <d v="2016-05-04T00:00:00"/>
    <d v="2016-05-05T00:00:00"/>
    <x v="3"/>
    <x v="93"/>
    <x v="4"/>
    <n v="0"/>
    <x v="1"/>
    <n v="0"/>
    <n v="0"/>
    <n v="0"/>
    <x v="1"/>
    <x v="0"/>
    <n v="0"/>
  </r>
  <r>
    <n v="5115990000000"/>
    <x v="0"/>
    <x v="50"/>
    <x v="1"/>
    <s v="SAO PEDRO"/>
    <d v="2016-05-04T00:00:00"/>
    <d v="2016-05-04T00:00:00"/>
    <x v="1"/>
    <x v="94"/>
    <x v="5"/>
    <n v="0"/>
    <x v="1"/>
    <n v="0"/>
    <n v="0"/>
    <n v="0"/>
    <x v="1"/>
    <x v="0"/>
    <n v="0"/>
  </r>
  <r>
    <n v="269465000000"/>
    <x v="0"/>
    <x v="23"/>
    <x v="3"/>
    <s v="ILHA DAS CAIEIRAS"/>
    <d v="2016-05-04T00:00:00"/>
    <d v="2016-05-04T00:00:00"/>
    <x v="1"/>
    <x v="94"/>
    <x v="5"/>
    <n v="0"/>
    <x v="1"/>
    <n v="0"/>
    <n v="0"/>
    <n v="0"/>
    <x v="1"/>
    <x v="0"/>
    <n v="0"/>
  </r>
  <r>
    <n v="55933700000000"/>
    <x v="1"/>
    <x v="84"/>
    <x v="1"/>
    <s v="ILHA DAS CAIEIRAS"/>
    <d v="2016-05-04T00:00:00"/>
    <d v="2016-05-04T00:00:00"/>
    <x v="1"/>
    <x v="94"/>
    <x v="5"/>
    <n v="0"/>
    <x v="1"/>
    <n v="0"/>
    <n v="0"/>
    <n v="0"/>
    <x v="1"/>
    <x v="0"/>
    <n v="0"/>
  </r>
  <r>
    <n v="5643000000000"/>
    <x v="0"/>
    <x v="44"/>
    <x v="4"/>
    <s v="JARDIM CAMBURI"/>
    <d v="2016-05-04T00:00:00"/>
    <d v="2016-05-04T00:00:00"/>
    <x v="1"/>
    <x v="94"/>
    <x v="5"/>
    <n v="0"/>
    <x v="1"/>
    <n v="0"/>
    <n v="0"/>
    <n v="0"/>
    <x v="1"/>
    <x v="0"/>
    <n v="0"/>
  </r>
  <r>
    <n v="98492700000000"/>
    <x v="0"/>
    <x v="67"/>
    <x v="4"/>
    <s v="BELA VISTA"/>
    <d v="2016-05-04T00:00:00"/>
    <d v="2016-05-09T00:00:00"/>
    <x v="2"/>
    <x v="92"/>
    <x v="3"/>
    <n v="0"/>
    <x v="1"/>
    <n v="0"/>
    <n v="0"/>
    <n v="0"/>
    <x v="1"/>
    <x v="0"/>
    <n v="0"/>
  </r>
  <r>
    <n v="14668900000000"/>
    <x v="0"/>
    <x v="55"/>
    <x v="2"/>
    <s v="CENTRO"/>
    <d v="2016-05-04T00:00:00"/>
    <d v="2016-05-04T00:00:00"/>
    <x v="1"/>
    <x v="94"/>
    <x v="5"/>
    <n v="0"/>
    <x v="1"/>
    <n v="0"/>
    <n v="0"/>
    <n v="0"/>
    <x v="1"/>
    <x v="0"/>
    <n v="0"/>
  </r>
  <r>
    <n v="818741000000000"/>
    <x v="0"/>
    <x v="68"/>
    <x v="4"/>
    <s v="ILHA DE SANTA MARIA"/>
    <d v="2016-05-04T00:00:00"/>
    <d v="2016-05-11T00:00:00"/>
    <x v="1"/>
    <x v="87"/>
    <x v="3"/>
    <n v="0"/>
    <x v="1"/>
    <n v="0"/>
    <n v="0"/>
    <n v="0"/>
    <x v="0"/>
    <x v="1"/>
    <n v="1"/>
  </r>
  <r>
    <n v="46986582965"/>
    <x v="1"/>
    <x v="55"/>
    <x v="2"/>
    <s v="DA PENHA"/>
    <d v="2016-05-04T00:00:00"/>
    <d v="2016-05-11T00:00:00"/>
    <x v="1"/>
    <x v="87"/>
    <x v="3"/>
    <n v="0"/>
    <x v="1"/>
    <n v="0"/>
    <n v="0"/>
    <n v="0"/>
    <x v="0"/>
    <x v="0"/>
    <n v="0"/>
  </r>
  <r>
    <n v="6869130000000"/>
    <x v="0"/>
    <x v="77"/>
    <x v="4"/>
    <s v="DA PENHA"/>
    <d v="2016-05-04T00:00:00"/>
    <d v="2016-05-04T00:00:00"/>
    <x v="1"/>
    <x v="94"/>
    <x v="5"/>
    <n v="0"/>
    <x v="1"/>
    <n v="0"/>
    <n v="0"/>
    <n v="0"/>
    <x v="1"/>
    <x v="0"/>
    <n v="0"/>
  </r>
  <r>
    <n v="9148410000000"/>
    <x v="0"/>
    <x v="16"/>
    <x v="1"/>
    <s v="VILA RUBIM"/>
    <d v="2016-05-04T00:00:00"/>
    <d v="2016-05-05T00:00:00"/>
    <x v="3"/>
    <x v="93"/>
    <x v="4"/>
    <n v="0"/>
    <x v="1"/>
    <n v="0"/>
    <n v="0"/>
    <n v="0"/>
    <x v="1"/>
    <x v="0"/>
    <n v="0"/>
  </r>
  <r>
    <n v="7363150000000"/>
    <x v="0"/>
    <x v="73"/>
    <x v="4"/>
    <s v="MARIA ORTIZ"/>
    <d v="2016-05-04T00:00:00"/>
    <d v="2016-05-04T00:00:00"/>
    <x v="1"/>
    <x v="94"/>
    <x v="5"/>
    <n v="0"/>
    <x v="1"/>
    <n v="0"/>
    <n v="0"/>
    <n v="0"/>
    <x v="1"/>
    <x v="0"/>
    <n v="0"/>
  </r>
  <r>
    <n v="4514640000000"/>
    <x v="1"/>
    <x v="7"/>
    <x v="3"/>
    <s v="FRADINHOS"/>
    <d v="2016-05-04T00:00:00"/>
    <d v="2016-05-04T00:00:00"/>
    <x v="1"/>
    <x v="94"/>
    <x v="5"/>
    <n v="0"/>
    <x v="1"/>
    <n v="0"/>
    <n v="0"/>
    <n v="0"/>
    <x v="1"/>
    <x v="0"/>
    <n v="0"/>
  </r>
  <r>
    <n v="683993000000000"/>
    <x v="1"/>
    <x v="51"/>
    <x v="2"/>
    <s v="SANTA TEREZA"/>
    <d v="2016-05-04T00:00:00"/>
    <d v="2016-05-04T00:00:00"/>
    <x v="1"/>
    <x v="94"/>
    <x v="5"/>
    <n v="0"/>
    <x v="1"/>
    <n v="0"/>
    <n v="0"/>
    <n v="0"/>
    <x v="1"/>
    <x v="0"/>
    <n v="0"/>
  </r>
  <r>
    <n v="9195440000000"/>
    <x v="1"/>
    <x v="60"/>
    <x v="2"/>
    <s v="BONFIM"/>
    <d v="2016-05-04T00:00:00"/>
    <d v="2016-05-04T00:00:00"/>
    <x v="1"/>
    <x v="94"/>
    <x v="5"/>
    <n v="0"/>
    <x v="1"/>
    <n v="0"/>
    <n v="0"/>
    <n v="0"/>
    <x v="1"/>
    <x v="0"/>
    <n v="0"/>
  </r>
  <r>
    <n v="72980000000000"/>
    <x v="0"/>
    <x v="65"/>
    <x v="2"/>
    <s v="TABUAZEIRO"/>
    <d v="2016-05-04T00:00:00"/>
    <d v="2016-05-04T00:00:00"/>
    <x v="1"/>
    <x v="94"/>
    <x v="5"/>
    <n v="1"/>
    <x v="1"/>
    <n v="0"/>
    <n v="0"/>
    <n v="0"/>
    <x v="1"/>
    <x v="0"/>
    <n v="0"/>
  </r>
  <r>
    <n v="41376400000000"/>
    <x v="1"/>
    <x v="43"/>
    <x v="2"/>
    <s v="SAO PEDRO"/>
    <d v="2016-05-04T00:00:00"/>
    <d v="2016-05-18T00:00:00"/>
    <x v="1"/>
    <x v="80"/>
    <x v="2"/>
    <n v="1"/>
    <x v="1"/>
    <n v="0"/>
    <n v="0"/>
    <n v="0"/>
    <x v="1"/>
    <x v="0"/>
    <n v="0"/>
  </r>
  <r>
    <n v="1951920000000"/>
    <x v="1"/>
    <x v="54"/>
    <x v="1"/>
    <s v="MATA DA PRAIA"/>
    <d v="2016-05-04T00:00:00"/>
    <d v="2016-05-06T00:00:00"/>
    <x v="0"/>
    <x v="91"/>
    <x v="4"/>
    <n v="0"/>
    <x v="1"/>
    <n v="1"/>
    <n v="0"/>
    <n v="1"/>
    <x v="1"/>
    <x v="0"/>
    <n v="0"/>
  </r>
  <r>
    <n v="8849290000000"/>
    <x v="1"/>
    <x v="80"/>
    <x v="2"/>
    <s v="ANDORINHAS"/>
    <d v="2016-05-04T00:00:00"/>
    <d v="2016-05-09T00:00:00"/>
    <x v="2"/>
    <x v="92"/>
    <x v="3"/>
    <n v="1"/>
    <x v="1"/>
    <n v="0"/>
    <n v="0"/>
    <n v="0"/>
    <x v="1"/>
    <x v="1"/>
    <n v="1"/>
  </r>
  <r>
    <n v="623170000000"/>
    <x v="0"/>
    <x v="20"/>
    <x v="0"/>
    <s v="RESISTENCIA"/>
    <d v="2016-05-04T00:00:00"/>
    <d v="2016-05-16T00:00:00"/>
    <x v="2"/>
    <x v="84"/>
    <x v="2"/>
    <n v="0"/>
    <x v="0"/>
    <n v="1"/>
    <n v="0"/>
    <n v="0"/>
    <x v="1"/>
    <x v="0"/>
    <n v="0"/>
  </r>
  <r>
    <n v="927748000000"/>
    <x v="1"/>
    <x v="59"/>
    <x v="2"/>
    <s v="RESISTENCIA"/>
    <d v="2016-05-04T00:00:00"/>
    <d v="2016-05-06T00:00:00"/>
    <x v="0"/>
    <x v="91"/>
    <x v="4"/>
    <n v="0"/>
    <x v="1"/>
    <n v="0"/>
    <n v="0"/>
    <n v="0"/>
    <x v="1"/>
    <x v="0"/>
    <n v="0"/>
  </r>
  <r>
    <n v="72733500000000"/>
    <x v="0"/>
    <x v="77"/>
    <x v="4"/>
    <s v="SANTO ANDRE"/>
    <d v="2016-05-04T00:00:00"/>
    <d v="2016-05-06T00:00:00"/>
    <x v="0"/>
    <x v="91"/>
    <x v="4"/>
    <n v="0"/>
    <x v="1"/>
    <n v="0"/>
    <n v="0"/>
    <n v="0"/>
    <x v="1"/>
    <x v="0"/>
    <n v="0"/>
  </r>
  <r>
    <n v="134732000000000"/>
    <x v="0"/>
    <x v="17"/>
    <x v="4"/>
    <s v="ANDORINHAS"/>
    <d v="2016-05-04T00:00:00"/>
    <d v="2016-05-11T00:00:00"/>
    <x v="1"/>
    <x v="87"/>
    <x v="3"/>
    <n v="0"/>
    <x v="1"/>
    <n v="0"/>
    <n v="0"/>
    <n v="0"/>
    <x v="0"/>
    <x v="0"/>
    <n v="0"/>
  </r>
  <r>
    <n v="8966880000000"/>
    <x v="1"/>
    <x v="59"/>
    <x v="2"/>
    <s v="RESISTENCIA"/>
    <d v="2016-05-04T00:00:00"/>
    <d v="2016-05-04T00:00:00"/>
    <x v="1"/>
    <x v="94"/>
    <x v="5"/>
    <n v="0"/>
    <x v="1"/>
    <n v="0"/>
    <n v="0"/>
    <n v="0"/>
    <x v="1"/>
    <x v="0"/>
    <n v="0"/>
  </r>
  <r>
    <n v="47385300000000"/>
    <x v="0"/>
    <x v="10"/>
    <x v="4"/>
    <s v="RESISTENCIA"/>
    <d v="2016-05-04T00:00:00"/>
    <d v="2016-05-04T00:00:00"/>
    <x v="1"/>
    <x v="94"/>
    <x v="5"/>
    <n v="0"/>
    <x v="1"/>
    <n v="0"/>
    <n v="0"/>
    <n v="0"/>
    <x v="1"/>
    <x v="0"/>
    <n v="0"/>
  </r>
  <r>
    <n v="83254800000000"/>
    <x v="0"/>
    <x v="36"/>
    <x v="3"/>
    <s v="ROMAO"/>
    <d v="2016-05-04T00:00:00"/>
    <d v="2016-05-11T00:00:00"/>
    <x v="1"/>
    <x v="87"/>
    <x v="3"/>
    <n v="1"/>
    <x v="0"/>
    <n v="1"/>
    <n v="0"/>
    <n v="0"/>
    <x v="0"/>
    <x v="0"/>
    <n v="0"/>
  </r>
  <r>
    <n v="1362570000000"/>
    <x v="0"/>
    <x v="12"/>
    <x v="3"/>
    <s v="PRAIA DO CANTO"/>
    <d v="2016-05-04T00:00:00"/>
    <d v="2016-05-06T00:00:00"/>
    <x v="0"/>
    <x v="91"/>
    <x v="4"/>
    <n v="0"/>
    <x v="1"/>
    <n v="0"/>
    <n v="0"/>
    <n v="0"/>
    <x v="1"/>
    <x v="0"/>
    <n v="0"/>
  </r>
  <r>
    <n v="87983900000000"/>
    <x v="0"/>
    <x v="71"/>
    <x v="4"/>
    <s v="ITARARE"/>
    <d v="2016-05-04T00:00:00"/>
    <d v="2016-05-25T00:00:00"/>
    <x v="1"/>
    <x v="73"/>
    <x v="1"/>
    <n v="0"/>
    <x v="1"/>
    <n v="0"/>
    <n v="0"/>
    <n v="0"/>
    <x v="0"/>
    <x v="0"/>
    <n v="0"/>
  </r>
  <r>
    <n v="15566200000000"/>
    <x v="1"/>
    <x v="16"/>
    <x v="1"/>
    <s v="VILA RUBIM"/>
    <d v="2016-05-04T00:00:00"/>
    <d v="2016-05-09T00:00:00"/>
    <x v="2"/>
    <x v="92"/>
    <x v="3"/>
    <n v="0"/>
    <x v="1"/>
    <n v="0"/>
    <n v="1"/>
    <n v="0"/>
    <x v="1"/>
    <x v="1"/>
    <n v="1"/>
  </r>
  <r>
    <n v="7144420000000"/>
    <x v="0"/>
    <x v="34"/>
    <x v="0"/>
    <s v="DO CABRAL"/>
    <d v="2016-05-04T00:00:00"/>
    <d v="2016-05-06T00:00:00"/>
    <x v="0"/>
    <x v="91"/>
    <x v="4"/>
    <n v="0"/>
    <x v="0"/>
    <n v="1"/>
    <n v="0"/>
    <n v="0"/>
    <x v="1"/>
    <x v="0"/>
    <n v="0"/>
  </r>
  <r>
    <n v="4621610000000"/>
    <x v="1"/>
    <x v="30"/>
    <x v="3"/>
    <s v="JARDIM CAMBURI"/>
    <d v="2016-05-04T00:00:00"/>
    <d v="2016-05-06T00:00:00"/>
    <x v="0"/>
    <x v="91"/>
    <x v="4"/>
    <n v="0"/>
    <x v="1"/>
    <n v="0"/>
    <n v="0"/>
    <n v="0"/>
    <x v="1"/>
    <x v="1"/>
    <n v="1"/>
  </r>
  <r>
    <n v="619744000000000"/>
    <x v="0"/>
    <x v="54"/>
    <x v="1"/>
    <s v="ITARARE"/>
    <d v="2016-05-04T00:00:00"/>
    <d v="2016-05-05T00:00:00"/>
    <x v="3"/>
    <x v="93"/>
    <x v="4"/>
    <n v="0"/>
    <x v="1"/>
    <n v="0"/>
    <n v="0"/>
    <n v="0"/>
    <x v="1"/>
    <x v="1"/>
    <n v="1"/>
  </r>
  <r>
    <n v="68293800000000"/>
    <x v="1"/>
    <x v="48"/>
    <x v="3"/>
    <s v="NOVA PALESTINA"/>
    <d v="2016-05-04T00:00:00"/>
    <d v="2016-05-06T00:00:00"/>
    <x v="0"/>
    <x v="91"/>
    <x v="4"/>
    <n v="0"/>
    <x v="1"/>
    <n v="0"/>
    <n v="0"/>
    <n v="0"/>
    <x v="1"/>
    <x v="0"/>
    <n v="0"/>
  </r>
  <r>
    <n v="53366300000000"/>
    <x v="0"/>
    <x v="8"/>
    <x v="0"/>
    <s v="RESISTENCIA"/>
    <d v="2016-05-04T00:00:00"/>
    <d v="2016-05-04T00:00:00"/>
    <x v="1"/>
    <x v="94"/>
    <x v="5"/>
    <n v="0"/>
    <x v="0"/>
    <n v="0"/>
    <n v="0"/>
    <n v="0"/>
    <x v="1"/>
    <x v="0"/>
    <n v="0"/>
  </r>
  <r>
    <n v="99637671331"/>
    <x v="1"/>
    <x v="84"/>
    <x v="1"/>
    <s v="JABOUR"/>
    <d v="2016-05-04T00:00:00"/>
    <d v="2016-05-04T00:00:00"/>
    <x v="1"/>
    <x v="94"/>
    <x v="5"/>
    <n v="0"/>
    <x v="1"/>
    <n v="0"/>
    <n v="0"/>
    <n v="0"/>
    <x v="1"/>
    <x v="0"/>
    <n v="0"/>
  </r>
  <r>
    <n v="4335760000000"/>
    <x v="1"/>
    <x v="61"/>
    <x v="1"/>
    <s v="BONFIM"/>
    <d v="2016-05-04T00:00:00"/>
    <d v="2016-05-25T00:00:00"/>
    <x v="1"/>
    <x v="73"/>
    <x v="1"/>
    <n v="0"/>
    <x v="1"/>
    <n v="0"/>
    <n v="0"/>
    <n v="0"/>
    <x v="0"/>
    <x v="0"/>
    <n v="0"/>
  </r>
  <r>
    <n v="36166400000000"/>
    <x v="1"/>
    <x v="55"/>
    <x v="2"/>
    <s v="BONFIM"/>
    <d v="2016-05-04T00:00:00"/>
    <d v="2016-05-20T00:00:00"/>
    <x v="0"/>
    <x v="78"/>
    <x v="1"/>
    <n v="0"/>
    <x v="1"/>
    <n v="0"/>
    <n v="0"/>
    <n v="1"/>
    <x v="1"/>
    <x v="1"/>
    <n v="1"/>
  </r>
  <r>
    <n v="1125830000000"/>
    <x v="1"/>
    <x v="25"/>
    <x v="4"/>
    <s v="MARUIPE"/>
    <d v="2016-05-04T00:00:00"/>
    <d v="2016-05-10T00:00:00"/>
    <x v="4"/>
    <x v="90"/>
    <x v="3"/>
    <n v="0"/>
    <x v="1"/>
    <n v="0"/>
    <n v="0"/>
    <n v="0"/>
    <x v="0"/>
    <x v="0"/>
    <n v="0"/>
  </r>
  <r>
    <n v="917584000000000"/>
    <x v="1"/>
    <x v="39"/>
    <x v="4"/>
    <s v="BENTO FERREIRA"/>
    <d v="2016-05-04T00:00:00"/>
    <d v="2016-05-17T00:00:00"/>
    <x v="4"/>
    <x v="82"/>
    <x v="2"/>
    <n v="0"/>
    <x v="1"/>
    <n v="0"/>
    <n v="0"/>
    <n v="0"/>
    <x v="1"/>
    <x v="0"/>
    <n v="0"/>
  </r>
  <r>
    <n v="8393430000000"/>
    <x v="0"/>
    <x v="44"/>
    <x v="4"/>
    <s v="ITARARE"/>
    <d v="2016-05-04T00:00:00"/>
    <d v="2016-05-11T00:00:00"/>
    <x v="1"/>
    <x v="87"/>
    <x v="3"/>
    <n v="0"/>
    <x v="1"/>
    <n v="0"/>
    <n v="0"/>
    <n v="0"/>
    <x v="0"/>
    <x v="0"/>
    <n v="0"/>
  </r>
  <r>
    <n v="35918900000000"/>
    <x v="0"/>
    <x v="10"/>
    <x v="4"/>
    <s v="SAO PEDRO"/>
    <d v="2016-05-04T00:00:00"/>
    <d v="2016-05-18T00:00:00"/>
    <x v="1"/>
    <x v="80"/>
    <x v="2"/>
    <n v="1"/>
    <x v="1"/>
    <n v="0"/>
    <n v="0"/>
    <n v="0"/>
    <x v="1"/>
    <x v="0"/>
    <n v="0"/>
  </r>
  <r>
    <n v="25462200000000"/>
    <x v="0"/>
    <x v="63"/>
    <x v="0"/>
    <s v="FORTE SAO JOAO"/>
    <d v="2016-05-04T00:00:00"/>
    <d v="2016-05-19T00:00:00"/>
    <x v="3"/>
    <x v="79"/>
    <x v="1"/>
    <n v="0"/>
    <x v="1"/>
    <n v="0"/>
    <n v="0"/>
    <n v="0"/>
    <x v="1"/>
    <x v="1"/>
    <n v="1"/>
  </r>
  <r>
    <n v="57821400000000"/>
    <x v="1"/>
    <x v="19"/>
    <x v="2"/>
    <s v="BELA VISTA"/>
    <d v="2016-05-04T00:00:00"/>
    <d v="2016-05-04T00:00:00"/>
    <x v="1"/>
    <x v="94"/>
    <x v="5"/>
    <n v="0"/>
    <x v="1"/>
    <n v="0"/>
    <n v="0"/>
    <n v="0"/>
    <x v="1"/>
    <x v="0"/>
    <n v="0"/>
  </r>
  <r>
    <n v="9297870000000"/>
    <x v="0"/>
    <x v="79"/>
    <x v="5"/>
    <s v="SANTA TEREZA"/>
    <d v="2016-05-04T00:00:00"/>
    <d v="2016-05-04T00:00:00"/>
    <x v="1"/>
    <x v="94"/>
    <x v="5"/>
    <n v="0"/>
    <x v="1"/>
    <n v="0"/>
    <n v="0"/>
    <n v="0"/>
    <x v="1"/>
    <x v="0"/>
    <n v="0"/>
  </r>
  <r>
    <n v="574553000000000"/>
    <x v="0"/>
    <x v="46"/>
    <x v="2"/>
    <s v="FORTE SAO JOAO"/>
    <d v="2016-05-04T00:00:00"/>
    <d v="2016-05-05T00:00:00"/>
    <x v="3"/>
    <x v="93"/>
    <x v="4"/>
    <n v="0"/>
    <x v="1"/>
    <n v="0"/>
    <n v="0"/>
    <n v="0"/>
    <x v="1"/>
    <x v="0"/>
    <n v="0"/>
  </r>
  <r>
    <n v="2646350000000"/>
    <x v="0"/>
    <x v="68"/>
    <x v="4"/>
    <s v="ILHA DO PRINCIPE"/>
    <d v="2016-05-04T00:00:00"/>
    <d v="2016-05-06T00:00:00"/>
    <x v="0"/>
    <x v="91"/>
    <x v="4"/>
    <n v="0"/>
    <x v="1"/>
    <n v="0"/>
    <n v="0"/>
    <n v="0"/>
    <x v="1"/>
    <x v="1"/>
    <n v="1"/>
  </r>
  <r>
    <n v="168832000000000"/>
    <x v="0"/>
    <x v="72"/>
    <x v="5"/>
    <s v="ROMAO"/>
    <d v="2016-05-04T00:00:00"/>
    <d v="2016-05-09T00:00:00"/>
    <x v="2"/>
    <x v="92"/>
    <x v="3"/>
    <n v="0"/>
    <x v="1"/>
    <n v="0"/>
    <n v="0"/>
    <n v="0"/>
    <x v="1"/>
    <x v="0"/>
    <n v="0"/>
  </r>
  <r>
    <n v="45455900000000"/>
    <x v="0"/>
    <x v="87"/>
    <x v="1"/>
    <s v="PRAIA DO SUA"/>
    <d v="2016-05-04T00:00:00"/>
    <d v="2016-05-10T00:00:00"/>
    <x v="4"/>
    <x v="90"/>
    <x v="3"/>
    <n v="0"/>
    <x v="1"/>
    <n v="0"/>
    <n v="0"/>
    <n v="0"/>
    <x v="0"/>
    <x v="0"/>
    <n v="0"/>
  </r>
  <r>
    <n v="76393392811"/>
    <x v="0"/>
    <x v="59"/>
    <x v="2"/>
    <s v="CENTRO"/>
    <d v="2016-05-04T00:00:00"/>
    <d v="2016-05-31T00:00:00"/>
    <x v="4"/>
    <x v="65"/>
    <x v="1"/>
    <n v="0"/>
    <x v="1"/>
    <n v="0"/>
    <n v="0"/>
    <n v="0"/>
    <x v="0"/>
    <x v="0"/>
    <n v="0"/>
  </r>
  <r>
    <n v="7485680000000"/>
    <x v="0"/>
    <x v="22"/>
    <x v="4"/>
    <s v="MATA DA PRAIA"/>
    <d v="2016-05-04T00:00:00"/>
    <d v="2016-05-10T00:00:00"/>
    <x v="4"/>
    <x v="90"/>
    <x v="3"/>
    <n v="0"/>
    <x v="1"/>
    <n v="0"/>
    <n v="0"/>
    <n v="0"/>
    <x v="0"/>
    <x v="0"/>
    <n v="0"/>
  </r>
  <r>
    <n v="71324900000000"/>
    <x v="1"/>
    <x v="15"/>
    <x v="3"/>
    <s v="SANTA LUIZA"/>
    <d v="2016-05-04T00:00:00"/>
    <d v="2016-05-04T00:00:00"/>
    <x v="1"/>
    <x v="94"/>
    <x v="5"/>
    <n v="0"/>
    <x v="1"/>
    <n v="0"/>
    <n v="0"/>
    <n v="0"/>
    <x v="1"/>
    <x v="0"/>
    <n v="0"/>
  </r>
  <r>
    <n v="9434160000000"/>
    <x v="1"/>
    <x v="20"/>
    <x v="0"/>
    <s v="SANTA CLARA"/>
    <d v="2016-05-04T00:00:00"/>
    <d v="2016-06-01T00:00:00"/>
    <x v="1"/>
    <x v="64"/>
    <x v="1"/>
    <n v="0"/>
    <x v="0"/>
    <n v="0"/>
    <n v="0"/>
    <n v="0"/>
    <x v="0"/>
    <x v="0"/>
    <n v="0"/>
  </r>
  <r>
    <n v="332671000000"/>
    <x v="1"/>
    <x v="17"/>
    <x v="4"/>
    <s v="JOANA D ARC"/>
    <d v="2016-05-04T00:00:00"/>
    <d v="2016-05-06T00:00:00"/>
    <x v="0"/>
    <x v="91"/>
    <x v="4"/>
    <n v="0"/>
    <x v="1"/>
    <n v="0"/>
    <n v="0"/>
    <n v="0"/>
    <x v="1"/>
    <x v="0"/>
    <n v="0"/>
  </r>
  <r>
    <n v="9951350000000"/>
    <x v="0"/>
    <x v="5"/>
    <x v="1"/>
    <s v="ILHA DO PRINCIPE"/>
    <d v="2016-05-04T00:00:00"/>
    <d v="2016-05-11T00:00:00"/>
    <x v="1"/>
    <x v="87"/>
    <x v="3"/>
    <n v="0"/>
    <x v="1"/>
    <n v="0"/>
    <n v="0"/>
    <n v="0"/>
    <x v="0"/>
    <x v="0"/>
    <n v="0"/>
  </r>
  <r>
    <n v="26763900000000"/>
    <x v="1"/>
    <x v="65"/>
    <x v="2"/>
    <s v="JABOUR"/>
    <d v="2016-05-04T00:00:00"/>
    <d v="2016-06-03T00:00:00"/>
    <x v="0"/>
    <x v="60"/>
    <x v="1"/>
    <n v="0"/>
    <x v="1"/>
    <n v="0"/>
    <n v="0"/>
    <n v="0"/>
    <x v="0"/>
    <x v="1"/>
    <n v="1"/>
  </r>
  <r>
    <n v="21331200000000"/>
    <x v="0"/>
    <x v="77"/>
    <x v="4"/>
    <s v="DO CABRAL"/>
    <d v="2016-05-04T00:00:00"/>
    <d v="2016-05-09T00:00:00"/>
    <x v="2"/>
    <x v="92"/>
    <x v="3"/>
    <n v="0"/>
    <x v="1"/>
    <n v="0"/>
    <n v="0"/>
    <n v="0"/>
    <x v="1"/>
    <x v="0"/>
    <n v="0"/>
  </r>
  <r>
    <n v="79238500000000"/>
    <x v="1"/>
    <x v="64"/>
    <x v="3"/>
    <s v="GURIGICA"/>
    <d v="2016-05-04T00:00:00"/>
    <d v="2016-05-04T00:00:00"/>
    <x v="1"/>
    <x v="94"/>
    <x v="5"/>
    <n v="0"/>
    <x v="1"/>
    <n v="0"/>
    <n v="0"/>
    <n v="0"/>
    <x v="1"/>
    <x v="0"/>
    <n v="0"/>
  </r>
  <r>
    <n v="714362000000"/>
    <x v="1"/>
    <x v="33"/>
    <x v="4"/>
    <s v="BONFIM"/>
    <d v="2016-05-04T00:00:00"/>
    <d v="2016-05-12T00:00:00"/>
    <x v="3"/>
    <x v="88"/>
    <x v="2"/>
    <n v="0"/>
    <x v="1"/>
    <n v="0"/>
    <n v="0"/>
    <n v="0"/>
    <x v="1"/>
    <x v="1"/>
    <n v="1"/>
  </r>
  <r>
    <n v="868354000000000"/>
    <x v="0"/>
    <x v="25"/>
    <x v="4"/>
    <s v="ANDORINHAS"/>
    <d v="2016-05-04T00:00:00"/>
    <d v="2016-05-04T00:00:00"/>
    <x v="1"/>
    <x v="94"/>
    <x v="5"/>
    <n v="0"/>
    <x v="1"/>
    <n v="0"/>
    <n v="0"/>
    <n v="0"/>
    <x v="1"/>
    <x v="0"/>
    <n v="0"/>
  </r>
  <r>
    <n v="467619000000"/>
    <x v="0"/>
    <x v="27"/>
    <x v="3"/>
    <s v="CENTRO"/>
    <d v="2016-05-04T00:00:00"/>
    <d v="2016-05-04T00:00:00"/>
    <x v="1"/>
    <x v="94"/>
    <x v="5"/>
    <n v="0"/>
    <x v="0"/>
    <n v="1"/>
    <n v="0"/>
    <n v="0"/>
    <x v="1"/>
    <x v="0"/>
    <n v="0"/>
  </r>
  <r>
    <n v="68544400000000"/>
    <x v="1"/>
    <x v="29"/>
    <x v="3"/>
    <s v="SOLON BORGES"/>
    <d v="2016-05-04T00:00:00"/>
    <d v="2016-06-01T00:00:00"/>
    <x v="1"/>
    <x v="64"/>
    <x v="1"/>
    <n v="0"/>
    <x v="1"/>
    <n v="0"/>
    <n v="0"/>
    <n v="0"/>
    <x v="0"/>
    <x v="0"/>
    <n v="0"/>
  </r>
  <r>
    <n v="263136000000000"/>
    <x v="0"/>
    <x v="40"/>
    <x v="1"/>
    <s v="JARDIM DA PENHA"/>
    <d v="2016-05-04T00:00:00"/>
    <d v="2016-06-01T00:00:00"/>
    <x v="1"/>
    <x v="64"/>
    <x v="1"/>
    <n v="0"/>
    <x v="1"/>
    <n v="0"/>
    <n v="0"/>
    <n v="0"/>
    <x v="0"/>
    <x v="0"/>
    <n v="0"/>
  </r>
  <r>
    <n v="9488280000000"/>
    <x v="1"/>
    <x v="47"/>
    <x v="4"/>
    <s v="MARIA ORTIZ"/>
    <d v="2016-05-04T00:00:00"/>
    <d v="2016-05-04T00:00:00"/>
    <x v="1"/>
    <x v="94"/>
    <x v="5"/>
    <n v="0"/>
    <x v="1"/>
    <n v="0"/>
    <n v="0"/>
    <n v="0"/>
    <x v="1"/>
    <x v="0"/>
    <n v="0"/>
  </r>
  <r>
    <n v="223925000000000"/>
    <x v="0"/>
    <x v="75"/>
    <x v="5"/>
    <s v="COMDUSA"/>
    <d v="2016-05-04T00:00:00"/>
    <d v="2016-05-11T00:00:00"/>
    <x v="1"/>
    <x v="87"/>
    <x v="3"/>
    <n v="0"/>
    <x v="1"/>
    <n v="0"/>
    <n v="0"/>
    <n v="0"/>
    <x v="0"/>
    <x v="0"/>
    <n v="0"/>
  </r>
  <r>
    <n v="697929000000"/>
    <x v="1"/>
    <x v="19"/>
    <x v="2"/>
    <s v="CONQUISTA"/>
    <d v="2016-05-04T00:00:00"/>
    <d v="2016-05-11T00:00:00"/>
    <x v="1"/>
    <x v="87"/>
    <x v="3"/>
    <n v="0"/>
    <x v="1"/>
    <n v="0"/>
    <n v="0"/>
    <n v="0"/>
    <x v="0"/>
    <x v="0"/>
    <n v="0"/>
  </r>
  <r>
    <n v="89838800000000"/>
    <x v="0"/>
    <x v="49"/>
    <x v="4"/>
    <s v="CONSOLACAO"/>
    <d v="2016-05-04T00:00:00"/>
    <d v="2016-05-11T00:00:00"/>
    <x v="1"/>
    <x v="87"/>
    <x v="3"/>
    <n v="1"/>
    <x v="1"/>
    <n v="0"/>
    <n v="0"/>
    <n v="0"/>
    <x v="1"/>
    <x v="0"/>
    <n v="0"/>
  </r>
  <r>
    <n v="634255000000000"/>
    <x v="0"/>
    <x v="87"/>
    <x v="1"/>
    <s v="MARIA ORTIZ"/>
    <d v="2016-05-04T00:00:00"/>
    <d v="2016-05-04T00:00:00"/>
    <x v="1"/>
    <x v="94"/>
    <x v="5"/>
    <n v="0"/>
    <x v="1"/>
    <n v="0"/>
    <n v="0"/>
    <n v="0"/>
    <x v="1"/>
    <x v="0"/>
    <n v="0"/>
  </r>
  <r>
    <n v="4354650000000"/>
    <x v="0"/>
    <x v="8"/>
    <x v="0"/>
    <s v="FORTE SAO JOAO"/>
    <d v="2016-05-04T00:00:00"/>
    <d v="2016-05-04T00:00:00"/>
    <x v="1"/>
    <x v="94"/>
    <x v="5"/>
    <n v="0"/>
    <x v="0"/>
    <n v="0"/>
    <n v="0"/>
    <n v="0"/>
    <x v="1"/>
    <x v="0"/>
    <n v="0"/>
  </r>
  <r>
    <n v="511264000000"/>
    <x v="0"/>
    <x v="45"/>
    <x v="1"/>
    <s v="ANDORINHAS"/>
    <d v="2016-05-04T00:00:00"/>
    <d v="2016-05-10T00:00:00"/>
    <x v="4"/>
    <x v="90"/>
    <x v="3"/>
    <n v="0"/>
    <x v="1"/>
    <n v="0"/>
    <n v="0"/>
    <n v="0"/>
    <x v="0"/>
    <x v="0"/>
    <n v="0"/>
  </r>
  <r>
    <n v="955226000000000"/>
    <x v="0"/>
    <x v="81"/>
    <x v="5"/>
    <s v="BARRO VERMELHO"/>
    <d v="2016-05-04T00:00:00"/>
    <d v="2016-05-05T00:00:00"/>
    <x v="3"/>
    <x v="93"/>
    <x v="4"/>
    <n v="0"/>
    <x v="1"/>
    <n v="0"/>
    <n v="0"/>
    <n v="0"/>
    <x v="1"/>
    <x v="0"/>
    <n v="0"/>
  </r>
  <r>
    <n v="587972000000000"/>
    <x v="0"/>
    <x v="68"/>
    <x v="4"/>
    <s v="REDENCAO"/>
    <d v="2016-05-04T00:00:00"/>
    <d v="2016-05-10T00:00:00"/>
    <x v="4"/>
    <x v="90"/>
    <x v="3"/>
    <n v="0"/>
    <x v="0"/>
    <n v="0"/>
    <n v="0"/>
    <n v="0"/>
    <x v="0"/>
    <x v="1"/>
    <n v="1"/>
  </r>
  <r>
    <n v="2482920000000"/>
    <x v="0"/>
    <x v="14"/>
    <x v="3"/>
    <s v="SAO JOSE"/>
    <d v="2016-05-04T00:00:00"/>
    <d v="2016-05-10T00:00:00"/>
    <x v="4"/>
    <x v="90"/>
    <x v="3"/>
    <n v="0"/>
    <x v="0"/>
    <n v="1"/>
    <n v="0"/>
    <n v="0"/>
    <x v="0"/>
    <x v="1"/>
    <n v="1"/>
  </r>
  <r>
    <n v="262268000000"/>
    <x v="0"/>
    <x v="72"/>
    <x v="5"/>
    <s v="MARIA ORTIZ"/>
    <d v="2016-05-04T00:00:00"/>
    <d v="2016-06-06T00:00:00"/>
    <x v="2"/>
    <x v="62"/>
    <x v="0"/>
    <n v="0"/>
    <x v="1"/>
    <n v="0"/>
    <n v="0"/>
    <n v="0"/>
    <x v="1"/>
    <x v="0"/>
    <n v="0"/>
  </r>
  <r>
    <n v="79173500000000"/>
    <x v="0"/>
    <x v="41"/>
    <x v="4"/>
    <s v="SAO BENEDITO"/>
    <d v="2016-05-04T00:00:00"/>
    <d v="2016-05-19T00:00:00"/>
    <x v="3"/>
    <x v="79"/>
    <x v="1"/>
    <n v="1"/>
    <x v="1"/>
    <n v="0"/>
    <n v="0"/>
    <n v="0"/>
    <x v="1"/>
    <x v="0"/>
    <n v="0"/>
  </r>
  <r>
    <n v="946427000000000"/>
    <x v="0"/>
    <x v="47"/>
    <x v="4"/>
    <s v="BONFIM"/>
    <d v="2016-05-04T00:00:00"/>
    <d v="2016-05-12T00:00:00"/>
    <x v="3"/>
    <x v="88"/>
    <x v="2"/>
    <n v="1"/>
    <x v="1"/>
    <n v="0"/>
    <n v="0"/>
    <n v="0"/>
    <x v="0"/>
    <x v="0"/>
    <n v="0"/>
  </r>
  <r>
    <n v="946427000000000"/>
    <x v="0"/>
    <x v="47"/>
    <x v="4"/>
    <s v="BONFIM"/>
    <d v="2016-05-04T00:00:00"/>
    <d v="2016-05-12T00:00:00"/>
    <x v="3"/>
    <x v="88"/>
    <x v="2"/>
    <n v="1"/>
    <x v="1"/>
    <n v="0"/>
    <n v="0"/>
    <n v="0"/>
    <x v="1"/>
    <x v="0"/>
    <n v="0"/>
  </r>
  <r>
    <n v="77675800000000"/>
    <x v="0"/>
    <x v="80"/>
    <x v="2"/>
    <s v="REDENCAO"/>
    <d v="2016-05-04T00:00:00"/>
    <d v="2016-06-03T00:00:00"/>
    <x v="0"/>
    <x v="60"/>
    <x v="1"/>
    <n v="0"/>
    <x v="1"/>
    <n v="0"/>
    <n v="0"/>
    <n v="0"/>
    <x v="1"/>
    <x v="0"/>
    <n v="0"/>
  </r>
  <r>
    <n v="6964460000000"/>
    <x v="0"/>
    <x v="24"/>
    <x v="1"/>
    <s v="CARATOIRA"/>
    <d v="2016-05-04T00:00:00"/>
    <d v="2016-05-04T00:00:00"/>
    <x v="1"/>
    <x v="94"/>
    <x v="5"/>
    <n v="0"/>
    <x v="1"/>
    <n v="0"/>
    <n v="0"/>
    <n v="0"/>
    <x v="1"/>
    <x v="0"/>
    <n v="0"/>
  </r>
  <r>
    <n v="7583000000000"/>
    <x v="0"/>
    <x v="23"/>
    <x v="3"/>
    <s v="CONSOLACAO"/>
    <d v="2016-05-04T00:00:00"/>
    <d v="2016-05-04T00:00:00"/>
    <x v="1"/>
    <x v="94"/>
    <x v="5"/>
    <n v="0"/>
    <x v="1"/>
    <n v="0"/>
    <n v="0"/>
    <n v="0"/>
    <x v="1"/>
    <x v="0"/>
    <n v="0"/>
  </r>
  <r>
    <n v="194594000000000"/>
    <x v="0"/>
    <x v="77"/>
    <x v="4"/>
    <s v="CONQUISTA"/>
    <d v="2016-05-04T00:00:00"/>
    <d v="2016-05-12T00:00:00"/>
    <x v="3"/>
    <x v="88"/>
    <x v="2"/>
    <n v="0"/>
    <x v="1"/>
    <n v="0"/>
    <n v="0"/>
    <n v="0"/>
    <x v="0"/>
    <x v="1"/>
    <n v="1"/>
  </r>
  <r>
    <n v="6223210000000"/>
    <x v="0"/>
    <x v="40"/>
    <x v="1"/>
    <s v="JESUS DE NAZARETH"/>
    <d v="2016-05-04T00:00:00"/>
    <d v="2016-05-18T00:00:00"/>
    <x v="1"/>
    <x v="80"/>
    <x v="2"/>
    <n v="0"/>
    <x v="1"/>
    <n v="0"/>
    <n v="0"/>
    <n v="0"/>
    <x v="1"/>
    <x v="1"/>
    <n v="1"/>
  </r>
  <r>
    <n v="919415000000000"/>
    <x v="0"/>
    <x v="22"/>
    <x v="4"/>
    <s v="CRUZAMENTO"/>
    <d v="2016-05-04T00:00:00"/>
    <d v="2016-05-30T00:00:00"/>
    <x v="2"/>
    <x v="68"/>
    <x v="1"/>
    <n v="0"/>
    <x v="1"/>
    <n v="0"/>
    <n v="0"/>
    <n v="0"/>
    <x v="0"/>
    <x v="0"/>
    <n v="0"/>
  </r>
  <r>
    <n v="47294200000000"/>
    <x v="0"/>
    <x v="10"/>
    <x v="4"/>
    <s v="REPUBLICA"/>
    <d v="2016-05-04T00:00:00"/>
    <d v="2016-05-09T00:00:00"/>
    <x v="2"/>
    <x v="92"/>
    <x v="3"/>
    <n v="0"/>
    <x v="1"/>
    <n v="0"/>
    <n v="0"/>
    <n v="0"/>
    <x v="1"/>
    <x v="0"/>
    <n v="0"/>
  </r>
  <r>
    <n v="469112000000"/>
    <x v="1"/>
    <x v="40"/>
    <x v="1"/>
    <s v="BONFIM"/>
    <d v="2016-05-04T00:00:00"/>
    <d v="2016-05-05T00:00:00"/>
    <x v="3"/>
    <x v="93"/>
    <x v="4"/>
    <n v="0"/>
    <x v="1"/>
    <n v="0"/>
    <n v="0"/>
    <n v="0"/>
    <x v="1"/>
    <x v="0"/>
    <n v="0"/>
  </r>
  <r>
    <n v="419163000000"/>
    <x v="0"/>
    <x v="68"/>
    <x v="4"/>
    <s v="ESTRELINHA"/>
    <d v="2016-05-04T00:00:00"/>
    <d v="2016-05-13T00:00:00"/>
    <x v="0"/>
    <x v="85"/>
    <x v="2"/>
    <n v="0"/>
    <x v="1"/>
    <n v="0"/>
    <n v="0"/>
    <n v="0"/>
    <x v="1"/>
    <x v="0"/>
    <n v="0"/>
  </r>
  <r>
    <n v="7943290000000"/>
    <x v="0"/>
    <x v="37"/>
    <x v="3"/>
    <s v="JOANA D ARC"/>
    <d v="2016-05-04T00:00:00"/>
    <d v="2016-05-11T00:00:00"/>
    <x v="1"/>
    <x v="87"/>
    <x v="3"/>
    <n v="0"/>
    <x v="1"/>
    <n v="0"/>
    <n v="0"/>
    <n v="0"/>
    <x v="1"/>
    <x v="1"/>
    <n v="1"/>
  </r>
  <r>
    <n v="64498118518"/>
    <x v="0"/>
    <x v="49"/>
    <x v="4"/>
    <s v="CARATOIRA"/>
    <d v="2016-05-04T00:00:00"/>
    <d v="2016-05-25T00:00:00"/>
    <x v="1"/>
    <x v="73"/>
    <x v="1"/>
    <n v="0"/>
    <x v="1"/>
    <n v="0"/>
    <n v="0"/>
    <n v="0"/>
    <x v="0"/>
    <x v="0"/>
    <n v="0"/>
  </r>
  <r>
    <n v="415862000000000"/>
    <x v="0"/>
    <x v="32"/>
    <x v="4"/>
    <s v="BONFIM"/>
    <d v="2016-05-04T00:00:00"/>
    <d v="2016-06-07T00:00:00"/>
    <x v="4"/>
    <x v="58"/>
    <x v="0"/>
    <n v="0"/>
    <x v="1"/>
    <n v="0"/>
    <n v="0"/>
    <n v="0"/>
    <x v="0"/>
    <x v="0"/>
    <n v="0"/>
  </r>
  <r>
    <n v="3715210000000"/>
    <x v="1"/>
    <x v="56"/>
    <x v="1"/>
    <s v="SANTA TEREZA"/>
    <d v="2016-05-04T00:00:00"/>
    <d v="2016-05-09T00:00:00"/>
    <x v="2"/>
    <x v="92"/>
    <x v="3"/>
    <n v="0"/>
    <x v="0"/>
    <n v="0"/>
    <n v="0"/>
    <n v="0"/>
    <x v="1"/>
    <x v="0"/>
    <n v="0"/>
  </r>
  <r>
    <n v="42743600000000"/>
    <x v="0"/>
    <x v="38"/>
    <x v="4"/>
    <s v="TABUAZEIRO"/>
    <d v="2016-05-04T00:00:00"/>
    <d v="2016-05-18T00:00:00"/>
    <x v="1"/>
    <x v="80"/>
    <x v="2"/>
    <n v="0"/>
    <x v="1"/>
    <n v="0"/>
    <n v="0"/>
    <n v="0"/>
    <x v="1"/>
    <x v="0"/>
    <n v="0"/>
  </r>
  <r>
    <n v="89511300000000"/>
    <x v="0"/>
    <x v="69"/>
    <x v="4"/>
    <s v="BELA VISTA"/>
    <d v="2016-05-04T00:00:00"/>
    <d v="2016-05-09T00:00:00"/>
    <x v="2"/>
    <x v="92"/>
    <x v="3"/>
    <n v="0"/>
    <x v="1"/>
    <n v="0"/>
    <n v="0"/>
    <n v="0"/>
    <x v="1"/>
    <x v="1"/>
    <n v="1"/>
  </r>
  <r>
    <n v="78832500000000"/>
    <x v="0"/>
    <x v="70"/>
    <x v="5"/>
    <s v="ILHA DE SANTA MARIA"/>
    <d v="2016-05-04T00:00:00"/>
    <d v="2016-05-04T00:00:00"/>
    <x v="1"/>
    <x v="94"/>
    <x v="5"/>
    <n v="0"/>
    <x v="1"/>
    <n v="0"/>
    <n v="0"/>
    <n v="0"/>
    <x v="1"/>
    <x v="0"/>
    <n v="0"/>
  </r>
  <r>
    <n v="1143790000000"/>
    <x v="0"/>
    <x v="22"/>
    <x v="4"/>
    <s v="NOVA PALESTINA"/>
    <d v="2016-05-04T00:00:00"/>
    <d v="2016-05-04T00:00:00"/>
    <x v="1"/>
    <x v="94"/>
    <x v="5"/>
    <n v="0"/>
    <x v="1"/>
    <n v="0"/>
    <n v="0"/>
    <n v="0"/>
    <x v="1"/>
    <x v="0"/>
    <n v="0"/>
  </r>
  <r>
    <n v="1756700000000"/>
    <x v="1"/>
    <x v="78"/>
    <x v="0"/>
    <s v="ILHA DO PRINCIPE"/>
    <d v="2016-05-04T00:00:00"/>
    <d v="2016-05-04T00:00:00"/>
    <x v="1"/>
    <x v="94"/>
    <x v="5"/>
    <n v="0"/>
    <x v="0"/>
    <n v="0"/>
    <n v="1"/>
    <n v="0"/>
    <x v="1"/>
    <x v="0"/>
    <n v="0"/>
  </r>
  <r>
    <n v="71898800000000"/>
    <x v="1"/>
    <x v="24"/>
    <x v="1"/>
    <s v="JARDIM CAMBURI"/>
    <d v="2016-05-04T00:00:00"/>
    <d v="2016-05-04T00:00:00"/>
    <x v="1"/>
    <x v="94"/>
    <x v="5"/>
    <n v="0"/>
    <x v="1"/>
    <n v="0"/>
    <n v="0"/>
    <n v="0"/>
    <x v="1"/>
    <x v="0"/>
    <n v="0"/>
  </r>
  <r>
    <n v="871375000000000"/>
    <x v="1"/>
    <x v="28"/>
    <x v="3"/>
    <s v="ROMAO"/>
    <d v="2016-05-04T00:00:00"/>
    <d v="2016-05-04T00:00:00"/>
    <x v="1"/>
    <x v="94"/>
    <x v="5"/>
    <n v="0"/>
    <x v="1"/>
    <n v="0"/>
    <n v="1"/>
    <n v="0"/>
    <x v="1"/>
    <x v="0"/>
    <n v="0"/>
  </r>
  <r>
    <n v="9452750000000"/>
    <x v="1"/>
    <x v="36"/>
    <x v="3"/>
    <s v="JUCUTUQUARA"/>
    <d v="2016-05-04T00:00:00"/>
    <d v="2016-05-04T00:00:00"/>
    <x v="1"/>
    <x v="94"/>
    <x v="5"/>
    <n v="0"/>
    <x v="1"/>
    <n v="0"/>
    <n v="0"/>
    <n v="0"/>
    <x v="1"/>
    <x v="0"/>
    <n v="0"/>
  </r>
  <r>
    <n v="89186900000000"/>
    <x v="0"/>
    <x v="37"/>
    <x v="3"/>
    <s v="PRAIA DO SUA"/>
    <d v="2016-05-04T00:00:00"/>
    <d v="2016-05-10T00:00:00"/>
    <x v="4"/>
    <x v="90"/>
    <x v="3"/>
    <n v="0"/>
    <x v="1"/>
    <n v="0"/>
    <n v="0"/>
    <n v="0"/>
    <x v="0"/>
    <x v="1"/>
    <n v="1"/>
  </r>
  <r>
    <n v="66844900000000"/>
    <x v="0"/>
    <x v="37"/>
    <x v="3"/>
    <s v="BENTO FERREIRA"/>
    <d v="2016-05-04T00:00:00"/>
    <d v="2016-05-04T00:00:00"/>
    <x v="1"/>
    <x v="94"/>
    <x v="5"/>
    <n v="0"/>
    <x v="1"/>
    <n v="0"/>
    <n v="0"/>
    <n v="0"/>
    <x v="1"/>
    <x v="0"/>
    <n v="0"/>
  </r>
  <r>
    <n v="168738000000000"/>
    <x v="0"/>
    <x v="62"/>
    <x v="3"/>
    <s v="JABOUR"/>
    <d v="2016-05-04T00:00:00"/>
    <d v="2016-06-01T00:00:00"/>
    <x v="1"/>
    <x v="64"/>
    <x v="1"/>
    <n v="0"/>
    <x v="1"/>
    <n v="0"/>
    <n v="0"/>
    <n v="0"/>
    <x v="0"/>
    <x v="1"/>
    <n v="1"/>
  </r>
  <r>
    <n v="894627000000000"/>
    <x v="1"/>
    <x v="80"/>
    <x v="2"/>
    <s v="SANTA MARTHA"/>
    <d v="2016-05-04T00:00:00"/>
    <d v="2016-05-05T00:00:00"/>
    <x v="3"/>
    <x v="93"/>
    <x v="4"/>
    <n v="0"/>
    <x v="1"/>
    <n v="0"/>
    <n v="0"/>
    <n v="0"/>
    <x v="1"/>
    <x v="0"/>
    <n v="0"/>
  </r>
  <r>
    <n v="74694000000000"/>
    <x v="0"/>
    <x v="42"/>
    <x v="3"/>
    <s v="JABOUR"/>
    <d v="2016-05-04T00:00:00"/>
    <d v="2016-06-01T00:00:00"/>
    <x v="1"/>
    <x v="64"/>
    <x v="1"/>
    <n v="0"/>
    <x v="1"/>
    <n v="0"/>
    <n v="0"/>
    <n v="0"/>
    <x v="0"/>
    <x v="1"/>
    <n v="1"/>
  </r>
  <r>
    <n v="42154500000000"/>
    <x v="0"/>
    <x v="67"/>
    <x v="4"/>
    <s v="ITARARE"/>
    <d v="2016-05-04T00:00:00"/>
    <d v="2016-05-09T00:00:00"/>
    <x v="2"/>
    <x v="92"/>
    <x v="3"/>
    <n v="0"/>
    <x v="1"/>
    <n v="0"/>
    <n v="0"/>
    <n v="0"/>
    <x v="1"/>
    <x v="0"/>
    <n v="0"/>
  </r>
  <r>
    <n v="6383700000000"/>
    <x v="1"/>
    <x v="66"/>
    <x v="2"/>
    <s v="GURIGICA"/>
    <d v="2016-05-04T00:00:00"/>
    <d v="2016-05-04T00:00:00"/>
    <x v="1"/>
    <x v="94"/>
    <x v="5"/>
    <n v="0"/>
    <x v="1"/>
    <n v="0"/>
    <n v="0"/>
    <n v="0"/>
    <x v="1"/>
    <x v="0"/>
    <n v="0"/>
  </r>
  <r>
    <n v="563514000000000"/>
    <x v="1"/>
    <x v="66"/>
    <x v="2"/>
    <s v="SAO JOSE"/>
    <d v="2016-05-04T00:00:00"/>
    <d v="2016-05-04T00:00:00"/>
    <x v="1"/>
    <x v="94"/>
    <x v="5"/>
    <n v="1"/>
    <x v="1"/>
    <n v="0"/>
    <n v="0"/>
    <n v="0"/>
    <x v="1"/>
    <x v="1"/>
    <n v="1"/>
  </r>
  <r>
    <n v="3799780000000"/>
    <x v="0"/>
    <x v="70"/>
    <x v="5"/>
    <s v="SANTA CLARA"/>
    <d v="2016-05-04T00:00:00"/>
    <d v="2016-05-25T00:00:00"/>
    <x v="1"/>
    <x v="73"/>
    <x v="1"/>
    <n v="1"/>
    <x v="1"/>
    <n v="0"/>
    <n v="0"/>
    <n v="0"/>
    <x v="0"/>
    <x v="0"/>
    <n v="0"/>
  </r>
  <r>
    <n v="2338830000000"/>
    <x v="1"/>
    <x v="81"/>
    <x v="5"/>
    <s v="FORTE SAO JOAO"/>
    <d v="2016-05-04T00:00:00"/>
    <d v="2016-05-04T00:00:00"/>
    <x v="1"/>
    <x v="94"/>
    <x v="5"/>
    <n v="0"/>
    <x v="1"/>
    <n v="0"/>
    <n v="0"/>
    <n v="0"/>
    <x v="1"/>
    <x v="0"/>
    <n v="0"/>
  </r>
  <r>
    <n v="7489750000000"/>
    <x v="0"/>
    <x v="25"/>
    <x v="4"/>
    <s v="JESUS DE NAZARETH"/>
    <d v="2016-05-04T00:00:00"/>
    <d v="2016-06-03T00:00:00"/>
    <x v="0"/>
    <x v="60"/>
    <x v="1"/>
    <n v="1"/>
    <x v="1"/>
    <n v="0"/>
    <n v="0"/>
    <n v="0"/>
    <x v="0"/>
    <x v="0"/>
    <n v="0"/>
  </r>
  <r>
    <n v="78939426492"/>
    <x v="0"/>
    <x v="25"/>
    <x v="4"/>
    <s v="BELA VISTA"/>
    <d v="2016-05-04T00:00:00"/>
    <d v="2016-05-10T00:00:00"/>
    <x v="4"/>
    <x v="90"/>
    <x v="3"/>
    <n v="0"/>
    <x v="1"/>
    <n v="0"/>
    <n v="0"/>
    <n v="0"/>
    <x v="0"/>
    <x v="1"/>
    <n v="1"/>
  </r>
  <r>
    <n v="721734000000000"/>
    <x v="0"/>
    <x v="6"/>
    <x v="0"/>
    <s v="JARDIM DA PENHA"/>
    <d v="2016-05-04T00:00:00"/>
    <d v="2016-05-04T00:00:00"/>
    <x v="1"/>
    <x v="94"/>
    <x v="5"/>
    <n v="0"/>
    <x v="0"/>
    <n v="1"/>
    <n v="0"/>
    <n v="0"/>
    <x v="1"/>
    <x v="0"/>
    <n v="0"/>
  </r>
  <r>
    <n v="249164000000000"/>
    <x v="1"/>
    <x v="43"/>
    <x v="2"/>
    <s v="SANTO ANTONIO"/>
    <d v="2016-05-04T00:00:00"/>
    <d v="2016-05-04T00:00:00"/>
    <x v="1"/>
    <x v="94"/>
    <x v="5"/>
    <n v="0"/>
    <x v="1"/>
    <n v="0"/>
    <n v="0"/>
    <n v="0"/>
    <x v="1"/>
    <x v="1"/>
    <n v="1"/>
  </r>
  <r>
    <n v="5669580000000"/>
    <x v="0"/>
    <x v="51"/>
    <x v="2"/>
    <s v="BONFIM"/>
    <d v="2016-05-04T00:00:00"/>
    <d v="2016-05-04T00:00:00"/>
    <x v="1"/>
    <x v="94"/>
    <x v="5"/>
    <n v="0"/>
    <x v="1"/>
    <n v="0"/>
    <n v="0"/>
    <n v="0"/>
    <x v="1"/>
    <x v="1"/>
    <n v="1"/>
  </r>
  <r>
    <n v="6383700000000"/>
    <x v="1"/>
    <x v="66"/>
    <x v="2"/>
    <s v="GURIGICA"/>
    <d v="2016-05-04T00:00:00"/>
    <d v="2016-05-04T00:00:00"/>
    <x v="1"/>
    <x v="94"/>
    <x v="5"/>
    <n v="0"/>
    <x v="1"/>
    <n v="0"/>
    <n v="0"/>
    <n v="0"/>
    <x v="1"/>
    <x v="1"/>
    <n v="1"/>
  </r>
  <r>
    <n v="4176780000000"/>
    <x v="0"/>
    <x v="14"/>
    <x v="3"/>
    <s v="GRANDE VITORIA"/>
    <d v="2016-05-04T00:00:00"/>
    <d v="2016-05-06T00:00:00"/>
    <x v="0"/>
    <x v="91"/>
    <x v="4"/>
    <n v="0"/>
    <x v="0"/>
    <n v="1"/>
    <n v="0"/>
    <n v="0"/>
    <x v="1"/>
    <x v="0"/>
    <n v="0"/>
  </r>
  <r>
    <n v="7612860000000"/>
    <x v="0"/>
    <x v="50"/>
    <x v="1"/>
    <s v="JARDIM CAMBURI"/>
    <d v="2016-05-04T00:00:00"/>
    <d v="2016-05-04T00:00:00"/>
    <x v="1"/>
    <x v="94"/>
    <x v="5"/>
    <n v="0"/>
    <x v="1"/>
    <n v="0"/>
    <n v="0"/>
    <n v="0"/>
    <x v="1"/>
    <x v="0"/>
    <n v="0"/>
  </r>
  <r>
    <n v="224493000000"/>
    <x v="0"/>
    <x v="40"/>
    <x v="1"/>
    <s v="JARDIM DA PENHA"/>
    <d v="2016-05-04T00:00:00"/>
    <d v="2016-05-17T00:00:00"/>
    <x v="4"/>
    <x v="82"/>
    <x v="2"/>
    <n v="0"/>
    <x v="1"/>
    <n v="0"/>
    <n v="0"/>
    <n v="0"/>
    <x v="1"/>
    <x v="1"/>
    <n v="1"/>
  </r>
  <r>
    <n v="229228000000000"/>
    <x v="0"/>
    <x v="24"/>
    <x v="1"/>
    <s v="DA PENHA"/>
    <d v="2016-05-04T00:00:00"/>
    <d v="2016-05-06T00:00:00"/>
    <x v="0"/>
    <x v="91"/>
    <x v="4"/>
    <n v="0"/>
    <x v="0"/>
    <n v="1"/>
    <n v="0"/>
    <n v="0"/>
    <x v="1"/>
    <x v="1"/>
    <n v="1"/>
  </r>
  <r>
    <n v="395674000000"/>
    <x v="0"/>
    <x v="45"/>
    <x v="1"/>
    <s v="CENTRO"/>
    <d v="2016-05-04T00:00:00"/>
    <d v="2016-05-06T00:00:00"/>
    <x v="0"/>
    <x v="91"/>
    <x v="4"/>
    <n v="0"/>
    <x v="0"/>
    <n v="1"/>
    <n v="0"/>
    <n v="0"/>
    <x v="1"/>
    <x v="0"/>
    <n v="0"/>
  </r>
  <r>
    <n v="731784000000000"/>
    <x v="0"/>
    <x v="24"/>
    <x v="1"/>
    <s v="ILHA DE SANTA MARIA"/>
    <d v="2016-05-04T00:00:00"/>
    <d v="2016-05-06T00:00:00"/>
    <x v="0"/>
    <x v="91"/>
    <x v="4"/>
    <n v="0"/>
    <x v="1"/>
    <n v="0"/>
    <n v="0"/>
    <n v="0"/>
    <x v="1"/>
    <x v="0"/>
    <n v="0"/>
  </r>
  <r>
    <n v="4653950000000"/>
    <x v="0"/>
    <x v="78"/>
    <x v="0"/>
    <s v="MARIA ORTIZ"/>
    <d v="2016-05-04T00:00:00"/>
    <d v="2016-06-01T00:00:00"/>
    <x v="1"/>
    <x v="64"/>
    <x v="1"/>
    <n v="0"/>
    <x v="1"/>
    <n v="0"/>
    <n v="0"/>
    <n v="0"/>
    <x v="0"/>
    <x v="0"/>
    <n v="0"/>
  </r>
  <r>
    <n v="71457100000000"/>
    <x v="1"/>
    <x v="21"/>
    <x v="1"/>
    <s v="INHANGUETA"/>
    <d v="2016-05-04T00:00:00"/>
    <d v="2016-05-06T00:00:00"/>
    <x v="0"/>
    <x v="91"/>
    <x v="4"/>
    <n v="0"/>
    <x v="1"/>
    <n v="0"/>
    <n v="0"/>
    <n v="0"/>
    <x v="1"/>
    <x v="0"/>
    <n v="0"/>
  </r>
  <r>
    <n v="6521740000000"/>
    <x v="0"/>
    <x v="34"/>
    <x v="0"/>
    <s v="TABUAZEIRO"/>
    <d v="2016-05-04T00:00:00"/>
    <d v="2016-05-06T00:00:00"/>
    <x v="0"/>
    <x v="91"/>
    <x v="4"/>
    <n v="0"/>
    <x v="0"/>
    <n v="0"/>
    <n v="0"/>
    <n v="0"/>
    <x v="1"/>
    <x v="0"/>
    <n v="0"/>
  </r>
  <r>
    <n v="414369000000"/>
    <x v="0"/>
    <x v="29"/>
    <x v="3"/>
    <s v="BELA VISTA"/>
    <d v="2016-05-04T00:00:00"/>
    <d v="2016-05-06T00:00:00"/>
    <x v="0"/>
    <x v="91"/>
    <x v="4"/>
    <n v="0"/>
    <x v="1"/>
    <n v="0"/>
    <n v="0"/>
    <n v="0"/>
    <x v="1"/>
    <x v="1"/>
    <n v="1"/>
  </r>
  <r>
    <n v="15594200000000"/>
    <x v="0"/>
    <x v="80"/>
    <x v="2"/>
    <s v="MARIA ORTIZ"/>
    <d v="2016-05-04T00:00:00"/>
    <d v="2016-05-09T00:00:00"/>
    <x v="2"/>
    <x v="92"/>
    <x v="3"/>
    <n v="0"/>
    <x v="1"/>
    <n v="0"/>
    <n v="0"/>
    <n v="0"/>
    <x v="1"/>
    <x v="0"/>
    <n v="0"/>
  </r>
  <r>
    <n v="1387310000000"/>
    <x v="1"/>
    <x v="19"/>
    <x v="2"/>
    <s v="MARIA ORTIZ"/>
    <d v="2016-05-04T00:00:00"/>
    <d v="2016-05-10T00:00:00"/>
    <x v="4"/>
    <x v="90"/>
    <x v="3"/>
    <n v="0"/>
    <x v="1"/>
    <n v="0"/>
    <n v="0"/>
    <n v="0"/>
    <x v="0"/>
    <x v="0"/>
    <n v="0"/>
  </r>
  <r>
    <n v="2916430000000"/>
    <x v="0"/>
    <x v="61"/>
    <x v="1"/>
    <s v="MARIA ORTIZ"/>
    <d v="2016-05-04T00:00:00"/>
    <d v="2016-05-12T00:00:00"/>
    <x v="3"/>
    <x v="88"/>
    <x v="2"/>
    <n v="0"/>
    <x v="1"/>
    <n v="0"/>
    <n v="0"/>
    <n v="0"/>
    <x v="0"/>
    <x v="1"/>
    <n v="1"/>
  </r>
  <r>
    <n v="38616100000000"/>
    <x v="0"/>
    <x v="14"/>
    <x v="3"/>
    <s v="JARDIM DA PENHA"/>
    <d v="2016-05-04T00:00:00"/>
    <d v="2016-05-30T00:00:00"/>
    <x v="2"/>
    <x v="68"/>
    <x v="1"/>
    <n v="0"/>
    <x v="1"/>
    <n v="0"/>
    <n v="0"/>
    <n v="0"/>
    <x v="0"/>
    <x v="0"/>
    <n v="0"/>
  </r>
  <r>
    <n v="626842000000000"/>
    <x v="0"/>
    <x v="11"/>
    <x v="0"/>
    <s v="JARDIM CAMBURI"/>
    <d v="2016-05-04T00:00:00"/>
    <d v="2016-05-06T00:00:00"/>
    <x v="0"/>
    <x v="91"/>
    <x v="4"/>
    <n v="0"/>
    <x v="1"/>
    <n v="0"/>
    <n v="0"/>
    <n v="0"/>
    <x v="1"/>
    <x v="0"/>
    <n v="0"/>
  </r>
  <r>
    <n v="258424000000"/>
    <x v="1"/>
    <x v="24"/>
    <x v="1"/>
    <s v="BONFIM"/>
    <d v="2016-05-04T00:00:00"/>
    <d v="2016-05-04T00:00:00"/>
    <x v="1"/>
    <x v="94"/>
    <x v="5"/>
    <n v="0"/>
    <x v="0"/>
    <n v="0"/>
    <n v="1"/>
    <n v="0"/>
    <x v="1"/>
    <x v="0"/>
    <n v="0"/>
  </r>
  <r>
    <n v="292537000000000"/>
    <x v="1"/>
    <x v="62"/>
    <x v="3"/>
    <s v="JARDIM CAMBURI"/>
    <d v="2016-05-04T00:00:00"/>
    <d v="2016-05-04T00:00:00"/>
    <x v="1"/>
    <x v="94"/>
    <x v="5"/>
    <n v="0"/>
    <x v="1"/>
    <n v="0"/>
    <n v="0"/>
    <n v="0"/>
    <x v="1"/>
    <x v="0"/>
    <n v="0"/>
  </r>
  <r>
    <n v="231426000000"/>
    <x v="0"/>
    <x v="67"/>
    <x v="4"/>
    <s v="JARDIM CAMBURI"/>
    <d v="2016-05-04T00:00:00"/>
    <d v="2016-06-08T00:00:00"/>
    <x v="1"/>
    <x v="59"/>
    <x v="0"/>
    <n v="0"/>
    <x v="1"/>
    <n v="0"/>
    <n v="0"/>
    <n v="0"/>
    <x v="0"/>
    <x v="0"/>
    <n v="0"/>
  </r>
  <r>
    <n v="7366590000000"/>
    <x v="0"/>
    <x v="29"/>
    <x v="3"/>
    <s v="JARDIM DA PENHA"/>
    <d v="2016-05-04T00:00:00"/>
    <d v="2016-05-06T00:00:00"/>
    <x v="0"/>
    <x v="91"/>
    <x v="4"/>
    <n v="0"/>
    <x v="0"/>
    <n v="0"/>
    <n v="0"/>
    <n v="0"/>
    <x v="1"/>
    <x v="0"/>
    <n v="0"/>
  </r>
  <r>
    <n v="948498000000000"/>
    <x v="0"/>
    <x v="50"/>
    <x v="1"/>
    <s v="JARDIM CAMBURI"/>
    <d v="2016-05-04T00:00:00"/>
    <d v="2016-05-04T00:00:00"/>
    <x v="1"/>
    <x v="94"/>
    <x v="5"/>
    <n v="0"/>
    <x v="1"/>
    <n v="0"/>
    <n v="0"/>
    <n v="0"/>
    <x v="1"/>
    <x v="0"/>
    <n v="0"/>
  </r>
  <r>
    <n v="552326000000000"/>
    <x v="1"/>
    <x v="14"/>
    <x v="3"/>
    <s v="JARDIM CAMBURI"/>
    <d v="2016-05-04T00:00:00"/>
    <d v="2016-05-04T00:00:00"/>
    <x v="1"/>
    <x v="94"/>
    <x v="5"/>
    <n v="0"/>
    <x v="1"/>
    <n v="0"/>
    <n v="0"/>
    <n v="0"/>
    <x v="1"/>
    <x v="0"/>
    <n v="0"/>
  </r>
  <r>
    <n v="793192000000000"/>
    <x v="0"/>
    <x v="45"/>
    <x v="1"/>
    <s v="SANTOS DUMONT"/>
    <d v="2016-05-04T00:00:00"/>
    <d v="2016-05-17T00:00:00"/>
    <x v="4"/>
    <x v="82"/>
    <x v="2"/>
    <n v="0"/>
    <x v="1"/>
    <n v="0"/>
    <n v="0"/>
    <n v="0"/>
    <x v="1"/>
    <x v="0"/>
    <n v="0"/>
  </r>
  <r>
    <n v="5392670000000"/>
    <x v="0"/>
    <x v="2"/>
    <x v="1"/>
    <s v="JARDIM CAMBURI"/>
    <d v="2016-05-05T00:00:00"/>
    <d v="2016-05-09T00:00:00"/>
    <x v="2"/>
    <x v="86"/>
    <x v="3"/>
    <n v="0"/>
    <x v="1"/>
    <n v="0"/>
    <n v="0"/>
    <n v="0"/>
    <x v="1"/>
    <x v="1"/>
    <n v="1"/>
  </r>
  <r>
    <n v="38971600000000"/>
    <x v="0"/>
    <x v="72"/>
    <x v="5"/>
    <s v="CENTRO"/>
    <d v="2016-05-05T00:00:00"/>
    <d v="2016-05-05T00:00:00"/>
    <x v="3"/>
    <x v="94"/>
    <x v="5"/>
    <n v="0"/>
    <x v="1"/>
    <n v="0"/>
    <n v="0"/>
    <n v="0"/>
    <x v="1"/>
    <x v="0"/>
    <n v="0"/>
  </r>
  <r>
    <n v="89567300000000"/>
    <x v="0"/>
    <x v="10"/>
    <x v="4"/>
    <s v="FORTE SAO JOAO"/>
    <d v="2016-05-05T00:00:00"/>
    <d v="2016-05-05T00:00:00"/>
    <x v="3"/>
    <x v="94"/>
    <x v="5"/>
    <n v="0"/>
    <x v="1"/>
    <n v="0"/>
    <n v="0"/>
    <n v="0"/>
    <x v="1"/>
    <x v="0"/>
    <n v="0"/>
  </r>
  <r>
    <n v="5353693525"/>
    <x v="0"/>
    <x v="14"/>
    <x v="3"/>
    <s v="SANTA TEREZA"/>
    <d v="2016-05-05T00:00:00"/>
    <d v="2016-05-09T00:00:00"/>
    <x v="2"/>
    <x v="86"/>
    <x v="3"/>
    <n v="0"/>
    <x v="1"/>
    <n v="0"/>
    <n v="0"/>
    <n v="0"/>
    <x v="1"/>
    <x v="0"/>
    <n v="0"/>
  </r>
  <r>
    <n v="33455400000000"/>
    <x v="0"/>
    <x v="29"/>
    <x v="3"/>
    <s v="SAO JOSE"/>
    <d v="2016-05-05T00:00:00"/>
    <d v="2016-05-11T00:00:00"/>
    <x v="1"/>
    <x v="90"/>
    <x v="3"/>
    <n v="0"/>
    <x v="1"/>
    <n v="0"/>
    <n v="0"/>
    <n v="0"/>
    <x v="0"/>
    <x v="0"/>
    <n v="0"/>
  </r>
  <r>
    <n v="2794660000000"/>
    <x v="0"/>
    <x v="38"/>
    <x v="4"/>
    <s v="CENTRO"/>
    <d v="2016-05-05T00:00:00"/>
    <d v="2016-05-05T00:00:00"/>
    <x v="3"/>
    <x v="94"/>
    <x v="5"/>
    <n v="0"/>
    <x v="1"/>
    <n v="0"/>
    <n v="0"/>
    <n v="0"/>
    <x v="1"/>
    <x v="0"/>
    <n v="0"/>
  </r>
  <r>
    <n v="281640000000000"/>
    <x v="0"/>
    <x v="74"/>
    <x v="1"/>
    <s v="CONSOLACAO"/>
    <d v="2016-05-05T00:00:00"/>
    <d v="2016-05-05T00:00:00"/>
    <x v="3"/>
    <x v="94"/>
    <x v="5"/>
    <n v="0"/>
    <x v="1"/>
    <n v="0"/>
    <n v="0"/>
    <n v="0"/>
    <x v="1"/>
    <x v="0"/>
    <n v="0"/>
  </r>
  <r>
    <n v="71248300000000"/>
    <x v="0"/>
    <x v="17"/>
    <x v="4"/>
    <s v="ANDORINHAS"/>
    <d v="2016-05-05T00:00:00"/>
    <d v="2016-05-05T00:00:00"/>
    <x v="3"/>
    <x v="94"/>
    <x v="5"/>
    <n v="0"/>
    <x v="0"/>
    <n v="0"/>
    <n v="0"/>
    <n v="0"/>
    <x v="1"/>
    <x v="0"/>
    <n v="0"/>
  </r>
  <r>
    <n v="5664430000000"/>
    <x v="1"/>
    <x v="5"/>
    <x v="1"/>
    <s v="RESISTENCIA"/>
    <d v="2016-05-05T00:00:00"/>
    <d v="2016-05-05T00:00:00"/>
    <x v="3"/>
    <x v="94"/>
    <x v="5"/>
    <n v="0"/>
    <x v="1"/>
    <n v="0"/>
    <n v="0"/>
    <n v="0"/>
    <x v="1"/>
    <x v="0"/>
    <n v="0"/>
  </r>
  <r>
    <n v="827537000000"/>
    <x v="0"/>
    <x v="69"/>
    <x v="4"/>
    <s v="COMDUSA"/>
    <d v="2016-05-05T00:00:00"/>
    <d v="2016-05-09T00:00:00"/>
    <x v="2"/>
    <x v="86"/>
    <x v="3"/>
    <n v="1"/>
    <x v="1"/>
    <n v="0"/>
    <n v="0"/>
    <n v="0"/>
    <x v="1"/>
    <x v="0"/>
    <n v="0"/>
  </r>
  <r>
    <n v="77845814766"/>
    <x v="1"/>
    <x v="44"/>
    <x v="4"/>
    <s v="SAO BENEDITO"/>
    <d v="2016-05-05T00:00:00"/>
    <d v="2016-05-17T00:00:00"/>
    <x v="4"/>
    <x v="84"/>
    <x v="2"/>
    <n v="0"/>
    <x v="1"/>
    <n v="0"/>
    <n v="0"/>
    <n v="0"/>
    <x v="1"/>
    <x v="1"/>
    <n v="1"/>
  </r>
  <r>
    <n v="68975300000000"/>
    <x v="0"/>
    <x v="44"/>
    <x v="4"/>
    <s v="MARIA ORTIZ"/>
    <d v="2016-05-05T00:00:00"/>
    <d v="2016-05-05T00:00:00"/>
    <x v="3"/>
    <x v="94"/>
    <x v="5"/>
    <n v="0"/>
    <x v="1"/>
    <n v="0"/>
    <n v="0"/>
    <n v="0"/>
    <x v="1"/>
    <x v="0"/>
    <n v="0"/>
  </r>
  <r>
    <n v="9592990000000"/>
    <x v="0"/>
    <x v="24"/>
    <x v="1"/>
    <s v="SAO PEDRO"/>
    <d v="2016-05-05T00:00:00"/>
    <d v="2016-05-05T00:00:00"/>
    <x v="3"/>
    <x v="94"/>
    <x v="5"/>
    <n v="0"/>
    <x v="1"/>
    <n v="0"/>
    <n v="0"/>
    <n v="0"/>
    <x v="1"/>
    <x v="0"/>
    <n v="0"/>
  </r>
  <r>
    <n v="3525370000000"/>
    <x v="1"/>
    <x v="7"/>
    <x v="3"/>
    <s v="RESISTENCIA"/>
    <d v="2016-05-05T00:00:00"/>
    <d v="2016-05-05T00:00:00"/>
    <x v="3"/>
    <x v="94"/>
    <x v="5"/>
    <n v="0"/>
    <x v="0"/>
    <n v="0"/>
    <n v="0"/>
    <n v="0"/>
    <x v="1"/>
    <x v="0"/>
    <n v="0"/>
  </r>
  <r>
    <n v="619398000000"/>
    <x v="1"/>
    <x v="77"/>
    <x v="4"/>
    <s v="BONFIM"/>
    <d v="2016-05-05T00:00:00"/>
    <d v="2016-05-05T00:00:00"/>
    <x v="3"/>
    <x v="94"/>
    <x v="5"/>
    <n v="0"/>
    <x v="1"/>
    <n v="0"/>
    <n v="0"/>
    <n v="0"/>
    <x v="1"/>
    <x v="0"/>
    <n v="0"/>
  </r>
  <r>
    <n v="227585000000000"/>
    <x v="0"/>
    <x v="44"/>
    <x v="4"/>
    <s v="BELA VISTA"/>
    <d v="2016-05-05T00:00:00"/>
    <d v="2016-05-09T00:00:00"/>
    <x v="2"/>
    <x v="86"/>
    <x v="3"/>
    <n v="0"/>
    <x v="1"/>
    <n v="0"/>
    <n v="0"/>
    <n v="0"/>
    <x v="1"/>
    <x v="0"/>
    <n v="0"/>
  </r>
  <r>
    <n v="2466460000000"/>
    <x v="0"/>
    <x v="72"/>
    <x v="5"/>
    <s v="BELA VISTA"/>
    <d v="2016-05-05T00:00:00"/>
    <d v="2016-05-10T00:00:00"/>
    <x v="4"/>
    <x v="92"/>
    <x v="3"/>
    <n v="0"/>
    <x v="1"/>
    <n v="0"/>
    <n v="0"/>
    <n v="0"/>
    <x v="0"/>
    <x v="0"/>
    <n v="0"/>
  </r>
  <r>
    <n v="73473500000000"/>
    <x v="0"/>
    <x v="50"/>
    <x v="1"/>
    <s v="ITARARE"/>
    <d v="2016-05-05T00:00:00"/>
    <d v="2016-05-30T00:00:00"/>
    <x v="2"/>
    <x v="70"/>
    <x v="1"/>
    <n v="0"/>
    <x v="1"/>
    <n v="0"/>
    <n v="0"/>
    <n v="0"/>
    <x v="0"/>
    <x v="0"/>
    <n v="0"/>
  </r>
  <r>
    <n v="43719100000000"/>
    <x v="0"/>
    <x v="15"/>
    <x v="3"/>
    <s v="JARDIM DA PENHA"/>
    <d v="2016-05-05T00:00:00"/>
    <d v="2016-05-06T00:00:00"/>
    <x v="0"/>
    <x v="93"/>
    <x v="4"/>
    <n v="0"/>
    <x v="1"/>
    <n v="0"/>
    <n v="0"/>
    <n v="0"/>
    <x v="1"/>
    <x v="1"/>
    <n v="1"/>
  </r>
  <r>
    <n v="932347000000000"/>
    <x v="0"/>
    <x v="54"/>
    <x v="1"/>
    <s v="CRUZAMENTO"/>
    <d v="2016-05-05T00:00:00"/>
    <d v="2016-05-05T00:00:00"/>
    <x v="3"/>
    <x v="94"/>
    <x v="5"/>
    <n v="0"/>
    <x v="1"/>
    <n v="0"/>
    <n v="0"/>
    <n v="0"/>
    <x v="1"/>
    <x v="0"/>
    <n v="0"/>
  </r>
  <r>
    <n v="3657390000000"/>
    <x v="1"/>
    <x v="58"/>
    <x v="0"/>
    <s v="JESUS DE NAZARETH"/>
    <d v="2016-05-05T00:00:00"/>
    <d v="2016-05-09T00:00:00"/>
    <x v="2"/>
    <x v="86"/>
    <x v="3"/>
    <n v="0"/>
    <x v="1"/>
    <n v="1"/>
    <n v="0"/>
    <n v="0"/>
    <x v="1"/>
    <x v="0"/>
    <n v="0"/>
  </r>
  <r>
    <n v="2452266376"/>
    <x v="0"/>
    <x v="55"/>
    <x v="2"/>
    <s v="MARIA ORTIZ"/>
    <d v="2016-05-05T00:00:00"/>
    <d v="2016-05-05T00:00:00"/>
    <x v="3"/>
    <x v="94"/>
    <x v="5"/>
    <n v="0"/>
    <x v="1"/>
    <n v="0"/>
    <n v="0"/>
    <n v="0"/>
    <x v="1"/>
    <x v="0"/>
    <n v="0"/>
  </r>
  <r>
    <n v="76451700000000"/>
    <x v="0"/>
    <x v="2"/>
    <x v="1"/>
    <s v="SANTA MARTHA"/>
    <d v="2016-05-05T00:00:00"/>
    <d v="2016-05-05T00:00:00"/>
    <x v="3"/>
    <x v="94"/>
    <x v="5"/>
    <n v="0"/>
    <x v="1"/>
    <n v="0"/>
    <n v="0"/>
    <n v="0"/>
    <x v="1"/>
    <x v="0"/>
    <n v="0"/>
  </r>
  <r>
    <n v="81884900000000"/>
    <x v="0"/>
    <x v="46"/>
    <x v="2"/>
    <s v="SANTO ANDRE"/>
    <d v="2016-05-05T00:00:00"/>
    <d v="2016-05-05T00:00:00"/>
    <x v="3"/>
    <x v="94"/>
    <x v="5"/>
    <n v="0"/>
    <x v="1"/>
    <n v="0"/>
    <n v="0"/>
    <n v="0"/>
    <x v="1"/>
    <x v="0"/>
    <n v="0"/>
  </r>
  <r>
    <n v="422634000000000"/>
    <x v="0"/>
    <x v="21"/>
    <x v="1"/>
    <s v="SANTO ANTONIO"/>
    <d v="2016-05-05T00:00:00"/>
    <d v="2016-05-06T00:00:00"/>
    <x v="0"/>
    <x v="93"/>
    <x v="4"/>
    <n v="0"/>
    <x v="1"/>
    <n v="0"/>
    <n v="0"/>
    <n v="0"/>
    <x v="1"/>
    <x v="0"/>
    <n v="0"/>
  </r>
  <r>
    <n v="65811600000000"/>
    <x v="0"/>
    <x v="16"/>
    <x v="1"/>
    <s v="JOANA D ARC"/>
    <d v="2016-05-05T00:00:00"/>
    <d v="2016-05-09T00:00:00"/>
    <x v="2"/>
    <x v="86"/>
    <x v="3"/>
    <n v="0"/>
    <x v="1"/>
    <n v="0"/>
    <n v="0"/>
    <n v="0"/>
    <x v="1"/>
    <x v="0"/>
    <n v="0"/>
  </r>
  <r>
    <n v="917618000000000"/>
    <x v="0"/>
    <x v="91"/>
    <x v="0"/>
    <s v="GURIGICA"/>
    <d v="2016-05-05T00:00:00"/>
    <d v="2016-06-02T00:00:00"/>
    <x v="3"/>
    <x v="64"/>
    <x v="1"/>
    <n v="0"/>
    <x v="0"/>
    <n v="0"/>
    <n v="0"/>
    <n v="0"/>
    <x v="0"/>
    <x v="0"/>
    <n v="0"/>
  </r>
  <r>
    <n v="58319700000000"/>
    <x v="1"/>
    <x v="31"/>
    <x v="1"/>
    <s v="ILHA DAS CAIEIRAS"/>
    <d v="2016-05-05T00:00:00"/>
    <d v="2016-05-05T00:00:00"/>
    <x v="3"/>
    <x v="94"/>
    <x v="5"/>
    <n v="0"/>
    <x v="1"/>
    <n v="0"/>
    <n v="0"/>
    <n v="0"/>
    <x v="1"/>
    <x v="0"/>
    <n v="0"/>
  </r>
  <r>
    <n v="94825000000000"/>
    <x v="1"/>
    <x v="55"/>
    <x v="2"/>
    <s v="SANTO ANDRE"/>
    <d v="2016-05-05T00:00:00"/>
    <d v="2016-05-05T00:00:00"/>
    <x v="3"/>
    <x v="94"/>
    <x v="5"/>
    <n v="0"/>
    <x v="1"/>
    <n v="0"/>
    <n v="0"/>
    <n v="0"/>
    <x v="1"/>
    <x v="0"/>
    <n v="0"/>
  </r>
  <r>
    <n v="116978000000000"/>
    <x v="0"/>
    <x v="22"/>
    <x v="4"/>
    <s v="SANTO ANTONIO"/>
    <d v="2016-05-05T00:00:00"/>
    <d v="2016-05-05T00:00:00"/>
    <x v="3"/>
    <x v="94"/>
    <x v="5"/>
    <n v="0"/>
    <x v="1"/>
    <n v="0"/>
    <n v="0"/>
    <n v="0"/>
    <x v="1"/>
    <x v="0"/>
    <n v="0"/>
  </r>
  <r>
    <n v="78613200000000"/>
    <x v="0"/>
    <x v="33"/>
    <x v="4"/>
    <s v="ROMAO"/>
    <d v="2016-05-05T00:00:00"/>
    <d v="2016-05-11T00:00:00"/>
    <x v="1"/>
    <x v="90"/>
    <x v="3"/>
    <n v="0"/>
    <x v="1"/>
    <n v="0"/>
    <n v="0"/>
    <n v="0"/>
    <x v="0"/>
    <x v="1"/>
    <n v="1"/>
  </r>
  <r>
    <n v="53983800000000"/>
    <x v="0"/>
    <x v="25"/>
    <x v="4"/>
    <s v="JABOUR"/>
    <d v="2016-05-05T00:00:00"/>
    <d v="2016-05-05T00:00:00"/>
    <x v="3"/>
    <x v="94"/>
    <x v="5"/>
    <n v="1"/>
    <x v="1"/>
    <n v="0"/>
    <n v="0"/>
    <n v="0"/>
    <x v="1"/>
    <x v="0"/>
    <n v="0"/>
  </r>
  <r>
    <n v="2561780000000"/>
    <x v="0"/>
    <x v="40"/>
    <x v="1"/>
    <s v="SAO BENEDITO"/>
    <d v="2016-05-05T00:00:00"/>
    <d v="2016-06-02T00:00:00"/>
    <x v="3"/>
    <x v="64"/>
    <x v="1"/>
    <n v="0"/>
    <x v="1"/>
    <n v="0"/>
    <n v="0"/>
    <n v="0"/>
    <x v="0"/>
    <x v="0"/>
    <n v="0"/>
  </r>
  <r>
    <n v="2983520000000"/>
    <x v="1"/>
    <x v="31"/>
    <x v="1"/>
    <s v="ILHA DAS CAIEIRAS"/>
    <d v="2016-05-05T00:00:00"/>
    <d v="2016-05-06T00:00:00"/>
    <x v="0"/>
    <x v="93"/>
    <x v="4"/>
    <n v="0"/>
    <x v="1"/>
    <n v="0"/>
    <n v="0"/>
    <n v="0"/>
    <x v="1"/>
    <x v="0"/>
    <n v="0"/>
  </r>
  <r>
    <n v="67827700000000"/>
    <x v="1"/>
    <x v="72"/>
    <x v="5"/>
    <s v="JOANA D ARC"/>
    <d v="2016-05-05T00:00:00"/>
    <d v="2016-05-05T00:00:00"/>
    <x v="3"/>
    <x v="94"/>
    <x v="5"/>
    <n v="0"/>
    <x v="1"/>
    <n v="0"/>
    <n v="0"/>
    <n v="0"/>
    <x v="1"/>
    <x v="0"/>
    <n v="0"/>
  </r>
  <r>
    <n v="9425740000000"/>
    <x v="1"/>
    <x v="59"/>
    <x v="2"/>
    <s v="BONFIM"/>
    <d v="2016-05-05T00:00:00"/>
    <d v="2016-05-05T00:00:00"/>
    <x v="3"/>
    <x v="94"/>
    <x v="5"/>
    <n v="0"/>
    <x v="1"/>
    <n v="0"/>
    <n v="0"/>
    <n v="0"/>
    <x v="1"/>
    <x v="0"/>
    <n v="0"/>
  </r>
  <r>
    <n v="89535600000000"/>
    <x v="0"/>
    <x v="81"/>
    <x v="5"/>
    <s v="JOANA D ARC"/>
    <d v="2016-05-05T00:00:00"/>
    <d v="2016-05-13T00:00:00"/>
    <x v="0"/>
    <x v="88"/>
    <x v="2"/>
    <n v="0"/>
    <x v="1"/>
    <n v="0"/>
    <n v="0"/>
    <n v="0"/>
    <x v="1"/>
    <x v="0"/>
    <n v="0"/>
  </r>
  <r>
    <n v="289685000000000"/>
    <x v="0"/>
    <x v="21"/>
    <x v="1"/>
    <s v="SAO BENEDITO"/>
    <d v="2016-05-05T00:00:00"/>
    <d v="2016-05-05T00:00:00"/>
    <x v="3"/>
    <x v="94"/>
    <x v="5"/>
    <n v="0"/>
    <x v="0"/>
    <n v="0"/>
    <n v="0"/>
    <n v="0"/>
    <x v="1"/>
    <x v="0"/>
    <n v="0"/>
  </r>
  <r>
    <n v="398894000000"/>
    <x v="1"/>
    <x v="24"/>
    <x v="1"/>
    <s v="MARIA ORTIZ"/>
    <d v="2016-05-05T00:00:00"/>
    <d v="2016-05-09T00:00:00"/>
    <x v="2"/>
    <x v="86"/>
    <x v="3"/>
    <n v="0"/>
    <x v="1"/>
    <n v="0"/>
    <n v="0"/>
    <n v="0"/>
    <x v="1"/>
    <x v="0"/>
    <n v="0"/>
  </r>
  <r>
    <n v="389244000000000"/>
    <x v="0"/>
    <x v="42"/>
    <x v="3"/>
    <s v="RESISTENCIA"/>
    <d v="2016-05-05T00:00:00"/>
    <d v="2016-05-05T00:00:00"/>
    <x v="3"/>
    <x v="94"/>
    <x v="5"/>
    <n v="1"/>
    <x v="0"/>
    <n v="0"/>
    <n v="0"/>
    <n v="0"/>
    <x v="1"/>
    <x v="0"/>
    <n v="0"/>
  </r>
  <r>
    <n v="1588140000000"/>
    <x v="1"/>
    <x v="79"/>
    <x v="5"/>
    <s v="SANTA MARTHA"/>
    <d v="2016-05-05T00:00:00"/>
    <d v="2016-05-05T00:00:00"/>
    <x v="3"/>
    <x v="94"/>
    <x v="5"/>
    <n v="0"/>
    <x v="1"/>
    <n v="0"/>
    <n v="0"/>
    <n v="0"/>
    <x v="1"/>
    <x v="0"/>
    <n v="0"/>
  </r>
  <r>
    <n v="823885000000000"/>
    <x v="0"/>
    <x v="84"/>
    <x v="1"/>
    <s v="CENTRO"/>
    <d v="2016-05-05T00:00:00"/>
    <d v="2016-05-10T00:00:00"/>
    <x v="4"/>
    <x v="92"/>
    <x v="3"/>
    <n v="0"/>
    <x v="1"/>
    <n v="0"/>
    <n v="0"/>
    <n v="0"/>
    <x v="0"/>
    <x v="1"/>
    <n v="1"/>
  </r>
  <r>
    <n v="34422500000000"/>
    <x v="1"/>
    <x v="28"/>
    <x v="3"/>
    <s v="ITARARE"/>
    <d v="2016-05-05T00:00:00"/>
    <d v="2016-05-09T00:00:00"/>
    <x v="2"/>
    <x v="86"/>
    <x v="3"/>
    <n v="0"/>
    <x v="0"/>
    <n v="0"/>
    <n v="0"/>
    <n v="0"/>
    <x v="1"/>
    <x v="0"/>
    <n v="0"/>
  </r>
  <r>
    <n v="95862400000000"/>
    <x v="0"/>
    <x v="29"/>
    <x v="3"/>
    <s v="SAO CRISTOVAO"/>
    <d v="2016-05-05T00:00:00"/>
    <d v="2016-05-09T00:00:00"/>
    <x v="2"/>
    <x v="86"/>
    <x v="3"/>
    <n v="0"/>
    <x v="0"/>
    <n v="1"/>
    <n v="0"/>
    <n v="0"/>
    <x v="1"/>
    <x v="0"/>
    <n v="0"/>
  </r>
  <r>
    <n v="515272000000000"/>
    <x v="1"/>
    <x v="49"/>
    <x v="4"/>
    <s v="TABUAZEIRO"/>
    <d v="2016-05-05T00:00:00"/>
    <d v="2016-05-05T00:00:00"/>
    <x v="3"/>
    <x v="94"/>
    <x v="5"/>
    <n v="0"/>
    <x v="1"/>
    <n v="0"/>
    <n v="0"/>
    <n v="0"/>
    <x v="1"/>
    <x v="0"/>
    <n v="0"/>
  </r>
  <r>
    <n v="9748120000000"/>
    <x v="0"/>
    <x v="45"/>
    <x v="1"/>
    <s v="SANTA LUCIA"/>
    <d v="2016-05-05T00:00:00"/>
    <d v="2016-05-09T00:00:00"/>
    <x v="2"/>
    <x v="86"/>
    <x v="3"/>
    <n v="0"/>
    <x v="0"/>
    <n v="0"/>
    <n v="0"/>
    <n v="0"/>
    <x v="1"/>
    <x v="0"/>
    <n v="0"/>
  </r>
  <r>
    <n v="6657570000000"/>
    <x v="1"/>
    <x v="16"/>
    <x v="1"/>
    <s v="ENSEADA DO SUA"/>
    <d v="2016-05-05T00:00:00"/>
    <d v="2016-05-09T00:00:00"/>
    <x v="2"/>
    <x v="86"/>
    <x v="3"/>
    <n v="0"/>
    <x v="1"/>
    <n v="0"/>
    <n v="0"/>
    <n v="0"/>
    <x v="1"/>
    <x v="0"/>
    <n v="0"/>
  </r>
  <r>
    <n v="72614000000000"/>
    <x v="1"/>
    <x v="81"/>
    <x v="5"/>
    <s v="JARDIM DA PENHA"/>
    <d v="2016-05-05T00:00:00"/>
    <d v="2016-05-05T00:00:00"/>
    <x v="3"/>
    <x v="94"/>
    <x v="5"/>
    <n v="0"/>
    <x v="1"/>
    <n v="0"/>
    <n v="0"/>
    <n v="0"/>
    <x v="1"/>
    <x v="0"/>
    <n v="0"/>
  </r>
  <r>
    <n v="27239500000000"/>
    <x v="0"/>
    <x v="74"/>
    <x v="1"/>
    <s v="SANTO ANDRE"/>
    <d v="2016-05-05T00:00:00"/>
    <d v="2016-05-09T00:00:00"/>
    <x v="2"/>
    <x v="86"/>
    <x v="3"/>
    <n v="0"/>
    <x v="1"/>
    <n v="0"/>
    <n v="0"/>
    <n v="0"/>
    <x v="1"/>
    <x v="0"/>
    <n v="0"/>
  </r>
  <r>
    <n v="5685570000000"/>
    <x v="0"/>
    <x v="87"/>
    <x v="1"/>
    <s v="NOVA PALESTINA"/>
    <d v="2016-05-05T00:00:00"/>
    <d v="2016-05-05T00:00:00"/>
    <x v="3"/>
    <x v="94"/>
    <x v="5"/>
    <n v="0"/>
    <x v="0"/>
    <n v="0"/>
    <n v="0"/>
    <n v="0"/>
    <x v="1"/>
    <x v="0"/>
    <n v="0"/>
  </r>
  <r>
    <n v="73873700000000"/>
    <x v="1"/>
    <x v="81"/>
    <x v="5"/>
    <s v="JARDIM CAMBURI"/>
    <d v="2016-05-05T00:00:00"/>
    <d v="2016-05-09T00:00:00"/>
    <x v="2"/>
    <x v="86"/>
    <x v="3"/>
    <n v="0"/>
    <x v="1"/>
    <n v="0"/>
    <n v="0"/>
    <n v="0"/>
    <x v="1"/>
    <x v="1"/>
    <n v="1"/>
  </r>
  <r>
    <n v="92273700000000"/>
    <x v="0"/>
    <x v="36"/>
    <x v="3"/>
    <s v="CARATOIRA"/>
    <d v="2016-05-05T00:00:00"/>
    <d v="2016-05-09T00:00:00"/>
    <x v="2"/>
    <x v="86"/>
    <x v="3"/>
    <n v="0"/>
    <x v="1"/>
    <n v="0"/>
    <n v="0"/>
    <n v="0"/>
    <x v="1"/>
    <x v="1"/>
    <n v="1"/>
  </r>
  <r>
    <n v="2277760000000"/>
    <x v="1"/>
    <x v="55"/>
    <x v="2"/>
    <s v="SANTA HELENA"/>
    <d v="2016-05-05T00:00:00"/>
    <d v="2016-05-17T00:00:00"/>
    <x v="4"/>
    <x v="84"/>
    <x v="2"/>
    <n v="1"/>
    <x v="1"/>
    <n v="0"/>
    <n v="0"/>
    <n v="0"/>
    <x v="1"/>
    <x v="1"/>
    <n v="1"/>
  </r>
  <r>
    <n v="17586700000000"/>
    <x v="0"/>
    <x v="40"/>
    <x v="1"/>
    <s v="SANTO ANTONIO"/>
    <d v="2016-05-05T00:00:00"/>
    <d v="2016-05-09T00:00:00"/>
    <x v="2"/>
    <x v="86"/>
    <x v="3"/>
    <n v="0"/>
    <x v="1"/>
    <n v="0"/>
    <n v="0"/>
    <n v="0"/>
    <x v="1"/>
    <x v="0"/>
    <n v="0"/>
  </r>
  <r>
    <n v="6321520000000"/>
    <x v="1"/>
    <x v="49"/>
    <x v="4"/>
    <s v="RESISTENCIA"/>
    <d v="2016-05-05T00:00:00"/>
    <d v="2016-05-11T00:00:00"/>
    <x v="1"/>
    <x v="90"/>
    <x v="3"/>
    <n v="0"/>
    <x v="1"/>
    <n v="0"/>
    <n v="0"/>
    <n v="0"/>
    <x v="0"/>
    <x v="0"/>
    <n v="0"/>
  </r>
  <r>
    <n v="7931130000000"/>
    <x v="0"/>
    <x v="73"/>
    <x v="4"/>
    <s v="DA PENHA"/>
    <d v="2016-05-05T00:00:00"/>
    <d v="2016-05-05T00:00:00"/>
    <x v="3"/>
    <x v="94"/>
    <x v="5"/>
    <n v="1"/>
    <x v="1"/>
    <n v="0"/>
    <n v="0"/>
    <n v="0"/>
    <x v="1"/>
    <x v="0"/>
    <n v="0"/>
  </r>
  <r>
    <n v="9873440000000"/>
    <x v="1"/>
    <x v="65"/>
    <x v="2"/>
    <s v="MARUIPE"/>
    <d v="2016-05-05T00:00:00"/>
    <d v="2016-05-05T00:00:00"/>
    <x v="3"/>
    <x v="94"/>
    <x v="5"/>
    <n v="0"/>
    <x v="1"/>
    <n v="0"/>
    <n v="0"/>
    <n v="0"/>
    <x v="1"/>
    <x v="0"/>
    <n v="0"/>
  </r>
  <r>
    <n v="63496100000000"/>
    <x v="0"/>
    <x v="5"/>
    <x v="1"/>
    <s v="SANTO ANTONIO"/>
    <d v="2016-05-05T00:00:00"/>
    <d v="2016-05-16T00:00:00"/>
    <x v="2"/>
    <x v="81"/>
    <x v="2"/>
    <n v="0"/>
    <x v="1"/>
    <n v="0"/>
    <n v="0"/>
    <n v="0"/>
    <x v="1"/>
    <x v="0"/>
    <n v="0"/>
  </r>
  <r>
    <n v="31995800000000"/>
    <x v="0"/>
    <x v="71"/>
    <x v="4"/>
    <s v="JESUS DE NAZARETH"/>
    <d v="2016-05-05T00:00:00"/>
    <d v="2016-05-05T00:00:00"/>
    <x v="3"/>
    <x v="94"/>
    <x v="5"/>
    <n v="1"/>
    <x v="0"/>
    <n v="0"/>
    <n v="0"/>
    <n v="0"/>
    <x v="1"/>
    <x v="0"/>
    <n v="0"/>
  </r>
  <r>
    <n v="4945210000000"/>
    <x v="1"/>
    <x v="60"/>
    <x v="2"/>
    <s v="SANTO ANDRE"/>
    <d v="2016-05-05T00:00:00"/>
    <d v="2016-06-07T00:00:00"/>
    <x v="4"/>
    <x v="62"/>
    <x v="0"/>
    <n v="0"/>
    <x v="1"/>
    <n v="0"/>
    <n v="0"/>
    <n v="0"/>
    <x v="0"/>
    <x v="0"/>
    <n v="0"/>
  </r>
  <r>
    <n v="55676600000000"/>
    <x v="1"/>
    <x v="4"/>
    <x v="2"/>
    <s v="GURIGICA"/>
    <d v="2016-05-05T00:00:00"/>
    <d v="2016-06-01T00:00:00"/>
    <x v="1"/>
    <x v="65"/>
    <x v="1"/>
    <n v="0"/>
    <x v="1"/>
    <n v="0"/>
    <n v="0"/>
    <n v="0"/>
    <x v="1"/>
    <x v="1"/>
    <n v="1"/>
  </r>
  <r>
    <n v="8168830000000"/>
    <x v="1"/>
    <x v="65"/>
    <x v="2"/>
    <s v="JESUS DE NAZARETH"/>
    <d v="2016-05-05T00:00:00"/>
    <d v="2016-05-05T00:00:00"/>
    <x v="3"/>
    <x v="94"/>
    <x v="5"/>
    <n v="0"/>
    <x v="1"/>
    <n v="0"/>
    <n v="0"/>
    <n v="0"/>
    <x v="1"/>
    <x v="0"/>
    <n v="0"/>
  </r>
  <r>
    <n v="358428000000000"/>
    <x v="0"/>
    <x v="77"/>
    <x v="4"/>
    <s v="SANTO ANTONIO"/>
    <d v="2016-05-05T00:00:00"/>
    <d v="2016-05-16T00:00:00"/>
    <x v="2"/>
    <x v="81"/>
    <x v="2"/>
    <n v="0"/>
    <x v="1"/>
    <n v="0"/>
    <n v="0"/>
    <n v="0"/>
    <x v="1"/>
    <x v="1"/>
    <n v="1"/>
  </r>
  <r>
    <n v="919700000000000"/>
    <x v="0"/>
    <x v="18"/>
    <x v="0"/>
    <s v="SANTOS DUMONT"/>
    <d v="2016-05-05T00:00:00"/>
    <d v="2016-05-24T00:00:00"/>
    <x v="4"/>
    <x v="77"/>
    <x v="1"/>
    <n v="1"/>
    <x v="0"/>
    <n v="0"/>
    <n v="0"/>
    <n v="0"/>
    <x v="0"/>
    <x v="0"/>
    <n v="0"/>
  </r>
  <r>
    <n v="51888900000000"/>
    <x v="0"/>
    <x v="44"/>
    <x v="4"/>
    <s v="MARIA ORTIZ"/>
    <d v="2016-05-05T00:00:00"/>
    <d v="2016-05-19T00:00:00"/>
    <x v="3"/>
    <x v="80"/>
    <x v="2"/>
    <n v="0"/>
    <x v="1"/>
    <n v="0"/>
    <n v="0"/>
    <n v="0"/>
    <x v="1"/>
    <x v="1"/>
    <n v="1"/>
  </r>
  <r>
    <n v="869892000000"/>
    <x v="0"/>
    <x v="22"/>
    <x v="4"/>
    <s v="BELA VISTA"/>
    <d v="2016-05-05T00:00:00"/>
    <d v="2016-05-05T00:00:00"/>
    <x v="3"/>
    <x v="94"/>
    <x v="5"/>
    <n v="0"/>
    <x v="1"/>
    <n v="0"/>
    <n v="0"/>
    <n v="0"/>
    <x v="1"/>
    <x v="0"/>
    <n v="0"/>
  </r>
  <r>
    <n v="8583720000000"/>
    <x v="1"/>
    <x v="19"/>
    <x v="2"/>
    <s v="JARDIM DA PENHA"/>
    <d v="2016-05-05T00:00:00"/>
    <d v="2016-05-05T00:00:00"/>
    <x v="3"/>
    <x v="94"/>
    <x v="5"/>
    <n v="0"/>
    <x v="1"/>
    <n v="0"/>
    <n v="0"/>
    <n v="0"/>
    <x v="1"/>
    <x v="0"/>
    <n v="0"/>
  </r>
  <r>
    <n v="385748000000"/>
    <x v="0"/>
    <x v="37"/>
    <x v="3"/>
    <s v="ITARARE"/>
    <d v="2016-05-05T00:00:00"/>
    <d v="2016-05-06T00:00:00"/>
    <x v="0"/>
    <x v="93"/>
    <x v="4"/>
    <n v="0"/>
    <x v="0"/>
    <n v="0"/>
    <n v="0"/>
    <n v="0"/>
    <x v="1"/>
    <x v="0"/>
    <n v="0"/>
  </r>
  <r>
    <n v="91485600000000"/>
    <x v="0"/>
    <x v="68"/>
    <x v="4"/>
    <s v="DA PENHA"/>
    <d v="2016-05-05T00:00:00"/>
    <d v="2016-05-05T00:00:00"/>
    <x v="3"/>
    <x v="94"/>
    <x v="5"/>
    <n v="0"/>
    <x v="1"/>
    <n v="0"/>
    <n v="0"/>
    <n v="0"/>
    <x v="1"/>
    <x v="0"/>
    <n v="0"/>
  </r>
  <r>
    <n v="87334200000000"/>
    <x v="0"/>
    <x v="83"/>
    <x v="0"/>
    <s v="JUCUTUQUARA"/>
    <d v="2016-05-05T00:00:00"/>
    <d v="2016-05-05T00:00:00"/>
    <x v="3"/>
    <x v="94"/>
    <x v="5"/>
    <n v="0"/>
    <x v="1"/>
    <n v="0"/>
    <n v="0"/>
    <n v="0"/>
    <x v="1"/>
    <x v="0"/>
    <n v="0"/>
  </r>
  <r>
    <n v="6528850000000"/>
    <x v="0"/>
    <x v="30"/>
    <x v="3"/>
    <s v="SANTO ANTONIO"/>
    <d v="2016-05-05T00:00:00"/>
    <d v="2016-05-05T00:00:00"/>
    <x v="3"/>
    <x v="94"/>
    <x v="5"/>
    <n v="0"/>
    <x v="0"/>
    <n v="0"/>
    <n v="0"/>
    <n v="0"/>
    <x v="1"/>
    <x v="0"/>
    <n v="0"/>
  </r>
  <r>
    <n v="25725500000000"/>
    <x v="0"/>
    <x v="14"/>
    <x v="3"/>
    <s v="JARDIM CAMBURI"/>
    <d v="2016-05-05T00:00:00"/>
    <d v="2016-05-10T00:00:00"/>
    <x v="4"/>
    <x v="92"/>
    <x v="3"/>
    <n v="0"/>
    <x v="1"/>
    <n v="0"/>
    <n v="0"/>
    <n v="0"/>
    <x v="0"/>
    <x v="0"/>
    <n v="0"/>
  </r>
  <r>
    <n v="4933180000000"/>
    <x v="0"/>
    <x v="4"/>
    <x v="2"/>
    <s v="DA PENHA"/>
    <d v="2016-05-05T00:00:00"/>
    <d v="2016-05-05T00:00:00"/>
    <x v="3"/>
    <x v="94"/>
    <x v="5"/>
    <n v="0"/>
    <x v="1"/>
    <n v="0"/>
    <n v="0"/>
    <n v="0"/>
    <x v="1"/>
    <x v="0"/>
    <n v="0"/>
  </r>
  <r>
    <n v="53529700000000"/>
    <x v="0"/>
    <x v="75"/>
    <x v="5"/>
    <s v="ANDORINHAS"/>
    <d v="2016-05-05T00:00:00"/>
    <d v="2016-05-05T00:00:00"/>
    <x v="3"/>
    <x v="94"/>
    <x v="5"/>
    <n v="0"/>
    <x v="1"/>
    <n v="0"/>
    <n v="0"/>
    <n v="0"/>
    <x v="1"/>
    <x v="0"/>
    <n v="0"/>
  </r>
  <r>
    <n v="53517700000000"/>
    <x v="0"/>
    <x v="69"/>
    <x v="4"/>
    <s v="SANTA MARTHA"/>
    <d v="2016-05-05T00:00:00"/>
    <d v="2016-05-25T00:00:00"/>
    <x v="1"/>
    <x v="76"/>
    <x v="1"/>
    <n v="1"/>
    <x v="1"/>
    <n v="0"/>
    <n v="0"/>
    <n v="0"/>
    <x v="0"/>
    <x v="0"/>
    <n v="0"/>
  </r>
  <r>
    <n v="527153000000000"/>
    <x v="1"/>
    <x v="69"/>
    <x v="4"/>
    <s v="GURIGICA"/>
    <d v="2016-05-05T00:00:00"/>
    <d v="2016-05-25T00:00:00"/>
    <x v="1"/>
    <x v="76"/>
    <x v="1"/>
    <n v="0"/>
    <x v="1"/>
    <n v="0"/>
    <n v="0"/>
    <n v="0"/>
    <x v="0"/>
    <x v="0"/>
    <n v="0"/>
  </r>
  <r>
    <n v="7354240000000"/>
    <x v="0"/>
    <x v="49"/>
    <x v="4"/>
    <s v="BELA VISTA"/>
    <d v="2016-05-05T00:00:00"/>
    <d v="2016-05-17T00:00:00"/>
    <x v="4"/>
    <x v="84"/>
    <x v="2"/>
    <n v="1"/>
    <x v="1"/>
    <n v="0"/>
    <n v="0"/>
    <n v="0"/>
    <x v="1"/>
    <x v="0"/>
    <n v="0"/>
  </r>
  <r>
    <n v="643582000000000"/>
    <x v="0"/>
    <x v="40"/>
    <x v="1"/>
    <s v="ROMAO"/>
    <d v="2016-05-05T00:00:00"/>
    <d v="2016-05-12T00:00:00"/>
    <x v="3"/>
    <x v="87"/>
    <x v="3"/>
    <n v="0"/>
    <x v="1"/>
    <n v="0"/>
    <n v="0"/>
    <n v="0"/>
    <x v="0"/>
    <x v="0"/>
    <n v="0"/>
  </r>
  <r>
    <n v="74131100000000"/>
    <x v="1"/>
    <x v="49"/>
    <x v="4"/>
    <s v="JOANA D ARC"/>
    <d v="2016-05-05T00:00:00"/>
    <d v="2016-05-11T00:00:00"/>
    <x v="1"/>
    <x v="90"/>
    <x v="3"/>
    <n v="0"/>
    <x v="1"/>
    <n v="0"/>
    <n v="0"/>
    <n v="0"/>
    <x v="0"/>
    <x v="0"/>
    <n v="0"/>
  </r>
  <r>
    <n v="78964500000000"/>
    <x v="0"/>
    <x v="46"/>
    <x v="2"/>
    <s v="SANTOS REIS"/>
    <d v="2016-05-05T00:00:00"/>
    <d v="2016-05-09T00:00:00"/>
    <x v="2"/>
    <x v="86"/>
    <x v="3"/>
    <n v="0"/>
    <x v="1"/>
    <n v="0"/>
    <n v="0"/>
    <n v="0"/>
    <x v="1"/>
    <x v="1"/>
    <n v="1"/>
  </r>
  <r>
    <n v="9549640000000"/>
    <x v="1"/>
    <x v="16"/>
    <x v="1"/>
    <s v="PARQUE MOSCOSO"/>
    <d v="2016-05-05T00:00:00"/>
    <d v="2016-05-05T00:00:00"/>
    <x v="3"/>
    <x v="94"/>
    <x v="5"/>
    <n v="0"/>
    <x v="1"/>
    <n v="0"/>
    <n v="0"/>
    <n v="0"/>
    <x v="1"/>
    <x v="0"/>
    <n v="0"/>
  </r>
  <r>
    <n v="2271580000000"/>
    <x v="1"/>
    <x v="30"/>
    <x v="3"/>
    <s v="ILHA DE SANTA MARIA"/>
    <d v="2016-05-05T00:00:00"/>
    <d v="2016-05-05T00:00:00"/>
    <x v="3"/>
    <x v="94"/>
    <x v="5"/>
    <n v="0"/>
    <x v="1"/>
    <n v="0"/>
    <n v="0"/>
    <n v="0"/>
    <x v="1"/>
    <x v="0"/>
    <n v="0"/>
  </r>
  <r>
    <n v="243475000000"/>
    <x v="1"/>
    <x v="46"/>
    <x v="2"/>
    <s v="GURIGICA"/>
    <d v="2016-05-05T00:00:00"/>
    <d v="2016-05-05T00:00:00"/>
    <x v="3"/>
    <x v="94"/>
    <x v="5"/>
    <n v="0"/>
    <x v="1"/>
    <n v="0"/>
    <n v="0"/>
    <n v="0"/>
    <x v="1"/>
    <x v="0"/>
    <n v="0"/>
  </r>
  <r>
    <n v="42151200000000"/>
    <x v="1"/>
    <x v="70"/>
    <x v="5"/>
    <s v="MARIA ORTIZ"/>
    <d v="2016-05-05T00:00:00"/>
    <d v="2016-06-06T00:00:00"/>
    <x v="2"/>
    <x v="54"/>
    <x v="0"/>
    <n v="0"/>
    <x v="1"/>
    <n v="0"/>
    <n v="0"/>
    <n v="0"/>
    <x v="0"/>
    <x v="0"/>
    <n v="0"/>
  </r>
  <r>
    <n v="37864500000000"/>
    <x v="1"/>
    <x v="46"/>
    <x v="2"/>
    <s v="REDENCAO"/>
    <d v="2016-05-05T00:00:00"/>
    <d v="2016-05-05T00:00:00"/>
    <x v="3"/>
    <x v="94"/>
    <x v="5"/>
    <n v="0"/>
    <x v="1"/>
    <n v="0"/>
    <n v="0"/>
    <n v="0"/>
    <x v="1"/>
    <x v="0"/>
    <n v="0"/>
  </r>
  <r>
    <n v="37778200000000"/>
    <x v="1"/>
    <x v="75"/>
    <x v="5"/>
    <s v="ROMAO"/>
    <d v="2016-05-05T00:00:00"/>
    <d v="2016-05-05T00:00:00"/>
    <x v="3"/>
    <x v="94"/>
    <x v="5"/>
    <n v="0"/>
    <x v="1"/>
    <n v="0"/>
    <n v="0"/>
    <n v="0"/>
    <x v="1"/>
    <x v="0"/>
    <n v="0"/>
  </r>
  <r>
    <n v="3425390000000"/>
    <x v="1"/>
    <x v="70"/>
    <x v="5"/>
    <s v="MARIA ORTIZ"/>
    <d v="2016-05-05T00:00:00"/>
    <d v="2016-05-05T00:00:00"/>
    <x v="3"/>
    <x v="94"/>
    <x v="5"/>
    <n v="0"/>
    <x v="1"/>
    <n v="0"/>
    <n v="0"/>
    <n v="0"/>
    <x v="1"/>
    <x v="0"/>
    <n v="0"/>
  </r>
  <r>
    <n v="927879000000"/>
    <x v="0"/>
    <x v="68"/>
    <x v="4"/>
    <s v="CRUZAMENTO"/>
    <d v="2016-05-05T00:00:00"/>
    <d v="2016-05-12T00:00:00"/>
    <x v="3"/>
    <x v="87"/>
    <x v="3"/>
    <n v="1"/>
    <x v="1"/>
    <n v="0"/>
    <n v="0"/>
    <n v="0"/>
    <x v="0"/>
    <x v="1"/>
    <n v="1"/>
  </r>
  <r>
    <n v="761713000000"/>
    <x v="0"/>
    <x v="37"/>
    <x v="3"/>
    <s v="JABOUR"/>
    <d v="2016-05-05T00:00:00"/>
    <d v="2016-05-12T00:00:00"/>
    <x v="3"/>
    <x v="87"/>
    <x v="3"/>
    <n v="0"/>
    <x v="1"/>
    <n v="0"/>
    <n v="0"/>
    <n v="0"/>
    <x v="0"/>
    <x v="1"/>
    <n v="1"/>
  </r>
  <r>
    <n v="4265690000000"/>
    <x v="0"/>
    <x v="10"/>
    <x v="4"/>
    <s v="SANTA MARTHA"/>
    <d v="2016-05-05T00:00:00"/>
    <d v="2016-05-20T00:00:00"/>
    <x v="0"/>
    <x v="79"/>
    <x v="1"/>
    <n v="0"/>
    <x v="1"/>
    <n v="0"/>
    <n v="1"/>
    <n v="0"/>
    <x v="1"/>
    <x v="0"/>
    <n v="0"/>
  </r>
  <r>
    <n v="69249300000000"/>
    <x v="0"/>
    <x v="48"/>
    <x v="3"/>
    <s v="FORTE SAO JOAO"/>
    <d v="2016-05-05T00:00:00"/>
    <d v="2016-05-05T00:00:00"/>
    <x v="3"/>
    <x v="94"/>
    <x v="5"/>
    <n v="0"/>
    <x v="1"/>
    <n v="0"/>
    <n v="0"/>
    <n v="0"/>
    <x v="1"/>
    <x v="0"/>
    <n v="0"/>
  </r>
  <r>
    <n v="4932120000000"/>
    <x v="1"/>
    <x v="62"/>
    <x v="3"/>
    <s v="SAO CRISTOVAO"/>
    <d v="2016-05-05T00:00:00"/>
    <d v="2016-05-05T00:00:00"/>
    <x v="3"/>
    <x v="94"/>
    <x v="5"/>
    <n v="0"/>
    <x v="1"/>
    <n v="0"/>
    <n v="0"/>
    <n v="0"/>
    <x v="1"/>
    <x v="0"/>
    <n v="0"/>
  </r>
  <r>
    <n v="8174120000000"/>
    <x v="0"/>
    <x v="30"/>
    <x v="3"/>
    <s v="JARDIM DA PENHA"/>
    <d v="2016-05-05T00:00:00"/>
    <d v="2016-05-30T00:00:00"/>
    <x v="2"/>
    <x v="70"/>
    <x v="1"/>
    <n v="0"/>
    <x v="1"/>
    <n v="0"/>
    <n v="0"/>
    <n v="0"/>
    <x v="0"/>
    <x v="0"/>
    <n v="0"/>
  </r>
  <r>
    <n v="521618000000000"/>
    <x v="1"/>
    <x v="46"/>
    <x v="2"/>
    <s v="ILHA DO PRINCIPE"/>
    <d v="2016-05-05T00:00:00"/>
    <d v="2016-05-05T00:00:00"/>
    <x v="3"/>
    <x v="94"/>
    <x v="5"/>
    <n v="0"/>
    <x v="1"/>
    <n v="0"/>
    <n v="0"/>
    <n v="0"/>
    <x v="1"/>
    <x v="0"/>
    <n v="0"/>
  </r>
  <r>
    <n v="64284900000000"/>
    <x v="0"/>
    <x v="62"/>
    <x v="3"/>
    <s v="BARRO VERMELHO"/>
    <d v="2016-05-05T00:00:00"/>
    <d v="2016-05-11T00:00:00"/>
    <x v="1"/>
    <x v="90"/>
    <x v="3"/>
    <n v="0"/>
    <x v="1"/>
    <n v="0"/>
    <n v="0"/>
    <n v="0"/>
    <x v="0"/>
    <x v="0"/>
    <n v="0"/>
  </r>
  <r>
    <n v="651832000000000"/>
    <x v="1"/>
    <x v="59"/>
    <x v="2"/>
    <s v="JESUS DE NAZARETH"/>
    <d v="2016-05-05T00:00:00"/>
    <d v="2016-05-13T00:00:00"/>
    <x v="0"/>
    <x v="88"/>
    <x v="2"/>
    <n v="0"/>
    <x v="1"/>
    <n v="0"/>
    <n v="0"/>
    <n v="0"/>
    <x v="1"/>
    <x v="0"/>
    <n v="0"/>
  </r>
  <r>
    <n v="9682960000000"/>
    <x v="1"/>
    <x v="31"/>
    <x v="1"/>
    <s v="NOVA PALESTINA"/>
    <d v="2016-05-05T00:00:00"/>
    <d v="2016-05-05T00:00:00"/>
    <x v="3"/>
    <x v="94"/>
    <x v="5"/>
    <n v="0"/>
    <x v="0"/>
    <n v="0"/>
    <n v="0"/>
    <n v="0"/>
    <x v="1"/>
    <x v="0"/>
    <n v="0"/>
  </r>
  <r>
    <n v="982186000000"/>
    <x v="0"/>
    <x v="3"/>
    <x v="0"/>
    <s v="MATA DA PRAIA"/>
    <d v="2016-05-05T00:00:00"/>
    <d v="2016-05-05T00:00:00"/>
    <x v="3"/>
    <x v="94"/>
    <x v="5"/>
    <n v="0"/>
    <x v="0"/>
    <n v="0"/>
    <n v="0"/>
    <n v="1"/>
    <x v="1"/>
    <x v="0"/>
    <n v="0"/>
  </r>
  <r>
    <n v="68921400000000"/>
    <x v="1"/>
    <x v="16"/>
    <x v="1"/>
    <s v="CRUZAMENTO"/>
    <d v="2016-05-05T00:00:00"/>
    <d v="2016-05-05T00:00:00"/>
    <x v="3"/>
    <x v="94"/>
    <x v="5"/>
    <n v="0"/>
    <x v="1"/>
    <n v="0"/>
    <n v="0"/>
    <n v="0"/>
    <x v="1"/>
    <x v="0"/>
    <n v="0"/>
  </r>
  <r>
    <n v="858282000000"/>
    <x v="0"/>
    <x v="5"/>
    <x v="1"/>
    <s v="INHANGUETA"/>
    <d v="2016-05-05T00:00:00"/>
    <d v="2016-05-19T00:00:00"/>
    <x v="3"/>
    <x v="80"/>
    <x v="2"/>
    <n v="1"/>
    <x v="0"/>
    <n v="0"/>
    <n v="1"/>
    <n v="0"/>
    <x v="1"/>
    <x v="0"/>
    <n v="0"/>
  </r>
  <r>
    <n v="933790000000000"/>
    <x v="0"/>
    <x v="71"/>
    <x v="4"/>
    <s v="RESISTENCIA"/>
    <d v="2016-05-05T00:00:00"/>
    <d v="2016-05-09T00:00:00"/>
    <x v="2"/>
    <x v="86"/>
    <x v="3"/>
    <n v="0"/>
    <x v="1"/>
    <n v="0"/>
    <n v="0"/>
    <n v="1"/>
    <x v="1"/>
    <x v="0"/>
    <n v="0"/>
  </r>
  <r>
    <n v="814920000000000"/>
    <x v="1"/>
    <x v="79"/>
    <x v="5"/>
    <s v="MARIA ORTIZ"/>
    <d v="2016-05-05T00:00:00"/>
    <d v="2016-05-05T00:00:00"/>
    <x v="3"/>
    <x v="94"/>
    <x v="5"/>
    <n v="0"/>
    <x v="1"/>
    <n v="0"/>
    <n v="0"/>
    <n v="0"/>
    <x v="1"/>
    <x v="0"/>
    <n v="0"/>
  </r>
  <r>
    <n v="484169000000000"/>
    <x v="0"/>
    <x v="45"/>
    <x v="1"/>
    <s v="CARATOIRA"/>
    <d v="2016-05-05T00:00:00"/>
    <d v="2016-05-18T00:00:00"/>
    <x v="1"/>
    <x v="82"/>
    <x v="2"/>
    <n v="0"/>
    <x v="1"/>
    <n v="0"/>
    <n v="0"/>
    <n v="0"/>
    <x v="1"/>
    <x v="0"/>
    <n v="0"/>
  </r>
  <r>
    <n v="494423000000"/>
    <x v="1"/>
    <x v="19"/>
    <x v="2"/>
    <s v="MARUIPE"/>
    <d v="2016-05-05T00:00:00"/>
    <d v="2016-05-31T00:00:00"/>
    <x v="4"/>
    <x v="68"/>
    <x v="1"/>
    <n v="0"/>
    <x v="1"/>
    <n v="0"/>
    <n v="0"/>
    <n v="0"/>
    <x v="0"/>
    <x v="1"/>
    <n v="1"/>
  </r>
  <r>
    <n v="3428310000000"/>
    <x v="0"/>
    <x v="25"/>
    <x v="4"/>
    <s v="BONFIM"/>
    <d v="2016-05-05T00:00:00"/>
    <d v="2016-05-18T00:00:00"/>
    <x v="1"/>
    <x v="82"/>
    <x v="2"/>
    <n v="1"/>
    <x v="1"/>
    <n v="0"/>
    <n v="0"/>
    <n v="0"/>
    <x v="1"/>
    <x v="1"/>
    <n v="1"/>
  </r>
  <r>
    <n v="25268700000000"/>
    <x v="0"/>
    <x v="65"/>
    <x v="2"/>
    <s v="MARIA ORTIZ"/>
    <d v="2016-05-05T00:00:00"/>
    <d v="2016-05-05T00:00:00"/>
    <x v="3"/>
    <x v="94"/>
    <x v="5"/>
    <n v="0"/>
    <x v="1"/>
    <n v="0"/>
    <n v="0"/>
    <n v="0"/>
    <x v="1"/>
    <x v="0"/>
    <n v="0"/>
  </r>
  <r>
    <n v="674794000000"/>
    <x v="0"/>
    <x v="72"/>
    <x v="5"/>
    <s v="INHANGUETA"/>
    <d v="2016-05-05T00:00:00"/>
    <d v="2016-05-13T00:00:00"/>
    <x v="0"/>
    <x v="88"/>
    <x v="2"/>
    <n v="0"/>
    <x v="1"/>
    <n v="0"/>
    <n v="0"/>
    <n v="0"/>
    <x v="1"/>
    <x v="0"/>
    <n v="0"/>
  </r>
  <r>
    <n v="46434500000000"/>
    <x v="1"/>
    <x v="43"/>
    <x v="2"/>
    <s v="INHANGUETA"/>
    <d v="2016-05-05T00:00:00"/>
    <d v="2016-05-30T00:00:00"/>
    <x v="2"/>
    <x v="70"/>
    <x v="1"/>
    <n v="0"/>
    <x v="1"/>
    <n v="0"/>
    <n v="0"/>
    <n v="0"/>
    <x v="0"/>
    <x v="0"/>
    <n v="0"/>
  </r>
  <r>
    <n v="256267000000000"/>
    <x v="0"/>
    <x v="80"/>
    <x v="2"/>
    <s v="BONFIM"/>
    <d v="2016-05-05T00:00:00"/>
    <d v="2016-05-11T00:00:00"/>
    <x v="1"/>
    <x v="90"/>
    <x v="3"/>
    <n v="0"/>
    <x v="1"/>
    <n v="0"/>
    <n v="0"/>
    <n v="0"/>
    <x v="0"/>
    <x v="0"/>
    <n v="0"/>
  </r>
  <r>
    <n v="596517000000"/>
    <x v="0"/>
    <x v="40"/>
    <x v="1"/>
    <s v="TABUAZEIRO"/>
    <d v="2016-05-05T00:00:00"/>
    <d v="2016-05-16T00:00:00"/>
    <x v="2"/>
    <x v="81"/>
    <x v="2"/>
    <n v="1"/>
    <x v="1"/>
    <n v="0"/>
    <n v="0"/>
    <n v="0"/>
    <x v="1"/>
    <x v="1"/>
    <n v="1"/>
  </r>
  <r>
    <n v="4735510000000"/>
    <x v="1"/>
    <x v="45"/>
    <x v="1"/>
    <s v="TABUAZEIRO"/>
    <d v="2016-05-05T00:00:00"/>
    <d v="2016-05-05T00:00:00"/>
    <x v="3"/>
    <x v="94"/>
    <x v="5"/>
    <n v="0"/>
    <x v="1"/>
    <n v="0"/>
    <n v="0"/>
    <n v="0"/>
    <x v="1"/>
    <x v="0"/>
    <n v="0"/>
  </r>
  <r>
    <n v="32839000000000"/>
    <x v="1"/>
    <x v="39"/>
    <x v="4"/>
    <s v="SANTA MARTHA"/>
    <d v="2016-05-05T00:00:00"/>
    <d v="2016-05-19T00:00:00"/>
    <x v="3"/>
    <x v="80"/>
    <x v="2"/>
    <n v="0"/>
    <x v="1"/>
    <n v="0"/>
    <n v="0"/>
    <n v="0"/>
    <x v="1"/>
    <x v="0"/>
    <n v="0"/>
  </r>
  <r>
    <n v="9164710000000"/>
    <x v="0"/>
    <x v="56"/>
    <x v="1"/>
    <s v="NOVA PALESTINA"/>
    <d v="2016-05-05T00:00:00"/>
    <d v="2016-05-05T00:00:00"/>
    <x v="3"/>
    <x v="94"/>
    <x v="5"/>
    <n v="0"/>
    <x v="1"/>
    <n v="0"/>
    <n v="0"/>
    <n v="0"/>
    <x v="1"/>
    <x v="0"/>
    <n v="0"/>
  </r>
  <r>
    <n v="932889000000"/>
    <x v="0"/>
    <x v="22"/>
    <x v="4"/>
    <s v="GURIGICA"/>
    <d v="2016-05-05T00:00:00"/>
    <d v="2016-05-09T00:00:00"/>
    <x v="2"/>
    <x v="86"/>
    <x v="3"/>
    <n v="0"/>
    <x v="1"/>
    <n v="0"/>
    <n v="0"/>
    <n v="0"/>
    <x v="1"/>
    <x v="1"/>
    <n v="1"/>
  </r>
  <r>
    <n v="379476000000000"/>
    <x v="1"/>
    <x v="6"/>
    <x v="0"/>
    <s v="TABUAZEIRO"/>
    <d v="2016-05-05T00:00:00"/>
    <d v="2016-05-05T00:00:00"/>
    <x v="3"/>
    <x v="94"/>
    <x v="5"/>
    <n v="0"/>
    <x v="0"/>
    <n v="1"/>
    <n v="0"/>
    <n v="0"/>
    <x v="1"/>
    <x v="0"/>
    <n v="0"/>
  </r>
  <r>
    <n v="864314000000"/>
    <x v="0"/>
    <x v="62"/>
    <x v="3"/>
    <s v="PRAIA DO CANTO"/>
    <d v="2016-05-05T00:00:00"/>
    <d v="2016-05-06T00:00:00"/>
    <x v="0"/>
    <x v="93"/>
    <x v="4"/>
    <n v="0"/>
    <x v="1"/>
    <n v="0"/>
    <n v="0"/>
    <n v="0"/>
    <x v="1"/>
    <x v="0"/>
    <n v="0"/>
  </r>
  <r>
    <n v="613372000000000"/>
    <x v="0"/>
    <x v="38"/>
    <x v="4"/>
    <s v="CRUZAMENTO"/>
    <d v="2016-05-05T00:00:00"/>
    <d v="2016-05-09T00:00:00"/>
    <x v="2"/>
    <x v="86"/>
    <x v="3"/>
    <n v="0"/>
    <x v="1"/>
    <n v="0"/>
    <n v="0"/>
    <n v="0"/>
    <x v="1"/>
    <x v="1"/>
    <n v="1"/>
  </r>
  <r>
    <n v="7226740000000"/>
    <x v="0"/>
    <x v="42"/>
    <x v="3"/>
    <s v="HORTO"/>
    <d v="2016-05-05T00:00:00"/>
    <d v="2016-05-09T00:00:00"/>
    <x v="2"/>
    <x v="86"/>
    <x v="3"/>
    <n v="0"/>
    <x v="1"/>
    <n v="0"/>
    <n v="0"/>
    <n v="0"/>
    <x v="1"/>
    <x v="1"/>
    <n v="1"/>
  </r>
  <r>
    <n v="2639470000000"/>
    <x v="0"/>
    <x v="26"/>
    <x v="0"/>
    <s v="MARUIPE"/>
    <d v="2016-05-05T00:00:00"/>
    <d v="2016-05-05T00:00:00"/>
    <x v="3"/>
    <x v="94"/>
    <x v="5"/>
    <n v="0"/>
    <x v="0"/>
    <n v="0"/>
    <n v="0"/>
    <n v="0"/>
    <x v="1"/>
    <x v="0"/>
    <n v="0"/>
  </r>
  <r>
    <n v="88472800000000"/>
    <x v="0"/>
    <x v="57"/>
    <x v="2"/>
    <s v="SANTA CLARA"/>
    <d v="2016-05-05T00:00:00"/>
    <d v="2016-05-18T00:00:00"/>
    <x v="1"/>
    <x v="82"/>
    <x v="2"/>
    <n v="0"/>
    <x v="1"/>
    <n v="0"/>
    <n v="0"/>
    <n v="0"/>
    <x v="1"/>
    <x v="1"/>
    <n v="1"/>
  </r>
  <r>
    <n v="32273200000000"/>
    <x v="1"/>
    <x v="31"/>
    <x v="1"/>
    <s v="DA PENHA"/>
    <d v="2016-05-05T00:00:00"/>
    <d v="2016-05-19T00:00:00"/>
    <x v="3"/>
    <x v="80"/>
    <x v="2"/>
    <n v="0"/>
    <x v="1"/>
    <n v="0"/>
    <n v="0"/>
    <n v="0"/>
    <x v="1"/>
    <x v="1"/>
    <n v="1"/>
  </r>
  <r>
    <n v="883321000000000"/>
    <x v="0"/>
    <x v="63"/>
    <x v="0"/>
    <s v="SANTOS DUMONT"/>
    <d v="2016-05-05T00:00:00"/>
    <d v="2016-05-05T00:00:00"/>
    <x v="3"/>
    <x v="94"/>
    <x v="5"/>
    <n v="0"/>
    <x v="0"/>
    <n v="1"/>
    <n v="0"/>
    <n v="0"/>
    <x v="1"/>
    <x v="0"/>
    <n v="0"/>
  </r>
  <r>
    <n v="422696000000000"/>
    <x v="1"/>
    <x v="57"/>
    <x v="2"/>
    <s v="SAO BENEDITO"/>
    <d v="2016-05-05T00:00:00"/>
    <d v="2016-05-30T00:00:00"/>
    <x v="2"/>
    <x v="70"/>
    <x v="1"/>
    <n v="1"/>
    <x v="1"/>
    <n v="0"/>
    <n v="0"/>
    <n v="0"/>
    <x v="0"/>
    <x v="1"/>
    <n v="1"/>
  </r>
  <r>
    <n v="22189700000000"/>
    <x v="0"/>
    <x v="5"/>
    <x v="1"/>
    <s v="JARDIM CAMBURI"/>
    <d v="2016-05-05T00:00:00"/>
    <d v="2016-05-09T00:00:00"/>
    <x v="2"/>
    <x v="86"/>
    <x v="3"/>
    <n v="0"/>
    <x v="1"/>
    <n v="0"/>
    <n v="0"/>
    <n v="0"/>
    <x v="1"/>
    <x v="1"/>
    <n v="1"/>
  </r>
  <r>
    <n v="765249000000000"/>
    <x v="0"/>
    <x v="52"/>
    <x v="2"/>
    <s v="FORTE SAO JOAO"/>
    <d v="2016-05-05T00:00:00"/>
    <d v="2016-05-06T00:00:00"/>
    <x v="0"/>
    <x v="93"/>
    <x v="4"/>
    <n v="0"/>
    <x v="1"/>
    <n v="0"/>
    <n v="0"/>
    <n v="0"/>
    <x v="1"/>
    <x v="0"/>
    <n v="0"/>
  </r>
  <r>
    <n v="2786180000000"/>
    <x v="0"/>
    <x v="50"/>
    <x v="1"/>
    <s v="SANTO ANTONIO"/>
    <d v="2016-05-05T00:00:00"/>
    <d v="2016-05-24T00:00:00"/>
    <x v="4"/>
    <x v="77"/>
    <x v="1"/>
    <n v="0"/>
    <x v="1"/>
    <n v="0"/>
    <n v="0"/>
    <n v="0"/>
    <x v="0"/>
    <x v="0"/>
    <n v="0"/>
  </r>
  <r>
    <n v="32219600000000"/>
    <x v="1"/>
    <x v="33"/>
    <x v="4"/>
    <s v="CRUZAMENTO"/>
    <d v="2016-05-05T00:00:00"/>
    <d v="2016-05-30T00:00:00"/>
    <x v="2"/>
    <x v="70"/>
    <x v="1"/>
    <n v="0"/>
    <x v="1"/>
    <n v="0"/>
    <n v="0"/>
    <n v="0"/>
    <x v="0"/>
    <x v="0"/>
    <n v="0"/>
  </r>
  <r>
    <n v="722559000000000"/>
    <x v="0"/>
    <x v="12"/>
    <x v="3"/>
    <s v="MONTE BELO"/>
    <d v="2016-05-05T00:00:00"/>
    <d v="2016-05-05T00:00:00"/>
    <x v="3"/>
    <x v="94"/>
    <x v="5"/>
    <n v="0"/>
    <x v="1"/>
    <n v="0"/>
    <n v="0"/>
    <n v="0"/>
    <x v="1"/>
    <x v="0"/>
    <n v="0"/>
  </r>
  <r>
    <n v="32944400000000"/>
    <x v="0"/>
    <x v="44"/>
    <x v="4"/>
    <s v="JESUS DE NAZARETH"/>
    <d v="2016-05-05T00:00:00"/>
    <d v="2016-05-10T00:00:00"/>
    <x v="4"/>
    <x v="92"/>
    <x v="3"/>
    <n v="0"/>
    <x v="1"/>
    <n v="0"/>
    <n v="0"/>
    <n v="0"/>
    <x v="0"/>
    <x v="1"/>
    <n v="1"/>
  </r>
  <r>
    <n v="14480000000000"/>
    <x v="1"/>
    <x v="40"/>
    <x v="1"/>
    <s v="BONFIM"/>
    <d v="2016-05-05T00:00:00"/>
    <d v="2016-05-05T00:00:00"/>
    <x v="3"/>
    <x v="94"/>
    <x v="5"/>
    <n v="0"/>
    <x v="0"/>
    <n v="0"/>
    <n v="0"/>
    <n v="0"/>
    <x v="1"/>
    <x v="0"/>
    <n v="0"/>
  </r>
  <r>
    <n v="95659200000000"/>
    <x v="0"/>
    <x v="27"/>
    <x v="3"/>
    <s v="ANDORINHAS"/>
    <d v="2016-05-05T00:00:00"/>
    <d v="2016-05-10T00:00:00"/>
    <x v="4"/>
    <x v="92"/>
    <x v="3"/>
    <n v="0"/>
    <x v="0"/>
    <n v="1"/>
    <n v="0"/>
    <n v="0"/>
    <x v="0"/>
    <x v="0"/>
    <n v="0"/>
  </r>
  <r>
    <n v="26413400000000"/>
    <x v="1"/>
    <x v="47"/>
    <x v="4"/>
    <s v="SAO PEDRO"/>
    <d v="2016-05-05T00:00:00"/>
    <d v="2016-05-19T00:00:00"/>
    <x v="3"/>
    <x v="80"/>
    <x v="2"/>
    <n v="0"/>
    <x v="1"/>
    <n v="0"/>
    <n v="0"/>
    <n v="0"/>
    <x v="1"/>
    <x v="1"/>
    <n v="1"/>
  </r>
  <r>
    <n v="654725000000000"/>
    <x v="0"/>
    <x v="0"/>
    <x v="0"/>
    <s v="JOANA D ARC"/>
    <d v="2016-05-05T00:00:00"/>
    <d v="2016-05-05T00:00:00"/>
    <x v="3"/>
    <x v="94"/>
    <x v="5"/>
    <n v="0"/>
    <x v="0"/>
    <n v="0"/>
    <n v="0"/>
    <n v="0"/>
    <x v="1"/>
    <x v="0"/>
    <n v="0"/>
  </r>
  <r>
    <n v="5619440000000"/>
    <x v="0"/>
    <x v="59"/>
    <x v="2"/>
    <s v="NOVA PALESTINA"/>
    <d v="2016-05-05T00:00:00"/>
    <d v="2016-05-05T00:00:00"/>
    <x v="3"/>
    <x v="94"/>
    <x v="5"/>
    <n v="0"/>
    <x v="1"/>
    <n v="0"/>
    <n v="0"/>
    <n v="0"/>
    <x v="1"/>
    <x v="0"/>
    <n v="0"/>
  </r>
  <r>
    <n v="43777800000000"/>
    <x v="0"/>
    <x v="39"/>
    <x v="4"/>
    <s v="JESUS DE NAZARETH"/>
    <d v="2016-05-05T00:00:00"/>
    <d v="2016-05-05T00:00:00"/>
    <x v="3"/>
    <x v="94"/>
    <x v="5"/>
    <n v="0"/>
    <x v="1"/>
    <n v="0"/>
    <n v="0"/>
    <n v="0"/>
    <x v="1"/>
    <x v="0"/>
    <n v="0"/>
  </r>
  <r>
    <n v="2576380000000"/>
    <x v="1"/>
    <x v="42"/>
    <x v="3"/>
    <s v="PRAIA DO CANTO"/>
    <d v="2016-05-05T00:00:00"/>
    <d v="2016-05-05T00:00:00"/>
    <x v="3"/>
    <x v="94"/>
    <x v="5"/>
    <n v="0"/>
    <x v="1"/>
    <n v="1"/>
    <n v="0"/>
    <n v="0"/>
    <x v="1"/>
    <x v="0"/>
    <n v="0"/>
  </r>
  <r>
    <n v="4447830000000"/>
    <x v="0"/>
    <x v="0"/>
    <x v="0"/>
    <s v="ANDORINHAS"/>
    <d v="2016-05-05T00:00:00"/>
    <d v="2016-05-09T00:00:00"/>
    <x v="2"/>
    <x v="86"/>
    <x v="3"/>
    <n v="0"/>
    <x v="0"/>
    <n v="0"/>
    <n v="0"/>
    <n v="0"/>
    <x v="1"/>
    <x v="0"/>
    <n v="0"/>
  </r>
  <r>
    <n v="75478617958"/>
    <x v="0"/>
    <x v="73"/>
    <x v="4"/>
    <s v="ILHA DO PRINCIPE"/>
    <d v="2016-05-05T00:00:00"/>
    <d v="2016-05-16T00:00:00"/>
    <x v="2"/>
    <x v="81"/>
    <x v="2"/>
    <n v="1"/>
    <x v="1"/>
    <n v="0"/>
    <n v="0"/>
    <n v="0"/>
    <x v="1"/>
    <x v="1"/>
    <n v="1"/>
  </r>
  <r>
    <n v="3866520000000"/>
    <x v="0"/>
    <x v="44"/>
    <x v="4"/>
    <s v="RESISTENCIA"/>
    <d v="2016-05-05T00:00:00"/>
    <d v="2016-05-12T00:00:00"/>
    <x v="3"/>
    <x v="87"/>
    <x v="3"/>
    <n v="0"/>
    <x v="1"/>
    <n v="0"/>
    <n v="0"/>
    <n v="0"/>
    <x v="1"/>
    <x v="1"/>
    <n v="1"/>
  </r>
  <r>
    <n v="52642300000000"/>
    <x v="0"/>
    <x v="0"/>
    <x v="0"/>
    <s v="ANDORINHAS"/>
    <d v="2016-05-05T00:00:00"/>
    <d v="2016-05-11T00:00:00"/>
    <x v="1"/>
    <x v="90"/>
    <x v="3"/>
    <n v="0"/>
    <x v="0"/>
    <n v="0"/>
    <n v="0"/>
    <n v="0"/>
    <x v="1"/>
    <x v="0"/>
    <n v="0"/>
  </r>
  <r>
    <n v="5918410000000"/>
    <x v="0"/>
    <x v="5"/>
    <x v="1"/>
    <s v="BENTO FERREIRA"/>
    <d v="2016-05-05T00:00:00"/>
    <d v="2016-05-20T00:00:00"/>
    <x v="0"/>
    <x v="79"/>
    <x v="1"/>
    <n v="0"/>
    <x v="1"/>
    <n v="0"/>
    <n v="0"/>
    <n v="0"/>
    <x v="1"/>
    <x v="0"/>
    <n v="0"/>
  </r>
  <r>
    <n v="844512000000"/>
    <x v="1"/>
    <x v="54"/>
    <x v="1"/>
    <s v="JABOUR"/>
    <d v="2016-05-05T00:00:00"/>
    <d v="2016-05-05T00:00:00"/>
    <x v="3"/>
    <x v="94"/>
    <x v="5"/>
    <n v="0"/>
    <x v="1"/>
    <n v="0"/>
    <n v="0"/>
    <n v="0"/>
    <x v="1"/>
    <x v="0"/>
    <n v="0"/>
  </r>
  <r>
    <n v="12286500000000"/>
    <x v="1"/>
    <x v="21"/>
    <x v="1"/>
    <s v="BOA VISTA"/>
    <d v="2016-05-05T00:00:00"/>
    <d v="2016-05-12T00:00:00"/>
    <x v="3"/>
    <x v="87"/>
    <x v="3"/>
    <n v="0"/>
    <x v="1"/>
    <n v="0"/>
    <n v="0"/>
    <n v="0"/>
    <x v="0"/>
    <x v="0"/>
    <n v="0"/>
  </r>
  <r>
    <n v="3176760000000"/>
    <x v="0"/>
    <x v="90"/>
    <x v="0"/>
    <s v="RESISTENCIA"/>
    <d v="2016-05-05T00:00:00"/>
    <d v="2016-05-09T00:00:00"/>
    <x v="2"/>
    <x v="86"/>
    <x v="3"/>
    <n v="0"/>
    <x v="0"/>
    <n v="0"/>
    <n v="0"/>
    <n v="0"/>
    <x v="1"/>
    <x v="0"/>
    <n v="0"/>
  </r>
  <r>
    <n v="678439000000"/>
    <x v="0"/>
    <x v="49"/>
    <x v="4"/>
    <s v="NOVA PALESTINA"/>
    <d v="2016-05-05T00:00:00"/>
    <d v="2016-05-06T00:00:00"/>
    <x v="0"/>
    <x v="93"/>
    <x v="4"/>
    <n v="0"/>
    <x v="1"/>
    <n v="0"/>
    <n v="0"/>
    <n v="0"/>
    <x v="1"/>
    <x v="0"/>
    <n v="0"/>
  </r>
  <r>
    <n v="232122000000"/>
    <x v="0"/>
    <x v="42"/>
    <x v="3"/>
    <s v="DA PENHA"/>
    <d v="2016-05-05T00:00:00"/>
    <d v="2016-05-09T00:00:00"/>
    <x v="2"/>
    <x v="86"/>
    <x v="3"/>
    <n v="0"/>
    <x v="1"/>
    <n v="0"/>
    <n v="0"/>
    <n v="0"/>
    <x v="1"/>
    <x v="1"/>
    <n v="1"/>
  </r>
  <r>
    <n v="353257000000000"/>
    <x v="0"/>
    <x v="36"/>
    <x v="3"/>
    <s v="MARIA ORTIZ"/>
    <d v="2016-05-05T00:00:00"/>
    <d v="2016-05-25T00:00:00"/>
    <x v="1"/>
    <x v="76"/>
    <x v="1"/>
    <n v="0"/>
    <x v="1"/>
    <n v="0"/>
    <n v="0"/>
    <n v="0"/>
    <x v="0"/>
    <x v="1"/>
    <n v="1"/>
  </r>
  <r>
    <n v="613372000000000"/>
    <x v="0"/>
    <x v="38"/>
    <x v="4"/>
    <s v="CRUZAMENTO"/>
    <d v="2016-05-05T00:00:00"/>
    <d v="2016-05-05T00:00:00"/>
    <x v="3"/>
    <x v="94"/>
    <x v="5"/>
    <n v="0"/>
    <x v="1"/>
    <n v="0"/>
    <n v="0"/>
    <n v="0"/>
    <x v="1"/>
    <x v="0"/>
    <n v="0"/>
  </r>
  <r>
    <n v="684813000000000"/>
    <x v="0"/>
    <x v="68"/>
    <x v="4"/>
    <s v="JARDIM DA PENHA"/>
    <d v="2016-05-05T00:00:00"/>
    <d v="2016-05-06T00:00:00"/>
    <x v="0"/>
    <x v="93"/>
    <x v="4"/>
    <n v="0"/>
    <x v="1"/>
    <n v="0"/>
    <n v="0"/>
    <n v="0"/>
    <x v="1"/>
    <x v="0"/>
    <n v="0"/>
  </r>
  <r>
    <n v="847476000000000"/>
    <x v="0"/>
    <x v="51"/>
    <x v="2"/>
    <s v="BELA VISTA"/>
    <d v="2016-05-05T00:00:00"/>
    <d v="2016-06-02T00:00:00"/>
    <x v="3"/>
    <x v="64"/>
    <x v="1"/>
    <n v="1"/>
    <x v="1"/>
    <n v="0"/>
    <n v="0"/>
    <n v="0"/>
    <x v="0"/>
    <x v="0"/>
    <n v="0"/>
  </r>
  <r>
    <n v="14918300000000"/>
    <x v="0"/>
    <x v="19"/>
    <x v="2"/>
    <s v="ANDORINHAS"/>
    <d v="2016-05-05T00:00:00"/>
    <d v="2016-05-05T00:00:00"/>
    <x v="3"/>
    <x v="94"/>
    <x v="5"/>
    <n v="0"/>
    <x v="1"/>
    <n v="0"/>
    <n v="0"/>
    <n v="1"/>
    <x v="1"/>
    <x v="0"/>
    <n v="0"/>
  </r>
  <r>
    <n v="581169000000"/>
    <x v="1"/>
    <x v="58"/>
    <x v="0"/>
    <s v="JARDIM CAMBURI"/>
    <d v="2016-05-05T00:00:00"/>
    <d v="2016-05-13T00:00:00"/>
    <x v="0"/>
    <x v="88"/>
    <x v="2"/>
    <n v="0"/>
    <x v="1"/>
    <n v="0"/>
    <n v="0"/>
    <n v="0"/>
    <x v="1"/>
    <x v="0"/>
    <n v="0"/>
  </r>
  <r>
    <n v="292694000000000"/>
    <x v="1"/>
    <x v="70"/>
    <x v="5"/>
    <s v="MARIA ORTIZ"/>
    <d v="2016-05-05T00:00:00"/>
    <d v="2016-05-05T00:00:00"/>
    <x v="3"/>
    <x v="94"/>
    <x v="5"/>
    <n v="0"/>
    <x v="1"/>
    <n v="0"/>
    <n v="0"/>
    <n v="0"/>
    <x v="1"/>
    <x v="0"/>
    <n v="0"/>
  </r>
  <r>
    <n v="8629680000000"/>
    <x v="0"/>
    <x v="4"/>
    <x v="2"/>
    <s v="SAO BENEDITO"/>
    <d v="2016-05-05T00:00:00"/>
    <d v="2016-05-05T00:00:00"/>
    <x v="3"/>
    <x v="94"/>
    <x v="5"/>
    <n v="0"/>
    <x v="1"/>
    <n v="0"/>
    <n v="0"/>
    <n v="0"/>
    <x v="1"/>
    <x v="0"/>
    <n v="0"/>
  </r>
  <r>
    <n v="66761500000000"/>
    <x v="1"/>
    <x v="67"/>
    <x v="4"/>
    <s v="ILHA DE SANTA MARIA"/>
    <d v="2016-05-05T00:00:00"/>
    <d v="2016-05-05T00:00:00"/>
    <x v="3"/>
    <x v="94"/>
    <x v="5"/>
    <n v="0"/>
    <x v="1"/>
    <n v="0"/>
    <n v="0"/>
    <n v="0"/>
    <x v="1"/>
    <x v="0"/>
    <n v="0"/>
  </r>
  <r>
    <n v="649644000000"/>
    <x v="0"/>
    <x v="41"/>
    <x v="4"/>
    <s v="SAO JOSE"/>
    <d v="2016-05-05T00:00:00"/>
    <d v="2016-05-30T00:00:00"/>
    <x v="2"/>
    <x v="70"/>
    <x v="1"/>
    <n v="0"/>
    <x v="1"/>
    <n v="0"/>
    <n v="0"/>
    <n v="0"/>
    <x v="0"/>
    <x v="0"/>
    <n v="0"/>
  </r>
  <r>
    <n v="339798000000000"/>
    <x v="0"/>
    <x v="32"/>
    <x v="4"/>
    <s v="SAO JOSE"/>
    <d v="2016-05-05T00:00:00"/>
    <d v="2016-06-01T00:00:00"/>
    <x v="1"/>
    <x v="65"/>
    <x v="1"/>
    <n v="0"/>
    <x v="1"/>
    <n v="0"/>
    <n v="0"/>
    <n v="0"/>
    <x v="0"/>
    <x v="0"/>
    <n v="0"/>
  </r>
  <r>
    <n v="67684600000000"/>
    <x v="0"/>
    <x v="73"/>
    <x v="4"/>
    <s v="NOVA PALESTINA"/>
    <d v="2016-05-05T00:00:00"/>
    <d v="2016-05-05T00:00:00"/>
    <x v="3"/>
    <x v="94"/>
    <x v="5"/>
    <n v="1"/>
    <x v="1"/>
    <n v="0"/>
    <n v="0"/>
    <n v="0"/>
    <x v="1"/>
    <x v="1"/>
    <n v="1"/>
  </r>
  <r>
    <n v="685300000000"/>
    <x v="0"/>
    <x v="19"/>
    <x v="2"/>
    <s v="ANDORINHAS"/>
    <d v="2016-05-05T00:00:00"/>
    <d v="2016-05-05T00:00:00"/>
    <x v="3"/>
    <x v="94"/>
    <x v="5"/>
    <n v="0"/>
    <x v="1"/>
    <n v="0"/>
    <n v="0"/>
    <n v="0"/>
    <x v="1"/>
    <x v="0"/>
    <n v="0"/>
  </r>
  <r>
    <n v="427724000000000"/>
    <x v="0"/>
    <x v="52"/>
    <x v="2"/>
    <s v="REPUBLICA"/>
    <d v="2016-05-05T00:00:00"/>
    <d v="2016-05-16T00:00:00"/>
    <x v="2"/>
    <x v="81"/>
    <x v="2"/>
    <n v="0"/>
    <x v="1"/>
    <n v="0"/>
    <n v="0"/>
    <n v="0"/>
    <x v="1"/>
    <x v="1"/>
    <n v="1"/>
  </r>
  <r>
    <n v="442852000000000"/>
    <x v="0"/>
    <x v="53"/>
    <x v="0"/>
    <s v="SANTA TEREZA"/>
    <d v="2016-05-05T00:00:00"/>
    <d v="2016-05-05T00:00:00"/>
    <x v="3"/>
    <x v="94"/>
    <x v="5"/>
    <n v="0"/>
    <x v="0"/>
    <n v="1"/>
    <n v="0"/>
    <n v="0"/>
    <x v="1"/>
    <x v="0"/>
    <n v="0"/>
  </r>
  <r>
    <n v="37736200000000"/>
    <x v="0"/>
    <x v="74"/>
    <x v="1"/>
    <s v="DO CABRAL"/>
    <d v="2016-05-05T00:00:00"/>
    <d v="2016-05-05T00:00:00"/>
    <x v="3"/>
    <x v="94"/>
    <x v="5"/>
    <n v="0"/>
    <x v="0"/>
    <n v="0"/>
    <n v="0"/>
    <n v="0"/>
    <x v="1"/>
    <x v="0"/>
    <n v="0"/>
  </r>
  <r>
    <n v="88513200000000"/>
    <x v="1"/>
    <x v="62"/>
    <x v="3"/>
    <s v="ENSEADA DO SUA"/>
    <d v="2016-05-05T00:00:00"/>
    <d v="2016-05-30T00:00:00"/>
    <x v="2"/>
    <x v="70"/>
    <x v="1"/>
    <n v="0"/>
    <x v="1"/>
    <n v="1"/>
    <n v="0"/>
    <n v="0"/>
    <x v="0"/>
    <x v="0"/>
    <n v="0"/>
  </r>
  <r>
    <n v="973517000000000"/>
    <x v="0"/>
    <x v="66"/>
    <x v="2"/>
    <s v="SANTO ANDRE"/>
    <d v="2016-05-05T00:00:00"/>
    <d v="2016-05-10T00:00:00"/>
    <x v="4"/>
    <x v="92"/>
    <x v="3"/>
    <n v="0"/>
    <x v="1"/>
    <n v="0"/>
    <n v="0"/>
    <n v="0"/>
    <x v="0"/>
    <x v="0"/>
    <n v="0"/>
  </r>
  <r>
    <n v="92273700000000"/>
    <x v="0"/>
    <x v="36"/>
    <x v="3"/>
    <s v="CARATOIRA"/>
    <d v="2016-05-05T00:00:00"/>
    <d v="2016-05-09T00:00:00"/>
    <x v="2"/>
    <x v="86"/>
    <x v="3"/>
    <n v="0"/>
    <x v="1"/>
    <n v="0"/>
    <n v="0"/>
    <n v="0"/>
    <x v="1"/>
    <x v="0"/>
    <n v="0"/>
  </r>
  <r>
    <n v="1397160000000"/>
    <x v="0"/>
    <x v="93"/>
    <x v="0"/>
    <s v="VILA RUBIM"/>
    <d v="2016-05-05T00:00:00"/>
    <d v="2016-05-05T00:00:00"/>
    <x v="3"/>
    <x v="94"/>
    <x v="5"/>
    <n v="0"/>
    <x v="0"/>
    <n v="0"/>
    <n v="0"/>
    <n v="0"/>
    <x v="1"/>
    <x v="0"/>
    <n v="0"/>
  </r>
  <r>
    <n v="885355000000"/>
    <x v="1"/>
    <x v="41"/>
    <x v="4"/>
    <s v="REDENCAO"/>
    <d v="2016-05-05T00:00:00"/>
    <d v="2016-05-11T00:00:00"/>
    <x v="1"/>
    <x v="90"/>
    <x v="3"/>
    <n v="0"/>
    <x v="0"/>
    <n v="0"/>
    <n v="0"/>
    <n v="0"/>
    <x v="0"/>
    <x v="0"/>
    <n v="0"/>
  </r>
  <r>
    <n v="795612000000"/>
    <x v="0"/>
    <x v="38"/>
    <x v="4"/>
    <s v="MARIA ORTIZ"/>
    <d v="2016-05-05T00:00:00"/>
    <d v="2016-05-24T00:00:00"/>
    <x v="4"/>
    <x v="77"/>
    <x v="1"/>
    <n v="0"/>
    <x v="1"/>
    <n v="0"/>
    <n v="0"/>
    <n v="0"/>
    <x v="0"/>
    <x v="0"/>
    <n v="0"/>
  </r>
  <r>
    <n v="71923200000000"/>
    <x v="1"/>
    <x v="28"/>
    <x v="3"/>
    <s v="CENTRO"/>
    <d v="2016-05-05T00:00:00"/>
    <d v="2016-05-09T00:00:00"/>
    <x v="2"/>
    <x v="86"/>
    <x v="3"/>
    <n v="0"/>
    <x v="0"/>
    <n v="1"/>
    <n v="0"/>
    <n v="0"/>
    <x v="1"/>
    <x v="0"/>
    <n v="0"/>
  </r>
  <r>
    <n v="9532770000000"/>
    <x v="0"/>
    <x v="15"/>
    <x v="3"/>
    <s v="SANTA MARTHA"/>
    <d v="2016-05-05T00:00:00"/>
    <d v="2016-05-09T00:00:00"/>
    <x v="2"/>
    <x v="86"/>
    <x v="3"/>
    <n v="0"/>
    <x v="1"/>
    <n v="0"/>
    <n v="0"/>
    <n v="0"/>
    <x v="1"/>
    <x v="0"/>
    <n v="0"/>
  </r>
  <r>
    <n v="149785000000000"/>
    <x v="0"/>
    <x v="36"/>
    <x v="3"/>
    <s v="MARIA ORTIZ"/>
    <d v="2016-05-05T00:00:00"/>
    <d v="2016-05-18T00:00:00"/>
    <x v="1"/>
    <x v="82"/>
    <x v="2"/>
    <n v="0"/>
    <x v="1"/>
    <n v="0"/>
    <n v="0"/>
    <n v="0"/>
    <x v="1"/>
    <x v="0"/>
    <n v="0"/>
  </r>
  <r>
    <n v="646338000000000"/>
    <x v="1"/>
    <x v="78"/>
    <x v="0"/>
    <s v="ANDORINHAS"/>
    <d v="2016-05-05T00:00:00"/>
    <d v="2016-05-19T00:00:00"/>
    <x v="3"/>
    <x v="80"/>
    <x v="2"/>
    <n v="0"/>
    <x v="1"/>
    <n v="0"/>
    <n v="0"/>
    <n v="0"/>
    <x v="1"/>
    <x v="0"/>
    <n v="0"/>
  </r>
  <r>
    <n v="791790000000"/>
    <x v="0"/>
    <x v="54"/>
    <x v="1"/>
    <s v="GURIGICA"/>
    <d v="2016-05-05T00:00:00"/>
    <d v="2016-05-12T00:00:00"/>
    <x v="3"/>
    <x v="87"/>
    <x v="3"/>
    <n v="0"/>
    <x v="1"/>
    <n v="0"/>
    <n v="0"/>
    <n v="0"/>
    <x v="0"/>
    <x v="0"/>
    <n v="0"/>
  </r>
  <r>
    <n v="45493900000000"/>
    <x v="0"/>
    <x v="16"/>
    <x v="1"/>
    <s v="TABUAZEIRO"/>
    <d v="2016-05-05T00:00:00"/>
    <d v="2016-05-05T00:00:00"/>
    <x v="3"/>
    <x v="94"/>
    <x v="5"/>
    <n v="0"/>
    <x v="1"/>
    <n v="0"/>
    <n v="0"/>
    <n v="0"/>
    <x v="1"/>
    <x v="0"/>
    <n v="0"/>
  </r>
  <r>
    <n v="16785200000000"/>
    <x v="0"/>
    <x v="78"/>
    <x v="0"/>
    <s v="JABOUR"/>
    <d v="2016-05-05T00:00:00"/>
    <d v="2016-06-02T00:00:00"/>
    <x v="3"/>
    <x v="64"/>
    <x v="1"/>
    <n v="0"/>
    <x v="1"/>
    <n v="0"/>
    <n v="0"/>
    <n v="0"/>
    <x v="0"/>
    <x v="0"/>
    <n v="0"/>
  </r>
  <r>
    <n v="64178200000000"/>
    <x v="1"/>
    <x v="59"/>
    <x v="2"/>
    <s v="SAO JOSE"/>
    <d v="2016-05-05T00:00:00"/>
    <d v="2016-05-13T00:00:00"/>
    <x v="0"/>
    <x v="88"/>
    <x v="2"/>
    <n v="0"/>
    <x v="1"/>
    <n v="0"/>
    <n v="0"/>
    <n v="0"/>
    <x v="1"/>
    <x v="0"/>
    <n v="0"/>
  </r>
  <r>
    <n v="4528570000000"/>
    <x v="1"/>
    <x v="7"/>
    <x v="3"/>
    <s v="RESISTENCIA"/>
    <d v="2016-05-05T00:00:00"/>
    <d v="2016-05-05T00:00:00"/>
    <x v="3"/>
    <x v="94"/>
    <x v="5"/>
    <n v="0"/>
    <x v="0"/>
    <n v="0"/>
    <n v="1"/>
    <n v="0"/>
    <x v="1"/>
    <x v="0"/>
    <n v="0"/>
  </r>
  <r>
    <n v="599514000000000"/>
    <x v="1"/>
    <x v="50"/>
    <x v="1"/>
    <s v="SAO PEDRO"/>
    <d v="2016-05-05T00:00:00"/>
    <d v="2016-05-10T00:00:00"/>
    <x v="4"/>
    <x v="92"/>
    <x v="3"/>
    <n v="0"/>
    <x v="1"/>
    <n v="0"/>
    <n v="1"/>
    <n v="1"/>
    <x v="0"/>
    <x v="0"/>
    <n v="0"/>
  </r>
  <r>
    <n v="59945600000000"/>
    <x v="0"/>
    <x v="36"/>
    <x v="3"/>
    <s v="REDENCAO"/>
    <d v="2016-05-05T00:00:00"/>
    <d v="2016-05-05T00:00:00"/>
    <x v="3"/>
    <x v="94"/>
    <x v="5"/>
    <n v="0"/>
    <x v="1"/>
    <n v="1"/>
    <n v="0"/>
    <n v="0"/>
    <x v="1"/>
    <x v="0"/>
    <n v="0"/>
  </r>
  <r>
    <n v="775974000000000"/>
    <x v="0"/>
    <x v="3"/>
    <x v="0"/>
    <s v="SAO PEDRO"/>
    <d v="2016-05-05T00:00:00"/>
    <d v="2016-05-10T00:00:00"/>
    <x v="4"/>
    <x v="92"/>
    <x v="3"/>
    <n v="0"/>
    <x v="0"/>
    <n v="0"/>
    <n v="0"/>
    <n v="0"/>
    <x v="0"/>
    <x v="0"/>
    <n v="0"/>
  </r>
  <r>
    <n v="6879600000000"/>
    <x v="0"/>
    <x v="45"/>
    <x v="1"/>
    <s v="SAO PEDRO"/>
    <d v="2016-05-05T00:00:00"/>
    <d v="2016-05-10T00:00:00"/>
    <x v="4"/>
    <x v="92"/>
    <x v="3"/>
    <n v="0"/>
    <x v="1"/>
    <n v="0"/>
    <n v="0"/>
    <n v="0"/>
    <x v="0"/>
    <x v="0"/>
    <n v="0"/>
  </r>
  <r>
    <n v="78846200000000"/>
    <x v="1"/>
    <x v="87"/>
    <x v="1"/>
    <s v="ANDORINHAS"/>
    <d v="2016-05-05T00:00:00"/>
    <d v="2016-05-12T00:00:00"/>
    <x v="3"/>
    <x v="87"/>
    <x v="3"/>
    <n v="0"/>
    <x v="1"/>
    <n v="0"/>
    <n v="0"/>
    <n v="0"/>
    <x v="0"/>
    <x v="0"/>
    <n v="0"/>
  </r>
  <r>
    <n v="552332000000000"/>
    <x v="1"/>
    <x v="54"/>
    <x v="1"/>
    <s v="NOVA PALESTINA"/>
    <d v="2016-05-05T00:00:00"/>
    <d v="2016-05-05T00:00:00"/>
    <x v="3"/>
    <x v="94"/>
    <x v="5"/>
    <n v="0"/>
    <x v="1"/>
    <n v="0"/>
    <n v="1"/>
    <n v="0"/>
    <x v="1"/>
    <x v="0"/>
    <n v="0"/>
  </r>
  <r>
    <n v="693143000000"/>
    <x v="0"/>
    <x v="46"/>
    <x v="2"/>
    <s v="SAO BENEDITO"/>
    <d v="2016-05-05T00:00:00"/>
    <d v="2016-05-12T00:00:00"/>
    <x v="3"/>
    <x v="87"/>
    <x v="3"/>
    <n v="0"/>
    <x v="1"/>
    <n v="0"/>
    <n v="0"/>
    <n v="0"/>
    <x v="1"/>
    <x v="1"/>
    <n v="1"/>
  </r>
  <r>
    <n v="8529170000000"/>
    <x v="1"/>
    <x v="33"/>
    <x v="4"/>
    <s v="JARDIM DA PENHA"/>
    <d v="2016-05-05T00:00:00"/>
    <d v="2016-05-05T00:00:00"/>
    <x v="3"/>
    <x v="94"/>
    <x v="5"/>
    <n v="0"/>
    <x v="1"/>
    <n v="0"/>
    <n v="0"/>
    <n v="0"/>
    <x v="1"/>
    <x v="0"/>
    <n v="0"/>
  </r>
  <r>
    <n v="5627430000000"/>
    <x v="1"/>
    <x v="84"/>
    <x v="1"/>
    <s v="MARIA ORTIZ"/>
    <d v="2016-05-05T00:00:00"/>
    <d v="2016-05-16T00:00:00"/>
    <x v="2"/>
    <x v="81"/>
    <x v="2"/>
    <n v="0"/>
    <x v="1"/>
    <n v="0"/>
    <n v="0"/>
    <n v="0"/>
    <x v="1"/>
    <x v="0"/>
    <n v="0"/>
  </r>
  <r>
    <n v="31763700000000"/>
    <x v="1"/>
    <x v="56"/>
    <x v="1"/>
    <s v="ROMAO"/>
    <d v="2016-05-05T00:00:00"/>
    <d v="2016-05-05T00:00:00"/>
    <x v="3"/>
    <x v="94"/>
    <x v="5"/>
    <n v="0"/>
    <x v="1"/>
    <n v="0"/>
    <n v="0"/>
    <n v="0"/>
    <x v="1"/>
    <x v="0"/>
    <n v="0"/>
  </r>
  <r>
    <n v="768729000000000"/>
    <x v="1"/>
    <x v="68"/>
    <x v="4"/>
    <s v="JABOUR"/>
    <d v="2016-05-05T00:00:00"/>
    <d v="2016-05-05T00:00:00"/>
    <x v="3"/>
    <x v="94"/>
    <x v="5"/>
    <n v="0"/>
    <x v="1"/>
    <n v="0"/>
    <n v="0"/>
    <n v="0"/>
    <x v="1"/>
    <x v="0"/>
    <n v="0"/>
  </r>
  <r>
    <n v="49111400000000"/>
    <x v="0"/>
    <x v="37"/>
    <x v="3"/>
    <s v="MARUIPE"/>
    <d v="2016-05-05T00:00:00"/>
    <d v="2016-05-20T00:00:00"/>
    <x v="0"/>
    <x v="79"/>
    <x v="1"/>
    <n v="0"/>
    <x v="0"/>
    <n v="0"/>
    <n v="0"/>
    <n v="0"/>
    <x v="1"/>
    <x v="0"/>
    <n v="0"/>
  </r>
  <r>
    <n v="347354000000"/>
    <x v="0"/>
    <x v="59"/>
    <x v="2"/>
    <s v="ANDORINHAS"/>
    <d v="2016-05-05T00:00:00"/>
    <d v="2016-05-09T00:00:00"/>
    <x v="2"/>
    <x v="86"/>
    <x v="3"/>
    <n v="0"/>
    <x v="1"/>
    <n v="0"/>
    <n v="0"/>
    <n v="0"/>
    <x v="1"/>
    <x v="0"/>
    <n v="0"/>
  </r>
  <r>
    <n v="94695800000000"/>
    <x v="0"/>
    <x v="17"/>
    <x v="4"/>
    <s v="ILHA DE SANTA MARIA"/>
    <d v="2016-05-05T00:00:00"/>
    <d v="2016-05-05T00:00:00"/>
    <x v="3"/>
    <x v="94"/>
    <x v="5"/>
    <n v="0"/>
    <x v="1"/>
    <n v="0"/>
    <n v="0"/>
    <n v="0"/>
    <x v="1"/>
    <x v="0"/>
    <n v="0"/>
  </r>
  <r>
    <n v="725788000000000"/>
    <x v="0"/>
    <x v="71"/>
    <x v="4"/>
    <s v="SANTO ANDRE"/>
    <d v="2016-05-05T00:00:00"/>
    <d v="2016-05-05T00:00:00"/>
    <x v="3"/>
    <x v="94"/>
    <x v="5"/>
    <n v="1"/>
    <x v="1"/>
    <n v="0"/>
    <n v="0"/>
    <n v="0"/>
    <x v="1"/>
    <x v="0"/>
    <n v="0"/>
  </r>
  <r>
    <n v="94928600000000"/>
    <x v="1"/>
    <x v="86"/>
    <x v="0"/>
    <s v="RESISTENCIA"/>
    <d v="2016-05-05T00:00:00"/>
    <d v="2016-05-06T00:00:00"/>
    <x v="0"/>
    <x v="93"/>
    <x v="4"/>
    <n v="0"/>
    <x v="0"/>
    <n v="0"/>
    <n v="0"/>
    <n v="1"/>
    <x v="1"/>
    <x v="0"/>
    <n v="0"/>
  </r>
  <r>
    <n v="162127000000"/>
    <x v="0"/>
    <x v="22"/>
    <x v="4"/>
    <s v="SANTO ANTONIO"/>
    <d v="2016-05-05T00:00:00"/>
    <d v="2016-05-05T00:00:00"/>
    <x v="3"/>
    <x v="94"/>
    <x v="5"/>
    <n v="1"/>
    <x v="1"/>
    <n v="0"/>
    <n v="0"/>
    <n v="0"/>
    <x v="1"/>
    <x v="0"/>
    <n v="0"/>
  </r>
  <r>
    <n v="67935800000000"/>
    <x v="0"/>
    <x v="12"/>
    <x v="3"/>
    <s v="CARATOIRA"/>
    <d v="2016-05-05T00:00:00"/>
    <d v="2016-05-06T00:00:00"/>
    <x v="0"/>
    <x v="93"/>
    <x v="4"/>
    <n v="0"/>
    <x v="0"/>
    <n v="0"/>
    <n v="0"/>
    <n v="0"/>
    <x v="1"/>
    <x v="0"/>
    <n v="0"/>
  </r>
  <r>
    <n v="59369184137"/>
    <x v="0"/>
    <x v="68"/>
    <x v="4"/>
    <s v="REDENCAO"/>
    <d v="2016-05-05T00:00:00"/>
    <d v="2016-05-05T00:00:00"/>
    <x v="3"/>
    <x v="94"/>
    <x v="5"/>
    <n v="0"/>
    <x v="1"/>
    <n v="0"/>
    <n v="0"/>
    <n v="0"/>
    <x v="1"/>
    <x v="0"/>
    <n v="0"/>
  </r>
  <r>
    <n v="8621670000000"/>
    <x v="1"/>
    <x v="49"/>
    <x v="4"/>
    <s v="CARATOIRA"/>
    <d v="2016-05-05T00:00:00"/>
    <d v="2016-05-09T00:00:00"/>
    <x v="2"/>
    <x v="86"/>
    <x v="3"/>
    <n v="0"/>
    <x v="1"/>
    <n v="0"/>
    <n v="1"/>
    <n v="0"/>
    <x v="1"/>
    <x v="1"/>
    <n v="1"/>
  </r>
  <r>
    <n v="74981200000000"/>
    <x v="0"/>
    <x v="6"/>
    <x v="0"/>
    <s v="SANTA LUCIA"/>
    <d v="2016-05-05T00:00:00"/>
    <d v="2016-05-05T00:00:00"/>
    <x v="3"/>
    <x v="94"/>
    <x v="5"/>
    <n v="0"/>
    <x v="1"/>
    <n v="0"/>
    <n v="0"/>
    <n v="0"/>
    <x v="1"/>
    <x v="1"/>
    <n v="1"/>
  </r>
  <r>
    <n v="598426000000000"/>
    <x v="1"/>
    <x v="43"/>
    <x v="2"/>
    <s v="JARDIM DA PENHA"/>
    <d v="2016-05-05T00:00:00"/>
    <d v="2016-05-05T00:00:00"/>
    <x v="3"/>
    <x v="94"/>
    <x v="5"/>
    <n v="0"/>
    <x v="1"/>
    <n v="0"/>
    <n v="0"/>
    <n v="0"/>
    <x v="1"/>
    <x v="0"/>
    <n v="0"/>
  </r>
  <r>
    <n v="81726700000000"/>
    <x v="0"/>
    <x v="59"/>
    <x v="2"/>
    <s v="TABUAZEIRO"/>
    <d v="2016-05-05T00:00:00"/>
    <d v="2016-05-19T00:00:00"/>
    <x v="3"/>
    <x v="80"/>
    <x v="2"/>
    <n v="0"/>
    <x v="1"/>
    <n v="0"/>
    <n v="0"/>
    <n v="0"/>
    <x v="1"/>
    <x v="0"/>
    <n v="0"/>
  </r>
  <r>
    <n v="613372000000000"/>
    <x v="0"/>
    <x v="38"/>
    <x v="4"/>
    <s v="CRUZAMENTO"/>
    <d v="2016-05-05T00:00:00"/>
    <d v="2016-05-17T00:00:00"/>
    <x v="4"/>
    <x v="84"/>
    <x v="2"/>
    <n v="0"/>
    <x v="1"/>
    <n v="0"/>
    <n v="0"/>
    <n v="0"/>
    <x v="1"/>
    <x v="1"/>
    <n v="1"/>
  </r>
  <r>
    <n v="2939550000000"/>
    <x v="1"/>
    <x v="32"/>
    <x v="4"/>
    <s v="JESUS DE NAZARETH"/>
    <d v="2016-05-05T00:00:00"/>
    <d v="2016-05-09T00:00:00"/>
    <x v="2"/>
    <x v="86"/>
    <x v="3"/>
    <n v="0"/>
    <x v="1"/>
    <n v="0"/>
    <n v="0"/>
    <n v="0"/>
    <x v="1"/>
    <x v="1"/>
    <n v="1"/>
  </r>
  <r>
    <n v="129972000000"/>
    <x v="0"/>
    <x v="92"/>
    <x v="0"/>
    <s v="BELA VISTA"/>
    <d v="2016-05-05T00:00:00"/>
    <d v="2016-05-05T00:00:00"/>
    <x v="3"/>
    <x v="94"/>
    <x v="5"/>
    <n v="0"/>
    <x v="0"/>
    <n v="1"/>
    <n v="0"/>
    <n v="0"/>
    <x v="1"/>
    <x v="0"/>
    <n v="0"/>
  </r>
  <r>
    <n v="32888000000000"/>
    <x v="1"/>
    <x v="50"/>
    <x v="1"/>
    <s v="REDENCAO"/>
    <d v="2016-05-05T00:00:00"/>
    <d v="2016-05-11T00:00:00"/>
    <x v="1"/>
    <x v="90"/>
    <x v="3"/>
    <n v="0"/>
    <x v="1"/>
    <n v="0"/>
    <n v="0"/>
    <n v="0"/>
    <x v="0"/>
    <x v="0"/>
    <n v="0"/>
  </r>
  <r>
    <n v="1416780000000"/>
    <x v="0"/>
    <x v="40"/>
    <x v="1"/>
    <s v="INHANGUETA"/>
    <d v="2016-05-05T00:00:00"/>
    <d v="2016-05-10T00:00:00"/>
    <x v="4"/>
    <x v="92"/>
    <x v="3"/>
    <n v="0"/>
    <x v="1"/>
    <n v="0"/>
    <n v="0"/>
    <n v="0"/>
    <x v="0"/>
    <x v="0"/>
    <n v="0"/>
  </r>
  <r>
    <n v="99599400000000"/>
    <x v="0"/>
    <x v="77"/>
    <x v="4"/>
    <s v="SANTOS DUMONT"/>
    <d v="2016-05-05T00:00:00"/>
    <d v="2016-05-06T00:00:00"/>
    <x v="0"/>
    <x v="93"/>
    <x v="4"/>
    <n v="1"/>
    <x v="1"/>
    <n v="0"/>
    <n v="0"/>
    <n v="0"/>
    <x v="1"/>
    <x v="0"/>
    <n v="0"/>
  </r>
  <r>
    <n v="953780000000000"/>
    <x v="0"/>
    <x v="87"/>
    <x v="1"/>
    <s v="MARIA ORTIZ"/>
    <d v="2016-05-05T00:00:00"/>
    <d v="2016-05-05T00:00:00"/>
    <x v="3"/>
    <x v="94"/>
    <x v="5"/>
    <n v="0"/>
    <x v="1"/>
    <n v="0"/>
    <n v="0"/>
    <n v="0"/>
    <x v="1"/>
    <x v="0"/>
    <n v="0"/>
  </r>
  <r>
    <n v="54281500000000"/>
    <x v="0"/>
    <x v="40"/>
    <x v="1"/>
    <s v="DO QUADRO"/>
    <d v="2016-05-05T00:00:00"/>
    <d v="2016-05-09T00:00:00"/>
    <x v="2"/>
    <x v="86"/>
    <x v="3"/>
    <n v="1"/>
    <x v="1"/>
    <n v="0"/>
    <n v="0"/>
    <n v="0"/>
    <x v="1"/>
    <x v="0"/>
    <n v="0"/>
  </r>
  <r>
    <n v="57234400000000"/>
    <x v="0"/>
    <x v="70"/>
    <x v="5"/>
    <s v="DO QUADRO"/>
    <d v="2016-05-05T00:00:00"/>
    <d v="2016-05-05T00:00:00"/>
    <x v="3"/>
    <x v="94"/>
    <x v="5"/>
    <n v="0"/>
    <x v="1"/>
    <n v="0"/>
    <n v="0"/>
    <n v="0"/>
    <x v="1"/>
    <x v="0"/>
    <n v="0"/>
  </r>
  <r>
    <n v="52296400000000"/>
    <x v="1"/>
    <x v="74"/>
    <x v="1"/>
    <s v="INHANGUETA"/>
    <d v="2016-05-05T00:00:00"/>
    <d v="2016-05-12T00:00:00"/>
    <x v="3"/>
    <x v="87"/>
    <x v="3"/>
    <n v="0"/>
    <x v="0"/>
    <n v="0"/>
    <n v="0"/>
    <n v="0"/>
    <x v="0"/>
    <x v="1"/>
    <n v="1"/>
  </r>
  <r>
    <n v="299174000000000"/>
    <x v="1"/>
    <x v="66"/>
    <x v="2"/>
    <s v="JARDIM CAMBURI"/>
    <d v="2016-05-05T00:00:00"/>
    <d v="2016-05-06T00:00:00"/>
    <x v="0"/>
    <x v="93"/>
    <x v="4"/>
    <n v="0"/>
    <x v="1"/>
    <n v="0"/>
    <n v="0"/>
    <n v="0"/>
    <x v="1"/>
    <x v="0"/>
    <n v="0"/>
  </r>
  <r>
    <n v="679777000000000"/>
    <x v="1"/>
    <x v="73"/>
    <x v="4"/>
    <s v="MARIA ORTIZ"/>
    <d v="2016-05-05T00:00:00"/>
    <d v="2016-05-05T00:00:00"/>
    <x v="3"/>
    <x v="94"/>
    <x v="5"/>
    <n v="0"/>
    <x v="1"/>
    <n v="0"/>
    <n v="0"/>
    <n v="0"/>
    <x v="1"/>
    <x v="1"/>
    <n v="1"/>
  </r>
  <r>
    <n v="832785000000000"/>
    <x v="1"/>
    <x v="4"/>
    <x v="2"/>
    <s v="SANTA LUIZA"/>
    <d v="2016-05-05T00:00:00"/>
    <d v="2016-05-05T00:00:00"/>
    <x v="3"/>
    <x v="94"/>
    <x v="5"/>
    <n v="0"/>
    <x v="1"/>
    <n v="0"/>
    <n v="0"/>
    <n v="0"/>
    <x v="1"/>
    <x v="0"/>
    <n v="0"/>
  </r>
  <r>
    <n v="328718000000000"/>
    <x v="1"/>
    <x v="88"/>
    <x v="0"/>
    <s v="CENTRO"/>
    <d v="2016-05-05T00:00:00"/>
    <d v="2016-05-09T00:00:00"/>
    <x v="2"/>
    <x v="86"/>
    <x v="3"/>
    <n v="0"/>
    <x v="1"/>
    <n v="0"/>
    <n v="0"/>
    <n v="0"/>
    <x v="1"/>
    <x v="0"/>
    <n v="0"/>
  </r>
  <r>
    <n v="21267515595"/>
    <x v="1"/>
    <x v="36"/>
    <x v="3"/>
    <s v="CONSOLACAO"/>
    <d v="2016-05-05T00:00:00"/>
    <d v="2016-05-06T00:00:00"/>
    <x v="0"/>
    <x v="93"/>
    <x v="4"/>
    <n v="0"/>
    <x v="0"/>
    <n v="1"/>
    <n v="0"/>
    <n v="0"/>
    <x v="1"/>
    <x v="0"/>
    <n v="0"/>
  </r>
  <r>
    <n v="27379100000000"/>
    <x v="1"/>
    <x v="59"/>
    <x v="2"/>
    <s v="ANDORINHAS"/>
    <d v="2016-05-05T00:00:00"/>
    <d v="2016-05-05T00:00:00"/>
    <x v="3"/>
    <x v="94"/>
    <x v="5"/>
    <n v="0"/>
    <x v="1"/>
    <n v="0"/>
    <n v="0"/>
    <n v="0"/>
    <x v="1"/>
    <x v="0"/>
    <n v="0"/>
  </r>
  <r>
    <n v="412419000000000"/>
    <x v="0"/>
    <x v="77"/>
    <x v="4"/>
    <s v="NAZARETH"/>
    <d v="2016-05-05T00:00:00"/>
    <d v="2016-05-05T00:00:00"/>
    <x v="3"/>
    <x v="94"/>
    <x v="5"/>
    <n v="0"/>
    <x v="1"/>
    <n v="0"/>
    <n v="0"/>
    <n v="0"/>
    <x v="1"/>
    <x v="0"/>
    <n v="0"/>
  </r>
  <r>
    <n v="6181140000000"/>
    <x v="0"/>
    <x v="2"/>
    <x v="1"/>
    <s v="SANTOS DUMONT"/>
    <d v="2016-05-05T00:00:00"/>
    <d v="2016-05-11T00:00:00"/>
    <x v="1"/>
    <x v="90"/>
    <x v="3"/>
    <n v="0"/>
    <x v="0"/>
    <n v="1"/>
    <n v="0"/>
    <n v="0"/>
    <x v="0"/>
    <x v="0"/>
    <n v="0"/>
  </r>
  <r>
    <n v="869173000000000"/>
    <x v="0"/>
    <x v="81"/>
    <x v="5"/>
    <s v="NOVA PALESTINA"/>
    <d v="2016-05-05T00:00:00"/>
    <d v="2016-05-09T00:00:00"/>
    <x v="2"/>
    <x v="86"/>
    <x v="3"/>
    <n v="0"/>
    <x v="1"/>
    <n v="0"/>
    <n v="0"/>
    <n v="0"/>
    <x v="1"/>
    <x v="0"/>
    <n v="0"/>
  </r>
  <r>
    <n v="235128000000"/>
    <x v="0"/>
    <x v="28"/>
    <x v="3"/>
    <s v="JARDIM DA PENHA"/>
    <d v="2016-05-05T00:00:00"/>
    <d v="2016-05-06T00:00:00"/>
    <x v="0"/>
    <x v="93"/>
    <x v="4"/>
    <n v="0"/>
    <x v="0"/>
    <n v="0"/>
    <n v="0"/>
    <n v="0"/>
    <x v="1"/>
    <x v="0"/>
    <n v="0"/>
  </r>
  <r>
    <n v="75461600000000"/>
    <x v="0"/>
    <x v="46"/>
    <x v="2"/>
    <s v="SOLON BORGES"/>
    <d v="2016-05-05T00:00:00"/>
    <d v="2016-06-07T00:00:00"/>
    <x v="4"/>
    <x v="62"/>
    <x v="0"/>
    <n v="0"/>
    <x v="1"/>
    <n v="0"/>
    <n v="0"/>
    <n v="0"/>
    <x v="0"/>
    <x v="0"/>
    <n v="0"/>
  </r>
  <r>
    <n v="55572100000000"/>
    <x v="1"/>
    <x v="14"/>
    <x v="3"/>
    <s v="FORTE SAO JOAO"/>
    <d v="2016-05-05T00:00:00"/>
    <d v="2016-05-17T00:00:00"/>
    <x v="4"/>
    <x v="84"/>
    <x v="2"/>
    <n v="0"/>
    <x v="0"/>
    <n v="1"/>
    <n v="0"/>
    <n v="0"/>
    <x v="1"/>
    <x v="0"/>
    <n v="0"/>
  </r>
  <r>
    <n v="118919000000000"/>
    <x v="0"/>
    <x v="78"/>
    <x v="0"/>
    <s v="DA PENHA"/>
    <d v="2016-05-05T00:00:00"/>
    <d v="2016-05-05T00:00:00"/>
    <x v="3"/>
    <x v="94"/>
    <x v="5"/>
    <n v="0"/>
    <x v="0"/>
    <n v="0"/>
    <n v="0"/>
    <n v="0"/>
    <x v="1"/>
    <x v="0"/>
    <n v="0"/>
  </r>
  <r>
    <n v="493426000000000"/>
    <x v="0"/>
    <x v="16"/>
    <x v="1"/>
    <s v="DO QUADRO"/>
    <d v="2016-05-05T00:00:00"/>
    <d v="2016-05-18T00:00:00"/>
    <x v="1"/>
    <x v="82"/>
    <x v="2"/>
    <n v="0"/>
    <x v="1"/>
    <n v="0"/>
    <n v="0"/>
    <n v="0"/>
    <x v="1"/>
    <x v="0"/>
    <n v="0"/>
  </r>
  <r>
    <n v="892695000000000"/>
    <x v="1"/>
    <x v="84"/>
    <x v="1"/>
    <s v="MARIA ORTIZ"/>
    <d v="2016-05-05T00:00:00"/>
    <d v="2016-05-05T00:00:00"/>
    <x v="3"/>
    <x v="94"/>
    <x v="5"/>
    <n v="0"/>
    <x v="1"/>
    <n v="0"/>
    <n v="0"/>
    <n v="0"/>
    <x v="1"/>
    <x v="0"/>
    <n v="0"/>
  </r>
  <r>
    <n v="76363200000000"/>
    <x v="0"/>
    <x v="33"/>
    <x v="4"/>
    <s v="MARIA ORTIZ"/>
    <d v="2016-05-05T00:00:00"/>
    <d v="2016-06-01T00:00:00"/>
    <x v="1"/>
    <x v="65"/>
    <x v="1"/>
    <n v="1"/>
    <x v="1"/>
    <n v="0"/>
    <n v="0"/>
    <n v="0"/>
    <x v="0"/>
    <x v="1"/>
    <n v="1"/>
  </r>
  <r>
    <n v="448247000000000"/>
    <x v="0"/>
    <x v="24"/>
    <x v="1"/>
    <s v="JESUS DE NAZARETH"/>
    <d v="2016-05-05T00:00:00"/>
    <d v="2016-05-05T00:00:00"/>
    <x v="3"/>
    <x v="94"/>
    <x v="5"/>
    <n v="0"/>
    <x v="1"/>
    <n v="0"/>
    <n v="0"/>
    <n v="0"/>
    <x v="1"/>
    <x v="0"/>
    <n v="0"/>
  </r>
  <r>
    <n v="125957000000000"/>
    <x v="0"/>
    <x v="19"/>
    <x v="2"/>
    <s v="RESISTENCIA"/>
    <d v="2016-05-05T00:00:00"/>
    <d v="2016-05-30T00:00:00"/>
    <x v="2"/>
    <x v="70"/>
    <x v="1"/>
    <n v="0"/>
    <x v="1"/>
    <n v="0"/>
    <n v="0"/>
    <n v="0"/>
    <x v="0"/>
    <x v="0"/>
    <n v="0"/>
  </r>
  <r>
    <n v="98542600000000"/>
    <x v="1"/>
    <x v="37"/>
    <x v="3"/>
    <s v="ILHA DO PRINCIPE"/>
    <d v="2016-05-05T00:00:00"/>
    <d v="2016-05-11T00:00:00"/>
    <x v="1"/>
    <x v="90"/>
    <x v="3"/>
    <n v="0"/>
    <x v="1"/>
    <n v="0"/>
    <n v="0"/>
    <n v="0"/>
    <x v="0"/>
    <x v="0"/>
    <n v="0"/>
  </r>
  <r>
    <n v="434248000000000"/>
    <x v="0"/>
    <x v="12"/>
    <x v="3"/>
    <s v="MARIA ORTIZ"/>
    <d v="2016-05-05T00:00:00"/>
    <d v="2016-05-09T00:00:00"/>
    <x v="2"/>
    <x v="86"/>
    <x v="3"/>
    <n v="0"/>
    <x v="1"/>
    <n v="0"/>
    <n v="0"/>
    <n v="0"/>
    <x v="1"/>
    <x v="0"/>
    <n v="0"/>
  </r>
  <r>
    <n v="5744200000000"/>
    <x v="0"/>
    <x v="17"/>
    <x v="4"/>
    <s v="RESISTENCIA"/>
    <d v="2016-05-05T00:00:00"/>
    <d v="2016-05-05T00:00:00"/>
    <x v="3"/>
    <x v="94"/>
    <x v="5"/>
    <n v="1"/>
    <x v="1"/>
    <n v="0"/>
    <n v="0"/>
    <n v="0"/>
    <x v="1"/>
    <x v="0"/>
    <n v="0"/>
  </r>
  <r>
    <n v="248817000000"/>
    <x v="1"/>
    <x v="55"/>
    <x v="2"/>
    <s v="ANDORINHAS"/>
    <d v="2016-05-05T00:00:00"/>
    <d v="2016-05-20T00:00:00"/>
    <x v="0"/>
    <x v="79"/>
    <x v="1"/>
    <n v="0"/>
    <x v="1"/>
    <n v="0"/>
    <n v="0"/>
    <n v="0"/>
    <x v="1"/>
    <x v="1"/>
    <n v="1"/>
  </r>
  <r>
    <n v="987318000000"/>
    <x v="0"/>
    <x v="74"/>
    <x v="1"/>
    <s v="BELA VISTA"/>
    <d v="2016-05-05T00:00:00"/>
    <d v="2016-05-05T00:00:00"/>
    <x v="3"/>
    <x v="94"/>
    <x v="5"/>
    <n v="0"/>
    <x v="1"/>
    <n v="0"/>
    <n v="0"/>
    <n v="0"/>
    <x v="1"/>
    <x v="0"/>
    <n v="0"/>
  </r>
  <r>
    <n v="64351512719"/>
    <x v="0"/>
    <x v="89"/>
    <x v="0"/>
    <s v="CENTRO"/>
    <d v="2016-05-05T00:00:00"/>
    <d v="2016-05-17T00:00:00"/>
    <x v="4"/>
    <x v="84"/>
    <x v="2"/>
    <n v="0"/>
    <x v="1"/>
    <n v="1"/>
    <n v="0"/>
    <n v="0"/>
    <x v="1"/>
    <x v="0"/>
    <n v="0"/>
  </r>
  <r>
    <n v="9955790000000"/>
    <x v="1"/>
    <x v="36"/>
    <x v="3"/>
    <s v="INHANGUETA"/>
    <d v="2016-05-05T00:00:00"/>
    <d v="2016-05-09T00:00:00"/>
    <x v="2"/>
    <x v="86"/>
    <x v="3"/>
    <n v="0"/>
    <x v="1"/>
    <n v="0"/>
    <n v="0"/>
    <n v="0"/>
    <x v="1"/>
    <x v="0"/>
    <n v="0"/>
  </r>
  <r>
    <n v="245733000000000"/>
    <x v="0"/>
    <x v="51"/>
    <x v="2"/>
    <s v="ILHA DO PRINCIPE"/>
    <d v="2016-05-05T00:00:00"/>
    <d v="2016-05-05T00:00:00"/>
    <x v="3"/>
    <x v="94"/>
    <x v="5"/>
    <n v="0"/>
    <x v="1"/>
    <n v="0"/>
    <n v="0"/>
    <n v="0"/>
    <x v="1"/>
    <x v="0"/>
    <n v="0"/>
  </r>
  <r>
    <n v="7379990000000"/>
    <x v="1"/>
    <x v="10"/>
    <x v="4"/>
    <s v="ITARARE"/>
    <d v="2016-05-05T00:00:00"/>
    <d v="2016-05-05T00:00:00"/>
    <x v="3"/>
    <x v="94"/>
    <x v="5"/>
    <n v="0"/>
    <x v="1"/>
    <n v="0"/>
    <n v="0"/>
    <n v="0"/>
    <x v="1"/>
    <x v="0"/>
    <n v="0"/>
  </r>
  <r>
    <n v="84581800000000"/>
    <x v="1"/>
    <x v="84"/>
    <x v="1"/>
    <s v="FONTE GRANDE"/>
    <d v="2016-05-05T00:00:00"/>
    <d v="2016-05-05T00:00:00"/>
    <x v="3"/>
    <x v="94"/>
    <x v="5"/>
    <n v="0"/>
    <x v="1"/>
    <n v="1"/>
    <n v="1"/>
    <n v="0"/>
    <x v="1"/>
    <x v="0"/>
    <n v="0"/>
  </r>
  <r>
    <n v="52632900000000"/>
    <x v="1"/>
    <x v="33"/>
    <x v="4"/>
    <s v="ILHA DE SANTA MARIA"/>
    <d v="2016-05-05T00:00:00"/>
    <d v="2016-05-09T00:00:00"/>
    <x v="2"/>
    <x v="86"/>
    <x v="3"/>
    <n v="0"/>
    <x v="1"/>
    <n v="0"/>
    <n v="0"/>
    <n v="0"/>
    <x v="1"/>
    <x v="0"/>
    <n v="0"/>
  </r>
  <r>
    <n v="466892000000"/>
    <x v="0"/>
    <x v="66"/>
    <x v="2"/>
    <s v="ILHA DAS CAIEIRAS"/>
    <d v="2016-05-05T00:00:00"/>
    <d v="2016-05-09T00:00:00"/>
    <x v="2"/>
    <x v="86"/>
    <x v="3"/>
    <n v="1"/>
    <x v="1"/>
    <n v="0"/>
    <n v="0"/>
    <n v="0"/>
    <x v="1"/>
    <x v="0"/>
    <n v="0"/>
  </r>
  <r>
    <n v="332470000000"/>
    <x v="1"/>
    <x v="32"/>
    <x v="4"/>
    <s v="MARIA ORTIZ"/>
    <d v="2016-05-05T00:00:00"/>
    <d v="2016-05-12T00:00:00"/>
    <x v="3"/>
    <x v="87"/>
    <x v="3"/>
    <n v="0"/>
    <x v="1"/>
    <n v="0"/>
    <n v="0"/>
    <n v="0"/>
    <x v="0"/>
    <x v="0"/>
    <n v="0"/>
  </r>
  <r>
    <n v="83718500000000"/>
    <x v="1"/>
    <x v="22"/>
    <x v="4"/>
    <s v="BELA VISTA"/>
    <d v="2016-05-05T00:00:00"/>
    <d v="2016-05-05T00:00:00"/>
    <x v="3"/>
    <x v="94"/>
    <x v="5"/>
    <n v="0"/>
    <x v="1"/>
    <n v="0"/>
    <n v="0"/>
    <n v="0"/>
    <x v="1"/>
    <x v="0"/>
    <n v="0"/>
  </r>
  <r>
    <n v="87887900000000"/>
    <x v="0"/>
    <x v="36"/>
    <x v="3"/>
    <s v="RESISTENCIA"/>
    <d v="2016-05-05T00:00:00"/>
    <d v="2016-06-08T00:00:00"/>
    <x v="1"/>
    <x v="58"/>
    <x v="0"/>
    <n v="0"/>
    <x v="1"/>
    <n v="0"/>
    <n v="0"/>
    <n v="0"/>
    <x v="1"/>
    <x v="0"/>
    <n v="0"/>
  </r>
  <r>
    <n v="8129110000000"/>
    <x v="0"/>
    <x v="43"/>
    <x v="2"/>
    <s v="ITARARE"/>
    <d v="2016-05-05T00:00:00"/>
    <d v="2016-05-05T00:00:00"/>
    <x v="3"/>
    <x v="94"/>
    <x v="5"/>
    <n v="0"/>
    <x v="1"/>
    <n v="0"/>
    <n v="0"/>
    <n v="0"/>
    <x v="1"/>
    <x v="0"/>
    <n v="0"/>
  </r>
  <r>
    <n v="51251300000000"/>
    <x v="0"/>
    <x v="69"/>
    <x v="4"/>
    <s v="ILHA DAS CAIEIRAS"/>
    <d v="2016-05-05T00:00:00"/>
    <d v="2016-05-09T00:00:00"/>
    <x v="2"/>
    <x v="86"/>
    <x v="3"/>
    <n v="1"/>
    <x v="1"/>
    <n v="0"/>
    <n v="0"/>
    <n v="0"/>
    <x v="1"/>
    <x v="1"/>
    <n v="1"/>
  </r>
  <r>
    <n v="216736000000000"/>
    <x v="0"/>
    <x v="31"/>
    <x v="1"/>
    <s v="INHANGUETA"/>
    <d v="2016-05-05T00:00:00"/>
    <d v="2016-05-12T00:00:00"/>
    <x v="3"/>
    <x v="87"/>
    <x v="3"/>
    <n v="1"/>
    <x v="1"/>
    <n v="0"/>
    <n v="0"/>
    <n v="0"/>
    <x v="0"/>
    <x v="0"/>
    <n v="0"/>
  </r>
  <r>
    <n v="664268000000000"/>
    <x v="0"/>
    <x v="48"/>
    <x v="3"/>
    <s v="RESISTENCIA"/>
    <d v="2016-05-05T00:00:00"/>
    <d v="2016-05-09T00:00:00"/>
    <x v="2"/>
    <x v="86"/>
    <x v="3"/>
    <n v="0"/>
    <x v="1"/>
    <n v="0"/>
    <n v="0"/>
    <n v="0"/>
    <x v="1"/>
    <x v="0"/>
    <n v="0"/>
  </r>
  <r>
    <n v="268497000000000"/>
    <x v="1"/>
    <x v="62"/>
    <x v="3"/>
    <s v="CARATOIRA"/>
    <d v="2016-05-05T00:00:00"/>
    <d v="2016-05-12T00:00:00"/>
    <x v="3"/>
    <x v="87"/>
    <x v="3"/>
    <n v="0"/>
    <x v="1"/>
    <n v="0"/>
    <n v="0"/>
    <n v="0"/>
    <x v="0"/>
    <x v="0"/>
    <n v="0"/>
  </r>
  <r>
    <n v="8168225487"/>
    <x v="0"/>
    <x v="34"/>
    <x v="0"/>
    <s v="SAO PEDRO"/>
    <d v="2016-05-05T00:00:00"/>
    <d v="2016-05-05T00:00:00"/>
    <x v="3"/>
    <x v="94"/>
    <x v="5"/>
    <n v="0"/>
    <x v="1"/>
    <n v="0"/>
    <n v="0"/>
    <n v="0"/>
    <x v="1"/>
    <x v="0"/>
    <n v="0"/>
  </r>
  <r>
    <n v="536837000000"/>
    <x v="1"/>
    <x v="60"/>
    <x v="2"/>
    <s v="JABOUR"/>
    <d v="2016-05-05T00:00:00"/>
    <d v="2016-05-05T00:00:00"/>
    <x v="3"/>
    <x v="94"/>
    <x v="5"/>
    <n v="0"/>
    <x v="1"/>
    <n v="0"/>
    <n v="0"/>
    <n v="0"/>
    <x v="1"/>
    <x v="0"/>
    <n v="0"/>
  </r>
  <r>
    <n v="6685990000000"/>
    <x v="0"/>
    <x v="56"/>
    <x v="1"/>
    <s v="FORTE SAO JOAO"/>
    <d v="2016-05-05T00:00:00"/>
    <d v="2016-05-09T00:00:00"/>
    <x v="2"/>
    <x v="86"/>
    <x v="3"/>
    <n v="0"/>
    <x v="1"/>
    <n v="0"/>
    <n v="0"/>
    <n v="0"/>
    <x v="1"/>
    <x v="0"/>
    <n v="0"/>
  </r>
  <r>
    <n v="14225426642"/>
    <x v="0"/>
    <x v="25"/>
    <x v="4"/>
    <s v="TABUAZEIRO"/>
    <d v="2016-05-05T00:00:00"/>
    <d v="2016-06-06T00:00:00"/>
    <x v="2"/>
    <x v="54"/>
    <x v="0"/>
    <n v="0"/>
    <x v="1"/>
    <n v="0"/>
    <n v="0"/>
    <n v="0"/>
    <x v="1"/>
    <x v="0"/>
    <n v="0"/>
  </r>
  <r>
    <n v="465820000000000"/>
    <x v="1"/>
    <x v="51"/>
    <x v="2"/>
    <s v="SANTA MARTHA"/>
    <d v="2016-05-05T00:00:00"/>
    <d v="2016-05-11T00:00:00"/>
    <x v="1"/>
    <x v="90"/>
    <x v="3"/>
    <n v="0"/>
    <x v="1"/>
    <n v="0"/>
    <n v="0"/>
    <n v="0"/>
    <x v="0"/>
    <x v="1"/>
    <n v="1"/>
  </r>
  <r>
    <n v="436932000000"/>
    <x v="0"/>
    <x v="39"/>
    <x v="4"/>
    <s v="RESISTENCIA"/>
    <d v="2016-05-05T00:00:00"/>
    <d v="2016-05-09T00:00:00"/>
    <x v="2"/>
    <x v="86"/>
    <x v="3"/>
    <n v="0"/>
    <x v="1"/>
    <n v="0"/>
    <n v="0"/>
    <n v="0"/>
    <x v="1"/>
    <x v="0"/>
    <n v="0"/>
  </r>
  <r>
    <n v="93284300000000"/>
    <x v="1"/>
    <x v="87"/>
    <x v="1"/>
    <s v="BELA VISTA"/>
    <d v="2016-05-05T00:00:00"/>
    <d v="2016-05-05T00:00:00"/>
    <x v="3"/>
    <x v="94"/>
    <x v="5"/>
    <n v="0"/>
    <x v="1"/>
    <n v="0"/>
    <n v="1"/>
    <n v="0"/>
    <x v="1"/>
    <x v="0"/>
    <n v="0"/>
  </r>
  <r>
    <n v="9269720000000"/>
    <x v="0"/>
    <x v="7"/>
    <x v="3"/>
    <s v="JARDIM CAMBURI"/>
    <d v="2016-05-05T00:00:00"/>
    <d v="2016-05-05T00:00:00"/>
    <x v="3"/>
    <x v="94"/>
    <x v="5"/>
    <n v="0"/>
    <x v="1"/>
    <n v="0"/>
    <n v="0"/>
    <n v="0"/>
    <x v="1"/>
    <x v="0"/>
    <n v="0"/>
  </r>
  <r>
    <n v="77675800000000"/>
    <x v="0"/>
    <x v="80"/>
    <x v="2"/>
    <s v="REDENCAO"/>
    <d v="2016-05-05T00:00:00"/>
    <d v="2016-05-10T00:00:00"/>
    <x v="4"/>
    <x v="92"/>
    <x v="3"/>
    <n v="0"/>
    <x v="1"/>
    <n v="0"/>
    <n v="0"/>
    <n v="0"/>
    <x v="1"/>
    <x v="0"/>
    <n v="0"/>
  </r>
  <r>
    <n v="62656200000000"/>
    <x v="0"/>
    <x v="29"/>
    <x v="3"/>
    <s v="JABOUR"/>
    <d v="2016-05-05T00:00:00"/>
    <d v="2016-05-30T00:00:00"/>
    <x v="2"/>
    <x v="70"/>
    <x v="1"/>
    <n v="1"/>
    <x v="1"/>
    <n v="0"/>
    <n v="0"/>
    <n v="0"/>
    <x v="0"/>
    <x v="0"/>
    <n v="0"/>
  </r>
  <r>
    <n v="354280000000"/>
    <x v="1"/>
    <x v="70"/>
    <x v="5"/>
    <s v="BONFIM"/>
    <d v="2016-05-05T00:00:00"/>
    <d v="2016-05-05T00:00:00"/>
    <x v="3"/>
    <x v="94"/>
    <x v="5"/>
    <n v="1"/>
    <x v="1"/>
    <n v="0"/>
    <n v="0"/>
    <n v="0"/>
    <x v="1"/>
    <x v="0"/>
    <n v="0"/>
  </r>
  <r>
    <n v="71788100000000"/>
    <x v="1"/>
    <x v="79"/>
    <x v="5"/>
    <s v="RESISTENCIA"/>
    <d v="2016-05-05T00:00:00"/>
    <d v="2016-05-05T00:00:00"/>
    <x v="3"/>
    <x v="94"/>
    <x v="5"/>
    <n v="0"/>
    <x v="1"/>
    <n v="0"/>
    <n v="0"/>
    <n v="0"/>
    <x v="1"/>
    <x v="1"/>
    <n v="1"/>
  </r>
  <r>
    <n v="7377890000000"/>
    <x v="0"/>
    <x v="38"/>
    <x v="4"/>
    <s v="SANTO ANDRE"/>
    <d v="2016-05-05T00:00:00"/>
    <d v="2016-05-12T00:00:00"/>
    <x v="3"/>
    <x v="87"/>
    <x v="3"/>
    <n v="0"/>
    <x v="1"/>
    <n v="0"/>
    <n v="0"/>
    <n v="0"/>
    <x v="0"/>
    <x v="0"/>
    <n v="0"/>
  </r>
  <r>
    <n v="7428890000000"/>
    <x v="0"/>
    <x v="32"/>
    <x v="4"/>
    <s v="RESISTENCIA"/>
    <d v="2016-05-05T00:00:00"/>
    <d v="2016-05-12T00:00:00"/>
    <x v="3"/>
    <x v="87"/>
    <x v="3"/>
    <n v="0"/>
    <x v="1"/>
    <n v="0"/>
    <n v="0"/>
    <n v="0"/>
    <x v="0"/>
    <x v="0"/>
    <n v="0"/>
  </r>
  <r>
    <n v="5945170000000"/>
    <x v="0"/>
    <x v="15"/>
    <x v="3"/>
    <s v="JARDIM DA PENHA"/>
    <d v="2016-05-05T00:00:00"/>
    <d v="2016-05-05T00:00:00"/>
    <x v="3"/>
    <x v="94"/>
    <x v="5"/>
    <n v="0"/>
    <x v="1"/>
    <n v="0"/>
    <n v="0"/>
    <n v="0"/>
    <x v="1"/>
    <x v="0"/>
    <n v="0"/>
  </r>
  <r>
    <n v="34766239641"/>
    <x v="1"/>
    <x v="59"/>
    <x v="2"/>
    <s v="PRAIA DO SUA"/>
    <d v="2016-05-05T00:00:00"/>
    <d v="2016-05-12T00:00:00"/>
    <x v="3"/>
    <x v="87"/>
    <x v="3"/>
    <n v="0"/>
    <x v="1"/>
    <n v="0"/>
    <n v="0"/>
    <n v="0"/>
    <x v="0"/>
    <x v="0"/>
    <n v="0"/>
  </r>
  <r>
    <n v="2413350000000"/>
    <x v="0"/>
    <x v="67"/>
    <x v="4"/>
    <s v="SANTO ANTONIO"/>
    <d v="2016-05-05T00:00:00"/>
    <d v="2016-05-30T00:00:00"/>
    <x v="2"/>
    <x v="70"/>
    <x v="1"/>
    <n v="0"/>
    <x v="1"/>
    <n v="0"/>
    <n v="0"/>
    <n v="0"/>
    <x v="0"/>
    <x v="0"/>
    <n v="0"/>
  </r>
  <r>
    <n v="29353600000000"/>
    <x v="1"/>
    <x v="36"/>
    <x v="3"/>
    <s v="TABUAZEIRO"/>
    <d v="2016-05-05T00:00:00"/>
    <d v="2016-05-13T00:00:00"/>
    <x v="0"/>
    <x v="88"/>
    <x v="2"/>
    <n v="0"/>
    <x v="0"/>
    <n v="1"/>
    <n v="0"/>
    <n v="0"/>
    <x v="1"/>
    <x v="0"/>
    <n v="0"/>
  </r>
  <r>
    <n v="82650000000000"/>
    <x v="1"/>
    <x v="55"/>
    <x v="2"/>
    <s v="SANTO ANTONIO"/>
    <d v="2016-05-05T00:00:00"/>
    <d v="2016-05-25T00:00:00"/>
    <x v="1"/>
    <x v="76"/>
    <x v="1"/>
    <n v="0"/>
    <x v="1"/>
    <n v="0"/>
    <n v="0"/>
    <n v="0"/>
    <x v="0"/>
    <x v="0"/>
    <n v="0"/>
  </r>
  <r>
    <n v="11336400000000"/>
    <x v="0"/>
    <x v="69"/>
    <x v="4"/>
    <s v="TABUAZEIRO"/>
    <d v="2016-05-05T00:00:00"/>
    <d v="2016-05-05T00:00:00"/>
    <x v="3"/>
    <x v="94"/>
    <x v="5"/>
    <n v="0"/>
    <x v="1"/>
    <n v="0"/>
    <n v="0"/>
    <n v="0"/>
    <x v="1"/>
    <x v="0"/>
    <n v="0"/>
  </r>
  <r>
    <n v="149785000000000"/>
    <x v="0"/>
    <x v="36"/>
    <x v="3"/>
    <s v="MARIA ORTIZ"/>
    <d v="2016-05-05T00:00:00"/>
    <d v="2016-05-05T00:00:00"/>
    <x v="3"/>
    <x v="94"/>
    <x v="5"/>
    <n v="0"/>
    <x v="1"/>
    <n v="0"/>
    <n v="0"/>
    <n v="0"/>
    <x v="1"/>
    <x v="0"/>
    <n v="0"/>
  </r>
  <r>
    <n v="74334500000000"/>
    <x v="0"/>
    <x v="33"/>
    <x v="4"/>
    <s v="ITARARE"/>
    <d v="2016-05-05T00:00:00"/>
    <d v="2016-05-31T00:00:00"/>
    <x v="4"/>
    <x v="68"/>
    <x v="1"/>
    <n v="0"/>
    <x v="1"/>
    <n v="0"/>
    <n v="0"/>
    <n v="0"/>
    <x v="1"/>
    <x v="0"/>
    <n v="0"/>
  </r>
  <r>
    <n v="12872100000000"/>
    <x v="1"/>
    <x v="51"/>
    <x v="2"/>
    <s v="BELA VISTA"/>
    <d v="2016-05-05T00:00:00"/>
    <d v="2016-05-05T00:00:00"/>
    <x v="3"/>
    <x v="94"/>
    <x v="5"/>
    <n v="0"/>
    <x v="1"/>
    <n v="0"/>
    <n v="0"/>
    <n v="0"/>
    <x v="1"/>
    <x v="0"/>
    <n v="0"/>
  </r>
  <r>
    <n v="552326000000000"/>
    <x v="1"/>
    <x v="14"/>
    <x v="3"/>
    <s v="JARDIM CAMBURI"/>
    <d v="2016-05-05T00:00:00"/>
    <d v="2016-05-05T00:00:00"/>
    <x v="3"/>
    <x v="94"/>
    <x v="5"/>
    <n v="0"/>
    <x v="1"/>
    <n v="0"/>
    <n v="0"/>
    <n v="0"/>
    <x v="1"/>
    <x v="0"/>
    <n v="0"/>
  </r>
  <r>
    <n v="2862957784"/>
    <x v="0"/>
    <x v="52"/>
    <x v="2"/>
    <s v="MARIA ORTIZ"/>
    <d v="2016-05-05T00:00:00"/>
    <d v="2016-06-02T00:00:00"/>
    <x v="3"/>
    <x v="64"/>
    <x v="1"/>
    <n v="1"/>
    <x v="1"/>
    <n v="0"/>
    <n v="0"/>
    <n v="0"/>
    <x v="0"/>
    <x v="0"/>
    <n v="0"/>
  </r>
  <r>
    <n v="6413390000000"/>
    <x v="0"/>
    <x v="2"/>
    <x v="1"/>
    <s v="JARDIM CAMBURI"/>
    <d v="2016-05-05T00:00:00"/>
    <d v="2016-05-05T00:00:00"/>
    <x v="3"/>
    <x v="94"/>
    <x v="5"/>
    <n v="0"/>
    <x v="1"/>
    <n v="0"/>
    <n v="0"/>
    <n v="0"/>
    <x v="1"/>
    <x v="0"/>
    <n v="0"/>
  </r>
  <r>
    <n v="659180000000000"/>
    <x v="0"/>
    <x v="32"/>
    <x v="4"/>
    <s v="JARDIM CAMBURI"/>
    <d v="2016-05-05T00:00:00"/>
    <d v="2016-05-09T00:00:00"/>
    <x v="2"/>
    <x v="86"/>
    <x v="3"/>
    <n v="0"/>
    <x v="1"/>
    <n v="0"/>
    <n v="0"/>
    <n v="0"/>
    <x v="1"/>
    <x v="0"/>
    <n v="0"/>
  </r>
  <r>
    <n v="28233276156"/>
    <x v="0"/>
    <x v="2"/>
    <x v="1"/>
    <s v="JESUS DE NAZARETH"/>
    <d v="2016-05-06T00:00:00"/>
    <d v="2016-05-06T00:00:00"/>
    <x v="0"/>
    <x v="94"/>
    <x v="5"/>
    <n v="0"/>
    <x v="0"/>
    <n v="0"/>
    <n v="1"/>
    <n v="0"/>
    <x v="1"/>
    <x v="0"/>
    <n v="0"/>
  </r>
  <r>
    <n v="1333990000000"/>
    <x v="1"/>
    <x v="2"/>
    <x v="1"/>
    <s v="JARDIM CAMBURI"/>
    <d v="2016-05-06T00:00:00"/>
    <d v="2016-05-06T00:00:00"/>
    <x v="0"/>
    <x v="94"/>
    <x v="5"/>
    <n v="0"/>
    <x v="1"/>
    <n v="0"/>
    <n v="0"/>
    <n v="0"/>
    <x v="1"/>
    <x v="0"/>
    <n v="0"/>
  </r>
  <r>
    <n v="1988720000000"/>
    <x v="1"/>
    <x v="52"/>
    <x v="2"/>
    <s v="CARATOIRA"/>
    <d v="2016-05-06T00:00:00"/>
    <d v="2016-05-06T00:00:00"/>
    <x v="0"/>
    <x v="94"/>
    <x v="5"/>
    <n v="0"/>
    <x v="1"/>
    <n v="0"/>
    <n v="0"/>
    <n v="0"/>
    <x v="1"/>
    <x v="0"/>
    <n v="0"/>
  </r>
  <r>
    <n v="473799000000000"/>
    <x v="0"/>
    <x v="6"/>
    <x v="0"/>
    <s v="PRAIA DO CANTO"/>
    <d v="2016-05-06T00:00:00"/>
    <d v="2016-05-16T00:00:00"/>
    <x v="2"/>
    <x v="83"/>
    <x v="2"/>
    <n v="0"/>
    <x v="0"/>
    <n v="0"/>
    <n v="0"/>
    <n v="0"/>
    <x v="1"/>
    <x v="0"/>
    <n v="0"/>
  </r>
  <r>
    <n v="2313370000000"/>
    <x v="0"/>
    <x v="52"/>
    <x v="2"/>
    <s v="CARATOIRA"/>
    <d v="2016-05-06T00:00:00"/>
    <d v="2016-05-06T00:00:00"/>
    <x v="0"/>
    <x v="94"/>
    <x v="5"/>
    <n v="0"/>
    <x v="1"/>
    <n v="0"/>
    <n v="0"/>
    <n v="0"/>
    <x v="1"/>
    <x v="0"/>
    <n v="0"/>
  </r>
  <r>
    <n v="95237900000000"/>
    <x v="0"/>
    <x v="37"/>
    <x v="3"/>
    <s v="ILHA DO PRINCIPE"/>
    <d v="2016-05-06T00:00:00"/>
    <d v="2016-05-16T00:00:00"/>
    <x v="2"/>
    <x v="83"/>
    <x v="2"/>
    <n v="1"/>
    <x v="0"/>
    <n v="1"/>
    <n v="0"/>
    <n v="0"/>
    <x v="1"/>
    <x v="0"/>
    <n v="0"/>
  </r>
  <r>
    <n v="22731734882"/>
    <x v="0"/>
    <x v="69"/>
    <x v="4"/>
    <s v="NOVA PALESTINA"/>
    <d v="2016-05-06T00:00:00"/>
    <d v="2016-05-06T00:00:00"/>
    <x v="0"/>
    <x v="94"/>
    <x v="5"/>
    <n v="1"/>
    <x v="1"/>
    <n v="0"/>
    <n v="0"/>
    <n v="0"/>
    <x v="1"/>
    <x v="0"/>
    <n v="0"/>
  </r>
  <r>
    <n v="839691000000000"/>
    <x v="1"/>
    <x v="80"/>
    <x v="2"/>
    <s v="DA PENHA"/>
    <d v="2016-05-06T00:00:00"/>
    <d v="2016-05-06T00:00:00"/>
    <x v="0"/>
    <x v="94"/>
    <x v="5"/>
    <n v="0"/>
    <x v="1"/>
    <n v="0"/>
    <n v="0"/>
    <n v="0"/>
    <x v="1"/>
    <x v="0"/>
    <n v="0"/>
  </r>
  <r>
    <n v="34647687235"/>
    <x v="1"/>
    <x v="32"/>
    <x v="4"/>
    <s v="GURIGICA"/>
    <d v="2016-05-06T00:00:00"/>
    <d v="2016-05-06T00:00:00"/>
    <x v="0"/>
    <x v="94"/>
    <x v="5"/>
    <n v="0"/>
    <x v="1"/>
    <n v="0"/>
    <n v="0"/>
    <n v="0"/>
    <x v="1"/>
    <x v="0"/>
    <n v="0"/>
  </r>
  <r>
    <n v="673353000000000"/>
    <x v="1"/>
    <x v="52"/>
    <x v="2"/>
    <s v="ILHA DAS CAIEIRAS"/>
    <d v="2016-05-06T00:00:00"/>
    <d v="2016-05-06T00:00:00"/>
    <x v="0"/>
    <x v="94"/>
    <x v="5"/>
    <n v="1"/>
    <x v="1"/>
    <n v="0"/>
    <n v="0"/>
    <n v="0"/>
    <x v="1"/>
    <x v="1"/>
    <n v="1"/>
  </r>
  <r>
    <n v="141344000000000"/>
    <x v="1"/>
    <x v="59"/>
    <x v="2"/>
    <s v="SAO PEDRO"/>
    <d v="2016-05-06T00:00:00"/>
    <d v="2016-05-06T00:00:00"/>
    <x v="0"/>
    <x v="94"/>
    <x v="5"/>
    <n v="0"/>
    <x v="1"/>
    <n v="0"/>
    <n v="0"/>
    <n v="0"/>
    <x v="1"/>
    <x v="1"/>
    <n v="1"/>
  </r>
  <r>
    <n v="7231690000000"/>
    <x v="1"/>
    <x v="60"/>
    <x v="2"/>
    <s v="SAO PEDRO"/>
    <d v="2016-05-06T00:00:00"/>
    <d v="2016-05-06T00:00:00"/>
    <x v="0"/>
    <x v="94"/>
    <x v="5"/>
    <n v="0"/>
    <x v="1"/>
    <n v="0"/>
    <n v="0"/>
    <n v="0"/>
    <x v="1"/>
    <x v="1"/>
    <n v="1"/>
  </r>
  <r>
    <n v="8787830000000"/>
    <x v="0"/>
    <x v="43"/>
    <x v="2"/>
    <s v="SAO PEDRO"/>
    <d v="2016-05-06T00:00:00"/>
    <d v="2016-05-06T00:00:00"/>
    <x v="0"/>
    <x v="94"/>
    <x v="5"/>
    <n v="1"/>
    <x v="1"/>
    <n v="0"/>
    <n v="0"/>
    <n v="0"/>
    <x v="1"/>
    <x v="1"/>
    <n v="1"/>
  </r>
  <r>
    <n v="121645000000"/>
    <x v="1"/>
    <x v="72"/>
    <x v="5"/>
    <s v="SAO BENEDITO"/>
    <d v="2016-05-06T00:00:00"/>
    <d v="2016-05-06T00:00:00"/>
    <x v="0"/>
    <x v="94"/>
    <x v="5"/>
    <n v="0"/>
    <x v="1"/>
    <n v="0"/>
    <n v="0"/>
    <n v="0"/>
    <x v="1"/>
    <x v="0"/>
    <n v="0"/>
  </r>
  <r>
    <n v="858192000000000"/>
    <x v="0"/>
    <x v="19"/>
    <x v="2"/>
    <s v="ILHA DAS CAIEIRAS"/>
    <d v="2016-05-06T00:00:00"/>
    <d v="2016-05-10T00:00:00"/>
    <x v="4"/>
    <x v="86"/>
    <x v="3"/>
    <n v="0"/>
    <x v="1"/>
    <n v="0"/>
    <n v="0"/>
    <n v="0"/>
    <x v="0"/>
    <x v="0"/>
    <n v="0"/>
  </r>
  <r>
    <n v="47917700000000"/>
    <x v="0"/>
    <x v="49"/>
    <x v="4"/>
    <s v="CRUZAMENTO"/>
    <d v="2016-05-06T00:00:00"/>
    <d v="2016-05-13T00:00:00"/>
    <x v="0"/>
    <x v="87"/>
    <x v="3"/>
    <n v="0"/>
    <x v="1"/>
    <n v="0"/>
    <n v="0"/>
    <n v="0"/>
    <x v="1"/>
    <x v="0"/>
    <n v="0"/>
  </r>
  <r>
    <n v="8861120000000"/>
    <x v="0"/>
    <x v="74"/>
    <x v="1"/>
    <s v="JUCUTUQUARA"/>
    <d v="2016-05-06T00:00:00"/>
    <d v="2016-05-06T00:00:00"/>
    <x v="0"/>
    <x v="94"/>
    <x v="5"/>
    <n v="0"/>
    <x v="1"/>
    <n v="0"/>
    <n v="0"/>
    <n v="0"/>
    <x v="1"/>
    <x v="1"/>
    <n v="1"/>
  </r>
  <r>
    <n v="32495600000000"/>
    <x v="0"/>
    <x v="65"/>
    <x v="2"/>
    <s v="SAO JOSE"/>
    <d v="2016-05-06T00:00:00"/>
    <d v="2016-05-11T00:00:00"/>
    <x v="1"/>
    <x v="92"/>
    <x v="3"/>
    <n v="0"/>
    <x v="1"/>
    <n v="0"/>
    <n v="0"/>
    <n v="0"/>
    <x v="0"/>
    <x v="0"/>
    <n v="0"/>
  </r>
  <r>
    <n v="81386700000000"/>
    <x v="0"/>
    <x v="79"/>
    <x v="5"/>
    <s v="ILHA DE SANTA MARIA"/>
    <d v="2016-05-06T00:00:00"/>
    <d v="2016-05-06T00:00:00"/>
    <x v="0"/>
    <x v="94"/>
    <x v="5"/>
    <n v="0"/>
    <x v="1"/>
    <n v="0"/>
    <n v="0"/>
    <n v="0"/>
    <x v="1"/>
    <x v="0"/>
    <n v="0"/>
  </r>
  <r>
    <n v="437416000000"/>
    <x v="0"/>
    <x v="30"/>
    <x v="3"/>
    <s v="PRAIA DO CANTO"/>
    <d v="2016-05-06T00:00:00"/>
    <d v="2016-05-16T00:00:00"/>
    <x v="2"/>
    <x v="83"/>
    <x v="2"/>
    <n v="0"/>
    <x v="1"/>
    <n v="0"/>
    <n v="0"/>
    <n v="0"/>
    <x v="1"/>
    <x v="0"/>
    <n v="0"/>
  </r>
  <r>
    <n v="2793980000000"/>
    <x v="0"/>
    <x v="10"/>
    <x v="4"/>
    <s v="CONSOLACAO"/>
    <d v="2016-05-06T00:00:00"/>
    <d v="2016-05-16T00:00:00"/>
    <x v="2"/>
    <x v="83"/>
    <x v="2"/>
    <n v="0"/>
    <x v="1"/>
    <n v="0"/>
    <n v="0"/>
    <n v="0"/>
    <x v="1"/>
    <x v="0"/>
    <n v="0"/>
  </r>
  <r>
    <n v="922656000000"/>
    <x v="0"/>
    <x v="4"/>
    <x v="2"/>
    <s v="CRUZAMENTO"/>
    <d v="2016-05-06T00:00:00"/>
    <d v="2016-05-13T00:00:00"/>
    <x v="0"/>
    <x v="87"/>
    <x v="3"/>
    <n v="0"/>
    <x v="1"/>
    <n v="0"/>
    <n v="0"/>
    <n v="0"/>
    <x v="1"/>
    <x v="0"/>
    <n v="0"/>
  </r>
  <r>
    <n v="265948000000000"/>
    <x v="0"/>
    <x v="22"/>
    <x v="4"/>
    <s v="SANTA LUCIA"/>
    <d v="2016-05-06T00:00:00"/>
    <d v="2016-05-16T00:00:00"/>
    <x v="2"/>
    <x v="83"/>
    <x v="2"/>
    <n v="0"/>
    <x v="1"/>
    <n v="0"/>
    <n v="0"/>
    <n v="0"/>
    <x v="1"/>
    <x v="0"/>
    <n v="0"/>
  </r>
  <r>
    <n v="32864914331"/>
    <x v="1"/>
    <x v="19"/>
    <x v="2"/>
    <s v="ILHA DAS CAIEIRAS"/>
    <d v="2016-05-06T00:00:00"/>
    <d v="2016-05-09T00:00:00"/>
    <x v="2"/>
    <x v="89"/>
    <x v="4"/>
    <n v="0"/>
    <x v="1"/>
    <n v="0"/>
    <n v="0"/>
    <n v="0"/>
    <x v="1"/>
    <x v="0"/>
    <n v="0"/>
  </r>
  <r>
    <n v="7835940000000"/>
    <x v="1"/>
    <x v="71"/>
    <x v="4"/>
    <s v="SAO PEDRO"/>
    <d v="2016-05-06T00:00:00"/>
    <d v="2016-05-09T00:00:00"/>
    <x v="2"/>
    <x v="89"/>
    <x v="4"/>
    <n v="0"/>
    <x v="1"/>
    <n v="0"/>
    <n v="0"/>
    <n v="0"/>
    <x v="1"/>
    <x v="1"/>
    <n v="1"/>
  </r>
  <r>
    <n v="58481100000000"/>
    <x v="1"/>
    <x v="65"/>
    <x v="2"/>
    <s v="GURIGICA"/>
    <d v="2016-05-06T00:00:00"/>
    <d v="2016-05-06T00:00:00"/>
    <x v="0"/>
    <x v="94"/>
    <x v="5"/>
    <n v="0"/>
    <x v="1"/>
    <n v="0"/>
    <n v="0"/>
    <n v="0"/>
    <x v="1"/>
    <x v="0"/>
    <n v="0"/>
  </r>
  <r>
    <n v="7538480000000"/>
    <x v="0"/>
    <x v="14"/>
    <x v="3"/>
    <s v="SANTOS DUMONT"/>
    <d v="2016-05-06T00:00:00"/>
    <d v="2016-05-20T00:00:00"/>
    <x v="0"/>
    <x v="80"/>
    <x v="2"/>
    <n v="0"/>
    <x v="0"/>
    <n v="1"/>
    <n v="0"/>
    <n v="0"/>
    <x v="1"/>
    <x v="0"/>
    <n v="0"/>
  </r>
  <r>
    <n v="22742784414"/>
    <x v="0"/>
    <x v="83"/>
    <x v="0"/>
    <s v="MARUIPE"/>
    <d v="2016-05-06T00:00:00"/>
    <d v="2016-05-06T00:00:00"/>
    <x v="0"/>
    <x v="94"/>
    <x v="5"/>
    <n v="0"/>
    <x v="0"/>
    <n v="0"/>
    <n v="0"/>
    <n v="0"/>
    <x v="1"/>
    <x v="0"/>
    <n v="0"/>
  </r>
  <r>
    <n v="394357000000"/>
    <x v="1"/>
    <x v="28"/>
    <x v="3"/>
    <s v="GURIGICA"/>
    <d v="2016-05-06T00:00:00"/>
    <d v="2016-05-06T00:00:00"/>
    <x v="0"/>
    <x v="94"/>
    <x v="5"/>
    <n v="0"/>
    <x v="0"/>
    <n v="0"/>
    <n v="1"/>
    <n v="0"/>
    <x v="1"/>
    <x v="0"/>
    <n v="0"/>
  </r>
  <r>
    <n v="22868100000000"/>
    <x v="1"/>
    <x v="54"/>
    <x v="1"/>
    <s v="TABUAZEIRO"/>
    <d v="2016-05-06T00:00:00"/>
    <d v="2016-05-06T00:00:00"/>
    <x v="0"/>
    <x v="94"/>
    <x v="5"/>
    <n v="0"/>
    <x v="1"/>
    <n v="0"/>
    <n v="0"/>
    <n v="0"/>
    <x v="1"/>
    <x v="0"/>
    <n v="0"/>
  </r>
  <r>
    <n v="15488699249"/>
    <x v="0"/>
    <x v="41"/>
    <x v="4"/>
    <s v="SAO CRISTOVAO"/>
    <d v="2016-05-06T00:00:00"/>
    <d v="2016-05-06T00:00:00"/>
    <x v="0"/>
    <x v="94"/>
    <x v="5"/>
    <n v="0"/>
    <x v="1"/>
    <n v="0"/>
    <n v="0"/>
    <n v="0"/>
    <x v="1"/>
    <x v="0"/>
    <n v="0"/>
  </r>
  <r>
    <n v="25927700000000"/>
    <x v="0"/>
    <x v="7"/>
    <x v="3"/>
    <s v="SAO JOSE"/>
    <d v="2016-05-06T00:00:00"/>
    <d v="2016-05-06T00:00:00"/>
    <x v="0"/>
    <x v="94"/>
    <x v="5"/>
    <n v="1"/>
    <x v="0"/>
    <n v="0"/>
    <n v="0"/>
    <n v="0"/>
    <x v="1"/>
    <x v="0"/>
    <n v="0"/>
  </r>
  <r>
    <n v="57628900000000"/>
    <x v="0"/>
    <x v="64"/>
    <x v="3"/>
    <s v="JARDIM DA PENHA"/>
    <d v="2016-05-06T00:00:00"/>
    <d v="2016-05-12T00:00:00"/>
    <x v="3"/>
    <x v="90"/>
    <x v="3"/>
    <n v="0"/>
    <x v="0"/>
    <n v="0"/>
    <n v="0"/>
    <n v="0"/>
    <x v="0"/>
    <x v="0"/>
    <n v="0"/>
  </r>
  <r>
    <n v="4623990000000"/>
    <x v="1"/>
    <x v="63"/>
    <x v="0"/>
    <s v="SANTA LUCIA"/>
    <d v="2016-05-06T00:00:00"/>
    <d v="2016-05-16T00:00:00"/>
    <x v="2"/>
    <x v="83"/>
    <x v="2"/>
    <n v="0"/>
    <x v="1"/>
    <n v="0"/>
    <n v="0"/>
    <n v="0"/>
    <x v="1"/>
    <x v="0"/>
    <n v="0"/>
  </r>
  <r>
    <n v="737879000000"/>
    <x v="0"/>
    <x v="62"/>
    <x v="3"/>
    <s v="MARIA ORTIZ"/>
    <d v="2016-05-06T00:00:00"/>
    <d v="2016-05-06T00:00:00"/>
    <x v="0"/>
    <x v="94"/>
    <x v="5"/>
    <n v="0"/>
    <x v="1"/>
    <n v="0"/>
    <n v="0"/>
    <n v="0"/>
    <x v="1"/>
    <x v="0"/>
    <n v="0"/>
  </r>
  <r>
    <n v="26459200000000"/>
    <x v="0"/>
    <x v="48"/>
    <x v="3"/>
    <s v="MARUIPE"/>
    <d v="2016-05-06T00:00:00"/>
    <d v="2016-05-24T00:00:00"/>
    <x v="4"/>
    <x v="74"/>
    <x v="1"/>
    <n v="0"/>
    <x v="0"/>
    <n v="0"/>
    <n v="0"/>
    <n v="0"/>
    <x v="1"/>
    <x v="1"/>
    <n v="1"/>
  </r>
  <r>
    <n v="632929000000000"/>
    <x v="0"/>
    <x v="37"/>
    <x v="3"/>
    <s v="JOANA D ARC"/>
    <d v="2016-05-06T00:00:00"/>
    <d v="2016-05-06T00:00:00"/>
    <x v="0"/>
    <x v="94"/>
    <x v="5"/>
    <n v="0"/>
    <x v="1"/>
    <n v="0"/>
    <n v="0"/>
    <n v="0"/>
    <x v="1"/>
    <x v="0"/>
    <n v="0"/>
  </r>
  <r>
    <n v="9154640000000"/>
    <x v="0"/>
    <x v="14"/>
    <x v="3"/>
    <s v="RESISTENCIA"/>
    <d v="2016-05-06T00:00:00"/>
    <d v="2016-05-09T00:00:00"/>
    <x v="2"/>
    <x v="89"/>
    <x v="4"/>
    <n v="0"/>
    <x v="1"/>
    <n v="0"/>
    <n v="0"/>
    <n v="0"/>
    <x v="1"/>
    <x v="1"/>
    <n v="1"/>
  </r>
  <r>
    <n v="927629000000000"/>
    <x v="1"/>
    <x v="47"/>
    <x v="4"/>
    <s v="TABUAZEIRO"/>
    <d v="2016-05-06T00:00:00"/>
    <d v="2016-05-06T00:00:00"/>
    <x v="0"/>
    <x v="94"/>
    <x v="5"/>
    <n v="0"/>
    <x v="1"/>
    <n v="0"/>
    <n v="0"/>
    <n v="0"/>
    <x v="1"/>
    <x v="0"/>
    <n v="0"/>
  </r>
  <r>
    <n v="57486700000000"/>
    <x v="0"/>
    <x v="46"/>
    <x v="2"/>
    <s v="TABUAZEIRO"/>
    <d v="2016-05-06T00:00:00"/>
    <d v="2016-05-06T00:00:00"/>
    <x v="0"/>
    <x v="94"/>
    <x v="5"/>
    <n v="1"/>
    <x v="1"/>
    <n v="0"/>
    <n v="0"/>
    <n v="0"/>
    <x v="1"/>
    <x v="0"/>
    <n v="0"/>
  </r>
  <r>
    <n v="42544800000000"/>
    <x v="1"/>
    <x v="23"/>
    <x v="3"/>
    <s v="SANTA LUIZA"/>
    <d v="2016-05-06T00:00:00"/>
    <d v="2016-05-16T00:00:00"/>
    <x v="2"/>
    <x v="83"/>
    <x v="2"/>
    <n v="0"/>
    <x v="1"/>
    <n v="0"/>
    <n v="0"/>
    <n v="0"/>
    <x v="1"/>
    <x v="0"/>
    <n v="0"/>
  </r>
  <r>
    <n v="969890000000000"/>
    <x v="0"/>
    <x v="21"/>
    <x v="1"/>
    <s v="FORTE SAO JOAO"/>
    <d v="2016-05-06T00:00:00"/>
    <d v="2016-05-13T00:00:00"/>
    <x v="0"/>
    <x v="87"/>
    <x v="3"/>
    <n v="0"/>
    <x v="1"/>
    <n v="0"/>
    <n v="0"/>
    <n v="0"/>
    <x v="1"/>
    <x v="0"/>
    <n v="0"/>
  </r>
  <r>
    <n v="5789300000000"/>
    <x v="1"/>
    <x v="18"/>
    <x v="0"/>
    <s v="PRAIA DO CANTO"/>
    <d v="2016-05-06T00:00:00"/>
    <d v="2016-05-16T00:00:00"/>
    <x v="2"/>
    <x v="83"/>
    <x v="2"/>
    <n v="0"/>
    <x v="1"/>
    <n v="0"/>
    <n v="0"/>
    <n v="0"/>
    <x v="1"/>
    <x v="0"/>
    <n v="0"/>
  </r>
  <r>
    <n v="69189300000000"/>
    <x v="0"/>
    <x v="80"/>
    <x v="2"/>
    <s v="DO QUADRO"/>
    <d v="2016-05-06T00:00:00"/>
    <d v="2016-05-06T00:00:00"/>
    <x v="0"/>
    <x v="94"/>
    <x v="5"/>
    <n v="0"/>
    <x v="1"/>
    <n v="0"/>
    <n v="0"/>
    <n v="0"/>
    <x v="1"/>
    <x v="0"/>
    <n v="0"/>
  </r>
  <r>
    <n v="557950000000000"/>
    <x v="1"/>
    <x v="1"/>
    <x v="0"/>
    <s v="PRAIA DO CANTO"/>
    <d v="2016-05-06T00:00:00"/>
    <d v="2016-05-17T00:00:00"/>
    <x v="4"/>
    <x v="81"/>
    <x v="2"/>
    <n v="0"/>
    <x v="0"/>
    <n v="0"/>
    <n v="0"/>
    <n v="0"/>
    <x v="1"/>
    <x v="0"/>
    <n v="0"/>
  </r>
  <r>
    <n v="8193130000000"/>
    <x v="1"/>
    <x v="60"/>
    <x v="2"/>
    <s v="FORTE SAO JOAO"/>
    <d v="2016-05-06T00:00:00"/>
    <d v="2016-05-06T00:00:00"/>
    <x v="0"/>
    <x v="94"/>
    <x v="5"/>
    <n v="0"/>
    <x v="1"/>
    <n v="0"/>
    <n v="0"/>
    <n v="0"/>
    <x v="1"/>
    <x v="0"/>
    <n v="0"/>
  </r>
  <r>
    <n v="8738890000000"/>
    <x v="1"/>
    <x v="52"/>
    <x v="2"/>
    <s v="SANTO ANDRE"/>
    <d v="2016-05-06T00:00:00"/>
    <d v="2016-05-06T00:00:00"/>
    <x v="0"/>
    <x v="94"/>
    <x v="5"/>
    <n v="0"/>
    <x v="1"/>
    <n v="0"/>
    <n v="0"/>
    <n v="0"/>
    <x v="1"/>
    <x v="0"/>
    <n v="0"/>
  </r>
  <r>
    <n v="1652480000000"/>
    <x v="1"/>
    <x v="26"/>
    <x v="0"/>
    <s v="SANTO ANDRE"/>
    <d v="2016-05-06T00:00:00"/>
    <d v="2016-05-12T00:00:00"/>
    <x v="3"/>
    <x v="90"/>
    <x v="3"/>
    <n v="0"/>
    <x v="0"/>
    <n v="0"/>
    <n v="0"/>
    <n v="0"/>
    <x v="0"/>
    <x v="0"/>
    <n v="0"/>
  </r>
  <r>
    <n v="6153470000000"/>
    <x v="0"/>
    <x v="29"/>
    <x v="3"/>
    <s v="SAO JOSE"/>
    <d v="2016-05-06T00:00:00"/>
    <d v="2016-05-11T00:00:00"/>
    <x v="1"/>
    <x v="92"/>
    <x v="3"/>
    <n v="0"/>
    <x v="1"/>
    <n v="1"/>
    <n v="0"/>
    <n v="0"/>
    <x v="0"/>
    <x v="0"/>
    <n v="0"/>
  </r>
  <r>
    <n v="5635640000000"/>
    <x v="0"/>
    <x v="33"/>
    <x v="4"/>
    <s v="JARDIM DA PENHA"/>
    <d v="2016-05-06T00:00:00"/>
    <d v="2016-06-02T00:00:00"/>
    <x v="3"/>
    <x v="65"/>
    <x v="1"/>
    <n v="0"/>
    <x v="1"/>
    <n v="0"/>
    <n v="0"/>
    <n v="0"/>
    <x v="1"/>
    <x v="0"/>
    <n v="0"/>
  </r>
  <r>
    <n v="9358180000000"/>
    <x v="0"/>
    <x v="18"/>
    <x v="0"/>
    <s v="BONFIM"/>
    <d v="2016-05-06T00:00:00"/>
    <d v="2016-05-06T00:00:00"/>
    <x v="0"/>
    <x v="94"/>
    <x v="5"/>
    <n v="0"/>
    <x v="0"/>
    <n v="0"/>
    <n v="0"/>
    <n v="0"/>
    <x v="1"/>
    <x v="0"/>
    <n v="0"/>
  </r>
  <r>
    <n v="86445900000000"/>
    <x v="0"/>
    <x v="33"/>
    <x v="4"/>
    <s v="ILHA DAS CAIEIRAS"/>
    <d v="2016-05-06T00:00:00"/>
    <d v="2016-05-09T00:00:00"/>
    <x v="2"/>
    <x v="89"/>
    <x v="4"/>
    <n v="1"/>
    <x v="1"/>
    <n v="0"/>
    <n v="0"/>
    <n v="0"/>
    <x v="1"/>
    <x v="0"/>
    <n v="0"/>
  </r>
  <r>
    <n v="4459820000000"/>
    <x v="0"/>
    <x v="43"/>
    <x v="2"/>
    <s v="CENTRO"/>
    <d v="2016-05-06T00:00:00"/>
    <d v="2016-05-06T00:00:00"/>
    <x v="0"/>
    <x v="94"/>
    <x v="5"/>
    <n v="0"/>
    <x v="1"/>
    <n v="0"/>
    <n v="0"/>
    <n v="0"/>
    <x v="1"/>
    <x v="0"/>
    <n v="0"/>
  </r>
  <r>
    <n v="676937000000000"/>
    <x v="0"/>
    <x v="82"/>
    <x v="0"/>
    <s v="PRAIA DO CANTO"/>
    <d v="2016-05-06T00:00:00"/>
    <d v="2016-05-19T00:00:00"/>
    <x v="3"/>
    <x v="82"/>
    <x v="2"/>
    <n v="0"/>
    <x v="0"/>
    <n v="0"/>
    <n v="0"/>
    <n v="0"/>
    <x v="1"/>
    <x v="0"/>
    <n v="0"/>
  </r>
  <r>
    <n v="31941500000000"/>
    <x v="0"/>
    <x v="2"/>
    <x v="1"/>
    <s v="VILA RUBIM"/>
    <d v="2016-05-06T00:00:00"/>
    <d v="2016-05-10T00:00:00"/>
    <x v="4"/>
    <x v="86"/>
    <x v="3"/>
    <n v="1"/>
    <x v="1"/>
    <n v="0"/>
    <n v="0"/>
    <n v="0"/>
    <x v="0"/>
    <x v="1"/>
    <n v="1"/>
  </r>
  <r>
    <n v="2648120000000"/>
    <x v="0"/>
    <x v="9"/>
    <x v="0"/>
    <s v="ANDORINHAS"/>
    <d v="2016-05-06T00:00:00"/>
    <d v="2016-05-06T00:00:00"/>
    <x v="0"/>
    <x v="94"/>
    <x v="5"/>
    <n v="0"/>
    <x v="0"/>
    <n v="1"/>
    <n v="0"/>
    <n v="0"/>
    <x v="1"/>
    <x v="0"/>
    <n v="0"/>
  </r>
  <r>
    <n v="122578000000"/>
    <x v="0"/>
    <x v="69"/>
    <x v="4"/>
    <s v="DA PENHA"/>
    <d v="2016-05-06T00:00:00"/>
    <d v="2016-05-16T00:00:00"/>
    <x v="2"/>
    <x v="83"/>
    <x v="2"/>
    <n v="1"/>
    <x v="1"/>
    <n v="0"/>
    <n v="0"/>
    <n v="0"/>
    <x v="1"/>
    <x v="0"/>
    <n v="0"/>
  </r>
  <r>
    <n v="2263960000000"/>
    <x v="0"/>
    <x v="71"/>
    <x v="4"/>
    <s v="DA PENHA"/>
    <d v="2016-05-06T00:00:00"/>
    <d v="2016-05-16T00:00:00"/>
    <x v="2"/>
    <x v="83"/>
    <x v="2"/>
    <n v="1"/>
    <x v="1"/>
    <n v="0"/>
    <n v="0"/>
    <n v="0"/>
    <x v="1"/>
    <x v="1"/>
    <n v="1"/>
  </r>
  <r>
    <n v="54398500000000"/>
    <x v="0"/>
    <x v="38"/>
    <x v="4"/>
    <s v="DA PENHA"/>
    <d v="2016-05-06T00:00:00"/>
    <d v="2016-05-16T00:00:00"/>
    <x v="2"/>
    <x v="83"/>
    <x v="2"/>
    <n v="1"/>
    <x v="1"/>
    <n v="0"/>
    <n v="0"/>
    <n v="0"/>
    <x v="1"/>
    <x v="1"/>
    <n v="1"/>
  </r>
  <r>
    <n v="41288500000000"/>
    <x v="0"/>
    <x v="77"/>
    <x v="4"/>
    <s v="ESTRELINHA"/>
    <d v="2016-05-06T00:00:00"/>
    <d v="2016-05-10T00:00:00"/>
    <x v="4"/>
    <x v="86"/>
    <x v="3"/>
    <n v="0"/>
    <x v="1"/>
    <n v="0"/>
    <n v="0"/>
    <n v="0"/>
    <x v="0"/>
    <x v="0"/>
    <n v="0"/>
  </r>
  <r>
    <n v="5295620000000"/>
    <x v="0"/>
    <x v="17"/>
    <x v="4"/>
    <s v="SAO BENEDITO"/>
    <d v="2016-05-06T00:00:00"/>
    <d v="2016-05-06T00:00:00"/>
    <x v="0"/>
    <x v="94"/>
    <x v="5"/>
    <n v="0"/>
    <x v="1"/>
    <n v="0"/>
    <n v="0"/>
    <n v="0"/>
    <x v="1"/>
    <x v="0"/>
    <n v="0"/>
  </r>
  <r>
    <n v="141147000000"/>
    <x v="1"/>
    <x v="6"/>
    <x v="0"/>
    <s v="ROMAO"/>
    <d v="2016-05-06T00:00:00"/>
    <d v="2016-05-10T00:00:00"/>
    <x v="4"/>
    <x v="86"/>
    <x v="3"/>
    <n v="0"/>
    <x v="1"/>
    <n v="0"/>
    <n v="0"/>
    <n v="0"/>
    <x v="0"/>
    <x v="0"/>
    <n v="0"/>
  </r>
  <r>
    <n v="515795000000"/>
    <x v="0"/>
    <x v="2"/>
    <x v="1"/>
    <s v="MARIO CYPRESTE"/>
    <d v="2016-05-06T00:00:00"/>
    <d v="2016-05-25T00:00:00"/>
    <x v="1"/>
    <x v="77"/>
    <x v="1"/>
    <n v="0"/>
    <x v="1"/>
    <n v="0"/>
    <n v="0"/>
    <n v="0"/>
    <x v="0"/>
    <x v="0"/>
    <n v="0"/>
  </r>
  <r>
    <n v="5436760000000"/>
    <x v="0"/>
    <x v="74"/>
    <x v="1"/>
    <s v="SANTA LUIZA"/>
    <d v="2016-05-06T00:00:00"/>
    <d v="2016-05-19T00:00:00"/>
    <x v="3"/>
    <x v="82"/>
    <x v="2"/>
    <n v="0"/>
    <x v="1"/>
    <n v="0"/>
    <n v="0"/>
    <n v="0"/>
    <x v="1"/>
    <x v="1"/>
    <n v="1"/>
  </r>
  <r>
    <n v="3813690000000"/>
    <x v="0"/>
    <x v="52"/>
    <x v="2"/>
    <s v="REDENCAO"/>
    <d v="2016-05-06T00:00:00"/>
    <d v="2016-05-06T00:00:00"/>
    <x v="0"/>
    <x v="94"/>
    <x v="5"/>
    <n v="0"/>
    <x v="1"/>
    <n v="0"/>
    <n v="0"/>
    <n v="0"/>
    <x v="1"/>
    <x v="0"/>
    <n v="0"/>
  </r>
  <r>
    <n v="8971800000000"/>
    <x v="0"/>
    <x v="77"/>
    <x v="4"/>
    <s v="FORTE SAO JOAO"/>
    <d v="2016-05-06T00:00:00"/>
    <d v="2016-05-13T00:00:00"/>
    <x v="0"/>
    <x v="87"/>
    <x v="3"/>
    <n v="0"/>
    <x v="1"/>
    <n v="0"/>
    <n v="0"/>
    <n v="0"/>
    <x v="1"/>
    <x v="0"/>
    <n v="0"/>
  </r>
  <r>
    <n v="4564830000000"/>
    <x v="0"/>
    <x v="24"/>
    <x v="1"/>
    <s v="SAO CRISTOVAO"/>
    <d v="2016-05-06T00:00:00"/>
    <d v="2016-05-06T00:00:00"/>
    <x v="0"/>
    <x v="94"/>
    <x v="5"/>
    <n v="0"/>
    <x v="0"/>
    <n v="0"/>
    <n v="0"/>
    <n v="0"/>
    <x v="1"/>
    <x v="0"/>
    <n v="0"/>
  </r>
  <r>
    <n v="6857860000000"/>
    <x v="0"/>
    <x v="37"/>
    <x v="3"/>
    <s v="FORTE SAO JOAO"/>
    <d v="2016-05-06T00:00:00"/>
    <d v="2016-05-06T00:00:00"/>
    <x v="0"/>
    <x v="94"/>
    <x v="5"/>
    <n v="0"/>
    <x v="0"/>
    <n v="1"/>
    <n v="0"/>
    <n v="0"/>
    <x v="1"/>
    <x v="0"/>
    <n v="0"/>
  </r>
  <r>
    <n v="92691600000000"/>
    <x v="0"/>
    <x v="66"/>
    <x v="2"/>
    <s v="CONSOLACAO"/>
    <d v="2016-05-06T00:00:00"/>
    <d v="2016-05-19T00:00:00"/>
    <x v="3"/>
    <x v="82"/>
    <x v="2"/>
    <n v="0"/>
    <x v="1"/>
    <n v="0"/>
    <n v="0"/>
    <n v="0"/>
    <x v="1"/>
    <x v="1"/>
    <n v="1"/>
  </r>
  <r>
    <n v="16511900000000"/>
    <x v="1"/>
    <x v="27"/>
    <x v="3"/>
    <s v="RESISTENCIA"/>
    <d v="2016-05-06T00:00:00"/>
    <d v="2016-05-11T00:00:00"/>
    <x v="1"/>
    <x v="92"/>
    <x v="3"/>
    <n v="0"/>
    <x v="1"/>
    <n v="0"/>
    <n v="0"/>
    <n v="0"/>
    <x v="0"/>
    <x v="0"/>
    <n v="0"/>
  </r>
  <r>
    <n v="3778720000000"/>
    <x v="0"/>
    <x v="48"/>
    <x v="3"/>
    <s v="GURIGICA"/>
    <d v="2016-05-06T00:00:00"/>
    <d v="2016-05-09T00:00:00"/>
    <x v="2"/>
    <x v="89"/>
    <x v="4"/>
    <n v="0"/>
    <x v="0"/>
    <n v="0"/>
    <n v="0"/>
    <n v="0"/>
    <x v="1"/>
    <x v="1"/>
    <n v="1"/>
  </r>
  <r>
    <n v="9873140000000"/>
    <x v="0"/>
    <x v="48"/>
    <x v="3"/>
    <s v="SANTA MARTHA"/>
    <d v="2016-05-06T00:00:00"/>
    <d v="2016-05-06T00:00:00"/>
    <x v="0"/>
    <x v="94"/>
    <x v="5"/>
    <n v="0"/>
    <x v="1"/>
    <n v="0"/>
    <n v="0"/>
    <n v="0"/>
    <x v="1"/>
    <x v="0"/>
    <n v="0"/>
  </r>
  <r>
    <n v="219528000000"/>
    <x v="0"/>
    <x v="61"/>
    <x v="1"/>
    <s v="SANTA MARTHA"/>
    <d v="2016-05-06T00:00:00"/>
    <d v="2016-05-06T00:00:00"/>
    <x v="0"/>
    <x v="94"/>
    <x v="5"/>
    <n v="0"/>
    <x v="1"/>
    <n v="0"/>
    <n v="0"/>
    <n v="0"/>
    <x v="1"/>
    <x v="0"/>
    <n v="0"/>
  </r>
  <r>
    <n v="784434000000"/>
    <x v="0"/>
    <x v="5"/>
    <x v="1"/>
    <s v="MARIA ORTIZ"/>
    <d v="2016-05-06T00:00:00"/>
    <d v="2016-05-06T00:00:00"/>
    <x v="0"/>
    <x v="94"/>
    <x v="5"/>
    <n v="0"/>
    <x v="1"/>
    <n v="0"/>
    <n v="0"/>
    <n v="0"/>
    <x v="1"/>
    <x v="0"/>
    <n v="0"/>
  </r>
  <r>
    <n v="839284000000000"/>
    <x v="0"/>
    <x v="61"/>
    <x v="1"/>
    <s v="SAO BENEDITO"/>
    <d v="2016-05-06T00:00:00"/>
    <d v="2016-05-06T00:00:00"/>
    <x v="0"/>
    <x v="94"/>
    <x v="5"/>
    <n v="1"/>
    <x v="1"/>
    <n v="0"/>
    <n v="0"/>
    <n v="0"/>
    <x v="1"/>
    <x v="0"/>
    <n v="0"/>
  </r>
  <r>
    <n v="929647000000"/>
    <x v="0"/>
    <x v="38"/>
    <x v="4"/>
    <s v="ANDORINHAS"/>
    <d v="2016-05-06T00:00:00"/>
    <d v="2016-05-06T00:00:00"/>
    <x v="0"/>
    <x v="94"/>
    <x v="5"/>
    <n v="0"/>
    <x v="1"/>
    <n v="0"/>
    <n v="0"/>
    <n v="0"/>
    <x v="1"/>
    <x v="0"/>
    <n v="0"/>
  </r>
  <r>
    <n v="139481000000000"/>
    <x v="0"/>
    <x v="84"/>
    <x v="1"/>
    <s v="NOVA PALESTINA"/>
    <d v="2016-05-06T00:00:00"/>
    <d v="2016-05-06T00:00:00"/>
    <x v="0"/>
    <x v="94"/>
    <x v="5"/>
    <n v="0"/>
    <x v="0"/>
    <n v="0"/>
    <n v="0"/>
    <n v="0"/>
    <x v="1"/>
    <x v="0"/>
    <n v="0"/>
  </r>
  <r>
    <n v="151999000000000"/>
    <x v="1"/>
    <x v="46"/>
    <x v="2"/>
    <s v="MARIA ORTIZ"/>
    <d v="2016-05-06T00:00:00"/>
    <d v="2016-05-06T00:00:00"/>
    <x v="0"/>
    <x v="94"/>
    <x v="5"/>
    <n v="0"/>
    <x v="1"/>
    <n v="0"/>
    <n v="0"/>
    <n v="0"/>
    <x v="1"/>
    <x v="0"/>
    <n v="0"/>
  </r>
  <r>
    <n v="86497739749"/>
    <x v="0"/>
    <x v="39"/>
    <x v="4"/>
    <s v="JARDIM DA PENHA"/>
    <d v="2016-05-06T00:00:00"/>
    <d v="2016-05-06T00:00:00"/>
    <x v="0"/>
    <x v="94"/>
    <x v="5"/>
    <n v="0"/>
    <x v="1"/>
    <n v="0"/>
    <n v="0"/>
    <n v="0"/>
    <x v="1"/>
    <x v="0"/>
    <n v="0"/>
  </r>
  <r>
    <n v="873975000000000"/>
    <x v="0"/>
    <x v="40"/>
    <x v="1"/>
    <s v="TABUAZEIRO"/>
    <d v="2016-05-06T00:00:00"/>
    <d v="2016-05-06T00:00:00"/>
    <x v="0"/>
    <x v="94"/>
    <x v="5"/>
    <n v="0"/>
    <x v="1"/>
    <n v="0"/>
    <n v="0"/>
    <n v="0"/>
    <x v="1"/>
    <x v="0"/>
    <n v="0"/>
  </r>
  <r>
    <n v="278716000000000"/>
    <x v="1"/>
    <x v="59"/>
    <x v="2"/>
    <s v="GURIGICA"/>
    <d v="2016-05-06T00:00:00"/>
    <d v="2016-05-06T00:00:00"/>
    <x v="0"/>
    <x v="94"/>
    <x v="5"/>
    <n v="0"/>
    <x v="1"/>
    <n v="0"/>
    <n v="0"/>
    <n v="0"/>
    <x v="1"/>
    <x v="0"/>
    <n v="0"/>
  </r>
  <r>
    <n v="26671400000000"/>
    <x v="0"/>
    <x v="7"/>
    <x v="3"/>
    <s v="BARRO VERMELHO"/>
    <d v="2016-05-06T00:00:00"/>
    <d v="2016-05-19T00:00:00"/>
    <x v="3"/>
    <x v="82"/>
    <x v="2"/>
    <n v="0"/>
    <x v="1"/>
    <n v="0"/>
    <n v="0"/>
    <n v="0"/>
    <x v="1"/>
    <x v="0"/>
    <n v="0"/>
  </r>
  <r>
    <n v="652673000000000"/>
    <x v="1"/>
    <x v="62"/>
    <x v="3"/>
    <s v="DE LOURDES"/>
    <d v="2016-05-06T00:00:00"/>
    <d v="2016-05-06T00:00:00"/>
    <x v="0"/>
    <x v="94"/>
    <x v="5"/>
    <n v="0"/>
    <x v="1"/>
    <n v="0"/>
    <n v="0"/>
    <n v="0"/>
    <x v="1"/>
    <x v="0"/>
    <n v="0"/>
  </r>
  <r>
    <n v="28865851445"/>
    <x v="0"/>
    <x v="11"/>
    <x v="0"/>
    <s v="ILHA DO PRINCIPE"/>
    <d v="2016-05-06T00:00:00"/>
    <d v="2016-05-09T00:00:00"/>
    <x v="2"/>
    <x v="89"/>
    <x v="4"/>
    <n v="0"/>
    <x v="0"/>
    <n v="0"/>
    <n v="0"/>
    <n v="0"/>
    <x v="1"/>
    <x v="1"/>
    <n v="1"/>
  </r>
  <r>
    <n v="175534000000000"/>
    <x v="0"/>
    <x v="45"/>
    <x v="1"/>
    <s v="SANTO ANDRE"/>
    <d v="2016-05-06T00:00:00"/>
    <d v="2016-05-09T00:00:00"/>
    <x v="2"/>
    <x v="89"/>
    <x v="4"/>
    <n v="0"/>
    <x v="0"/>
    <n v="1"/>
    <n v="0"/>
    <n v="0"/>
    <x v="1"/>
    <x v="1"/>
    <n v="1"/>
  </r>
  <r>
    <n v="83517400000000"/>
    <x v="0"/>
    <x v="84"/>
    <x v="1"/>
    <s v="MARIO CYPRESTE"/>
    <d v="2016-05-06T00:00:00"/>
    <d v="2016-05-06T00:00:00"/>
    <x v="0"/>
    <x v="94"/>
    <x v="5"/>
    <n v="0"/>
    <x v="1"/>
    <n v="0"/>
    <n v="0"/>
    <n v="0"/>
    <x v="1"/>
    <x v="0"/>
    <n v="0"/>
  </r>
  <r>
    <n v="88181500000000"/>
    <x v="0"/>
    <x v="83"/>
    <x v="0"/>
    <s v="JARDIM DA PENHA"/>
    <d v="2016-05-06T00:00:00"/>
    <d v="2016-06-03T00:00:00"/>
    <x v="0"/>
    <x v="64"/>
    <x v="1"/>
    <n v="0"/>
    <x v="0"/>
    <n v="0"/>
    <n v="0"/>
    <n v="0"/>
    <x v="0"/>
    <x v="0"/>
    <n v="0"/>
  </r>
  <r>
    <n v="47869800000000"/>
    <x v="1"/>
    <x v="72"/>
    <x v="5"/>
    <s v="JARDIM CAMBURI"/>
    <d v="2016-05-06T00:00:00"/>
    <d v="2016-05-06T00:00:00"/>
    <x v="0"/>
    <x v="94"/>
    <x v="5"/>
    <n v="0"/>
    <x v="1"/>
    <n v="0"/>
    <n v="0"/>
    <n v="0"/>
    <x v="1"/>
    <x v="0"/>
    <n v="0"/>
  </r>
  <r>
    <n v="52296400000000"/>
    <x v="1"/>
    <x v="74"/>
    <x v="1"/>
    <s v="INHANGUETA"/>
    <d v="2016-05-06T00:00:00"/>
    <d v="2016-05-06T00:00:00"/>
    <x v="0"/>
    <x v="94"/>
    <x v="5"/>
    <n v="0"/>
    <x v="0"/>
    <n v="0"/>
    <n v="0"/>
    <n v="0"/>
    <x v="1"/>
    <x v="0"/>
    <n v="0"/>
  </r>
  <r>
    <n v="173439000000"/>
    <x v="1"/>
    <x v="46"/>
    <x v="2"/>
    <s v="ILHA DAS CAIEIRAS"/>
    <d v="2016-05-06T00:00:00"/>
    <d v="2016-05-06T00:00:00"/>
    <x v="0"/>
    <x v="94"/>
    <x v="5"/>
    <n v="0"/>
    <x v="1"/>
    <n v="0"/>
    <n v="0"/>
    <n v="0"/>
    <x v="1"/>
    <x v="0"/>
    <n v="0"/>
  </r>
  <r>
    <n v="59487300000000"/>
    <x v="0"/>
    <x v="57"/>
    <x v="2"/>
    <s v="JARDIM DA PENHA"/>
    <d v="2016-05-06T00:00:00"/>
    <d v="2016-06-01T00:00:00"/>
    <x v="1"/>
    <x v="68"/>
    <x v="1"/>
    <n v="0"/>
    <x v="1"/>
    <n v="0"/>
    <n v="0"/>
    <n v="0"/>
    <x v="0"/>
    <x v="0"/>
    <n v="0"/>
  </r>
  <r>
    <n v="273831000000000"/>
    <x v="0"/>
    <x v="12"/>
    <x v="3"/>
    <s v="REPUBLICA"/>
    <d v="2016-05-06T00:00:00"/>
    <d v="2016-05-19T00:00:00"/>
    <x v="3"/>
    <x v="82"/>
    <x v="2"/>
    <n v="0"/>
    <x v="0"/>
    <n v="0"/>
    <n v="0"/>
    <n v="0"/>
    <x v="1"/>
    <x v="0"/>
    <n v="0"/>
  </r>
  <r>
    <n v="255992000000"/>
    <x v="0"/>
    <x v="30"/>
    <x v="3"/>
    <s v="ROMAO"/>
    <d v="2016-05-06T00:00:00"/>
    <d v="2016-05-06T00:00:00"/>
    <x v="0"/>
    <x v="94"/>
    <x v="5"/>
    <n v="0"/>
    <x v="0"/>
    <n v="0"/>
    <n v="0"/>
    <n v="0"/>
    <x v="1"/>
    <x v="0"/>
    <n v="0"/>
  </r>
  <r>
    <n v="34552500000000"/>
    <x v="1"/>
    <x v="57"/>
    <x v="2"/>
    <s v="CRUZAMENTO"/>
    <d v="2016-05-06T00:00:00"/>
    <d v="2016-05-06T00:00:00"/>
    <x v="0"/>
    <x v="94"/>
    <x v="5"/>
    <n v="0"/>
    <x v="1"/>
    <n v="0"/>
    <n v="0"/>
    <n v="0"/>
    <x v="1"/>
    <x v="0"/>
    <n v="0"/>
  </r>
  <r>
    <n v="333381000000"/>
    <x v="0"/>
    <x v="24"/>
    <x v="1"/>
    <s v="SAO JOSE"/>
    <d v="2016-05-06T00:00:00"/>
    <d v="2016-05-09T00:00:00"/>
    <x v="2"/>
    <x v="89"/>
    <x v="4"/>
    <n v="0"/>
    <x v="1"/>
    <n v="0"/>
    <n v="0"/>
    <n v="0"/>
    <x v="1"/>
    <x v="1"/>
    <n v="1"/>
  </r>
  <r>
    <n v="5573580000000"/>
    <x v="1"/>
    <x v="4"/>
    <x v="2"/>
    <s v="JABOUR"/>
    <d v="2016-05-06T00:00:00"/>
    <d v="2016-05-06T00:00:00"/>
    <x v="0"/>
    <x v="94"/>
    <x v="5"/>
    <n v="0"/>
    <x v="1"/>
    <n v="0"/>
    <n v="0"/>
    <n v="0"/>
    <x v="1"/>
    <x v="0"/>
    <n v="0"/>
  </r>
  <r>
    <n v="297891000000000"/>
    <x v="1"/>
    <x v="51"/>
    <x v="2"/>
    <s v="BELA VISTA"/>
    <d v="2016-05-06T00:00:00"/>
    <d v="2016-05-12T00:00:00"/>
    <x v="3"/>
    <x v="90"/>
    <x v="3"/>
    <n v="0"/>
    <x v="1"/>
    <n v="0"/>
    <n v="0"/>
    <n v="0"/>
    <x v="1"/>
    <x v="0"/>
    <n v="0"/>
  </r>
  <r>
    <n v="3257550000000"/>
    <x v="1"/>
    <x v="77"/>
    <x v="4"/>
    <s v="SAO JOSE"/>
    <d v="2016-05-06T00:00:00"/>
    <d v="2016-05-06T00:00:00"/>
    <x v="0"/>
    <x v="94"/>
    <x v="5"/>
    <n v="0"/>
    <x v="1"/>
    <n v="0"/>
    <n v="1"/>
    <n v="0"/>
    <x v="1"/>
    <x v="0"/>
    <n v="0"/>
  </r>
  <r>
    <n v="941182000000000"/>
    <x v="0"/>
    <x v="7"/>
    <x v="3"/>
    <s v="FRADINHOS"/>
    <d v="2016-05-06T00:00:00"/>
    <d v="2016-05-06T00:00:00"/>
    <x v="0"/>
    <x v="94"/>
    <x v="5"/>
    <n v="0"/>
    <x v="1"/>
    <n v="0"/>
    <n v="0"/>
    <n v="0"/>
    <x v="1"/>
    <x v="0"/>
    <n v="0"/>
  </r>
  <r>
    <n v="987415000000000"/>
    <x v="1"/>
    <x v="55"/>
    <x v="2"/>
    <s v="SAO BENEDITO"/>
    <d v="2016-05-06T00:00:00"/>
    <d v="2016-05-06T00:00:00"/>
    <x v="0"/>
    <x v="94"/>
    <x v="5"/>
    <n v="0"/>
    <x v="1"/>
    <n v="0"/>
    <n v="0"/>
    <n v="0"/>
    <x v="1"/>
    <x v="0"/>
    <n v="0"/>
  </r>
  <r>
    <n v="268626000000000"/>
    <x v="0"/>
    <x v="46"/>
    <x v="2"/>
    <s v="MARIA ORTIZ"/>
    <d v="2016-05-06T00:00:00"/>
    <d v="2016-05-09T00:00:00"/>
    <x v="2"/>
    <x v="89"/>
    <x v="4"/>
    <n v="0"/>
    <x v="1"/>
    <n v="0"/>
    <n v="0"/>
    <n v="0"/>
    <x v="1"/>
    <x v="0"/>
    <n v="0"/>
  </r>
  <r>
    <n v="4494160000000"/>
    <x v="0"/>
    <x v="81"/>
    <x v="5"/>
    <s v="JESUS DE NAZARETH"/>
    <d v="2016-05-06T00:00:00"/>
    <d v="2016-05-09T00:00:00"/>
    <x v="2"/>
    <x v="89"/>
    <x v="4"/>
    <n v="0"/>
    <x v="1"/>
    <n v="0"/>
    <n v="0"/>
    <n v="0"/>
    <x v="1"/>
    <x v="0"/>
    <n v="0"/>
  </r>
  <r>
    <n v="84372900000000"/>
    <x v="1"/>
    <x v="54"/>
    <x v="1"/>
    <s v="BONFIM"/>
    <d v="2016-05-06T00:00:00"/>
    <d v="2016-05-06T00:00:00"/>
    <x v="0"/>
    <x v="94"/>
    <x v="5"/>
    <n v="0"/>
    <x v="1"/>
    <n v="0"/>
    <n v="0"/>
    <n v="0"/>
    <x v="1"/>
    <x v="0"/>
    <n v="0"/>
  </r>
  <r>
    <n v="4891350000000"/>
    <x v="0"/>
    <x v="79"/>
    <x v="5"/>
    <s v="SAO PEDRO"/>
    <d v="2016-05-06T00:00:00"/>
    <d v="2016-05-06T00:00:00"/>
    <x v="0"/>
    <x v="94"/>
    <x v="5"/>
    <n v="0"/>
    <x v="1"/>
    <n v="0"/>
    <n v="0"/>
    <n v="0"/>
    <x v="1"/>
    <x v="0"/>
    <n v="0"/>
  </r>
  <r>
    <n v="665999000000000"/>
    <x v="0"/>
    <x v="36"/>
    <x v="3"/>
    <s v="ILHA DO PRINCIPE"/>
    <d v="2016-05-06T00:00:00"/>
    <d v="2016-05-18T00:00:00"/>
    <x v="1"/>
    <x v="84"/>
    <x v="2"/>
    <n v="0"/>
    <x v="0"/>
    <n v="0"/>
    <n v="0"/>
    <n v="0"/>
    <x v="1"/>
    <x v="0"/>
    <n v="0"/>
  </r>
  <r>
    <n v="587488000000000"/>
    <x v="0"/>
    <x v="44"/>
    <x v="4"/>
    <s v="JABOUR"/>
    <d v="2016-05-06T00:00:00"/>
    <d v="2016-06-03T00:00:00"/>
    <x v="0"/>
    <x v="64"/>
    <x v="1"/>
    <n v="0"/>
    <x v="1"/>
    <n v="0"/>
    <n v="0"/>
    <n v="0"/>
    <x v="0"/>
    <x v="1"/>
    <n v="1"/>
  </r>
  <r>
    <n v="525583000000000"/>
    <x v="0"/>
    <x v="10"/>
    <x v="4"/>
    <s v="NOVA PALESTINA"/>
    <d v="2016-05-06T00:00:00"/>
    <d v="2016-05-31T00:00:00"/>
    <x v="4"/>
    <x v="70"/>
    <x v="1"/>
    <n v="0"/>
    <x v="1"/>
    <n v="0"/>
    <n v="0"/>
    <n v="0"/>
    <x v="0"/>
    <x v="1"/>
    <n v="1"/>
  </r>
  <r>
    <n v="72748100000000"/>
    <x v="0"/>
    <x v="6"/>
    <x v="0"/>
    <s v="JARDIM CAMBURI"/>
    <d v="2016-05-06T00:00:00"/>
    <d v="2016-05-06T00:00:00"/>
    <x v="0"/>
    <x v="94"/>
    <x v="5"/>
    <n v="0"/>
    <x v="1"/>
    <n v="0"/>
    <n v="0"/>
    <n v="0"/>
    <x v="1"/>
    <x v="0"/>
    <n v="0"/>
  </r>
  <r>
    <n v="992672000000000"/>
    <x v="0"/>
    <x v="37"/>
    <x v="3"/>
    <s v="MARIA ORTIZ"/>
    <d v="2016-05-06T00:00:00"/>
    <d v="2016-05-06T00:00:00"/>
    <x v="0"/>
    <x v="94"/>
    <x v="5"/>
    <n v="0"/>
    <x v="0"/>
    <n v="0"/>
    <n v="0"/>
    <n v="0"/>
    <x v="1"/>
    <x v="0"/>
    <n v="0"/>
  </r>
  <r>
    <n v="822146000000000"/>
    <x v="1"/>
    <x v="56"/>
    <x v="1"/>
    <s v="REDENCAO"/>
    <d v="2016-05-06T00:00:00"/>
    <d v="2016-05-06T00:00:00"/>
    <x v="0"/>
    <x v="94"/>
    <x v="5"/>
    <n v="0"/>
    <x v="1"/>
    <n v="0"/>
    <n v="0"/>
    <n v="0"/>
    <x v="1"/>
    <x v="0"/>
    <n v="0"/>
  </r>
  <r>
    <n v="45927900000000"/>
    <x v="0"/>
    <x v="55"/>
    <x v="2"/>
    <s v="BOA VISTA"/>
    <d v="2016-05-06T00:00:00"/>
    <d v="2016-05-11T00:00:00"/>
    <x v="1"/>
    <x v="92"/>
    <x v="3"/>
    <n v="0"/>
    <x v="1"/>
    <n v="0"/>
    <n v="0"/>
    <n v="0"/>
    <x v="0"/>
    <x v="0"/>
    <n v="0"/>
  </r>
  <r>
    <n v="796660000000000"/>
    <x v="0"/>
    <x v="24"/>
    <x v="1"/>
    <s v="JARDIM CAMBURI"/>
    <d v="2016-05-06T00:00:00"/>
    <d v="2016-05-06T00:00:00"/>
    <x v="0"/>
    <x v="94"/>
    <x v="5"/>
    <n v="0"/>
    <x v="1"/>
    <n v="0"/>
    <n v="0"/>
    <n v="0"/>
    <x v="1"/>
    <x v="0"/>
    <n v="0"/>
  </r>
  <r>
    <n v="1998570000000"/>
    <x v="0"/>
    <x v="73"/>
    <x v="4"/>
    <s v="TABUAZEIRO"/>
    <d v="2016-05-06T00:00:00"/>
    <d v="2016-05-20T00:00:00"/>
    <x v="0"/>
    <x v="80"/>
    <x v="2"/>
    <n v="0"/>
    <x v="1"/>
    <n v="0"/>
    <n v="0"/>
    <n v="0"/>
    <x v="1"/>
    <x v="1"/>
    <n v="1"/>
  </r>
  <r>
    <n v="95866500000000"/>
    <x v="1"/>
    <x v="39"/>
    <x v="4"/>
    <s v="ILHA DO PRINCIPE"/>
    <d v="2016-05-06T00:00:00"/>
    <d v="2016-05-19T00:00:00"/>
    <x v="3"/>
    <x v="82"/>
    <x v="2"/>
    <n v="0"/>
    <x v="1"/>
    <n v="0"/>
    <n v="0"/>
    <n v="0"/>
    <x v="1"/>
    <x v="0"/>
    <n v="0"/>
  </r>
  <r>
    <n v="38247915222"/>
    <x v="0"/>
    <x v="49"/>
    <x v="4"/>
    <s v="UNIVERSITARIO"/>
    <d v="2016-05-06T00:00:00"/>
    <d v="2016-05-11T00:00:00"/>
    <x v="1"/>
    <x v="92"/>
    <x v="3"/>
    <n v="0"/>
    <x v="1"/>
    <n v="0"/>
    <n v="0"/>
    <n v="0"/>
    <x v="0"/>
    <x v="1"/>
    <n v="1"/>
  </r>
  <r>
    <n v="61866600000000"/>
    <x v="0"/>
    <x v="4"/>
    <x v="2"/>
    <s v="CENTRO"/>
    <d v="2016-05-06T00:00:00"/>
    <d v="2016-05-06T00:00:00"/>
    <x v="0"/>
    <x v="94"/>
    <x v="5"/>
    <n v="0"/>
    <x v="1"/>
    <n v="0"/>
    <n v="0"/>
    <n v="0"/>
    <x v="1"/>
    <x v="0"/>
    <n v="0"/>
  </r>
  <r>
    <n v="25317600000000"/>
    <x v="0"/>
    <x v="35"/>
    <x v="0"/>
    <s v="SANTA MARTHA"/>
    <d v="2016-05-06T00:00:00"/>
    <d v="2016-05-06T00:00:00"/>
    <x v="0"/>
    <x v="94"/>
    <x v="5"/>
    <n v="0"/>
    <x v="0"/>
    <n v="1"/>
    <n v="0"/>
    <n v="0"/>
    <x v="1"/>
    <x v="0"/>
    <n v="0"/>
  </r>
  <r>
    <n v="86877900000000"/>
    <x v="1"/>
    <x v="29"/>
    <x v="3"/>
    <s v="RESISTENCIA"/>
    <d v="2016-05-06T00:00:00"/>
    <d v="2016-05-18T00:00:00"/>
    <x v="1"/>
    <x v="84"/>
    <x v="2"/>
    <n v="0"/>
    <x v="1"/>
    <n v="0"/>
    <n v="0"/>
    <n v="0"/>
    <x v="1"/>
    <x v="0"/>
    <n v="0"/>
  </r>
  <r>
    <n v="793821000000"/>
    <x v="0"/>
    <x v="23"/>
    <x v="3"/>
    <s v="SANTO ANDRE"/>
    <d v="2016-05-06T00:00:00"/>
    <d v="2016-05-06T00:00:00"/>
    <x v="0"/>
    <x v="94"/>
    <x v="5"/>
    <n v="0"/>
    <x v="1"/>
    <n v="0"/>
    <n v="0"/>
    <n v="0"/>
    <x v="1"/>
    <x v="0"/>
    <n v="0"/>
  </r>
  <r>
    <n v="919415000000000"/>
    <x v="0"/>
    <x v="22"/>
    <x v="4"/>
    <s v="CRUZAMENTO"/>
    <d v="2016-05-06T00:00:00"/>
    <d v="2016-05-06T00:00:00"/>
    <x v="0"/>
    <x v="94"/>
    <x v="5"/>
    <n v="0"/>
    <x v="1"/>
    <n v="0"/>
    <n v="0"/>
    <n v="0"/>
    <x v="1"/>
    <x v="0"/>
    <n v="0"/>
  </r>
  <r>
    <n v="3482860000000"/>
    <x v="0"/>
    <x v="57"/>
    <x v="2"/>
    <s v="BENTO FERREIRA"/>
    <d v="2016-05-06T00:00:00"/>
    <d v="2016-05-16T00:00:00"/>
    <x v="2"/>
    <x v="83"/>
    <x v="2"/>
    <n v="0"/>
    <x v="1"/>
    <n v="0"/>
    <n v="0"/>
    <n v="0"/>
    <x v="1"/>
    <x v="0"/>
    <n v="0"/>
  </r>
  <r>
    <n v="655824000000000"/>
    <x v="1"/>
    <x v="25"/>
    <x v="4"/>
    <s v="SANTA MARTHA"/>
    <d v="2016-05-06T00:00:00"/>
    <d v="2016-05-06T00:00:00"/>
    <x v="0"/>
    <x v="94"/>
    <x v="5"/>
    <n v="1"/>
    <x v="0"/>
    <n v="0"/>
    <n v="0"/>
    <n v="0"/>
    <x v="1"/>
    <x v="0"/>
    <n v="0"/>
  </r>
  <r>
    <n v="19755400000000"/>
    <x v="0"/>
    <x v="62"/>
    <x v="3"/>
    <s v="JARDIM CAMBURI"/>
    <d v="2016-05-06T00:00:00"/>
    <d v="2016-05-09T00:00:00"/>
    <x v="2"/>
    <x v="89"/>
    <x v="4"/>
    <n v="0"/>
    <x v="1"/>
    <n v="0"/>
    <n v="0"/>
    <n v="0"/>
    <x v="1"/>
    <x v="0"/>
    <n v="0"/>
  </r>
  <r>
    <n v="56589900000000"/>
    <x v="0"/>
    <x v="32"/>
    <x v="4"/>
    <s v="RESISTENCIA"/>
    <d v="2016-05-06T00:00:00"/>
    <d v="2016-05-20T00:00:00"/>
    <x v="0"/>
    <x v="80"/>
    <x v="2"/>
    <n v="0"/>
    <x v="1"/>
    <n v="0"/>
    <n v="0"/>
    <n v="0"/>
    <x v="1"/>
    <x v="0"/>
    <n v="0"/>
  </r>
  <r>
    <n v="522597000000000"/>
    <x v="0"/>
    <x v="56"/>
    <x v="1"/>
    <s v="ANDORINHAS"/>
    <d v="2016-05-06T00:00:00"/>
    <d v="2016-05-06T00:00:00"/>
    <x v="0"/>
    <x v="94"/>
    <x v="5"/>
    <n v="1"/>
    <x v="0"/>
    <n v="0"/>
    <n v="0"/>
    <n v="0"/>
    <x v="1"/>
    <x v="0"/>
    <n v="0"/>
  </r>
  <r>
    <n v="86140000000000"/>
    <x v="0"/>
    <x v="41"/>
    <x v="4"/>
    <s v="GRANDE VITORIA"/>
    <d v="2016-05-06T00:00:00"/>
    <d v="2016-05-19T00:00:00"/>
    <x v="3"/>
    <x v="82"/>
    <x v="2"/>
    <n v="0"/>
    <x v="1"/>
    <n v="0"/>
    <n v="0"/>
    <n v="0"/>
    <x v="1"/>
    <x v="0"/>
    <n v="0"/>
  </r>
  <r>
    <n v="417266000000000"/>
    <x v="1"/>
    <x v="45"/>
    <x v="1"/>
    <s v="BELA VISTA"/>
    <d v="2016-05-06T00:00:00"/>
    <d v="2016-05-11T00:00:00"/>
    <x v="1"/>
    <x v="92"/>
    <x v="3"/>
    <n v="0"/>
    <x v="1"/>
    <n v="0"/>
    <n v="1"/>
    <n v="0"/>
    <x v="0"/>
    <x v="0"/>
    <n v="0"/>
  </r>
  <r>
    <n v="1376280000000"/>
    <x v="0"/>
    <x v="10"/>
    <x v="4"/>
    <s v="CENTRO"/>
    <d v="2016-05-06T00:00:00"/>
    <d v="2016-06-03T00:00:00"/>
    <x v="0"/>
    <x v="64"/>
    <x v="1"/>
    <n v="0"/>
    <x v="1"/>
    <n v="0"/>
    <n v="0"/>
    <n v="0"/>
    <x v="0"/>
    <x v="0"/>
    <n v="0"/>
  </r>
  <r>
    <n v="11787700000000"/>
    <x v="0"/>
    <x v="1"/>
    <x v="0"/>
    <s v="TABUAZEIRO"/>
    <d v="2016-05-06T00:00:00"/>
    <d v="2016-05-09T00:00:00"/>
    <x v="2"/>
    <x v="89"/>
    <x v="4"/>
    <n v="0"/>
    <x v="1"/>
    <n v="0"/>
    <n v="0"/>
    <n v="0"/>
    <x v="1"/>
    <x v="0"/>
    <n v="0"/>
  </r>
  <r>
    <n v="69236100000000"/>
    <x v="0"/>
    <x v="47"/>
    <x v="4"/>
    <s v="SANTO ANDRE"/>
    <d v="2016-05-06T00:00:00"/>
    <d v="2016-06-02T00:00:00"/>
    <x v="3"/>
    <x v="65"/>
    <x v="1"/>
    <n v="0"/>
    <x v="1"/>
    <n v="0"/>
    <n v="0"/>
    <n v="0"/>
    <x v="0"/>
    <x v="0"/>
    <n v="0"/>
  </r>
  <r>
    <n v="992836000000"/>
    <x v="1"/>
    <x v="14"/>
    <x v="3"/>
    <s v="ANDORINHAS"/>
    <d v="2016-05-06T00:00:00"/>
    <d v="2016-06-01T00:00:00"/>
    <x v="1"/>
    <x v="68"/>
    <x v="1"/>
    <n v="0"/>
    <x v="0"/>
    <n v="0"/>
    <n v="0"/>
    <n v="0"/>
    <x v="1"/>
    <x v="0"/>
    <n v="0"/>
  </r>
  <r>
    <n v="7458180000000"/>
    <x v="0"/>
    <x v="33"/>
    <x v="4"/>
    <s v="SAO JOSE"/>
    <d v="2016-05-06T00:00:00"/>
    <d v="2016-05-06T00:00:00"/>
    <x v="0"/>
    <x v="94"/>
    <x v="5"/>
    <n v="0"/>
    <x v="1"/>
    <n v="0"/>
    <n v="0"/>
    <n v="0"/>
    <x v="1"/>
    <x v="0"/>
    <n v="0"/>
  </r>
  <r>
    <n v="669515000000000"/>
    <x v="0"/>
    <x v="7"/>
    <x v="3"/>
    <s v="JARDIM DA PENHA"/>
    <d v="2016-05-06T00:00:00"/>
    <d v="2016-06-03T00:00:00"/>
    <x v="0"/>
    <x v="64"/>
    <x v="1"/>
    <n v="0"/>
    <x v="1"/>
    <n v="0"/>
    <n v="0"/>
    <n v="0"/>
    <x v="0"/>
    <x v="0"/>
    <n v="0"/>
  </r>
  <r>
    <n v="2516250000000"/>
    <x v="0"/>
    <x v="48"/>
    <x v="3"/>
    <s v="PRAIA DO CANTO"/>
    <d v="2016-05-06T00:00:00"/>
    <d v="2016-05-20T00:00:00"/>
    <x v="0"/>
    <x v="80"/>
    <x v="2"/>
    <n v="0"/>
    <x v="0"/>
    <n v="1"/>
    <n v="0"/>
    <n v="0"/>
    <x v="1"/>
    <x v="0"/>
    <n v="0"/>
  </r>
  <r>
    <n v="13799300000000"/>
    <x v="0"/>
    <x v="46"/>
    <x v="2"/>
    <s v="GRANDE VITORIA"/>
    <d v="2016-05-06T00:00:00"/>
    <d v="2016-05-09T00:00:00"/>
    <x v="2"/>
    <x v="89"/>
    <x v="4"/>
    <n v="0"/>
    <x v="1"/>
    <n v="0"/>
    <n v="0"/>
    <n v="0"/>
    <x v="1"/>
    <x v="1"/>
    <n v="1"/>
  </r>
  <r>
    <n v="79437700000000"/>
    <x v="1"/>
    <x v="41"/>
    <x v="4"/>
    <s v="NOVA PALESTINA"/>
    <d v="2016-05-06T00:00:00"/>
    <d v="2016-05-10T00:00:00"/>
    <x v="4"/>
    <x v="86"/>
    <x v="3"/>
    <n v="0"/>
    <x v="1"/>
    <n v="0"/>
    <n v="0"/>
    <n v="0"/>
    <x v="0"/>
    <x v="0"/>
    <n v="0"/>
  </r>
  <r>
    <n v="48752200000000"/>
    <x v="0"/>
    <x v="80"/>
    <x v="2"/>
    <s v="JARDIM DA PENHA"/>
    <d v="2016-05-06T00:00:00"/>
    <d v="2016-05-30T00:00:00"/>
    <x v="2"/>
    <x v="66"/>
    <x v="1"/>
    <n v="0"/>
    <x v="1"/>
    <n v="0"/>
    <n v="0"/>
    <n v="0"/>
    <x v="0"/>
    <x v="1"/>
    <n v="1"/>
  </r>
  <r>
    <n v="7254930000000"/>
    <x v="1"/>
    <x v="79"/>
    <x v="5"/>
    <s v="DO QUADRO"/>
    <d v="2016-05-06T00:00:00"/>
    <d v="2016-05-06T00:00:00"/>
    <x v="0"/>
    <x v="94"/>
    <x v="5"/>
    <n v="0"/>
    <x v="1"/>
    <n v="0"/>
    <n v="0"/>
    <n v="0"/>
    <x v="1"/>
    <x v="1"/>
    <n v="1"/>
  </r>
  <r>
    <n v="6375660000000"/>
    <x v="1"/>
    <x v="21"/>
    <x v="1"/>
    <s v="MARIA ORTIZ"/>
    <d v="2016-05-06T00:00:00"/>
    <d v="2016-05-06T00:00:00"/>
    <x v="0"/>
    <x v="94"/>
    <x v="5"/>
    <n v="0"/>
    <x v="1"/>
    <n v="0"/>
    <n v="0"/>
    <n v="0"/>
    <x v="1"/>
    <x v="0"/>
    <n v="0"/>
  </r>
  <r>
    <n v="112377000000000"/>
    <x v="0"/>
    <x v="8"/>
    <x v="0"/>
    <s v="CONSOLACAO"/>
    <d v="2016-05-06T00:00:00"/>
    <d v="2016-05-30T00:00:00"/>
    <x v="2"/>
    <x v="66"/>
    <x v="1"/>
    <n v="0"/>
    <x v="1"/>
    <n v="0"/>
    <n v="0"/>
    <n v="0"/>
    <x v="0"/>
    <x v="0"/>
    <n v="0"/>
  </r>
  <r>
    <n v="389694000000"/>
    <x v="0"/>
    <x v="40"/>
    <x v="1"/>
    <s v="SANTA LUCIA"/>
    <d v="2016-05-06T00:00:00"/>
    <d v="2016-05-10T00:00:00"/>
    <x v="4"/>
    <x v="86"/>
    <x v="3"/>
    <n v="0"/>
    <x v="1"/>
    <n v="0"/>
    <n v="0"/>
    <n v="0"/>
    <x v="1"/>
    <x v="0"/>
    <n v="0"/>
  </r>
  <r>
    <n v="928949000000"/>
    <x v="1"/>
    <x v="28"/>
    <x v="3"/>
    <s v="ESTRELINHA"/>
    <d v="2016-05-06T00:00:00"/>
    <d v="2016-05-10T00:00:00"/>
    <x v="4"/>
    <x v="86"/>
    <x v="3"/>
    <n v="0"/>
    <x v="0"/>
    <n v="0"/>
    <n v="0"/>
    <n v="0"/>
    <x v="0"/>
    <x v="0"/>
    <n v="0"/>
  </r>
  <r>
    <n v="32557400000000"/>
    <x v="0"/>
    <x v="71"/>
    <x v="4"/>
    <s v="CONSOLACAO"/>
    <d v="2016-05-06T00:00:00"/>
    <d v="2016-05-10T00:00:00"/>
    <x v="4"/>
    <x v="86"/>
    <x v="3"/>
    <n v="0"/>
    <x v="1"/>
    <n v="0"/>
    <n v="0"/>
    <n v="0"/>
    <x v="0"/>
    <x v="1"/>
    <n v="1"/>
  </r>
  <r>
    <n v="11851900000000"/>
    <x v="0"/>
    <x v="5"/>
    <x v="1"/>
    <s v="SANTA LUCIA"/>
    <d v="2016-05-06T00:00:00"/>
    <d v="2016-05-10T00:00:00"/>
    <x v="4"/>
    <x v="86"/>
    <x v="3"/>
    <n v="0"/>
    <x v="1"/>
    <n v="0"/>
    <n v="0"/>
    <n v="0"/>
    <x v="0"/>
    <x v="0"/>
    <n v="0"/>
  </r>
  <r>
    <n v="435892000000000"/>
    <x v="0"/>
    <x v="42"/>
    <x v="3"/>
    <s v="GURIGICA"/>
    <d v="2016-05-06T00:00:00"/>
    <d v="2016-05-06T00:00:00"/>
    <x v="0"/>
    <x v="94"/>
    <x v="5"/>
    <n v="0"/>
    <x v="1"/>
    <n v="0"/>
    <n v="0"/>
    <n v="0"/>
    <x v="1"/>
    <x v="0"/>
    <n v="0"/>
  </r>
  <r>
    <n v="49958200000000"/>
    <x v="0"/>
    <x v="23"/>
    <x v="3"/>
    <s v="JABOUR"/>
    <d v="2016-05-06T00:00:00"/>
    <d v="2016-06-02T00:00:00"/>
    <x v="3"/>
    <x v="65"/>
    <x v="1"/>
    <n v="0"/>
    <x v="1"/>
    <n v="0"/>
    <n v="0"/>
    <n v="0"/>
    <x v="0"/>
    <x v="1"/>
    <n v="1"/>
  </r>
  <r>
    <n v="77215300000000"/>
    <x v="0"/>
    <x v="26"/>
    <x v="0"/>
    <s v="TABUAZEIRO"/>
    <d v="2016-05-06T00:00:00"/>
    <d v="2016-05-10T00:00:00"/>
    <x v="4"/>
    <x v="86"/>
    <x v="3"/>
    <n v="0"/>
    <x v="0"/>
    <n v="1"/>
    <n v="0"/>
    <n v="0"/>
    <x v="0"/>
    <x v="0"/>
    <n v="0"/>
  </r>
  <r>
    <n v="5258980000000"/>
    <x v="0"/>
    <x v="36"/>
    <x v="3"/>
    <s v="NOVA PALESTINA"/>
    <d v="2016-05-06T00:00:00"/>
    <d v="2016-05-10T00:00:00"/>
    <x v="4"/>
    <x v="86"/>
    <x v="3"/>
    <n v="0"/>
    <x v="0"/>
    <n v="0"/>
    <n v="0"/>
    <n v="0"/>
    <x v="0"/>
    <x v="0"/>
    <n v="0"/>
  </r>
  <r>
    <n v="613625000000000"/>
    <x v="0"/>
    <x v="48"/>
    <x v="3"/>
    <s v="JABOUR"/>
    <d v="2016-05-06T00:00:00"/>
    <d v="2016-06-01T00:00:00"/>
    <x v="1"/>
    <x v="68"/>
    <x v="1"/>
    <n v="0"/>
    <x v="1"/>
    <n v="0"/>
    <n v="0"/>
    <n v="0"/>
    <x v="1"/>
    <x v="0"/>
    <n v="0"/>
  </r>
  <r>
    <n v="1577390000000"/>
    <x v="0"/>
    <x v="74"/>
    <x v="1"/>
    <s v="SANTO ANTONIO"/>
    <d v="2016-05-06T00:00:00"/>
    <d v="2016-05-10T00:00:00"/>
    <x v="4"/>
    <x v="86"/>
    <x v="3"/>
    <n v="0"/>
    <x v="1"/>
    <n v="0"/>
    <n v="0"/>
    <n v="0"/>
    <x v="0"/>
    <x v="0"/>
    <n v="0"/>
  </r>
  <r>
    <n v="5137540000000"/>
    <x v="0"/>
    <x v="15"/>
    <x v="3"/>
    <s v="JARDIM CAMBURI"/>
    <d v="2016-05-06T00:00:00"/>
    <d v="2016-05-10T00:00:00"/>
    <x v="4"/>
    <x v="86"/>
    <x v="3"/>
    <n v="0"/>
    <x v="1"/>
    <n v="0"/>
    <n v="0"/>
    <n v="0"/>
    <x v="0"/>
    <x v="0"/>
    <n v="0"/>
  </r>
  <r>
    <n v="872279000000"/>
    <x v="1"/>
    <x v="87"/>
    <x v="1"/>
    <s v="REPUBLICA"/>
    <d v="2016-05-06T00:00:00"/>
    <d v="2016-05-09T00:00:00"/>
    <x v="2"/>
    <x v="89"/>
    <x v="4"/>
    <n v="0"/>
    <x v="1"/>
    <n v="0"/>
    <n v="0"/>
    <n v="0"/>
    <x v="1"/>
    <x v="0"/>
    <n v="0"/>
  </r>
  <r>
    <n v="39725500000000"/>
    <x v="0"/>
    <x v="29"/>
    <x v="3"/>
    <s v="BONFIM"/>
    <d v="2016-05-06T00:00:00"/>
    <d v="2016-05-31T00:00:00"/>
    <x v="4"/>
    <x v="70"/>
    <x v="1"/>
    <n v="0"/>
    <x v="1"/>
    <n v="0"/>
    <n v="1"/>
    <n v="0"/>
    <x v="0"/>
    <x v="0"/>
    <n v="0"/>
  </r>
  <r>
    <n v="8724440000000"/>
    <x v="0"/>
    <x v="58"/>
    <x v="0"/>
    <s v="SANTA TEREZA"/>
    <d v="2016-05-06T00:00:00"/>
    <d v="2016-05-06T00:00:00"/>
    <x v="0"/>
    <x v="94"/>
    <x v="5"/>
    <n v="0"/>
    <x v="0"/>
    <n v="0"/>
    <n v="0"/>
    <n v="0"/>
    <x v="1"/>
    <x v="0"/>
    <n v="0"/>
  </r>
  <r>
    <n v="73166700000000"/>
    <x v="0"/>
    <x v="29"/>
    <x v="3"/>
    <s v="DA PENHA"/>
    <d v="2016-05-06T00:00:00"/>
    <d v="2016-05-10T00:00:00"/>
    <x v="4"/>
    <x v="86"/>
    <x v="3"/>
    <n v="0"/>
    <x v="0"/>
    <n v="0"/>
    <n v="0"/>
    <n v="0"/>
    <x v="0"/>
    <x v="1"/>
    <n v="1"/>
  </r>
  <r>
    <n v="156968000000"/>
    <x v="1"/>
    <x v="43"/>
    <x v="2"/>
    <s v="MARIA ORTIZ"/>
    <d v="2016-05-06T00:00:00"/>
    <d v="2016-05-12T00:00:00"/>
    <x v="3"/>
    <x v="90"/>
    <x v="3"/>
    <n v="0"/>
    <x v="1"/>
    <n v="0"/>
    <n v="0"/>
    <n v="0"/>
    <x v="0"/>
    <x v="0"/>
    <n v="0"/>
  </r>
  <r>
    <n v="36848500000000"/>
    <x v="0"/>
    <x v="25"/>
    <x v="4"/>
    <s v="DE LOURDES"/>
    <d v="2016-05-06T00:00:00"/>
    <d v="2016-05-06T00:00:00"/>
    <x v="0"/>
    <x v="94"/>
    <x v="5"/>
    <n v="0"/>
    <x v="1"/>
    <n v="0"/>
    <n v="0"/>
    <n v="0"/>
    <x v="1"/>
    <x v="0"/>
    <n v="0"/>
  </r>
  <r>
    <n v="932352000000000"/>
    <x v="1"/>
    <x v="44"/>
    <x v="4"/>
    <s v="DA PENHA"/>
    <d v="2016-05-06T00:00:00"/>
    <d v="2016-05-06T00:00:00"/>
    <x v="0"/>
    <x v="94"/>
    <x v="5"/>
    <n v="0"/>
    <x v="1"/>
    <n v="0"/>
    <n v="0"/>
    <n v="0"/>
    <x v="1"/>
    <x v="0"/>
    <n v="0"/>
  </r>
  <r>
    <n v="74529200000000"/>
    <x v="0"/>
    <x v="41"/>
    <x v="4"/>
    <s v="ILHA DAS CAIEIRAS"/>
    <d v="2016-05-06T00:00:00"/>
    <d v="2016-05-10T00:00:00"/>
    <x v="4"/>
    <x v="86"/>
    <x v="3"/>
    <n v="0"/>
    <x v="1"/>
    <n v="0"/>
    <n v="0"/>
    <n v="0"/>
    <x v="0"/>
    <x v="0"/>
    <n v="0"/>
  </r>
  <r>
    <n v="351852000000000"/>
    <x v="0"/>
    <x v="31"/>
    <x v="1"/>
    <s v="DO QUADRO"/>
    <d v="2016-05-06T00:00:00"/>
    <d v="2016-05-16T00:00:00"/>
    <x v="2"/>
    <x v="83"/>
    <x v="2"/>
    <n v="1"/>
    <x v="1"/>
    <n v="0"/>
    <n v="0"/>
    <n v="0"/>
    <x v="1"/>
    <x v="0"/>
    <n v="0"/>
  </r>
  <r>
    <n v="46939400000000"/>
    <x v="0"/>
    <x v="21"/>
    <x v="1"/>
    <s v="CRUZAMENTO"/>
    <d v="2016-05-06T00:00:00"/>
    <d v="2016-05-10T00:00:00"/>
    <x v="4"/>
    <x v="86"/>
    <x v="3"/>
    <n v="0"/>
    <x v="0"/>
    <n v="0"/>
    <n v="0"/>
    <n v="0"/>
    <x v="0"/>
    <x v="0"/>
    <n v="0"/>
  </r>
  <r>
    <n v="11998500000000"/>
    <x v="1"/>
    <x v="46"/>
    <x v="2"/>
    <s v="TABUAZEIRO"/>
    <d v="2016-05-06T00:00:00"/>
    <d v="2016-05-11T00:00:00"/>
    <x v="1"/>
    <x v="92"/>
    <x v="3"/>
    <n v="0"/>
    <x v="1"/>
    <n v="0"/>
    <n v="0"/>
    <n v="0"/>
    <x v="0"/>
    <x v="1"/>
    <n v="1"/>
  </r>
  <r>
    <n v="74971800000000"/>
    <x v="1"/>
    <x v="59"/>
    <x v="2"/>
    <s v="SAO PEDRO"/>
    <d v="2016-05-06T00:00:00"/>
    <d v="2016-05-20T00:00:00"/>
    <x v="0"/>
    <x v="80"/>
    <x v="2"/>
    <n v="0"/>
    <x v="1"/>
    <n v="0"/>
    <n v="0"/>
    <n v="0"/>
    <x v="1"/>
    <x v="1"/>
    <n v="1"/>
  </r>
  <r>
    <n v="53981900000000"/>
    <x v="0"/>
    <x v="23"/>
    <x v="3"/>
    <s v="BONFIM"/>
    <d v="2016-05-06T00:00:00"/>
    <d v="2016-06-07T00:00:00"/>
    <x v="4"/>
    <x v="54"/>
    <x v="0"/>
    <n v="0"/>
    <x v="0"/>
    <n v="0"/>
    <n v="0"/>
    <n v="0"/>
    <x v="0"/>
    <x v="0"/>
    <n v="0"/>
  </r>
  <r>
    <n v="15987800000000"/>
    <x v="0"/>
    <x v="62"/>
    <x v="3"/>
    <s v="SANTA MARTHA"/>
    <d v="2016-05-06T00:00:00"/>
    <d v="2016-05-06T00:00:00"/>
    <x v="0"/>
    <x v="94"/>
    <x v="5"/>
    <n v="0"/>
    <x v="0"/>
    <n v="0"/>
    <n v="1"/>
    <n v="0"/>
    <x v="1"/>
    <x v="0"/>
    <n v="0"/>
  </r>
  <r>
    <n v="386621000000000"/>
    <x v="1"/>
    <x v="16"/>
    <x v="1"/>
    <s v="MARIO CYPRESTE"/>
    <d v="2016-05-06T00:00:00"/>
    <d v="2016-05-06T00:00:00"/>
    <x v="0"/>
    <x v="94"/>
    <x v="5"/>
    <n v="0"/>
    <x v="1"/>
    <n v="0"/>
    <n v="0"/>
    <n v="0"/>
    <x v="1"/>
    <x v="1"/>
    <n v="1"/>
  </r>
  <r>
    <n v="32843500000000"/>
    <x v="1"/>
    <x v="50"/>
    <x v="1"/>
    <s v="MARIA ORTIZ"/>
    <d v="2016-05-06T00:00:00"/>
    <d v="2016-05-06T00:00:00"/>
    <x v="0"/>
    <x v="94"/>
    <x v="5"/>
    <n v="0"/>
    <x v="1"/>
    <n v="0"/>
    <n v="0"/>
    <n v="0"/>
    <x v="1"/>
    <x v="0"/>
    <n v="0"/>
  </r>
  <r>
    <n v="55245429361"/>
    <x v="0"/>
    <x v="27"/>
    <x v="3"/>
    <s v="PARQUE MOSCOSO"/>
    <d v="2016-05-06T00:00:00"/>
    <d v="2016-05-06T00:00:00"/>
    <x v="0"/>
    <x v="94"/>
    <x v="5"/>
    <n v="0"/>
    <x v="1"/>
    <n v="0"/>
    <n v="0"/>
    <n v="0"/>
    <x v="1"/>
    <x v="0"/>
    <n v="0"/>
  </r>
  <r>
    <n v="31478375542"/>
    <x v="0"/>
    <x v="27"/>
    <x v="3"/>
    <s v="JABOUR"/>
    <d v="2016-05-06T00:00:00"/>
    <d v="2016-06-02T00:00:00"/>
    <x v="3"/>
    <x v="65"/>
    <x v="1"/>
    <n v="0"/>
    <x v="1"/>
    <n v="0"/>
    <n v="0"/>
    <n v="0"/>
    <x v="0"/>
    <x v="0"/>
    <n v="0"/>
  </r>
  <r>
    <n v="3357220000000"/>
    <x v="0"/>
    <x v="28"/>
    <x v="3"/>
    <s v="CARATOIRA"/>
    <d v="2016-05-06T00:00:00"/>
    <d v="2016-05-10T00:00:00"/>
    <x v="4"/>
    <x v="86"/>
    <x v="3"/>
    <n v="0"/>
    <x v="0"/>
    <n v="0"/>
    <n v="0"/>
    <n v="0"/>
    <x v="0"/>
    <x v="0"/>
    <n v="0"/>
  </r>
  <r>
    <n v="8413350000000"/>
    <x v="1"/>
    <x v="22"/>
    <x v="4"/>
    <s v="BARRO VERMELHO"/>
    <d v="2016-05-06T00:00:00"/>
    <d v="2016-05-06T00:00:00"/>
    <x v="0"/>
    <x v="94"/>
    <x v="5"/>
    <n v="0"/>
    <x v="1"/>
    <n v="0"/>
    <n v="0"/>
    <n v="0"/>
    <x v="1"/>
    <x v="0"/>
    <n v="0"/>
  </r>
  <r>
    <n v="87172100000000"/>
    <x v="0"/>
    <x v="53"/>
    <x v="0"/>
    <s v="PARQUE MOSCOSO"/>
    <d v="2016-05-06T00:00:00"/>
    <d v="2016-05-10T00:00:00"/>
    <x v="4"/>
    <x v="86"/>
    <x v="3"/>
    <n v="0"/>
    <x v="1"/>
    <n v="0"/>
    <n v="0"/>
    <n v="0"/>
    <x v="0"/>
    <x v="1"/>
    <n v="1"/>
  </r>
  <r>
    <n v="534619000000000"/>
    <x v="0"/>
    <x v="12"/>
    <x v="3"/>
    <s v="ANDORINHAS"/>
    <d v="2016-05-06T00:00:00"/>
    <d v="2016-05-09T00:00:00"/>
    <x v="2"/>
    <x v="89"/>
    <x v="4"/>
    <n v="0"/>
    <x v="1"/>
    <n v="0"/>
    <n v="0"/>
    <n v="1"/>
    <x v="1"/>
    <x v="0"/>
    <n v="0"/>
  </r>
  <r>
    <n v="468586000000000"/>
    <x v="1"/>
    <x v="41"/>
    <x v="4"/>
    <s v="MATA DA PRAIA"/>
    <d v="2016-05-06T00:00:00"/>
    <d v="2016-05-06T00:00:00"/>
    <x v="0"/>
    <x v="94"/>
    <x v="5"/>
    <n v="0"/>
    <x v="1"/>
    <n v="0"/>
    <n v="0"/>
    <n v="0"/>
    <x v="1"/>
    <x v="0"/>
    <n v="0"/>
  </r>
  <r>
    <n v="33211800000000"/>
    <x v="0"/>
    <x v="52"/>
    <x v="2"/>
    <s v="ILHA DO PRINCIPE"/>
    <d v="2016-05-06T00:00:00"/>
    <d v="2016-05-06T00:00:00"/>
    <x v="0"/>
    <x v="94"/>
    <x v="5"/>
    <n v="1"/>
    <x v="1"/>
    <n v="0"/>
    <n v="0"/>
    <n v="0"/>
    <x v="1"/>
    <x v="0"/>
    <n v="0"/>
  </r>
  <r>
    <n v="5182450000000"/>
    <x v="0"/>
    <x v="64"/>
    <x v="3"/>
    <s v="SANTO ANTONIO"/>
    <d v="2016-05-06T00:00:00"/>
    <d v="2016-06-08T00:00:00"/>
    <x v="1"/>
    <x v="62"/>
    <x v="0"/>
    <n v="0"/>
    <x v="0"/>
    <n v="0"/>
    <n v="0"/>
    <n v="0"/>
    <x v="0"/>
    <x v="0"/>
    <n v="0"/>
  </r>
  <r>
    <n v="756883000000"/>
    <x v="0"/>
    <x v="10"/>
    <x v="4"/>
    <s v="MARIA ORTIZ"/>
    <d v="2016-05-06T00:00:00"/>
    <d v="2016-06-02T00:00:00"/>
    <x v="3"/>
    <x v="65"/>
    <x v="1"/>
    <n v="0"/>
    <x v="1"/>
    <n v="0"/>
    <n v="0"/>
    <n v="0"/>
    <x v="0"/>
    <x v="1"/>
    <n v="1"/>
  </r>
  <r>
    <n v="715994000000000"/>
    <x v="0"/>
    <x v="81"/>
    <x v="5"/>
    <s v="SANTO ANDRE"/>
    <d v="2016-05-06T00:00:00"/>
    <d v="2016-05-06T00:00:00"/>
    <x v="0"/>
    <x v="94"/>
    <x v="5"/>
    <n v="0"/>
    <x v="1"/>
    <n v="0"/>
    <n v="0"/>
    <n v="0"/>
    <x v="1"/>
    <x v="0"/>
    <n v="0"/>
  </r>
  <r>
    <n v="756883000000"/>
    <x v="0"/>
    <x v="10"/>
    <x v="4"/>
    <s v="MARIA ORTIZ"/>
    <d v="2016-05-06T00:00:00"/>
    <d v="2016-05-30T00:00:00"/>
    <x v="2"/>
    <x v="66"/>
    <x v="1"/>
    <n v="0"/>
    <x v="1"/>
    <n v="0"/>
    <n v="0"/>
    <n v="0"/>
    <x v="0"/>
    <x v="1"/>
    <n v="1"/>
  </r>
  <r>
    <n v="719262000000"/>
    <x v="0"/>
    <x v="9"/>
    <x v="0"/>
    <s v="SAO PEDRO"/>
    <d v="2016-05-06T00:00:00"/>
    <d v="2016-05-13T00:00:00"/>
    <x v="0"/>
    <x v="87"/>
    <x v="3"/>
    <n v="0"/>
    <x v="0"/>
    <n v="1"/>
    <n v="0"/>
    <n v="0"/>
    <x v="1"/>
    <x v="0"/>
    <n v="0"/>
  </r>
  <r>
    <n v="25455500000000"/>
    <x v="0"/>
    <x v="72"/>
    <x v="5"/>
    <s v="MARIA ORTIZ"/>
    <d v="2016-05-06T00:00:00"/>
    <d v="2016-06-06T00:00:00"/>
    <x v="2"/>
    <x v="57"/>
    <x v="0"/>
    <n v="1"/>
    <x v="1"/>
    <n v="0"/>
    <n v="0"/>
    <n v="0"/>
    <x v="0"/>
    <x v="1"/>
    <n v="1"/>
  </r>
  <r>
    <n v="549371000000000"/>
    <x v="1"/>
    <x v="30"/>
    <x v="3"/>
    <s v="NOVA PALESTINA"/>
    <d v="2016-05-06T00:00:00"/>
    <d v="2016-05-09T00:00:00"/>
    <x v="2"/>
    <x v="89"/>
    <x v="4"/>
    <n v="0"/>
    <x v="1"/>
    <n v="0"/>
    <n v="0"/>
    <n v="0"/>
    <x v="1"/>
    <x v="0"/>
    <n v="0"/>
  </r>
  <r>
    <n v="26555700000000"/>
    <x v="0"/>
    <x v="72"/>
    <x v="5"/>
    <s v="JARDIM DA PENHA"/>
    <d v="2016-05-06T00:00:00"/>
    <d v="2016-05-09T00:00:00"/>
    <x v="2"/>
    <x v="89"/>
    <x v="4"/>
    <n v="0"/>
    <x v="1"/>
    <n v="0"/>
    <n v="0"/>
    <n v="0"/>
    <x v="1"/>
    <x v="0"/>
    <n v="0"/>
  </r>
  <r>
    <n v="485650000000000"/>
    <x v="1"/>
    <x v="43"/>
    <x v="2"/>
    <s v="ILHA DO PRINCIPE"/>
    <d v="2016-05-06T00:00:00"/>
    <d v="2016-05-06T00:00:00"/>
    <x v="0"/>
    <x v="94"/>
    <x v="5"/>
    <n v="1"/>
    <x v="1"/>
    <n v="0"/>
    <n v="0"/>
    <n v="0"/>
    <x v="1"/>
    <x v="0"/>
    <n v="0"/>
  </r>
  <r>
    <n v="6961710000000"/>
    <x v="0"/>
    <x v="70"/>
    <x v="5"/>
    <s v="JESUS DE NAZARETH"/>
    <d v="2016-05-06T00:00:00"/>
    <d v="2016-05-10T00:00:00"/>
    <x v="4"/>
    <x v="86"/>
    <x v="3"/>
    <n v="0"/>
    <x v="1"/>
    <n v="0"/>
    <n v="0"/>
    <n v="0"/>
    <x v="0"/>
    <x v="1"/>
    <n v="1"/>
  </r>
  <r>
    <n v="872279000000"/>
    <x v="1"/>
    <x v="87"/>
    <x v="1"/>
    <s v="REPUBLICA"/>
    <d v="2016-05-06T00:00:00"/>
    <d v="2016-05-06T00:00:00"/>
    <x v="0"/>
    <x v="94"/>
    <x v="5"/>
    <n v="0"/>
    <x v="1"/>
    <n v="0"/>
    <n v="0"/>
    <n v="0"/>
    <x v="1"/>
    <x v="0"/>
    <n v="0"/>
  </r>
  <r>
    <n v="716572000000000"/>
    <x v="0"/>
    <x v="87"/>
    <x v="1"/>
    <s v="NOVA PALESTINA"/>
    <d v="2016-05-06T00:00:00"/>
    <d v="2016-05-06T00:00:00"/>
    <x v="0"/>
    <x v="94"/>
    <x v="5"/>
    <n v="1"/>
    <x v="0"/>
    <n v="0"/>
    <n v="0"/>
    <n v="0"/>
    <x v="1"/>
    <x v="0"/>
    <n v="0"/>
  </r>
  <r>
    <n v="42422700000000"/>
    <x v="1"/>
    <x v="61"/>
    <x v="1"/>
    <s v="SAO PEDRO"/>
    <d v="2016-05-06T00:00:00"/>
    <d v="2016-05-13T00:00:00"/>
    <x v="0"/>
    <x v="87"/>
    <x v="3"/>
    <n v="0"/>
    <x v="1"/>
    <n v="1"/>
    <n v="0"/>
    <n v="0"/>
    <x v="1"/>
    <x v="1"/>
    <n v="1"/>
  </r>
  <r>
    <n v="63284400000000"/>
    <x v="0"/>
    <x v="77"/>
    <x v="4"/>
    <s v="TABUAZEIRO"/>
    <d v="2016-05-06T00:00:00"/>
    <d v="2016-05-16T00:00:00"/>
    <x v="2"/>
    <x v="83"/>
    <x v="2"/>
    <n v="0"/>
    <x v="1"/>
    <n v="0"/>
    <n v="0"/>
    <n v="0"/>
    <x v="1"/>
    <x v="1"/>
    <n v="1"/>
  </r>
  <r>
    <n v="172989000000000"/>
    <x v="0"/>
    <x v="38"/>
    <x v="4"/>
    <s v="SAO JOSE"/>
    <d v="2016-05-06T00:00:00"/>
    <d v="2016-05-18T00:00:00"/>
    <x v="1"/>
    <x v="84"/>
    <x v="2"/>
    <n v="1"/>
    <x v="1"/>
    <n v="0"/>
    <n v="0"/>
    <n v="0"/>
    <x v="1"/>
    <x v="0"/>
    <n v="0"/>
  </r>
  <r>
    <n v="7687995549"/>
    <x v="0"/>
    <x v="52"/>
    <x v="2"/>
    <s v="ILHA DAS CAIEIRAS"/>
    <d v="2016-05-06T00:00:00"/>
    <d v="2016-05-06T00:00:00"/>
    <x v="0"/>
    <x v="94"/>
    <x v="5"/>
    <n v="0"/>
    <x v="1"/>
    <n v="0"/>
    <n v="0"/>
    <n v="0"/>
    <x v="1"/>
    <x v="0"/>
    <n v="0"/>
  </r>
  <r>
    <n v="19235300000000"/>
    <x v="0"/>
    <x v="6"/>
    <x v="0"/>
    <s v="JABOUR"/>
    <d v="2016-05-06T00:00:00"/>
    <d v="2016-06-03T00:00:00"/>
    <x v="0"/>
    <x v="64"/>
    <x v="1"/>
    <n v="0"/>
    <x v="1"/>
    <n v="0"/>
    <n v="0"/>
    <n v="0"/>
    <x v="0"/>
    <x v="0"/>
    <n v="0"/>
  </r>
  <r>
    <n v="62339100000000"/>
    <x v="0"/>
    <x v="73"/>
    <x v="4"/>
    <s v="SAO BENEDITO"/>
    <d v="2016-05-06T00:00:00"/>
    <d v="2016-05-30T00:00:00"/>
    <x v="2"/>
    <x v="66"/>
    <x v="1"/>
    <n v="1"/>
    <x v="1"/>
    <n v="0"/>
    <n v="0"/>
    <n v="0"/>
    <x v="0"/>
    <x v="0"/>
    <n v="0"/>
  </r>
  <r>
    <n v="75936400000000"/>
    <x v="0"/>
    <x v="41"/>
    <x v="4"/>
    <s v="JABOUR"/>
    <d v="2016-05-06T00:00:00"/>
    <d v="2016-06-01T00:00:00"/>
    <x v="1"/>
    <x v="68"/>
    <x v="1"/>
    <n v="0"/>
    <x v="1"/>
    <n v="0"/>
    <n v="0"/>
    <n v="0"/>
    <x v="0"/>
    <x v="0"/>
    <n v="0"/>
  </r>
  <r>
    <n v="87678900000000"/>
    <x v="0"/>
    <x v="43"/>
    <x v="2"/>
    <s v="SAO BENEDITO"/>
    <d v="2016-05-06T00:00:00"/>
    <d v="2016-05-30T00:00:00"/>
    <x v="2"/>
    <x v="66"/>
    <x v="1"/>
    <n v="1"/>
    <x v="1"/>
    <n v="0"/>
    <n v="0"/>
    <n v="0"/>
    <x v="0"/>
    <x v="0"/>
    <n v="0"/>
  </r>
  <r>
    <n v="683473000000"/>
    <x v="0"/>
    <x v="31"/>
    <x v="1"/>
    <s v="CENTRO"/>
    <d v="2016-05-06T00:00:00"/>
    <d v="2016-05-20T00:00:00"/>
    <x v="0"/>
    <x v="80"/>
    <x v="2"/>
    <n v="0"/>
    <x v="1"/>
    <n v="0"/>
    <n v="0"/>
    <n v="0"/>
    <x v="1"/>
    <x v="0"/>
    <n v="0"/>
  </r>
  <r>
    <n v="3541610000000"/>
    <x v="0"/>
    <x v="80"/>
    <x v="2"/>
    <s v="BONFIM"/>
    <d v="2016-05-06T00:00:00"/>
    <d v="2016-05-09T00:00:00"/>
    <x v="2"/>
    <x v="89"/>
    <x v="4"/>
    <n v="0"/>
    <x v="1"/>
    <n v="0"/>
    <n v="0"/>
    <n v="0"/>
    <x v="1"/>
    <x v="1"/>
    <n v="1"/>
  </r>
  <r>
    <n v="733116000000"/>
    <x v="0"/>
    <x v="56"/>
    <x v="1"/>
    <s v="MARIA ORTIZ"/>
    <d v="2016-05-06T00:00:00"/>
    <d v="2016-05-30T00:00:00"/>
    <x v="2"/>
    <x v="66"/>
    <x v="1"/>
    <n v="0"/>
    <x v="1"/>
    <n v="0"/>
    <n v="0"/>
    <n v="0"/>
    <x v="0"/>
    <x v="0"/>
    <n v="0"/>
  </r>
  <r>
    <n v="72189500000000"/>
    <x v="0"/>
    <x v="25"/>
    <x v="4"/>
    <s v="RESISTENCIA"/>
    <d v="2016-05-06T00:00:00"/>
    <d v="2016-05-06T00:00:00"/>
    <x v="0"/>
    <x v="94"/>
    <x v="5"/>
    <n v="1"/>
    <x v="1"/>
    <n v="0"/>
    <n v="0"/>
    <n v="0"/>
    <x v="1"/>
    <x v="0"/>
    <n v="0"/>
  </r>
  <r>
    <n v="389328000000000"/>
    <x v="0"/>
    <x v="40"/>
    <x v="1"/>
    <s v="SANTOS REIS"/>
    <d v="2016-05-06T00:00:00"/>
    <d v="2016-05-06T00:00:00"/>
    <x v="0"/>
    <x v="94"/>
    <x v="5"/>
    <n v="0"/>
    <x v="1"/>
    <n v="0"/>
    <n v="0"/>
    <n v="0"/>
    <x v="1"/>
    <x v="0"/>
    <n v="0"/>
  </r>
  <r>
    <n v="7168610000000"/>
    <x v="0"/>
    <x v="75"/>
    <x v="5"/>
    <s v="ILHA DO PRINCIPE"/>
    <d v="2016-05-06T00:00:00"/>
    <d v="2016-05-06T00:00:00"/>
    <x v="0"/>
    <x v="94"/>
    <x v="5"/>
    <n v="1"/>
    <x v="1"/>
    <n v="0"/>
    <n v="0"/>
    <n v="0"/>
    <x v="1"/>
    <x v="0"/>
    <n v="0"/>
  </r>
  <r>
    <n v="2573510000000"/>
    <x v="0"/>
    <x v="22"/>
    <x v="4"/>
    <s v="CONSOLACAO"/>
    <d v="2016-05-06T00:00:00"/>
    <d v="2016-05-20T00:00:00"/>
    <x v="0"/>
    <x v="80"/>
    <x v="2"/>
    <n v="0"/>
    <x v="1"/>
    <n v="0"/>
    <n v="0"/>
    <n v="0"/>
    <x v="1"/>
    <x v="0"/>
    <n v="0"/>
  </r>
  <r>
    <n v="11933000000000"/>
    <x v="0"/>
    <x v="54"/>
    <x v="1"/>
    <s v="SANTA TEREZA"/>
    <d v="2016-05-06T00:00:00"/>
    <d v="2016-05-06T00:00:00"/>
    <x v="0"/>
    <x v="94"/>
    <x v="5"/>
    <n v="1"/>
    <x v="1"/>
    <n v="0"/>
    <n v="0"/>
    <n v="0"/>
    <x v="1"/>
    <x v="0"/>
    <n v="0"/>
  </r>
  <r>
    <n v="38184200000000"/>
    <x v="0"/>
    <x v="16"/>
    <x v="1"/>
    <s v="ANDORINHAS"/>
    <d v="2016-05-06T00:00:00"/>
    <d v="2016-05-10T00:00:00"/>
    <x v="4"/>
    <x v="86"/>
    <x v="3"/>
    <n v="0"/>
    <x v="0"/>
    <n v="1"/>
    <n v="0"/>
    <n v="0"/>
    <x v="0"/>
    <x v="0"/>
    <n v="0"/>
  </r>
  <r>
    <n v="375678000000000"/>
    <x v="0"/>
    <x v="77"/>
    <x v="4"/>
    <s v="MONTE BELO"/>
    <d v="2016-05-06T00:00:00"/>
    <d v="2016-05-13T00:00:00"/>
    <x v="0"/>
    <x v="87"/>
    <x v="3"/>
    <n v="0"/>
    <x v="1"/>
    <n v="0"/>
    <n v="0"/>
    <n v="0"/>
    <x v="1"/>
    <x v="0"/>
    <n v="0"/>
  </r>
  <r>
    <n v="4275590000000"/>
    <x v="0"/>
    <x v="51"/>
    <x v="2"/>
    <s v="MONTE BELO"/>
    <d v="2016-05-06T00:00:00"/>
    <d v="2016-05-10T00:00:00"/>
    <x v="4"/>
    <x v="86"/>
    <x v="3"/>
    <n v="0"/>
    <x v="1"/>
    <n v="0"/>
    <n v="0"/>
    <n v="0"/>
    <x v="0"/>
    <x v="0"/>
    <n v="0"/>
  </r>
  <r>
    <n v="19791800000000"/>
    <x v="0"/>
    <x v="14"/>
    <x v="3"/>
    <s v="SANTO ANDRE"/>
    <d v="2016-05-06T00:00:00"/>
    <d v="2016-06-02T00:00:00"/>
    <x v="3"/>
    <x v="65"/>
    <x v="1"/>
    <n v="0"/>
    <x v="1"/>
    <n v="0"/>
    <n v="0"/>
    <n v="1"/>
    <x v="0"/>
    <x v="1"/>
    <n v="1"/>
  </r>
  <r>
    <n v="43986300000000"/>
    <x v="1"/>
    <x v="72"/>
    <x v="5"/>
    <s v="SANTA CLARA"/>
    <d v="2016-05-06T00:00:00"/>
    <d v="2016-05-09T00:00:00"/>
    <x v="2"/>
    <x v="89"/>
    <x v="4"/>
    <n v="0"/>
    <x v="1"/>
    <n v="0"/>
    <n v="0"/>
    <n v="0"/>
    <x v="1"/>
    <x v="1"/>
    <n v="1"/>
  </r>
  <r>
    <n v="977356000000"/>
    <x v="0"/>
    <x v="87"/>
    <x v="1"/>
    <s v="GRANDE VITORIA"/>
    <d v="2016-05-06T00:00:00"/>
    <d v="2016-05-06T00:00:00"/>
    <x v="0"/>
    <x v="94"/>
    <x v="5"/>
    <n v="0"/>
    <x v="1"/>
    <n v="0"/>
    <n v="0"/>
    <n v="0"/>
    <x v="1"/>
    <x v="0"/>
    <n v="0"/>
  </r>
  <r>
    <n v="87543500000000"/>
    <x v="1"/>
    <x v="75"/>
    <x v="5"/>
    <s v="JUCUTUQUARA"/>
    <d v="2016-05-06T00:00:00"/>
    <d v="2016-05-24T00:00:00"/>
    <x v="4"/>
    <x v="74"/>
    <x v="1"/>
    <n v="0"/>
    <x v="1"/>
    <n v="0"/>
    <n v="0"/>
    <n v="0"/>
    <x v="0"/>
    <x v="0"/>
    <n v="0"/>
  </r>
  <r>
    <n v="141616000000000"/>
    <x v="0"/>
    <x v="27"/>
    <x v="3"/>
    <s v="JARDIM DA PENHA"/>
    <d v="2016-05-06T00:00:00"/>
    <d v="2016-05-31T00:00:00"/>
    <x v="4"/>
    <x v="70"/>
    <x v="1"/>
    <n v="0"/>
    <x v="1"/>
    <n v="0"/>
    <n v="0"/>
    <n v="0"/>
    <x v="0"/>
    <x v="0"/>
    <n v="0"/>
  </r>
  <r>
    <n v="75148800000000"/>
    <x v="0"/>
    <x v="84"/>
    <x v="1"/>
    <s v="SAO CRISTOVAO"/>
    <d v="2016-05-06T00:00:00"/>
    <d v="2016-05-06T00:00:00"/>
    <x v="0"/>
    <x v="94"/>
    <x v="5"/>
    <n v="0"/>
    <x v="1"/>
    <n v="0"/>
    <n v="0"/>
    <n v="0"/>
    <x v="1"/>
    <x v="0"/>
    <n v="0"/>
  </r>
  <r>
    <n v="69249300000000"/>
    <x v="0"/>
    <x v="48"/>
    <x v="3"/>
    <s v="FORTE SAO JOAO"/>
    <d v="2016-05-06T00:00:00"/>
    <d v="2016-05-12T00:00:00"/>
    <x v="3"/>
    <x v="90"/>
    <x v="3"/>
    <n v="0"/>
    <x v="1"/>
    <n v="0"/>
    <n v="0"/>
    <n v="0"/>
    <x v="1"/>
    <x v="0"/>
    <n v="0"/>
  </r>
  <r>
    <n v="64736100000000"/>
    <x v="0"/>
    <x v="55"/>
    <x v="2"/>
    <s v="JARDIM CAMBURI"/>
    <d v="2016-05-06T00:00:00"/>
    <d v="2016-05-10T00:00:00"/>
    <x v="4"/>
    <x v="86"/>
    <x v="3"/>
    <n v="0"/>
    <x v="1"/>
    <n v="0"/>
    <n v="0"/>
    <n v="0"/>
    <x v="0"/>
    <x v="0"/>
    <n v="0"/>
  </r>
  <r>
    <n v="9484960000000"/>
    <x v="0"/>
    <x v="83"/>
    <x v="0"/>
    <s v="SANTOS DUMONT"/>
    <d v="2016-05-06T00:00:00"/>
    <d v="2016-05-06T00:00:00"/>
    <x v="0"/>
    <x v="94"/>
    <x v="5"/>
    <n v="0"/>
    <x v="0"/>
    <n v="0"/>
    <n v="0"/>
    <n v="0"/>
    <x v="1"/>
    <x v="0"/>
    <n v="0"/>
  </r>
  <r>
    <n v="61957777464"/>
    <x v="0"/>
    <x v="41"/>
    <x v="4"/>
    <s v="JABOUR"/>
    <d v="2016-05-06T00:00:00"/>
    <d v="2016-05-10T00:00:00"/>
    <x v="4"/>
    <x v="86"/>
    <x v="3"/>
    <n v="0"/>
    <x v="1"/>
    <n v="0"/>
    <n v="0"/>
    <n v="0"/>
    <x v="0"/>
    <x v="1"/>
    <n v="1"/>
  </r>
  <r>
    <n v="77788543363"/>
    <x v="0"/>
    <x v="57"/>
    <x v="2"/>
    <s v="JOANA D ARC"/>
    <d v="2016-05-06T00:00:00"/>
    <d v="2016-05-11T00:00:00"/>
    <x v="1"/>
    <x v="92"/>
    <x v="3"/>
    <n v="1"/>
    <x v="1"/>
    <n v="0"/>
    <n v="0"/>
    <n v="0"/>
    <x v="0"/>
    <x v="0"/>
    <n v="0"/>
  </r>
  <r>
    <n v="44217400000000"/>
    <x v="1"/>
    <x v="72"/>
    <x v="5"/>
    <s v="SANTO ANDRE"/>
    <d v="2016-05-06T00:00:00"/>
    <d v="2016-05-06T00:00:00"/>
    <x v="0"/>
    <x v="94"/>
    <x v="5"/>
    <n v="0"/>
    <x v="1"/>
    <n v="0"/>
    <n v="0"/>
    <n v="0"/>
    <x v="1"/>
    <x v="0"/>
    <n v="0"/>
  </r>
  <r>
    <n v="9558500000000"/>
    <x v="1"/>
    <x v="72"/>
    <x v="5"/>
    <s v="RESISTENCIA"/>
    <d v="2016-05-06T00:00:00"/>
    <d v="2016-05-06T00:00:00"/>
    <x v="0"/>
    <x v="94"/>
    <x v="5"/>
    <n v="0"/>
    <x v="1"/>
    <n v="0"/>
    <n v="0"/>
    <n v="0"/>
    <x v="1"/>
    <x v="1"/>
    <n v="1"/>
  </r>
  <r>
    <n v="526115000000000"/>
    <x v="1"/>
    <x v="45"/>
    <x v="1"/>
    <s v="SAO PEDRO"/>
    <d v="2016-05-06T00:00:00"/>
    <d v="2016-05-13T00:00:00"/>
    <x v="0"/>
    <x v="87"/>
    <x v="3"/>
    <n v="0"/>
    <x v="0"/>
    <n v="0"/>
    <n v="0"/>
    <n v="0"/>
    <x v="1"/>
    <x v="0"/>
    <n v="0"/>
  </r>
  <r>
    <n v="842428000000"/>
    <x v="0"/>
    <x v="54"/>
    <x v="1"/>
    <s v="SANTOS REIS"/>
    <d v="2016-05-06T00:00:00"/>
    <d v="2016-05-30T00:00:00"/>
    <x v="2"/>
    <x v="66"/>
    <x v="1"/>
    <n v="0"/>
    <x v="0"/>
    <n v="0"/>
    <n v="0"/>
    <n v="0"/>
    <x v="0"/>
    <x v="0"/>
    <n v="0"/>
  </r>
  <r>
    <n v="81511200000000"/>
    <x v="1"/>
    <x v="68"/>
    <x v="4"/>
    <s v="SANTO ANTONIO"/>
    <d v="2016-05-06T00:00:00"/>
    <d v="2016-06-03T00:00:00"/>
    <x v="0"/>
    <x v="64"/>
    <x v="1"/>
    <n v="0"/>
    <x v="1"/>
    <n v="0"/>
    <n v="0"/>
    <n v="0"/>
    <x v="1"/>
    <x v="0"/>
    <n v="0"/>
  </r>
  <r>
    <n v="94572900000000"/>
    <x v="0"/>
    <x v="14"/>
    <x v="3"/>
    <s v="JARDIM CAMBURI"/>
    <d v="2016-05-06T00:00:00"/>
    <d v="2016-05-06T00:00:00"/>
    <x v="0"/>
    <x v="94"/>
    <x v="5"/>
    <n v="0"/>
    <x v="1"/>
    <n v="0"/>
    <n v="0"/>
    <n v="0"/>
    <x v="1"/>
    <x v="0"/>
    <n v="0"/>
  </r>
  <r>
    <n v="196744000000"/>
    <x v="0"/>
    <x v="40"/>
    <x v="1"/>
    <s v="PRAIA DO SUA"/>
    <d v="2016-05-06T00:00:00"/>
    <d v="2016-05-16T00:00:00"/>
    <x v="2"/>
    <x v="83"/>
    <x v="2"/>
    <n v="0"/>
    <x v="1"/>
    <n v="0"/>
    <n v="0"/>
    <n v="0"/>
    <x v="1"/>
    <x v="1"/>
    <n v="1"/>
  </r>
  <r>
    <n v="24413200000000"/>
    <x v="0"/>
    <x v="74"/>
    <x v="1"/>
    <s v="ITARARE"/>
    <d v="2016-05-06T00:00:00"/>
    <d v="2016-05-19T00:00:00"/>
    <x v="3"/>
    <x v="82"/>
    <x v="2"/>
    <n v="0"/>
    <x v="1"/>
    <n v="0"/>
    <n v="1"/>
    <n v="0"/>
    <x v="1"/>
    <x v="1"/>
    <n v="1"/>
  </r>
  <r>
    <n v="6139400000000"/>
    <x v="1"/>
    <x v="21"/>
    <x v="1"/>
    <s v="JARDIM DA PENHA"/>
    <d v="2016-05-06T00:00:00"/>
    <d v="2016-05-06T00:00:00"/>
    <x v="0"/>
    <x v="94"/>
    <x v="5"/>
    <n v="0"/>
    <x v="0"/>
    <n v="0"/>
    <n v="0"/>
    <n v="0"/>
    <x v="1"/>
    <x v="0"/>
    <n v="0"/>
  </r>
  <r>
    <n v="38396800000000"/>
    <x v="0"/>
    <x v="77"/>
    <x v="4"/>
    <s v="JABOUR"/>
    <d v="2016-05-06T00:00:00"/>
    <d v="2016-05-06T00:00:00"/>
    <x v="0"/>
    <x v="94"/>
    <x v="5"/>
    <n v="0"/>
    <x v="1"/>
    <n v="0"/>
    <n v="0"/>
    <n v="0"/>
    <x v="1"/>
    <x v="0"/>
    <n v="0"/>
  </r>
  <r>
    <n v="837342000000000"/>
    <x v="1"/>
    <x v="24"/>
    <x v="1"/>
    <s v="CENTRO"/>
    <d v="2016-05-06T00:00:00"/>
    <d v="2016-05-30T00:00:00"/>
    <x v="2"/>
    <x v="66"/>
    <x v="1"/>
    <n v="0"/>
    <x v="1"/>
    <n v="0"/>
    <n v="0"/>
    <n v="0"/>
    <x v="0"/>
    <x v="0"/>
    <n v="0"/>
  </r>
  <r>
    <n v="59944800000000"/>
    <x v="0"/>
    <x v="81"/>
    <x v="5"/>
    <s v="SAO PEDRO"/>
    <d v="2016-05-06T00:00:00"/>
    <d v="2016-05-13T00:00:00"/>
    <x v="0"/>
    <x v="87"/>
    <x v="3"/>
    <n v="0"/>
    <x v="1"/>
    <n v="0"/>
    <n v="0"/>
    <n v="0"/>
    <x v="1"/>
    <x v="0"/>
    <n v="0"/>
  </r>
  <r>
    <n v="451156000000000"/>
    <x v="0"/>
    <x v="57"/>
    <x v="2"/>
    <s v="BELA VISTA"/>
    <d v="2016-05-06T00:00:00"/>
    <d v="2016-05-06T00:00:00"/>
    <x v="0"/>
    <x v="94"/>
    <x v="5"/>
    <n v="0"/>
    <x v="1"/>
    <n v="0"/>
    <n v="0"/>
    <n v="0"/>
    <x v="1"/>
    <x v="0"/>
    <n v="0"/>
  </r>
  <r>
    <n v="8917950000000"/>
    <x v="1"/>
    <x v="71"/>
    <x v="4"/>
    <s v="JARDIM DA PENHA"/>
    <d v="2016-05-06T00:00:00"/>
    <d v="2016-05-06T00:00:00"/>
    <x v="0"/>
    <x v="94"/>
    <x v="5"/>
    <n v="0"/>
    <x v="1"/>
    <n v="0"/>
    <n v="0"/>
    <n v="0"/>
    <x v="1"/>
    <x v="0"/>
    <n v="0"/>
  </r>
  <r>
    <n v="429737000000000"/>
    <x v="0"/>
    <x v="6"/>
    <x v="0"/>
    <s v="RESISTENCIA"/>
    <d v="2016-05-06T00:00:00"/>
    <d v="2016-05-11T00:00:00"/>
    <x v="1"/>
    <x v="92"/>
    <x v="3"/>
    <n v="0"/>
    <x v="0"/>
    <n v="1"/>
    <n v="0"/>
    <n v="0"/>
    <x v="0"/>
    <x v="0"/>
    <n v="0"/>
  </r>
  <r>
    <n v="271436000000000"/>
    <x v="1"/>
    <x v="36"/>
    <x v="3"/>
    <s v="JARDIM CAMBURI"/>
    <d v="2016-05-06T00:00:00"/>
    <d v="2016-05-06T00:00:00"/>
    <x v="0"/>
    <x v="94"/>
    <x v="5"/>
    <n v="0"/>
    <x v="1"/>
    <n v="0"/>
    <n v="0"/>
    <n v="0"/>
    <x v="1"/>
    <x v="0"/>
    <n v="0"/>
  </r>
  <r>
    <n v="29443200000000"/>
    <x v="0"/>
    <x v="24"/>
    <x v="1"/>
    <s v="SAO PEDRO"/>
    <d v="2016-05-09T00:00:00"/>
    <d v="2016-05-11T00:00:00"/>
    <x v="1"/>
    <x v="91"/>
    <x v="4"/>
    <n v="0"/>
    <x v="1"/>
    <n v="0"/>
    <n v="0"/>
    <n v="0"/>
    <x v="1"/>
    <x v="0"/>
    <n v="0"/>
  </r>
  <r>
    <n v="97875300000000"/>
    <x v="1"/>
    <x v="14"/>
    <x v="3"/>
    <s v="DO CABRAL"/>
    <d v="2016-05-09T00:00:00"/>
    <d v="2016-05-13T00:00:00"/>
    <x v="0"/>
    <x v="86"/>
    <x v="3"/>
    <n v="0"/>
    <x v="1"/>
    <n v="0"/>
    <n v="0"/>
    <n v="0"/>
    <x v="1"/>
    <x v="0"/>
    <n v="0"/>
  </r>
  <r>
    <n v="375749000000"/>
    <x v="0"/>
    <x v="40"/>
    <x v="1"/>
    <s v="MARIA ORTIZ"/>
    <d v="2016-05-09T00:00:00"/>
    <d v="2016-05-11T00:00:00"/>
    <x v="1"/>
    <x v="91"/>
    <x v="4"/>
    <n v="0"/>
    <x v="1"/>
    <n v="0"/>
    <n v="0"/>
    <n v="0"/>
    <x v="1"/>
    <x v="0"/>
    <n v="0"/>
  </r>
  <r>
    <n v="863267000000000"/>
    <x v="0"/>
    <x v="62"/>
    <x v="3"/>
    <s v="SANTO ANDRE"/>
    <d v="2016-05-09T00:00:00"/>
    <d v="2016-05-11T00:00:00"/>
    <x v="1"/>
    <x v="91"/>
    <x v="4"/>
    <n v="0"/>
    <x v="1"/>
    <n v="0"/>
    <n v="0"/>
    <n v="0"/>
    <x v="1"/>
    <x v="0"/>
    <n v="0"/>
  </r>
  <r>
    <n v="18386900000000"/>
    <x v="1"/>
    <x v="4"/>
    <x v="2"/>
    <s v="CRUZAMENTO"/>
    <d v="2016-05-09T00:00:00"/>
    <d v="2016-05-13T00:00:00"/>
    <x v="0"/>
    <x v="86"/>
    <x v="3"/>
    <n v="0"/>
    <x v="1"/>
    <n v="0"/>
    <n v="0"/>
    <n v="0"/>
    <x v="1"/>
    <x v="0"/>
    <n v="0"/>
  </r>
  <r>
    <n v="7279480000000"/>
    <x v="1"/>
    <x v="6"/>
    <x v="0"/>
    <s v="ILHA DE SANTA MARIA"/>
    <d v="2016-05-09T00:00:00"/>
    <d v="2016-05-09T00:00:00"/>
    <x v="2"/>
    <x v="94"/>
    <x v="5"/>
    <n v="0"/>
    <x v="1"/>
    <n v="0"/>
    <n v="0"/>
    <n v="0"/>
    <x v="1"/>
    <x v="0"/>
    <n v="0"/>
  </r>
  <r>
    <n v="168686000000"/>
    <x v="0"/>
    <x v="68"/>
    <x v="4"/>
    <s v="CRUZAMENTO"/>
    <d v="2016-05-09T00:00:00"/>
    <d v="2016-05-13T00:00:00"/>
    <x v="0"/>
    <x v="86"/>
    <x v="3"/>
    <n v="0"/>
    <x v="1"/>
    <n v="0"/>
    <n v="0"/>
    <n v="0"/>
    <x v="1"/>
    <x v="1"/>
    <n v="1"/>
  </r>
  <r>
    <n v="1228530000000"/>
    <x v="0"/>
    <x v="52"/>
    <x v="2"/>
    <s v="MARIA ORTIZ"/>
    <d v="2016-05-09T00:00:00"/>
    <d v="2016-05-09T00:00:00"/>
    <x v="2"/>
    <x v="94"/>
    <x v="5"/>
    <n v="1"/>
    <x v="1"/>
    <n v="0"/>
    <n v="0"/>
    <n v="0"/>
    <x v="1"/>
    <x v="0"/>
    <n v="0"/>
  </r>
  <r>
    <n v="6825330000000"/>
    <x v="1"/>
    <x v="21"/>
    <x v="1"/>
    <s v="SAO PEDRO"/>
    <d v="2016-05-09T00:00:00"/>
    <d v="2016-05-09T00:00:00"/>
    <x v="2"/>
    <x v="94"/>
    <x v="5"/>
    <n v="0"/>
    <x v="1"/>
    <n v="0"/>
    <n v="1"/>
    <n v="0"/>
    <x v="1"/>
    <x v="0"/>
    <n v="0"/>
  </r>
  <r>
    <n v="62682100000000"/>
    <x v="0"/>
    <x v="73"/>
    <x v="4"/>
    <s v="GURIGICA"/>
    <d v="2016-05-09T00:00:00"/>
    <d v="2016-05-09T00:00:00"/>
    <x v="2"/>
    <x v="94"/>
    <x v="5"/>
    <n v="0"/>
    <x v="1"/>
    <n v="0"/>
    <n v="0"/>
    <n v="0"/>
    <x v="1"/>
    <x v="0"/>
    <n v="0"/>
  </r>
  <r>
    <n v="972422000000"/>
    <x v="0"/>
    <x v="24"/>
    <x v="1"/>
    <s v="CENTRO"/>
    <d v="2016-05-09T00:00:00"/>
    <d v="2016-05-13T00:00:00"/>
    <x v="0"/>
    <x v="86"/>
    <x v="3"/>
    <n v="0"/>
    <x v="1"/>
    <n v="0"/>
    <n v="0"/>
    <n v="0"/>
    <x v="1"/>
    <x v="0"/>
    <n v="0"/>
  </r>
  <r>
    <n v="92246200000000"/>
    <x v="0"/>
    <x v="73"/>
    <x v="4"/>
    <s v="JESUS DE NAZARETH"/>
    <d v="2016-05-09T00:00:00"/>
    <d v="2016-05-09T00:00:00"/>
    <x v="2"/>
    <x v="94"/>
    <x v="5"/>
    <n v="0"/>
    <x v="1"/>
    <n v="0"/>
    <n v="0"/>
    <n v="0"/>
    <x v="1"/>
    <x v="0"/>
    <n v="0"/>
  </r>
  <r>
    <n v="91492500000000"/>
    <x v="0"/>
    <x v="62"/>
    <x v="3"/>
    <s v="BELA VISTA"/>
    <d v="2016-05-09T00:00:00"/>
    <d v="2016-05-09T00:00:00"/>
    <x v="2"/>
    <x v="94"/>
    <x v="5"/>
    <n v="0"/>
    <x v="0"/>
    <n v="0"/>
    <n v="1"/>
    <n v="0"/>
    <x v="1"/>
    <x v="0"/>
    <n v="0"/>
  </r>
  <r>
    <n v="719814000000000"/>
    <x v="1"/>
    <x v="44"/>
    <x v="4"/>
    <s v="TABUAZEIRO"/>
    <d v="2016-05-09T00:00:00"/>
    <d v="2016-05-09T00:00:00"/>
    <x v="2"/>
    <x v="94"/>
    <x v="5"/>
    <n v="0"/>
    <x v="1"/>
    <n v="0"/>
    <n v="0"/>
    <n v="0"/>
    <x v="1"/>
    <x v="0"/>
    <n v="0"/>
  </r>
  <r>
    <n v="931846000000"/>
    <x v="0"/>
    <x v="29"/>
    <x v="3"/>
    <s v="JARDIM DA PENHA"/>
    <d v="2016-05-09T00:00:00"/>
    <d v="2016-05-11T00:00:00"/>
    <x v="1"/>
    <x v="91"/>
    <x v="4"/>
    <n v="0"/>
    <x v="0"/>
    <n v="1"/>
    <n v="0"/>
    <n v="0"/>
    <x v="1"/>
    <x v="0"/>
    <n v="0"/>
  </r>
  <r>
    <n v="62439300000000"/>
    <x v="0"/>
    <x v="18"/>
    <x v="0"/>
    <s v="MARIA ORTIZ"/>
    <d v="2016-05-09T00:00:00"/>
    <d v="2016-06-08T00:00:00"/>
    <x v="1"/>
    <x v="60"/>
    <x v="1"/>
    <n v="0"/>
    <x v="1"/>
    <n v="0"/>
    <n v="0"/>
    <n v="0"/>
    <x v="1"/>
    <x v="0"/>
    <n v="0"/>
  </r>
  <r>
    <n v="96831200000000"/>
    <x v="0"/>
    <x v="25"/>
    <x v="4"/>
    <s v="SAO CRISTOVAO"/>
    <d v="2016-05-09T00:00:00"/>
    <d v="2016-05-09T00:00:00"/>
    <x v="2"/>
    <x v="94"/>
    <x v="5"/>
    <n v="0"/>
    <x v="1"/>
    <n v="0"/>
    <n v="0"/>
    <n v="0"/>
    <x v="1"/>
    <x v="0"/>
    <n v="0"/>
  </r>
  <r>
    <n v="93256800000000"/>
    <x v="1"/>
    <x v="1"/>
    <x v="0"/>
    <s v="TABUAZEIRO"/>
    <d v="2016-05-09T00:00:00"/>
    <d v="2016-06-02T00:00:00"/>
    <x v="3"/>
    <x v="66"/>
    <x v="1"/>
    <n v="0"/>
    <x v="1"/>
    <n v="0"/>
    <n v="1"/>
    <n v="0"/>
    <x v="0"/>
    <x v="0"/>
    <n v="0"/>
  </r>
  <r>
    <n v="76694600000000"/>
    <x v="0"/>
    <x v="63"/>
    <x v="0"/>
    <s v="BELA VISTA"/>
    <d v="2016-05-09T00:00:00"/>
    <d v="2016-05-09T00:00:00"/>
    <x v="2"/>
    <x v="94"/>
    <x v="5"/>
    <n v="0"/>
    <x v="0"/>
    <n v="1"/>
    <n v="0"/>
    <n v="0"/>
    <x v="1"/>
    <x v="0"/>
    <n v="0"/>
  </r>
  <r>
    <n v="292226000000000"/>
    <x v="1"/>
    <x v="19"/>
    <x v="2"/>
    <s v="JESUS DE NAZARETH"/>
    <d v="2016-05-09T00:00:00"/>
    <d v="2016-05-11T00:00:00"/>
    <x v="1"/>
    <x v="91"/>
    <x v="4"/>
    <n v="0"/>
    <x v="1"/>
    <n v="0"/>
    <n v="0"/>
    <n v="0"/>
    <x v="1"/>
    <x v="0"/>
    <n v="0"/>
  </r>
  <r>
    <n v="32585000000000"/>
    <x v="0"/>
    <x v="80"/>
    <x v="2"/>
    <s v="JARDIM CAMBURI"/>
    <d v="2016-05-09T00:00:00"/>
    <d v="2016-05-09T00:00:00"/>
    <x v="2"/>
    <x v="94"/>
    <x v="5"/>
    <n v="0"/>
    <x v="1"/>
    <n v="0"/>
    <n v="0"/>
    <n v="0"/>
    <x v="1"/>
    <x v="0"/>
    <n v="0"/>
  </r>
  <r>
    <n v="1754780000000"/>
    <x v="1"/>
    <x v="80"/>
    <x v="2"/>
    <s v="REPUBLICA"/>
    <d v="2016-05-09T00:00:00"/>
    <d v="2016-05-11T00:00:00"/>
    <x v="1"/>
    <x v="91"/>
    <x v="4"/>
    <n v="0"/>
    <x v="1"/>
    <n v="0"/>
    <n v="0"/>
    <n v="0"/>
    <x v="1"/>
    <x v="0"/>
    <n v="0"/>
  </r>
  <r>
    <n v="877237000000000"/>
    <x v="0"/>
    <x v="24"/>
    <x v="1"/>
    <s v="JARDIM CAMBURI"/>
    <d v="2016-05-09T00:00:00"/>
    <d v="2016-05-09T00:00:00"/>
    <x v="2"/>
    <x v="94"/>
    <x v="5"/>
    <n v="0"/>
    <x v="1"/>
    <n v="0"/>
    <n v="0"/>
    <n v="0"/>
    <x v="1"/>
    <x v="0"/>
    <n v="0"/>
  </r>
  <r>
    <n v="386927000000000"/>
    <x v="0"/>
    <x v="71"/>
    <x v="4"/>
    <s v="CRUZAMENTO"/>
    <d v="2016-05-09T00:00:00"/>
    <d v="2016-05-24T00:00:00"/>
    <x v="4"/>
    <x v="79"/>
    <x v="1"/>
    <n v="0"/>
    <x v="1"/>
    <n v="0"/>
    <n v="0"/>
    <n v="0"/>
    <x v="0"/>
    <x v="1"/>
    <n v="1"/>
  </r>
  <r>
    <n v="7758830000000"/>
    <x v="0"/>
    <x v="1"/>
    <x v="0"/>
    <s v="SANTO ANTONIO"/>
    <d v="2016-05-09T00:00:00"/>
    <d v="2016-05-09T00:00:00"/>
    <x v="2"/>
    <x v="94"/>
    <x v="5"/>
    <n v="0"/>
    <x v="0"/>
    <n v="0"/>
    <n v="0"/>
    <n v="0"/>
    <x v="1"/>
    <x v="0"/>
    <n v="0"/>
  </r>
  <r>
    <n v="46758000000000"/>
    <x v="0"/>
    <x v="20"/>
    <x v="0"/>
    <s v="ILHA DO PRINCIPE"/>
    <d v="2016-05-09T00:00:00"/>
    <d v="2016-05-17T00:00:00"/>
    <x v="4"/>
    <x v="88"/>
    <x v="2"/>
    <n v="0"/>
    <x v="0"/>
    <n v="1"/>
    <n v="0"/>
    <n v="0"/>
    <x v="1"/>
    <x v="0"/>
    <n v="0"/>
  </r>
  <r>
    <n v="65511900000000"/>
    <x v="0"/>
    <x v="84"/>
    <x v="1"/>
    <s v="MARUIPE"/>
    <d v="2016-05-09T00:00:00"/>
    <d v="2016-05-09T00:00:00"/>
    <x v="2"/>
    <x v="94"/>
    <x v="5"/>
    <n v="0"/>
    <x v="1"/>
    <n v="0"/>
    <n v="0"/>
    <n v="0"/>
    <x v="1"/>
    <x v="0"/>
    <n v="0"/>
  </r>
  <r>
    <n v="5116340000000"/>
    <x v="0"/>
    <x v="64"/>
    <x v="3"/>
    <s v="BONFIM"/>
    <d v="2016-05-09T00:00:00"/>
    <d v="2016-05-25T00:00:00"/>
    <x v="1"/>
    <x v="78"/>
    <x v="1"/>
    <n v="0"/>
    <x v="1"/>
    <n v="0"/>
    <n v="0"/>
    <n v="0"/>
    <x v="0"/>
    <x v="0"/>
    <n v="0"/>
  </r>
  <r>
    <n v="62995000000000"/>
    <x v="0"/>
    <x v="22"/>
    <x v="4"/>
    <s v="CONSOLACAO"/>
    <d v="2016-05-09T00:00:00"/>
    <d v="2016-05-09T00:00:00"/>
    <x v="2"/>
    <x v="94"/>
    <x v="5"/>
    <n v="0"/>
    <x v="1"/>
    <n v="0"/>
    <n v="0"/>
    <n v="0"/>
    <x v="1"/>
    <x v="0"/>
    <n v="0"/>
  </r>
  <r>
    <n v="27913500000000"/>
    <x v="0"/>
    <x v="24"/>
    <x v="1"/>
    <s v="DO MOSCOSO"/>
    <d v="2016-05-09T00:00:00"/>
    <d v="2016-05-09T00:00:00"/>
    <x v="2"/>
    <x v="94"/>
    <x v="5"/>
    <n v="0"/>
    <x v="1"/>
    <n v="0"/>
    <n v="0"/>
    <n v="0"/>
    <x v="1"/>
    <x v="0"/>
    <n v="0"/>
  </r>
  <r>
    <n v="732318000000000"/>
    <x v="1"/>
    <x v="66"/>
    <x v="2"/>
    <s v="GOIABEIRAS"/>
    <d v="2016-05-09T00:00:00"/>
    <d v="2016-05-10T00:00:00"/>
    <x v="4"/>
    <x v="93"/>
    <x v="4"/>
    <n v="0"/>
    <x v="1"/>
    <n v="0"/>
    <n v="0"/>
    <n v="0"/>
    <x v="1"/>
    <x v="1"/>
    <n v="1"/>
  </r>
  <r>
    <n v="457696000000000"/>
    <x v="0"/>
    <x v="39"/>
    <x v="4"/>
    <s v="BONFIM"/>
    <d v="2016-05-09T00:00:00"/>
    <d v="2016-05-24T00:00:00"/>
    <x v="4"/>
    <x v="79"/>
    <x v="1"/>
    <n v="0"/>
    <x v="1"/>
    <n v="0"/>
    <n v="0"/>
    <n v="0"/>
    <x v="0"/>
    <x v="0"/>
    <n v="0"/>
  </r>
  <r>
    <n v="344595000000000"/>
    <x v="0"/>
    <x v="73"/>
    <x v="4"/>
    <s v="GURIGICA"/>
    <d v="2016-05-09T00:00:00"/>
    <d v="2016-05-19T00:00:00"/>
    <x v="3"/>
    <x v="83"/>
    <x v="2"/>
    <n v="1"/>
    <x v="0"/>
    <n v="0"/>
    <n v="0"/>
    <n v="0"/>
    <x v="1"/>
    <x v="1"/>
    <n v="1"/>
  </r>
  <r>
    <n v="1484140000000"/>
    <x v="0"/>
    <x v="15"/>
    <x v="3"/>
    <s v="GRANDE VITORIA"/>
    <d v="2016-05-09T00:00:00"/>
    <d v="2016-05-09T00:00:00"/>
    <x v="2"/>
    <x v="94"/>
    <x v="5"/>
    <n v="0"/>
    <x v="0"/>
    <n v="0"/>
    <n v="0"/>
    <n v="0"/>
    <x v="1"/>
    <x v="0"/>
    <n v="0"/>
  </r>
  <r>
    <n v="72811800000000"/>
    <x v="1"/>
    <x v="73"/>
    <x v="4"/>
    <s v="SANTA MARTHA"/>
    <d v="2016-05-09T00:00:00"/>
    <d v="2016-05-09T00:00:00"/>
    <x v="2"/>
    <x v="94"/>
    <x v="5"/>
    <n v="0"/>
    <x v="0"/>
    <n v="0"/>
    <n v="0"/>
    <n v="0"/>
    <x v="1"/>
    <x v="0"/>
    <n v="0"/>
  </r>
  <r>
    <n v="48345500000000"/>
    <x v="0"/>
    <x v="36"/>
    <x v="3"/>
    <s v="SANTA MARTHA"/>
    <d v="2016-05-09T00:00:00"/>
    <d v="2016-05-09T00:00:00"/>
    <x v="2"/>
    <x v="94"/>
    <x v="5"/>
    <n v="0"/>
    <x v="0"/>
    <n v="0"/>
    <n v="0"/>
    <n v="0"/>
    <x v="1"/>
    <x v="0"/>
    <n v="0"/>
  </r>
  <r>
    <n v="252548000000000"/>
    <x v="0"/>
    <x v="2"/>
    <x v="1"/>
    <s v="JOANA D ARC"/>
    <d v="2016-05-09T00:00:00"/>
    <d v="2016-05-09T00:00:00"/>
    <x v="2"/>
    <x v="94"/>
    <x v="5"/>
    <n v="0"/>
    <x v="1"/>
    <n v="0"/>
    <n v="0"/>
    <n v="0"/>
    <x v="1"/>
    <x v="0"/>
    <n v="0"/>
  </r>
  <r>
    <n v="74949328114"/>
    <x v="0"/>
    <x v="48"/>
    <x v="3"/>
    <s v="JESUS DE NAZARETH"/>
    <d v="2016-05-09T00:00:00"/>
    <d v="2016-05-09T00:00:00"/>
    <x v="2"/>
    <x v="94"/>
    <x v="5"/>
    <n v="0"/>
    <x v="0"/>
    <n v="0"/>
    <n v="0"/>
    <n v="0"/>
    <x v="1"/>
    <x v="0"/>
    <n v="0"/>
  </r>
  <r>
    <n v="298275000000"/>
    <x v="0"/>
    <x v="84"/>
    <x v="1"/>
    <s v="MARIA ORTIZ"/>
    <d v="2016-05-09T00:00:00"/>
    <d v="2016-05-11T00:00:00"/>
    <x v="1"/>
    <x v="91"/>
    <x v="4"/>
    <n v="0"/>
    <x v="1"/>
    <n v="0"/>
    <n v="0"/>
    <n v="0"/>
    <x v="1"/>
    <x v="0"/>
    <n v="0"/>
  </r>
  <r>
    <n v="63694824935"/>
    <x v="0"/>
    <x v="46"/>
    <x v="2"/>
    <s v="ROMAO"/>
    <d v="2016-05-09T00:00:00"/>
    <d v="2016-05-24T00:00:00"/>
    <x v="4"/>
    <x v="79"/>
    <x v="1"/>
    <n v="0"/>
    <x v="1"/>
    <n v="0"/>
    <n v="0"/>
    <n v="0"/>
    <x v="0"/>
    <x v="0"/>
    <n v="0"/>
  </r>
  <r>
    <n v="9611970000000"/>
    <x v="0"/>
    <x v="56"/>
    <x v="1"/>
    <s v="ITARARE"/>
    <d v="2016-05-09T00:00:00"/>
    <d v="2016-05-09T00:00:00"/>
    <x v="2"/>
    <x v="94"/>
    <x v="5"/>
    <n v="0"/>
    <x v="1"/>
    <n v="0"/>
    <n v="0"/>
    <n v="0"/>
    <x v="1"/>
    <x v="0"/>
    <n v="0"/>
  </r>
  <r>
    <n v="54398500000000"/>
    <x v="0"/>
    <x v="38"/>
    <x v="4"/>
    <s v="DA PENHA"/>
    <d v="2016-05-09T00:00:00"/>
    <d v="2016-05-09T00:00:00"/>
    <x v="2"/>
    <x v="94"/>
    <x v="5"/>
    <n v="1"/>
    <x v="1"/>
    <n v="0"/>
    <n v="0"/>
    <n v="0"/>
    <x v="1"/>
    <x v="1"/>
    <n v="1"/>
  </r>
  <r>
    <n v="682167000000000"/>
    <x v="0"/>
    <x v="10"/>
    <x v="4"/>
    <s v="BONFIM"/>
    <d v="2016-05-09T00:00:00"/>
    <d v="2016-05-09T00:00:00"/>
    <x v="2"/>
    <x v="94"/>
    <x v="5"/>
    <n v="0"/>
    <x v="1"/>
    <n v="0"/>
    <n v="0"/>
    <n v="0"/>
    <x v="1"/>
    <x v="1"/>
    <n v="1"/>
  </r>
  <r>
    <n v="916472000000000"/>
    <x v="0"/>
    <x v="39"/>
    <x v="4"/>
    <s v="CENTRO"/>
    <d v="2016-05-09T00:00:00"/>
    <d v="2016-05-09T00:00:00"/>
    <x v="2"/>
    <x v="94"/>
    <x v="5"/>
    <n v="0"/>
    <x v="1"/>
    <n v="0"/>
    <n v="0"/>
    <n v="0"/>
    <x v="1"/>
    <x v="0"/>
    <n v="0"/>
  </r>
  <r>
    <n v="68656900000000"/>
    <x v="0"/>
    <x v="41"/>
    <x v="4"/>
    <s v="VILA RUBIM"/>
    <d v="2016-05-09T00:00:00"/>
    <d v="2016-05-09T00:00:00"/>
    <x v="2"/>
    <x v="94"/>
    <x v="5"/>
    <n v="0"/>
    <x v="1"/>
    <n v="0"/>
    <n v="0"/>
    <n v="0"/>
    <x v="1"/>
    <x v="0"/>
    <n v="0"/>
  </r>
  <r>
    <n v="8564410000000"/>
    <x v="1"/>
    <x v="45"/>
    <x v="1"/>
    <s v="SAO JOSE"/>
    <d v="2016-05-09T00:00:00"/>
    <d v="2016-05-09T00:00:00"/>
    <x v="2"/>
    <x v="94"/>
    <x v="5"/>
    <n v="0"/>
    <x v="0"/>
    <n v="0"/>
    <n v="0"/>
    <n v="0"/>
    <x v="1"/>
    <x v="0"/>
    <n v="0"/>
  </r>
  <r>
    <n v="625417000000000"/>
    <x v="0"/>
    <x v="59"/>
    <x v="2"/>
    <s v="JESUS DE NAZARETH"/>
    <d v="2016-05-09T00:00:00"/>
    <d v="2016-05-09T00:00:00"/>
    <x v="2"/>
    <x v="94"/>
    <x v="5"/>
    <n v="0"/>
    <x v="1"/>
    <n v="0"/>
    <n v="0"/>
    <n v="0"/>
    <x v="1"/>
    <x v="0"/>
    <n v="0"/>
  </r>
  <r>
    <n v="351489000000"/>
    <x v="1"/>
    <x v="2"/>
    <x v="1"/>
    <s v="BENTO FERREIRA"/>
    <d v="2016-05-09T00:00:00"/>
    <d v="2016-05-18T00:00:00"/>
    <x v="1"/>
    <x v="85"/>
    <x v="2"/>
    <n v="0"/>
    <x v="1"/>
    <n v="0"/>
    <n v="0"/>
    <n v="0"/>
    <x v="1"/>
    <x v="0"/>
    <n v="0"/>
  </r>
  <r>
    <n v="98756700000000"/>
    <x v="0"/>
    <x v="47"/>
    <x v="4"/>
    <s v="SANTO ANDRE"/>
    <d v="2016-05-09T00:00:00"/>
    <d v="2016-05-18T00:00:00"/>
    <x v="1"/>
    <x v="85"/>
    <x v="2"/>
    <n v="0"/>
    <x v="1"/>
    <n v="0"/>
    <n v="0"/>
    <n v="0"/>
    <x v="1"/>
    <x v="0"/>
    <n v="0"/>
  </r>
  <r>
    <n v="529180000000"/>
    <x v="0"/>
    <x v="78"/>
    <x v="0"/>
    <s v="SAO PEDRO"/>
    <d v="2016-05-09T00:00:00"/>
    <d v="2016-05-09T00:00:00"/>
    <x v="2"/>
    <x v="94"/>
    <x v="5"/>
    <n v="0"/>
    <x v="0"/>
    <n v="0"/>
    <n v="0"/>
    <n v="0"/>
    <x v="1"/>
    <x v="0"/>
    <n v="0"/>
  </r>
  <r>
    <n v="49775447629"/>
    <x v="0"/>
    <x v="4"/>
    <x v="2"/>
    <s v="SANTA TEREZA"/>
    <d v="2016-05-09T00:00:00"/>
    <d v="2016-05-13T00:00:00"/>
    <x v="0"/>
    <x v="86"/>
    <x v="3"/>
    <n v="0"/>
    <x v="1"/>
    <n v="0"/>
    <n v="0"/>
    <n v="0"/>
    <x v="1"/>
    <x v="1"/>
    <n v="1"/>
  </r>
  <r>
    <n v="89293300000000"/>
    <x v="0"/>
    <x v="32"/>
    <x v="4"/>
    <s v="SANTO ANTONIO"/>
    <d v="2016-05-09T00:00:00"/>
    <d v="2016-05-09T00:00:00"/>
    <x v="2"/>
    <x v="94"/>
    <x v="5"/>
    <n v="0"/>
    <x v="1"/>
    <n v="0"/>
    <n v="0"/>
    <n v="0"/>
    <x v="1"/>
    <x v="0"/>
    <n v="0"/>
  </r>
  <r>
    <n v="57567200000000"/>
    <x v="0"/>
    <x v="15"/>
    <x v="3"/>
    <s v="GOIABEIRAS"/>
    <d v="2016-05-09T00:00:00"/>
    <d v="2016-06-08T00:00:00"/>
    <x v="1"/>
    <x v="60"/>
    <x v="1"/>
    <n v="0"/>
    <x v="1"/>
    <n v="0"/>
    <n v="0"/>
    <n v="0"/>
    <x v="0"/>
    <x v="0"/>
    <n v="0"/>
  </r>
  <r>
    <n v="33296500000000"/>
    <x v="0"/>
    <x v="35"/>
    <x v="0"/>
    <s v="SOLON BORGES"/>
    <d v="2016-05-09T00:00:00"/>
    <d v="2016-05-09T00:00:00"/>
    <x v="2"/>
    <x v="94"/>
    <x v="5"/>
    <n v="0"/>
    <x v="1"/>
    <n v="0"/>
    <n v="0"/>
    <n v="0"/>
    <x v="1"/>
    <x v="0"/>
    <n v="0"/>
  </r>
  <r>
    <n v="9668890000000"/>
    <x v="0"/>
    <x v="68"/>
    <x v="4"/>
    <s v="CONSOLACAO"/>
    <d v="2016-05-09T00:00:00"/>
    <d v="2016-05-09T00:00:00"/>
    <x v="2"/>
    <x v="94"/>
    <x v="5"/>
    <n v="0"/>
    <x v="1"/>
    <n v="0"/>
    <n v="0"/>
    <n v="0"/>
    <x v="1"/>
    <x v="0"/>
    <n v="0"/>
  </r>
  <r>
    <n v="74772500000000"/>
    <x v="0"/>
    <x v="50"/>
    <x v="1"/>
    <s v="VILA RUBIM"/>
    <d v="2016-05-09T00:00:00"/>
    <d v="2016-06-06T00:00:00"/>
    <x v="2"/>
    <x v="64"/>
    <x v="1"/>
    <n v="1"/>
    <x v="1"/>
    <n v="0"/>
    <n v="0"/>
    <n v="0"/>
    <x v="0"/>
    <x v="0"/>
    <n v="0"/>
  </r>
  <r>
    <n v="1288340000000"/>
    <x v="0"/>
    <x v="46"/>
    <x v="2"/>
    <s v="NOVA PALESTINA"/>
    <d v="2016-05-09T00:00:00"/>
    <d v="2016-05-31T00:00:00"/>
    <x v="4"/>
    <x v="71"/>
    <x v="1"/>
    <n v="0"/>
    <x v="1"/>
    <n v="0"/>
    <n v="0"/>
    <n v="0"/>
    <x v="1"/>
    <x v="0"/>
    <n v="0"/>
  </r>
  <r>
    <n v="1769930000000"/>
    <x v="1"/>
    <x v="42"/>
    <x v="3"/>
    <s v="JARDIM DA PENHA"/>
    <d v="2016-05-09T00:00:00"/>
    <d v="2016-05-09T00:00:00"/>
    <x v="2"/>
    <x v="94"/>
    <x v="5"/>
    <n v="0"/>
    <x v="1"/>
    <n v="0"/>
    <n v="0"/>
    <n v="0"/>
    <x v="1"/>
    <x v="0"/>
    <n v="0"/>
  </r>
  <r>
    <n v="1169330000000"/>
    <x v="0"/>
    <x v="33"/>
    <x v="4"/>
    <s v="SANTO ANDRE"/>
    <d v="2016-05-09T00:00:00"/>
    <d v="2016-06-07T00:00:00"/>
    <x v="4"/>
    <x v="63"/>
    <x v="1"/>
    <n v="0"/>
    <x v="1"/>
    <n v="0"/>
    <n v="0"/>
    <n v="0"/>
    <x v="0"/>
    <x v="0"/>
    <n v="0"/>
  </r>
  <r>
    <n v="114755000000"/>
    <x v="0"/>
    <x v="55"/>
    <x v="2"/>
    <s v="SANTOS REIS"/>
    <d v="2016-05-09T00:00:00"/>
    <d v="2016-05-09T00:00:00"/>
    <x v="2"/>
    <x v="94"/>
    <x v="5"/>
    <n v="1"/>
    <x v="1"/>
    <n v="0"/>
    <n v="0"/>
    <n v="0"/>
    <x v="1"/>
    <x v="0"/>
    <n v="0"/>
  </r>
  <r>
    <n v="25995100000000"/>
    <x v="1"/>
    <x v="46"/>
    <x v="2"/>
    <s v="SANTO ANTONIO"/>
    <d v="2016-05-09T00:00:00"/>
    <d v="2016-05-10T00:00:00"/>
    <x v="4"/>
    <x v="93"/>
    <x v="4"/>
    <n v="0"/>
    <x v="1"/>
    <n v="0"/>
    <n v="0"/>
    <n v="0"/>
    <x v="1"/>
    <x v="0"/>
    <n v="0"/>
  </r>
  <r>
    <n v="15498600000000"/>
    <x v="0"/>
    <x v="55"/>
    <x v="2"/>
    <s v="PIEDADE"/>
    <d v="2016-05-09T00:00:00"/>
    <d v="2016-05-09T00:00:00"/>
    <x v="2"/>
    <x v="94"/>
    <x v="5"/>
    <n v="0"/>
    <x v="1"/>
    <n v="0"/>
    <n v="0"/>
    <n v="0"/>
    <x v="1"/>
    <x v="0"/>
    <n v="0"/>
  </r>
  <r>
    <n v="422274000000000"/>
    <x v="0"/>
    <x v="25"/>
    <x v="4"/>
    <s v="ESTRELINHA"/>
    <d v="2016-05-09T00:00:00"/>
    <d v="2016-05-09T00:00:00"/>
    <x v="2"/>
    <x v="94"/>
    <x v="5"/>
    <n v="0"/>
    <x v="1"/>
    <n v="0"/>
    <n v="0"/>
    <n v="0"/>
    <x v="1"/>
    <x v="0"/>
    <n v="0"/>
  </r>
  <r>
    <n v="11288600000000"/>
    <x v="0"/>
    <x v="49"/>
    <x v="4"/>
    <s v="SAO PEDRO"/>
    <d v="2016-05-09T00:00:00"/>
    <d v="2016-05-19T00:00:00"/>
    <x v="3"/>
    <x v="83"/>
    <x v="2"/>
    <n v="0"/>
    <x v="1"/>
    <n v="0"/>
    <n v="0"/>
    <n v="0"/>
    <x v="1"/>
    <x v="0"/>
    <n v="0"/>
  </r>
  <r>
    <n v="739414000000000"/>
    <x v="0"/>
    <x v="84"/>
    <x v="1"/>
    <s v="MARUIPE"/>
    <d v="2016-05-09T00:00:00"/>
    <d v="2016-05-09T00:00:00"/>
    <x v="2"/>
    <x v="94"/>
    <x v="5"/>
    <n v="0"/>
    <x v="1"/>
    <n v="0"/>
    <n v="0"/>
    <n v="0"/>
    <x v="1"/>
    <x v="0"/>
    <n v="0"/>
  </r>
  <r>
    <n v="5376260000000"/>
    <x v="1"/>
    <x v="58"/>
    <x v="0"/>
    <s v="RESISTENCIA"/>
    <d v="2016-05-09T00:00:00"/>
    <d v="2016-05-18T00:00:00"/>
    <x v="1"/>
    <x v="85"/>
    <x v="2"/>
    <n v="0"/>
    <x v="1"/>
    <n v="0"/>
    <n v="0"/>
    <n v="1"/>
    <x v="1"/>
    <x v="0"/>
    <n v="0"/>
  </r>
  <r>
    <n v="2615740000000"/>
    <x v="0"/>
    <x v="27"/>
    <x v="3"/>
    <s v="RESISTENCIA"/>
    <d v="2016-05-09T00:00:00"/>
    <d v="2016-05-09T00:00:00"/>
    <x v="2"/>
    <x v="94"/>
    <x v="5"/>
    <n v="0"/>
    <x v="0"/>
    <n v="1"/>
    <n v="0"/>
    <n v="0"/>
    <x v="1"/>
    <x v="0"/>
    <n v="0"/>
  </r>
  <r>
    <n v="31826500000000"/>
    <x v="0"/>
    <x v="61"/>
    <x v="1"/>
    <s v="SAO BENEDITO"/>
    <d v="2016-05-09T00:00:00"/>
    <d v="2016-05-09T00:00:00"/>
    <x v="2"/>
    <x v="94"/>
    <x v="5"/>
    <n v="1"/>
    <x v="0"/>
    <n v="0"/>
    <n v="0"/>
    <n v="0"/>
    <x v="1"/>
    <x v="0"/>
    <n v="0"/>
  </r>
  <r>
    <n v="58129800000000"/>
    <x v="0"/>
    <x v="42"/>
    <x v="3"/>
    <s v="SAO CRISTOVAO"/>
    <d v="2016-05-09T00:00:00"/>
    <d v="2016-05-16T00:00:00"/>
    <x v="2"/>
    <x v="87"/>
    <x v="3"/>
    <n v="0"/>
    <x v="1"/>
    <n v="0"/>
    <n v="0"/>
    <n v="0"/>
    <x v="1"/>
    <x v="0"/>
    <n v="0"/>
  </r>
  <r>
    <n v="2363880000000"/>
    <x v="0"/>
    <x v="46"/>
    <x v="2"/>
    <s v="VILA RUBIM"/>
    <d v="2016-05-09T00:00:00"/>
    <d v="2016-05-09T00:00:00"/>
    <x v="2"/>
    <x v="94"/>
    <x v="5"/>
    <n v="1"/>
    <x v="1"/>
    <n v="0"/>
    <n v="0"/>
    <n v="0"/>
    <x v="1"/>
    <x v="0"/>
    <n v="0"/>
  </r>
  <r>
    <n v="82613100000000"/>
    <x v="0"/>
    <x v="25"/>
    <x v="4"/>
    <s v="JABOUR"/>
    <d v="2016-05-09T00:00:00"/>
    <d v="2016-06-02T00:00:00"/>
    <x v="3"/>
    <x v="66"/>
    <x v="1"/>
    <n v="0"/>
    <x v="1"/>
    <n v="0"/>
    <n v="0"/>
    <n v="0"/>
    <x v="0"/>
    <x v="0"/>
    <n v="0"/>
  </r>
  <r>
    <n v="2500000000000"/>
    <x v="0"/>
    <x v="48"/>
    <x v="3"/>
    <s v="TABUAZEIRO"/>
    <d v="2016-05-09T00:00:00"/>
    <d v="2016-05-09T00:00:00"/>
    <x v="2"/>
    <x v="94"/>
    <x v="5"/>
    <n v="0"/>
    <x v="0"/>
    <n v="0"/>
    <n v="0"/>
    <n v="0"/>
    <x v="1"/>
    <x v="0"/>
    <n v="0"/>
  </r>
  <r>
    <n v="6263910000000"/>
    <x v="0"/>
    <x v="12"/>
    <x v="3"/>
    <s v="JOANA D ARC"/>
    <d v="2016-05-09T00:00:00"/>
    <d v="2016-05-12T00:00:00"/>
    <x v="3"/>
    <x v="89"/>
    <x v="4"/>
    <n v="1"/>
    <x v="0"/>
    <n v="0"/>
    <n v="0"/>
    <n v="0"/>
    <x v="0"/>
    <x v="0"/>
    <n v="0"/>
  </r>
  <r>
    <n v="295889000000000"/>
    <x v="0"/>
    <x v="65"/>
    <x v="2"/>
    <s v="PRAIA DO SUA"/>
    <d v="2016-05-09T00:00:00"/>
    <d v="2016-05-09T00:00:00"/>
    <x v="2"/>
    <x v="94"/>
    <x v="5"/>
    <n v="0"/>
    <x v="1"/>
    <n v="0"/>
    <n v="0"/>
    <n v="0"/>
    <x v="1"/>
    <x v="0"/>
    <n v="0"/>
  </r>
  <r>
    <n v="8634160000000"/>
    <x v="1"/>
    <x v="87"/>
    <x v="1"/>
    <s v="JUCUTUQUARA"/>
    <d v="2016-05-09T00:00:00"/>
    <d v="2016-05-09T00:00:00"/>
    <x v="2"/>
    <x v="94"/>
    <x v="5"/>
    <n v="0"/>
    <x v="1"/>
    <n v="0"/>
    <n v="0"/>
    <n v="0"/>
    <x v="1"/>
    <x v="0"/>
    <n v="0"/>
  </r>
  <r>
    <n v="25932400000000"/>
    <x v="1"/>
    <x v="63"/>
    <x v="0"/>
    <s v="SANTA MARTHA"/>
    <d v="2016-05-09T00:00:00"/>
    <d v="2016-05-09T00:00:00"/>
    <x v="2"/>
    <x v="94"/>
    <x v="5"/>
    <n v="0"/>
    <x v="0"/>
    <n v="0"/>
    <n v="0"/>
    <n v="1"/>
    <x v="1"/>
    <x v="0"/>
    <n v="0"/>
  </r>
  <r>
    <n v="6579460000000"/>
    <x v="1"/>
    <x v="60"/>
    <x v="2"/>
    <s v="SAO JOSE"/>
    <d v="2016-05-09T00:00:00"/>
    <d v="2016-05-09T00:00:00"/>
    <x v="2"/>
    <x v="94"/>
    <x v="5"/>
    <n v="0"/>
    <x v="1"/>
    <n v="0"/>
    <n v="0"/>
    <n v="0"/>
    <x v="1"/>
    <x v="0"/>
    <n v="0"/>
  </r>
  <r>
    <n v="2648120000000"/>
    <x v="0"/>
    <x v="9"/>
    <x v="0"/>
    <s v="ANDORINHAS"/>
    <d v="2016-05-09T00:00:00"/>
    <d v="2016-05-10T00:00:00"/>
    <x v="4"/>
    <x v="93"/>
    <x v="4"/>
    <n v="0"/>
    <x v="0"/>
    <n v="1"/>
    <n v="0"/>
    <n v="0"/>
    <x v="1"/>
    <x v="0"/>
    <n v="0"/>
  </r>
  <r>
    <n v="7641730000000"/>
    <x v="0"/>
    <x v="5"/>
    <x v="1"/>
    <s v="JUCUTUQUARA"/>
    <d v="2016-05-09T00:00:00"/>
    <d v="2016-05-09T00:00:00"/>
    <x v="2"/>
    <x v="94"/>
    <x v="5"/>
    <n v="1"/>
    <x v="1"/>
    <n v="0"/>
    <n v="0"/>
    <n v="0"/>
    <x v="1"/>
    <x v="0"/>
    <n v="0"/>
  </r>
  <r>
    <n v="36986195138"/>
    <x v="0"/>
    <x v="46"/>
    <x v="2"/>
    <s v="ROMAO"/>
    <d v="2016-05-09T00:00:00"/>
    <d v="2016-05-10T00:00:00"/>
    <x v="4"/>
    <x v="93"/>
    <x v="4"/>
    <n v="0"/>
    <x v="1"/>
    <n v="0"/>
    <n v="0"/>
    <n v="0"/>
    <x v="1"/>
    <x v="0"/>
    <n v="0"/>
  </r>
  <r>
    <n v="24564200000000"/>
    <x v="0"/>
    <x v="24"/>
    <x v="1"/>
    <s v="SANTA LUCIA"/>
    <d v="2016-05-09T00:00:00"/>
    <d v="2016-05-09T00:00:00"/>
    <x v="2"/>
    <x v="94"/>
    <x v="5"/>
    <n v="0"/>
    <x v="1"/>
    <n v="0"/>
    <n v="0"/>
    <n v="0"/>
    <x v="1"/>
    <x v="0"/>
    <n v="0"/>
  </r>
  <r>
    <n v="21527800000000"/>
    <x v="0"/>
    <x v="28"/>
    <x v="3"/>
    <s v="VILA RUBIM"/>
    <d v="2016-05-09T00:00:00"/>
    <d v="2016-05-09T00:00:00"/>
    <x v="2"/>
    <x v="94"/>
    <x v="5"/>
    <n v="0"/>
    <x v="0"/>
    <n v="0"/>
    <n v="0"/>
    <n v="0"/>
    <x v="1"/>
    <x v="0"/>
    <n v="0"/>
  </r>
  <r>
    <n v="66599300000000"/>
    <x v="0"/>
    <x v="75"/>
    <x v="5"/>
    <s v="GURIGICA"/>
    <d v="2016-05-09T00:00:00"/>
    <d v="2016-05-10T00:00:00"/>
    <x v="4"/>
    <x v="93"/>
    <x v="4"/>
    <n v="1"/>
    <x v="1"/>
    <n v="0"/>
    <n v="0"/>
    <n v="0"/>
    <x v="1"/>
    <x v="1"/>
    <n v="1"/>
  </r>
  <r>
    <n v="7579400000000"/>
    <x v="0"/>
    <x v="67"/>
    <x v="4"/>
    <s v="GRANDE VITORIA"/>
    <d v="2016-05-09T00:00:00"/>
    <d v="2016-05-11T00:00:00"/>
    <x v="1"/>
    <x v="91"/>
    <x v="4"/>
    <n v="0"/>
    <x v="1"/>
    <n v="0"/>
    <n v="0"/>
    <n v="0"/>
    <x v="1"/>
    <x v="0"/>
    <n v="0"/>
  </r>
  <r>
    <n v="64444700000000"/>
    <x v="1"/>
    <x v="21"/>
    <x v="1"/>
    <s v="BELA VISTA"/>
    <d v="2016-05-09T00:00:00"/>
    <d v="2016-05-09T00:00:00"/>
    <x v="2"/>
    <x v="94"/>
    <x v="5"/>
    <n v="0"/>
    <x v="0"/>
    <n v="0"/>
    <n v="0"/>
    <n v="0"/>
    <x v="1"/>
    <x v="0"/>
    <n v="0"/>
  </r>
  <r>
    <n v="67811400000000"/>
    <x v="0"/>
    <x v="21"/>
    <x v="1"/>
    <s v="MARIA ORTIZ"/>
    <d v="2016-05-09T00:00:00"/>
    <d v="2016-06-01T00:00:00"/>
    <x v="1"/>
    <x v="67"/>
    <x v="1"/>
    <n v="0"/>
    <x v="1"/>
    <n v="0"/>
    <n v="0"/>
    <n v="0"/>
    <x v="0"/>
    <x v="0"/>
    <n v="0"/>
  </r>
  <r>
    <n v="5323420000000"/>
    <x v="1"/>
    <x v="59"/>
    <x v="2"/>
    <s v="BONFIM"/>
    <d v="2016-05-09T00:00:00"/>
    <d v="2016-05-09T00:00:00"/>
    <x v="2"/>
    <x v="94"/>
    <x v="5"/>
    <n v="0"/>
    <x v="1"/>
    <n v="0"/>
    <n v="0"/>
    <n v="0"/>
    <x v="1"/>
    <x v="0"/>
    <n v="0"/>
  </r>
  <r>
    <n v="4664390000000"/>
    <x v="0"/>
    <x v="17"/>
    <x v="4"/>
    <s v="MATA DA PRAIA"/>
    <d v="2016-05-09T00:00:00"/>
    <d v="2016-05-11T00:00:00"/>
    <x v="1"/>
    <x v="91"/>
    <x v="4"/>
    <n v="0"/>
    <x v="1"/>
    <n v="0"/>
    <n v="0"/>
    <n v="1"/>
    <x v="1"/>
    <x v="0"/>
    <n v="0"/>
  </r>
  <r>
    <n v="49279200000000"/>
    <x v="1"/>
    <x v="51"/>
    <x v="2"/>
    <s v="INHANGUETA"/>
    <d v="2016-05-09T00:00:00"/>
    <d v="2016-05-18T00:00:00"/>
    <x v="1"/>
    <x v="85"/>
    <x v="2"/>
    <n v="0"/>
    <x v="1"/>
    <n v="0"/>
    <n v="0"/>
    <n v="0"/>
    <x v="1"/>
    <x v="1"/>
    <n v="1"/>
  </r>
  <r>
    <n v="24564200000000"/>
    <x v="0"/>
    <x v="24"/>
    <x v="1"/>
    <s v="SANTA LUCIA"/>
    <d v="2016-05-09T00:00:00"/>
    <d v="2016-05-09T00:00:00"/>
    <x v="2"/>
    <x v="94"/>
    <x v="5"/>
    <n v="0"/>
    <x v="1"/>
    <n v="0"/>
    <n v="0"/>
    <n v="0"/>
    <x v="1"/>
    <x v="0"/>
    <n v="0"/>
  </r>
  <r>
    <n v="986163000000000"/>
    <x v="0"/>
    <x v="2"/>
    <x v="1"/>
    <s v="SANTA MARTHA"/>
    <d v="2016-05-09T00:00:00"/>
    <d v="2016-05-09T00:00:00"/>
    <x v="2"/>
    <x v="94"/>
    <x v="5"/>
    <n v="0"/>
    <x v="1"/>
    <n v="0"/>
    <n v="1"/>
    <n v="0"/>
    <x v="1"/>
    <x v="0"/>
    <n v="0"/>
  </r>
  <r>
    <n v="25557900000000"/>
    <x v="0"/>
    <x v="40"/>
    <x v="1"/>
    <s v="JARDIM CAMBURI"/>
    <d v="2016-05-09T00:00:00"/>
    <d v="2016-05-11T00:00:00"/>
    <x v="1"/>
    <x v="91"/>
    <x v="4"/>
    <n v="0"/>
    <x v="1"/>
    <n v="0"/>
    <n v="0"/>
    <n v="0"/>
    <x v="1"/>
    <x v="0"/>
    <n v="0"/>
  </r>
  <r>
    <n v="76698599583"/>
    <x v="0"/>
    <x v="30"/>
    <x v="3"/>
    <s v="VILA RUBIM"/>
    <d v="2016-05-09T00:00:00"/>
    <d v="2016-05-09T00:00:00"/>
    <x v="2"/>
    <x v="94"/>
    <x v="5"/>
    <n v="0"/>
    <x v="0"/>
    <n v="1"/>
    <n v="0"/>
    <n v="0"/>
    <x v="1"/>
    <x v="0"/>
    <n v="0"/>
  </r>
  <r>
    <n v="827285000000000"/>
    <x v="0"/>
    <x v="48"/>
    <x v="3"/>
    <s v="SANTA MARTHA"/>
    <d v="2016-05-09T00:00:00"/>
    <d v="2016-05-09T00:00:00"/>
    <x v="2"/>
    <x v="94"/>
    <x v="5"/>
    <n v="0"/>
    <x v="1"/>
    <n v="0"/>
    <n v="0"/>
    <n v="0"/>
    <x v="1"/>
    <x v="0"/>
    <n v="0"/>
  </r>
  <r>
    <n v="84135900000000"/>
    <x v="0"/>
    <x v="4"/>
    <x v="2"/>
    <s v="NOVA PALESTINA"/>
    <d v="2016-05-09T00:00:00"/>
    <d v="2016-05-09T00:00:00"/>
    <x v="2"/>
    <x v="94"/>
    <x v="5"/>
    <n v="0"/>
    <x v="1"/>
    <n v="0"/>
    <n v="0"/>
    <n v="0"/>
    <x v="1"/>
    <x v="0"/>
    <n v="0"/>
  </r>
  <r>
    <n v="2965990000000"/>
    <x v="1"/>
    <x v="19"/>
    <x v="2"/>
    <s v="ILHA DAS CAIEIRAS"/>
    <d v="2016-05-09T00:00:00"/>
    <d v="2016-05-09T00:00:00"/>
    <x v="2"/>
    <x v="94"/>
    <x v="5"/>
    <n v="0"/>
    <x v="1"/>
    <n v="0"/>
    <n v="0"/>
    <n v="0"/>
    <x v="1"/>
    <x v="0"/>
    <n v="0"/>
  </r>
  <r>
    <n v="488826000000000"/>
    <x v="1"/>
    <x v="64"/>
    <x v="3"/>
    <s v="PRAIA DO CANTO"/>
    <d v="2016-05-09T00:00:00"/>
    <d v="2016-05-09T00:00:00"/>
    <x v="2"/>
    <x v="94"/>
    <x v="5"/>
    <n v="0"/>
    <x v="1"/>
    <n v="1"/>
    <n v="0"/>
    <n v="0"/>
    <x v="1"/>
    <x v="0"/>
    <n v="0"/>
  </r>
  <r>
    <n v="5677540000000"/>
    <x v="0"/>
    <x v="46"/>
    <x v="2"/>
    <s v="SANTA MARTHA"/>
    <d v="2016-05-09T00:00:00"/>
    <d v="2016-05-09T00:00:00"/>
    <x v="2"/>
    <x v="94"/>
    <x v="5"/>
    <n v="0"/>
    <x v="1"/>
    <n v="0"/>
    <n v="0"/>
    <n v="0"/>
    <x v="1"/>
    <x v="0"/>
    <n v="0"/>
  </r>
  <r>
    <n v="288440000000"/>
    <x v="0"/>
    <x v="52"/>
    <x v="2"/>
    <s v="SANTA CLARA"/>
    <d v="2016-05-09T00:00:00"/>
    <d v="2016-05-09T00:00:00"/>
    <x v="2"/>
    <x v="94"/>
    <x v="5"/>
    <n v="0"/>
    <x v="1"/>
    <n v="0"/>
    <n v="0"/>
    <n v="0"/>
    <x v="1"/>
    <x v="0"/>
    <n v="0"/>
  </r>
  <r>
    <n v="77794700000000"/>
    <x v="0"/>
    <x v="74"/>
    <x v="1"/>
    <s v="SAO PEDRO"/>
    <d v="2016-05-09T00:00:00"/>
    <d v="2016-05-09T00:00:00"/>
    <x v="2"/>
    <x v="94"/>
    <x v="5"/>
    <n v="0"/>
    <x v="1"/>
    <n v="0"/>
    <n v="0"/>
    <n v="0"/>
    <x v="1"/>
    <x v="0"/>
    <n v="0"/>
  </r>
  <r>
    <n v="698225000000000"/>
    <x v="1"/>
    <x v="69"/>
    <x v="4"/>
    <s v="ANDORINHAS"/>
    <d v="2016-05-09T00:00:00"/>
    <d v="2016-05-09T00:00:00"/>
    <x v="2"/>
    <x v="94"/>
    <x v="5"/>
    <n v="0"/>
    <x v="0"/>
    <n v="0"/>
    <n v="0"/>
    <n v="0"/>
    <x v="1"/>
    <x v="0"/>
    <n v="0"/>
  </r>
  <r>
    <n v="4884720000000"/>
    <x v="1"/>
    <x v="21"/>
    <x v="1"/>
    <s v="REPUBLICA"/>
    <d v="2016-05-09T00:00:00"/>
    <d v="2016-05-09T00:00:00"/>
    <x v="2"/>
    <x v="94"/>
    <x v="5"/>
    <n v="0"/>
    <x v="1"/>
    <n v="0"/>
    <n v="0"/>
    <n v="0"/>
    <x v="1"/>
    <x v="0"/>
    <n v="0"/>
  </r>
  <r>
    <n v="766874000000000"/>
    <x v="0"/>
    <x v="34"/>
    <x v="0"/>
    <s v="BONFIM"/>
    <d v="2016-05-09T00:00:00"/>
    <d v="2016-05-24T00:00:00"/>
    <x v="4"/>
    <x v="79"/>
    <x v="1"/>
    <n v="0"/>
    <x v="0"/>
    <n v="0"/>
    <n v="0"/>
    <n v="0"/>
    <x v="0"/>
    <x v="0"/>
    <n v="0"/>
  </r>
  <r>
    <n v="8849290000000"/>
    <x v="1"/>
    <x v="80"/>
    <x v="2"/>
    <s v="ANDORINHAS"/>
    <d v="2016-05-09T00:00:00"/>
    <d v="2016-05-13T00:00:00"/>
    <x v="0"/>
    <x v="86"/>
    <x v="3"/>
    <n v="1"/>
    <x v="1"/>
    <n v="0"/>
    <n v="0"/>
    <n v="0"/>
    <x v="1"/>
    <x v="0"/>
    <n v="0"/>
  </r>
  <r>
    <n v="88181400000000"/>
    <x v="0"/>
    <x v="79"/>
    <x v="5"/>
    <s v="PIEDADE"/>
    <d v="2016-05-09T00:00:00"/>
    <d v="2016-06-01T00:00:00"/>
    <x v="1"/>
    <x v="67"/>
    <x v="1"/>
    <n v="1"/>
    <x v="1"/>
    <n v="0"/>
    <n v="0"/>
    <n v="0"/>
    <x v="0"/>
    <x v="0"/>
    <n v="0"/>
  </r>
  <r>
    <n v="5838290000000"/>
    <x v="1"/>
    <x v="34"/>
    <x v="0"/>
    <s v="SANTA TEREZA"/>
    <d v="2016-05-09T00:00:00"/>
    <d v="2016-05-09T00:00:00"/>
    <x v="2"/>
    <x v="94"/>
    <x v="5"/>
    <n v="0"/>
    <x v="0"/>
    <n v="0"/>
    <n v="0"/>
    <n v="0"/>
    <x v="1"/>
    <x v="0"/>
    <n v="0"/>
  </r>
  <r>
    <n v="875848000000"/>
    <x v="0"/>
    <x v="64"/>
    <x v="3"/>
    <s v="JABOUR"/>
    <d v="2016-05-09T00:00:00"/>
    <d v="2016-06-02T00:00:00"/>
    <x v="3"/>
    <x v="66"/>
    <x v="1"/>
    <n v="0"/>
    <x v="1"/>
    <n v="0"/>
    <n v="0"/>
    <n v="0"/>
    <x v="0"/>
    <x v="0"/>
    <n v="0"/>
  </r>
  <r>
    <n v="5858980000000"/>
    <x v="0"/>
    <x v="71"/>
    <x v="4"/>
    <s v="COMDUSA"/>
    <d v="2016-05-09T00:00:00"/>
    <d v="2016-05-10T00:00:00"/>
    <x v="4"/>
    <x v="93"/>
    <x v="4"/>
    <n v="0"/>
    <x v="1"/>
    <n v="0"/>
    <n v="0"/>
    <n v="0"/>
    <x v="1"/>
    <x v="0"/>
    <n v="0"/>
  </r>
  <r>
    <n v="2382390000000"/>
    <x v="1"/>
    <x v="46"/>
    <x v="2"/>
    <s v="ROMAO"/>
    <d v="2016-05-09T00:00:00"/>
    <d v="2016-05-09T00:00:00"/>
    <x v="2"/>
    <x v="94"/>
    <x v="5"/>
    <n v="0"/>
    <x v="1"/>
    <n v="0"/>
    <n v="0"/>
    <n v="0"/>
    <x v="1"/>
    <x v="0"/>
    <n v="0"/>
  </r>
  <r>
    <n v="32272700000000"/>
    <x v="0"/>
    <x v="49"/>
    <x v="4"/>
    <s v="SAO BENEDITO"/>
    <d v="2016-05-09T00:00:00"/>
    <d v="2016-05-09T00:00:00"/>
    <x v="2"/>
    <x v="94"/>
    <x v="5"/>
    <n v="1"/>
    <x v="1"/>
    <n v="0"/>
    <n v="0"/>
    <n v="0"/>
    <x v="1"/>
    <x v="0"/>
    <n v="0"/>
  </r>
  <r>
    <n v="13179300000000"/>
    <x v="1"/>
    <x v="65"/>
    <x v="2"/>
    <s v="SANTOS REIS"/>
    <d v="2016-05-09T00:00:00"/>
    <d v="2016-05-09T00:00:00"/>
    <x v="2"/>
    <x v="94"/>
    <x v="5"/>
    <n v="0"/>
    <x v="1"/>
    <n v="0"/>
    <n v="0"/>
    <n v="0"/>
    <x v="1"/>
    <x v="0"/>
    <n v="0"/>
  </r>
  <r>
    <n v="95454500000000"/>
    <x v="1"/>
    <x v="61"/>
    <x v="1"/>
    <s v="ITARARE"/>
    <d v="2016-05-09T00:00:00"/>
    <d v="2016-05-09T00:00:00"/>
    <x v="2"/>
    <x v="94"/>
    <x v="5"/>
    <n v="0"/>
    <x v="1"/>
    <n v="0"/>
    <n v="0"/>
    <n v="0"/>
    <x v="1"/>
    <x v="0"/>
    <n v="0"/>
  </r>
  <r>
    <n v="63583400000000"/>
    <x v="0"/>
    <x v="54"/>
    <x v="1"/>
    <s v="MARIA ORTIZ"/>
    <d v="2016-05-09T00:00:00"/>
    <d v="2016-05-13T00:00:00"/>
    <x v="0"/>
    <x v="86"/>
    <x v="3"/>
    <n v="0"/>
    <x v="1"/>
    <n v="0"/>
    <n v="0"/>
    <n v="0"/>
    <x v="1"/>
    <x v="0"/>
    <n v="0"/>
  </r>
  <r>
    <n v="422240000000000"/>
    <x v="1"/>
    <x v="56"/>
    <x v="1"/>
    <s v="ITARARE"/>
    <d v="2016-05-09T00:00:00"/>
    <d v="2016-05-10T00:00:00"/>
    <x v="4"/>
    <x v="93"/>
    <x v="4"/>
    <n v="0"/>
    <x v="1"/>
    <n v="0"/>
    <n v="0"/>
    <n v="0"/>
    <x v="1"/>
    <x v="0"/>
    <n v="0"/>
  </r>
  <r>
    <n v="59448900000000"/>
    <x v="0"/>
    <x v="25"/>
    <x v="4"/>
    <s v="RESISTENCIA"/>
    <d v="2016-05-09T00:00:00"/>
    <d v="2016-05-18T00:00:00"/>
    <x v="1"/>
    <x v="85"/>
    <x v="2"/>
    <n v="0"/>
    <x v="1"/>
    <n v="0"/>
    <n v="0"/>
    <n v="0"/>
    <x v="1"/>
    <x v="1"/>
    <n v="1"/>
  </r>
  <r>
    <n v="5392280000000"/>
    <x v="0"/>
    <x v="71"/>
    <x v="4"/>
    <s v="MARIO CYPRESTE"/>
    <d v="2016-05-09T00:00:00"/>
    <d v="2016-05-09T00:00:00"/>
    <x v="2"/>
    <x v="94"/>
    <x v="5"/>
    <n v="0"/>
    <x v="1"/>
    <n v="0"/>
    <n v="0"/>
    <n v="0"/>
    <x v="1"/>
    <x v="0"/>
    <n v="0"/>
  </r>
  <r>
    <n v="587487000000"/>
    <x v="0"/>
    <x v="31"/>
    <x v="1"/>
    <s v="SAO JOSE"/>
    <d v="2016-05-09T00:00:00"/>
    <d v="2016-05-09T00:00:00"/>
    <x v="2"/>
    <x v="94"/>
    <x v="5"/>
    <n v="0"/>
    <x v="1"/>
    <n v="0"/>
    <n v="0"/>
    <n v="0"/>
    <x v="1"/>
    <x v="1"/>
    <n v="1"/>
  </r>
  <r>
    <n v="586593000000000"/>
    <x v="1"/>
    <x v="69"/>
    <x v="4"/>
    <s v="INHANGUETA"/>
    <d v="2016-05-09T00:00:00"/>
    <d v="2016-05-30T00:00:00"/>
    <x v="2"/>
    <x v="73"/>
    <x v="1"/>
    <n v="0"/>
    <x v="1"/>
    <n v="0"/>
    <n v="0"/>
    <n v="0"/>
    <x v="0"/>
    <x v="1"/>
    <n v="1"/>
  </r>
  <r>
    <n v="956792000000"/>
    <x v="1"/>
    <x v="43"/>
    <x v="2"/>
    <s v="CENTRO"/>
    <d v="2016-05-09T00:00:00"/>
    <d v="2016-05-30T00:00:00"/>
    <x v="2"/>
    <x v="73"/>
    <x v="1"/>
    <n v="1"/>
    <x v="1"/>
    <n v="0"/>
    <n v="0"/>
    <n v="0"/>
    <x v="0"/>
    <x v="0"/>
    <n v="0"/>
  </r>
  <r>
    <n v="79512200000000"/>
    <x v="1"/>
    <x v="24"/>
    <x v="1"/>
    <s v="ANDORINHAS"/>
    <d v="2016-05-09T00:00:00"/>
    <d v="2016-05-31T00:00:00"/>
    <x v="4"/>
    <x v="71"/>
    <x v="1"/>
    <n v="0"/>
    <x v="1"/>
    <n v="0"/>
    <n v="0"/>
    <n v="0"/>
    <x v="0"/>
    <x v="0"/>
    <n v="0"/>
  </r>
  <r>
    <n v="461241000000"/>
    <x v="0"/>
    <x v="77"/>
    <x v="4"/>
    <s v="JARDIM CAMBURI"/>
    <d v="2016-05-09T00:00:00"/>
    <d v="2016-05-09T00:00:00"/>
    <x v="2"/>
    <x v="94"/>
    <x v="5"/>
    <n v="0"/>
    <x v="1"/>
    <n v="0"/>
    <n v="0"/>
    <n v="0"/>
    <x v="1"/>
    <x v="0"/>
    <n v="0"/>
  </r>
  <r>
    <n v="673841000000000"/>
    <x v="1"/>
    <x v="32"/>
    <x v="4"/>
    <s v="SANTO ANDRE"/>
    <d v="2016-05-09T00:00:00"/>
    <d v="2016-05-09T00:00:00"/>
    <x v="2"/>
    <x v="94"/>
    <x v="5"/>
    <n v="0"/>
    <x v="1"/>
    <n v="0"/>
    <n v="0"/>
    <n v="0"/>
    <x v="1"/>
    <x v="0"/>
    <n v="0"/>
  </r>
  <r>
    <n v="77138200000000"/>
    <x v="1"/>
    <x v="43"/>
    <x v="2"/>
    <s v="SAO JOSE"/>
    <d v="2016-05-09T00:00:00"/>
    <d v="2016-05-09T00:00:00"/>
    <x v="2"/>
    <x v="94"/>
    <x v="5"/>
    <n v="0"/>
    <x v="1"/>
    <n v="0"/>
    <n v="0"/>
    <n v="0"/>
    <x v="1"/>
    <x v="0"/>
    <n v="0"/>
  </r>
  <r>
    <n v="82526400000000"/>
    <x v="1"/>
    <x v="57"/>
    <x v="2"/>
    <s v="FORTE SAO JOAO"/>
    <d v="2016-05-09T00:00:00"/>
    <d v="2016-05-09T00:00:00"/>
    <x v="2"/>
    <x v="94"/>
    <x v="5"/>
    <n v="0"/>
    <x v="1"/>
    <n v="0"/>
    <n v="0"/>
    <n v="0"/>
    <x v="1"/>
    <x v="0"/>
    <n v="0"/>
  </r>
  <r>
    <n v="1951840000000"/>
    <x v="0"/>
    <x v="14"/>
    <x v="3"/>
    <s v="TABUAZEIRO"/>
    <d v="2016-05-09T00:00:00"/>
    <d v="2016-05-09T00:00:00"/>
    <x v="2"/>
    <x v="94"/>
    <x v="5"/>
    <n v="0"/>
    <x v="0"/>
    <n v="0"/>
    <n v="0"/>
    <n v="0"/>
    <x v="1"/>
    <x v="0"/>
    <n v="0"/>
  </r>
  <r>
    <n v="9784820000000"/>
    <x v="1"/>
    <x v="31"/>
    <x v="1"/>
    <s v="MARIA ORTIZ"/>
    <d v="2016-05-09T00:00:00"/>
    <d v="2016-05-09T00:00:00"/>
    <x v="2"/>
    <x v="94"/>
    <x v="5"/>
    <n v="0"/>
    <x v="1"/>
    <n v="0"/>
    <n v="0"/>
    <n v="0"/>
    <x v="1"/>
    <x v="0"/>
    <n v="0"/>
  </r>
  <r>
    <n v="44787392844"/>
    <x v="0"/>
    <x v="40"/>
    <x v="1"/>
    <s v="ITARARE"/>
    <d v="2016-05-09T00:00:00"/>
    <d v="2016-05-09T00:00:00"/>
    <x v="2"/>
    <x v="94"/>
    <x v="5"/>
    <n v="0"/>
    <x v="1"/>
    <n v="0"/>
    <n v="0"/>
    <n v="0"/>
    <x v="1"/>
    <x v="0"/>
    <n v="0"/>
  </r>
  <r>
    <n v="758766000000000"/>
    <x v="1"/>
    <x v="25"/>
    <x v="4"/>
    <s v="ROMAO"/>
    <d v="2016-05-09T00:00:00"/>
    <d v="2016-05-13T00:00:00"/>
    <x v="0"/>
    <x v="86"/>
    <x v="3"/>
    <n v="0"/>
    <x v="1"/>
    <n v="0"/>
    <n v="0"/>
    <n v="0"/>
    <x v="1"/>
    <x v="1"/>
    <n v="1"/>
  </r>
  <r>
    <n v="82435900000000"/>
    <x v="0"/>
    <x v="78"/>
    <x v="0"/>
    <s v="JARDIM DA PENHA"/>
    <d v="2016-05-09T00:00:00"/>
    <d v="2016-05-11T00:00:00"/>
    <x v="1"/>
    <x v="91"/>
    <x v="4"/>
    <n v="0"/>
    <x v="0"/>
    <n v="1"/>
    <n v="0"/>
    <n v="0"/>
    <x v="1"/>
    <x v="0"/>
    <n v="0"/>
  </r>
  <r>
    <n v="51186700000000"/>
    <x v="0"/>
    <x v="45"/>
    <x v="1"/>
    <s v="PRAIA DO CANTO"/>
    <d v="2016-05-09T00:00:00"/>
    <d v="2016-05-09T00:00:00"/>
    <x v="2"/>
    <x v="94"/>
    <x v="5"/>
    <n v="0"/>
    <x v="1"/>
    <n v="0"/>
    <n v="0"/>
    <n v="0"/>
    <x v="1"/>
    <x v="0"/>
    <n v="0"/>
  </r>
  <r>
    <n v="4494620000000"/>
    <x v="0"/>
    <x v="63"/>
    <x v="0"/>
    <s v="CARATOIRA"/>
    <d v="2016-05-09T00:00:00"/>
    <d v="2016-05-14T00:00:00"/>
    <x v="5"/>
    <x v="92"/>
    <x v="3"/>
    <n v="0"/>
    <x v="0"/>
    <n v="1"/>
    <n v="0"/>
    <n v="0"/>
    <x v="0"/>
    <x v="0"/>
    <n v="0"/>
  </r>
  <r>
    <n v="9429160000000"/>
    <x v="1"/>
    <x v="61"/>
    <x v="1"/>
    <s v="SAO BENEDITO"/>
    <d v="2016-05-09T00:00:00"/>
    <d v="2016-05-09T00:00:00"/>
    <x v="2"/>
    <x v="94"/>
    <x v="5"/>
    <n v="0"/>
    <x v="0"/>
    <n v="0"/>
    <n v="0"/>
    <n v="0"/>
    <x v="1"/>
    <x v="0"/>
    <n v="0"/>
  </r>
  <r>
    <n v="843754000000000"/>
    <x v="0"/>
    <x v="33"/>
    <x v="4"/>
    <s v="RESISTENCIA"/>
    <d v="2016-05-09T00:00:00"/>
    <d v="2016-05-09T00:00:00"/>
    <x v="2"/>
    <x v="94"/>
    <x v="5"/>
    <n v="0"/>
    <x v="1"/>
    <n v="0"/>
    <n v="0"/>
    <n v="0"/>
    <x v="1"/>
    <x v="0"/>
    <n v="0"/>
  </r>
  <r>
    <n v="16461300000000"/>
    <x v="1"/>
    <x v="37"/>
    <x v="3"/>
    <s v="SANTO ANDRE"/>
    <d v="2016-05-09T00:00:00"/>
    <d v="2016-05-09T00:00:00"/>
    <x v="2"/>
    <x v="94"/>
    <x v="5"/>
    <n v="0"/>
    <x v="0"/>
    <n v="0"/>
    <n v="0"/>
    <n v="1"/>
    <x v="1"/>
    <x v="0"/>
    <n v="0"/>
  </r>
  <r>
    <n v="11213500000000"/>
    <x v="0"/>
    <x v="39"/>
    <x v="4"/>
    <s v="TABUAZEIRO"/>
    <d v="2016-05-09T00:00:00"/>
    <d v="2016-05-16T00:00:00"/>
    <x v="2"/>
    <x v="87"/>
    <x v="3"/>
    <n v="1"/>
    <x v="1"/>
    <n v="0"/>
    <n v="0"/>
    <n v="0"/>
    <x v="1"/>
    <x v="1"/>
    <n v="1"/>
  </r>
  <r>
    <n v="678279000000000"/>
    <x v="0"/>
    <x v="9"/>
    <x v="0"/>
    <s v="GOIABEIRAS"/>
    <d v="2016-05-09T00:00:00"/>
    <d v="2016-05-11T00:00:00"/>
    <x v="1"/>
    <x v="91"/>
    <x v="4"/>
    <n v="0"/>
    <x v="1"/>
    <n v="0"/>
    <n v="0"/>
    <n v="0"/>
    <x v="1"/>
    <x v="0"/>
    <n v="0"/>
  </r>
  <r>
    <n v="68534200000000"/>
    <x v="1"/>
    <x v="52"/>
    <x v="2"/>
    <s v="SANTA MARTHA"/>
    <d v="2016-05-09T00:00:00"/>
    <d v="2016-05-11T00:00:00"/>
    <x v="1"/>
    <x v="91"/>
    <x v="4"/>
    <n v="0"/>
    <x v="1"/>
    <n v="0"/>
    <n v="0"/>
    <n v="0"/>
    <x v="1"/>
    <x v="1"/>
    <n v="1"/>
  </r>
  <r>
    <n v="859396000000"/>
    <x v="0"/>
    <x v="80"/>
    <x v="2"/>
    <s v="JARDIM DA PENHA"/>
    <d v="2016-05-09T00:00:00"/>
    <d v="2016-05-16T00:00:00"/>
    <x v="2"/>
    <x v="87"/>
    <x v="3"/>
    <n v="0"/>
    <x v="1"/>
    <n v="0"/>
    <n v="0"/>
    <n v="0"/>
    <x v="1"/>
    <x v="0"/>
    <n v="0"/>
  </r>
  <r>
    <n v="46675198426"/>
    <x v="0"/>
    <x v="70"/>
    <x v="5"/>
    <s v="CENTRO"/>
    <d v="2016-05-09T00:00:00"/>
    <d v="2016-05-09T00:00:00"/>
    <x v="2"/>
    <x v="94"/>
    <x v="5"/>
    <n v="0"/>
    <x v="1"/>
    <n v="0"/>
    <n v="0"/>
    <n v="0"/>
    <x v="1"/>
    <x v="0"/>
    <n v="0"/>
  </r>
  <r>
    <n v="61656200000000"/>
    <x v="1"/>
    <x v="75"/>
    <x v="5"/>
    <s v="CENTRO"/>
    <d v="2016-05-09T00:00:00"/>
    <d v="2016-05-25T00:00:00"/>
    <x v="1"/>
    <x v="78"/>
    <x v="1"/>
    <n v="0"/>
    <x v="1"/>
    <n v="0"/>
    <n v="0"/>
    <n v="0"/>
    <x v="0"/>
    <x v="1"/>
    <n v="1"/>
  </r>
  <r>
    <n v="699460000000"/>
    <x v="1"/>
    <x v="52"/>
    <x v="2"/>
    <s v="ILHA DO PRINCIPE"/>
    <d v="2016-05-09T00:00:00"/>
    <d v="2016-05-16T00:00:00"/>
    <x v="2"/>
    <x v="87"/>
    <x v="3"/>
    <n v="0"/>
    <x v="1"/>
    <n v="0"/>
    <n v="0"/>
    <n v="0"/>
    <x v="1"/>
    <x v="0"/>
    <n v="0"/>
  </r>
  <r>
    <n v="5385310000000"/>
    <x v="0"/>
    <x v="4"/>
    <x v="2"/>
    <s v="TABUAZEIRO"/>
    <d v="2016-05-09T00:00:00"/>
    <d v="2016-05-09T00:00:00"/>
    <x v="2"/>
    <x v="94"/>
    <x v="5"/>
    <n v="0"/>
    <x v="1"/>
    <n v="0"/>
    <n v="0"/>
    <n v="0"/>
    <x v="1"/>
    <x v="0"/>
    <n v="0"/>
  </r>
  <r>
    <n v="751774000000000"/>
    <x v="1"/>
    <x v="52"/>
    <x v="2"/>
    <s v="SAO CRISTOVAO"/>
    <d v="2016-05-09T00:00:00"/>
    <d v="2016-05-17T00:00:00"/>
    <x v="4"/>
    <x v="88"/>
    <x v="2"/>
    <n v="1"/>
    <x v="1"/>
    <n v="0"/>
    <n v="0"/>
    <n v="0"/>
    <x v="1"/>
    <x v="0"/>
    <n v="0"/>
  </r>
  <r>
    <n v="17622600000000"/>
    <x v="0"/>
    <x v="29"/>
    <x v="3"/>
    <s v="JUCUTUQUARA"/>
    <d v="2016-05-09T00:00:00"/>
    <d v="2016-05-09T00:00:00"/>
    <x v="2"/>
    <x v="94"/>
    <x v="5"/>
    <n v="0"/>
    <x v="1"/>
    <n v="0"/>
    <n v="0"/>
    <n v="0"/>
    <x v="1"/>
    <x v="0"/>
    <n v="0"/>
  </r>
  <r>
    <n v="9992850000000"/>
    <x v="0"/>
    <x v="4"/>
    <x v="2"/>
    <s v="GOIABEIRAS"/>
    <d v="2016-05-09T00:00:00"/>
    <d v="2016-05-09T00:00:00"/>
    <x v="2"/>
    <x v="94"/>
    <x v="5"/>
    <n v="0"/>
    <x v="1"/>
    <n v="0"/>
    <n v="0"/>
    <n v="0"/>
    <x v="1"/>
    <x v="0"/>
    <n v="0"/>
  </r>
  <r>
    <n v="9434120000000"/>
    <x v="0"/>
    <x v="47"/>
    <x v="4"/>
    <s v="JARDIM CAMBURI"/>
    <d v="2016-05-09T00:00:00"/>
    <d v="2016-05-09T00:00:00"/>
    <x v="2"/>
    <x v="94"/>
    <x v="5"/>
    <n v="0"/>
    <x v="1"/>
    <n v="0"/>
    <n v="0"/>
    <n v="0"/>
    <x v="1"/>
    <x v="0"/>
    <n v="0"/>
  </r>
  <r>
    <n v="4426340000000"/>
    <x v="1"/>
    <x v="64"/>
    <x v="3"/>
    <s v="ENSEADA DO SUA"/>
    <d v="2016-05-09T00:00:00"/>
    <d v="2016-05-30T00:00:00"/>
    <x v="2"/>
    <x v="73"/>
    <x v="1"/>
    <n v="0"/>
    <x v="1"/>
    <n v="0"/>
    <n v="0"/>
    <n v="0"/>
    <x v="0"/>
    <x v="0"/>
    <n v="0"/>
  </r>
  <r>
    <n v="61966800000000"/>
    <x v="0"/>
    <x v="22"/>
    <x v="4"/>
    <s v="GURIGICA"/>
    <d v="2016-05-09T00:00:00"/>
    <d v="2016-05-09T00:00:00"/>
    <x v="2"/>
    <x v="94"/>
    <x v="5"/>
    <n v="0"/>
    <x v="1"/>
    <n v="0"/>
    <n v="0"/>
    <n v="0"/>
    <x v="1"/>
    <x v="0"/>
    <n v="0"/>
  </r>
  <r>
    <n v="636643000000000"/>
    <x v="0"/>
    <x v="29"/>
    <x v="3"/>
    <s v="JARDIM CAMBURI"/>
    <d v="2016-05-09T00:00:00"/>
    <d v="2016-05-11T00:00:00"/>
    <x v="1"/>
    <x v="91"/>
    <x v="4"/>
    <n v="0"/>
    <x v="1"/>
    <n v="0"/>
    <n v="0"/>
    <n v="0"/>
    <x v="1"/>
    <x v="0"/>
    <n v="0"/>
  </r>
  <r>
    <n v="289313000000000"/>
    <x v="1"/>
    <x v="51"/>
    <x v="2"/>
    <s v="JESUS DE NAZARETH"/>
    <d v="2016-05-09T00:00:00"/>
    <d v="2016-05-10T00:00:00"/>
    <x v="4"/>
    <x v="93"/>
    <x v="4"/>
    <n v="0"/>
    <x v="1"/>
    <n v="0"/>
    <n v="0"/>
    <n v="0"/>
    <x v="1"/>
    <x v="1"/>
    <n v="1"/>
  </r>
  <r>
    <n v="8675950000000"/>
    <x v="1"/>
    <x v="12"/>
    <x v="3"/>
    <s v="SEGURANCA DO LAR"/>
    <d v="2016-05-09T00:00:00"/>
    <d v="2016-05-09T00:00:00"/>
    <x v="2"/>
    <x v="94"/>
    <x v="5"/>
    <n v="0"/>
    <x v="1"/>
    <n v="0"/>
    <n v="0"/>
    <n v="0"/>
    <x v="1"/>
    <x v="0"/>
    <n v="0"/>
  </r>
  <r>
    <n v="9221170000000"/>
    <x v="0"/>
    <x v="32"/>
    <x v="4"/>
    <s v="ANDORINHAS"/>
    <d v="2016-05-09T00:00:00"/>
    <d v="2016-05-09T00:00:00"/>
    <x v="2"/>
    <x v="94"/>
    <x v="5"/>
    <n v="0"/>
    <x v="1"/>
    <n v="0"/>
    <n v="0"/>
    <n v="0"/>
    <x v="1"/>
    <x v="0"/>
    <n v="0"/>
  </r>
  <r>
    <n v="92557100000000"/>
    <x v="1"/>
    <x v="37"/>
    <x v="3"/>
    <s v="MARIA ORTIZ"/>
    <d v="2016-05-09T00:00:00"/>
    <d v="2016-05-09T00:00:00"/>
    <x v="2"/>
    <x v="94"/>
    <x v="5"/>
    <n v="0"/>
    <x v="1"/>
    <n v="0"/>
    <n v="0"/>
    <n v="0"/>
    <x v="1"/>
    <x v="0"/>
    <n v="0"/>
  </r>
  <r>
    <n v="352929000000"/>
    <x v="0"/>
    <x v="45"/>
    <x v="1"/>
    <s v="JARDIM CAMBURI"/>
    <d v="2016-05-09T00:00:00"/>
    <d v="2016-05-09T00:00:00"/>
    <x v="2"/>
    <x v="94"/>
    <x v="5"/>
    <n v="0"/>
    <x v="1"/>
    <n v="0"/>
    <n v="0"/>
    <n v="0"/>
    <x v="1"/>
    <x v="0"/>
    <n v="0"/>
  </r>
  <r>
    <n v="76458800000000"/>
    <x v="0"/>
    <x v="17"/>
    <x v="4"/>
    <s v="BONFIM"/>
    <d v="2016-05-09T00:00:00"/>
    <d v="2016-05-09T00:00:00"/>
    <x v="2"/>
    <x v="94"/>
    <x v="5"/>
    <n v="0"/>
    <x v="0"/>
    <n v="0"/>
    <n v="0"/>
    <n v="0"/>
    <x v="1"/>
    <x v="0"/>
    <n v="0"/>
  </r>
  <r>
    <n v="525343000000"/>
    <x v="1"/>
    <x v="73"/>
    <x v="4"/>
    <s v="ITARARE"/>
    <d v="2016-05-09T00:00:00"/>
    <d v="2016-05-09T00:00:00"/>
    <x v="2"/>
    <x v="94"/>
    <x v="5"/>
    <n v="0"/>
    <x v="1"/>
    <n v="0"/>
    <n v="0"/>
    <n v="0"/>
    <x v="1"/>
    <x v="0"/>
    <n v="0"/>
  </r>
  <r>
    <n v="2649460000000"/>
    <x v="1"/>
    <x v="65"/>
    <x v="2"/>
    <s v="CRUZAMENTO"/>
    <d v="2016-05-09T00:00:00"/>
    <d v="2016-05-09T00:00:00"/>
    <x v="2"/>
    <x v="94"/>
    <x v="5"/>
    <n v="0"/>
    <x v="1"/>
    <n v="0"/>
    <n v="0"/>
    <n v="0"/>
    <x v="1"/>
    <x v="0"/>
    <n v="0"/>
  </r>
  <r>
    <n v="65424700000000"/>
    <x v="0"/>
    <x v="54"/>
    <x v="1"/>
    <s v="SANTA CLARA"/>
    <d v="2016-05-09T00:00:00"/>
    <d v="2016-05-09T00:00:00"/>
    <x v="2"/>
    <x v="94"/>
    <x v="5"/>
    <n v="0"/>
    <x v="1"/>
    <n v="0"/>
    <n v="0"/>
    <n v="0"/>
    <x v="1"/>
    <x v="0"/>
    <n v="0"/>
  </r>
  <r>
    <n v="7828640000000"/>
    <x v="0"/>
    <x v="5"/>
    <x v="1"/>
    <s v="ILHA DAS CAIEIRAS"/>
    <d v="2016-05-09T00:00:00"/>
    <d v="2016-05-09T00:00:00"/>
    <x v="2"/>
    <x v="94"/>
    <x v="5"/>
    <n v="1"/>
    <x v="0"/>
    <n v="0"/>
    <n v="0"/>
    <n v="0"/>
    <x v="1"/>
    <x v="1"/>
    <n v="1"/>
  </r>
  <r>
    <n v="3263820000000"/>
    <x v="1"/>
    <x v="51"/>
    <x v="2"/>
    <s v="SANTOS REIS"/>
    <d v="2016-05-09T00:00:00"/>
    <d v="2016-05-16T00:00:00"/>
    <x v="2"/>
    <x v="87"/>
    <x v="3"/>
    <n v="0"/>
    <x v="1"/>
    <n v="0"/>
    <n v="0"/>
    <n v="0"/>
    <x v="1"/>
    <x v="0"/>
    <n v="0"/>
  </r>
  <r>
    <n v="6591760000000"/>
    <x v="0"/>
    <x v="42"/>
    <x v="3"/>
    <s v="SANTA TEREZA"/>
    <d v="2016-05-09T00:00:00"/>
    <d v="2016-05-09T00:00:00"/>
    <x v="2"/>
    <x v="94"/>
    <x v="5"/>
    <n v="0"/>
    <x v="1"/>
    <n v="0"/>
    <n v="0"/>
    <n v="0"/>
    <x v="1"/>
    <x v="0"/>
    <n v="0"/>
  </r>
  <r>
    <n v="3428380000000"/>
    <x v="0"/>
    <x v="88"/>
    <x v="0"/>
    <s v="JARDIM DA PENHA"/>
    <d v="2016-05-09T00:00:00"/>
    <d v="2016-06-06T00:00:00"/>
    <x v="2"/>
    <x v="64"/>
    <x v="1"/>
    <n v="0"/>
    <x v="0"/>
    <n v="1"/>
    <n v="0"/>
    <n v="0"/>
    <x v="0"/>
    <x v="0"/>
    <n v="0"/>
  </r>
  <r>
    <n v="8366430000000"/>
    <x v="0"/>
    <x v="18"/>
    <x v="0"/>
    <s v="MARIA ORTIZ"/>
    <d v="2016-05-09T00:00:00"/>
    <d v="2016-06-06T00:00:00"/>
    <x v="2"/>
    <x v="64"/>
    <x v="1"/>
    <n v="0"/>
    <x v="1"/>
    <n v="0"/>
    <n v="0"/>
    <n v="0"/>
    <x v="1"/>
    <x v="0"/>
    <n v="0"/>
  </r>
  <r>
    <n v="53955200000000"/>
    <x v="1"/>
    <x v="54"/>
    <x v="1"/>
    <s v="SAO PEDRO"/>
    <d v="2016-05-09T00:00:00"/>
    <d v="2016-05-16T00:00:00"/>
    <x v="2"/>
    <x v="87"/>
    <x v="3"/>
    <n v="0"/>
    <x v="0"/>
    <n v="0"/>
    <n v="0"/>
    <n v="0"/>
    <x v="1"/>
    <x v="1"/>
    <n v="1"/>
  </r>
  <r>
    <n v="663939000000"/>
    <x v="0"/>
    <x v="68"/>
    <x v="4"/>
    <s v="ILHA DAS CAIEIRAS"/>
    <d v="2016-05-09T00:00:00"/>
    <d v="2016-05-17T00:00:00"/>
    <x v="4"/>
    <x v="88"/>
    <x v="2"/>
    <n v="0"/>
    <x v="1"/>
    <n v="0"/>
    <n v="0"/>
    <n v="0"/>
    <x v="1"/>
    <x v="0"/>
    <n v="0"/>
  </r>
  <r>
    <n v="56515400000000"/>
    <x v="0"/>
    <x v="81"/>
    <x v="5"/>
    <s v="ITARARE"/>
    <d v="2016-05-09T00:00:00"/>
    <d v="2016-05-16T00:00:00"/>
    <x v="2"/>
    <x v="87"/>
    <x v="3"/>
    <n v="0"/>
    <x v="1"/>
    <n v="0"/>
    <n v="0"/>
    <n v="0"/>
    <x v="1"/>
    <x v="0"/>
    <n v="0"/>
  </r>
  <r>
    <n v="549874000000000"/>
    <x v="0"/>
    <x v="22"/>
    <x v="4"/>
    <s v="SANTOS DUMONT"/>
    <d v="2016-05-09T00:00:00"/>
    <d v="2016-05-11T00:00:00"/>
    <x v="1"/>
    <x v="91"/>
    <x v="4"/>
    <n v="0"/>
    <x v="1"/>
    <n v="0"/>
    <n v="0"/>
    <n v="0"/>
    <x v="1"/>
    <x v="1"/>
    <n v="1"/>
  </r>
  <r>
    <n v="7719280000000"/>
    <x v="0"/>
    <x v="46"/>
    <x v="2"/>
    <s v="ILHA DE SANTA MARIA"/>
    <d v="2016-05-09T00:00:00"/>
    <d v="2016-05-25T00:00:00"/>
    <x v="1"/>
    <x v="78"/>
    <x v="1"/>
    <n v="0"/>
    <x v="1"/>
    <n v="0"/>
    <n v="0"/>
    <n v="0"/>
    <x v="0"/>
    <x v="0"/>
    <n v="0"/>
  </r>
  <r>
    <n v="5392280000000"/>
    <x v="0"/>
    <x v="71"/>
    <x v="4"/>
    <s v="MARIO CYPRESTE"/>
    <d v="2016-05-09T00:00:00"/>
    <d v="2016-05-13T00:00:00"/>
    <x v="0"/>
    <x v="86"/>
    <x v="3"/>
    <n v="0"/>
    <x v="1"/>
    <n v="0"/>
    <n v="0"/>
    <n v="0"/>
    <x v="1"/>
    <x v="0"/>
    <n v="0"/>
  </r>
  <r>
    <n v="576457000000000"/>
    <x v="1"/>
    <x v="48"/>
    <x v="3"/>
    <s v="ROMAO"/>
    <d v="2016-05-09T00:00:00"/>
    <d v="2016-05-12T00:00:00"/>
    <x v="3"/>
    <x v="89"/>
    <x v="4"/>
    <n v="0"/>
    <x v="0"/>
    <n v="0"/>
    <n v="0"/>
    <n v="1"/>
    <x v="1"/>
    <x v="0"/>
    <n v="0"/>
  </r>
  <r>
    <n v="87231631666"/>
    <x v="1"/>
    <x v="62"/>
    <x v="3"/>
    <s v="SAO BENEDITO"/>
    <d v="2016-05-09T00:00:00"/>
    <d v="2016-05-11T00:00:00"/>
    <x v="1"/>
    <x v="91"/>
    <x v="4"/>
    <n v="0"/>
    <x v="0"/>
    <n v="0"/>
    <n v="0"/>
    <n v="0"/>
    <x v="1"/>
    <x v="1"/>
    <n v="1"/>
  </r>
  <r>
    <n v="266380000000000"/>
    <x v="0"/>
    <x v="4"/>
    <x v="2"/>
    <s v="JARDIM CAMBURI"/>
    <d v="2016-05-09T00:00:00"/>
    <d v="2016-05-20T00:00:00"/>
    <x v="0"/>
    <x v="81"/>
    <x v="2"/>
    <n v="0"/>
    <x v="1"/>
    <n v="0"/>
    <n v="0"/>
    <n v="0"/>
    <x v="1"/>
    <x v="1"/>
    <n v="1"/>
  </r>
  <r>
    <n v="61345100000000"/>
    <x v="1"/>
    <x v="46"/>
    <x v="2"/>
    <s v="GURIGICA"/>
    <d v="2016-05-09T00:00:00"/>
    <d v="2016-05-09T00:00:00"/>
    <x v="2"/>
    <x v="94"/>
    <x v="5"/>
    <n v="0"/>
    <x v="1"/>
    <n v="0"/>
    <n v="0"/>
    <n v="0"/>
    <x v="1"/>
    <x v="0"/>
    <n v="0"/>
  </r>
  <r>
    <n v="72415800000000"/>
    <x v="0"/>
    <x v="78"/>
    <x v="0"/>
    <s v="CARATOIRA"/>
    <d v="2016-05-09T00:00:00"/>
    <d v="2016-05-10T00:00:00"/>
    <x v="4"/>
    <x v="93"/>
    <x v="4"/>
    <n v="0"/>
    <x v="0"/>
    <n v="0"/>
    <n v="0"/>
    <n v="1"/>
    <x v="1"/>
    <x v="0"/>
    <n v="0"/>
  </r>
  <r>
    <n v="367925000000000"/>
    <x v="0"/>
    <x v="49"/>
    <x v="4"/>
    <s v="ROMAO"/>
    <d v="2016-05-09T00:00:00"/>
    <d v="2016-05-20T00:00:00"/>
    <x v="0"/>
    <x v="81"/>
    <x v="2"/>
    <n v="0"/>
    <x v="1"/>
    <n v="0"/>
    <n v="0"/>
    <n v="0"/>
    <x v="1"/>
    <x v="1"/>
    <n v="1"/>
  </r>
  <r>
    <n v="3485880000000"/>
    <x v="0"/>
    <x v="38"/>
    <x v="4"/>
    <s v="SANTOS DUMONT"/>
    <d v="2016-05-09T00:00:00"/>
    <d v="2016-05-30T00:00:00"/>
    <x v="2"/>
    <x v="73"/>
    <x v="1"/>
    <n v="0"/>
    <x v="1"/>
    <n v="0"/>
    <n v="0"/>
    <n v="0"/>
    <x v="0"/>
    <x v="1"/>
    <n v="1"/>
  </r>
  <r>
    <n v="76492300000000"/>
    <x v="0"/>
    <x v="59"/>
    <x v="2"/>
    <s v="FORTE SAO JOAO"/>
    <d v="2016-05-09T00:00:00"/>
    <d v="2016-05-09T00:00:00"/>
    <x v="2"/>
    <x v="94"/>
    <x v="5"/>
    <n v="0"/>
    <x v="1"/>
    <n v="0"/>
    <n v="0"/>
    <n v="0"/>
    <x v="1"/>
    <x v="0"/>
    <n v="0"/>
  </r>
  <r>
    <n v="68783200000000"/>
    <x v="1"/>
    <x v="19"/>
    <x v="2"/>
    <s v="MONTE BELO"/>
    <d v="2016-05-09T00:00:00"/>
    <d v="2016-05-16T00:00:00"/>
    <x v="2"/>
    <x v="87"/>
    <x v="3"/>
    <n v="0"/>
    <x v="1"/>
    <n v="0"/>
    <n v="0"/>
    <n v="0"/>
    <x v="1"/>
    <x v="1"/>
    <n v="1"/>
  </r>
  <r>
    <n v="585667000000"/>
    <x v="0"/>
    <x v="12"/>
    <x v="3"/>
    <s v="SANTA TEREZA"/>
    <d v="2016-05-09T00:00:00"/>
    <d v="2016-05-11T00:00:00"/>
    <x v="1"/>
    <x v="91"/>
    <x v="4"/>
    <n v="0"/>
    <x v="1"/>
    <n v="0"/>
    <n v="0"/>
    <n v="0"/>
    <x v="1"/>
    <x v="1"/>
    <n v="1"/>
  </r>
  <r>
    <n v="82591800000000"/>
    <x v="0"/>
    <x v="36"/>
    <x v="3"/>
    <s v="GOIABEIRAS"/>
    <d v="2016-05-09T00:00:00"/>
    <d v="2016-05-12T00:00:00"/>
    <x v="3"/>
    <x v="89"/>
    <x v="4"/>
    <n v="0"/>
    <x v="1"/>
    <n v="0"/>
    <n v="0"/>
    <n v="0"/>
    <x v="1"/>
    <x v="0"/>
    <n v="0"/>
  </r>
  <r>
    <n v="351855000000"/>
    <x v="1"/>
    <x v="94"/>
    <x v="0"/>
    <s v="JARDIM DA PENHA"/>
    <d v="2016-05-09T00:00:00"/>
    <d v="2016-05-11T00:00:00"/>
    <x v="1"/>
    <x v="91"/>
    <x v="4"/>
    <n v="0"/>
    <x v="1"/>
    <n v="0"/>
    <n v="0"/>
    <n v="0"/>
    <x v="1"/>
    <x v="0"/>
    <n v="0"/>
  </r>
  <r>
    <n v="51166757624"/>
    <x v="0"/>
    <x v="66"/>
    <x v="2"/>
    <s v="GURIGICA"/>
    <d v="2016-05-09T00:00:00"/>
    <d v="2016-05-09T00:00:00"/>
    <x v="2"/>
    <x v="94"/>
    <x v="5"/>
    <n v="0"/>
    <x v="1"/>
    <n v="0"/>
    <n v="0"/>
    <n v="0"/>
    <x v="1"/>
    <x v="0"/>
    <n v="0"/>
  </r>
  <r>
    <n v="922537000000000"/>
    <x v="0"/>
    <x v="15"/>
    <x v="3"/>
    <s v="ITARARE"/>
    <d v="2016-05-09T00:00:00"/>
    <d v="2016-05-09T00:00:00"/>
    <x v="2"/>
    <x v="94"/>
    <x v="5"/>
    <n v="1"/>
    <x v="1"/>
    <n v="0"/>
    <n v="0"/>
    <n v="0"/>
    <x v="1"/>
    <x v="1"/>
    <n v="1"/>
  </r>
  <r>
    <n v="1757180000000"/>
    <x v="0"/>
    <x v="78"/>
    <x v="0"/>
    <s v="FONTE GRANDE"/>
    <d v="2016-05-09T00:00:00"/>
    <d v="2016-05-09T00:00:00"/>
    <x v="2"/>
    <x v="94"/>
    <x v="5"/>
    <n v="0"/>
    <x v="0"/>
    <n v="1"/>
    <n v="0"/>
    <n v="0"/>
    <x v="1"/>
    <x v="0"/>
    <n v="0"/>
  </r>
  <r>
    <n v="362186000000"/>
    <x v="0"/>
    <x v="30"/>
    <x v="3"/>
    <s v="ROMAO"/>
    <d v="2016-05-09T00:00:00"/>
    <d v="2016-05-12T00:00:00"/>
    <x v="3"/>
    <x v="89"/>
    <x v="4"/>
    <n v="0"/>
    <x v="0"/>
    <n v="1"/>
    <n v="0"/>
    <n v="0"/>
    <x v="1"/>
    <x v="0"/>
    <n v="0"/>
  </r>
  <r>
    <n v="88227100000000"/>
    <x v="0"/>
    <x v="76"/>
    <x v="0"/>
    <s v="JABOUR"/>
    <d v="2016-05-09T00:00:00"/>
    <d v="2016-05-09T00:00:00"/>
    <x v="2"/>
    <x v="94"/>
    <x v="5"/>
    <n v="1"/>
    <x v="1"/>
    <n v="0"/>
    <n v="0"/>
    <n v="0"/>
    <x v="1"/>
    <x v="0"/>
    <n v="0"/>
  </r>
  <r>
    <n v="4379270000000"/>
    <x v="0"/>
    <x v="62"/>
    <x v="3"/>
    <s v="MARIA ORTIZ"/>
    <d v="2016-05-09T00:00:00"/>
    <d v="2016-05-13T00:00:00"/>
    <x v="0"/>
    <x v="86"/>
    <x v="3"/>
    <n v="0"/>
    <x v="1"/>
    <n v="0"/>
    <n v="0"/>
    <n v="0"/>
    <x v="1"/>
    <x v="0"/>
    <n v="0"/>
  </r>
  <r>
    <n v="278712000000"/>
    <x v="0"/>
    <x v="68"/>
    <x v="4"/>
    <s v="GRANDE VITORIA"/>
    <d v="2016-05-09T00:00:00"/>
    <d v="2016-05-12T00:00:00"/>
    <x v="3"/>
    <x v="89"/>
    <x v="4"/>
    <n v="0"/>
    <x v="1"/>
    <n v="0"/>
    <n v="0"/>
    <n v="0"/>
    <x v="1"/>
    <x v="0"/>
    <n v="0"/>
  </r>
  <r>
    <n v="269518000000000"/>
    <x v="1"/>
    <x v="72"/>
    <x v="5"/>
    <s v="MARIA ORTIZ"/>
    <d v="2016-05-09T00:00:00"/>
    <d v="2016-05-09T00:00:00"/>
    <x v="2"/>
    <x v="94"/>
    <x v="5"/>
    <n v="0"/>
    <x v="1"/>
    <n v="0"/>
    <n v="0"/>
    <n v="0"/>
    <x v="1"/>
    <x v="0"/>
    <n v="0"/>
  </r>
  <r>
    <n v="318712000000000"/>
    <x v="0"/>
    <x v="88"/>
    <x v="0"/>
    <s v="RESISTENCIA"/>
    <d v="2016-05-09T00:00:00"/>
    <d v="2016-05-09T00:00:00"/>
    <x v="2"/>
    <x v="94"/>
    <x v="5"/>
    <n v="0"/>
    <x v="0"/>
    <n v="0"/>
    <n v="0"/>
    <n v="0"/>
    <x v="1"/>
    <x v="0"/>
    <n v="0"/>
  </r>
  <r>
    <n v="77253200000000"/>
    <x v="1"/>
    <x v="60"/>
    <x v="2"/>
    <s v="TABUAZEIRO"/>
    <d v="2016-05-09T00:00:00"/>
    <d v="2016-05-24T00:00:00"/>
    <x v="4"/>
    <x v="79"/>
    <x v="1"/>
    <n v="1"/>
    <x v="1"/>
    <n v="0"/>
    <n v="0"/>
    <n v="0"/>
    <x v="0"/>
    <x v="1"/>
    <n v="1"/>
  </r>
  <r>
    <n v="484689000000"/>
    <x v="0"/>
    <x v="25"/>
    <x v="4"/>
    <s v="MARIA ORTIZ"/>
    <d v="2016-05-09T00:00:00"/>
    <d v="2016-05-18T00:00:00"/>
    <x v="1"/>
    <x v="85"/>
    <x v="2"/>
    <n v="0"/>
    <x v="1"/>
    <n v="0"/>
    <n v="0"/>
    <n v="0"/>
    <x v="1"/>
    <x v="0"/>
    <n v="0"/>
  </r>
  <r>
    <n v="71138700000000"/>
    <x v="1"/>
    <x v="15"/>
    <x v="3"/>
    <s v="CENTRO"/>
    <d v="2016-05-09T00:00:00"/>
    <d v="2016-05-10T00:00:00"/>
    <x v="4"/>
    <x v="93"/>
    <x v="4"/>
    <n v="0"/>
    <x v="0"/>
    <n v="0"/>
    <n v="0"/>
    <n v="0"/>
    <x v="1"/>
    <x v="0"/>
    <n v="0"/>
  </r>
  <r>
    <n v="9395320000000"/>
    <x v="0"/>
    <x v="7"/>
    <x v="3"/>
    <s v="BONFIM"/>
    <d v="2016-05-09T00:00:00"/>
    <d v="2016-05-10T00:00:00"/>
    <x v="4"/>
    <x v="93"/>
    <x v="4"/>
    <n v="0"/>
    <x v="0"/>
    <n v="0"/>
    <n v="0"/>
    <n v="0"/>
    <x v="1"/>
    <x v="1"/>
    <n v="1"/>
  </r>
  <r>
    <n v="91129344118"/>
    <x v="0"/>
    <x v="10"/>
    <x v="4"/>
    <s v="BELA VISTA"/>
    <d v="2016-05-09T00:00:00"/>
    <d v="2016-05-31T00:00:00"/>
    <x v="4"/>
    <x v="71"/>
    <x v="1"/>
    <n v="0"/>
    <x v="1"/>
    <n v="0"/>
    <n v="0"/>
    <n v="0"/>
    <x v="0"/>
    <x v="0"/>
    <n v="0"/>
  </r>
  <r>
    <n v="465536000000"/>
    <x v="1"/>
    <x v="6"/>
    <x v="0"/>
    <s v="SANTA TEREZA"/>
    <d v="2016-05-09T00:00:00"/>
    <d v="2016-05-09T00:00:00"/>
    <x v="2"/>
    <x v="94"/>
    <x v="5"/>
    <n v="0"/>
    <x v="0"/>
    <n v="1"/>
    <n v="1"/>
    <n v="0"/>
    <x v="1"/>
    <x v="0"/>
    <n v="0"/>
  </r>
  <r>
    <n v="517793000000000"/>
    <x v="0"/>
    <x v="28"/>
    <x v="3"/>
    <s v="JARDIM DA PENHA"/>
    <d v="2016-05-09T00:00:00"/>
    <d v="2016-06-03T00:00:00"/>
    <x v="0"/>
    <x v="70"/>
    <x v="1"/>
    <n v="0"/>
    <x v="1"/>
    <n v="0"/>
    <n v="0"/>
    <n v="0"/>
    <x v="0"/>
    <x v="0"/>
    <n v="0"/>
  </r>
  <r>
    <n v="9734480000000"/>
    <x v="0"/>
    <x v="27"/>
    <x v="3"/>
    <s v="REDENCAO"/>
    <d v="2016-05-09T00:00:00"/>
    <d v="2016-05-10T00:00:00"/>
    <x v="4"/>
    <x v="93"/>
    <x v="4"/>
    <n v="0"/>
    <x v="0"/>
    <n v="1"/>
    <n v="0"/>
    <n v="0"/>
    <x v="1"/>
    <x v="0"/>
    <n v="0"/>
  </r>
  <r>
    <n v="6181140000000"/>
    <x v="0"/>
    <x v="2"/>
    <x v="1"/>
    <s v="SANTOS DUMONT"/>
    <d v="2016-05-09T00:00:00"/>
    <d v="2016-05-10T00:00:00"/>
    <x v="4"/>
    <x v="93"/>
    <x v="4"/>
    <n v="0"/>
    <x v="0"/>
    <n v="1"/>
    <n v="0"/>
    <n v="0"/>
    <x v="1"/>
    <x v="0"/>
    <n v="0"/>
  </r>
  <r>
    <n v="61941200000000"/>
    <x v="0"/>
    <x v="40"/>
    <x v="1"/>
    <s v="SAO CRISTOVAO"/>
    <d v="2016-05-09T00:00:00"/>
    <d v="2016-05-19T00:00:00"/>
    <x v="3"/>
    <x v="83"/>
    <x v="2"/>
    <n v="0"/>
    <x v="1"/>
    <n v="0"/>
    <n v="0"/>
    <n v="0"/>
    <x v="1"/>
    <x v="0"/>
    <n v="0"/>
  </r>
  <r>
    <n v="17856500000000"/>
    <x v="0"/>
    <x v="14"/>
    <x v="3"/>
    <s v="ROMAO"/>
    <d v="2016-05-09T00:00:00"/>
    <d v="2016-05-16T00:00:00"/>
    <x v="2"/>
    <x v="87"/>
    <x v="3"/>
    <n v="0"/>
    <x v="0"/>
    <n v="0"/>
    <n v="0"/>
    <n v="0"/>
    <x v="1"/>
    <x v="1"/>
    <n v="1"/>
  </r>
  <r>
    <n v="72853200000000"/>
    <x v="1"/>
    <x v="46"/>
    <x v="2"/>
    <s v="TABUAZEIRO"/>
    <d v="2016-05-09T00:00:00"/>
    <d v="2016-05-24T00:00:00"/>
    <x v="4"/>
    <x v="79"/>
    <x v="1"/>
    <n v="0"/>
    <x v="1"/>
    <n v="0"/>
    <n v="0"/>
    <n v="0"/>
    <x v="1"/>
    <x v="1"/>
    <n v="1"/>
  </r>
  <r>
    <n v="9584250000000"/>
    <x v="0"/>
    <x v="67"/>
    <x v="4"/>
    <s v="REPUBLICA"/>
    <d v="2016-05-09T00:00:00"/>
    <d v="2016-05-25T00:00:00"/>
    <x v="1"/>
    <x v="78"/>
    <x v="1"/>
    <n v="0"/>
    <x v="1"/>
    <n v="0"/>
    <n v="0"/>
    <n v="0"/>
    <x v="1"/>
    <x v="0"/>
    <n v="0"/>
  </r>
  <r>
    <n v="584172000000000"/>
    <x v="1"/>
    <x v="22"/>
    <x v="4"/>
    <s v="ITARARE"/>
    <d v="2016-05-09T00:00:00"/>
    <d v="2016-05-09T00:00:00"/>
    <x v="2"/>
    <x v="94"/>
    <x v="5"/>
    <n v="0"/>
    <x v="1"/>
    <n v="0"/>
    <n v="0"/>
    <n v="0"/>
    <x v="1"/>
    <x v="0"/>
    <n v="0"/>
  </r>
  <r>
    <n v="655511000000000"/>
    <x v="0"/>
    <x v="8"/>
    <x v="0"/>
    <s v="PRAIA DO SUA"/>
    <d v="2016-05-09T00:00:00"/>
    <d v="2016-05-11T00:00:00"/>
    <x v="1"/>
    <x v="91"/>
    <x v="4"/>
    <n v="0"/>
    <x v="0"/>
    <n v="0"/>
    <n v="0"/>
    <n v="0"/>
    <x v="1"/>
    <x v="0"/>
    <n v="0"/>
  </r>
  <r>
    <n v="9653500000000"/>
    <x v="0"/>
    <x v="54"/>
    <x v="1"/>
    <s v="BENTO FERREIRA"/>
    <d v="2016-05-09T00:00:00"/>
    <d v="2016-05-24T00:00:00"/>
    <x v="4"/>
    <x v="79"/>
    <x v="1"/>
    <n v="0"/>
    <x v="1"/>
    <n v="0"/>
    <n v="0"/>
    <n v="0"/>
    <x v="0"/>
    <x v="1"/>
    <n v="1"/>
  </r>
  <r>
    <n v="344346000000000"/>
    <x v="0"/>
    <x v="67"/>
    <x v="4"/>
    <s v="CRUZAMENTO"/>
    <d v="2016-05-09T00:00:00"/>
    <d v="2016-05-12T00:00:00"/>
    <x v="3"/>
    <x v="89"/>
    <x v="4"/>
    <n v="0"/>
    <x v="1"/>
    <n v="0"/>
    <n v="0"/>
    <n v="0"/>
    <x v="1"/>
    <x v="0"/>
    <n v="0"/>
  </r>
  <r>
    <n v="8635160000000"/>
    <x v="0"/>
    <x v="23"/>
    <x v="3"/>
    <s v="ANTONIO HONORIO"/>
    <d v="2016-05-09T00:00:00"/>
    <d v="2016-05-10T00:00:00"/>
    <x v="4"/>
    <x v="93"/>
    <x v="4"/>
    <n v="0"/>
    <x v="1"/>
    <n v="0"/>
    <n v="0"/>
    <n v="0"/>
    <x v="1"/>
    <x v="0"/>
    <n v="0"/>
  </r>
  <r>
    <n v="838470000000000"/>
    <x v="1"/>
    <x v="50"/>
    <x v="1"/>
    <s v="INHANGUETA"/>
    <d v="2016-05-09T00:00:00"/>
    <d v="2016-05-18T00:00:00"/>
    <x v="1"/>
    <x v="85"/>
    <x v="2"/>
    <n v="0"/>
    <x v="1"/>
    <n v="0"/>
    <n v="0"/>
    <n v="0"/>
    <x v="1"/>
    <x v="0"/>
    <n v="0"/>
  </r>
  <r>
    <n v="6771430000000"/>
    <x v="0"/>
    <x v="25"/>
    <x v="4"/>
    <s v="DO CABRAL"/>
    <d v="2016-05-09T00:00:00"/>
    <d v="2016-05-12T00:00:00"/>
    <x v="3"/>
    <x v="89"/>
    <x v="4"/>
    <n v="0"/>
    <x v="1"/>
    <n v="0"/>
    <n v="0"/>
    <n v="0"/>
    <x v="1"/>
    <x v="0"/>
    <n v="0"/>
  </r>
  <r>
    <n v="7188420000000"/>
    <x v="0"/>
    <x v="41"/>
    <x v="4"/>
    <s v="ANDORINHAS"/>
    <d v="2016-05-09T00:00:00"/>
    <d v="2016-05-11T00:00:00"/>
    <x v="1"/>
    <x v="91"/>
    <x v="4"/>
    <n v="0"/>
    <x v="1"/>
    <n v="0"/>
    <n v="0"/>
    <n v="0"/>
    <x v="1"/>
    <x v="1"/>
    <n v="1"/>
  </r>
  <r>
    <n v="5148430000000"/>
    <x v="0"/>
    <x v="44"/>
    <x v="4"/>
    <s v="BELA VISTA"/>
    <d v="2016-05-09T00:00:00"/>
    <d v="2016-06-06T00:00:00"/>
    <x v="2"/>
    <x v="64"/>
    <x v="1"/>
    <n v="0"/>
    <x v="1"/>
    <n v="0"/>
    <n v="0"/>
    <n v="0"/>
    <x v="0"/>
    <x v="1"/>
    <n v="1"/>
  </r>
  <r>
    <n v="18911300000000"/>
    <x v="0"/>
    <x v="23"/>
    <x v="3"/>
    <s v="NOVA PALESTINA"/>
    <d v="2016-05-09T00:00:00"/>
    <d v="2016-05-10T00:00:00"/>
    <x v="4"/>
    <x v="93"/>
    <x v="4"/>
    <n v="0"/>
    <x v="1"/>
    <n v="0"/>
    <n v="0"/>
    <n v="0"/>
    <x v="1"/>
    <x v="0"/>
    <n v="0"/>
  </r>
  <r>
    <n v="13614500000000"/>
    <x v="0"/>
    <x v="17"/>
    <x v="4"/>
    <s v="SANTA TEREZA"/>
    <d v="2016-05-09T00:00:00"/>
    <d v="2016-05-11T00:00:00"/>
    <x v="1"/>
    <x v="91"/>
    <x v="4"/>
    <n v="0"/>
    <x v="1"/>
    <n v="0"/>
    <n v="0"/>
    <n v="0"/>
    <x v="1"/>
    <x v="0"/>
    <n v="0"/>
  </r>
  <r>
    <n v="742420000000000"/>
    <x v="1"/>
    <x v="37"/>
    <x v="3"/>
    <s v="PARQUE MOSCOSO"/>
    <d v="2016-05-09T00:00:00"/>
    <d v="2016-05-11T00:00:00"/>
    <x v="1"/>
    <x v="91"/>
    <x v="4"/>
    <n v="0"/>
    <x v="0"/>
    <n v="0"/>
    <n v="0"/>
    <n v="0"/>
    <x v="1"/>
    <x v="1"/>
    <n v="1"/>
  </r>
  <r>
    <n v="27957600000000"/>
    <x v="0"/>
    <x v="44"/>
    <x v="4"/>
    <s v="TABUAZEIRO"/>
    <d v="2016-05-09T00:00:00"/>
    <d v="2016-05-10T00:00:00"/>
    <x v="4"/>
    <x v="93"/>
    <x v="4"/>
    <n v="0"/>
    <x v="1"/>
    <n v="0"/>
    <n v="0"/>
    <n v="0"/>
    <x v="1"/>
    <x v="0"/>
    <n v="0"/>
  </r>
  <r>
    <n v="112115000000000"/>
    <x v="0"/>
    <x v="4"/>
    <x v="2"/>
    <s v="RESISTENCIA"/>
    <d v="2016-05-09T00:00:00"/>
    <d v="2016-06-08T00:00:00"/>
    <x v="1"/>
    <x v="60"/>
    <x v="1"/>
    <n v="0"/>
    <x v="1"/>
    <n v="0"/>
    <n v="0"/>
    <n v="0"/>
    <x v="0"/>
    <x v="1"/>
    <n v="1"/>
  </r>
  <r>
    <n v="635940000000000"/>
    <x v="0"/>
    <x v="36"/>
    <x v="3"/>
    <s v="SAO BENEDITO"/>
    <d v="2016-05-09T00:00:00"/>
    <d v="2016-05-16T00:00:00"/>
    <x v="2"/>
    <x v="87"/>
    <x v="3"/>
    <n v="0"/>
    <x v="1"/>
    <n v="1"/>
    <n v="0"/>
    <n v="0"/>
    <x v="1"/>
    <x v="1"/>
    <n v="1"/>
  </r>
  <r>
    <n v="2429410000000"/>
    <x v="0"/>
    <x v="42"/>
    <x v="3"/>
    <s v="ANTONIO HONORIO"/>
    <d v="2016-05-09T00:00:00"/>
    <d v="2016-06-03T00:00:00"/>
    <x v="0"/>
    <x v="70"/>
    <x v="1"/>
    <n v="0"/>
    <x v="1"/>
    <n v="0"/>
    <n v="0"/>
    <n v="0"/>
    <x v="0"/>
    <x v="0"/>
    <n v="0"/>
  </r>
  <r>
    <n v="75372800000000"/>
    <x v="0"/>
    <x v="15"/>
    <x v="3"/>
    <s v="ILHA DO PRINCIPE"/>
    <d v="2016-05-09T00:00:00"/>
    <d v="2016-05-09T00:00:00"/>
    <x v="2"/>
    <x v="94"/>
    <x v="5"/>
    <n v="0"/>
    <x v="0"/>
    <n v="0"/>
    <n v="0"/>
    <n v="0"/>
    <x v="1"/>
    <x v="0"/>
    <n v="0"/>
  </r>
  <r>
    <n v="15817400000000"/>
    <x v="1"/>
    <x v="69"/>
    <x v="4"/>
    <s v="JARDIM DA PENHA"/>
    <d v="2016-05-09T00:00:00"/>
    <d v="2016-05-09T00:00:00"/>
    <x v="2"/>
    <x v="94"/>
    <x v="5"/>
    <n v="0"/>
    <x v="1"/>
    <n v="0"/>
    <n v="0"/>
    <n v="0"/>
    <x v="1"/>
    <x v="0"/>
    <n v="0"/>
  </r>
  <r>
    <n v="964899000000000"/>
    <x v="0"/>
    <x v="46"/>
    <x v="2"/>
    <s v="MONTE BELO"/>
    <d v="2016-05-09T00:00:00"/>
    <d v="2016-05-09T00:00:00"/>
    <x v="2"/>
    <x v="94"/>
    <x v="5"/>
    <n v="0"/>
    <x v="1"/>
    <n v="0"/>
    <n v="0"/>
    <n v="0"/>
    <x v="1"/>
    <x v="0"/>
    <n v="0"/>
  </r>
  <r>
    <n v="35464400000000"/>
    <x v="1"/>
    <x v="5"/>
    <x v="1"/>
    <s v="REPUBLICA"/>
    <d v="2016-05-09T00:00:00"/>
    <d v="2016-05-11T00:00:00"/>
    <x v="1"/>
    <x v="91"/>
    <x v="4"/>
    <n v="0"/>
    <x v="1"/>
    <n v="0"/>
    <n v="0"/>
    <n v="0"/>
    <x v="1"/>
    <x v="1"/>
    <n v="1"/>
  </r>
  <r>
    <n v="16277600000000"/>
    <x v="0"/>
    <x v="78"/>
    <x v="0"/>
    <s v="JABOUR"/>
    <d v="2016-05-09T00:00:00"/>
    <d v="2016-06-03T00:00:00"/>
    <x v="0"/>
    <x v="70"/>
    <x v="1"/>
    <n v="0"/>
    <x v="1"/>
    <n v="0"/>
    <n v="0"/>
    <n v="0"/>
    <x v="0"/>
    <x v="0"/>
    <n v="0"/>
  </r>
  <r>
    <n v="79437400000000"/>
    <x v="1"/>
    <x v="46"/>
    <x v="2"/>
    <s v="ITARARE"/>
    <d v="2016-05-09T00:00:00"/>
    <d v="2016-05-30T00:00:00"/>
    <x v="2"/>
    <x v="73"/>
    <x v="1"/>
    <n v="0"/>
    <x v="1"/>
    <n v="0"/>
    <n v="0"/>
    <n v="0"/>
    <x v="0"/>
    <x v="1"/>
    <n v="1"/>
  </r>
  <r>
    <n v="39183200000000"/>
    <x v="1"/>
    <x v="81"/>
    <x v="5"/>
    <s v="SANTOS DUMONT"/>
    <d v="2016-05-09T00:00:00"/>
    <d v="2016-05-09T00:00:00"/>
    <x v="2"/>
    <x v="94"/>
    <x v="5"/>
    <n v="1"/>
    <x v="1"/>
    <n v="0"/>
    <n v="0"/>
    <n v="0"/>
    <x v="1"/>
    <x v="0"/>
    <n v="0"/>
  </r>
  <r>
    <n v="46459700000000"/>
    <x v="1"/>
    <x v="46"/>
    <x v="2"/>
    <s v="SAO JOSE"/>
    <d v="2016-05-09T00:00:00"/>
    <d v="2016-05-31T00:00:00"/>
    <x v="4"/>
    <x v="71"/>
    <x v="1"/>
    <n v="0"/>
    <x v="1"/>
    <n v="0"/>
    <n v="0"/>
    <n v="0"/>
    <x v="0"/>
    <x v="0"/>
    <n v="0"/>
  </r>
  <r>
    <n v="51123700000000"/>
    <x v="0"/>
    <x v="35"/>
    <x v="0"/>
    <s v="RESISTENCIA"/>
    <d v="2016-05-09T00:00:00"/>
    <d v="2016-05-10T00:00:00"/>
    <x v="4"/>
    <x v="93"/>
    <x v="4"/>
    <n v="0"/>
    <x v="0"/>
    <n v="1"/>
    <n v="0"/>
    <n v="0"/>
    <x v="1"/>
    <x v="0"/>
    <n v="0"/>
  </r>
  <r>
    <n v="68322100000000"/>
    <x v="0"/>
    <x v="75"/>
    <x v="5"/>
    <s v="FORTE SAO JOAO"/>
    <d v="2016-05-09T00:00:00"/>
    <d v="2016-05-09T00:00:00"/>
    <x v="2"/>
    <x v="94"/>
    <x v="5"/>
    <n v="0"/>
    <x v="1"/>
    <n v="0"/>
    <n v="0"/>
    <n v="0"/>
    <x v="1"/>
    <x v="0"/>
    <n v="0"/>
  </r>
  <r>
    <n v="7238640000000"/>
    <x v="0"/>
    <x v="49"/>
    <x v="4"/>
    <s v="SAO BENEDITO"/>
    <d v="2016-05-09T00:00:00"/>
    <d v="2016-05-09T00:00:00"/>
    <x v="2"/>
    <x v="94"/>
    <x v="5"/>
    <n v="0"/>
    <x v="1"/>
    <n v="0"/>
    <n v="0"/>
    <n v="0"/>
    <x v="1"/>
    <x v="0"/>
    <n v="0"/>
  </r>
  <r>
    <n v="517616000000"/>
    <x v="0"/>
    <x v="14"/>
    <x v="3"/>
    <s v="JARDIM CAMBURI"/>
    <d v="2016-05-09T00:00:00"/>
    <d v="2016-05-09T00:00:00"/>
    <x v="2"/>
    <x v="94"/>
    <x v="5"/>
    <n v="0"/>
    <x v="1"/>
    <n v="0"/>
    <n v="0"/>
    <n v="0"/>
    <x v="1"/>
    <x v="0"/>
    <n v="0"/>
  </r>
  <r>
    <n v="95856700000000"/>
    <x v="0"/>
    <x v="46"/>
    <x v="2"/>
    <s v="MONTE BELO"/>
    <d v="2016-05-09T00:00:00"/>
    <d v="2016-05-25T00:00:00"/>
    <x v="1"/>
    <x v="78"/>
    <x v="1"/>
    <n v="0"/>
    <x v="1"/>
    <n v="0"/>
    <n v="0"/>
    <n v="0"/>
    <x v="0"/>
    <x v="0"/>
    <n v="0"/>
  </r>
  <r>
    <n v="31553500000000"/>
    <x v="0"/>
    <x v="14"/>
    <x v="3"/>
    <s v="JABOUR"/>
    <d v="2016-05-09T00:00:00"/>
    <d v="2016-05-30T00:00:00"/>
    <x v="2"/>
    <x v="73"/>
    <x v="1"/>
    <n v="0"/>
    <x v="1"/>
    <n v="0"/>
    <n v="0"/>
    <n v="0"/>
    <x v="0"/>
    <x v="0"/>
    <n v="0"/>
  </r>
  <r>
    <n v="227785000000000"/>
    <x v="1"/>
    <x v="70"/>
    <x v="5"/>
    <s v="BELA VISTA"/>
    <d v="2016-05-09T00:00:00"/>
    <d v="2016-05-13T00:00:00"/>
    <x v="0"/>
    <x v="86"/>
    <x v="3"/>
    <n v="0"/>
    <x v="1"/>
    <n v="0"/>
    <n v="0"/>
    <n v="0"/>
    <x v="1"/>
    <x v="0"/>
    <n v="0"/>
  </r>
  <r>
    <n v="899445000000000"/>
    <x v="1"/>
    <x v="12"/>
    <x v="3"/>
    <s v="COMDUSA"/>
    <d v="2016-05-09T00:00:00"/>
    <d v="2016-05-16T00:00:00"/>
    <x v="2"/>
    <x v="87"/>
    <x v="3"/>
    <n v="0"/>
    <x v="1"/>
    <n v="1"/>
    <n v="1"/>
    <n v="0"/>
    <x v="1"/>
    <x v="0"/>
    <n v="0"/>
  </r>
  <r>
    <n v="522215000000"/>
    <x v="1"/>
    <x v="60"/>
    <x v="2"/>
    <s v="TABUAZEIRO"/>
    <d v="2016-05-09T00:00:00"/>
    <d v="2016-05-12T00:00:00"/>
    <x v="3"/>
    <x v="89"/>
    <x v="4"/>
    <n v="0"/>
    <x v="1"/>
    <n v="0"/>
    <n v="0"/>
    <n v="0"/>
    <x v="1"/>
    <x v="0"/>
    <n v="0"/>
  </r>
  <r>
    <n v="771941000000"/>
    <x v="0"/>
    <x v="56"/>
    <x v="1"/>
    <s v="JARDIM DA PENHA"/>
    <d v="2016-05-09T00:00:00"/>
    <d v="2016-05-20T00:00:00"/>
    <x v="0"/>
    <x v="81"/>
    <x v="2"/>
    <n v="0"/>
    <x v="1"/>
    <n v="0"/>
    <n v="0"/>
    <n v="0"/>
    <x v="1"/>
    <x v="1"/>
    <n v="1"/>
  </r>
  <r>
    <n v="25789196743"/>
    <x v="1"/>
    <x v="12"/>
    <x v="3"/>
    <s v="MARIA ORTIZ"/>
    <d v="2016-05-09T00:00:00"/>
    <d v="2016-05-12T00:00:00"/>
    <x v="3"/>
    <x v="89"/>
    <x v="4"/>
    <n v="0"/>
    <x v="1"/>
    <n v="0"/>
    <n v="0"/>
    <n v="0"/>
    <x v="1"/>
    <x v="1"/>
    <n v="1"/>
  </r>
  <r>
    <n v="471156000000000"/>
    <x v="0"/>
    <x v="3"/>
    <x v="0"/>
    <s v="MATA DA PRAIA"/>
    <d v="2016-05-09T00:00:00"/>
    <d v="2016-06-07T00:00:00"/>
    <x v="4"/>
    <x v="63"/>
    <x v="1"/>
    <n v="0"/>
    <x v="1"/>
    <n v="0"/>
    <n v="0"/>
    <n v="0"/>
    <x v="0"/>
    <x v="1"/>
    <n v="1"/>
  </r>
  <r>
    <n v="29154900000000"/>
    <x v="0"/>
    <x v="50"/>
    <x v="1"/>
    <s v="ILHA DE SANTA MARIA"/>
    <d v="2016-05-09T00:00:00"/>
    <d v="2016-05-11T00:00:00"/>
    <x v="1"/>
    <x v="91"/>
    <x v="4"/>
    <n v="0"/>
    <x v="1"/>
    <n v="0"/>
    <n v="0"/>
    <n v="0"/>
    <x v="1"/>
    <x v="0"/>
    <n v="0"/>
  </r>
  <r>
    <n v="12154800000000"/>
    <x v="0"/>
    <x v="60"/>
    <x v="2"/>
    <s v="CONQUISTA"/>
    <d v="2016-05-09T00:00:00"/>
    <d v="2016-05-19T00:00:00"/>
    <x v="3"/>
    <x v="83"/>
    <x v="2"/>
    <n v="0"/>
    <x v="1"/>
    <n v="0"/>
    <n v="0"/>
    <n v="0"/>
    <x v="1"/>
    <x v="1"/>
    <n v="1"/>
  </r>
  <r>
    <n v="6529700000000"/>
    <x v="0"/>
    <x v="60"/>
    <x v="2"/>
    <s v="CONQUISTA"/>
    <d v="2016-05-09T00:00:00"/>
    <d v="2016-05-17T00:00:00"/>
    <x v="4"/>
    <x v="88"/>
    <x v="2"/>
    <n v="0"/>
    <x v="1"/>
    <n v="0"/>
    <n v="0"/>
    <n v="0"/>
    <x v="1"/>
    <x v="0"/>
    <n v="0"/>
  </r>
  <r>
    <n v="971879000000000"/>
    <x v="0"/>
    <x v="50"/>
    <x v="1"/>
    <s v="INHANGUETA"/>
    <d v="2016-05-09T00:00:00"/>
    <d v="2016-05-11T00:00:00"/>
    <x v="1"/>
    <x v="91"/>
    <x v="4"/>
    <n v="0"/>
    <x v="1"/>
    <n v="0"/>
    <n v="0"/>
    <n v="0"/>
    <x v="1"/>
    <x v="0"/>
    <n v="0"/>
  </r>
  <r>
    <n v="6232220000000"/>
    <x v="0"/>
    <x v="46"/>
    <x v="2"/>
    <s v="JABOUR"/>
    <d v="2016-05-09T00:00:00"/>
    <d v="2016-05-09T00:00:00"/>
    <x v="2"/>
    <x v="94"/>
    <x v="5"/>
    <n v="0"/>
    <x v="1"/>
    <n v="0"/>
    <n v="0"/>
    <n v="0"/>
    <x v="1"/>
    <x v="0"/>
    <n v="0"/>
  </r>
  <r>
    <n v="239547000000"/>
    <x v="0"/>
    <x v="41"/>
    <x v="4"/>
    <s v="SAO BENEDITO"/>
    <d v="2016-05-09T00:00:00"/>
    <d v="2016-05-11T00:00:00"/>
    <x v="1"/>
    <x v="91"/>
    <x v="4"/>
    <n v="1"/>
    <x v="1"/>
    <n v="0"/>
    <n v="0"/>
    <n v="0"/>
    <x v="1"/>
    <x v="1"/>
    <n v="1"/>
  </r>
  <r>
    <n v="81136800000000"/>
    <x v="0"/>
    <x v="17"/>
    <x v="4"/>
    <s v="ANTONIO HONORIO"/>
    <d v="2016-05-09T00:00:00"/>
    <d v="2016-06-07T00:00:00"/>
    <x v="4"/>
    <x v="63"/>
    <x v="1"/>
    <n v="0"/>
    <x v="1"/>
    <n v="0"/>
    <n v="0"/>
    <n v="0"/>
    <x v="0"/>
    <x v="0"/>
    <n v="0"/>
  </r>
  <r>
    <n v="986886000000000"/>
    <x v="1"/>
    <x v="37"/>
    <x v="3"/>
    <s v="SANTA MARTHA"/>
    <d v="2016-05-09T00:00:00"/>
    <d v="2016-05-09T00:00:00"/>
    <x v="2"/>
    <x v="94"/>
    <x v="5"/>
    <n v="0"/>
    <x v="1"/>
    <n v="0"/>
    <n v="0"/>
    <n v="0"/>
    <x v="1"/>
    <x v="0"/>
    <n v="0"/>
  </r>
  <r>
    <n v="2155720000000"/>
    <x v="0"/>
    <x v="23"/>
    <x v="3"/>
    <s v="CENTRO"/>
    <d v="2016-05-09T00:00:00"/>
    <d v="2016-06-07T00:00:00"/>
    <x v="4"/>
    <x v="63"/>
    <x v="1"/>
    <n v="0"/>
    <x v="0"/>
    <n v="1"/>
    <n v="0"/>
    <n v="0"/>
    <x v="0"/>
    <x v="0"/>
    <n v="0"/>
  </r>
  <r>
    <n v="41483300000000"/>
    <x v="1"/>
    <x v="40"/>
    <x v="1"/>
    <s v="JARDIM CAMBURI"/>
    <d v="2016-05-09T00:00:00"/>
    <d v="2016-05-09T00:00:00"/>
    <x v="2"/>
    <x v="94"/>
    <x v="5"/>
    <n v="0"/>
    <x v="1"/>
    <n v="0"/>
    <n v="0"/>
    <n v="0"/>
    <x v="1"/>
    <x v="0"/>
    <n v="0"/>
  </r>
  <r>
    <n v="567143000000000"/>
    <x v="1"/>
    <x v="4"/>
    <x v="2"/>
    <s v="SAO JOSE"/>
    <d v="2016-05-09T00:00:00"/>
    <d v="2016-06-07T00:00:00"/>
    <x v="4"/>
    <x v="63"/>
    <x v="1"/>
    <n v="0"/>
    <x v="1"/>
    <n v="0"/>
    <n v="0"/>
    <n v="0"/>
    <x v="0"/>
    <x v="0"/>
    <n v="0"/>
  </r>
  <r>
    <n v="25913100000000"/>
    <x v="0"/>
    <x v="26"/>
    <x v="0"/>
    <s v="MARIA ORTIZ"/>
    <d v="2016-05-09T00:00:00"/>
    <d v="2016-05-09T00:00:00"/>
    <x v="2"/>
    <x v="94"/>
    <x v="5"/>
    <n v="0"/>
    <x v="1"/>
    <n v="0"/>
    <n v="0"/>
    <n v="0"/>
    <x v="1"/>
    <x v="0"/>
    <n v="0"/>
  </r>
  <r>
    <n v="66892100000000"/>
    <x v="0"/>
    <x v="81"/>
    <x v="5"/>
    <s v="GURIGICA"/>
    <d v="2016-05-09T00:00:00"/>
    <d v="2016-05-09T00:00:00"/>
    <x v="2"/>
    <x v="94"/>
    <x v="5"/>
    <n v="0"/>
    <x v="1"/>
    <n v="0"/>
    <n v="0"/>
    <n v="0"/>
    <x v="1"/>
    <x v="0"/>
    <n v="0"/>
  </r>
  <r>
    <n v="722755000000000"/>
    <x v="0"/>
    <x v="61"/>
    <x v="1"/>
    <s v="MARIA ORTIZ"/>
    <d v="2016-05-09T00:00:00"/>
    <d v="2016-06-06T00:00:00"/>
    <x v="2"/>
    <x v="64"/>
    <x v="1"/>
    <n v="0"/>
    <x v="1"/>
    <n v="0"/>
    <n v="0"/>
    <n v="0"/>
    <x v="0"/>
    <x v="0"/>
    <n v="0"/>
  </r>
  <r>
    <n v="846118000000"/>
    <x v="1"/>
    <x v="19"/>
    <x v="2"/>
    <s v="GRANDE VITORIA"/>
    <d v="2016-05-09T00:00:00"/>
    <d v="2016-05-13T00:00:00"/>
    <x v="0"/>
    <x v="86"/>
    <x v="3"/>
    <n v="0"/>
    <x v="1"/>
    <n v="0"/>
    <n v="0"/>
    <n v="0"/>
    <x v="1"/>
    <x v="0"/>
    <n v="0"/>
  </r>
  <r>
    <n v="989964000000000"/>
    <x v="0"/>
    <x v="46"/>
    <x v="2"/>
    <s v="ITARARE"/>
    <d v="2016-05-09T00:00:00"/>
    <d v="2016-05-18T00:00:00"/>
    <x v="1"/>
    <x v="85"/>
    <x v="2"/>
    <n v="0"/>
    <x v="1"/>
    <n v="0"/>
    <n v="0"/>
    <n v="0"/>
    <x v="1"/>
    <x v="1"/>
    <n v="1"/>
  </r>
  <r>
    <n v="7875770000000"/>
    <x v="0"/>
    <x v="9"/>
    <x v="0"/>
    <s v="JARDIM CAMBURI"/>
    <d v="2016-05-09T00:00:00"/>
    <d v="2016-05-17T00:00:00"/>
    <x v="4"/>
    <x v="88"/>
    <x v="2"/>
    <n v="0"/>
    <x v="1"/>
    <n v="0"/>
    <n v="0"/>
    <n v="0"/>
    <x v="1"/>
    <x v="0"/>
    <n v="0"/>
  </r>
  <r>
    <n v="12747200000000"/>
    <x v="0"/>
    <x v="37"/>
    <x v="3"/>
    <s v="DO QUADRO"/>
    <d v="2016-05-09T00:00:00"/>
    <d v="2016-05-11T00:00:00"/>
    <x v="1"/>
    <x v="91"/>
    <x v="4"/>
    <n v="0"/>
    <x v="0"/>
    <n v="0"/>
    <n v="0"/>
    <n v="0"/>
    <x v="1"/>
    <x v="0"/>
    <n v="0"/>
  </r>
  <r>
    <n v="5439720000000"/>
    <x v="0"/>
    <x v="32"/>
    <x v="4"/>
    <s v="SANTA MARTHA"/>
    <d v="2016-05-09T00:00:00"/>
    <d v="2016-05-09T00:00:00"/>
    <x v="2"/>
    <x v="94"/>
    <x v="5"/>
    <n v="0"/>
    <x v="1"/>
    <n v="0"/>
    <n v="0"/>
    <n v="0"/>
    <x v="1"/>
    <x v="0"/>
    <n v="0"/>
  </r>
  <r>
    <n v="166443000000"/>
    <x v="1"/>
    <x v="44"/>
    <x v="4"/>
    <s v="JARDIM CAMBURI"/>
    <d v="2016-05-09T00:00:00"/>
    <d v="2016-05-10T00:00:00"/>
    <x v="4"/>
    <x v="93"/>
    <x v="4"/>
    <n v="0"/>
    <x v="1"/>
    <n v="0"/>
    <n v="0"/>
    <n v="0"/>
    <x v="1"/>
    <x v="1"/>
    <n v="1"/>
  </r>
  <r>
    <n v="56317700000000"/>
    <x v="0"/>
    <x v="43"/>
    <x v="2"/>
    <s v="NOVA PALESTINA"/>
    <d v="2016-05-09T00:00:00"/>
    <d v="2016-05-18T00:00:00"/>
    <x v="1"/>
    <x v="85"/>
    <x v="2"/>
    <n v="0"/>
    <x v="1"/>
    <n v="0"/>
    <n v="0"/>
    <n v="0"/>
    <x v="1"/>
    <x v="0"/>
    <n v="0"/>
  </r>
  <r>
    <n v="2713120000000"/>
    <x v="0"/>
    <x v="43"/>
    <x v="2"/>
    <s v="GRANDE VITORIA"/>
    <d v="2016-05-09T00:00:00"/>
    <d v="2016-05-18T00:00:00"/>
    <x v="1"/>
    <x v="85"/>
    <x v="2"/>
    <n v="0"/>
    <x v="1"/>
    <n v="0"/>
    <n v="0"/>
    <n v="0"/>
    <x v="1"/>
    <x v="0"/>
    <n v="0"/>
  </r>
  <r>
    <n v="693686000000"/>
    <x v="0"/>
    <x v="76"/>
    <x v="0"/>
    <s v="CENTRO"/>
    <d v="2016-05-09T00:00:00"/>
    <d v="2016-05-20T00:00:00"/>
    <x v="0"/>
    <x v="81"/>
    <x v="2"/>
    <n v="0"/>
    <x v="1"/>
    <n v="0"/>
    <n v="0"/>
    <n v="0"/>
    <x v="1"/>
    <x v="0"/>
    <n v="0"/>
  </r>
  <r>
    <n v="35936800000000"/>
    <x v="0"/>
    <x v="87"/>
    <x v="1"/>
    <s v="JARDIM CAMBURI"/>
    <d v="2016-05-09T00:00:00"/>
    <d v="2016-05-11T00:00:00"/>
    <x v="1"/>
    <x v="91"/>
    <x v="4"/>
    <n v="0"/>
    <x v="1"/>
    <n v="0"/>
    <n v="0"/>
    <n v="0"/>
    <x v="1"/>
    <x v="1"/>
    <n v="1"/>
  </r>
  <r>
    <n v="69485700000000"/>
    <x v="0"/>
    <x v="52"/>
    <x v="2"/>
    <s v="SANTO ANDRE"/>
    <d v="2016-05-10T00:00:00"/>
    <d v="2016-05-10T00:00:00"/>
    <x v="4"/>
    <x v="94"/>
    <x v="5"/>
    <n v="0"/>
    <x v="1"/>
    <n v="0"/>
    <n v="0"/>
    <n v="0"/>
    <x v="1"/>
    <x v="0"/>
    <n v="0"/>
  </r>
  <r>
    <n v="55485600000000"/>
    <x v="0"/>
    <x v="6"/>
    <x v="0"/>
    <s v="SAO JOSE"/>
    <d v="2016-05-10T00:00:00"/>
    <d v="2016-05-16T00:00:00"/>
    <x v="2"/>
    <x v="90"/>
    <x v="3"/>
    <n v="0"/>
    <x v="0"/>
    <n v="0"/>
    <n v="0"/>
    <n v="0"/>
    <x v="1"/>
    <x v="0"/>
    <n v="0"/>
  </r>
  <r>
    <n v="89345200000000"/>
    <x v="0"/>
    <x v="6"/>
    <x v="0"/>
    <s v="REDENCAO"/>
    <d v="2016-05-10T00:00:00"/>
    <d v="2016-05-17T00:00:00"/>
    <x v="4"/>
    <x v="87"/>
    <x v="3"/>
    <n v="0"/>
    <x v="0"/>
    <n v="1"/>
    <n v="0"/>
    <n v="0"/>
    <x v="1"/>
    <x v="0"/>
    <n v="0"/>
  </r>
  <r>
    <n v="353789000000"/>
    <x v="1"/>
    <x v="51"/>
    <x v="2"/>
    <s v="ESTRELINHA"/>
    <d v="2016-05-10T00:00:00"/>
    <d v="2016-05-10T00:00:00"/>
    <x v="4"/>
    <x v="94"/>
    <x v="5"/>
    <n v="0"/>
    <x v="1"/>
    <n v="0"/>
    <n v="0"/>
    <n v="0"/>
    <x v="1"/>
    <x v="0"/>
    <n v="0"/>
  </r>
  <r>
    <n v="9376270000000"/>
    <x v="0"/>
    <x v="41"/>
    <x v="4"/>
    <s v="SANTO ANDRE"/>
    <d v="2016-05-10T00:00:00"/>
    <d v="2016-05-16T00:00:00"/>
    <x v="2"/>
    <x v="90"/>
    <x v="3"/>
    <n v="0"/>
    <x v="1"/>
    <n v="0"/>
    <n v="0"/>
    <n v="0"/>
    <x v="1"/>
    <x v="1"/>
    <n v="1"/>
  </r>
  <r>
    <n v="1611960000000"/>
    <x v="0"/>
    <x v="21"/>
    <x v="1"/>
    <s v="SANTO ANDRE"/>
    <d v="2016-05-10T00:00:00"/>
    <d v="2016-05-17T00:00:00"/>
    <x v="4"/>
    <x v="87"/>
    <x v="3"/>
    <n v="0"/>
    <x v="1"/>
    <n v="0"/>
    <n v="1"/>
    <n v="0"/>
    <x v="1"/>
    <x v="1"/>
    <n v="1"/>
  </r>
  <r>
    <n v="626959000000000"/>
    <x v="0"/>
    <x v="30"/>
    <x v="3"/>
    <s v="NOVA PALESTINA"/>
    <d v="2016-05-10T00:00:00"/>
    <d v="2016-05-10T00:00:00"/>
    <x v="4"/>
    <x v="94"/>
    <x v="5"/>
    <n v="0"/>
    <x v="0"/>
    <n v="1"/>
    <n v="0"/>
    <n v="0"/>
    <x v="1"/>
    <x v="0"/>
    <n v="0"/>
  </r>
  <r>
    <n v="8956510000000"/>
    <x v="0"/>
    <x v="42"/>
    <x v="3"/>
    <s v="SANTO ANDRE"/>
    <d v="2016-05-10T00:00:00"/>
    <d v="2016-05-18T00:00:00"/>
    <x v="1"/>
    <x v="88"/>
    <x v="2"/>
    <n v="0"/>
    <x v="0"/>
    <n v="1"/>
    <n v="0"/>
    <n v="0"/>
    <x v="1"/>
    <x v="0"/>
    <n v="0"/>
  </r>
  <r>
    <n v="84143500000000"/>
    <x v="0"/>
    <x v="40"/>
    <x v="1"/>
    <s v="TABUAZEIRO"/>
    <d v="2016-05-10T00:00:00"/>
    <d v="2016-05-10T00:00:00"/>
    <x v="4"/>
    <x v="94"/>
    <x v="5"/>
    <n v="1"/>
    <x v="1"/>
    <n v="0"/>
    <n v="0"/>
    <n v="0"/>
    <x v="1"/>
    <x v="0"/>
    <n v="0"/>
  </r>
  <r>
    <n v="77112100000000"/>
    <x v="0"/>
    <x v="44"/>
    <x v="4"/>
    <s v="ANDORINHAS"/>
    <d v="2016-05-10T00:00:00"/>
    <d v="2016-06-03T00:00:00"/>
    <x v="0"/>
    <x v="66"/>
    <x v="1"/>
    <n v="0"/>
    <x v="1"/>
    <n v="0"/>
    <n v="0"/>
    <n v="0"/>
    <x v="0"/>
    <x v="0"/>
    <n v="0"/>
  </r>
  <r>
    <n v="2166230000000"/>
    <x v="1"/>
    <x v="7"/>
    <x v="3"/>
    <s v="BELA VISTA"/>
    <d v="2016-05-10T00:00:00"/>
    <d v="2016-05-10T00:00:00"/>
    <x v="4"/>
    <x v="94"/>
    <x v="5"/>
    <n v="0"/>
    <x v="0"/>
    <n v="0"/>
    <n v="0"/>
    <n v="0"/>
    <x v="1"/>
    <x v="0"/>
    <n v="0"/>
  </r>
  <r>
    <n v="7117220000000"/>
    <x v="1"/>
    <x v="66"/>
    <x v="2"/>
    <s v="BONFIM"/>
    <d v="2016-05-10T00:00:00"/>
    <d v="2016-06-06T00:00:00"/>
    <x v="2"/>
    <x v="65"/>
    <x v="1"/>
    <n v="0"/>
    <x v="1"/>
    <n v="0"/>
    <n v="0"/>
    <n v="0"/>
    <x v="0"/>
    <x v="0"/>
    <n v="0"/>
  </r>
  <r>
    <n v="4991690000000"/>
    <x v="1"/>
    <x v="55"/>
    <x v="2"/>
    <s v="SAO JOSE"/>
    <d v="2016-05-10T00:00:00"/>
    <d v="2016-05-10T00:00:00"/>
    <x v="4"/>
    <x v="94"/>
    <x v="5"/>
    <n v="0"/>
    <x v="1"/>
    <n v="0"/>
    <n v="0"/>
    <n v="0"/>
    <x v="1"/>
    <x v="0"/>
    <n v="0"/>
  </r>
  <r>
    <n v="1189630000000"/>
    <x v="0"/>
    <x v="66"/>
    <x v="2"/>
    <s v="JARDIM CAMBURI"/>
    <d v="2016-05-10T00:00:00"/>
    <d v="2016-05-10T00:00:00"/>
    <x v="4"/>
    <x v="94"/>
    <x v="5"/>
    <n v="0"/>
    <x v="1"/>
    <n v="0"/>
    <n v="0"/>
    <n v="0"/>
    <x v="1"/>
    <x v="0"/>
    <n v="0"/>
  </r>
  <r>
    <n v="6367530000000"/>
    <x v="0"/>
    <x v="19"/>
    <x v="2"/>
    <s v="SANTA MARTHA"/>
    <d v="2016-05-10T00:00:00"/>
    <d v="2016-05-10T00:00:00"/>
    <x v="4"/>
    <x v="94"/>
    <x v="5"/>
    <n v="0"/>
    <x v="1"/>
    <n v="0"/>
    <n v="0"/>
    <n v="1"/>
    <x v="1"/>
    <x v="0"/>
    <n v="0"/>
  </r>
  <r>
    <n v="11628700000000"/>
    <x v="1"/>
    <x v="57"/>
    <x v="2"/>
    <s v="SANTA MARTHA"/>
    <d v="2016-05-10T00:00:00"/>
    <d v="2016-05-10T00:00:00"/>
    <x v="4"/>
    <x v="94"/>
    <x v="5"/>
    <n v="0"/>
    <x v="1"/>
    <n v="0"/>
    <n v="0"/>
    <n v="0"/>
    <x v="1"/>
    <x v="0"/>
    <n v="0"/>
  </r>
  <r>
    <n v="3444990000000"/>
    <x v="1"/>
    <x v="60"/>
    <x v="2"/>
    <s v="SAO JOSE"/>
    <d v="2016-05-10T00:00:00"/>
    <d v="2016-06-02T00:00:00"/>
    <x v="3"/>
    <x v="67"/>
    <x v="1"/>
    <n v="0"/>
    <x v="1"/>
    <n v="0"/>
    <n v="0"/>
    <n v="0"/>
    <x v="0"/>
    <x v="0"/>
    <n v="0"/>
  </r>
  <r>
    <n v="75492300000000"/>
    <x v="1"/>
    <x v="68"/>
    <x v="4"/>
    <s v="SAO JOSE"/>
    <d v="2016-05-10T00:00:00"/>
    <d v="2016-05-19T00:00:00"/>
    <x v="3"/>
    <x v="85"/>
    <x v="2"/>
    <n v="0"/>
    <x v="1"/>
    <n v="0"/>
    <n v="0"/>
    <n v="0"/>
    <x v="1"/>
    <x v="0"/>
    <n v="0"/>
  </r>
  <r>
    <n v="411982000000"/>
    <x v="0"/>
    <x v="15"/>
    <x v="3"/>
    <s v="MARIA ORTIZ"/>
    <d v="2016-05-10T00:00:00"/>
    <d v="2016-05-10T00:00:00"/>
    <x v="4"/>
    <x v="94"/>
    <x v="5"/>
    <n v="0"/>
    <x v="1"/>
    <n v="0"/>
    <n v="0"/>
    <n v="0"/>
    <x v="1"/>
    <x v="0"/>
    <n v="0"/>
  </r>
  <r>
    <n v="78577800000000"/>
    <x v="1"/>
    <x v="51"/>
    <x v="2"/>
    <s v="SANTO ANDRE"/>
    <d v="2016-05-10T00:00:00"/>
    <d v="2016-05-12T00:00:00"/>
    <x v="3"/>
    <x v="91"/>
    <x v="4"/>
    <n v="0"/>
    <x v="1"/>
    <n v="0"/>
    <n v="0"/>
    <n v="0"/>
    <x v="1"/>
    <x v="1"/>
    <n v="1"/>
  </r>
  <r>
    <n v="46782691456"/>
    <x v="0"/>
    <x v="69"/>
    <x v="4"/>
    <s v="ILHA DO PRINCIPE"/>
    <d v="2016-05-10T00:00:00"/>
    <d v="2016-05-18T00:00:00"/>
    <x v="1"/>
    <x v="88"/>
    <x v="2"/>
    <n v="1"/>
    <x v="1"/>
    <n v="0"/>
    <n v="0"/>
    <n v="0"/>
    <x v="1"/>
    <x v="0"/>
    <n v="0"/>
  </r>
  <r>
    <n v="48784900000000"/>
    <x v="1"/>
    <x v="38"/>
    <x v="4"/>
    <s v="JESUS DE NAZARETH"/>
    <d v="2016-05-10T00:00:00"/>
    <d v="2016-05-10T00:00:00"/>
    <x v="4"/>
    <x v="94"/>
    <x v="5"/>
    <n v="0"/>
    <x v="1"/>
    <n v="0"/>
    <n v="0"/>
    <n v="0"/>
    <x v="1"/>
    <x v="0"/>
    <n v="0"/>
  </r>
  <r>
    <n v="4551590000000"/>
    <x v="0"/>
    <x v="83"/>
    <x v="0"/>
    <s v="JARDIM CAMBURI"/>
    <d v="2016-05-10T00:00:00"/>
    <d v="2016-05-11T00:00:00"/>
    <x v="1"/>
    <x v="93"/>
    <x v="4"/>
    <n v="0"/>
    <x v="1"/>
    <n v="0"/>
    <n v="0"/>
    <n v="0"/>
    <x v="1"/>
    <x v="0"/>
    <n v="0"/>
  </r>
  <r>
    <n v="3977330000000"/>
    <x v="0"/>
    <x v="49"/>
    <x v="4"/>
    <s v="REDENCAO"/>
    <d v="2016-05-10T00:00:00"/>
    <d v="2016-05-20T00:00:00"/>
    <x v="0"/>
    <x v="83"/>
    <x v="2"/>
    <n v="0"/>
    <x v="1"/>
    <n v="0"/>
    <n v="0"/>
    <n v="0"/>
    <x v="1"/>
    <x v="0"/>
    <n v="0"/>
  </r>
  <r>
    <n v="2849370000000"/>
    <x v="0"/>
    <x v="46"/>
    <x v="2"/>
    <s v="SANTO ANDRE"/>
    <d v="2016-05-10T00:00:00"/>
    <d v="2016-05-10T00:00:00"/>
    <x v="4"/>
    <x v="94"/>
    <x v="5"/>
    <n v="0"/>
    <x v="1"/>
    <n v="0"/>
    <n v="0"/>
    <n v="0"/>
    <x v="1"/>
    <x v="0"/>
    <n v="0"/>
  </r>
  <r>
    <n v="65131200000000"/>
    <x v="1"/>
    <x v="44"/>
    <x v="4"/>
    <s v="ILHA DO PRINCIPE"/>
    <d v="2016-05-10T00:00:00"/>
    <d v="2016-05-18T00:00:00"/>
    <x v="1"/>
    <x v="88"/>
    <x v="2"/>
    <n v="0"/>
    <x v="1"/>
    <n v="0"/>
    <n v="0"/>
    <n v="0"/>
    <x v="1"/>
    <x v="1"/>
    <n v="1"/>
  </r>
  <r>
    <n v="818719000000000"/>
    <x v="0"/>
    <x v="43"/>
    <x v="2"/>
    <s v="CARATOIRA"/>
    <d v="2016-05-10T00:00:00"/>
    <d v="2016-05-10T00:00:00"/>
    <x v="4"/>
    <x v="94"/>
    <x v="5"/>
    <n v="0"/>
    <x v="1"/>
    <n v="0"/>
    <n v="0"/>
    <n v="0"/>
    <x v="1"/>
    <x v="0"/>
    <n v="0"/>
  </r>
  <r>
    <n v="93713700000000"/>
    <x v="0"/>
    <x v="42"/>
    <x v="3"/>
    <s v="SANTA MARTHA"/>
    <d v="2016-05-10T00:00:00"/>
    <d v="2016-05-10T00:00:00"/>
    <x v="4"/>
    <x v="94"/>
    <x v="5"/>
    <n v="0"/>
    <x v="1"/>
    <n v="0"/>
    <n v="0"/>
    <n v="0"/>
    <x v="1"/>
    <x v="0"/>
    <n v="0"/>
  </r>
  <r>
    <n v="8759450000000"/>
    <x v="1"/>
    <x v="43"/>
    <x v="2"/>
    <s v="ILHA DO PRINCIPE"/>
    <d v="2016-05-10T00:00:00"/>
    <d v="2016-05-17T00:00:00"/>
    <x v="4"/>
    <x v="87"/>
    <x v="3"/>
    <n v="1"/>
    <x v="1"/>
    <n v="0"/>
    <n v="0"/>
    <n v="0"/>
    <x v="1"/>
    <x v="0"/>
    <n v="0"/>
  </r>
  <r>
    <n v="653740000000000"/>
    <x v="1"/>
    <x v="67"/>
    <x v="4"/>
    <s v="SAO CRISTOVAO"/>
    <d v="2016-05-10T00:00:00"/>
    <d v="2016-05-10T00:00:00"/>
    <x v="4"/>
    <x v="94"/>
    <x v="5"/>
    <n v="0"/>
    <x v="1"/>
    <n v="0"/>
    <n v="0"/>
    <n v="0"/>
    <x v="1"/>
    <x v="0"/>
    <n v="0"/>
  </r>
  <r>
    <n v="24868200000000"/>
    <x v="0"/>
    <x v="40"/>
    <x v="1"/>
    <s v="JARDIM CAMBURI"/>
    <d v="2016-05-10T00:00:00"/>
    <d v="2016-05-10T00:00:00"/>
    <x v="4"/>
    <x v="94"/>
    <x v="5"/>
    <n v="1"/>
    <x v="1"/>
    <n v="0"/>
    <n v="0"/>
    <n v="0"/>
    <x v="1"/>
    <x v="0"/>
    <n v="0"/>
  </r>
  <r>
    <n v="2446590000000"/>
    <x v="1"/>
    <x v="66"/>
    <x v="2"/>
    <s v="CRUZAMENTO"/>
    <d v="2016-05-10T00:00:00"/>
    <d v="2016-05-10T00:00:00"/>
    <x v="4"/>
    <x v="94"/>
    <x v="5"/>
    <n v="0"/>
    <x v="1"/>
    <n v="0"/>
    <n v="0"/>
    <n v="0"/>
    <x v="1"/>
    <x v="1"/>
    <n v="1"/>
  </r>
  <r>
    <n v="552167000000"/>
    <x v="0"/>
    <x v="54"/>
    <x v="1"/>
    <s v="RESISTENCIA"/>
    <d v="2016-05-10T00:00:00"/>
    <d v="2016-05-12T00:00:00"/>
    <x v="3"/>
    <x v="91"/>
    <x v="4"/>
    <n v="1"/>
    <x v="1"/>
    <n v="0"/>
    <n v="0"/>
    <n v="0"/>
    <x v="1"/>
    <x v="0"/>
    <n v="0"/>
  </r>
  <r>
    <n v="84193200000000"/>
    <x v="0"/>
    <x v="55"/>
    <x v="2"/>
    <s v="SAO JOSE"/>
    <d v="2016-05-10T00:00:00"/>
    <d v="2016-05-10T00:00:00"/>
    <x v="4"/>
    <x v="94"/>
    <x v="5"/>
    <n v="1"/>
    <x v="1"/>
    <n v="0"/>
    <n v="0"/>
    <n v="0"/>
    <x v="1"/>
    <x v="0"/>
    <n v="0"/>
  </r>
  <r>
    <n v="549241000000000"/>
    <x v="0"/>
    <x v="23"/>
    <x v="3"/>
    <s v="JARDIM DA PENHA"/>
    <d v="2016-05-10T00:00:00"/>
    <d v="2016-06-07T00:00:00"/>
    <x v="4"/>
    <x v="64"/>
    <x v="1"/>
    <n v="0"/>
    <x v="1"/>
    <n v="0"/>
    <n v="0"/>
    <n v="0"/>
    <x v="0"/>
    <x v="0"/>
    <n v="0"/>
  </r>
  <r>
    <n v="19113700000000"/>
    <x v="1"/>
    <x v="72"/>
    <x v="5"/>
    <s v="JARDIM CAMBURI"/>
    <d v="2016-05-10T00:00:00"/>
    <d v="2016-05-10T00:00:00"/>
    <x v="4"/>
    <x v="94"/>
    <x v="5"/>
    <n v="0"/>
    <x v="1"/>
    <n v="0"/>
    <n v="0"/>
    <n v="0"/>
    <x v="1"/>
    <x v="0"/>
    <n v="0"/>
  </r>
  <r>
    <n v="465883000000000"/>
    <x v="1"/>
    <x v="21"/>
    <x v="1"/>
    <s v="RESISTENCIA"/>
    <d v="2016-05-10T00:00:00"/>
    <d v="2016-05-16T00:00:00"/>
    <x v="2"/>
    <x v="90"/>
    <x v="3"/>
    <n v="0"/>
    <x v="1"/>
    <n v="0"/>
    <n v="0"/>
    <n v="0"/>
    <x v="1"/>
    <x v="0"/>
    <n v="0"/>
  </r>
  <r>
    <n v="97618200000000"/>
    <x v="0"/>
    <x v="23"/>
    <x v="3"/>
    <s v="JARDIM CAMBURI"/>
    <d v="2016-05-10T00:00:00"/>
    <d v="2016-05-10T00:00:00"/>
    <x v="4"/>
    <x v="94"/>
    <x v="5"/>
    <n v="0"/>
    <x v="1"/>
    <n v="0"/>
    <n v="0"/>
    <n v="0"/>
    <x v="1"/>
    <x v="1"/>
    <n v="1"/>
  </r>
  <r>
    <n v="2135460000000"/>
    <x v="0"/>
    <x v="65"/>
    <x v="2"/>
    <s v="DO MOSCOSO"/>
    <d v="2016-05-10T00:00:00"/>
    <d v="2016-05-16T00:00:00"/>
    <x v="2"/>
    <x v="90"/>
    <x v="3"/>
    <n v="0"/>
    <x v="1"/>
    <n v="0"/>
    <n v="0"/>
    <n v="0"/>
    <x v="1"/>
    <x v="0"/>
    <n v="0"/>
  </r>
  <r>
    <n v="27897500000000"/>
    <x v="0"/>
    <x v="79"/>
    <x v="5"/>
    <s v="PRAIA DO SUA"/>
    <d v="2016-05-10T00:00:00"/>
    <d v="2016-05-12T00:00:00"/>
    <x v="3"/>
    <x v="91"/>
    <x v="4"/>
    <n v="0"/>
    <x v="1"/>
    <n v="0"/>
    <n v="0"/>
    <n v="0"/>
    <x v="1"/>
    <x v="1"/>
    <n v="1"/>
  </r>
  <r>
    <n v="211620000000000"/>
    <x v="0"/>
    <x v="71"/>
    <x v="4"/>
    <s v="CONSOLACAO"/>
    <d v="2016-05-10T00:00:00"/>
    <d v="2016-05-10T00:00:00"/>
    <x v="4"/>
    <x v="94"/>
    <x v="5"/>
    <n v="1"/>
    <x v="1"/>
    <n v="0"/>
    <n v="0"/>
    <n v="0"/>
    <x v="1"/>
    <x v="0"/>
    <n v="0"/>
  </r>
  <r>
    <n v="49512200000000"/>
    <x v="1"/>
    <x v="81"/>
    <x v="5"/>
    <s v="FORTE SAO JOAO"/>
    <d v="2016-05-10T00:00:00"/>
    <d v="2016-05-10T00:00:00"/>
    <x v="4"/>
    <x v="94"/>
    <x v="5"/>
    <n v="0"/>
    <x v="1"/>
    <n v="0"/>
    <n v="0"/>
    <n v="0"/>
    <x v="1"/>
    <x v="1"/>
    <n v="1"/>
  </r>
  <r>
    <n v="248384000000"/>
    <x v="0"/>
    <x v="79"/>
    <x v="5"/>
    <s v="GOIABEIRAS"/>
    <d v="2016-05-10T00:00:00"/>
    <d v="2016-05-10T00:00:00"/>
    <x v="4"/>
    <x v="94"/>
    <x v="5"/>
    <n v="0"/>
    <x v="1"/>
    <n v="0"/>
    <n v="0"/>
    <n v="0"/>
    <x v="1"/>
    <x v="1"/>
    <n v="1"/>
  </r>
  <r>
    <n v="51945100000000"/>
    <x v="1"/>
    <x v="40"/>
    <x v="1"/>
    <s v="ILHA DO PRINCIPE"/>
    <d v="2016-05-10T00:00:00"/>
    <d v="2016-05-17T00:00:00"/>
    <x v="4"/>
    <x v="87"/>
    <x v="3"/>
    <n v="0"/>
    <x v="1"/>
    <n v="0"/>
    <n v="0"/>
    <n v="0"/>
    <x v="1"/>
    <x v="0"/>
    <n v="0"/>
  </r>
  <r>
    <n v="826511000000000"/>
    <x v="0"/>
    <x v="87"/>
    <x v="1"/>
    <s v="GOIABEIRAS"/>
    <d v="2016-05-10T00:00:00"/>
    <d v="2016-05-24T00:00:00"/>
    <x v="4"/>
    <x v="80"/>
    <x v="2"/>
    <n v="0"/>
    <x v="0"/>
    <n v="0"/>
    <n v="0"/>
    <n v="0"/>
    <x v="0"/>
    <x v="1"/>
    <n v="1"/>
  </r>
  <r>
    <n v="436194000000"/>
    <x v="0"/>
    <x v="10"/>
    <x v="4"/>
    <s v="CONQUISTA"/>
    <d v="2016-05-10T00:00:00"/>
    <d v="2016-05-10T00:00:00"/>
    <x v="4"/>
    <x v="94"/>
    <x v="5"/>
    <n v="0"/>
    <x v="1"/>
    <n v="0"/>
    <n v="0"/>
    <n v="0"/>
    <x v="1"/>
    <x v="0"/>
    <n v="0"/>
  </r>
  <r>
    <n v="2684830000000"/>
    <x v="0"/>
    <x v="24"/>
    <x v="1"/>
    <s v="FORTE SAO JOAO"/>
    <d v="2016-05-10T00:00:00"/>
    <d v="2016-05-24T00:00:00"/>
    <x v="4"/>
    <x v="80"/>
    <x v="2"/>
    <n v="0"/>
    <x v="0"/>
    <n v="0"/>
    <n v="0"/>
    <n v="0"/>
    <x v="1"/>
    <x v="0"/>
    <n v="0"/>
  </r>
  <r>
    <n v="4462360000000"/>
    <x v="0"/>
    <x v="46"/>
    <x v="2"/>
    <s v="JESUS DE NAZARETH"/>
    <d v="2016-05-10T00:00:00"/>
    <d v="2016-05-10T00:00:00"/>
    <x v="4"/>
    <x v="94"/>
    <x v="5"/>
    <n v="0"/>
    <x v="1"/>
    <n v="0"/>
    <n v="0"/>
    <n v="0"/>
    <x v="1"/>
    <x v="0"/>
    <n v="0"/>
  </r>
  <r>
    <n v="1919350000000"/>
    <x v="1"/>
    <x v="28"/>
    <x v="3"/>
    <s v="CONSOLACAO"/>
    <d v="2016-05-10T00:00:00"/>
    <d v="2016-05-20T00:00:00"/>
    <x v="0"/>
    <x v="83"/>
    <x v="2"/>
    <n v="0"/>
    <x v="0"/>
    <n v="0"/>
    <n v="1"/>
    <n v="0"/>
    <x v="1"/>
    <x v="1"/>
    <n v="1"/>
  </r>
  <r>
    <n v="73646100000000"/>
    <x v="0"/>
    <x v="17"/>
    <x v="4"/>
    <s v="ILHA DO PRINCIPE"/>
    <d v="2016-05-10T00:00:00"/>
    <d v="2016-05-19T00:00:00"/>
    <x v="3"/>
    <x v="85"/>
    <x v="2"/>
    <n v="1"/>
    <x v="1"/>
    <n v="0"/>
    <n v="0"/>
    <n v="0"/>
    <x v="1"/>
    <x v="0"/>
    <n v="0"/>
  </r>
  <r>
    <n v="27359443387"/>
    <x v="0"/>
    <x v="59"/>
    <x v="2"/>
    <s v="TABUAZEIRO"/>
    <d v="2016-05-10T00:00:00"/>
    <d v="2016-05-10T00:00:00"/>
    <x v="4"/>
    <x v="94"/>
    <x v="5"/>
    <n v="0"/>
    <x v="1"/>
    <n v="0"/>
    <n v="0"/>
    <n v="0"/>
    <x v="1"/>
    <x v="0"/>
    <n v="0"/>
  </r>
  <r>
    <n v="9278750000000"/>
    <x v="0"/>
    <x v="0"/>
    <x v="0"/>
    <s v="RESISTENCIA"/>
    <d v="2016-05-10T00:00:00"/>
    <d v="2016-06-06T00:00:00"/>
    <x v="2"/>
    <x v="65"/>
    <x v="1"/>
    <n v="0"/>
    <x v="0"/>
    <n v="0"/>
    <n v="0"/>
    <n v="0"/>
    <x v="0"/>
    <x v="0"/>
    <n v="0"/>
  </r>
  <r>
    <n v="18791561786"/>
    <x v="1"/>
    <x v="6"/>
    <x v="0"/>
    <s v="GRANDE VITORIA"/>
    <d v="2016-05-10T00:00:00"/>
    <d v="2016-05-11T00:00:00"/>
    <x v="1"/>
    <x v="93"/>
    <x v="4"/>
    <n v="0"/>
    <x v="1"/>
    <n v="0"/>
    <n v="0"/>
    <n v="0"/>
    <x v="1"/>
    <x v="0"/>
    <n v="0"/>
  </r>
  <r>
    <n v="789516000000000"/>
    <x v="1"/>
    <x v="20"/>
    <x v="0"/>
    <s v="ITARARE"/>
    <d v="2016-05-10T00:00:00"/>
    <d v="2016-05-11T00:00:00"/>
    <x v="1"/>
    <x v="93"/>
    <x v="4"/>
    <n v="0"/>
    <x v="0"/>
    <n v="0"/>
    <n v="0"/>
    <n v="0"/>
    <x v="1"/>
    <x v="0"/>
    <n v="0"/>
  </r>
  <r>
    <n v="762566000000000"/>
    <x v="0"/>
    <x v="36"/>
    <x v="3"/>
    <s v="SANTOS DUMONT"/>
    <d v="2016-05-10T00:00:00"/>
    <d v="2016-05-10T00:00:00"/>
    <x v="4"/>
    <x v="94"/>
    <x v="5"/>
    <n v="0"/>
    <x v="0"/>
    <n v="0"/>
    <n v="0"/>
    <n v="0"/>
    <x v="1"/>
    <x v="1"/>
    <n v="1"/>
  </r>
  <r>
    <n v="4198570000000"/>
    <x v="0"/>
    <x v="55"/>
    <x v="2"/>
    <s v="MARIA ORTIZ"/>
    <d v="2016-05-10T00:00:00"/>
    <d v="2016-05-10T00:00:00"/>
    <x v="4"/>
    <x v="94"/>
    <x v="5"/>
    <n v="0"/>
    <x v="1"/>
    <n v="0"/>
    <n v="0"/>
    <n v="0"/>
    <x v="1"/>
    <x v="0"/>
    <n v="0"/>
  </r>
  <r>
    <n v="618833000000000"/>
    <x v="1"/>
    <x v="37"/>
    <x v="3"/>
    <s v="JARDIM CAMBURI"/>
    <d v="2016-05-10T00:00:00"/>
    <d v="2016-05-11T00:00:00"/>
    <x v="1"/>
    <x v="93"/>
    <x v="4"/>
    <n v="0"/>
    <x v="1"/>
    <n v="0"/>
    <n v="0"/>
    <n v="0"/>
    <x v="1"/>
    <x v="0"/>
    <n v="0"/>
  </r>
  <r>
    <n v="549643000000"/>
    <x v="0"/>
    <x v="2"/>
    <x v="1"/>
    <s v="SANTA MARTHA"/>
    <d v="2016-05-10T00:00:00"/>
    <d v="2016-05-11T00:00:00"/>
    <x v="1"/>
    <x v="93"/>
    <x v="4"/>
    <n v="0"/>
    <x v="1"/>
    <n v="0"/>
    <n v="1"/>
    <n v="0"/>
    <x v="1"/>
    <x v="0"/>
    <n v="0"/>
  </r>
  <r>
    <n v="441325000000"/>
    <x v="0"/>
    <x v="37"/>
    <x v="3"/>
    <s v="REDENCAO"/>
    <d v="2016-05-10T00:00:00"/>
    <d v="2016-05-11T00:00:00"/>
    <x v="1"/>
    <x v="93"/>
    <x v="4"/>
    <n v="0"/>
    <x v="0"/>
    <n v="0"/>
    <n v="0"/>
    <n v="1"/>
    <x v="1"/>
    <x v="0"/>
    <n v="0"/>
  </r>
  <r>
    <n v="25796900000000"/>
    <x v="1"/>
    <x v="66"/>
    <x v="2"/>
    <s v="SANTA TEREZA"/>
    <d v="2016-05-10T00:00:00"/>
    <d v="2016-05-10T00:00:00"/>
    <x v="4"/>
    <x v="94"/>
    <x v="5"/>
    <n v="0"/>
    <x v="1"/>
    <n v="0"/>
    <n v="0"/>
    <n v="0"/>
    <x v="1"/>
    <x v="0"/>
    <n v="0"/>
  </r>
  <r>
    <n v="81111700000000"/>
    <x v="0"/>
    <x v="75"/>
    <x v="5"/>
    <s v="SANTOS DUMONT"/>
    <d v="2016-05-10T00:00:00"/>
    <d v="2016-05-16T00:00:00"/>
    <x v="2"/>
    <x v="90"/>
    <x v="3"/>
    <n v="0"/>
    <x v="1"/>
    <n v="0"/>
    <n v="0"/>
    <n v="0"/>
    <x v="1"/>
    <x v="1"/>
    <n v="1"/>
  </r>
  <r>
    <n v="4498590000000"/>
    <x v="1"/>
    <x v="4"/>
    <x v="2"/>
    <s v="ILHA DAS CAIEIRAS"/>
    <d v="2016-05-10T00:00:00"/>
    <d v="2016-05-10T00:00:00"/>
    <x v="4"/>
    <x v="94"/>
    <x v="5"/>
    <n v="0"/>
    <x v="1"/>
    <n v="0"/>
    <n v="0"/>
    <n v="0"/>
    <x v="1"/>
    <x v="0"/>
    <n v="0"/>
  </r>
  <r>
    <n v="9169980000000"/>
    <x v="0"/>
    <x v="37"/>
    <x v="3"/>
    <s v="JABOUR"/>
    <d v="2016-05-10T00:00:00"/>
    <d v="2016-05-11T00:00:00"/>
    <x v="1"/>
    <x v="93"/>
    <x v="4"/>
    <n v="1"/>
    <x v="1"/>
    <n v="0"/>
    <n v="0"/>
    <n v="0"/>
    <x v="1"/>
    <x v="1"/>
    <n v="1"/>
  </r>
  <r>
    <n v="95713700000000"/>
    <x v="0"/>
    <x v="69"/>
    <x v="4"/>
    <s v="JARDIM DA PENHA"/>
    <d v="2016-05-10T00:00:00"/>
    <d v="2016-05-10T00:00:00"/>
    <x v="4"/>
    <x v="94"/>
    <x v="5"/>
    <n v="0"/>
    <x v="1"/>
    <n v="0"/>
    <n v="0"/>
    <n v="0"/>
    <x v="1"/>
    <x v="0"/>
    <n v="0"/>
  </r>
  <r>
    <n v="771463000000000"/>
    <x v="0"/>
    <x v="23"/>
    <x v="3"/>
    <s v="FONTE GRANDE"/>
    <d v="2016-05-10T00:00:00"/>
    <d v="2016-05-10T00:00:00"/>
    <x v="4"/>
    <x v="94"/>
    <x v="5"/>
    <n v="0"/>
    <x v="1"/>
    <n v="0"/>
    <n v="0"/>
    <n v="0"/>
    <x v="1"/>
    <x v="0"/>
    <n v="0"/>
  </r>
  <r>
    <n v="91115400000000"/>
    <x v="0"/>
    <x v="95"/>
    <x v="0"/>
    <s v="JARDIM DA PENHA"/>
    <d v="2016-05-10T00:00:00"/>
    <d v="2016-05-10T00:00:00"/>
    <x v="4"/>
    <x v="94"/>
    <x v="5"/>
    <n v="0"/>
    <x v="0"/>
    <n v="0"/>
    <n v="0"/>
    <n v="1"/>
    <x v="1"/>
    <x v="0"/>
    <n v="0"/>
  </r>
  <r>
    <n v="2771650000000"/>
    <x v="1"/>
    <x v="4"/>
    <x v="2"/>
    <s v="SAO BENEDITO"/>
    <d v="2016-05-10T00:00:00"/>
    <d v="2016-05-10T00:00:00"/>
    <x v="4"/>
    <x v="94"/>
    <x v="5"/>
    <n v="0"/>
    <x v="1"/>
    <n v="0"/>
    <n v="0"/>
    <n v="0"/>
    <x v="1"/>
    <x v="0"/>
    <n v="0"/>
  </r>
  <r>
    <n v="44886400000000"/>
    <x v="0"/>
    <x v="50"/>
    <x v="1"/>
    <s v="SAO JOSE"/>
    <d v="2016-05-10T00:00:00"/>
    <d v="2016-05-10T00:00:00"/>
    <x v="4"/>
    <x v="94"/>
    <x v="5"/>
    <n v="1"/>
    <x v="1"/>
    <n v="0"/>
    <n v="0"/>
    <n v="0"/>
    <x v="1"/>
    <x v="0"/>
    <n v="0"/>
  </r>
  <r>
    <n v="589458000000"/>
    <x v="0"/>
    <x v="31"/>
    <x v="1"/>
    <s v="MARUIPE"/>
    <d v="2016-05-10T00:00:00"/>
    <d v="2016-05-17T00:00:00"/>
    <x v="4"/>
    <x v="87"/>
    <x v="3"/>
    <n v="0"/>
    <x v="0"/>
    <n v="1"/>
    <n v="0"/>
    <n v="0"/>
    <x v="1"/>
    <x v="0"/>
    <n v="0"/>
  </r>
  <r>
    <n v="13536700000000"/>
    <x v="1"/>
    <x v="48"/>
    <x v="3"/>
    <s v="JOANA D ARC"/>
    <d v="2016-05-10T00:00:00"/>
    <d v="2016-05-10T00:00:00"/>
    <x v="4"/>
    <x v="94"/>
    <x v="5"/>
    <n v="0"/>
    <x v="0"/>
    <n v="0"/>
    <n v="0"/>
    <n v="0"/>
    <x v="1"/>
    <x v="0"/>
    <n v="0"/>
  </r>
  <r>
    <n v="828646000000000"/>
    <x v="1"/>
    <x v="46"/>
    <x v="2"/>
    <s v="SAO JOSE"/>
    <d v="2016-05-10T00:00:00"/>
    <d v="2016-05-12T00:00:00"/>
    <x v="3"/>
    <x v="91"/>
    <x v="4"/>
    <n v="0"/>
    <x v="1"/>
    <n v="0"/>
    <n v="0"/>
    <n v="0"/>
    <x v="1"/>
    <x v="0"/>
    <n v="0"/>
  </r>
  <r>
    <n v="24434800000000"/>
    <x v="0"/>
    <x v="56"/>
    <x v="1"/>
    <s v="CONQUISTA"/>
    <d v="2016-05-10T00:00:00"/>
    <d v="2016-05-17T00:00:00"/>
    <x v="4"/>
    <x v="87"/>
    <x v="3"/>
    <n v="0"/>
    <x v="0"/>
    <n v="0"/>
    <n v="0"/>
    <n v="1"/>
    <x v="1"/>
    <x v="0"/>
    <n v="0"/>
  </r>
  <r>
    <n v="21122400000000"/>
    <x v="1"/>
    <x v="67"/>
    <x v="4"/>
    <s v="TABUAZEIRO"/>
    <d v="2016-05-10T00:00:00"/>
    <d v="2016-05-10T00:00:00"/>
    <x v="4"/>
    <x v="94"/>
    <x v="5"/>
    <n v="0"/>
    <x v="1"/>
    <n v="0"/>
    <n v="0"/>
    <n v="0"/>
    <x v="1"/>
    <x v="0"/>
    <n v="0"/>
  </r>
  <r>
    <n v="268992000000"/>
    <x v="0"/>
    <x v="30"/>
    <x v="3"/>
    <s v="JARDIM CAMBURI"/>
    <d v="2016-05-10T00:00:00"/>
    <d v="2016-05-12T00:00:00"/>
    <x v="3"/>
    <x v="91"/>
    <x v="4"/>
    <n v="0"/>
    <x v="0"/>
    <n v="1"/>
    <n v="0"/>
    <n v="0"/>
    <x v="1"/>
    <x v="1"/>
    <n v="1"/>
  </r>
  <r>
    <n v="292630000000"/>
    <x v="0"/>
    <x v="52"/>
    <x v="2"/>
    <s v="SANTO ANDRE"/>
    <d v="2016-05-10T00:00:00"/>
    <d v="2016-05-12T00:00:00"/>
    <x v="3"/>
    <x v="91"/>
    <x v="4"/>
    <n v="0"/>
    <x v="1"/>
    <n v="0"/>
    <n v="0"/>
    <n v="0"/>
    <x v="1"/>
    <x v="0"/>
    <n v="0"/>
  </r>
  <r>
    <n v="7138110000000"/>
    <x v="1"/>
    <x v="68"/>
    <x v="4"/>
    <s v="SANTA LUIZA"/>
    <d v="2016-05-10T00:00:00"/>
    <d v="2016-05-10T00:00:00"/>
    <x v="4"/>
    <x v="94"/>
    <x v="5"/>
    <n v="0"/>
    <x v="1"/>
    <n v="0"/>
    <n v="0"/>
    <n v="0"/>
    <x v="1"/>
    <x v="0"/>
    <n v="0"/>
  </r>
  <r>
    <n v="7858250000000"/>
    <x v="0"/>
    <x v="60"/>
    <x v="2"/>
    <s v="SANTO ANTONIO"/>
    <d v="2016-05-10T00:00:00"/>
    <d v="2016-05-19T00:00:00"/>
    <x v="3"/>
    <x v="85"/>
    <x v="2"/>
    <n v="0"/>
    <x v="1"/>
    <n v="0"/>
    <n v="0"/>
    <n v="0"/>
    <x v="1"/>
    <x v="1"/>
    <n v="1"/>
  </r>
  <r>
    <n v="747140000000000"/>
    <x v="0"/>
    <x v="5"/>
    <x v="1"/>
    <s v="SANTA MARTHA"/>
    <d v="2016-05-10T00:00:00"/>
    <d v="2016-05-24T00:00:00"/>
    <x v="4"/>
    <x v="80"/>
    <x v="2"/>
    <n v="0"/>
    <x v="1"/>
    <n v="0"/>
    <n v="0"/>
    <n v="0"/>
    <x v="0"/>
    <x v="0"/>
    <n v="0"/>
  </r>
  <r>
    <n v="89462900000000"/>
    <x v="1"/>
    <x v="84"/>
    <x v="1"/>
    <s v="SAO BENEDITO"/>
    <d v="2016-05-10T00:00:00"/>
    <d v="2016-05-10T00:00:00"/>
    <x v="4"/>
    <x v="94"/>
    <x v="5"/>
    <n v="0"/>
    <x v="1"/>
    <n v="0"/>
    <n v="1"/>
    <n v="0"/>
    <x v="1"/>
    <x v="0"/>
    <n v="0"/>
  </r>
  <r>
    <n v="4153760000000"/>
    <x v="1"/>
    <x v="28"/>
    <x v="3"/>
    <s v="SANTOS DUMONT"/>
    <d v="2016-05-10T00:00:00"/>
    <d v="2016-05-20T00:00:00"/>
    <x v="0"/>
    <x v="83"/>
    <x v="2"/>
    <n v="0"/>
    <x v="0"/>
    <n v="0"/>
    <n v="0"/>
    <n v="0"/>
    <x v="1"/>
    <x v="0"/>
    <n v="0"/>
  </r>
  <r>
    <n v="843397000000"/>
    <x v="1"/>
    <x v="50"/>
    <x v="1"/>
    <s v="CRUZAMENTO"/>
    <d v="2016-05-10T00:00:00"/>
    <d v="2016-05-10T00:00:00"/>
    <x v="4"/>
    <x v="94"/>
    <x v="5"/>
    <n v="0"/>
    <x v="0"/>
    <n v="1"/>
    <n v="0"/>
    <n v="0"/>
    <x v="1"/>
    <x v="0"/>
    <n v="0"/>
  </r>
  <r>
    <n v="42454800000000"/>
    <x v="1"/>
    <x v="70"/>
    <x v="5"/>
    <s v="CRUZAMENTO"/>
    <d v="2016-05-10T00:00:00"/>
    <d v="2016-05-10T00:00:00"/>
    <x v="4"/>
    <x v="94"/>
    <x v="5"/>
    <n v="0"/>
    <x v="1"/>
    <n v="0"/>
    <n v="0"/>
    <n v="0"/>
    <x v="1"/>
    <x v="0"/>
    <n v="0"/>
  </r>
  <r>
    <n v="36741600000000"/>
    <x v="0"/>
    <x v="8"/>
    <x v="0"/>
    <s v="DO QUADRO"/>
    <d v="2016-05-10T00:00:00"/>
    <d v="2016-05-10T00:00:00"/>
    <x v="4"/>
    <x v="94"/>
    <x v="5"/>
    <n v="0"/>
    <x v="0"/>
    <n v="1"/>
    <n v="0"/>
    <n v="0"/>
    <x v="1"/>
    <x v="0"/>
    <n v="0"/>
  </r>
  <r>
    <n v="13854800000000"/>
    <x v="0"/>
    <x v="43"/>
    <x v="2"/>
    <s v="CRUZAMENTO"/>
    <d v="2016-05-10T00:00:00"/>
    <d v="2016-05-10T00:00:00"/>
    <x v="4"/>
    <x v="94"/>
    <x v="5"/>
    <n v="0"/>
    <x v="1"/>
    <n v="0"/>
    <n v="0"/>
    <n v="0"/>
    <x v="1"/>
    <x v="0"/>
    <n v="0"/>
  </r>
  <r>
    <n v="9995590000000"/>
    <x v="0"/>
    <x v="49"/>
    <x v="4"/>
    <s v="ILHA DO PRINCIPE"/>
    <d v="2016-05-10T00:00:00"/>
    <d v="2016-05-10T00:00:00"/>
    <x v="4"/>
    <x v="94"/>
    <x v="5"/>
    <n v="0"/>
    <x v="1"/>
    <n v="0"/>
    <n v="0"/>
    <n v="0"/>
    <x v="1"/>
    <x v="0"/>
    <n v="0"/>
  </r>
  <r>
    <n v="223560000000"/>
    <x v="1"/>
    <x v="75"/>
    <x v="5"/>
    <s v="CENTRO"/>
    <d v="2016-05-10T00:00:00"/>
    <d v="2016-05-11T00:00:00"/>
    <x v="1"/>
    <x v="93"/>
    <x v="4"/>
    <n v="0"/>
    <x v="1"/>
    <n v="0"/>
    <n v="0"/>
    <n v="0"/>
    <x v="1"/>
    <x v="0"/>
    <n v="0"/>
  </r>
  <r>
    <n v="96819200000000"/>
    <x v="0"/>
    <x v="45"/>
    <x v="1"/>
    <s v="COMDUSA"/>
    <d v="2016-05-10T00:00:00"/>
    <d v="2016-05-10T00:00:00"/>
    <x v="4"/>
    <x v="94"/>
    <x v="5"/>
    <n v="1"/>
    <x v="1"/>
    <n v="0"/>
    <n v="0"/>
    <n v="0"/>
    <x v="1"/>
    <x v="0"/>
    <n v="0"/>
  </r>
  <r>
    <n v="33397300000000"/>
    <x v="0"/>
    <x v="64"/>
    <x v="3"/>
    <s v="BONFIM"/>
    <d v="2016-05-10T00:00:00"/>
    <d v="2016-05-31T00:00:00"/>
    <x v="4"/>
    <x v="73"/>
    <x v="1"/>
    <n v="0"/>
    <x v="0"/>
    <n v="1"/>
    <n v="0"/>
    <n v="0"/>
    <x v="0"/>
    <x v="0"/>
    <n v="0"/>
  </r>
  <r>
    <n v="52584627848"/>
    <x v="0"/>
    <x v="81"/>
    <x v="5"/>
    <s v="NOVA PALESTINA"/>
    <d v="2016-05-10T00:00:00"/>
    <d v="2016-05-24T00:00:00"/>
    <x v="4"/>
    <x v="80"/>
    <x v="2"/>
    <n v="0"/>
    <x v="1"/>
    <n v="0"/>
    <n v="0"/>
    <n v="0"/>
    <x v="0"/>
    <x v="0"/>
    <n v="0"/>
  </r>
  <r>
    <n v="953224000000000"/>
    <x v="1"/>
    <x v="39"/>
    <x v="4"/>
    <s v="JESUS DE NAZARETH"/>
    <d v="2016-05-10T00:00:00"/>
    <d v="2016-05-11T00:00:00"/>
    <x v="1"/>
    <x v="93"/>
    <x v="4"/>
    <n v="0"/>
    <x v="1"/>
    <n v="0"/>
    <n v="0"/>
    <n v="0"/>
    <x v="1"/>
    <x v="0"/>
    <n v="0"/>
  </r>
  <r>
    <n v="15445600000000"/>
    <x v="1"/>
    <x v="60"/>
    <x v="2"/>
    <s v="MARIA ORTIZ"/>
    <d v="2016-05-10T00:00:00"/>
    <d v="2016-05-10T00:00:00"/>
    <x v="4"/>
    <x v="94"/>
    <x v="5"/>
    <n v="0"/>
    <x v="1"/>
    <n v="0"/>
    <n v="0"/>
    <n v="0"/>
    <x v="1"/>
    <x v="0"/>
    <n v="0"/>
  </r>
  <r>
    <n v="5865330000000"/>
    <x v="0"/>
    <x v="69"/>
    <x v="4"/>
    <s v="BONFIM"/>
    <d v="2016-05-10T00:00:00"/>
    <d v="2016-06-06T00:00:00"/>
    <x v="2"/>
    <x v="65"/>
    <x v="1"/>
    <n v="0"/>
    <x v="1"/>
    <n v="0"/>
    <n v="0"/>
    <n v="0"/>
    <x v="0"/>
    <x v="1"/>
    <n v="1"/>
  </r>
  <r>
    <n v="77619200000000"/>
    <x v="0"/>
    <x v="39"/>
    <x v="4"/>
    <s v="SANTO ANTONIO"/>
    <d v="2016-05-10T00:00:00"/>
    <d v="2016-05-10T00:00:00"/>
    <x v="4"/>
    <x v="94"/>
    <x v="5"/>
    <n v="0"/>
    <x v="1"/>
    <n v="0"/>
    <n v="0"/>
    <n v="0"/>
    <x v="1"/>
    <x v="0"/>
    <n v="0"/>
  </r>
  <r>
    <n v="68489946781"/>
    <x v="0"/>
    <x v="79"/>
    <x v="5"/>
    <s v="GURIGICA"/>
    <d v="2016-05-10T00:00:00"/>
    <d v="2016-05-12T00:00:00"/>
    <x v="3"/>
    <x v="91"/>
    <x v="4"/>
    <n v="0"/>
    <x v="1"/>
    <n v="0"/>
    <n v="0"/>
    <n v="0"/>
    <x v="1"/>
    <x v="1"/>
    <n v="1"/>
  </r>
  <r>
    <n v="56284800000000"/>
    <x v="0"/>
    <x v="24"/>
    <x v="1"/>
    <s v="ANDORINHAS"/>
    <d v="2016-05-10T00:00:00"/>
    <d v="2016-05-10T00:00:00"/>
    <x v="4"/>
    <x v="94"/>
    <x v="5"/>
    <n v="0"/>
    <x v="0"/>
    <n v="0"/>
    <n v="0"/>
    <n v="0"/>
    <x v="1"/>
    <x v="0"/>
    <n v="0"/>
  </r>
  <r>
    <n v="4332200000000"/>
    <x v="0"/>
    <x v="92"/>
    <x v="0"/>
    <s v="JOANA D ARC"/>
    <d v="2016-05-10T00:00:00"/>
    <d v="2016-05-19T00:00:00"/>
    <x v="3"/>
    <x v="85"/>
    <x v="2"/>
    <n v="0"/>
    <x v="0"/>
    <n v="0"/>
    <n v="0"/>
    <n v="0"/>
    <x v="1"/>
    <x v="0"/>
    <n v="0"/>
  </r>
  <r>
    <n v="2152660000000"/>
    <x v="1"/>
    <x v="51"/>
    <x v="2"/>
    <s v="DO CABRAL"/>
    <d v="2016-05-10T00:00:00"/>
    <d v="2016-05-16T00:00:00"/>
    <x v="2"/>
    <x v="90"/>
    <x v="3"/>
    <n v="0"/>
    <x v="1"/>
    <n v="0"/>
    <n v="0"/>
    <n v="0"/>
    <x v="1"/>
    <x v="0"/>
    <n v="0"/>
  </r>
  <r>
    <n v="363829000000000"/>
    <x v="1"/>
    <x v="22"/>
    <x v="4"/>
    <s v="JARDIM CAMBURI"/>
    <d v="2016-05-10T00:00:00"/>
    <d v="2016-05-11T00:00:00"/>
    <x v="1"/>
    <x v="93"/>
    <x v="4"/>
    <n v="0"/>
    <x v="1"/>
    <n v="0"/>
    <n v="0"/>
    <n v="0"/>
    <x v="1"/>
    <x v="0"/>
    <n v="0"/>
  </r>
  <r>
    <n v="4112950000000"/>
    <x v="0"/>
    <x v="30"/>
    <x v="3"/>
    <s v="SANTA MARTHA"/>
    <d v="2016-05-10T00:00:00"/>
    <d v="2016-05-12T00:00:00"/>
    <x v="3"/>
    <x v="91"/>
    <x v="4"/>
    <n v="0"/>
    <x v="0"/>
    <n v="0"/>
    <n v="0"/>
    <n v="0"/>
    <x v="1"/>
    <x v="0"/>
    <n v="0"/>
  </r>
  <r>
    <n v="327883000000000"/>
    <x v="0"/>
    <x v="50"/>
    <x v="1"/>
    <s v="NOVA PALESTINA"/>
    <d v="2016-05-10T00:00:00"/>
    <d v="2016-05-12T00:00:00"/>
    <x v="3"/>
    <x v="91"/>
    <x v="4"/>
    <n v="0"/>
    <x v="1"/>
    <n v="0"/>
    <n v="0"/>
    <n v="0"/>
    <x v="1"/>
    <x v="0"/>
    <n v="0"/>
  </r>
  <r>
    <n v="1862170000000"/>
    <x v="0"/>
    <x v="26"/>
    <x v="0"/>
    <s v="ROMAO"/>
    <d v="2016-05-10T00:00:00"/>
    <d v="2016-05-12T00:00:00"/>
    <x v="3"/>
    <x v="91"/>
    <x v="4"/>
    <n v="0"/>
    <x v="0"/>
    <n v="1"/>
    <n v="0"/>
    <n v="0"/>
    <x v="1"/>
    <x v="0"/>
    <n v="0"/>
  </r>
  <r>
    <n v="23876000000000"/>
    <x v="0"/>
    <x v="15"/>
    <x v="3"/>
    <s v="BENTO FERREIRA"/>
    <d v="2016-05-10T00:00:00"/>
    <d v="2016-05-16T00:00:00"/>
    <x v="2"/>
    <x v="90"/>
    <x v="3"/>
    <n v="0"/>
    <x v="1"/>
    <n v="0"/>
    <n v="0"/>
    <n v="0"/>
    <x v="1"/>
    <x v="0"/>
    <n v="0"/>
  </r>
  <r>
    <n v="119275000000"/>
    <x v="0"/>
    <x v="41"/>
    <x v="4"/>
    <s v="JESUS DE NAZARETH"/>
    <d v="2016-05-10T00:00:00"/>
    <d v="2016-05-20T00:00:00"/>
    <x v="0"/>
    <x v="83"/>
    <x v="2"/>
    <n v="1"/>
    <x v="1"/>
    <n v="0"/>
    <n v="0"/>
    <n v="0"/>
    <x v="1"/>
    <x v="1"/>
    <n v="1"/>
  </r>
  <r>
    <n v="2838860000000"/>
    <x v="1"/>
    <x v="52"/>
    <x v="2"/>
    <s v="JARDIM DA PENHA"/>
    <d v="2016-05-10T00:00:00"/>
    <d v="2016-05-10T00:00:00"/>
    <x v="4"/>
    <x v="94"/>
    <x v="5"/>
    <n v="0"/>
    <x v="1"/>
    <n v="0"/>
    <n v="0"/>
    <n v="0"/>
    <x v="1"/>
    <x v="0"/>
    <n v="0"/>
  </r>
  <r>
    <n v="44915800000000"/>
    <x v="0"/>
    <x v="41"/>
    <x v="4"/>
    <s v="ANDORINHAS"/>
    <d v="2016-05-10T00:00:00"/>
    <d v="2016-05-13T00:00:00"/>
    <x v="0"/>
    <x v="89"/>
    <x v="4"/>
    <n v="0"/>
    <x v="1"/>
    <n v="0"/>
    <n v="0"/>
    <n v="0"/>
    <x v="1"/>
    <x v="1"/>
    <n v="1"/>
  </r>
  <r>
    <n v="7218810000000"/>
    <x v="0"/>
    <x v="53"/>
    <x v="0"/>
    <s v="JARDIM CAMBURI"/>
    <d v="2016-05-10T00:00:00"/>
    <d v="2016-05-12T00:00:00"/>
    <x v="3"/>
    <x v="91"/>
    <x v="4"/>
    <n v="0"/>
    <x v="1"/>
    <n v="0"/>
    <n v="0"/>
    <n v="0"/>
    <x v="1"/>
    <x v="0"/>
    <n v="0"/>
  </r>
  <r>
    <n v="55627341444"/>
    <x v="0"/>
    <x v="20"/>
    <x v="0"/>
    <s v="MARIA ORTIZ"/>
    <d v="2016-05-10T00:00:00"/>
    <d v="2016-06-06T00:00:00"/>
    <x v="2"/>
    <x v="65"/>
    <x v="1"/>
    <n v="0"/>
    <x v="1"/>
    <n v="0"/>
    <n v="0"/>
    <n v="0"/>
    <x v="0"/>
    <x v="0"/>
    <n v="0"/>
  </r>
  <r>
    <n v="21661900000000"/>
    <x v="0"/>
    <x v="4"/>
    <x v="2"/>
    <s v="CENTRO"/>
    <d v="2016-05-10T00:00:00"/>
    <d v="2016-05-10T00:00:00"/>
    <x v="4"/>
    <x v="94"/>
    <x v="5"/>
    <n v="0"/>
    <x v="1"/>
    <n v="0"/>
    <n v="0"/>
    <n v="0"/>
    <x v="1"/>
    <x v="0"/>
    <n v="0"/>
  </r>
  <r>
    <n v="773416000000000"/>
    <x v="0"/>
    <x v="79"/>
    <x v="5"/>
    <s v="SANTOS DUMONT"/>
    <d v="2016-05-10T00:00:00"/>
    <d v="2016-06-07T00:00:00"/>
    <x v="4"/>
    <x v="64"/>
    <x v="1"/>
    <n v="0"/>
    <x v="1"/>
    <n v="0"/>
    <n v="0"/>
    <n v="0"/>
    <x v="0"/>
    <x v="1"/>
    <n v="1"/>
  </r>
  <r>
    <n v="7925670000000"/>
    <x v="1"/>
    <x v="46"/>
    <x v="2"/>
    <s v="SAO JOSE"/>
    <d v="2016-05-10T00:00:00"/>
    <d v="2016-05-17T00:00:00"/>
    <x v="4"/>
    <x v="87"/>
    <x v="3"/>
    <n v="0"/>
    <x v="1"/>
    <n v="0"/>
    <n v="0"/>
    <n v="0"/>
    <x v="1"/>
    <x v="0"/>
    <n v="0"/>
  </r>
  <r>
    <n v="67426500000000"/>
    <x v="0"/>
    <x v="30"/>
    <x v="3"/>
    <s v="SAO JOSE"/>
    <d v="2016-05-10T00:00:00"/>
    <d v="2016-05-10T00:00:00"/>
    <x v="4"/>
    <x v="94"/>
    <x v="5"/>
    <n v="0"/>
    <x v="0"/>
    <n v="1"/>
    <n v="0"/>
    <n v="0"/>
    <x v="1"/>
    <x v="0"/>
    <n v="0"/>
  </r>
  <r>
    <n v="658586000000000"/>
    <x v="0"/>
    <x v="93"/>
    <x v="0"/>
    <s v="ITARARE"/>
    <d v="2016-05-10T00:00:00"/>
    <d v="2016-05-25T00:00:00"/>
    <x v="1"/>
    <x v="79"/>
    <x v="1"/>
    <n v="0"/>
    <x v="0"/>
    <n v="0"/>
    <n v="0"/>
    <n v="0"/>
    <x v="1"/>
    <x v="1"/>
    <n v="1"/>
  </r>
  <r>
    <n v="3563980000000"/>
    <x v="0"/>
    <x v="71"/>
    <x v="4"/>
    <s v="ANDORINHAS"/>
    <d v="2016-05-10T00:00:00"/>
    <d v="2016-06-07T00:00:00"/>
    <x v="4"/>
    <x v="64"/>
    <x v="1"/>
    <n v="1"/>
    <x v="1"/>
    <n v="0"/>
    <n v="0"/>
    <n v="0"/>
    <x v="0"/>
    <x v="1"/>
    <n v="1"/>
  </r>
  <r>
    <n v="693742000000000"/>
    <x v="1"/>
    <x v="49"/>
    <x v="4"/>
    <s v="MONTE BELO"/>
    <d v="2016-05-10T00:00:00"/>
    <d v="2016-05-10T00:00:00"/>
    <x v="4"/>
    <x v="94"/>
    <x v="5"/>
    <n v="0"/>
    <x v="1"/>
    <n v="0"/>
    <n v="0"/>
    <n v="0"/>
    <x v="1"/>
    <x v="0"/>
    <n v="0"/>
  </r>
  <r>
    <n v="62197800000000"/>
    <x v="0"/>
    <x v="73"/>
    <x v="4"/>
    <s v="RESISTENCIA"/>
    <d v="2016-05-10T00:00:00"/>
    <d v="2016-05-12T00:00:00"/>
    <x v="3"/>
    <x v="91"/>
    <x v="4"/>
    <n v="0"/>
    <x v="1"/>
    <n v="0"/>
    <n v="0"/>
    <n v="0"/>
    <x v="1"/>
    <x v="0"/>
    <n v="0"/>
  </r>
  <r>
    <n v="32169700000000"/>
    <x v="1"/>
    <x v="52"/>
    <x v="2"/>
    <s v="NOVA PALESTINA"/>
    <d v="2016-05-10T00:00:00"/>
    <d v="2016-05-10T00:00:00"/>
    <x v="4"/>
    <x v="94"/>
    <x v="5"/>
    <n v="0"/>
    <x v="1"/>
    <n v="0"/>
    <n v="0"/>
    <n v="0"/>
    <x v="1"/>
    <x v="0"/>
    <n v="0"/>
  </r>
  <r>
    <n v="419795000000"/>
    <x v="0"/>
    <x v="54"/>
    <x v="1"/>
    <s v="ROMAO"/>
    <d v="2016-05-10T00:00:00"/>
    <d v="2016-05-16T00:00:00"/>
    <x v="2"/>
    <x v="90"/>
    <x v="3"/>
    <n v="0"/>
    <x v="0"/>
    <n v="0"/>
    <n v="0"/>
    <n v="0"/>
    <x v="1"/>
    <x v="1"/>
    <n v="1"/>
  </r>
  <r>
    <n v="59365200000000"/>
    <x v="0"/>
    <x v="40"/>
    <x v="1"/>
    <s v="SANTO ANTONIO"/>
    <d v="2016-05-10T00:00:00"/>
    <d v="2016-05-16T00:00:00"/>
    <x v="2"/>
    <x v="90"/>
    <x v="3"/>
    <n v="0"/>
    <x v="1"/>
    <n v="0"/>
    <n v="0"/>
    <n v="0"/>
    <x v="1"/>
    <x v="0"/>
    <n v="0"/>
  </r>
  <r>
    <n v="317676000000000"/>
    <x v="0"/>
    <x v="68"/>
    <x v="4"/>
    <s v="ITARARE"/>
    <d v="2016-05-10T00:00:00"/>
    <d v="2016-05-10T00:00:00"/>
    <x v="4"/>
    <x v="94"/>
    <x v="5"/>
    <n v="0"/>
    <x v="1"/>
    <n v="0"/>
    <n v="0"/>
    <n v="0"/>
    <x v="1"/>
    <x v="0"/>
    <n v="0"/>
  </r>
  <r>
    <n v="51548700000000"/>
    <x v="1"/>
    <x v="28"/>
    <x v="3"/>
    <s v="SANTOS DUMONT"/>
    <d v="2016-05-10T00:00:00"/>
    <d v="2016-05-10T00:00:00"/>
    <x v="4"/>
    <x v="94"/>
    <x v="5"/>
    <n v="0"/>
    <x v="1"/>
    <n v="0"/>
    <n v="0"/>
    <n v="0"/>
    <x v="1"/>
    <x v="0"/>
    <n v="0"/>
  </r>
  <r>
    <n v="492978000000000"/>
    <x v="0"/>
    <x v="34"/>
    <x v="0"/>
    <s v="SANTOS DUMONT"/>
    <d v="2016-05-10T00:00:00"/>
    <d v="2016-06-07T00:00:00"/>
    <x v="4"/>
    <x v="64"/>
    <x v="1"/>
    <n v="0"/>
    <x v="0"/>
    <n v="0"/>
    <n v="0"/>
    <n v="0"/>
    <x v="0"/>
    <x v="0"/>
    <n v="0"/>
  </r>
  <r>
    <n v="58896500000000"/>
    <x v="0"/>
    <x v="87"/>
    <x v="1"/>
    <s v="ITARARE"/>
    <d v="2016-05-10T00:00:00"/>
    <d v="2016-05-11T00:00:00"/>
    <x v="1"/>
    <x v="93"/>
    <x v="4"/>
    <n v="0"/>
    <x v="1"/>
    <n v="0"/>
    <n v="0"/>
    <n v="0"/>
    <x v="1"/>
    <x v="0"/>
    <n v="0"/>
  </r>
  <r>
    <n v="2212950000000"/>
    <x v="0"/>
    <x v="11"/>
    <x v="0"/>
    <s v="MATA DA PRAIA"/>
    <d v="2016-05-10T00:00:00"/>
    <d v="2016-06-07T00:00:00"/>
    <x v="4"/>
    <x v="64"/>
    <x v="1"/>
    <n v="0"/>
    <x v="0"/>
    <n v="0"/>
    <n v="0"/>
    <n v="1"/>
    <x v="1"/>
    <x v="0"/>
    <n v="0"/>
  </r>
  <r>
    <n v="425862000000000"/>
    <x v="0"/>
    <x v="54"/>
    <x v="1"/>
    <s v="JARDIM DA PENHA"/>
    <d v="2016-05-10T00:00:00"/>
    <d v="2016-05-24T00:00:00"/>
    <x v="4"/>
    <x v="80"/>
    <x v="2"/>
    <n v="0"/>
    <x v="1"/>
    <n v="0"/>
    <n v="0"/>
    <n v="0"/>
    <x v="0"/>
    <x v="0"/>
    <n v="0"/>
  </r>
  <r>
    <n v="28449900000000"/>
    <x v="0"/>
    <x v="82"/>
    <x v="0"/>
    <s v="ESTRELINHA"/>
    <d v="2016-05-10T00:00:00"/>
    <d v="2016-05-12T00:00:00"/>
    <x v="3"/>
    <x v="91"/>
    <x v="4"/>
    <n v="0"/>
    <x v="0"/>
    <n v="0"/>
    <n v="0"/>
    <n v="0"/>
    <x v="1"/>
    <x v="0"/>
    <n v="0"/>
  </r>
  <r>
    <n v="378572000000"/>
    <x v="0"/>
    <x v="66"/>
    <x v="2"/>
    <s v="SAO BENEDITO"/>
    <d v="2016-05-10T00:00:00"/>
    <d v="2016-05-12T00:00:00"/>
    <x v="3"/>
    <x v="91"/>
    <x v="4"/>
    <n v="0"/>
    <x v="1"/>
    <n v="0"/>
    <n v="0"/>
    <n v="0"/>
    <x v="1"/>
    <x v="0"/>
    <n v="0"/>
  </r>
  <r>
    <n v="318229000000000"/>
    <x v="0"/>
    <x v="93"/>
    <x v="0"/>
    <s v="GURIGICA"/>
    <d v="2016-05-10T00:00:00"/>
    <d v="2016-05-10T00:00:00"/>
    <x v="4"/>
    <x v="94"/>
    <x v="5"/>
    <n v="0"/>
    <x v="0"/>
    <n v="0"/>
    <n v="0"/>
    <n v="0"/>
    <x v="1"/>
    <x v="0"/>
    <n v="0"/>
  </r>
  <r>
    <n v="68545173979"/>
    <x v="1"/>
    <x v="79"/>
    <x v="5"/>
    <s v="SAO CRISTOVAO"/>
    <d v="2016-05-10T00:00:00"/>
    <d v="2016-05-10T00:00:00"/>
    <x v="4"/>
    <x v="94"/>
    <x v="5"/>
    <n v="0"/>
    <x v="1"/>
    <n v="0"/>
    <n v="0"/>
    <n v="0"/>
    <x v="1"/>
    <x v="0"/>
    <n v="0"/>
  </r>
  <r>
    <n v="6166850000000"/>
    <x v="0"/>
    <x v="64"/>
    <x v="3"/>
    <s v="ITARARE"/>
    <d v="2016-05-10T00:00:00"/>
    <d v="2016-05-10T00:00:00"/>
    <x v="4"/>
    <x v="94"/>
    <x v="5"/>
    <n v="0"/>
    <x v="1"/>
    <n v="0"/>
    <n v="0"/>
    <n v="0"/>
    <x v="1"/>
    <x v="0"/>
    <n v="0"/>
  </r>
  <r>
    <n v="224167000000"/>
    <x v="0"/>
    <x v="49"/>
    <x v="4"/>
    <s v="RESISTENCIA"/>
    <d v="2016-05-10T00:00:00"/>
    <d v="2016-05-10T00:00:00"/>
    <x v="4"/>
    <x v="94"/>
    <x v="5"/>
    <n v="1"/>
    <x v="1"/>
    <n v="0"/>
    <n v="0"/>
    <n v="0"/>
    <x v="1"/>
    <x v="0"/>
    <n v="0"/>
  </r>
  <r>
    <n v="221346000000000"/>
    <x v="1"/>
    <x v="80"/>
    <x v="2"/>
    <s v="INHANGUETA"/>
    <d v="2016-05-10T00:00:00"/>
    <d v="2016-05-17T00:00:00"/>
    <x v="4"/>
    <x v="87"/>
    <x v="3"/>
    <n v="0"/>
    <x v="1"/>
    <n v="0"/>
    <n v="0"/>
    <n v="0"/>
    <x v="1"/>
    <x v="0"/>
    <n v="0"/>
  </r>
  <r>
    <n v="61981437155"/>
    <x v="1"/>
    <x v="46"/>
    <x v="2"/>
    <s v="SANTA MARTHA"/>
    <d v="2016-05-10T00:00:00"/>
    <d v="2016-05-17T00:00:00"/>
    <x v="4"/>
    <x v="87"/>
    <x v="3"/>
    <n v="0"/>
    <x v="1"/>
    <n v="0"/>
    <n v="0"/>
    <n v="0"/>
    <x v="1"/>
    <x v="0"/>
    <n v="0"/>
  </r>
  <r>
    <n v="93343500000000"/>
    <x v="0"/>
    <x v="30"/>
    <x v="3"/>
    <s v="JABOUR"/>
    <d v="2016-05-10T00:00:00"/>
    <d v="2016-05-12T00:00:00"/>
    <x v="3"/>
    <x v="91"/>
    <x v="4"/>
    <n v="0"/>
    <x v="1"/>
    <n v="0"/>
    <n v="0"/>
    <n v="0"/>
    <x v="1"/>
    <x v="0"/>
    <n v="0"/>
  </r>
  <r>
    <n v="19314223565"/>
    <x v="0"/>
    <x v="12"/>
    <x v="3"/>
    <s v="JARDIM CAMBURI"/>
    <d v="2016-05-10T00:00:00"/>
    <d v="2016-05-11T00:00:00"/>
    <x v="1"/>
    <x v="93"/>
    <x v="4"/>
    <n v="0"/>
    <x v="1"/>
    <n v="0"/>
    <n v="0"/>
    <n v="0"/>
    <x v="1"/>
    <x v="0"/>
    <n v="0"/>
  </r>
  <r>
    <n v="715794000000"/>
    <x v="1"/>
    <x v="80"/>
    <x v="2"/>
    <s v="JABOUR"/>
    <d v="2016-05-10T00:00:00"/>
    <d v="2016-05-30T00:00:00"/>
    <x v="2"/>
    <x v="76"/>
    <x v="1"/>
    <n v="0"/>
    <x v="1"/>
    <n v="0"/>
    <n v="0"/>
    <n v="0"/>
    <x v="0"/>
    <x v="0"/>
    <n v="0"/>
  </r>
  <r>
    <n v="15366900000000"/>
    <x v="0"/>
    <x v="37"/>
    <x v="3"/>
    <s v="MARIA ORTIZ"/>
    <d v="2016-05-10T00:00:00"/>
    <d v="2016-05-17T00:00:00"/>
    <x v="4"/>
    <x v="87"/>
    <x v="3"/>
    <n v="0"/>
    <x v="0"/>
    <n v="0"/>
    <n v="0"/>
    <n v="0"/>
    <x v="1"/>
    <x v="0"/>
    <n v="0"/>
  </r>
  <r>
    <n v="2266000000000"/>
    <x v="1"/>
    <x v="41"/>
    <x v="4"/>
    <s v="SANTO ANDRE"/>
    <d v="2016-05-10T00:00:00"/>
    <d v="2016-05-12T00:00:00"/>
    <x v="3"/>
    <x v="91"/>
    <x v="4"/>
    <n v="0"/>
    <x v="1"/>
    <n v="0"/>
    <n v="0"/>
    <n v="0"/>
    <x v="1"/>
    <x v="0"/>
    <n v="0"/>
  </r>
  <r>
    <n v="2336120000000"/>
    <x v="0"/>
    <x v="30"/>
    <x v="3"/>
    <s v="ITARARE"/>
    <d v="2016-05-10T00:00:00"/>
    <d v="2016-05-10T00:00:00"/>
    <x v="4"/>
    <x v="94"/>
    <x v="5"/>
    <n v="0"/>
    <x v="0"/>
    <n v="0"/>
    <n v="0"/>
    <n v="0"/>
    <x v="1"/>
    <x v="0"/>
    <n v="0"/>
  </r>
  <r>
    <n v="62166400000000"/>
    <x v="0"/>
    <x v="48"/>
    <x v="3"/>
    <s v="JARDIM CAMBURI"/>
    <d v="2016-05-10T00:00:00"/>
    <d v="2016-05-12T00:00:00"/>
    <x v="3"/>
    <x v="91"/>
    <x v="4"/>
    <n v="0"/>
    <x v="1"/>
    <n v="0"/>
    <n v="0"/>
    <n v="0"/>
    <x v="1"/>
    <x v="1"/>
    <n v="1"/>
  </r>
  <r>
    <n v="32655900000000"/>
    <x v="0"/>
    <x v="29"/>
    <x v="3"/>
    <s v="SAO JOSE"/>
    <d v="2016-05-10T00:00:00"/>
    <d v="2016-05-11T00:00:00"/>
    <x v="1"/>
    <x v="93"/>
    <x v="4"/>
    <n v="0"/>
    <x v="1"/>
    <n v="0"/>
    <n v="0"/>
    <n v="0"/>
    <x v="1"/>
    <x v="0"/>
    <n v="0"/>
  </r>
  <r>
    <n v="8287530000000"/>
    <x v="0"/>
    <x v="15"/>
    <x v="3"/>
    <s v="GURIGICA"/>
    <d v="2016-05-10T00:00:00"/>
    <d v="2016-05-11T00:00:00"/>
    <x v="1"/>
    <x v="93"/>
    <x v="4"/>
    <n v="0"/>
    <x v="0"/>
    <n v="0"/>
    <n v="0"/>
    <n v="0"/>
    <x v="1"/>
    <x v="0"/>
    <n v="0"/>
  </r>
  <r>
    <n v="95553700000000"/>
    <x v="0"/>
    <x v="44"/>
    <x v="4"/>
    <s v="ANDORINHAS"/>
    <d v="2016-05-10T00:00:00"/>
    <d v="2016-05-17T00:00:00"/>
    <x v="4"/>
    <x v="87"/>
    <x v="3"/>
    <n v="0"/>
    <x v="1"/>
    <n v="0"/>
    <n v="0"/>
    <n v="0"/>
    <x v="1"/>
    <x v="0"/>
    <n v="0"/>
  </r>
  <r>
    <n v="37399000000000"/>
    <x v="1"/>
    <x v="79"/>
    <x v="5"/>
    <s v="JARDIM DA PENHA"/>
    <d v="2016-05-10T00:00:00"/>
    <d v="2016-05-10T00:00:00"/>
    <x v="4"/>
    <x v="94"/>
    <x v="5"/>
    <n v="0"/>
    <x v="1"/>
    <n v="0"/>
    <n v="0"/>
    <n v="0"/>
    <x v="1"/>
    <x v="0"/>
    <n v="0"/>
  </r>
  <r>
    <n v="9452750000000"/>
    <x v="1"/>
    <x v="36"/>
    <x v="3"/>
    <s v="JUCUTUQUARA"/>
    <d v="2016-05-10T00:00:00"/>
    <d v="2016-05-10T00:00:00"/>
    <x v="4"/>
    <x v="94"/>
    <x v="5"/>
    <n v="0"/>
    <x v="1"/>
    <n v="0"/>
    <n v="0"/>
    <n v="0"/>
    <x v="1"/>
    <x v="0"/>
    <n v="0"/>
  </r>
  <r>
    <n v="6391290000000"/>
    <x v="1"/>
    <x v="70"/>
    <x v="5"/>
    <s v="SAO CRISTOVAO"/>
    <d v="2016-05-10T00:00:00"/>
    <d v="2016-05-11T00:00:00"/>
    <x v="1"/>
    <x v="93"/>
    <x v="4"/>
    <n v="0"/>
    <x v="1"/>
    <n v="0"/>
    <n v="0"/>
    <n v="0"/>
    <x v="1"/>
    <x v="1"/>
    <n v="1"/>
  </r>
  <r>
    <n v="31925000000000"/>
    <x v="0"/>
    <x v="10"/>
    <x v="4"/>
    <s v="ILHA DE SANTA MARIA"/>
    <d v="2016-05-10T00:00:00"/>
    <d v="2016-05-11T00:00:00"/>
    <x v="1"/>
    <x v="93"/>
    <x v="4"/>
    <n v="0"/>
    <x v="1"/>
    <n v="0"/>
    <n v="0"/>
    <n v="0"/>
    <x v="1"/>
    <x v="1"/>
    <n v="1"/>
  </r>
  <r>
    <n v="43329400000000"/>
    <x v="0"/>
    <x v="11"/>
    <x v="0"/>
    <s v="TABUAZEIRO"/>
    <d v="2016-05-10T00:00:00"/>
    <d v="2016-05-11T00:00:00"/>
    <x v="1"/>
    <x v="93"/>
    <x v="4"/>
    <n v="0"/>
    <x v="1"/>
    <n v="0"/>
    <n v="0"/>
    <n v="0"/>
    <x v="1"/>
    <x v="0"/>
    <n v="0"/>
  </r>
  <r>
    <n v="419965000000000"/>
    <x v="0"/>
    <x v="64"/>
    <x v="3"/>
    <s v="JESUS DE NAZARETH"/>
    <d v="2016-05-10T00:00:00"/>
    <d v="2016-05-12T00:00:00"/>
    <x v="3"/>
    <x v="91"/>
    <x v="4"/>
    <n v="0"/>
    <x v="0"/>
    <n v="1"/>
    <n v="0"/>
    <n v="0"/>
    <x v="1"/>
    <x v="1"/>
    <n v="1"/>
  </r>
  <r>
    <n v="769336000000000"/>
    <x v="0"/>
    <x v="52"/>
    <x v="2"/>
    <s v="BELA VISTA"/>
    <d v="2016-05-10T00:00:00"/>
    <d v="2016-05-10T00:00:00"/>
    <x v="4"/>
    <x v="94"/>
    <x v="5"/>
    <n v="0"/>
    <x v="1"/>
    <n v="0"/>
    <n v="0"/>
    <n v="0"/>
    <x v="1"/>
    <x v="0"/>
    <n v="0"/>
  </r>
  <r>
    <n v="79385681333"/>
    <x v="1"/>
    <x v="34"/>
    <x v="0"/>
    <s v="JUCUTUQUARA"/>
    <d v="2016-05-10T00:00:00"/>
    <d v="2016-05-12T00:00:00"/>
    <x v="3"/>
    <x v="91"/>
    <x v="4"/>
    <n v="0"/>
    <x v="1"/>
    <n v="0"/>
    <n v="0"/>
    <n v="0"/>
    <x v="1"/>
    <x v="0"/>
    <n v="0"/>
  </r>
  <r>
    <n v="51941400000000"/>
    <x v="0"/>
    <x v="20"/>
    <x v="0"/>
    <s v="FONTE GRANDE"/>
    <d v="2016-05-10T00:00:00"/>
    <d v="2016-05-12T00:00:00"/>
    <x v="3"/>
    <x v="91"/>
    <x v="4"/>
    <n v="0"/>
    <x v="0"/>
    <n v="0"/>
    <n v="0"/>
    <n v="0"/>
    <x v="1"/>
    <x v="0"/>
    <n v="0"/>
  </r>
  <r>
    <n v="27517800000000"/>
    <x v="1"/>
    <x v="12"/>
    <x v="3"/>
    <s v="RESISTENCIA"/>
    <d v="2016-05-10T00:00:00"/>
    <d v="2016-05-10T00:00:00"/>
    <x v="4"/>
    <x v="94"/>
    <x v="5"/>
    <n v="0"/>
    <x v="0"/>
    <n v="0"/>
    <n v="0"/>
    <n v="0"/>
    <x v="1"/>
    <x v="0"/>
    <n v="0"/>
  </r>
  <r>
    <n v="55715600000000"/>
    <x v="0"/>
    <x v="22"/>
    <x v="4"/>
    <s v="COMDUSA"/>
    <d v="2016-05-10T00:00:00"/>
    <d v="2016-05-17T00:00:00"/>
    <x v="4"/>
    <x v="87"/>
    <x v="3"/>
    <n v="1"/>
    <x v="1"/>
    <n v="0"/>
    <n v="0"/>
    <n v="0"/>
    <x v="1"/>
    <x v="1"/>
    <n v="1"/>
  </r>
  <r>
    <n v="55739700000000"/>
    <x v="0"/>
    <x v="28"/>
    <x v="3"/>
    <s v="PRAIA DO SUA"/>
    <d v="2016-05-10T00:00:00"/>
    <d v="2016-05-17T00:00:00"/>
    <x v="4"/>
    <x v="87"/>
    <x v="3"/>
    <n v="0"/>
    <x v="1"/>
    <n v="0"/>
    <n v="0"/>
    <n v="0"/>
    <x v="1"/>
    <x v="0"/>
    <n v="0"/>
  </r>
  <r>
    <n v="728578000000000"/>
    <x v="0"/>
    <x v="59"/>
    <x v="2"/>
    <s v="GRANDE VITORIA"/>
    <d v="2016-05-10T00:00:00"/>
    <d v="2016-05-19T00:00:00"/>
    <x v="3"/>
    <x v="85"/>
    <x v="2"/>
    <n v="0"/>
    <x v="1"/>
    <n v="0"/>
    <n v="0"/>
    <n v="0"/>
    <x v="1"/>
    <x v="0"/>
    <n v="0"/>
  </r>
  <r>
    <n v="4395340000000"/>
    <x v="0"/>
    <x v="81"/>
    <x v="5"/>
    <s v="GURIGICA"/>
    <d v="2016-05-10T00:00:00"/>
    <d v="2016-05-10T00:00:00"/>
    <x v="4"/>
    <x v="94"/>
    <x v="5"/>
    <n v="0"/>
    <x v="1"/>
    <n v="0"/>
    <n v="0"/>
    <n v="0"/>
    <x v="1"/>
    <x v="0"/>
    <n v="0"/>
  </r>
  <r>
    <n v="6153300000000"/>
    <x v="0"/>
    <x v="77"/>
    <x v="4"/>
    <s v="FORTE SAO JOAO"/>
    <d v="2016-05-10T00:00:00"/>
    <d v="2016-05-11T00:00:00"/>
    <x v="1"/>
    <x v="93"/>
    <x v="4"/>
    <n v="0"/>
    <x v="1"/>
    <n v="0"/>
    <n v="0"/>
    <n v="0"/>
    <x v="1"/>
    <x v="0"/>
    <n v="0"/>
  </r>
  <r>
    <n v="2558150000000"/>
    <x v="0"/>
    <x v="17"/>
    <x v="4"/>
    <s v="SANTOS REIS"/>
    <d v="2016-05-10T00:00:00"/>
    <d v="2016-05-16T00:00:00"/>
    <x v="2"/>
    <x v="90"/>
    <x v="3"/>
    <n v="1"/>
    <x v="1"/>
    <n v="0"/>
    <n v="0"/>
    <n v="0"/>
    <x v="1"/>
    <x v="0"/>
    <n v="0"/>
  </r>
  <r>
    <n v="616128000000000"/>
    <x v="1"/>
    <x v="59"/>
    <x v="2"/>
    <s v="SANTOS DUMONT"/>
    <d v="2016-05-10T00:00:00"/>
    <d v="2016-05-10T00:00:00"/>
    <x v="4"/>
    <x v="94"/>
    <x v="5"/>
    <n v="1"/>
    <x v="1"/>
    <n v="0"/>
    <n v="0"/>
    <n v="0"/>
    <x v="1"/>
    <x v="0"/>
    <n v="0"/>
  </r>
  <r>
    <n v="9142370000000"/>
    <x v="0"/>
    <x v="34"/>
    <x v="0"/>
    <s v="BELA VISTA"/>
    <d v="2016-05-10T00:00:00"/>
    <d v="2016-05-10T00:00:00"/>
    <x v="4"/>
    <x v="94"/>
    <x v="5"/>
    <n v="0"/>
    <x v="1"/>
    <n v="0"/>
    <n v="0"/>
    <n v="0"/>
    <x v="1"/>
    <x v="0"/>
    <n v="0"/>
  </r>
  <r>
    <n v="29884800000000"/>
    <x v="0"/>
    <x v="14"/>
    <x v="3"/>
    <s v="SANTOS DUMONT"/>
    <d v="2016-05-10T00:00:00"/>
    <d v="2016-05-12T00:00:00"/>
    <x v="3"/>
    <x v="91"/>
    <x v="4"/>
    <n v="0"/>
    <x v="1"/>
    <n v="0"/>
    <n v="0"/>
    <n v="0"/>
    <x v="1"/>
    <x v="0"/>
    <n v="0"/>
  </r>
  <r>
    <n v="41215200000000"/>
    <x v="0"/>
    <x v="37"/>
    <x v="3"/>
    <s v="REDENCAO"/>
    <d v="2016-05-10T00:00:00"/>
    <d v="2016-05-16T00:00:00"/>
    <x v="2"/>
    <x v="90"/>
    <x v="3"/>
    <n v="0"/>
    <x v="1"/>
    <n v="1"/>
    <n v="0"/>
    <n v="0"/>
    <x v="1"/>
    <x v="1"/>
    <n v="1"/>
  </r>
  <r>
    <n v="2232920000000"/>
    <x v="0"/>
    <x v="18"/>
    <x v="0"/>
    <s v="ANDORINHAS"/>
    <d v="2016-05-10T00:00:00"/>
    <d v="2016-05-11T00:00:00"/>
    <x v="1"/>
    <x v="93"/>
    <x v="4"/>
    <n v="0"/>
    <x v="0"/>
    <n v="1"/>
    <n v="0"/>
    <n v="0"/>
    <x v="1"/>
    <x v="0"/>
    <n v="0"/>
  </r>
  <r>
    <n v="917324000000000"/>
    <x v="0"/>
    <x v="10"/>
    <x v="4"/>
    <s v="SANTO ANDRE"/>
    <d v="2016-05-10T00:00:00"/>
    <d v="2016-05-17T00:00:00"/>
    <x v="4"/>
    <x v="87"/>
    <x v="3"/>
    <n v="0"/>
    <x v="1"/>
    <n v="0"/>
    <n v="0"/>
    <n v="0"/>
    <x v="1"/>
    <x v="0"/>
    <n v="0"/>
  </r>
  <r>
    <n v="494889000000"/>
    <x v="0"/>
    <x v="7"/>
    <x v="3"/>
    <s v="PRAIA DO CANTO"/>
    <d v="2016-05-10T00:00:00"/>
    <d v="2016-05-10T00:00:00"/>
    <x v="4"/>
    <x v="94"/>
    <x v="5"/>
    <n v="0"/>
    <x v="1"/>
    <n v="0"/>
    <n v="0"/>
    <n v="0"/>
    <x v="1"/>
    <x v="0"/>
    <n v="0"/>
  </r>
  <r>
    <n v="2643320000000"/>
    <x v="0"/>
    <x v="56"/>
    <x v="1"/>
    <s v="TABUAZEIRO"/>
    <d v="2016-05-10T00:00:00"/>
    <d v="2016-05-12T00:00:00"/>
    <x v="3"/>
    <x v="91"/>
    <x v="4"/>
    <n v="1"/>
    <x v="1"/>
    <n v="0"/>
    <n v="0"/>
    <n v="1"/>
    <x v="1"/>
    <x v="1"/>
    <n v="1"/>
  </r>
  <r>
    <n v="74752200000000"/>
    <x v="0"/>
    <x v="84"/>
    <x v="1"/>
    <s v="PRAIA DO SUA"/>
    <d v="2016-05-10T00:00:00"/>
    <d v="2016-05-11T00:00:00"/>
    <x v="1"/>
    <x v="93"/>
    <x v="4"/>
    <n v="0"/>
    <x v="1"/>
    <n v="0"/>
    <n v="0"/>
    <n v="0"/>
    <x v="1"/>
    <x v="0"/>
    <n v="0"/>
  </r>
  <r>
    <n v="456299000000000"/>
    <x v="0"/>
    <x v="33"/>
    <x v="4"/>
    <s v="BELA VISTA"/>
    <d v="2016-05-10T00:00:00"/>
    <d v="2016-06-07T00:00:00"/>
    <x v="4"/>
    <x v="64"/>
    <x v="1"/>
    <n v="1"/>
    <x v="0"/>
    <n v="0"/>
    <n v="0"/>
    <n v="0"/>
    <x v="0"/>
    <x v="0"/>
    <n v="0"/>
  </r>
  <r>
    <n v="81126200000000"/>
    <x v="0"/>
    <x v="14"/>
    <x v="3"/>
    <s v="SAO CRISTOVAO"/>
    <d v="2016-05-10T00:00:00"/>
    <d v="2016-05-10T00:00:00"/>
    <x v="4"/>
    <x v="94"/>
    <x v="5"/>
    <n v="0"/>
    <x v="0"/>
    <n v="0"/>
    <n v="0"/>
    <n v="0"/>
    <x v="1"/>
    <x v="0"/>
    <n v="0"/>
  </r>
  <r>
    <n v="1752250000000"/>
    <x v="0"/>
    <x v="10"/>
    <x v="4"/>
    <s v="MARUIPE"/>
    <d v="2016-05-10T00:00:00"/>
    <d v="2016-06-07T00:00:00"/>
    <x v="4"/>
    <x v="64"/>
    <x v="1"/>
    <n v="0"/>
    <x v="1"/>
    <n v="0"/>
    <n v="0"/>
    <n v="0"/>
    <x v="0"/>
    <x v="1"/>
    <n v="1"/>
  </r>
  <r>
    <n v="89862800000000"/>
    <x v="0"/>
    <x v="46"/>
    <x v="2"/>
    <s v="MARIA ORTIZ"/>
    <d v="2016-05-10T00:00:00"/>
    <d v="2016-05-24T00:00:00"/>
    <x v="4"/>
    <x v="80"/>
    <x v="2"/>
    <n v="0"/>
    <x v="1"/>
    <n v="0"/>
    <n v="0"/>
    <n v="0"/>
    <x v="0"/>
    <x v="0"/>
    <n v="0"/>
  </r>
  <r>
    <n v="8869440000000"/>
    <x v="0"/>
    <x v="62"/>
    <x v="3"/>
    <s v="CONSOLACAO"/>
    <d v="2016-05-10T00:00:00"/>
    <d v="2016-05-10T00:00:00"/>
    <x v="4"/>
    <x v="94"/>
    <x v="5"/>
    <n v="0"/>
    <x v="1"/>
    <n v="0"/>
    <n v="0"/>
    <n v="0"/>
    <x v="1"/>
    <x v="0"/>
    <n v="0"/>
  </r>
  <r>
    <n v="115573000000"/>
    <x v="1"/>
    <x v="81"/>
    <x v="5"/>
    <s v="JARDIM CAMBURI"/>
    <d v="2016-05-10T00:00:00"/>
    <d v="2016-05-17T00:00:00"/>
    <x v="4"/>
    <x v="87"/>
    <x v="3"/>
    <n v="0"/>
    <x v="1"/>
    <n v="0"/>
    <n v="0"/>
    <n v="0"/>
    <x v="1"/>
    <x v="0"/>
    <n v="0"/>
  </r>
  <r>
    <n v="86547900000000"/>
    <x v="1"/>
    <x v="95"/>
    <x v="0"/>
    <s v="CENTRO"/>
    <d v="2016-05-10T00:00:00"/>
    <d v="2016-05-10T00:00:00"/>
    <x v="4"/>
    <x v="94"/>
    <x v="5"/>
    <n v="0"/>
    <x v="0"/>
    <n v="0"/>
    <n v="0"/>
    <n v="0"/>
    <x v="1"/>
    <x v="0"/>
    <n v="0"/>
  </r>
  <r>
    <n v="1398650000000"/>
    <x v="0"/>
    <x v="41"/>
    <x v="4"/>
    <s v="MONTE BELO"/>
    <d v="2016-05-10T00:00:00"/>
    <d v="2016-05-13T00:00:00"/>
    <x v="0"/>
    <x v="89"/>
    <x v="4"/>
    <n v="0"/>
    <x v="1"/>
    <n v="0"/>
    <n v="0"/>
    <n v="0"/>
    <x v="1"/>
    <x v="1"/>
    <n v="1"/>
  </r>
  <r>
    <n v="946268000000000"/>
    <x v="0"/>
    <x v="31"/>
    <x v="1"/>
    <s v="TABUAZEIRO"/>
    <d v="2016-05-10T00:00:00"/>
    <d v="2016-05-10T00:00:00"/>
    <x v="4"/>
    <x v="94"/>
    <x v="5"/>
    <n v="0"/>
    <x v="1"/>
    <n v="0"/>
    <n v="0"/>
    <n v="0"/>
    <x v="1"/>
    <x v="0"/>
    <n v="0"/>
  </r>
  <r>
    <n v="539542000000"/>
    <x v="0"/>
    <x v="61"/>
    <x v="1"/>
    <s v="ROMAO"/>
    <d v="2016-05-10T00:00:00"/>
    <d v="2016-05-12T00:00:00"/>
    <x v="3"/>
    <x v="91"/>
    <x v="4"/>
    <n v="0"/>
    <x v="1"/>
    <n v="0"/>
    <n v="0"/>
    <n v="0"/>
    <x v="1"/>
    <x v="0"/>
    <n v="0"/>
  </r>
  <r>
    <n v="67254200000000"/>
    <x v="1"/>
    <x v="52"/>
    <x v="2"/>
    <s v="SANTA MARTHA"/>
    <d v="2016-05-10T00:00:00"/>
    <d v="2016-05-17T00:00:00"/>
    <x v="4"/>
    <x v="87"/>
    <x v="3"/>
    <n v="0"/>
    <x v="1"/>
    <n v="0"/>
    <n v="0"/>
    <n v="0"/>
    <x v="1"/>
    <x v="0"/>
    <n v="0"/>
  </r>
  <r>
    <n v="86991800000000"/>
    <x v="0"/>
    <x v="87"/>
    <x v="1"/>
    <s v="UNIVERSITARIO"/>
    <d v="2016-05-10T00:00:00"/>
    <d v="2016-06-02T00:00:00"/>
    <x v="3"/>
    <x v="67"/>
    <x v="1"/>
    <n v="0"/>
    <x v="1"/>
    <n v="1"/>
    <n v="0"/>
    <n v="0"/>
    <x v="0"/>
    <x v="0"/>
    <n v="0"/>
  </r>
  <r>
    <n v="993999000000000"/>
    <x v="0"/>
    <x v="31"/>
    <x v="1"/>
    <s v="MARIA ORTIZ"/>
    <d v="2016-05-10T00:00:00"/>
    <d v="2016-05-10T00:00:00"/>
    <x v="4"/>
    <x v="94"/>
    <x v="5"/>
    <n v="1"/>
    <x v="0"/>
    <n v="0"/>
    <n v="1"/>
    <n v="0"/>
    <x v="1"/>
    <x v="0"/>
    <n v="0"/>
  </r>
  <r>
    <n v="211513000000000"/>
    <x v="0"/>
    <x v="46"/>
    <x v="2"/>
    <s v="JARDIM CAMBURI"/>
    <d v="2016-05-10T00:00:00"/>
    <d v="2016-05-10T00:00:00"/>
    <x v="4"/>
    <x v="94"/>
    <x v="5"/>
    <n v="0"/>
    <x v="1"/>
    <n v="0"/>
    <n v="0"/>
    <n v="0"/>
    <x v="1"/>
    <x v="0"/>
    <n v="0"/>
  </r>
  <r>
    <n v="78344200000000"/>
    <x v="1"/>
    <x v="10"/>
    <x v="4"/>
    <s v="SANTO ANTONIO"/>
    <d v="2016-05-10T00:00:00"/>
    <d v="2016-05-18T00:00:00"/>
    <x v="1"/>
    <x v="88"/>
    <x v="2"/>
    <n v="0"/>
    <x v="1"/>
    <n v="0"/>
    <n v="0"/>
    <n v="0"/>
    <x v="1"/>
    <x v="1"/>
    <n v="1"/>
  </r>
  <r>
    <n v="47122500000000"/>
    <x v="0"/>
    <x v="41"/>
    <x v="4"/>
    <s v="DA PENHA"/>
    <d v="2016-05-10T00:00:00"/>
    <d v="2016-05-10T00:00:00"/>
    <x v="4"/>
    <x v="94"/>
    <x v="5"/>
    <n v="0"/>
    <x v="1"/>
    <n v="0"/>
    <n v="0"/>
    <n v="0"/>
    <x v="1"/>
    <x v="0"/>
    <n v="0"/>
  </r>
  <r>
    <n v="31644100000000"/>
    <x v="0"/>
    <x v="7"/>
    <x v="3"/>
    <s v="DO QUADRO"/>
    <d v="2016-05-10T00:00:00"/>
    <d v="2016-05-19T00:00:00"/>
    <x v="3"/>
    <x v="85"/>
    <x v="2"/>
    <n v="0"/>
    <x v="0"/>
    <n v="0"/>
    <n v="0"/>
    <n v="0"/>
    <x v="1"/>
    <x v="0"/>
    <n v="0"/>
  </r>
  <r>
    <n v="8247350000000"/>
    <x v="0"/>
    <x v="41"/>
    <x v="4"/>
    <s v="JESUS DE NAZARETH"/>
    <d v="2016-05-10T00:00:00"/>
    <d v="2016-05-10T00:00:00"/>
    <x v="4"/>
    <x v="94"/>
    <x v="5"/>
    <n v="0"/>
    <x v="1"/>
    <n v="0"/>
    <n v="0"/>
    <n v="0"/>
    <x v="1"/>
    <x v="0"/>
    <n v="0"/>
  </r>
  <r>
    <n v="792817000000000"/>
    <x v="1"/>
    <x v="79"/>
    <x v="5"/>
    <s v="ANDORINHAS"/>
    <d v="2016-05-10T00:00:00"/>
    <d v="2016-05-13T00:00:00"/>
    <x v="0"/>
    <x v="89"/>
    <x v="4"/>
    <n v="0"/>
    <x v="1"/>
    <n v="0"/>
    <n v="0"/>
    <n v="0"/>
    <x v="1"/>
    <x v="0"/>
    <n v="0"/>
  </r>
  <r>
    <n v="92487000000000"/>
    <x v="0"/>
    <x v="31"/>
    <x v="1"/>
    <s v="SANTO ANTONIO"/>
    <d v="2016-05-10T00:00:00"/>
    <d v="2016-05-17T00:00:00"/>
    <x v="4"/>
    <x v="87"/>
    <x v="3"/>
    <n v="1"/>
    <x v="1"/>
    <n v="0"/>
    <n v="0"/>
    <n v="0"/>
    <x v="1"/>
    <x v="1"/>
    <n v="1"/>
  </r>
  <r>
    <n v="342756000000000"/>
    <x v="0"/>
    <x v="71"/>
    <x v="4"/>
    <s v="GOIABEIRAS"/>
    <d v="2016-05-10T00:00:00"/>
    <d v="2016-05-10T00:00:00"/>
    <x v="4"/>
    <x v="94"/>
    <x v="5"/>
    <n v="0"/>
    <x v="1"/>
    <n v="0"/>
    <n v="0"/>
    <n v="0"/>
    <x v="1"/>
    <x v="0"/>
    <n v="0"/>
  </r>
  <r>
    <n v="37283100000000"/>
    <x v="0"/>
    <x v="5"/>
    <x v="1"/>
    <s v="ANDORINHAS"/>
    <d v="2016-05-10T00:00:00"/>
    <d v="2016-05-17T00:00:00"/>
    <x v="4"/>
    <x v="87"/>
    <x v="3"/>
    <n v="0"/>
    <x v="1"/>
    <n v="0"/>
    <n v="0"/>
    <n v="0"/>
    <x v="1"/>
    <x v="0"/>
    <n v="0"/>
  </r>
  <r>
    <n v="8265590000000"/>
    <x v="0"/>
    <x v="42"/>
    <x v="3"/>
    <s v="JARDIM DA PENHA"/>
    <d v="2016-05-10T00:00:00"/>
    <d v="2016-06-08T00:00:00"/>
    <x v="1"/>
    <x v="63"/>
    <x v="1"/>
    <n v="0"/>
    <x v="1"/>
    <n v="0"/>
    <n v="0"/>
    <n v="0"/>
    <x v="0"/>
    <x v="0"/>
    <n v="0"/>
  </r>
  <r>
    <n v="721166000000"/>
    <x v="0"/>
    <x v="54"/>
    <x v="1"/>
    <s v="VILA RUBIM"/>
    <d v="2016-05-10T00:00:00"/>
    <d v="2016-06-08T00:00:00"/>
    <x v="1"/>
    <x v="63"/>
    <x v="1"/>
    <n v="0"/>
    <x v="1"/>
    <n v="0"/>
    <n v="0"/>
    <n v="0"/>
    <x v="0"/>
    <x v="0"/>
    <n v="0"/>
  </r>
  <r>
    <n v="27712200000000"/>
    <x v="1"/>
    <x v="24"/>
    <x v="1"/>
    <s v="BONFIM"/>
    <d v="2016-05-10T00:00:00"/>
    <d v="2016-06-07T00:00:00"/>
    <x v="4"/>
    <x v="64"/>
    <x v="1"/>
    <n v="0"/>
    <x v="1"/>
    <n v="1"/>
    <n v="0"/>
    <n v="0"/>
    <x v="0"/>
    <x v="0"/>
    <n v="0"/>
  </r>
  <r>
    <n v="4229140000000"/>
    <x v="0"/>
    <x v="95"/>
    <x v="0"/>
    <s v="SANTA MARTHA"/>
    <d v="2016-05-10T00:00:00"/>
    <d v="2016-05-11T00:00:00"/>
    <x v="1"/>
    <x v="93"/>
    <x v="4"/>
    <n v="0"/>
    <x v="0"/>
    <n v="0"/>
    <n v="0"/>
    <n v="0"/>
    <x v="1"/>
    <x v="0"/>
    <n v="0"/>
  </r>
  <r>
    <n v="6656920000000"/>
    <x v="0"/>
    <x v="4"/>
    <x v="2"/>
    <s v="ILHA DO PRINCIPE"/>
    <d v="2016-05-10T00:00:00"/>
    <d v="2016-05-10T00:00:00"/>
    <x v="4"/>
    <x v="94"/>
    <x v="5"/>
    <n v="0"/>
    <x v="1"/>
    <n v="0"/>
    <n v="0"/>
    <n v="0"/>
    <x v="1"/>
    <x v="0"/>
    <n v="0"/>
  </r>
  <r>
    <n v="592153000000000"/>
    <x v="0"/>
    <x v="85"/>
    <x v="0"/>
    <s v="DO CABRAL"/>
    <d v="2016-05-10T00:00:00"/>
    <d v="2016-05-10T00:00:00"/>
    <x v="4"/>
    <x v="94"/>
    <x v="5"/>
    <n v="0"/>
    <x v="1"/>
    <n v="0"/>
    <n v="0"/>
    <n v="0"/>
    <x v="1"/>
    <x v="0"/>
    <n v="0"/>
  </r>
  <r>
    <n v="7454890000000"/>
    <x v="0"/>
    <x v="55"/>
    <x v="2"/>
    <s v="SANTA CLARA"/>
    <d v="2016-05-10T00:00:00"/>
    <d v="2016-05-18T00:00:00"/>
    <x v="1"/>
    <x v="88"/>
    <x v="2"/>
    <n v="0"/>
    <x v="1"/>
    <n v="0"/>
    <n v="0"/>
    <n v="0"/>
    <x v="1"/>
    <x v="1"/>
    <n v="1"/>
  </r>
  <r>
    <n v="241669000000000"/>
    <x v="1"/>
    <x v="33"/>
    <x v="4"/>
    <s v="SOLON BORGES"/>
    <d v="2016-05-10T00:00:00"/>
    <d v="2016-05-24T00:00:00"/>
    <x v="4"/>
    <x v="80"/>
    <x v="2"/>
    <n v="0"/>
    <x v="1"/>
    <n v="0"/>
    <n v="0"/>
    <n v="0"/>
    <x v="0"/>
    <x v="0"/>
    <n v="0"/>
  </r>
  <r>
    <n v="117461000000"/>
    <x v="0"/>
    <x v="64"/>
    <x v="3"/>
    <s v="FORTE SAO JOAO"/>
    <d v="2016-05-10T00:00:00"/>
    <d v="2016-05-12T00:00:00"/>
    <x v="3"/>
    <x v="91"/>
    <x v="4"/>
    <n v="0"/>
    <x v="0"/>
    <n v="1"/>
    <n v="0"/>
    <n v="0"/>
    <x v="1"/>
    <x v="0"/>
    <n v="0"/>
  </r>
  <r>
    <n v="57271900000000"/>
    <x v="0"/>
    <x v="46"/>
    <x v="2"/>
    <s v="CONSOLACAO"/>
    <d v="2016-05-10T00:00:00"/>
    <d v="2016-05-18T00:00:00"/>
    <x v="1"/>
    <x v="88"/>
    <x v="2"/>
    <n v="0"/>
    <x v="1"/>
    <n v="0"/>
    <n v="0"/>
    <n v="0"/>
    <x v="1"/>
    <x v="1"/>
    <n v="1"/>
  </r>
  <r>
    <n v="383548000000"/>
    <x v="1"/>
    <x v="21"/>
    <x v="1"/>
    <s v="SANTO ANDRE"/>
    <d v="2016-05-10T00:00:00"/>
    <d v="2016-05-18T00:00:00"/>
    <x v="1"/>
    <x v="88"/>
    <x v="2"/>
    <n v="0"/>
    <x v="1"/>
    <n v="0"/>
    <n v="0"/>
    <n v="0"/>
    <x v="1"/>
    <x v="0"/>
    <n v="0"/>
  </r>
  <r>
    <n v="463578000000000"/>
    <x v="0"/>
    <x v="39"/>
    <x v="4"/>
    <s v="BARRO VERMELHO"/>
    <d v="2016-05-10T00:00:00"/>
    <d v="2016-05-10T00:00:00"/>
    <x v="4"/>
    <x v="94"/>
    <x v="5"/>
    <n v="0"/>
    <x v="1"/>
    <n v="0"/>
    <n v="0"/>
    <n v="0"/>
    <x v="1"/>
    <x v="0"/>
    <n v="0"/>
  </r>
  <r>
    <n v="221415000000000"/>
    <x v="1"/>
    <x v="51"/>
    <x v="2"/>
    <s v="MARIA ORTIZ"/>
    <d v="2016-05-10T00:00:00"/>
    <d v="2016-06-07T00:00:00"/>
    <x v="4"/>
    <x v="64"/>
    <x v="1"/>
    <n v="0"/>
    <x v="1"/>
    <n v="0"/>
    <n v="0"/>
    <n v="0"/>
    <x v="0"/>
    <x v="0"/>
    <n v="0"/>
  </r>
  <r>
    <n v="752289000000000"/>
    <x v="1"/>
    <x v="38"/>
    <x v="4"/>
    <s v="ILHA DO FRADE"/>
    <d v="2016-05-10T00:00:00"/>
    <d v="2016-05-17T00:00:00"/>
    <x v="4"/>
    <x v="87"/>
    <x v="3"/>
    <n v="0"/>
    <x v="1"/>
    <n v="0"/>
    <n v="0"/>
    <n v="0"/>
    <x v="1"/>
    <x v="0"/>
    <n v="0"/>
  </r>
  <r>
    <n v="9452750000000"/>
    <x v="1"/>
    <x v="36"/>
    <x v="3"/>
    <s v="JUCUTUQUARA"/>
    <d v="2016-05-10T00:00:00"/>
    <d v="2016-05-10T00:00:00"/>
    <x v="4"/>
    <x v="94"/>
    <x v="5"/>
    <n v="0"/>
    <x v="1"/>
    <n v="0"/>
    <n v="0"/>
    <n v="0"/>
    <x v="1"/>
    <x v="0"/>
    <n v="0"/>
  </r>
  <r>
    <n v="572328000000"/>
    <x v="0"/>
    <x v="64"/>
    <x v="3"/>
    <s v="ROMAO"/>
    <d v="2016-05-10T00:00:00"/>
    <d v="2016-05-19T00:00:00"/>
    <x v="3"/>
    <x v="85"/>
    <x v="2"/>
    <n v="0"/>
    <x v="0"/>
    <n v="0"/>
    <n v="0"/>
    <n v="0"/>
    <x v="1"/>
    <x v="0"/>
    <n v="0"/>
  </r>
  <r>
    <n v="826482000000000"/>
    <x v="0"/>
    <x v="71"/>
    <x v="4"/>
    <s v="ILHA DE SANTA MARIA"/>
    <d v="2016-05-10T00:00:00"/>
    <d v="2016-05-17T00:00:00"/>
    <x v="4"/>
    <x v="87"/>
    <x v="3"/>
    <n v="0"/>
    <x v="1"/>
    <n v="0"/>
    <n v="0"/>
    <n v="0"/>
    <x v="1"/>
    <x v="0"/>
    <n v="0"/>
  </r>
  <r>
    <n v="6232650000000"/>
    <x v="0"/>
    <x v="15"/>
    <x v="3"/>
    <s v="SANTA TEREZA"/>
    <d v="2016-05-10T00:00:00"/>
    <d v="2016-05-11T00:00:00"/>
    <x v="1"/>
    <x v="93"/>
    <x v="4"/>
    <n v="0"/>
    <x v="0"/>
    <n v="0"/>
    <n v="0"/>
    <n v="0"/>
    <x v="1"/>
    <x v="1"/>
    <n v="1"/>
  </r>
  <r>
    <n v="9525450000000"/>
    <x v="1"/>
    <x v="92"/>
    <x v="0"/>
    <s v="SANTA TEREZA"/>
    <d v="2016-05-10T00:00:00"/>
    <d v="2016-05-10T00:00:00"/>
    <x v="4"/>
    <x v="94"/>
    <x v="5"/>
    <n v="0"/>
    <x v="0"/>
    <n v="1"/>
    <n v="0"/>
    <n v="1"/>
    <x v="1"/>
    <x v="0"/>
    <n v="0"/>
  </r>
  <r>
    <n v="22589300000000"/>
    <x v="1"/>
    <x v="60"/>
    <x v="2"/>
    <s v="SANTO ANTONIO"/>
    <d v="2016-05-10T00:00:00"/>
    <d v="2016-06-06T00:00:00"/>
    <x v="2"/>
    <x v="65"/>
    <x v="1"/>
    <n v="0"/>
    <x v="1"/>
    <n v="0"/>
    <n v="0"/>
    <n v="0"/>
    <x v="0"/>
    <x v="0"/>
    <n v="0"/>
  </r>
  <r>
    <n v="76687800000000"/>
    <x v="1"/>
    <x v="29"/>
    <x v="3"/>
    <s v="CENTRO"/>
    <d v="2016-05-10T00:00:00"/>
    <d v="2016-05-17T00:00:00"/>
    <x v="4"/>
    <x v="87"/>
    <x v="3"/>
    <n v="0"/>
    <x v="1"/>
    <n v="0"/>
    <n v="0"/>
    <n v="0"/>
    <x v="1"/>
    <x v="0"/>
    <n v="0"/>
  </r>
  <r>
    <n v="856436000000000"/>
    <x v="0"/>
    <x v="40"/>
    <x v="1"/>
    <s v="JOANA D ARC"/>
    <d v="2016-05-10T00:00:00"/>
    <d v="2016-05-10T00:00:00"/>
    <x v="4"/>
    <x v="94"/>
    <x v="5"/>
    <n v="0"/>
    <x v="1"/>
    <n v="0"/>
    <n v="0"/>
    <n v="0"/>
    <x v="1"/>
    <x v="0"/>
    <n v="0"/>
  </r>
  <r>
    <n v="1463530000000"/>
    <x v="0"/>
    <x v="77"/>
    <x v="4"/>
    <s v="SAO JOSE"/>
    <d v="2016-05-10T00:00:00"/>
    <d v="2016-05-18T00:00:00"/>
    <x v="1"/>
    <x v="88"/>
    <x v="2"/>
    <n v="0"/>
    <x v="1"/>
    <n v="0"/>
    <n v="0"/>
    <n v="0"/>
    <x v="1"/>
    <x v="1"/>
    <n v="1"/>
  </r>
  <r>
    <n v="38379600000000"/>
    <x v="0"/>
    <x v="44"/>
    <x v="4"/>
    <s v="SAO JOSE"/>
    <d v="2016-05-10T00:00:00"/>
    <d v="2016-05-20T00:00:00"/>
    <x v="0"/>
    <x v="83"/>
    <x v="2"/>
    <n v="0"/>
    <x v="1"/>
    <n v="0"/>
    <n v="0"/>
    <n v="0"/>
    <x v="1"/>
    <x v="0"/>
    <n v="0"/>
  </r>
  <r>
    <n v="6166850000000"/>
    <x v="0"/>
    <x v="64"/>
    <x v="3"/>
    <s v="ITARARE"/>
    <d v="2016-05-10T00:00:00"/>
    <d v="2016-05-13T00:00:00"/>
    <x v="0"/>
    <x v="89"/>
    <x v="4"/>
    <n v="0"/>
    <x v="1"/>
    <n v="0"/>
    <n v="0"/>
    <n v="0"/>
    <x v="1"/>
    <x v="0"/>
    <n v="0"/>
  </r>
  <r>
    <n v="35546534361"/>
    <x v="0"/>
    <x v="36"/>
    <x v="3"/>
    <s v="JARDIM CAMBURI"/>
    <d v="2016-05-10T00:00:00"/>
    <d v="2016-06-06T00:00:00"/>
    <x v="2"/>
    <x v="65"/>
    <x v="1"/>
    <n v="0"/>
    <x v="1"/>
    <n v="0"/>
    <n v="0"/>
    <n v="0"/>
    <x v="0"/>
    <x v="0"/>
    <n v="0"/>
  </r>
  <r>
    <n v="12652288542"/>
    <x v="1"/>
    <x v="37"/>
    <x v="3"/>
    <s v="JARDIM CAMBURI"/>
    <d v="2016-05-10T00:00:00"/>
    <d v="2016-05-12T00:00:00"/>
    <x v="3"/>
    <x v="91"/>
    <x v="4"/>
    <n v="0"/>
    <x v="0"/>
    <n v="0"/>
    <n v="0"/>
    <n v="0"/>
    <x v="1"/>
    <x v="0"/>
    <n v="0"/>
  </r>
  <r>
    <n v="5211280000000"/>
    <x v="0"/>
    <x v="17"/>
    <x v="4"/>
    <s v="MONTE BELO"/>
    <d v="2016-05-10T00:00:00"/>
    <d v="2016-05-16T00:00:00"/>
    <x v="2"/>
    <x v="90"/>
    <x v="3"/>
    <n v="0"/>
    <x v="1"/>
    <n v="0"/>
    <n v="0"/>
    <n v="0"/>
    <x v="1"/>
    <x v="0"/>
    <n v="0"/>
  </r>
  <r>
    <n v="342228000000000"/>
    <x v="1"/>
    <x v="58"/>
    <x v="0"/>
    <s v="ILHA DE SANTA MARIA"/>
    <d v="2016-05-10T00:00:00"/>
    <d v="2016-05-17T00:00:00"/>
    <x v="4"/>
    <x v="87"/>
    <x v="3"/>
    <n v="0"/>
    <x v="1"/>
    <n v="0"/>
    <n v="0"/>
    <n v="0"/>
    <x v="1"/>
    <x v="0"/>
    <n v="0"/>
  </r>
  <r>
    <n v="9217540000000"/>
    <x v="0"/>
    <x v="15"/>
    <x v="3"/>
    <s v="MARIA ORTIZ"/>
    <d v="2016-05-10T00:00:00"/>
    <d v="2016-05-20T00:00:00"/>
    <x v="0"/>
    <x v="83"/>
    <x v="2"/>
    <n v="0"/>
    <x v="1"/>
    <n v="0"/>
    <n v="0"/>
    <n v="0"/>
    <x v="1"/>
    <x v="1"/>
    <n v="1"/>
  </r>
  <r>
    <n v="54538200000000"/>
    <x v="0"/>
    <x v="37"/>
    <x v="3"/>
    <s v="MARIA ORTIZ"/>
    <d v="2016-05-10T00:00:00"/>
    <d v="2016-05-20T00:00:00"/>
    <x v="0"/>
    <x v="83"/>
    <x v="2"/>
    <n v="0"/>
    <x v="1"/>
    <n v="0"/>
    <n v="0"/>
    <n v="0"/>
    <x v="1"/>
    <x v="1"/>
    <n v="1"/>
  </r>
  <r>
    <n v="179199000000000"/>
    <x v="0"/>
    <x v="44"/>
    <x v="4"/>
    <s v="MARIA ORTIZ"/>
    <d v="2016-05-10T00:00:00"/>
    <d v="2016-05-16T00:00:00"/>
    <x v="2"/>
    <x v="90"/>
    <x v="3"/>
    <n v="0"/>
    <x v="1"/>
    <n v="0"/>
    <n v="0"/>
    <n v="0"/>
    <x v="1"/>
    <x v="0"/>
    <n v="0"/>
  </r>
  <r>
    <n v="441749000000000"/>
    <x v="1"/>
    <x v="1"/>
    <x v="0"/>
    <s v="JARDIM CAMBURI"/>
    <d v="2016-05-10T00:00:00"/>
    <d v="2016-05-13T00:00:00"/>
    <x v="0"/>
    <x v="89"/>
    <x v="4"/>
    <n v="0"/>
    <x v="1"/>
    <n v="0"/>
    <n v="0"/>
    <n v="0"/>
    <x v="1"/>
    <x v="1"/>
    <n v="1"/>
  </r>
  <r>
    <n v="4176780000000"/>
    <x v="0"/>
    <x v="14"/>
    <x v="3"/>
    <s v="GRANDE VITORIA"/>
    <d v="2016-05-10T00:00:00"/>
    <d v="2016-05-18T00:00:00"/>
    <x v="1"/>
    <x v="88"/>
    <x v="2"/>
    <n v="0"/>
    <x v="0"/>
    <n v="1"/>
    <n v="0"/>
    <n v="0"/>
    <x v="1"/>
    <x v="1"/>
    <n v="1"/>
  </r>
  <r>
    <n v="15982400000000"/>
    <x v="1"/>
    <x v="31"/>
    <x v="1"/>
    <s v="SANTO ANDRE"/>
    <d v="2016-05-10T00:00:00"/>
    <d v="2016-05-18T00:00:00"/>
    <x v="1"/>
    <x v="88"/>
    <x v="2"/>
    <n v="0"/>
    <x v="1"/>
    <n v="0"/>
    <n v="0"/>
    <n v="0"/>
    <x v="1"/>
    <x v="0"/>
    <n v="0"/>
  </r>
  <r>
    <n v="1484140000000"/>
    <x v="0"/>
    <x v="15"/>
    <x v="3"/>
    <s v="GRANDE VITORIA"/>
    <d v="2016-05-10T00:00:00"/>
    <d v="2016-05-20T00:00:00"/>
    <x v="0"/>
    <x v="83"/>
    <x v="2"/>
    <n v="0"/>
    <x v="0"/>
    <n v="0"/>
    <n v="0"/>
    <n v="0"/>
    <x v="1"/>
    <x v="0"/>
    <n v="0"/>
  </r>
  <r>
    <n v="61793200000000"/>
    <x v="0"/>
    <x v="49"/>
    <x v="4"/>
    <s v="JARDIM CAMBURI"/>
    <d v="2016-05-10T00:00:00"/>
    <d v="2016-05-13T00:00:00"/>
    <x v="0"/>
    <x v="89"/>
    <x v="4"/>
    <n v="0"/>
    <x v="1"/>
    <n v="0"/>
    <n v="0"/>
    <n v="0"/>
    <x v="1"/>
    <x v="1"/>
    <n v="1"/>
  </r>
  <r>
    <n v="958335000000"/>
    <x v="1"/>
    <x v="16"/>
    <x v="1"/>
    <s v="JARDIM DA PENHA"/>
    <d v="2016-05-10T00:00:00"/>
    <d v="2016-06-03T00:00:00"/>
    <x v="0"/>
    <x v="66"/>
    <x v="1"/>
    <n v="0"/>
    <x v="1"/>
    <n v="0"/>
    <n v="0"/>
    <n v="0"/>
    <x v="1"/>
    <x v="0"/>
    <n v="0"/>
  </r>
  <r>
    <n v="59323700000000"/>
    <x v="1"/>
    <x v="64"/>
    <x v="3"/>
    <s v="JARDIM CAMBURI"/>
    <d v="2016-05-11T00:00:00"/>
    <d v="2016-05-13T00:00:00"/>
    <x v="0"/>
    <x v="91"/>
    <x v="4"/>
    <n v="0"/>
    <x v="1"/>
    <n v="0"/>
    <n v="0"/>
    <n v="0"/>
    <x v="1"/>
    <x v="0"/>
    <n v="0"/>
  </r>
  <r>
    <n v="634341000000"/>
    <x v="0"/>
    <x v="31"/>
    <x v="1"/>
    <s v="ANDORINHAS"/>
    <d v="2016-05-11T00:00:00"/>
    <d v="2016-05-11T00:00:00"/>
    <x v="1"/>
    <x v="94"/>
    <x v="5"/>
    <n v="1"/>
    <x v="1"/>
    <n v="0"/>
    <n v="0"/>
    <n v="0"/>
    <x v="1"/>
    <x v="1"/>
    <n v="1"/>
  </r>
  <r>
    <n v="492622000000000"/>
    <x v="0"/>
    <x v="22"/>
    <x v="4"/>
    <s v="TABUAZEIRO"/>
    <d v="2016-05-11T00:00:00"/>
    <d v="2016-05-12T00:00:00"/>
    <x v="3"/>
    <x v="93"/>
    <x v="4"/>
    <n v="1"/>
    <x v="1"/>
    <n v="0"/>
    <n v="0"/>
    <n v="0"/>
    <x v="1"/>
    <x v="0"/>
    <n v="0"/>
  </r>
  <r>
    <n v="524695000000000"/>
    <x v="1"/>
    <x v="65"/>
    <x v="2"/>
    <s v="GRANDE VITORIA"/>
    <d v="2016-05-11T00:00:00"/>
    <d v="2016-05-13T00:00:00"/>
    <x v="0"/>
    <x v="91"/>
    <x v="4"/>
    <n v="0"/>
    <x v="1"/>
    <n v="0"/>
    <n v="0"/>
    <n v="0"/>
    <x v="1"/>
    <x v="1"/>
    <n v="1"/>
  </r>
  <r>
    <n v="17339900000000"/>
    <x v="1"/>
    <x v="74"/>
    <x v="1"/>
    <s v="CENTRO"/>
    <d v="2016-05-11T00:00:00"/>
    <d v="2016-05-11T00:00:00"/>
    <x v="1"/>
    <x v="94"/>
    <x v="5"/>
    <n v="0"/>
    <x v="0"/>
    <n v="0"/>
    <n v="0"/>
    <n v="0"/>
    <x v="1"/>
    <x v="0"/>
    <n v="0"/>
  </r>
  <r>
    <n v="94866100000000"/>
    <x v="0"/>
    <x v="38"/>
    <x v="4"/>
    <s v="JARDIM DA PENHA"/>
    <d v="2016-05-11T00:00:00"/>
    <d v="2016-05-13T00:00:00"/>
    <x v="0"/>
    <x v="91"/>
    <x v="4"/>
    <n v="0"/>
    <x v="1"/>
    <n v="0"/>
    <n v="0"/>
    <n v="0"/>
    <x v="1"/>
    <x v="0"/>
    <n v="0"/>
  </r>
  <r>
    <n v="85131600000000"/>
    <x v="0"/>
    <x v="39"/>
    <x v="4"/>
    <s v="REDENCAO"/>
    <d v="2016-05-11T00:00:00"/>
    <d v="2016-05-16T00:00:00"/>
    <x v="2"/>
    <x v="92"/>
    <x v="3"/>
    <n v="0"/>
    <x v="1"/>
    <n v="0"/>
    <n v="0"/>
    <n v="0"/>
    <x v="1"/>
    <x v="0"/>
    <n v="0"/>
  </r>
  <r>
    <n v="4669460000000"/>
    <x v="0"/>
    <x v="23"/>
    <x v="3"/>
    <s v="NOVA PALESTINA"/>
    <d v="2016-05-11T00:00:00"/>
    <d v="2016-05-11T00:00:00"/>
    <x v="1"/>
    <x v="94"/>
    <x v="5"/>
    <n v="0"/>
    <x v="0"/>
    <n v="0"/>
    <n v="0"/>
    <n v="0"/>
    <x v="1"/>
    <x v="0"/>
    <n v="0"/>
  </r>
  <r>
    <n v="8479180000000"/>
    <x v="0"/>
    <x v="5"/>
    <x v="1"/>
    <s v="CENTRO"/>
    <d v="2016-05-11T00:00:00"/>
    <d v="2016-05-11T00:00:00"/>
    <x v="1"/>
    <x v="94"/>
    <x v="5"/>
    <n v="0"/>
    <x v="1"/>
    <n v="0"/>
    <n v="0"/>
    <n v="0"/>
    <x v="1"/>
    <x v="0"/>
    <n v="0"/>
  </r>
  <r>
    <n v="7461670000000"/>
    <x v="1"/>
    <x v="35"/>
    <x v="0"/>
    <s v="ITARARE"/>
    <d v="2016-05-11T00:00:00"/>
    <d v="2016-05-11T00:00:00"/>
    <x v="1"/>
    <x v="94"/>
    <x v="5"/>
    <n v="0"/>
    <x v="1"/>
    <n v="0"/>
    <n v="0"/>
    <n v="0"/>
    <x v="1"/>
    <x v="0"/>
    <n v="0"/>
  </r>
  <r>
    <n v="89451600000000"/>
    <x v="1"/>
    <x v="46"/>
    <x v="2"/>
    <s v="ITARARE"/>
    <d v="2016-05-11T00:00:00"/>
    <d v="2016-05-11T00:00:00"/>
    <x v="1"/>
    <x v="94"/>
    <x v="5"/>
    <n v="0"/>
    <x v="1"/>
    <n v="0"/>
    <n v="0"/>
    <n v="0"/>
    <x v="1"/>
    <x v="0"/>
    <n v="0"/>
  </r>
  <r>
    <n v="9582490000000"/>
    <x v="1"/>
    <x v="18"/>
    <x v="0"/>
    <s v="INHANGUETA"/>
    <d v="2016-05-11T00:00:00"/>
    <d v="2016-05-11T00:00:00"/>
    <x v="1"/>
    <x v="94"/>
    <x v="5"/>
    <n v="0"/>
    <x v="0"/>
    <n v="0"/>
    <n v="0"/>
    <n v="0"/>
    <x v="1"/>
    <x v="0"/>
    <n v="0"/>
  </r>
  <r>
    <n v="264717000000"/>
    <x v="0"/>
    <x v="75"/>
    <x v="5"/>
    <s v="JARDIM CAMBURI"/>
    <d v="2016-05-11T00:00:00"/>
    <d v="2016-05-11T00:00:00"/>
    <x v="1"/>
    <x v="94"/>
    <x v="5"/>
    <n v="0"/>
    <x v="1"/>
    <n v="0"/>
    <n v="0"/>
    <n v="0"/>
    <x v="1"/>
    <x v="0"/>
    <n v="0"/>
  </r>
  <r>
    <n v="69797200000000"/>
    <x v="0"/>
    <x v="56"/>
    <x v="1"/>
    <s v="ILHA DAS CAIEIRAS"/>
    <d v="2016-05-11T00:00:00"/>
    <d v="2016-05-18T00:00:00"/>
    <x v="1"/>
    <x v="87"/>
    <x v="3"/>
    <n v="1"/>
    <x v="1"/>
    <n v="0"/>
    <n v="0"/>
    <n v="0"/>
    <x v="1"/>
    <x v="0"/>
    <n v="0"/>
  </r>
  <r>
    <n v="399159000000"/>
    <x v="0"/>
    <x v="43"/>
    <x v="2"/>
    <s v="ITARARE"/>
    <d v="2016-05-11T00:00:00"/>
    <d v="2016-05-11T00:00:00"/>
    <x v="1"/>
    <x v="94"/>
    <x v="5"/>
    <n v="0"/>
    <x v="1"/>
    <n v="0"/>
    <n v="0"/>
    <n v="0"/>
    <x v="1"/>
    <x v="0"/>
    <n v="0"/>
  </r>
  <r>
    <n v="4361860000000"/>
    <x v="0"/>
    <x v="42"/>
    <x v="3"/>
    <s v="NOVA PALESTINA"/>
    <d v="2016-05-11T00:00:00"/>
    <d v="2016-05-13T00:00:00"/>
    <x v="0"/>
    <x v="91"/>
    <x v="4"/>
    <n v="0"/>
    <x v="1"/>
    <n v="1"/>
    <n v="0"/>
    <n v="0"/>
    <x v="1"/>
    <x v="0"/>
    <n v="0"/>
  </r>
  <r>
    <n v="7749370000000"/>
    <x v="0"/>
    <x v="16"/>
    <x v="1"/>
    <s v="ILHA DAS CAIEIRAS"/>
    <d v="2016-05-11T00:00:00"/>
    <d v="2016-05-19T00:00:00"/>
    <x v="3"/>
    <x v="88"/>
    <x v="2"/>
    <n v="1"/>
    <x v="0"/>
    <n v="0"/>
    <n v="0"/>
    <n v="0"/>
    <x v="1"/>
    <x v="1"/>
    <n v="1"/>
  </r>
  <r>
    <n v="169963000000"/>
    <x v="0"/>
    <x v="31"/>
    <x v="1"/>
    <s v="BONFIM"/>
    <d v="2016-05-11T00:00:00"/>
    <d v="2016-05-11T00:00:00"/>
    <x v="1"/>
    <x v="94"/>
    <x v="5"/>
    <n v="0"/>
    <x v="1"/>
    <n v="0"/>
    <n v="0"/>
    <n v="0"/>
    <x v="1"/>
    <x v="0"/>
    <n v="0"/>
  </r>
  <r>
    <n v="251720000000000"/>
    <x v="1"/>
    <x v="49"/>
    <x v="4"/>
    <s v="SANTOS REIS"/>
    <d v="2016-05-11T00:00:00"/>
    <d v="2016-05-11T00:00:00"/>
    <x v="1"/>
    <x v="94"/>
    <x v="5"/>
    <n v="0"/>
    <x v="1"/>
    <n v="0"/>
    <n v="0"/>
    <n v="0"/>
    <x v="1"/>
    <x v="0"/>
    <n v="0"/>
  </r>
  <r>
    <n v="61174200000000"/>
    <x v="0"/>
    <x v="67"/>
    <x v="4"/>
    <s v="ILHA DO PRINCIPE"/>
    <d v="2016-05-11T00:00:00"/>
    <d v="2016-05-19T00:00:00"/>
    <x v="3"/>
    <x v="88"/>
    <x v="2"/>
    <n v="0"/>
    <x v="1"/>
    <n v="0"/>
    <n v="0"/>
    <n v="0"/>
    <x v="1"/>
    <x v="1"/>
    <n v="1"/>
  </r>
  <r>
    <n v="5432293155"/>
    <x v="1"/>
    <x v="4"/>
    <x v="2"/>
    <s v="CARATOIRA"/>
    <d v="2016-05-11T00:00:00"/>
    <d v="2016-05-11T00:00:00"/>
    <x v="1"/>
    <x v="94"/>
    <x v="5"/>
    <n v="0"/>
    <x v="1"/>
    <n v="0"/>
    <n v="0"/>
    <n v="0"/>
    <x v="1"/>
    <x v="0"/>
    <n v="0"/>
  </r>
  <r>
    <n v="4636190000000"/>
    <x v="0"/>
    <x v="80"/>
    <x v="2"/>
    <s v="GURIGICA"/>
    <d v="2016-05-11T00:00:00"/>
    <d v="2016-05-11T00:00:00"/>
    <x v="1"/>
    <x v="94"/>
    <x v="5"/>
    <n v="1"/>
    <x v="1"/>
    <n v="0"/>
    <n v="0"/>
    <n v="0"/>
    <x v="1"/>
    <x v="0"/>
    <n v="0"/>
  </r>
  <r>
    <n v="836463000000"/>
    <x v="0"/>
    <x v="31"/>
    <x v="1"/>
    <s v="SANTO ANDRE"/>
    <d v="2016-05-11T00:00:00"/>
    <d v="2016-05-25T00:00:00"/>
    <x v="1"/>
    <x v="80"/>
    <x v="2"/>
    <n v="0"/>
    <x v="1"/>
    <n v="0"/>
    <n v="0"/>
    <n v="0"/>
    <x v="0"/>
    <x v="0"/>
    <n v="0"/>
  </r>
  <r>
    <n v="7133240000000"/>
    <x v="0"/>
    <x v="3"/>
    <x v="0"/>
    <s v="PRAIA DO CANTO"/>
    <d v="2016-05-11T00:00:00"/>
    <d v="2016-05-16T00:00:00"/>
    <x v="2"/>
    <x v="92"/>
    <x v="3"/>
    <n v="0"/>
    <x v="1"/>
    <n v="0"/>
    <n v="0"/>
    <n v="0"/>
    <x v="1"/>
    <x v="1"/>
    <n v="1"/>
  </r>
  <r>
    <n v="2527990000000"/>
    <x v="0"/>
    <x v="39"/>
    <x v="4"/>
    <s v="ROMAO"/>
    <d v="2016-05-11T00:00:00"/>
    <d v="2016-05-16T00:00:00"/>
    <x v="2"/>
    <x v="92"/>
    <x v="3"/>
    <n v="0"/>
    <x v="1"/>
    <n v="0"/>
    <n v="0"/>
    <n v="0"/>
    <x v="1"/>
    <x v="1"/>
    <n v="1"/>
  </r>
  <r>
    <n v="8767620000000"/>
    <x v="0"/>
    <x v="77"/>
    <x v="4"/>
    <s v="JARDIM DA PENHA"/>
    <d v="2016-05-11T00:00:00"/>
    <d v="2016-05-13T00:00:00"/>
    <x v="0"/>
    <x v="91"/>
    <x v="4"/>
    <n v="0"/>
    <x v="1"/>
    <n v="0"/>
    <n v="0"/>
    <n v="0"/>
    <x v="1"/>
    <x v="0"/>
    <n v="0"/>
  </r>
  <r>
    <n v="23113500000000"/>
    <x v="0"/>
    <x v="12"/>
    <x v="3"/>
    <s v="SAO PEDRO"/>
    <d v="2016-05-11T00:00:00"/>
    <d v="2016-05-25T00:00:00"/>
    <x v="1"/>
    <x v="80"/>
    <x v="2"/>
    <n v="0"/>
    <x v="1"/>
    <n v="0"/>
    <n v="0"/>
    <n v="0"/>
    <x v="1"/>
    <x v="0"/>
    <n v="0"/>
  </r>
  <r>
    <n v="5218750000000"/>
    <x v="0"/>
    <x v="29"/>
    <x v="3"/>
    <s v="MARIA ORTIZ"/>
    <d v="2016-05-11T00:00:00"/>
    <d v="2016-05-16T00:00:00"/>
    <x v="2"/>
    <x v="92"/>
    <x v="3"/>
    <n v="0"/>
    <x v="1"/>
    <n v="0"/>
    <n v="0"/>
    <n v="0"/>
    <x v="1"/>
    <x v="0"/>
    <n v="0"/>
  </r>
  <r>
    <n v="5842800000000"/>
    <x v="0"/>
    <x v="33"/>
    <x v="4"/>
    <s v="SANTA MARTHA"/>
    <d v="2016-05-11T00:00:00"/>
    <d v="2016-05-11T00:00:00"/>
    <x v="1"/>
    <x v="94"/>
    <x v="5"/>
    <n v="0"/>
    <x v="1"/>
    <n v="0"/>
    <n v="0"/>
    <n v="0"/>
    <x v="1"/>
    <x v="0"/>
    <n v="0"/>
  </r>
  <r>
    <n v="68336435616"/>
    <x v="0"/>
    <x v="22"/>
    <x v="4"/>
    <s v="RESISTENCIA"/>
    <d v="2016-05-11T00:00:00"/>
    <d v="2016-05-11T00:00:00"/>
    <x v="1"/>
    <x v="94"/>
    <x v="5"/>
    <n v="1"/>
    <x v="1"/>
    <n v="0"/>
    <n v="0"/>
    <n v="0"/>
    <x v="1"/>
    <x v="0"/>
    <n v="0"/>
  </r>
  <r>
    <n v="862666000000"/>
    <x v="0"/>
    <x v="0"/>
    <x v="0"/>
    <s v="JESUS DE NAZARETH"/>
    <d v="2016-05-11T00:00:00"/>
    <d v="2016-05-16T00:00:00"/>
    <x v="2"/>
    <x v="92"/>
    <x v="3"/>
    <n v="0"/>
    <x v="0"/>
    <n v="1"/>
    <n v="0"/>
    <n v="0"/>
    <x v="1"/>
    <x v="0"/>
    <n v="0"/>
  </r>
  <r>
    <n v="74796637297"/>
    <x v="0"/>
    <x v="33"/>
    <x v="4"/>
    <s v="ITARARE"/>
    <d v="2016-05-11T00:00:00"/>
    <d v="2016-05-11T00:00:00"/>
    <x v="1"/>
    <x v="94"/>
    <x v="5"/>
    <n v="0"/>
    <x v="1"/>
    <n v="0"/>
    <n v="0"/>
    <n v="0"/>
    <x v="1"/>
    <x v="0"/>
    <n v="0"/>
  </r>
  <r>
    <n v="8526730000000"/>
    <x v="0"/>
    <x v="23"/>
    <x v="3"/>
    <s v="SANTO ANTONIO"/>
    <d v="2016-05-11T00:00:00"/>
    <d v="2016-05-16T00:00:00"/>
    <x v="2"/>
    <x v="92"/>
    <x v="3"/>
    <n v="0"/>
    <x v="0"/>
    <n v="0"/>
    <n v="0"/>
    <n v="0"/>
    <x v="1"/>
    <x v="1"/>
    <n v="1"/>
  </r>
  <r>
    <n v="57426700000000"/>
    <x v="0"/>
    <x v="38"/>
    <x v="4"/>
    <s v="NOVA PALESTINA"/>
    <d v="2016-05-11T00:00:00"/>
    <d v="2016-05-11T00:00:00"/>
    <x v="1"/>
    <x v="94"/>
    <x v="5"/>
    <n v="0"/>
    <x v="1"/>
    <n v="0"/>
    <n v="1"/>
    <n v="0"/>
    <x v="1"/>
    <x v="0"/>
    <n v="0"/>
  </r>
  <r>
    <n v="912180000000000"/>
    <x v="0"/>
    <x v="68"/>
    <x v="4"/>
    <s v="CONSOLACAO"/>
    <d v="2016-05-11T00:00:00"/>
    <d v="2016-05-11T00:00:00"/>
    <x v="1"/>
    <x v="94"/>
    <x v="5"/>
    <n v="0"/>
    <x v="1"/>
    <n v="0"/>
    <n v="0"/>
    <n v="0"/>
    <x v="1"/>
    <x v="0"/>
    <n v="0"/>
  </r>
  <r>
    <n v="9439110000000"/>
    <x v="0"/>
    <x v="45"/>
    <x v="1"/>
    <s v="INHANGUETA"/>
    <d v="2016-05-11T00:00:00"/>
    <d v="2016-05-12T00:00:00"/>
    <x v="3"/>
    <x v="93"/>
    <x v="4"/>
    <n v="0"/>
    <x v="0"/>
    <n v="0"/>
    <n v="0"/>
    <n v="0"/>
    <x v="1"/>
    <x v="0"/>
    <n v="0"/>
  </r>
  <r>
    <n v="92377900000000"/>
    <x v="1"/>
    <x v="62"/>
    <x v="3"/>
    <s v="JARDIM CAMBURI"/>
    <d v="2016-05-11T00:00:00"/>
    <d v="2016-05-13T00:00:00"/>
    <x v="0"/>
    <x v="91"/>
    <x v="4"/>
    <n v="0"/>
    <x v="1"/>
    <n v="0"/>
    <n v="0"/>
    <n v="0"/>
    <x v="1"/>
    <x v="0"/>
    <n v="0"/>
  </r>
  <r>
    <n v="21529800000000"/>
    <x v="0"/>
    <x v="54"/>
    <x v="1"/>
    <s v="SAO JOSE"/>
    <d v="2016-05-11T00:00:00"/>
    <d v="2016-05-11T00:00:00"/>
    <x v="1"/>
    <x v="94"/>
    <x v="5"/>
    <n v="0"/>
    <x v="1"/>
    <n v="0"/>
    <n v="0"/>
    <n v="0"/>
    <x v="1"/>
    <x v="0"/>
    <n v="0"/>
  </r>
  <r>
    <n v="9217540000000"/>
    <x v="0"/>
    <x v="15"/>
    <x v="3"/>
    <s v="MARIA ORTIZ"/>
    <d v="2016-05-11T00:00:00"/>
    <d v="2016-05-20T00:00:00"/>
    <x v="0"/>
    <x v="85"/>
    <x v="2"/>
    <n v="0"/>
    <x v="1"/>
    <n v="0"/>
    <n v="0"/>
    <n v="0"/>
    <x v="1"/>
    <x v="1"/>
    <n v="1"/>
  </r>
  <r>
    <n v="65686462455"/>
    <x v="0"/>
    <x v="47"/>
    <x v="4"/>
    <s v="GURIGICA"/>
    <d v="2016-05-11T00:00:00"/>
    <d v="2016-05-11T00:00:00"/>
    <x v="1"/>
    <x v="94"/>
    <x v="5"/>
    <n v="1"/>
    <x v="1"/>
    <n v="0"/>
    <n v="0"/>
    <n v="0"/>
    <x v="1"/>
    <x v="0"/>
    <n v="0"/>
  </r>
  <r>
    <n v="1998620000000"/>
    <x v="0"/>
    <x v="2"/>
    <x v="1"/>
    <s v="CRUZAMENTO"/>
    <d v="2016-05-11T00:00:00"/>
    <d v="2016-05-11T00:00:00"/>
    <x v="1"/>
    <x v="94"/>
    <x v="5"/>
    <n v="0"/>
    <x v="1"/>
    <n v="0"/>
    <n v="0"/>
    <n v="0"/>
    <x v="1"/>
    <x v="0"/>
    <n v="0"/>
  </r>
  <r>
    <n v="18855800000000"/>
    <x v="0"/>
    <x v="75"/>
    <x v="5"/>
    <s v="BONFIM"/>
    <d v="2016-05-11T00:00:00"/>
    <d v="2016-05-13T00:00:00"/>
    <x v="0"/>
    <x v="91"/>
    <x v="4"/>
    <n v="0"/>
    <x v="1"/>
    <n v="0"/>
    <n v="0"/>
    <n v="0"/>
    <x v="1"/>
    <x v="1"/>
    <n v="1"/>
  </r>
  <r>
    <n v="926668000000000"/>
    <x v="0"/>
    <x v="64"/>
    <x v="3"/>
    <s v="INHANGUETA"/>
    <d v="2016-05-11T00:00:00"/>
    <d v="2016-05-17T00:00:00"/>
    <x v="4"/>
    <x v="90"/>
    <x v="3"/>
    <n v="0"/>
    <x v="1"/>
    <n v="0"/>
    <n v="0"/>
    <n v="0"/>
    <x v="1"/>
    <x v="0"/>
    <n v="0"/>
  </r>
  <r>
    <n v="51931661934"/>
    <x v="1"/>
    <x v="80"/>
    <x v="2"/>
    <s v="MARIO CYPRESTE"/>
    <d v="2016-05-11T00:00:00"/>
    <d v="2016-05-11T00:00:00"/>
    <x v="1"/>
    <x v="94"/>
    <x v="5"/>
    <n v="0"/>
    <x v="1"/>
    <n v="0"/>
    <n v="0"/>
    <n v="0"/>
    <x v="1"/>
    <x v="0"/>
    <n v="0"/>
  </r>
  <r>
    <n v="21836500000000"/>
    <x v="0"/>
    <x v="68"/>
    <x v="4"/>
    <s v="INHANGUETA"/>
    <d v="2016-05-11T00:00:00"/>
    <d v="2016-05-17T00:00:00"/>
    <x v="4"/>
    <x v="90"/>
    <x v="3"/>
    <n v="0"/>
    <x v="1"/>
    <n v="0"/>
    <n v="0"/>
    <n v="0"/>
    <x v="1"/>
    <x v="0"/>
    <n v="0"/>
  </r>
  <r>
    <n v="99976300000000"/>
    <x v="1"/>
    <x v="81"/>
    <x v="5"/>
    <s v="NOVA PALESTINA"/>
    <d v="2016-05-11T00:00:00"/>
    <d v="2016-05-11T00:00:00"/>
    <x v="1"/>
    <x v="94"/>
    <x v="5"/>
    <n v="0"/>
    <x v="1"/>
    <n v="0"/>
    <n v="0"/>
    <n v="0"/>
    <x v="1"/>
    <x v="0"/>
    <n v="0"/>
  </r>
  <r>
    <n v="1638650000000"/>
    <x v="0"/>
    <x v="24"/>
    <x v="1"/>
    <s v="ITARARE"/>
    <d v="2016-05-11T00:00:00"/>
    <d v="2016-05-11T00:00:00"/>
    <x v="1"/>
    <x v="94"/>
    <x v="5"/>
    <n v="0"/>
    <x v="0"/>
    <n v="0"/>
    <n v="0"/>
    <n v="0"/>
    <x v="1"/>
    <x v="0"/>
    <n v="0"/>
  </r>
  <r>
    <n v="1198160000000"/>
    <x v="1"/>
    <x v="51"/>
    <x v="2"/>
    <s v="NOVA PALESTINA"/>
    <d v="2016-05-11T00:00:00"/>
    <d v="2016-05-11T00:00:00"/>
    <x v="1"/>
    <x v="94"/>
    <x v="5"/>
    <n v="1"/>
    <x v="1"/>
    <n v="0"/>
    <n v="0"/>
    <n v="0"/>
    <x v="1"/>
    <x v="1"/>
    <n v="1"/>
  </r>
  <r>
    <n v="152136000000000"/>
    <x v="0"/>
    <x v="38"/>
    <x v="4"/>
    <s v="MATA DA PRAIA"/>
    <d v="2016-05-11T00:00:00"/>
    <d v="2016-05-11T00:00:00"/>
    <x v="1"/>
    <x v="94"/>
    <x v="5"/>
    <n v="0"/>
    <x v="1"/>
    <n v="0"/>
    <n v="0"/>
    <n v="0"/>
    <x v="1"/>
    <x v="0"/>
    <n v="0"/>
  </r>
  <r>
    <n v="63286900000000"/>
    <x v="0"/>
    <x v="19"/>
    <x v="2"/>
    <s v="RESISTENCIA"/>
    <d v="2016-05-11T00:00:00"/>
    <d v="2016-05-18T00:00:00"/>
    <x v="1"/>
    <x v="87"/>
    <x v="3"/>
    <n v="0"/>
    <x v="1"/>
    <n v="0"/>
    <n v="0"/>
    <n v="0"/>
    <x v="1"/>
    <x v="0"/>
    <n v="0"/>
  </r>
  <r>
    <n v="8886320000000"/>
    <x v="0"/>
    <x v="59"/>
    <x v="2"/>
    <s v="MARIA ORTIZ"/>
    <d v="2016-05-11T00:00:00"/>
    <d v="2016-05-11T00:00:00"/>
    <x v="1"/>
    <x v="94"/>
    <x v="5"/>
    <n v="0"/>
    <x v="1"/>
    <n v="0"/>
    <n v="0"/>
    <n v="0"/>
    <x v="1"/>
    <x v="0"/>
    <n v="0"/>
  </r>
  <r>
    <n v="59253777989"/>
    <x v="0"/>
    <x v="79"/>
    <x v="5"/>
    <s v="INHANGUETA"/>
    <d v="2016-05-11T00:00:00"/>
    <d v="2016-05-17T00:00:00"/>
    <x v="4"/>
    <x v="90"/>
    <x v="3"/>
    <n v="0"/>
    <x v="1"/>
    <n v="0"/>
    <n v="0"/>
    <n v="0"/>
    <x v="1"/>
    <x v="0"/>
    <n v="0"/>
  </r>
  <r>
    <n v="6844690000000"/>
    <x v="0"/>
    <x v="23"/>
    <x v="3"/>
    <s v="SAO PEDRO"/>
    <d v="2016-05-11T00:00:00"/>
    <d v="2016-05-11T00:00:00"/>
    <x v="1"/>
    <x v="94"/>
    <x v="5"/>
    <n v="0"/>
    <x v="1"/>
    <n v="0"/>
    <n v="0"/>
    <n v="0"/>
    <x v="1"/>
    <x v="0"/>
    <n v="0"/>
  </r>
  <r>
    <n v="249164000000000"/>
    <x v="1"/>
    <x v="43"/>
    <x v="2"/>
    <s v="SANTO ANTONIO"/>
    <d v="2016-05-11T00:00:00"/>
    <d v="2016-05-11T00:00:00"/>
    <x v="1"/>
    <x v="94"/>
    <x v="5"/>
    <n v="0"/>
    <x v="1"/>
    <n v="0"/>
    <n v="0"/>
    <n v="0"/>
    <x v="1"/>
    <x v="1"/>
    <n v="1"/>
  </r>
  <r>
    <n v="5669580000000"/>
    <x v="0"/>
    <x v="51"/>
    <x v="2"/>
    <s v="BONFIM"/>
    <d v="2016-05-11T00:00:00"/>
    <d v="2016-05-11T00:00:00"/>
    <x v="1"/>
    <x v="94"/>
    <x v="5"/>
    <n v="0"/>
    <x v="1"/>
    <n v="0"/>
    <n v="0"/>
    <n v="0"/>
    <x v="1"/>
    <x v="1"/>
    <n v="1"/>
  </r>
  <r>
    <n v="3854990000000"/>
    <x v="1"/>
    <x v="4"/>
    <x v="2"/>
    <s v="CONSOLACAO"/>
    <d v="2016-05-11T00:00:00"/>
    <d v="2016-05-11T00:00:00"/>
    <x v="1"/>
    <x v="94"/>
    <x v="5"/>
    <n v="0"/>
    <x v="1"/>
    <n v="0"/>
    <n v="0"/>
    <n v="0"/>
    <x v="1"/>
    <x v="0"/>
    <n v="0"/>
  </r>
  <r>
    <n v="472248000000000"/>
    <x v="0"/>
    <x v="68"/>
    <x v="4"/>
    <s v="ILHA DE SANTA MARIA"/>
    <d v="2016-05-11T00:00:00"/>
    <d v="2016-05-11T00:00:00"/>
    <x v="1"/>
    <x v="94"/>
    <x v="5"/>
    <n v="0"/>
    <x v="1"/>
    <n v="0"/>
    <n v="0"/>
    <n v="0"/>
    <x v="1"/>
    <x v="0"/>
    <n v="0"/>
  </r>
  <r>
    <n v="55819700000000"/>
    <x v="0"/>
    <x v="15"/>
    <x v="3"/>
    <s v="SANTO ANDRE"/>
    <d v="2016-05-11T00:00:00"/>
    <d v="2016-05-16T00:00:00"/>
    <x v="2"/>
    <x v="92"/>
    <x v="3"/>
    <n v="0"/>
    <x v="0"/>
    <n v="0"/>
    <n v="0"/>
    <n v="0"/>
    <x v="1"/>
    <x v="0"/>
    <n v="0"/>
  </r>
  <r>
    <n v="4216650000000"/>
    <x v="0"/>
    <x v="24"/>
    <x v="1"/>
    <s v="RESISTENCIA"/>
    <d v="2016-05-11T00:00:00"/>
    <d v="2016-05-19T00:00:00"/>
    <x v="3"/>
    <x v="88"/>
    <x v="2"/>
    <n v="0"/>
    <x v="1"/>
    <n v="0"/>
    <n v="0"/>
    <n v="0"/>
    <x v="1"/>
    <x v="1"/>
    <n v="1"/>
  </r>
  <r>
    <n v="7891460000000"/>
    <x v="0"/>
    <x v="4"/>
    <x v="2"/>
    <s v="ROMAO"/>
    <d v="2016-05-11T00:00:00"/>
    <d v="2016-05-11T00:00:00"/>
    <x v="1"/>
    <x v="94"/>
    <x v="5"/>
    <n v="0"/>
    <x v="1"/>
    <n v="0"/>
    <n v="0"/>
    <n v="0"/>
    <x v="1"/>
    <x v="0"/>
    <n v="0"/>
  </r>
  <r>
    <n v="396567000000000"/>
    <x v="0"/>
    <x v="26"/>
    <x v="0"/>
    <s v="ANDORINHAS"/>
    <d v="2016-05-11T00:00:00"/>
    <d v="2016-05-11T00:00:00"/>
    <x v="1"/>
    <x v="94"/>
    <x v="5"/>
    <n v="0"/>
    <x v="0"/>
    <n v="0"/>
    <n v="0"/>
    <n v="0"/>
    <x v="1"/>
    <x v="0"/>
    <n v="0"/>
  </r>
  <r>
    <n v="223647000000"/>
    <x v="1"/>
    <x v="62"/>
    <x v="3"/>
    <s v="ITARARE"/>
    <d v="2016-05-11T00:00:00"/>
    <d v="2016-05-12T00:00:00"/>
    <x v="3"/>
    <x v="93"/>
    <x v="4"/>
    <n v="0"/>
    <x v="1"/>
    <n v="0"/>
    <n v="0"/>
    <n v="0"/>
    <x v="1"/>
    <x v="1"/>
    <n v="1"/>
  </r>
  <r>
    <n v="93432300000000"/>
    <x v="1"/>
    <x v="41"/>
    <x v="4"/>
    <s v="GURIGICA"/>
    <d v="2016-05-11T00:00:00"/>
    <d v="2016-05-13T00:00:00"/>
    <x v="0"/>
    <x v="91"/>
    <x v="4"/>
    <n v="0"/>
    <x v="1"/>
    <n v="0"/>
    <n v="0"/>
    <n v="0"/>
    <x v="1"/>
    <x v="0"/>
    <n v="0"/>
  </r>
  <r>
    <n v="43694600000000"/>
    <x v="0"/>
    <x v="56"/>
    <x v="1"/>
    <s v="NOVA PALESTINA"/>
    <d v="2016-05-11T00:00:00"/>
    <d v="2016-05-19T00:00:00"/>
    <x v="3"/>
    <x v="88"/>
    <x v="2"/>
    <n v="0"/>
    <x v="1"/>
    <n v="0"/>
    <n v="0"/>
    <n v="0"/>
    <x v="1"/>
    <x v="1"/>
    <n v="1"/>
  </r>
  <r>
    <n v="16796500000000"/>
    <x v="0"/>
    <x v="31"/>
    <x v="1"/>
    <s v="SAO JOSE"/>
    <d v="2016-05-11T00:00:00"/>
    <d v="2016-05-19T00:00:00"/>
    <x v="3"/>
    <x v="88"/>
    <x v="2"/>
    <n v="0"/>
    <x v="1"/>
    <n v="0"/>
    <n v="0"/>
    <n v="0"/>
    <x v="1"/>
    <x v="1"/>
    <n v="1"/>
  </r>
  <r>
    <n v="336213000000000"/>
    <x v="0"/>
    <x v="39"/>
    <x v="4"/>
    <s v="SANTO ANTONIO"/>
    <d v="2016-05-11T00:00:00"/>
    <d v="2016-05-13T00:00:00"/>
    <x v="0"/>
    <x v="91"/>
    <x v="4"/>
    <n v="1"/>
    <x v="1"/>
    <n v="0"/>
    <n v="0"/>
    <n v="0"/>
    <x v="1"/>
    <x v="1"/>
    <n v="1"/>
  </r>
  <r>
    <n v="26324100000000"/>
    <x v="0"/>
    <x v="5"/>
    <x v="1"/>
    <s v="JARDIM CAMBURI"/>
    <d v="2016-05-11T00:00:00"/>
    <d v="2016-05-17T00:00:00"/>
    <x v="4"/>
    <x v="90"/>
    <x v="3"/>
    <n v="0"/>
    <x v="1"/>
    <n v="0"/>
    <n v="0"/>
    <n v="0"/>
    <x v="1"/>
    <x v="0"/>
    <n v="0"/>
  </r>
  <r>
    <n v="14331400000000"/>
    <x v="0"/>
    <x v="71"/>
    <x v="4"/>
    <s v="NOVA PALESTINA"/>
    <d v="2016-05-11T00:00:00"/>
    <d v="2016-05-11T00:00:00"/>
    <x v="1"/>
    <x v="94"/>
    <x v="5"/>
    <n v="1"/>
    <x v="1"/>
    <n v="0"/>
    <n v="0"/>
    <n v="0"/>
    <x v="1"/>
    <x v="0"/>
    <n v="0"/>
  </r>
  <r>
    <n v="8878150000000"/>
    <x v="0"/>
    <x v="67"/>
    <x v="4"/>
    <s v="SANTO ANTONIO"/>
    <d v="2016-05-11T00:00:00"/>
    <d v="2016-05-11T00:00:00"/>
    <x v="1"/>
    <x v="94"/>
    <x v="5"/>
    <n v="0"/>
    <x v="1"/>
    <n v="0"/>
    <n v="0"/>
    <n v="0"/>
    <x v="1"/>
    <x v="0"/>
    <n v="0"/>
  </r>
  <r>
    <n v="94227800000000"/>
    <x v="0"/>
    <x v="76"/>
    <x v="0"/>
    <s v="TABUAZEIRO"/>
    <d v="2016-05-11T00:00:00"/>
    <d v="2016-05-11T00:00:00"/>
    <x v="1"/>
    <x v="94"/>
    <x v="5"/>
    <n v="0"/>
    <x v="0"/>
    <n v="1"/>
    <n v="0"/>
    <n v="0"/>
    <x v="1"/>
    <x v="0"/>
    <n v="0"/>
  </r>
  <r>
    <n v="13478682871"/>
    <x v="0"/>
    <x v="40"/>
    <x v="1"/>
    <s v="JARDIM DA PENHA"/>
    <d v="2016-05-11T00:00:00"/>
    <d v="2016-05-11T00:00:00"/>
    <x v="1"/>
    <x v="94"/>
    <x v="5"/>
    <n v="0"/>
    <x v="1"/>
    <n v="0"/>
    <n v="0"/>
    <n v="0"/>
    <x v="1"/>
    <x v="0"/>
    <n v="0"/>
  </r>
  <r>
    <n v="3353670000000"/>
    <x v="0"/>
    <x v="42"/>
    <x v="3"/>
    <s v="SANTO ANTONIO"/>
    <d v="2016-05-11T00:00:00"/>
    <d v="2016-05-11T00:00:00"/>
    <x v="1"/>
    <x v="94"/>
    <x v="5"/>
    <n v="1"/>
    <x v="1"/>
    <n v="0"/>
    <n v="0"/>
    <n v="1"/>
    <x v="1"/>
    <x v="0"/>
    <n v="0"/>
  </r>
  <r>
    <n v="3853700000000"/>
    <x v="1"/>
    <x v="71"/>
    <x v="4"/>
    <s v="ESTRELINHA"/>
    <d v="2016-05-11T00:00:00"/>
    <d v="2016-05-16T00:00:00"/>
    <x v="2"/>
    <x v="92"/>
    <x v="3"/>
    <n v="1"/>
    <x v="0"/>
    <n v="0"/>
    <n v="0"/>
    <n v="1"/>
    <x v="1"/>
    <x v="0"/>
    <n v="0"/>
  </r>
  <r>
    <n v="69365900000000"/>
    <x v="0"/>
    <x v="75"/>
    <x v="5"/>
    <s v="JARDIM CAMBURI"/>
    <d v="2016-05-11T00:00:00"/>
    <d v="2016-05-11T00:00:00"/>
    <x v="1"/>
    <x v="94"/>
    <x v="5"/>
    <n v="0"/>
    <x v="1"/>
    <n v="0"/>
    <n v="0"/>
    <n v="0"/>
    <x v="1"/>
    <x v="0"/>
    <n v="0"/>
  </r>
  <r>
    <n v="77497500000000"/>
    <x v="0"/>
    <x v="75"/>
    <x v="5"/>
    <s v="JESUS DE NAZARETH"/>
    <d v="2016-05-11T00:00:00"/>
    <d v="2016-05-11T00:00:00"/>
    <x v="1"/>
    <x v="94"/>
    <x v="5"/>
    <n v="0"/>
    <x v="1"/>
    <n v="0"/>
    <n v="0"/>
    <n v="0"/>
    <x v="1"/>
    <x v="0"/>
    <n v="0"/>
  </r>
  <r>
    <n v="79327400000000"/>
    <x v="1"/>
    <x v="46"/>
    <x v="2"/>
    <s v="TABUAZEIRO"/>
    <d v="2016-05-11T00:00:00"/>
    <d v="2016-05-11T00:00:00"/>
    <x v="1"/>
    <x v="94"/>
    <x v="5"/>
    <n v="0"/>
    <x v="1"/>
    <n v="0"/>
    <n v="0"/>
    <n v="0"/>
    <x v="1"/>
    <x v="0"/>
    <n v="0"/>
  </r>
  <r>
    <n v="65825496795"/>
    <x v="1"/>
    <x v="37"/>
    <x v="3"/>
    <s v="CONSOLACAO"/>
    <d v="2016-05-11T00:00:00"/>
    <d v="2016-05-16T00:00:00"/>
    <x v="2"/>
    <x v="92"/>
    <x v="3"/>
    <n v="0"/>
    <x v="1"/>
    <n v="0"/>
    <n v="0"/>
    <n v="0"/>
    <x v="1"/>
    <x v="0"/>
    <n v="0"/>
  </r>
  <r>
    <n v="23178100000000"/>
    <x v="0"/>
    <x v="41"/>
    <x v="4"/>
    <s v="GURIGICA"/>
    <d v="2016-05-11T00:00:00"/>
    <d v="2016-05-24T00:00:00"/>
    <x v="4"/>
    <x v="82"/>
    <x v="2"/>
    <n v="0"/>
    <x v="1"/>
    <n v="0"/>
    <n v="0"/>
    <n v="0"/>
    <x v="1"/>
    <x v="1"/>
    <n v="1"/>
  </r>
  <r>
    <n v="37576000000000"/>
    <x v="1"/>
    <x v="59"/>
    <x v="2"/>
    <s v="JESUS DE NAZARETH"/>
    <d v="2016-05-11T00:00:00"/>
    <d v="2016-05-13T00:00:00"/>
    <x v="0"/>
    <x v="91"/>
    <x v="4"/>
    <n v="0"/>
    <x v="1"/>
    <n v="0"/>
    <n v="0"/>
    <n v="0"/>
    <x v="1"/>
    <x v="1"/>
    <n v="1"/>
  </r>
  <r>
    <n v="39674000000000"/>
    <x v="0"/>
    <x v="39"/>
    <x v="4"/>
    <s v="GRANDE VITORIA"/>
    <d v="2016-05-11T00:00:00"/>
    <d v="2016-05-11T00:00:00"/>
    <x v="1"/>
    <x v="94"/>
    <x v="5"/>
    <n v="0"/>
    <x v="1"/>
    <n v="0"/>
    <n v="0"/>
    <n v="0"/>
    <x v="1"/>
    <x v="0"/>
    <n v="0"/>
  </r>
  <r>
    <n v="1441980000000"/>
    <x v="0"/>
    <x v="24"/>
    <x v="1"/>
    <s v="JARDIM CAMBURI"/>
    <d v="2016-05-11T00:00:00"/>
    <d v="2016-05-12T00:00:00"/>
    <x v="3"/>
    <x v="93"/>
    <x v="4"/>
    <n v="0"/>
    <x v="1"/>
    <n v="0"/>
    <n v="0"/>
    <n v="0"/>
    <x v="1"/>
    <x v="0"/>
    <n v="0"/>
  </r>
  <r>
    <n v="367435000000000"/>
    <x v="0"/>
    <x v="0"/>
    <x v="0"/>
    <s v="CONSOLACAO"/>
    <d v="2016-05-11T00:00:00"/>
    <d v="2016-05-17T00:00:00"/>
    <x v="4"/>
    <x v="90"/>
    <x v="3"/>
    <n v="0"/>
    <x v="0"/>
    <n v="0"/>
    <n v="0"/>
    <n v="0"/>
    <x v="1"/>
    <x v="0"/>
    <n v="0"/>
  </r>
  <r>
    <n v="6264200000000"/>
    <x v="1"/>
    <x v="36"/>
    <x v="3"/>
    <s v="JESUS DE NAZARETH"/>
    <d v="2016-05-11T00:00:00"/>
    <d v="2016-05-11T00:00:00"/>
    <x v="1"/>
    <x v="94"/>
    <x v="5"/>
    <n v="1"/>
    <x v="1"/>
    <n v="0"/>
    <n v="0"/>
    <n v="0"/>
    <x v="1"/>
    <x v="0"/>
    <n v="0"/>
  </r>
  <r>
    <n v="631278000000"/>
    <x v="0"/>
    <x v="17"/>
    <x v="4"/>
    <s v="SAO PEDRO"/>
    <d v="2016-05-11T00:00:00"/>
    <d v="2016-05-30T00:00:00"/>
    <x v="2"/>
    <x v="77"/>
    <x v="1"/>
    <n v="0"/>
    <x v="0"/>
    <n v="0"/>
    <n v="0"/>
    <n v="0"/>
    <x v="0"/>
    <x v="1"/>
    <n v="1"/>
  </r>
  <r>
    <n v="277987000000000"/>
    <x v="0"/>
    <x v="38"/>
    <x v="4"/>
    <s v="ANDORINHAS"/>
    <d v="2016-05-11T00:00:00"/>
    <d v="2016-05-11T00:00:00"/>
    <x v="1"/>
    <x v="94"/>
    <x v="5"/>
    <n v="0"/>
    <x v="1"/>
    <n v="0"/>
    <n v="0"/>
    <n v="0"/>
    <x v="1"/>
    <x v="0"/>
    <n v="0"/>
  </r>
  <r>
    <n v="438673000000000"/>
    <x v="0"/>
    <x v="6"/>
    <x v="0"/>
    <s v="JARDIM DA PENHA"/>
    <d v="2016-05-11T00:00:00"/>
    <d v="2016-05-11T00:00:00"/>
    <x v="1"/>
    <x v="94"/>
    <x v="5"/>
    <n v="0"/>
    <x v="1"/>
    <n v="0"/>
    <n v="0"/>
    <n v="0"/>
    <x v="1"/>
    <x v="0"/>
    <n v="0"/>
  </r>
  <r>
    <n v="7228130000000"/>
    <x v="0"/>
    <x v="57"/>
    <x v="2"/>
    <s v="JARDIM CAMBURI"/>
    <d v="2016-05-11T00:00:00"/>
    <d v="2016-06-01T00:00:00"/>
    <x v="1"/>
    <x v="73"/>
    <x v="1"/>
    <n v="0"/>
    <x v="1"/>
    <n v="0"/>
    <n v="0"/>
    <n v="0"/>
    <x v="0"/>
    <x v="0"/>
    <n v="0"/>
  </r>
  <r>
    <n v="16214400000000"/>
    <x v="0"/>
    <x v="25"/>
    <x v="4"/>
    <s v="JOANA D ARC"/>
    <d v="2016-05-11T00:00:00"/>
    <d v="2016-06-02T00:00:00"/>
    <x v="3"/>
    <x v="71"/>
    <x v="1"/>
    <n v="0"/>
    <x v="1"/>
    <n v="0"/>
    <n v="0"/>
    <n v="0"/>
    <x v="1"/>
    <x v="1"/>
    <n v="1"/>
  </r>
  <r>
    <n v="975338000000"/>
    <x v="1"/>
    <x v="16"/>
    <x v="1"/>
    <s v="BONFIM"/>
    <d v="2016-05-11T00:00:00"/>
    <d v="2016-05-11T00:00:00"/>
    <x v="1"/>
    <x v="94"/>
    <x v="5"/>
    <n v="0"/>
    <x v="1"/>
    <n v="0"/>
    <n v="0"/>
    <n v="0"/>
    <x v="1"/>
    <x v="0"/>
    <n v="0"/>
  </r>
  <r>
    <n v="275389000000000"/>
    <x v="0"/>
    <x v="31"/>
    <x v="1"/>
    <s v="MARIA ORTIZ"/>
    <d v="2016-05-11T00:00:00"/>
    <d v="2016-06-08T00:00:00"/>
    <x v="1"/>
    <x v="64"/>
    <x v="1"/>
    <n v="0"/>
    <x v="1"/>
    <n v="0"/>
    <n v="0"/>
    <n v="0"/>
    <x v="0"/>
    <x v="0"/>
    <n v="0"/>
  </r>
  <r>
    <n v="33711400000000"/>
    <x v="0"/>
    <x v="10"/>
    <x v="4"/>
    <s v="GRANDE VITORIA"/>
    <d v="2016-05-11T00:00:00"/>
    <d v="2016-05-20T00:00:00"/>
    <x v="0"/>
    <x v="85"/>
    <x v="2"/>
    <n v="0"/>
    <x v="1"/>
    <n v="0"/>
    <n v="0"/>
    <n v="0"/>
    <x v="1"/>
    <x v="1"/>
    <n v="1"/>
  </r>
  <r>
    <n v="197567000000"/>
    <x v="0"/>
    <x v="17"/>
    <x v="4"/>
    <s v="ANDORINHAS"/>
    <d v="2016-05-11T00:00:00"/>
    <d v="2016-05-18T00:00:00"/>
    <x v="1"/>
    <x v="87"/>
    <x v="3"/>
    <n v="1"/>
    <x v="1"/>
    <n v="0"/>
    <n v="0"/>
    <n v="0"/>
    <x v="1"/>
    <x v="0"/>
    <n v="0"/>
  </r>
  <r>
    <n v="5731750000000"/>
    <x v="1"/>
    <x v="25"/>
    <x v="4"/>
    <s v="CONSOLACAO"/>
    <d v="2016-05-11T00:00:00"/>
    <d v="2016-05-11T00:00:00"/>
    <x v="1"/>
    <x v="94"/>
    <x v="5"/>
    <n v="0"/>
    <x v="1"/>
    <n v="0"/>
    <n v="0"/>
    <n v="0"/>
    <x v="1"/>
    <x v="0"/>
    <n v="0"/>
  </r>
  <r>
    <n v="64472800000000"/>
    <x v="0"/>
    <x v="29"/>
    <x v="3"/>
    <s v="MARIA ORTIZ"/>
    <d v="2016-05-11T00:00:00"/>
    <d v="2016-05-11T00:00:00"/>
    <x v="1"/>
    <x v="94"/>
    <x v="5"/>
    <n v="0"/>
    <x v="1"/>
    <n v="0"/>
    <n v="0"/>
    <n v="0"/>
    <x v="1"/>
    <x v="0"/>
    <n v="0"/>
  </r>
  <r>
    <n v="66959400000000"/>
    <x v="0"/>
    <x v="52"/>
    <x v="2"/>
    <s v="CONSOLACAO"/>
    <d v="2016-05-11T00:00:00"/>
    <d v="2016-05-11T00:00:00"/>
    <x v="1"/>
    <x v="94"/>
    <x v="5"/>
    <n v="0"/>
    <x v="1"/>
    <n v="0"/>
    <n v="0"/>
    <n v="0"/>
    <x v="1"/>
    <x v="0"/>
    <n v="0"/>
  </r>
  <r>
    <n v="96311800000000"/>
    <x v="0"/>
    <x v="84"/>
    <x v="1"/>
    <s v="ARIOVALDO FAVALESSA"/>
    <d v="2016-05-11T00:00:00"/>
    <d v="2016-05-12T00:00:00"/>
    <x v="3"/>
    <x v="93"/>
    <x v="4"/>
    <n v="0"/>
    <x v="1"/>
    <n v="0"/>
    <n v="0"/>
    <n v="0"/>
    <x v="1"/>
    <x v="0"/>
    <n v="0"/>
  </r>
  <r>
    <n v="25623100000000"/>
    <x v="1"/>
    <x v="70"/>
    <x v="5"/>
    <s v="SANTO ANDRE"/>
    <d v="2016-05-11T00:00:00"/>
    <d v="2016-05-11T00:00:00"/>
    <x v="1"/>
    <x v="94"/>
    <x v="5"/>
    <n v="0"/>
    <x v="1"/>
    <n v="0"/>
    <n v="0"/>
    <n v="0"/>
    <x v="1"/>
    <x v="0"/>
    <n v="0"/>
  </r>
  <r>
    <n v="7143550000000"/>
    <x v="0"/>
    <x v="23"/>
    <x v="3"/>
    <s v="CENTRO"/>
    <d v="2016-05-11T00:00:00"/>
    <d v="2016-05-24T00:00:00"/>
    <x v="4"/>
    <x v="82"/>
    <x v="2"/>
    <n v="0"/>
    <x v="1"/>
    <n v="0"/>
    <n v="0"/>
    <n v="0"/>
    <x v="0"/>
    <x v="0"/>
    <n v="0"/>
  </r>
  <r>
    <n v="698814000000"/>
    <x v="0"/>
    <x v="36"/>
    <x v="3"/>
    <s v="SANTO ANDRE"/>
    <d v="2016-05-11T00:00:00"/>
    <d v="2016-05-11T00:00:00"/>
    <x v="1"/>
    <x v="94"/>
    <x v="5"/>
    <n v="0"/>
    <x v="1"/>
    <n v="0"/>
    <n v="0"/>
    <n v="0"/>
    <x v="1"/>
    <x v="0"/>
    <n v="0"/>
  </r>
  <r>
    <n v="125637000000"/>
    <x v="1"/>
    <x v="72"/>
    <x v="5"/>
    <s v="MONTE BELO"/>
    <d v="2016-05-11T00:00:00"/>
    <d v="2016-05-18T00:00:00"/>
    <x v="1"/>
    <x v="87"/>
    <x v="3"/>
    <n v="0"/>
    <x v="1"/>
    <n v="0"/>
    <n v="0"/>
    <n v="0"/>
    <x v="1"/>
    <x v="0"/>
    <n v="0"/>
  </r>
  <r>
    <n v="314582000000000"/>
    <x v="0"/>
    <x v="79"/>
    <x v="5"/>
    <s v="BOA VISTA"/>
    <d v="2016-05-11T00:00:00"/>
    <d v="2016-05-11T00:00:00"/>
    <x v="1"/>
    <x v="94"/>
    <x v="5"/>
    <n v="1"/>
    <x v="1"/>
    <n v="0"/>
    <n v="0"/>
    <n v="0"/>
    <x v="1"/>
    <x v="0"/>
    <n v="0"/>
  </r>
  <r>
    <n v="48325700000000"/>
    <x v="0"/>
    <x v="64"/>
    <x v="3"/>
    <s v="MARIA ORTIZ"/>
    <d v="2016-05-11T00:00:00"/>
    <d v="2016-06-07T00:00:00"/>
    <x v="4"/>
    <x v="65"/>
    <x v="1"/>
    <n v="0"/>
    <x v="1"/>
    <n v="0"/>
    <n v="0"/>
    <n v="0"/>
    <x v="0"/>
    <x v="0"/>
    <n v="0"/>
  </r>
  <r>
    <n v="21493600000000"/>
    <x v="1"/>
    <x v="53"/>
    <x v="0"/>
    <s v="SANTA CLARA"/>
    <d v="2016-05-11T00:00:00"/>
    <d v="2016-05-30T00:00:00"/>
    <x v="2"/>
    <x v="77"/>
    <x v="1"/>
    <n v="0"/>
    <x v="0"/>
    <n v="0"/>
    <n v="0"/>
    <n v="0"/>
    <x v="0"/>
    <x v="0"/>
    <n v="0"/>
  </r>
  <r>
    <n v="97556700000000"/>
    <x v="1"/>
    <x v="46"/>
    <x v="2"/>
    <s v="MARIA ORTIZ"/>
    <d v="2016-05-11T00:00:00"/>
    <d v="2016-05-11T00:00:00"/>
    <x v="1"/>
    <x v="94"/>
    <x v="5"/>
    <n v="0"/>
    <x v="1"/>
    <n v="0"/>
    <n v="0"/>
    <n v="0"/>
    <x v="1"/>
    <x v="0"/>
    <n v="0"/>
  </r>
  <r>
    <n v="615663000000"/>
    <x v="0"/>
    <x v="31"/>
    <x v="1"/>
    <s v="SANTA MARTHA"/>
    <d v="2016-05-11T00:00:00"/>
    <d v="2016-05-11T00:00:00"/>
    <x v="1"/>
    <x v="94"/>
    <x v="5"/>
    <n v="0"/>
    <x v="1"/>
    <n v="0"/>
    <n v="0"/>
    <n v="0"/>
    <x v="1"/>
    <x v="0"/>
    <n v="0"/>
  </r>
  <r>
    <n v="88345700000000"/>
    <x v="0"/>
    <x v="11"/>
    <x v="0"/>
    <s v="NOVA PALESTINA"/>
    <d v="2016-05-11T00:00:00"/>
    <d v="2016-05-12T00:00:00"/>
    <x v="3"/>
    <x v="93"/>
    <x v="4"/>
    <n v="0"/>
    <x v="1"/>
    <n v="1"/>
    <n v="0"/>
    <n v="0"/>
    <x v="1"/>
    <x v="0"/>
    <n v="0"/>
  </r>
  <r>
    <n v="94576700000000"/>
    <x v="0"/>
    <x v="54"/>
    <x v="1"/>
    <s v="JARDIM DA PENHA"/>
    <d v="2016-05-11T00:00:00"/>
    <d v="2016-05-18T00:00:00"/>
    <x v="1"/>
    <x v="87"/>
    <x v="3"/>
    <n v="0"/>
    <x v="1"/>
    <n v="0"/>
    <n v="0"/>
    <n v="0"/>
    <x v="1"/>
    <x v="0"/>
    <n v="0"/>
  </r>
  <r>
    <n v="735690000000000"/>
    <x v="1"/>
    <x v="46"/>
    <x v="2"/>
    <s v="BENTO FERREIRA"/>
    <d v="2016-05-11T00:00:00"/>
    <d v="2016-05-16T00:00:00"/>
    <x v="2"/>
    <x v="92"/>
    <x v="3"/>
    <n v="0"/>
    <x v="1"/>
    <n v="0"/>
    <n v="0"/>
    <n v="0"/>
    <x v="1"/>
    <x v="0"/>
    <n v="0"/>
  </r>
  <r>
    <n v="5586570000000"/>
    <x v="1"/>
    <x v="65"/>
    <x v="2"/>
    <s v="GRANDE VITORIA"/>
    <d v="2016-05-11T00:00:00"/>
    <d v="2016-06-01T00:00:00"/>
    <x v="1"/>
    <x v="73"/>
    <x v="1"/>
    <n v="0"/>
    <x v="1"/>
    <n v="0"/>
    <n v="0"/>
    <n v="0"/>
    <x v="0"/>
    <x v="0"/>
    <n v="0"/>
  </r>
  <r>
    <n v="544337000000000"/>
    <x v="0"/>
    <x v="33"/>
    <x v="4"/>
    <s v="MARIA ORTIZ"/>
    <d v="2016-05-11T00:00:00"/>
    <d v="2016-05-11T00:00:00"/>
    <x v="1"/>
    <x v="94"/>
    <x v="5"/>
    <n v="0"/>
    <x v="1"/>
    <n v="0"/>
    <n v="0"/>
    <n v="0"/>
    <x v="1"/>
    <x v="0"/>
    <n v="0"/>
  </r>
  <r>
    <n v="93743300000000"/>
    <x v="0"/>
    <x v="46"/>
    <x v="2"/>
    <s v="DO QUADRO"/>
    <d v="2016-05-11T00:00:00"/>
    <d v="2016-05-18T00:00:00"/>
    <x v="1"/>
    <x v="87"/>
    <x v="3"/>
    <n v="0"/>
    <x v="1"/>
    <n v="0"/>
    <n v="0"/>
    <n v="0"/>
    <x v="1"/>
    <x v="0"/>
    <n v="0"/>
  </r>
  <r>
    <n v="793380000000"/>
    <x v="1"/>
    <x v="30"/>
    <x v="3"/>
    <s v="JABOUR"/>
    <d v="2016-05-11T00:00:00"/>
    <d v="2016-05-11T00:00:00"/>
    <x v="1"/>
    <x v="94"/>
    <x v="5"/>
    <n v="0"/>
    <x v="1"/>
    <n v="0"/>
    <n v="0"/>
    <n v="0"/>
    <x v="1"/>
    <x v="0"/>
    <n v="0"/>
  </r>
  <r>
    <n v="8592820000000"/>
    <x v="0"/>
    <x v="55"/>
    <x v="2"/>
    <s v="ILHA DO PRINCIPE"/>
    <d v="2016-05-11T00:00:00"/>
    <d v="2016-05-11T00:00:00"/>
    <x v="1"/>
    <x v="94"/>
    <x v="5"/>
    <n v="1"/>
    <x v="1"/>
    <n v="0"/>
    <n v="0"/>
    <n v="0"/>
    <x v="1"/>
    <x v="0"/>
    <n v="0"/>
  </r>
  <r>
    <n v="41197900000000"/>
    <x v="0"/>
    <x v="40"/>
    <x v="1"/>
    <s v="SANTA LUCIA"/>
    <d v="2016-05-11T00:00:00"/>
    <d v="2016-05-18T00:00:00"/>
    <x v="1"/>
    <x v="87"/>
    <x v="3"/>
    <n v="0"/>
    <x v="1"/>
    <n v="0"/>
    <n v="0"/>
    <n v="0"/>
    <x v="1"/>
    <x v="0"/>
    <n v="0"/>
  </r>
  <r>
    <n v="39934354681"/>
    <x v="0"/>
    <x v="41"/>
    <x v="4"/>
    <s v="GOIABEIRAS"/>
    <d v="2016-05-11T00:00:00"/>
    <d v="2016-06-01T00:00:00"/>
    <x v="1"/>
    <x v="73"/>
    <x v="1"/>
    <n v="0"/>
    <x v="1"/>
    <n v="0"/>
    <n v="0"/>
    <n v="0"/>
    <x v="0"/>
    <x v="0"/>
    <n v="0"/>
  </r>
  <r>
    <n v="1269422141"/>
    <x v="0"/>
    <x v="42"/>
    <x v="3"/>
    <s v="SANTO ANTONIO"/>
    <d v="2016-05-11T00:00:00"/>
    <d v="2016-05-11T00:00:00"/>
    <x v="1"/>
    <x v="94"/>
    <x v="5"/>
    <n v="0"/>
    <x v="0"/>
    <n v="0"/>
    <n v="0"/>
    <n v="0"/>
    <x v="1"/>
    <x v="0"/>
    <n v="0"/>
  </r>
  <r>
    <n v="3647260000000"/>
    <x v="0"/>
    <x v="4"/>
    <x v="2"/>
    <s v="CARATOIRA"/>
    <d v="2016-05-11T00:00:00"/>
    <d v="2016-05-12T00:00:00"/>
    <x v="3"/>
    <x v="93"/>
    <x v="4"/>
    <n v="0"/>
    <x v="1"/>
    <n v="0"/>
    <n v="0"/>
    <n v="0"/>
    <x v="1"/>
    <x v="1"/>
    <n v="1"/>
  </r>
  <r>
    <n v="3416460000000"/>
    <x v="1"/>
    <x v="27"/>
    <x v="3"/>
    <s v="CARATOIRA"/>
    <d v="2016-05-11T00:00:00"/>
    <d v="2016-05-14T00:00:00"/>
    <x v="5"/>
    <x v="89"/>
    <x v="4"/>
    <n v="0"/>
    <x v="0"/>
    <n v="0"/>
    <n v="1"/>
    <n v="0"/>
    <x v="1"/>
    <x v="0"/>
    <n v="0"/>
  </r>
  <r>
    <n v="1498810000000"/>
    <x v="1"/>
    <x v="24"/>
    <x v="1"/>
    <s v="FORTE SAO JOAO"/>
    <d v="2016-05-11T00:00:00"/>
    <d v="2016-05-18T00:00:00"/>
    <x v="1"/>
    <x v="87"/>
    <x v="3"/>
    <n v="0"/>
    <x v="0"/>
    <n v="0"/>
    <n v="0"/>
    <n v="0"/>
    <x v="1"/>
    <x v="0"/>
    <n v="0"/>
  </r>
  <r>
    <n v="432276000000000"/>
    <x v="0"/>
    <x v="18"/>
    <x v="0"/>
    <s v="SANTA MARTHA"/>
    <d v="2016-05-11T00:00:00"/>
    <d v="2016-05-19T00:00:00"/>
    <x v="3"/>
    <x v="88"/>
    <x v="2"/>
    <n v="0"/>
    <x v="0"/>
    <n v="0"/>
    <n v="0"/>
    <n v="0"/>
    <x v="1"/>
    <x v="0"/>
    <n v="0"/>
  </r>
  <r>
    <n v="9472660000000"/>
    <x v="0"/>
    <x v="37"/>
    <x v="3"/>
    <s v="BENTO FERREIRA"/>
    <d v="2016-05-11T00:00:00"/>
    <d v="2016-05-11T00:00:00"/>
    <x v="1"/>
    <x v="94"/>
    <x v="5"/>
    <n v="0"/>
    <x v="1"/>
    <n v="0"/>
    <n v="0"/>
    <n v="1"/>
    <x v="1"/>
    <x v="0"/>
    <n v="0"/>
  </r>
  <r>
    <n v="1423770000000"/>
    <x v="0"/>
    <x v="73"/>
    <x v="4"/>
    <s v="INHANGUETA"/>
    <d v="2016-05-11T00:00:00"/>
    <d v="2016-05-13T00:00:00"/>
    <x v="0"/>
    <x v="91"/>
    <x v="4"/>
    <n v="0"/>
    <x v="1"/>
    <n v="0"/>
    <n v="0"/>
    <n v="0"/>
    <x v="1"/>
    <x v="1"/>
    <n v="1"/>
  </r>
  <r>
    <n v="647522000000000"/>
    <x v="0"/>
    <x v="47"/>
    <x v="4"/>
    <s v="JARDIM DA PENHA"/>
    <d v="2016-05-11T00:00:00"/>
    <d v="2016-05-11T00:00:00"/>
    <x v="1"/>
    <x v="94"/>
    <x v="5"/>
    <n v="0"/>
    <x v="1"/>
    <n v="0"/>
    <n v="0"/>
    <n v="0"/>
    <x v="1"/>
    <x v="0"/>
    <n v="0"/>
  </r>
  <r>
    <n v="9333120000000"/>
    <x v="0"/>
    <x v="42"/>
    <x v="3"/>
    <s v="JOANA D ARC"/>
    <d v="2016-05-11T00:00:00"/>
    <d v="2016-05-12T00:00:00"/>
    <x v="3"/>
    <x v="93"/>
    <x v="4"/>
    <n v="0"/>
    <x v="1"/>
    <n v="0"/>
    <n v="0"/>
    <n v="0"/>
    <x v="1"/>
    <x v="0"/>
    <n v="0"/>
  </r>
  <r>
    <n v="43642500000000"/>
    <x v="0"/>
    <x v="74"/>
    <x v="1"/>
    <s v="MARIA ORTIZ"/>
    <d v="2016-05-11T00:00:00"/>
    <d v="2016-05-11T00:00:00"/>
    <x v="1"/>
    <x v="94"/>
    <x v="5"/>
    <n v="0"/>
    <x v="1"/>
    <n v="0"/>
    <n v="0"/>
    <n v="0"/>
    <x v="1"/>
    <x v="0"/>
    <n v="0"/>
  </r>
  <r>
    <n v="54954000000000"/>
    <x v="0"/>
    <x v="29"/>
    <x v="3"/>
    <s v="ILHA DE SANTA MARIA"/>
    <d v="2016-05-11T00:00:00"/>
    <d v="2016-05-18T00:00:00"/>
    <x v="1"/>
    <x v="87"/>
    <x v="3"/>
    <n v="0"/>
    <x v="1"/>
    <n v="0"/>
    <n v="1"/>
    <n v="0"/>
    <x v="1"/>
    <x v="1"/>
    <n v="1"/>
  </r>
  <r>
    <n v="841613000000000"/>
    <x v="0"/>
    <x v="47"/>
    <x v="4"/>
    <s v="ROMAO"/>
    <d v="2016-05-11T00:00:00"/>
    <d v="2016-05-20T00:00:00"/>
    <x v="0"/>
    <x v="85"/>
    <x v="2"/>
    <n v="0"/>
    <x v="1"/>
    <n v="0"/>
    <n v="0"/>
    <n v="0"/>
    <x v="1"/>
    <x v="1"/>
    <n v="1"/>
  </r>
  <r>
    <n v="28985500000000"/>
    <x v="0"/>
    <x v="23"/>
    <x v="3"/>
    <s v="JESUS DE NAZARETH"/>
    <d v="2016-05-11T00:00:00"/>
    <d v="2016-05-13T00:00:00"/>
    <x v="0"/>
    <x v="91"/>
    <x v="4"/>
    <n v="1"/>
    <x v="0"/>
    <n v="0"/>
    <n v="0"/>
    <n v="0"/>
    <x v="1"/>
    <x v="0"/>
    <n v="0"/>
  </r>
  <r>
    <n v="7965130000000"/>
    <x v="1"/>
    <x v="54"/>
    <x v="1"/>
    <s v="SANTA TEREZA"/>
    <d v="2016-05-11T00:00:00"/>
    <d v="2016-05-16T00:00:00"/>
    <x v="2"/>
    <x v="92"/>
    <x v="3"/>
    <n v="0"/>
    <x v="1"/>
    <n v="0"/>
    <n v="0"/>
    <n v="0"/>
    <x v="1"/>
    <x v="0"/>
    <n v="0"/>
  </r>
  <r>
    <n v="28739964825"/>
    <x v="1"/>
    <x v="77"/>
    <x v="4"/>
    <s v="JARDIM CAMBURI"/>
    <d v="2016-05-11T00:00:00"/>
    <d v="2016-05-16T00:00:00"/>
    <x v="2"/>
    <x v="92"/>
    <x v="3"/>
    <n v="0"/>
    <x v="1"/>
    <n v="0"/>
    <n v="0"/>
    <n v="0"/>
    <x v="1"/>
    <x v="0"/>
    <n v="0"/>
  </r>
  <r>
    <n v="151664000000000"/>
    <x v="1"/>
    <x v="54"/>
    <x v="1"/>
    <s v="JARDIM CAMBURI"/>
    <d v="2016-05-11T00:00:00"/>
    <d v="2016-05-16T00:00:00"/>
    <x v="2"/>
    <x v="92"/>
    <x v="3"/>
    <n v="0"/>
    <x v="1"/>
    <n v="0"/>
    <n v="0"/>
    <n v="0"/>
    <x v="1"/>
    <x v="1"/>
    <n v="1"/>
  </r>
  <r>
    <n v="2465650000000"/>
    <x v="0"/>
    <x v="47"/>
    <x v="4"/>
    <s v="ITARARE"/>
    <d v="2016-05-11T00:00:00"/>
    <d v="2016-05-11T00:00:00"/>
    <x v="1"/>
    <x v="94"/>
    <x v="5"/>
    <n v="0"/>
    <x v="1"/>
    <n v="0"/>
    <n v="0"/>
    <n v="1"/>
    <x v="1"/>
    <x v="0"/>
    <n v="0"/>
  </r>
  <r>
    <n v="667297000000000"/>
    <x v="1"/>
    <x v="52"/>
    <x v="2"/>
    <s v="GRANDE VITORIA"/>
    <d v="2016-05-11T00:00:00"/>
    <d v="2016-05-17T00:00:00"/>
    <x v="4"/>
    <x v="90"/>
    <x v="3"/>
    <n v="0"/>
    <x v="1"/>
    <n v="0"/>
    <n v="0"/>
    <n v="0"/>
    <x v="1"/>
    <x v="1"/>
    <n v="1"/>
  </r>
  <r>
    <n v="416753000000000"/>
    <x v="0"/>
    <x v="95"/>
    <x v="0"/>
    <s v="ANDORINHAS"/>
    <d v="2016-05-11T00:00:00"/>
    <d v="2016-05-11T00:00:00"/>
    <x v="1"/>
    <x v="94"/>
    <x v="5"/>
    <n v="0"/>
    <x v="0"/>
    <n v="0"/>
    <n v="0"/>
    <n v="0"/>
    <x v="1"/>
    <x v="0"/>
    <n v="0"/>
  </r>
  <r>
    <n v="9426680000000"/>
    <x v="0"/>
    <x v="57"/>
    <x v="2"/>
    <s v="DA PENHA"/>
    <d v="2016-05-11T00:00:00"/>
    <d v="2016-05-18T00:00:00"/>
    <x v="1"/>
    <x v="87"/>
    <x v="3"/>
    <n v="0"/>
    <x v="1"/>
    <n v="0"/>
    <n v="0"/>
    <n v="0"/>
    <x v="1"/>
    <x v="0"/>
    <n v="0"/>
  </r>
  <r>
    <n v="134673000000000"/>
    <x v="0"/>
    <x v="69"/>
    <x v="4"/>
    <s v="BONFIM"/>
    <d v="2016-05-11T00:00:00"/>
    <d v="2016-05-11T00:00:00"/>
    <x v="1"/>
    <x v="94"/>
    <x v="5"/>
    <n v="0"/>
    <x v="1"/>
    <n v="0"/>
    <n v="0"/>
    <n v="0"/>
    <x v="1"/>
    <x v="0"/>
    <n v="0"/>
  </r>
  <r>
    <n v="1969790000000"/>
    <x v="0"/>
    <x v="87"/>
    <x v="1"/>
    <s v="ROMAO"/>
    <d v="2016-05-11T00:00:00"/>
    <d v="2016-05-11T00:00:00"/>
    <x v="1"/>
    <x v="94"/>
    <x v="5"/>
    <n v="1"/>
    <x v="1"/>
    <n v="0"/>
    <n v="0"/>
    <n v="0"/>
    <x v="1"/>
    <x v="0"/>
    <n v="0"/>
  </r>
  <r>
    <n v="969417000000000"/>
    <x v="0"/>
    <x v="79"/>
    <x v="5"/>
    <s v="JABOUR"/>
    <d v="2016-05-11T00:00:00"/>
    <d v="2016-06-06T00:00:00"/>
    <x v="2"/>
    <x v="68"/>
    <x v="1"/>
    <n v="0"/>
    <x v="1"/>
    <n v="0"/>
    <n v="0"/>
    <n v="0"/>
    <x v="0"/>
    <x v="1"/>
    <n v="1"/>
  </r>
  <r>
    <n v="5879530000000"/>
    <x v="1"/>
    <x v="75"/>
    <x v="5"/>
    <s v="JESUS DE NAZARETH"/>
    <d v="2016-05-11T00:00:00"/>
    <d v="2016-06-06T00:00:00"/>
    <x v="2"/>
    <x v="68"/>
    <x v="1"/>
    <n v="0"/>
    <x v="1"/>
    <n v="0"/>
    <n v="0"/>
    <n v="0"/>
    <x v="1"/>
    <x v="0"/>
    <n v="0"/>
  </r>
  <r>
    <n v="17693800000000"/>
    <x v="1"/>
    <x v="46"/>
    <x v="2"/>
    <s v="JESUS DE NAZARETH"/>
    <d v="2016-05-11T00:00:00"/>
    <d v="2016-05-13T00:00:00"/>
    <x v="0"/>
    <x v="91"/>
    <x v="4"/>
    <n v="0"/>
    <x v="1"/>
    <n v="0"/>
    <n v="0"/>
    <n v="0"/>
    <x v="1"/>
    <x v="0"/>
    <n v="0"/>
  </r>
  <r>
    <n v="4517440000000"/>
    <x v="1"/>
    <x v="37"/>
    <x v="3"/>
    <s v="DE LOURDES"/>
    <d v="2016-05-11T00:00:00"/>
    <d v="2016-05-19T00:00:00"/>
    <x v="3"/>
    <x v="88"/>
    <x v="2"/>
    <n v="0"/>
    <x v="0"/>
    <n v="0"/>
    <n v="1"/>
    <n v="0"/>
    <x v="1"/>
    <x v="1"/>
    <n v="1"/>
  </r>
  <r>
    <n v="13429200000000"/>
    <x v="0"/>
    <x v="31"/>
    <x v="1"/>
    <s v="ANDORINHAS"/>
    <d v="2016-05-11T00:00:00"/>
    <d v="2016-05-18T00:00:00"/>
    <x v="1"/>
    <x v="87"/>
    <x v="3"/>
    <n v="0"/>
    <x v="1"/>
    <n v="0"/>
    <n v="0"/>
    <n v="0"/>
    <x v="1"/>
    <x v="0"/>
    <n v="0"/>
  </r>
  <r>
    <n v="923566000000000"/>
    <x v="1"/>
    <x v="62"/>
    <x v="3"/>
    <s v="CARATOIRA"/>
    <d v="2016-05-11T00:00:00"/>
    <d v="2016-05-16T00:00:00"/>
    <x v="2"/>
    <x v="92"/>
    <x v="3"/>
    <n v="0"/>
    <x v="0"/>
    <n v="0"/>
    <n v="1"/>
    <n v="0"/>
    <x v="1"/>
    <x v="0"/>
    <n v="0"/>
  </r>
  <r>
    <n v="386621000000000"/>
    <x v="1"/>
    <x v="16"/>
    <x v="1"/>
    <s v="MARIO CYPRESTE"/>
    <d v="2016-05-11T00:00:00"/>
    <d v="2016-05-11T00:00:00"/>
    <x v="1"/>
    <x v="94"/>
    <x v="5"/>
    <n v="0"/>
    <x v="1"/>
    <n v="0"/>
    <n v="0"/>
    <n v="0"/>
    <x v="1"/>
    <x v="0"/>
    <n v="0"/>
  </r>
  <r>
    <n v="3417840000000"/>
    <x v="0"/>
    <x v="48"/>
    <x v="3"/>
    <s v="BARRO VERMELHO"/>
    <d v="2016-05-11T00:00:00"/>
    <d v="2016-05-11T00:00:00"/>
    <x v="1"/>
    <x v="94"/>
    <x v="5"/>
    <n v="0"/>
    <x v="1"/>
    <n v="0"/>
    <n v="0"/>
    <n v="0"/>
    <x v="1"/>
    <x v="1"/>
    <n v="1"/>
  </r>
  <r>
    <n v="933583000000000"/>
    <x v="0"/>
    <x v="10"/>
    <x v="4"/>
    <s v="SANTA MARTHA"/>
    <d v="2016-05-11T00:00:00"/>
    <d v="2016-05-11T00:00:00"/>
    <x v="1"/>
    <x v="94"/>
    <x v="5"/>
    <n v="0"/>
    <x v="1"/>
    <n v="0"/>
    <n v="0"/>
    <n v="0"/>
    <x v="1"/>
    <x v="0"/>
    <n v="0"/>
  </r>
  <r>
    <n v="96536700000000"/>
    <x v="0"/>
    <x v="52"/>
    <x v="2"/>
    <s v="ROMAO"/>
    <d v="2016-05-11T00:00:00"/>
    <d v="2016-05-11T00:00:00"/>
    <x v="1"/>
    <x v="94"/>
    <x v="5"/>
    <n v="0"/>
    <x v="1"/>
    <n v="0"/>
    <n v="0"/>
    <n v="0"/>
    <x v="1"/>
    <x v="0"/>
    <n v="0"/>
  </r>
  <r>
    <n v="145520000000000"/>
    <x v="0"/>
    <x v="81"/>
    <x v="5"/>
    <s v="BELA VISTA"/>
    <d v="2016-05-11T00:00:00"/>
    <d v="2016-05-11T00:00:00"/>
    <x v="1"/>
    <x v="94"/>
    <x v="5"/>
    <n v="0"/>
    <x v="1"/>
    <n v="0"/>
    <n v="0"/>
    <n v="0"/>
    <x v="1"/>
    <x v="0"/>
    <n v="0"/>
  </r>
  <r>
    <n v="85987700000000"/>
    <x v="0"/>
    <x v="79"/>
    <x v="5"/>
    <s v="PRAIA DO SUA"/>
    <d v="2016-05-11T00:00:00"/>
    <d v="2016-05-11T00:00:00"/>
    <x v="1"/>
    <x v="94"/>
    <x v="5"/>
    <n v="1"/>
    <x v="1"/>
    <n v="0"/>
    <n v="0"/>
    <n v="0"/>
    <x v="1"/>
    <x v="0"/>
    <n v="0"/>
  </r>
  <r>
    <n v="4229140000000"/>
    <x v="0"/>
    <x v="95"/>
    <x v="0"/>
    <s v="SANTA MARTHA"/>
    <d v="2016-05-11T00:00:00"/>
    <d v="2016-05-12T00:00:00"/>
    <x v="3"/>
    <x v="93"/>
    <x v="4"/>
    <n v="0"/>
    <x v="0"/>
    <n v="0"/>
    <n v="0"/>
    <n v="0"/>
    <x v="1"/>
    <x v="0"/>
    <n v="0"/>
  </r>
  <r>
    <n v="66379100000000"/>
    <x v="0"/>
    <x v="25"/>
    <x v="4"/>
    <s v="SANTO ANDRE"/>
    <d v="2016-05-11T00:00:00"/>
    <d v="2016-05-11T00:00:00"/>
    <x v="1"/>
    <x v="94"/>
    <x v="5"/>
    <n v="1"/>
    <x v="1"/>
    <n v="0"/>
    <n v="0"/>
    <n v="0"/>
    <x v="1"/>
    <x v="0"/>
    <n v="0"/>
  </r>
  <r>
    <n v="165726000000000"/>
    <x v="0"/>
    <x v="67"/>
    <x v="4"/>
    <s v="TABUAZEIRO"/>
    <d v="2016-05-11T00:00:00"/>
    <d v="2016-05-11T00:00:00"/>
    <x v="1"/>
    <x v="94"/>
    <x v="5"/>
    <n v="0"/>
    <x v="1"/>
    <n v="0"/>
    <n v="0"/>
    <n v="0"/>
    <x v="1"/>
    <x v="0"/>
    <n v="0"/>
  </r>
  <r>
    <n v="416292000000000"/>
    <x v="0"/>
    <x v="21"/>
    <x v="1"/>
    <s v="ILHA DO PRINCIPE"/>
    <d v="2016-05-11T00:00:00"/>
    <d v="2016-05-11T00:00:00"/>
    <x v="1"/>
    <x v="94"/>
    <x v="5"/>
    <n v="0"/>
    <x v="0"/>
    <n v="0"/>
    <n v="0"/>
    <n v="0"/>
    <x v="1"/>
    <x v="0"/>
    <n v="0"/>
  </r>
  <r>
    <n v="592828000000"/>
    <x v="1"/>
    <x v="64"/>
    <x v="3"/>
    <s v="JARDIM DA PENHA"/>
    <d v="2016-05-11T00:00:00"/>
    <d v="2016-05-11T00:00:00"/>
    <x v="1"/>
    <x v="94"/>
    <x v="5"/>
    <n v="0"/>
    <x v="0"/>
    <n v="0"/>
    <n v="0"/>
    <n v="0"/>
    <x v="1"/>
    <x v="0"/>
    <n v="0"/>
  </r>
  <r>
    <n v="115328000000"/>
    <x v="0"/>
    <x v="78"/>
    <x v="0"/>
    <s v="PRAIA DO SUA"/>
    <d v="2016-05-11T00:00:00"/>
    <d v="2016-05-13T00:00:00"/>
    <x v="0"/>
    <x v="91"/>
    <x v="4"/>
    <n v="0"/>
    <x v="0"/>
    <n v="0"/>
    <n v="0"/>
    <n v="0"/>
    <x v="1"/>
    <x v="0"/>
    <n v="0"/>
  </r>
  <r>
    <n v="54782200000000"/>
    <x v="0"/>
    <x v="84"/>
    <x v="1"/>
    <s v="MARIA ORTIZ"/>
    <d v="2016-05-11T00:00:00"/>
    <d v="2016-05-11T00:00:00"/>
    <x v="1"/>
    <x v="94"/>
    <x v="5"/>
    <n v="0"/>
    <x v="1"/>
    <n v="0"/>
    <n v="0"/>
    <n v="0"/>
    <x v="1"/>
    <x v="0"/>
    <n v="0"/>
  </r>
  <r>
    <n v="472248000000000"/>
    <x v="0"/>
    <x v="68"/>
    <x v="4"/>
    <s v="ILHA DE SANTA MARIA"/>
    <d v="2016-05-11T00:00:00"/>
    <d v="2016-05-18T00:00:00"/>
    <x v="1"/>
    <x v="87"/>
    <x v="3"/>
    <n v="0"/>
    <x v="1"/>
    <n v="0"/>
    <n v="0"/>
    <n v="0"/>
    <x v="1"/>
    <x v="0"/>
    <n v="0"/>
  </r>
  <r>
    <n v="314587000000000"/>
    <x v="0"/>
    <x v="40"/>
    <x v="1"/>
    <s v="REDENCAO"/>
    <d v="2016-05-11T00:00:00"/>
    <d v="2016-05-11T00:00:00"/>
    <x v="1"/>
    <x v="94"/>
    <x v="5"/>
    <n v="1"/>
    <x v="1"/>
    <n v="0"/>
    <n v="0"/>
    <n v="0"/>
    <x v="1"/>
    <x v="0"/>
    <n v="0"/>
  </r>
  <r>
    <n v="65959800000000"/>
    <x v="0"/>
    <x v="64"/>
    <x v="3"/>
    <s v="SANTA MARTHA"/>
    <d v="2016-05-11T00:00:00"/>
    <d v="2016-05-11T00:00:00"/>
    <x v="1"/>
    <x v="94"/>
    <x v="5"/>
    <n v="0"/>
    <x v="1"/>
    <n v="0"/>
    <n v="0"/>
    <n v="0"/>
    <x v="1"/>
    <x v="0"/>
    <n v="0"/>
  </r>
  <r>
    <n v="28649700000000"/>
    <x v="1"/>
    <x v="24"/>
    <x v="1"/>
    <s v="DO CABRAL"/>
    <d v="2016-05-11T00:00:00"/>
    <d v="2016-05-11T00:00:00"/>
    <x v="1"/>
    <x v="94"/>
    <x v="5"/>
    <n v="0"/>
    <x v="1"/>
    <n v="0"/>
    <n v="0"/>
    <n v="1"/>
    <x v="1"/>
    <x v="0"/>
    <n v="0"/>
  </r>
  <r>
    <n v="364522000000"/>
    <x v="1"/>
    <x v="66"/>
    <x v="2"/>
    <s v="TABUAZEIRO"/>
    <d v="2016-05-11T00:00:00"/>
    <d v="2016-05-11T00:00:00"/>
    <x v="1"/>
    <x v="94"/>
    <x v="5"/>
    <n v="1"/>
    <x v="1"/>
    <n v="0"/>
    <n v="0"/>
    <n v="0"/>
    <x v="1"/>
    <x v="1"/>
    <n v="1"/>
  </r>
  <r>
    <n v="8464660000000"/>
    <x v="1"/>
    <x v="32"/>
    <x v="4"/>
    <s v="HORTO"/>
    <d v="2016-05-11T00:00:00"/>
    <d v="2016-05-13T00:00:00"/>
    <x v="0"/>
    <x v="91"/>
    <x v="4"/>
    <n v="0"/>
    <x v="1"/>
    <n v="0"/>
    <n v="0"/>
    <n v="0"/>
    <x v="1"/>
    <x v="1"/>
    <n v="1"/>
  </r>
  <r>
    <n v="367435000000000"/>
    <x v="0"/>
    <x v="0"/>
    <x v="0"/>
    <s v="CONSOLACAO"/>
    <d v="2016-05-11T00:00:00"/>
    <d v="2016-05-13T00:00:00"/>
    <x v="0"/>
    <x v="91"/>
    <x v="4"/>
    <n v="0"/>
    <x v="0"/>
    <n v="0"/>
    <n v="0"/>
    <n v="0"/>
    <x v="1"/>
    <x v="0"/>
    <n v="0"/>
  </r>
  <r>
    <n v="8451970000000"/>
    <x v="0"/>
    <x v="22"/>
    <x v="4"/>
    <s v="GRANDE VITORIA"/>
    <d v="2016-05-11T00:00:00"/>
    <d v="2016-05-25T00:00:00"/>
    <x v="1"/>
    <x v="80"/>
    <x v="2"/>
    <n v="0"/>
    <x v="1"/>
    <n v="0"/>
    <n v="0"/>
    <n v="0"/>
    <x v="0"/>
    <x v="0"/>
    <n v="0"/>
  </r>
  <r>
    <n v="63564000000000"/>
    <x v="0"/>
    <x v="21"/>
    <x v="1"/>
    <s v="BARRO VERMELHO"/>
    <d v="2016-05-11T00:00:00"/>
    <d v="2016-05-31T00:00:00"/>
    <x v="4"/>
    <x v="76"/>
    <x v="1"/>
    <n v="0"/>
    <x v="1"/>
    <n v="0"/>
    <n v="0"/>
    <n v="0"/>
    <x v="0"/>
    <x v="0"/>
    <n v="0"/>
  </r>
  <r>
    <n v="9253480000000"/>
    <x v="0"/>
    <x v="79"/>
    <x v="5"/>
    <s v="ILHA DO PRINCIPE"/>
    <d v="2016-05-11T00:00:00"/>
    <d v="2016-05-19T00:00:00"/>
    <x v="3"/>
    <x v="88"/>
    <x v="2"/>
    <n v="1"/>
    <x v="1"/>
    <n v="0"/>
    <n v="0"/>
    <n v="0"/>
    <x v="1"/>
    <x v="0"/>
    <n v="0"/>
  </r>
  <r>
    <n v="552652000000"/>
    <x v="0"/>
    <x v="17"/>
    <x v="4"/>
    <s v="JARDIM CAMBURI"/>
    <d v="2016-05-11T00:00:00"/>
    <d v="2016-05-11T00:00:00"/>
    <x v="1"/>
    <x v="94"/>
    <x v="5"/>
    <n v="0"/>
    <x v="1"/>
    <n v="0"/>
    <n v="0"/>
    <n v="0"/>
    <x v="1"/>
    <x v="0"/>
    <n v="0"/>
  </r>
  <r>
    <n v="7859970000000"/>
    <x v="1"/>
    <x v="52"/>
    <x v="2"/>
    <s v="JABOUR"/>
    <d v="2016-05-11T00:00:00"/>
    <d v="2016-06-06T00:00:00"/>
    <x v="2"/>
    <x v="68"/>
    <x v="1"/>
    <n v="0"/>
    <x v="1"/>
    <n v="0"/>
    <n v="0"/>
    <n v="0"/>
    <x v="0"/>
    <x v="0"/>
    <n v="0"/>
  </r>
  <r>
    <n v="98544300000000"/>
    <x v="1"/>
    <x v="57"/>
    <x v="2"/>
    <s v="JUCUTUQUARA"/>
    <d v="2016-05-11T00:00:00"/>
    <d v="2016-05-13T00:00:00"/>
    <x v="0"/>
    <x v="91"/>
    <x v="4"/>
    <n v="0"/>
    <x v="1"/>
    <n v="0"/>
    <n v="0"/>
    <n v="0"/>
    <x v="1"/>
    <x v="0"/>
    <n v="0"/>
  </r>
  <r>
    <n v="5315860000000"/>
    <x v="0"/>
    <x v="31"/>
    <x v="1"/>
    <s v="ANDORINHAS"/>
    <d v="2016-05-11T00:00:00"/>
    <d v="2016-05-25T00:00:00"/>
    <x v="1"/>
    <x v="80"/>
    <x v="2"/>
    <n v="0"/>
    <x v="1"/>
    <n v="0"/>
    <n v="0"/>
    <n v="0"/>
    <x v="0"/>
    <x v="0"/>
    <n v="0"/>
  </r>
  <r>
    <n v="87629200000000"/>
    <x v="0"/>
    <x v="7"/>
    <x v="3"/>
    <s v="JARDIM CAMBURI"/>
    <d v="2016-05-11T00:00:00"/>
    <d v="2016-05-11T00:00:00"/>
    <x v="1"/>
    <x v="94"/>
    <x v="5"/>
    <n v="0"/>
    <x v="1"/>
    <n v="0"/>
    <n v="0"/>
    <n v="0"/>
    <x v="1"/>
    <x v="0"/>
    <n v="0"/>
  </r>
  <r>
    <n v="748650000000"/>
    <x v="1"/>
    <x v="4"/>
    <x v="2"/>
    <s v="JOANA D ARC"/>
    <d v="2016-05-11T00:00:00"/>
    <d v="2016-05-11T00:00:00"/>
    <x v="1"/>
    <x v="94"/>
    <x v="5"/>
    <n v="0"/>
    <x v="1"/>
    <n v="0"/>
    <n v="0"/>
    <n v="0"/>
    <x v="1"/>
    <x v="0"/>
    <n v="0"/>
  </r>
  <r>
    <n v="717821000000000"/>
    <x v="1"/>
    <x v="87"/>
    <x v="1"/>
    <s v="DO CABRAL"/>
    <d v="2016-05-11T00:00:00"/>
    <d v="2016-05-17T00:00:00"/>
    <x v="4"/>
    <x v="90"/>
    <x v="3"/>
    <n v="0"/>
    <x v="1"/>
    <n v="0"/>
    <n v="0"/>
    <n v="0"/>
    <x v="1"/>
    <x v="1"/>
    <n v="1"/>
  </r>
  <r>
    <n v="943133000000000"/>
    <x v="0"/>
    <x v="92"/>
    <x v="0"/>
    <s v="MARIO CYPRESTE"/>
    <d v="2016-05-11T00:00:00"/>
    <d v="2016-05-16T00:00:00"/>
    <x v="2"/>
    <x v="92"/>
    <x v="3"/>
    <n v="0"/>
    <x v="0"/>
    <n v="1"/>
    <n v="0"/>
    <n v="0"/>
    <x v="1"/>
    <x v="0"/>
    <n v="0"/>
  </r>
  <r>
    <n v="6318830000000"/>
    <x v="1"/>
    <x v="36"/>
    <x v="3"/>
    <s v="RESISTENCIA"/>
    <d v="2016-05-11T00:00:00"/>
    <d v="2016-05-16T00:00:00"/>
    <x v="2"/>
    <x v="92"/>
    <x v="3"/>
    <n v="0"/>
    <x v="0"/>
    <n v="0"/>
    <n v="1"/>
    <n v="0"/>
    <x v="1"/>
    <x v="1"/>
    <n v="1"/>
  </r>
  <r>
    <n v="83448486233"/>
    <x v="0"/>
    <x v="17"/>
    <x v="4"/>
    <s v="SAO PEDRO"/>
    <d v="2016-05-11T00:00:00"/>
    <d v="2016-05-18T00:00:00"/>
    <x v="1"/>
    <x v="87"/>
    <x v="3"/>
    <n v="1"/>
    <x v="1"/>
    <n v="0"/>
    <n v="0"/>
    <n v="0"/>
    <x v="1"/>
    <x v="1"/>
    <n v="1"/>
  </r>
  <r>
    <n v="4844650000000"/>
    <x v="0"/>
    <x v="14"/>
    <x v="3"/>
    <s v="BELA VISTA"/>
    <d v="2016-05-11T00:00:00"/>
    <d v="2016-05-18T00:00:00"/>
    <x v="1"/>
    <x v="87"/>
    <x v="3"/>
    <n v="0"/>
    <x v="0"/>
    <n v="0"/>
    <n v="0"/>
    <n v="0"/>
    <x v="1"/>
    <x v="0"/>
    <n v="0"/>
  </r>
  <r>
    <n v="56168600000000"/>
    <x v="0"/>
    <x v="26"/>
    <x v="0"/>
    <s v="ROMAO"/>
    <d v="2016-05-11T00:00:00"/>
    <d v="2016-05-16T00:00:00"/>
    <x v="2"/>
    <x v="92"/>
    <x v="3"/>
    <n v="1"/>
    <x v="0"/>
    <n v="0"/>
    <n v="1"/>
    <n v="0"/>
    <x v="1"/>
    <x v="1"/>
    <n v="1"/>
  </r>
  <r>
    <n v="3764170000000"/>
    <x v="0"/>
    <x v="0"/>
    <x v="0"/>
    <s v="ILHA DE SANTA MARIA"/>
    <d v="2016-05-11T00:00:00"/>
    <d v="2016-05-30T00:00:00"/>
    <x v="2"/>
    <x v="77"/>
    <x v="1"/>
    <n v="0"/>
    <x v="1"/>
    <n v="0"/>
    <n v="0"/>
    <n v="0"/>
    <x v="0"/>
    <x v="1"/>
    <n v="1"/>
  </r>
  <r>
    <n v="558273000000"/>
    <x v="0"/>
    <x v="37"/>
    <x v="3"/>
    <s v="ANTONIO HONORIO"/>
    <d v="2016-05-11T00:00:00"/>
    <d v="2016-06-03T00:00:00"/>
    <x v="0"/>
    <x v="67"/>
    <x v="1"/>
    <n v="0"/>
    <x v="0"/>
    <n v="0"/>
    <n v="0"/>
    <n v="0"/>
    <x v="0"/>
    <x v="0"/>
    <n v="0"/>
  </r>
  <r>
    <n v="922653000000"/>
    <x v="0"/>
    <x v="61"/>
    <x v="1"/>
    <s v="ILHA DO PRINCIPE"/>
    <d v="2016-05-11T00:00:00"/>
    <d v="2016-05-11T00:00:00"/>
    <x v="1"/>
    <x v="94"/>
    <x v="5"/>
    <n v="0"/>
    <x v="1"/>
    <n v="0"/>
    <n v="0"/>
    <n v="0"/>
    <x v="1"/>
    <x v="0"/>
    <n v="0"/>
  </r>
  <r>
    <n v="3222130000000"/>
    <x v="0"/>
    <x v="49"/>
    <x v="4"/>
    <s v="VILA RUBIM"/>
    <d v="2016-05-11T00:00:00"/>
    <d v="2016-05-11T00:00:00"/>
    <x v="1"/>
    <x v="94"/>
    <x v="5"/>
    <n v="0"/>
    <x v="1"/>
    <n v="0"/>
    <n v="0"/>
    <n v="0"/>
    <x v="1"/>
    <x v="0"/>
    <n v="0"/>
  </r>
  <r>
    <n v="941886000000000"/>
    <x v="0"/>
    <x v="67"/>
    <x v="4"/>
    <s v="JARDIM CAMBURI"/>
    <d v="2016-05-11T00:00:00"/>
    <d v="2016-05-16T00:00:00"/>
    <x v="2"/>
    <x v="92"/>
    <x v="3"/>
    <n v="0"/>
    <x v="1"/>
    <n v="0"/>
    <n v="0"/>
    <n v="0"/>
    <x v="1"/>
    <x v="1"/>
    <n v="1"/>
  </r>
  <r>
    <n v="2453950000000"/>
    <x v="0"/>
    <x v="47"/>
    <x v="4"/>
    <s v="SAO CRISTOVAO"/>
    <d v="2016-05-11T00:00:00"/>
    <d v="2016-05-24T00:00:00"/>
    <x v="4"/>
    <x v="82"/>
    <x v="2"/>
    <n v="0"/>
    <x v="1"/>
    <n v="0"/>
    <n v="0"/>
    <n v="0"/>
    <x v="0"/>
    <x v="0"/>
    <n v="0"/>
  </r>
  <r>
    <n v="3119240000000"/>
    <x v="0"/>
    <x v="7"/>
    <x v="3"/>
    <s v="MARIA ORTIZ"/>
    <d v="2016-05-11T00:00:00"/>
    <d v="2016-05-17T00:00:00"/>
    <x v="4"/>
    <x v="90"/>
    <x v="3"/>
    <n v="0"/>
    <x v="1"/>
    <n v="0"/>
    <n v="0"/>
    <n v="0"/>
    <x v="1"/>
    <x v="0"/>
    <n v="0"/>
  </r>
  <r>
    <n v="5579920000000"/>
    <x v="0"/>
    <x v="61"/>
    <x v="1"/>
    <s v="RESISTENCIA"/>
    <d v="2016-05-11T00:00:00"/>
    <d v="2016-05-12T00:00:00"/>
    <x v="3"/>
    <x v="93"/>
    <x v="4"/>
    <n v="0"/>
    <x v="1"/>
    <n v="0"/>
    <n v="0"/>
    <n v="0"/>
    <x v="1"/>
    <x v="0"/>
    <n v="0"/>
  </r>
  <r>
    <n v="324297000000000"/>
    <x v="0"/>
    <x v="38"/>
    <x v="4"/>
    <s v="ILHA DO PRINCIPE"/>
    <d v="2016-05-11T00:00:00"/>
    <d v="2016-05-31T00:00:00"/>
    <x v="4"/>
    <x v="76"/>
    <x v="1"/>
    <n v="0"/>
    <x v="1"/>
    <n v="0"/>
    <n v="0"/>
    <n v="0"/>
    <x v="0"/>
    <x v="0"/>
    <n v="0"/>
  </r>
  <r>
    <n v="94479800000000"/>
    <x v="0"/>
    <x v="29"/>
    <x v="3"/>
    <s v="MARIA ORTIZ"/>
    <d v="2016-05-11T00:00:00"/>
    <d v="2016-05-19T00:00:00"/>
    <x v="3"/>
    <x v="88"/>
    <x v="2"/>
    <n v="0"/>
    <x v="1"/>
    <n v="0"/>
    <n v="0"/>
    <n v="0"/>
    <x v="1"/>
    <x v="1"/>
    <n v="1"/>
  </r>
  <r>
    <n v="85512124252"/>
    <x v="0"/>
    <x v="70"/>
    <x v="5"/>
    <s v="SAO CRISTOVAO"/>
    <d v="2016-05-11T00:00:00"/>
    <d v="2016-05-16T00:00:00"/>
    <x v="2"/>
    <x v="92"/>
    <x v="3"/>
    <n v="1"/>
    <x v="1"/>
    <n v="0"/>
    <n v="0"/>
    <n v="0"/>
    <x v="1"/>
    <x v="0"/>
    <n v="0"/>
  </r>
  <r>
    <n v="1148250000000"/>
    <x v="0"/>
    <x v="29"/>
    <x v="3"/>
    <s v="JARDIM CAMBURI"/>
    <d v="2016-05-11T00:00:00"/>
    <d v="2016-05-11T00:00:00"/>
    <x v="1"/>
    <x v="94"/>
    <x v="5"/>
    <n v="0"/>
    <x v="1"/>
    <n v="0"/>
    <n v="0"/>
    <n v="0"/>
    <x v="1"/>
    <x v="0"/>
    <n v="0"/>
  </r>
  <r>
    <n v="7611823977"/>
    <x v="1"/>
    <x v="9"/>
    <x v="0"/>
    <s v="MARIA ORTIZ"/>
    <d v="2016-05-11T00:00:00"/>
    <d v="2016-05-11T00:00:00"/>
    <x v="1"/>
    <x v="94"/>
    <x v="5"/>
    <n v="0"/>
    <x v="1"/>
    <n v="0"/>
    <n v="0"/>
    <n v="0"/>
    <x v="1"/>
    <x v="0"/>
    <n v="0"/>
  </r>
  <r>
    <n v="881325000000000"/>
    <x v="0"/>
    <x v="18"/>
    <x v="0"/>
    <s v="MARUIPE"/>
    <d v="2016-05-11T00:00:00"/>
    <d v="2016-05-11T00:00:00"/>
    <x v="1"/>
    <x v="94"/>
    <x v="5"/>
    <n v="0"/>
    <x v="0"/>
    <n v="0"/>
    <n v="0"/>
    <n v="0"/>
    <x v="1"/>
    <x v="0"/>
    <n v="0"/>
  </r>
  <r>
    <n v="354756000000"/>
    <x v="0"/>
    <x v="84"/>
    <x v="1"/>
    <s v="ILHA DO PRINCIPE"/>
    <d v="2016-05-11T00:00:00"/>
    <d v="2016-05-20T00:00:00"/>
    <x v="0"/>
    <x v="85"/>
    <x v="2"/>
    <n v="0"/>
    <x v="1"/>
    <n v="0"/>
    <n v="0"/>
    <n v="0"/>
    <x v="1"/>
    <x v="1"/>
    <n v="1"/>
  </r>
  <r>
    <n v="688838000000000"/>
    <x v="0"/>
    <x v="45"/>
    <x v="1"/>
    <s v="RESISTENCIA"/>
    <d v="2016-05-11T00:00:00"/>
    <d v="2016-05-11T00:00:00"/>
    <x v="1"/>
    <x v="94"/>
    <x v="5"/>
    <n v="1"/>
    <x v="1"/>
    <n v="0"/>
    <n v="0"/>
    <n v="0"/>
    <x v="1"/>
    <x v="0"/>
    <n v="0"/>
  </r>
  <r>
    <n v="7796320000000"/>
    <x v="0"/>
    <x v="14"/>
    <x v="3"/>
    <s v="JARDIM CAMBURI"/>
    <d v="2016-05-11T00:00:00"/>
    <d v="2016-05-11T00:00:00"/>
    <x v="1"/>
    <x v="94"/>
    <x v="5"/>
    <n v="0"/>
    <x v="1"/>
    <n v="0"/>
    <n v="0"/>
    <n v="0"/>
    <x v="1"/>
    <x v="0"/>
    <n v="0"/>
  </r>
  <r>
    <n v="558578000000000"/>
    <x v="0"/>
    <x v="31"/>
    <x v="1"/>
    <s v="JARDIM CAMBURI"/>
    <d v="2016-05-11T00:00:00"/>
    <d v="2016-05-12T00:00:00"/>
    <x v="3"/>
    <x v="93"/>
    <x v="4"/>
    <n v="0"/>
    <x v="1"/>
    <n v="0"/>
    <n v="0"/>
    <n v="0"/>
    <x v="1"/>
    <x v="1"/>
    <n v="1"/>
  </r>
  <r>
    <n v="318918000000000"/>
    <x v="1"/>
    <x v="33"/>
    <x v="4"/>
    <s v="JABOUR"/>
    <d v="2016-05-11T00:00:00"/>
    <d v="2016-05-16T00:00:00"/>
    <x v="2"/>
    <x v="92"/>
    <x v="3"/>
    <n v="0"/>
    <x v="1"/>
    <n v="0"/>
    <n v="0"/>
    <n v="0"/>
    <x v="1"/>
    <x v="0"/>
    <n v="0"/>
  </r>
  <r>
    <n v="347312000000000"/>
    <x v="0"/>
    <x v="49"/>
    <x v="4"/>
    <s v="JABOUR"/>
    <d v="2016-05-11T00:00:00"/>
    <d v="2016-05-12T00:00:00"/>
    <x v="3"/>
    <x v="93"/>
    <x v="4"/>
    <n v="0"/>
    <x v="1"/>
    <n v="0"/>
    <n v="0"/>
    <n v="0"/>
    <x v="1"/>
    <x v="1"/>
    <n v="1"/>
  </r>
  <r>
    <n v="529543000000000"/>
    <x v="0"/>
    <x v="19"/>
    <x v="2"/>
    <s v="FONTE GRANDE"/>
    <d v="2016-05-11T00:00:00"/>
    <d v="2016-05-11T00:00:00"/>
    <x v="1"/>
    <x v="94"/>
    <x v="5"/>
    <n v="0"/>
    <x v="1"/>
    <n v="0"/>
    <n v="0"/>
    <n v="0"/>
    <x v="1"/>
    <x v="0"/>
    <n v="0"/>
  </r>
  <r>
    <n v="354386000000"/>
    <x v="1"/>
    <x v="24"/>
    <x v="1"/>
    <s v="JARDIM CAMBURI"/>
    <d v="2016-05-11T00:00:00"/>
    <d v="2016-05-16T00:00:00"/>
    <x v="2"/>
    <x v="92"/>
    <x v="3"/>
    <n v="0"/>
    <x v="0"/>
    <n v="0"/>
    <n v="0"/>
    <n v="0"/>
    <x v="1"/>
    <x v="0"/>
    <n v="0"/>
  </r>
  <r>
    <n v="627757000000000"/>
    <x v="0"/>
    <x v="4"/>
    <x v="2"/>
    <s v="PRAIA DO CANTO"/>
    <d v="2016-05-11T00:00:00"/>
    <d v="2016-05-11T00:00:00"/>
    <x v="1"/>
    <x v="94"/>
    <x v="5"/>
    <n v="0"/>
    <x v="1"/>
    <n v="0"/>
    <n v="0"/>
    <n v="0"/>
    <x v="1"/>
    <x v="0"/>
    <n v="0"/>
  </r>
  <r>
    <n v="46698535659"/>
    <x v="0"/>
    <x v="83"/>
    <x v="0"/>
    <s v="JARDIM CAMBURI"/>
    <d v="2016-05-11T00:00:00"/>
    <d v="2016-05-11T00:00:00"/>
    <x v="1"/>
    <x v="94"/>
    <x v="5"/>
    <n v="1"/>
    <x v="0"/>
    <n v="1"/>
    <n v="0"/>
    <n v="0"/>
    <x v="1"/>
    <x v="0"/>
    <n v="0"/>
  </r>
  <r>
    <n v="245283000000000"/>
    <x v="0"/>
    <x v="84"/>
    <x v="1"/>
    <s v="SANTA CECILIA"/>
    <d v="2016-05-11T00:00:00"/>
    <d v="2016-05-13T00:00:00"/>
    <x v="0"/>
    <x v="91"/>
    <x v="4"/>
    <n v="0"/>
    <x v="1"/>
    <n v="0"/>
    <n v="0"/>
    <n v="0"/>
    <x v="1"/>
    <x v="1"/>
    <n v="1"/>
  </r>
  <r>
    <n v="2321280000000"/>
    <x v="1"/>
    <x v="59"/>
    <x v="2"/>
    <s v="MORADA DE CAMBURI"/>
    <d v="2016-05-11T00:00:00"/>
    <d v="2016-05-12T00:00:00"/>
    <x v="3"/>
    <x v="93"/>
    <x v="4"/>
    <n v="0"/>
    <x v="1"/>
    <n v="0"/>
    <n v="0"/>
    <n v="0"/>
    <x v="1"/>
    <x v="0"/>
    <n v="0"/>
  </r>
  <r>
    <n v="521685000000000"/>
    <x v="0"/>
    <x v="69"/>
    <x v="4"/>
    <s v="NOVA PALESTINA"/>
    <d v="2016-05-11T00:00:00"/>
    <d v="2016-05-19T00:00:00"/>
    <x v="3"/>
    <x v="88"/>
    <x v="2"/>
    <n v="0"/>
    <x v="1"/>
    <n v="0"/>
    <n v="0"/>
    <n v="0"/>
    <x v="1"/>
    <x v="0"/>
    <n v="0"/>
  </r>
  <r>
    <n v="2117000000000"/>
    <x v="0"/>
    <x v="2"/>
    <x v="1"/>
    <s v="JARDIM CAMBURI"/>
    <d v="2016-05-11T00:00:00"/>
    <d v="2016-05-25T00:00:00"/>
    <x v="1"/>
    <x v="80"/>
    <x v="2"/>
    <n v="0"/>
    <x v="1"/>
    <n v="0"/>
    <n v="0"/>
    <n v="0"/>
    <x v="0"/>
    <x v="1"/>
    <n v="1"/>
  </r>
  <r>
    <n v="69773100000000"/>
    <x v="0"/>
    <x v="65"/>
    <x v="2"/>
    <s v="REDENCAO"/>
    <d v="2016-05-11T00:00:00"/>
    <d v="2016-05-11T00:00:00"/>
    <x v="1"/>
    <x v="94"/>
    <x v="5"/>
    <n v="0"/>
    <x v="1"/>
    <n v="0"/>
    <n v="0"/>
    <n v="0"/>
    <x v="1"/>
    <x v="0"/>
    <n v="0"/>
  </r>
  <r>
    <n v="627347000000"/>
    <x v="1"/>
    <x v="45"/>
    <x v="1"/>
    <s v="CARATOIRA"/>
    <d v="2016-05-11T00:00:00"/>
    <d v="2016-05-19T00:00:00"/>
    <x v="3"/>
    <x v="88"/>
    <x v="2"/>
    <n v="0"/>
    <x v="1"/>
    <n v="0"/>
    <n v="0"/>
    <n v="0"/>
    <x v="1"/>
    <x v="1"/>
    <n v="1"/>
  </r>
  <r>
    <n v="7876660000000"/>
    <x v="0"/>
    <x v="47"/>
    <x v="4"/>
    <s v="DE LOURDES"/>
    <d v="2016-05-11T00:00:00"/>
    <d v="2016-06-08T00:00:00"/>
    <x v="1"/>
    <x v="64"/>
    <x v="1"/>
    <n v="0"/>
    <x v="1"/>
    <n v="0"/>
    <n v="0"/>
    <n v="0"/>
    <x v="0"/>
    <x v="0"/>
    <n v="0"/>
  </r>
  <r>
    <n v="4592300000000"/>
    <x v="0"/>
    <x v="69"/>
    <x v="4"/>
    <s v="JARDIM DA PENHA"/>
    <d v="2016-05-11T00:00:00"/>
    <d v="2016-05-17T00:00:00"/>
    <x v="4"/>
    <x v="90"/>
    <x v="3"/>
    <n v="0"/>
    <x v="1"/>
    <n v="0"/>
    <n v="0"/>
    <n v="0"/>
    <x v="1"/>
    <x v="0"/>
    <n v="0"/>
  </r>
  <r>
    <n v="512328000000000"/>
    <x v="1"/>
    <x v="22"/>
    <x v="4"/>
    <s v="RESISTENCIA"/>
    <d v="2016-05-11T00:00:00"/>
    <d v="2016-05-17T00:00:00"/>
    <x v="4"/>
    <x v="90"/>
    <x v="3"/>
    <n v="0"/>
    <x v="1"/>
    <n v="0"/>
    <n v="0"/>
    <n v="0"/>
    <x v="1"/>
    <x v="1"/>
    <n v="1"/>
  </r>
  <r>
    <n v="1313480000000"/>
    <x v="0"/>
    <x v="26"/>
    <x v="0"/>
    <s v="JARDIM CAMBURI"/>
    <d v="2016-05-11T00:00:00"/>
    <d v="2016-05-11T00:00:00"/>
    <x v="1"/>
    <x v="94"/>
    <x v="5"/>
    <n v="0"/>
    <x v="1"/>
    <n v="0"/>
    <n v="0"/>
    <n v="0"/>
    <x v="1"/>
    <x v="0"/>
    <n v="0"/>
  </r>
  <r>
    <n v="11314300000000"/>
    <x v="0"/>
    <x v="77"/>
    <x v="4"/>
    <s v="REDENCAO"/>
    <d v="2016-05-12T00:00:00"/>
    <d v="2016-05-13T00:00:00"/>
    <x v="0"/>
    <x v="93"/>
    <x v="4"/>
    <n v="0"/>
    <x v="1"/>
    <n v="0"/>
    <n v="0"/>
    <n v="0"/>
    <x v="1"/>
    <x v="0"/>
    <n v="0"/>
  </r>
  <r>
    <n v="57932600000000"/>
    <x v="0"/>
    <x v="42"/>
    <x v="3"/>
    <s v="MARIA ORTIZ"/>
    <d v="2016-05-12T00:00:00"/>
    <d v="2016-05-12T00:00:00"/>
    <x v="3"/>
    <x v="94"/>
    <x v="5"/>
    <n v="0"/>
    <x v="1"/>
    <n v="0"/>
    <n v="0"/>
    <n v="0"/>
    <x v="1"/>
    <x v="0"/>
    <n v="0"/>
  </r>
  <r>
    <n v="137635000000000"/>
    <x v="1"/>
    <x v="28"/>
    <x v="3"/>
    <s v="SANTA CECILIA"/>
    <d v="2016-05-12T00:00:00"/>
    <d v="2016-05-12T00:00:00"/>
    <x v="3"/>
    <x v="94"/>
    <x v="5"/>
    <n v="0"/>
    <x v="1"/>
    <n v="0"/>
    <n v="0"/>
    <n v="0"/>
    <x v="1"/>
    <x v="0"/>
    <n v="0"/>
  </r>
  <r>
    <n v="91997000000000"/>
    <x v="1"/>
    <x v="52"/>
    <x v="2"/>
    <s v="BOA VISTA"/>
    <d v="2016-05-12T00:00:00"/>
    <d v="2016-05-12T00:00:00"/>
    <x v="3"/>
    <x v="94"/>
    <x v="5"/>
    <n v="0"/>
    <x v="1"/>
    <n v="0"/>
    <n v="0"/>
    <n v="0"/>
    <x v="1"/>
    <x v="0"/>
    <n v="0"/>
  </r>
  <r>
    <n v="1122440000000"/>
    <x v="1"/>
    <x v="6"/>
    <x v="0"/>
    <s v="SAO JOSE"/>
    <d v="2016-05-12T00:00:00"/>
    <d v="2016-05-16T00:00:00"/>
    <x v="2"/>
    <x v="86"/>
    <x v="3"/>
    <n v="0"/>
    <x v="0"/>
    <n v="1"/>
    <n v="0"/>
    <n v="0"/>
    <x v="1"/>
    <x v="0"/>
    <n v="0"/>
  </r>
  <r>
    <n v="92314500000000"/>
    <x v="1"/>
    <x v="10"/>
    <x v="4"/>
    <s v="ESTRELINHA"/>
    <d v="2016-05-12T00:00:00"/>
    <d v="2016-05-13T00:00:00"/>
    <x v="0"/>
    <x v="93"/>
    <x v="4"/>
    <n v="0"/>
    <x v="1"/>
    <n v="0"/>
    <n v="0"/>
    <n v="0"/>
    <x v="1"/>
    <x v="0"/>
    <n v="0"/>
  </r>
  <r>
    <n v="84276600000000"/>
    <x v="0"/>
    <x v="51"/>
    <x v="2"/>
    <s v="CARATOIRA"/>
    <d v="2016-05-12T00:00:00"/>
    <d v="2016-05-12T00:00:00"/>
    <x v="3"/>
    <x v="94"/>
    <x v="5"/>
    <n v="1"/>
    <x v="1"/>
    <n v="0"/>
    <n v="0"/>
    <n v="0"/>
    <x v="1"/>
    <x v="0"/>
    <n v="0"/>
  </r>
  <r>
    <n v="52554200000000"/>
    <x v="1"/>
    <x v="55"/>
    <x v="2"/>
    <s v="SAO BENEDITO"/>
    <d v="2016-05-12T00:00:00"/>
    <d v="2016-05-12T00:00:00"/>
    <x v="3"/>
    <x v="94"/>
    <x v="5"/>
    <n v="0"/>
    <x v="1"/>
    <n v="0"/>
    <n v="0"/>
    <n v="0"/>
    <x v="1"/>
    <x v="0"/>
    <n v="0"/>
  </r>
  <r>
    <n v="13373500000000"/>
    <x v="0"/>
    <x v="74"/>
    <x v="1"/>
    <s v="SANTO ANTONIO"/>
    <d v="2016-05-12T00:00:00"/>
    <d v="2016-05-12T00:00:00"/>
    <x v="3"/>
    <x v="94"/>
    <x v="5"/>
    <n v="0"/>
    <x v="0"/>
    <n v="0"/>
    <n v="0"/>
    <n v="0"/>
    <x v="1"/>
    <x v="0"/>
    <n v="0"/>
  </r>
  <r>
    <n v="666595000000"/>
    <x v="0"/>
    <x v="28"/>
    <x v="3"/>
    <s v="SAO JOSE"/>
    <d v="2016-05-12T00:00:00"/>
    <d v="2016-05-16T00:00:00"/>
    <x v="2"/>
    <x v="86"/>
    <x v="3"/>
    <n v="0"/>
    <x v="0"/>
    <n v="1"/>
    <n v="0"/>
    <n v="0"/>
    <x v="1"/>
    <x v="0"/>
    <n v="0"/>
  </r>
  <r>
    <n v="6755880000000"/>
    <x v="1"/>
    <x v="4"/>
    <x v="2"/>
    <s v="SANTO ANDRE"/>
    <d v="2016-05-12T00:00:00"/>
    <d v="2016-05-12T00:00:00"/>
    <x v="3"/>
    <x v="94"/>
    <x v="5"/>
    <n v="0"/>
    <x v="1"/>
    <n v="0"/>
    <n v="0"/>
    <n v="0"/>
    <x v="1"/>
    <x v="0"/>
    <n v="0"/>
  </r>
  <r>
    <n v="761713000000"/>
    <x v="0"/>
    <x v="37"/>
    <x v="3"/>
    <s v="JABOUR"/>
    <d v="2016-05-12T00:00:00"/>
    <d v="2016-05-13T00:00:00"/>
    <x v="0"/>
    <x v="93"/>
    <x v="4"/>
    <n v="0"/>
    <x v="1"/>
    <n v="0"/>
    <n v="0"/>
    <n v="0"/>
    <x v="1"/>
    <x v="0"/>
    <n v="0"/>
  </r>
  <r>
    <n v="63345600000000"/>
    <x v="1"/>
    <x v="66"/>
    <x v="2"/>
    <s v="CENTRO"/>
    <d v="2016-05-12T00:00:00"/>
    <d v="2016-05-12T00:00:00"/>
    <x v="3"/>
    <x v="94"/>
    <x v="5"/>
    <n v="0"/>
    <x v="1"/>
    <n v="0"/>
    <n v="0"/>
    <n v="0"/>
    <x v="1"/>
    <x v="0"/>
    <n v="0"/>
  </r>
  <r>
    <n v="85786900000000"/>
    <x v="0"/>
    <x v="29"/>
    <x v="3"/>
    <s v="SAO JOSE"/>
    <d v="2016-05-12T00:00:00"/>
    <d v="2016-05-18T00:00:00"/>
    <x v="1"/>
    <x v="90"/>
    <x v="3"/>
    <n v="0"/>
    <x v="0"/>
    <n v="1"/>
    <n v="0"/>
    <n v="0"/>
    <x v="1"/>
    <x v="1"/>
    <n v="1"/>
  </r>
  <r>
    <n v="213673000000000"/>
    <x v="0"/>
    <x v="52"/>
    <x v="2"/>
    <s v="SAO CRISTOVAO"/>
    <d v="2016-05-12T00:00:00"/>
    <d v="2016-05-12T00:00:00"/>
    <x v="3"/>
    <x v="94"/>
    <x v="5"/>
    <n v="0"/>
    <x v="1"/>
    <n v="0"/>
    <n v="0"/>
    <n v="0"/>
    <x v="1"/>
    <x v="0"/>
    <n v="0"/>
  </r>
  <r>
    <n v="378156000000000"/>
    <x v="0"/>
    <x v="52"/>
    <x v="2"/>
    <s v="SAO PEDRO"/>
    <d v="2016-05-12T00:00:00"/>
    <d v="2016-05-16T00:00:00"/>
    <x v="2"/>
    <x v="86"/>
    <x v="3"/>
    <n v="0"/>
    <x v="1"/>
    <n v="0"/>
    <n v="0"/>
    <n v="0"/>
    <x v="1"/>
    <x v="0"/>
    <n v="0"/>
  </r>
  <r>
    <n v="491927000000"/>
    <x v="0"/>
    <x v="61"/>
    <x v="1"/>
    <s v="SANTO ANTONIO"/>
    <d v="2016-05-12T00:00:00"/>
    <d v="2016-05-12T00:00:00"/>
    <x v="3"/>
    <x v="94"/>
    <x v="5"/>
    <n v="1"/>
    <x v="1"/>
    <n v="0"/>
    <n v="0"/>
    <n v="0"/>
    <x v="1"/>
    <x v="0"/>
    <n v="0"/>
  </r>
  <r>
    <n v="52311300000000"/>
    <x v="0"/>
    <x v="87"/>
    <x v="1"/>
    <s v="SAO BENEDITO"/>
    <d v="2016-05-12T00:00:00"/>
    <d v="2016-05-12T00:00:00"/>
    <x v="3"/>
    <x v="94"/>
    <x v="5"/>
    <n v="0"/>
    <x v="1"/>
    <n v="0"/>
    <n v="0"/>
    <n v="0"/>
    <x v="1"/>
    <x v="0"/>
    <n v="0"/>
  </r>
  <r>
    <n v="743815000000000"/>
    <x v="0"/>
    <x v="1"/>
    <x v="0"/>
    <s v="FORTE SAO JOAO"/>
    <d v="2016-05-12T00:00:00"/>
    <d v="2016-05-16T00:00:00"/>
    <x v="2"/>
    <x v="86"/>
    <x v="3"/>
    <n v="0"/>
    <x v="0"/>
    <n v="0"/>
    <n v="0"/>
    <n v="0"/>
    <x v="1"/>
    <x v="0"/>
    <n v="0"/>
  </r>
  <r>
    <n v="18185000000000"/>
    <x v="0"/>
    <x v="32"/>
    <x v="4"/>
    <s v="SAO JOSE"/>
    <d v="2016-05-12T00:00:00"/>
    <d v="2016-05-18T00:00:00"/>
    <x v="1"/>
    <x v="90"/>
    <x v="3"/>
    <n v="0"/>
    <x v="1"/>
    <n v="0"/>
    <n v="0"/>
    <n v="0"/>
    <x v="1"/>
    <x v="1"/>
    <n v="1"/>
  </r>
  <r>
    <n v="2213980000000"/>
    <x v="0"/>
    <x v="31"/>
    <x v="1"/>
    <s v="ANDORINHAS"/>
    <d v="2016-05-12T00:00:00"/>
    <d v="2016-05-16T00:00:00"/>
    <x v="2"/>
    <x v="86"/>
    <x v="3"/>
    <n v="0"/>
    <x v="0"/>
    <n v="1"/>
    <n v="0"/>
    <n v="0"/>
    <x v="1"/>
    <x v="0"/>
    <n v="0"/>
  </r>
  <r>
    <n v="617965000000"/>
    <x v="0"/>
    <x v="61"/>
    <x v="1"/>
    <s v="PRAIA DO SUA"/>
    <d v="2016-05-12T00:00:00"/>
    <d v="2016-05-12T00:00:00"/>
    <x v="3"/>
    <x v="94"/>
    <x v="5"/>
    <n v="0"/>
    <x v="0"/>
    <n v="0"/>
    <n v="0"/>
    <n v="0"/>
    <x v="1"/>
    <x v="0"/>
    <n v="0"/>
  </r>
  <r>
    <n v="756380000000"/>
    <x v="0"/>
    <x v="47"/>
    <x v="4"/>
    <s v="ROMAO"/>
    <d v="2016-05-12T00:00:00"/>
    <d v="2016-05-18T00:00:00"/>
    <x v="1"/>
    <x v="90"/>
    <x v="3"/>
    <n v="0"/>
    <x v="1"/>
    <n v="0"/>
    <n v="0"/>
    <n v="0"/>
    <x v="1"/>
    <x v="0"/>
    <n v="0"/>
  </r>
  <r>
    <n v="268774000000"/>
    <x v="0"/>
    <x v="50"/>
    <x v="1"/>
    <s v="MARUIPE"/>
    <d v="2016-05-12T00:00:00"/>
    <d v="2016-05-12T00:00:00"/>
    <x v="3"/>
    <x v="94"/>
    <x v="5"/>
    <n v="0"/>
    <x v="0"/>
    <n v="0"/>
    <n v="0"/>
    <n v="0"/>
    <x v="1"/>
    <x v="0"/>
    <n v="0"/>
  </r>
  <r>
    <n v="63726700000000"/>
    <x v="1"/>
    <x v="74"/>
    <x v="1"/>
    <s v="ROMAO"/>
    <d v="2016-05-12T00:00:00"/>
    <d v="2016-05-18T00:00:00"/>
    <x v="1"/>
    <x v="90"/>
    <x v="3"/>
    <n v="1"/>
    <x v="0"/>
    <n v="0"/>
    <n v="1"/>
    <n v="0"/>
    <x v="1"/>
    <x v="0"/>
    <n v="0"/>
  </r>
  <r>
    <n v="58552200000000"/>
    <x v="1"/>
    <x v="44"/>
    <x v="4"/>
    <s v="SANTOS REIS"/>
    <d v="2016-05-12T00:00:00"/>
    <d v="2016-05-18T00:00:00"/>
    <x v="1"/>
    <x v="90"/>
    <x v="3"/>
    <n v="0"/>
    <x v="1"/>
    <n v="0"/>
    <n v="0"/>
    <n v="0"/>
    <x v="1"/>
    <x v="0"/>
    <n v="0"/>
  </r>
  <r>
    <n v="92624000000000"/>
    <x v="0"/>
    <x v="36"/>
    <x v="3"/>
    <s v="ARIOVALDO FAVALESSA"/>
    <d v="2016-05-12T00:00:00"/>
    <d v="2016-05-14T00:00:00"/>
    <x v="5"/>
    <x v="91"/>
    <x v="4"/>
    <n v="0"/>
    <x v="0"/>
    <n v="0"/>
    <n v="0"/>
    <n v="0"/>
    <x v="1"/>
    <x v="0"/>
    <n v="0"/>
  </r>
  <r>
    <n v="823983000000000"/>
    <x v="1"/>
    <x v="36"/>
    <x v="3"/>
    <s v="PRAIA DO SUA"/>
    <d v="2016-05-12T00:00:00"/>
    <d v="2016-05-16T00:00:00"/>
    <x v="2"/>
    <x v="86"/>
    <x v="3"/>
    <n v="0"/>
    <x v="0"/>
    <n v="0"/>
    <n v="0"/>
    <n v="0"/>
    <x v="1"/>
    <x v="0"/>
    <n v="0"/>
  </r>
  <r>
    <n v="84454400000000"/>
    <x v="0"/>
    <x v="72"/>
    <x v="5"/>
    <s v="JESUS DE NAZARETH"/>
    <d v="2016-05-12T00:00:00"/>
    <d v="2016-05-13T00:00:00"/>
    <x v="0"/>
    <x v="93"/>
    <x v="4"/>
    <n v="0"/>
    <x v="1"/>
    <n v="0"/>
    <n v="0"/>
    <n v="0"/>
    <x v="1"/>
    <x v="0"/>
    <n v="0"/>
  </r>
  <r>
    <n v="831745000000000"/>
    <x v="1"/>
    <x v="36"/>
    <x v="3"/>
    <s v="ROMAO"/>
    <d v="2016-05-12T00:00:00"/>
    <d v="2016-05-18T00:00:00"/>
    <x v="1"/>
    <x v="90"/>
    <x v="3"/>
    <n v="0"/>
    <x v="1"/>
    <n v="0"/>
    <n v="0"/>
    <n v="0"/>
    <x v="1"/>
    <x v="0"/>
    <n v="0"/>
  </r>
  <r>
    <n v="7915740000000"/>
    <x v="0"/>
    <x v="48"/>
    <x v="3"/>
    <s v="TABUAZEIRO"/>
    <d v="2016-05-12T00:00:00"/>
    <d v="2016-05-12T00:00:00"/>
    <x v="3"/>
    <x v="94"/>
    <x v="5"/>
    <n v="0"/>
    <x v="0"/>
    <n v="1"/>
    <n v="0"/>
    <n v="0"/>
    <x v="1"/>
    <x v="0"/>
    <n v="0"/>
  </r>
  <r>
    <n v="92631300000000"/>
    <x v="1"/>
    <x v="41"/>
    <x v="4"/>
    <s v="ILHA DO PRINCIPE"/>
    <d v="2016-05-12T00:00:00"/>
    <d v="2016-05-12T00:00:00"/>
    <x v="3"/>
    <x v="94"/>
    <x v="5"/>
    <n v="0"/>
    <x v="1"/>
    <n v="0"/>
    <n v="0"/>
    <n v="0"/>
    <x v="1"/>
    <x v="0"/>
    <n v="0"/>
  </r>
  <r>
    <n v="13746400000000"/>
    <x v="0"/>
    <x v="62"/>
    <x v="3"/>
    <s v="GRANDE VITORIA"/>
    <d v="2016-05-12T00:00:00"/>
    <d v="2016-05-12T00:00:00"/>
    <x v="3"/>
    <x v="94"/>
    <x v="5"/>
    <n v="0"/>
    <x v="1"/>
    <n v="0"/>
    <n v="0"/>
    <n v="0"/>
    <x v="1"/>
    <x v="0"/>
    <n v="0"/>
  </r>
  <r>
    <n v="398159000000000"/>
    <x v="0"/>
    <x v="54"/>
    <x v="1"/>
    <s v="RESISTENCIA"/>
    <d v="2016-05-12T00:00:00"/>
    <d v="2016-05-17T00:00:00"/>
    <x v="4"/>
    <x v="92"/>
    <x v="3"/>
    <n v="1"/>
    <x v="1"/>
    <n v="0"/>
    <n v="0"/>
    <n v="0"/>
    <x v="1"/>
    <x v="0"/>
    <n v="0"/>
  </r>
  <r>
    <n v="17465200000000"/>
    <x v="0"/>
    <x v="84"/>
    <x v="1"/>
    <s v="JARDIM CAMBURI"/>
    <d v="2016-05-12T00:00:00"/>
    <d v="2016-05-16T00:00:00"/>
    <x v="2"/>
    <x v="86"/>
    <x v="3"/>
    <n v="0"/>
    <x v="1"/>
    <n v="0"/>
    <n v="0"/>
    <n v="0"/>
    <x v="1"/>
    <x v="0"/>
    <n v="0"/>
  </r>
  <r>
    <n v="613782000000000"/>
    <x v="0"/>
    <x v="62"/>
    <x v="3"/>
    <s v="RESISTENCIA"/>
    <d v="2016-05-12T00:00:00"/>
    <d v="2016-05-18T00:00:00"/>
    <x v="1"/>
    <x v="90"/>
    <x v="3"/>
    <n v="0"/>
    <x v="1"/>
    <n v="1"/>
    <n v="0"/>
    <n v="0"/>
    <x v="1"/>
    <x v="0"/>
    <n v="0"/>
  </r>
  <r>
    <n v="52187700000000"/>
    <x v="0"/>
    <x v="39"/>
    <x v="4"/>
    <s v="ILHA DAS CAIEIRAS"/>
    <d v="2016-05-12T00:00:00"/>
    <d v="2016-05-12T00:00:00"/>
    <x v="3"/>
    <x v="94"/>
    <x v="5"/>
    <n v="0"/>
    <x v="1"/>
    <n v="0"/>
    <n v="0"/>
    <n v="0"/>
    <x v="1"/>
    <x v="0"/>
    <n v="0"/>
  </r>
  <r>
    <n v="67696400000000"/>
    <x v="0"/>
    <x v="47"/>
    <x v="4"/>
    <s v="SAO PEDRO"/>
    <d v="2016-05-12T00:00:00"/>
    <d v="2016-05-20T00:00:00"/>
    <x v="0"/>
    <x v="88"/>
    <x v="2"/>
    <n v="0"/>
    <x v="1"/>
    <n v="0"/>
    <n v="0"/>
    <n v="0"/>
    <x v="1"/>
    <x v="1"/>
    <n v="1"/>
  </r>
  <r>
    <n v="29586700000000"/>
    <x v="0"/>
    <x v="67"/>
    <x v="4"/>
    <s v="MARIA ORTIZ"/>
    <d v="2016-05-12T00:00:00"/>
    <d v="2016-05-17T00:00:00"/>
    <x v="4"/>
    <x v="92"/>
    <x v="3"/>
    <n v="0"/>
    <x v="1"/>
    <n v="0"/>
    <n v="0"/>
    <n v="0"/>
    <x v="1"/>
    <x v="0"/>
    <n v="0"/>
  </r>
  <r>
    <n v="56322700000000"/>
    <x v="0"/>
    <x v="50"/>
    <x v="1"/>
    <s v="SANTA CECILIA"/>
    <d v="2016-05-12T00:00:00"/>
    <d v="2016-05-13T00:00:00"/>
    <x v="0"/>
    <x v="93"/>
    <x v="4"/>
    <n v="0"/>
    <x v="1"/>
    <n v="0"/>
    <n v="0"/>
    <n v="0"/>
    <x v="1"/>
    <x v="0"/>
    <n v="0"/>
  </r>
  <r>
    <n v="53838700000000"/>
    <x v="0"/>
    <x v="10"/>
    <x v="4"/>
    <s v="SAO JOSE"/>
    <d v="2016-05-12T00:00:00"/>
    <d v="2016-05-12T00:00:00"/>
    <x v="3"/>
    <x v="94"/>
    <x v="5"/>
    <n v="0"/>
    <x v="1"/>
    <n v="0"/>
    <n v="0"/>
    <n v="0"/>
    <x v="1"/>
    <x v="0"/>
    <n v="0"/>
  </r>
  <r>
    <n v="2116670000000"/>
    <x v="1"/>
    <x v="54"/>
    <x v="1"/>
    <s v="JESUS DE NAZARETH"/>
    <d v="2016-05-12T00:00:00"/>
    <d v="2016-05-17T00:00:00"/>
    <x v="4"/>
    <x v="92"/>
    <x v="3"/>
    <n v="1"/>
    <x v="1"/>
    <n v="1"/>
    <n v="0"/>
    <n v="0"/>
    <x v="1"/>
    <x v="0"/>
    <n v="0"/>
  </r>
  <r>
    <n v="275386000000000"/>
    <x v="0"/>
    <x v="31"/>
    <x v="1"/>
    <s v="GURIGICA"/>
    <d v="2016-05-12T00:00:00"/>
    <d v="2016-05-12T00:00:00"/>
    <x v="3"/>
    <x v="94"/>
    <x v="5"/>
    <n v="0"/>
    <x v="1"/>
    <n v="0"/>
    <n v="0"/>
    <n v="0"/>
    <x v="1"/>
    <x v="0"/>
    <n v="0"/>
  </r>
  <r>
    <n v="389694000000000"/>
    <x v="1"/>
    <x v="70"/>
    <x v="5"/>
    <s v="SANTA MARTHA"/>
    <d v="2016-05-12T00:00:00"/>
    <d v="2016-05-12T00:00:00"/>
    <x v="3"/>
    <x v="94"/>
    <x v="5"/>
    <n v="1"/>
    <x v="1"/>
    <n v="0"/>
    <n v="0"/>
    <n v="0"/>
    <x v="1"/>
    <x v="0"/>
    <n v="0"/>
  </r>
  <r>
    <n v="44786619987"/>
    <x v="0"/>
    <x v="59"/>
    <x v="2"/>
    <s v="SANTA LUCIA"/>
    <d v="2016-05-12T00:00:00"/>
    <d v="2016-05-12T00:00:00"/>
    <x v="3"/>
    <x v="94"/>
    <x v="5"/>
    <n v="0"/>
    <x v="1"/>
    <n v="0"/>
    <n v="0"/>
    <n v="0"/>
    <x v="1"/>
    <x v="0"/>
    <n v="0"/>
  </r>
  <r>
    <n v="4547280000000"/>
    <x v="0"/>
    <x v="56"/>
    <x v="1"/>
    <s v="SAO PEDRO"/>
    <d v="2016-05-12T00:00:00"/>
    <d v="2016-05-12T00:00:00"/>
    <x v="3"/>
    <x v="94"/>
    <x v="5"/>
    <n v="1"/>
    <x v="1"/>
    <n v="0"/>
    <n v="0"/>
    <n v="0"/>
    <x v="1"/>
    <x v="1"/>
    <n v="1"/>
  </r>
  <r>
    <n v="1254860000000"/>
    <x v="1"/>
    <x v="66"/>
    <x v="2"/>
    <s v="RESISTENCIA"/>
    <d v="2016-05-12T00:00:00"/>
    <d v="2016-05-16T00:00:00"/>
    <x v="2"/>
    <x v="86"/>
    <x v="3"/>
    <n v="0"/>
    <x v="1"/>
    <n v="0"/>
    <n v="0"/>
    <n v="0"/>
    <x v="1"/>
    <x v="1"/>
    <n v="1"/>
  </r>
  <r>
    <n v="56967800000000"/>
    <x v="0"/>
    <x v="36"/>
    <x v="3"/>
    <s v="BONFIM"/>
    <d v="2016-05-12T00:00:00"/>
    <d v="2016-05-12T00:00:00"/>
    <x v="3"/>
    <x v="94"/>
    <x v="5"/>
    <n v="0"/>
    <x v="1"/>
    <n v="0"/>
    <n v="0"/>
    <n v="0"/>
    <x v="1"/>
    <x v="0"/>
    <n v="0"/>
  </r>
  <r>
    <n v="5735800000000"/>
    <x v="0"/>
    <x v="44"/>
    <x v="4"/>
    <s v="GURIGICA"/>
    <d v="2016-05-12T00:00:00"/>
    <d v="2016-05-12T00:00:00"/>
    <x v="3"/>
    <x v="94"/>
    <x v="5"/>
    <n v="0"/>
    <x v="1"/>
    <n v="0"/>
    <n v="0"/>
    <n v="0"/>
    <x v="1"/>
    <x v="0"/>
    <n v="0"/>
  </r>
  <r>
    <n v="34785600000000"/>
    <x v="0"/>
    <x v="5"/>
    <x v="1"/>
    <s v="SAO BENEDITO"/>
    <d v="2016-05-12T00:00:00"/>
    <d v="2016-05-12T00:00:00"/>
    <x v="3"/>
    <x v="94"/>
    <x v="5"/>
    <n v="0"/>
    <x v="1"/>
    <n v="0"/>
    <n v="0"/>
    <n v="0"/>
    <x v="1"/>
    <x v="0"/>
    <n v="0"/>
  </r>
  <r>
    <n v="58545400000000"/>
    <x v="1"/>
    <x v="40"/>
    <x v="1"/>
    <s v="JARDIM DA PENHA"/>
    <d v="2016-05-12T00:00:00"/>
    <d v="2016-05-30T00:00:00"/>
    <x v="2"/>
    <x v="74"/>
    <x v="1"/>
    <n v="0"/>
    <x v="1"/>
    <n v="0"/>
    <n v="0"/>
    <n v="0"/>
    <x v="0"/>
    <x v="0"/>
    <n v="0"/>
  </r>
  <r>
    <n v="811168000000000"/>
    <x v="0"/>
    <x v="56"/>
    <x v="1"/>
    <s v="ITARARE"/>
    <d v="2016-05-12T00:00:00"/>
    <d v="2016-05-12T00:00:00"/>
    <x v="3"/>
    <x v="94"/>
    <x v="5"/>
    <n v="1"/>
    <x v="1"/>
    <n v="0"/>
    <n v="0"/>
    <n v="0"/>
    <x v="1"/>
    <x v="0"/>
    <n v="0"/>
  </r>
  <r>
    <n v="5733590000000"/>
    <x v="1"/>
    <x v="72"/>
    <x v="5"/>
    <s v="CARATOIRA"/>
    <d v="2016-05-12T00:00:00"/>
    <d v="2016-05-12T00:00:00"/>
    <x v="3"/>
    <x v="94"/>
    <x v="5"/>
    <n v="0"/>
    <x v="1"/>
    <n v="0"/>
    <n v="0"/>
    <n v="0"/>
    <x v="1"/>
    <x v="0"/>
    <n v="0"/>
  </r>
  <r>
    <n v="55745700000000"/>
    <x v="0"/>
    <x v="69"/>
    <x v="4"/>
    <s v="SAO BENEDITO"/>
    <d v="2016-05-12T00:00:00"/>
    <d v="2016-05-12T00:00:00"/>
    <x v="3"/>
    <x v="94"/>
    <x v="5"/>
    <n v="0"/>
    <x v="1"/>
    <n v="0"/>
    <n v="0"/>
    <n v="0"/>
    <x v="1"/>
    <x v="0"/>
    <n v="0"/>
  </r>
  <r>
    <n v="25245200000000"/>
    <x v="0"/>
    <x v="71"/>
    <x v="4"/>
    <s v="ITARARE"/>
    <d v="2016-05-12T00:00:00"/>
    <d v="2016-05-12T00:00:00"/>
    <x v="3"/>
    <x v="94"/>
    <x v="5"/>
    <n v="0"/>
    <x v="1"/>
    <n v="0"/>
    <n v="0"/>
    <n v="0"/>
    <x v="1"/>
    <x v="0"/>
    <n v="0"/>
  </r>
  <r>
    <n v="676234000000"/>
    <x v="1"/>
    <x v="27"/>
    <x v="3"/>
    <s v="PRAIA DO CANTO"/>
    <d v="2016-05-12T00:00:00"/>
    <d v="2016-05-12T00:00:00"/>
    <x v="3"/>
    <x v="94"/>
    <x v="5"/>
    <n v="0"/>
    <x v="1"/>
    <n v="0"/>
    <n v="0"/>
    <n v="0"/>
    <x v="1"/>
    <x v="0"/>
    <n v="0"/>
  </r>
  <r>
    <n v="761999000000000"/>
    <x v="1"/>
    <x v="73"/>
    <x v="4"/>
    <s v="SAO CRISTOVAO"/>
    <d v="2016-05-12T00:00:00"/>
    <d v="2016-05-12T00:00:00"/>
    <x v="3"/>
    <x v="94"/>
    <x v="5"/>
    <n v="0"/>
    <x v="1"/>
    <n v="0"/>
    <n v="0"/>
    <n v="0"/>
    <x v="1"/>
    <x v="0"/>
    <n v="0"/>
  </r>
  <r>
    <n v="9877280000000"/>
    <x v="0"/>
    <x v="31"/>
    <x v="1"/>
    <s v="SAO BENEDITO"/>
    <d v="2016-05-12T00:00:00"/>
    <d v="2016-05-12T00:00:00"/>
    <x v="3"/>
    <x v="94"/>
    <x v="5"/>
    <n v="0"/>
    <x v="1"/>
    <n v="0"/>
    <n v="0"/>
    <n v="0"/>
    <x v="1"/>
    <x v="0"/>
    <n v="0"/>
  </r>
  <r>
    <n v="416756000000000"/>
    <x v="1"/>
    <x v="25"/>
    <x v="4"/>
    <s v="BONFIM"/>
    <d v="2016-05-12T00:00:00"/>
    <d v="2016-05-12T00:00:00"/>
    <x v="3"/>
    <x v="94"/>
    <x v="5"/>
    <n v="0"/>
    <x v="1"/>
    <n v="0"/>
    <n v="0"/>
    <n v="0"/>
    <x v="1"/>
    <x v="0"/>
    <n v="0"/>
  </r>
  <r>
    <n v="4923930000000"/>
    <x v="1"/>
    <x v="59"/>
    <x v="2"/>
    <s v="DO MOSCOSO"/>
    <d v="2016-05-12T00:00:00"/>
    <d v="2016-05-12T00:00:00"/>
    <x v="3"/>
    <x v="94"/>
    <x v="5"/>
    <n v="1"/>
    <x v="1"/>
    <n v="0"/>
    <n v="0"/>
    <n v="0"/>
    <x v="1"/>
    <x v="0"/>
    <n v="0"/>
  </r>
  <r>
    <n v="5915380000000"/>
    <x v="1"/>
    <x v="29"/>
    <x v="3"/>
    <s v="PARQUE MOSCOSO"/>
    <d v="2016-05-12T00:00:00"/>
    <d v="2016-05-12T00:00:00"/>
    <x v="3"/>
    <x v="94"/>
    <x v="5"/>
    <n v="0"/>
    <x v="1"/>
    <n v="0"/>
    <n v="0"/>
    <n v="0"/>
    <x v="1"/>
    <x v="0"/>
    <n v="0"/>
  </r>
  <r>
    <n v="57359300000000"/>
    <x v="0"/>
    <x v="0"/>
    <x v="0"/>
    <s v="BELA VISTA"/>
    <d v="2016-05-12T00:00:00"/>
    <d v="2016-05-12T00:00:00"/>
    <x v="3"/>
    <x v="94"/>
    <x v="5"/>
    <n v="0"/>
    <x v="0"/>
    <n v="0"/>
    <n v="0"/>
    <n v="0"/>
    <x v="1"/>
    <x v="0"/>
    <n v="0"/>
  </r>
  <r>
    <n v="38347100000000"/>
    <x v="0"/>
    <x v="5"/>
    <x v="1"/>
    <s v="DO CABRAL"/>
    <d v="2016-05-12T00:00:00"/>
    <d v="2016-05-12T00:00:00"/>
    <x v="3"/>
    <x v="94"/>
    <x v="5"/>
    <n v="0"/>
    <x v="1"/>
    <n v="0"/>
    <n v="0"/>
    <n v="0"/>
    <x v="1"/>
    <x v="0"/>
    <n v="0"/>
  </r>
  <r>
    <n v="56726400000000"/>
    <x v="0"/>
    <x v="22"/>
    <x v="4"/>
    <s v="NOVA PALESTINA"/>
    <d v="2016-05-12T00:00:00"/>
    <d v="2016-05-16T00:00:00"/>
    <x v="2"/>
    <x v="86"/>
    <x v="3"/>
    <n v="1"/>
    <x v="1"/>
    <n v="0"/>
    <n v="0"/>
    <n v="0"/>
    <x v="1"/>
    <x v="0"/>
    <n v="0"/>
  </r>
  <r>
    <n v="71479500000000"/>
    <x v="0"/>
    <x v="56"/>
    <x v="1"/>
    <s v="DO CABRAL"/>
    <d v="2016-05-12T00:00:00"/>
    <d v="2016-05-16T00:00:00"/>
    <x v="2"/>
    <x v="86"/>
    <x v="3"/>
    <n v="1"/>
    <x v="1"/>
    <n v="0"/>
    <n v="0"/>
    <n v="0"/>
    <x v="1"/>
    <x v="1"/>
    <n v="1"/>
  </r>
  <r>
    <n v="4382787292"/>
    <x v="0"/>
    <x v="88"/>
    <x v="0"/>
    <s v="SOLON BORGES"/>
    <d v="2016-05-12T00:00:00"/>
    <d v="2016-05-16T00:00:00"/>
    <x v="2"/>
    <x v="86"/>
    <x v="3"/>
    <n v="0"/>
    <x v="1"/>
    <n v="0"/>
    <n v="0"/>
    <n v="0"/>
    <x v="1"/>
    <x v="0"/>
    <n v="0"/>
  </r>
  <r>
    <n v="5319970000000"/>
    <x v="0"/>
    <x v="30"/>
    <x v="3"/>
    <s v="JARDIM DA PENHA"/>
    <d v="2016-05-12T00:00:00"/>
    <d v="2016-05-17T00:00:00"/>
    <x v="4"/>
    <x v="92"/>
    <x v="3"/>
    <n v="0"/>
    <x v="0"/>
    <n v="0"/>
    <n v="0"/>
    <n v="0"/>
    <x v="1"/>
    <x v="0"/>
    <n v="0"/>
  </r>
  <r>
    <n v="78260000000000"/>
    <x v="1"/>
    <x v="83"/>
    <x v="0"/>
    <s v="TABUAZEIRO"/>
    <d v="2016-05-12T00:00:00"/>
    <d v="2016-05-16T00:00:00"/>
    <x v="2"/>
    <x v="86"/>
    <x v="3"/>
    <n v="0"/>
    <x v="0"/>
    <n v="0"/>
    <n v="0"/>
    <n v="0"/>
    <x v="1"/>
    <x v="0"/>
    <n v="0"/>
  </r>
  <r>
    <n v="74843900000000"/>
    <x v="0"/>
    <x v="73"/>
    <x v="4"/>
    <s v="SANTA TEREZA"/>
    <d v="2016-05-12T00:00:00"/>
    <d v="2016-05-12T00:00:00"/>
    <x v="3"/>
    <x v="94"/>
    <x v="5"/>
    <n v="0"/>
    <x v="1"/>
    <n v="0"/>
    <n v="0"/>
    <n v="0"/>
    <x v="1"/>
    <x v="0"/>
    <n v="0"/>
  </r>
  <r>
    <n v="41471900000000"/>
    <x v="1"/>
    <x v="27"/>
    <x v="3"/>
    <s v="MARIA ORTIZ"/>
    <d v="2016-05-12T00:00:00"/>
    <d v="2016-06-07T00:00:00"/>
    <x v="4"/>
    <x v="68"/>
    <x v="1"/>
    <n v="0"/>
    <x v="1"/>
    <n v="0"/>
    <n v="0"/>
    <n v="0"/>
    <x v="0"/>
    <x v="0"/>
    <n v="0"/>
  </r>
  <r>
    <n v="99427100000000"/>
    <x v="1"/>
    <x v="30"/>
    <x v="3"/>
    <s v="CENTRO"/>
    <d v="2016-05-12T00:00:00"/>
    <d v="2016-05-16T00:00:00"/>
    <x v="2"/>
    <x v="86"/>
    <x v="3"/>
    <n v="0"/>
    <x v="0"/>
    <n v="0"/>
    <n v="0"/>
    <n v="0"/>
    <x v="1"/>
    <x v="0"/>
    <n v="0"/>
  </r>
  <r>
    <n v="34316000000000"/>
    <x v="0"/>
    <x v="58"/>
    <x v="0"/>
    <s v="JARDIM DA PENHA"/>
    <d v="2016-05-12T00:00:00"/>
    <d v="2016-05-16T00:00:00"/>
    <x v="2"/>
    <x v="86"/>
    <x v="3"/>
    <n v="0"/>
    <x v="1"/>
    <n v="0"/>
    <n v="0"/>
    <n v="0"/>
    <x v="1"/>
    <x v="1"/>
    <n v="1"/>
  </r>
  <r>
    <n v="692157000000000"/>
    <x v="0"/>
    <x v="57"/>
    <x v="2"/>
    <s v="JARDIM DA PENHA"/>
    <d v="2016-05-12T00:00:00"/>
    <d v="2016-05-20T00:00:00"/>
    <x v="0"/>
    <x v="88"/>
    <x v="2"/>
    <n v="0"/>
    <x v="1"/>
    <n v="0"/>
    <n v="0"/>
    <n v="0"/>
    <x v="1"/>
    <x v="0"/>
    <n v="0"/>
  </r>
  <r>
    <n v="467236000000000"/>
    <x v="0"/>
    <x v="73"/>
    <x v="4"/>
    <s v="MARUIPE"/>
    <d v="2016-05-12T00:00:00"/>
    <d v="2016-05-12T00:00:00"/>
    <x v="3"/>
    <x v="94"/>
    <x v="5"/>
    <n v="0"/>
    <x v="1"/>
    <n v="0"/>
    <n v="0"/>
    <n v="0"/>
    <x v="1"/>
    <x v="0"/>
    <n v="0"/>
  </r>
  <r>
    <n v="3665430000000"/>
    <x v="0"/>
    <x v="30"/>
    <x v="3"/>
    <s v="FONTE GRANDE"/>
    <d v="2016-05-12T00:00:00"/>
    <d v="2016-05-12T00:00:00"/>
    <x v="3"/>
    <x v="94"/>
    <x v="5"/>
    <n v="0"/>
    <x v="1"/>
    <n v="0"/>
    <n v="0"/>
    <n v="0"/>
    <x v="1"/>
    <x v="0"/>
    <n v="0"/>
  </r>
  <r>
    <n v="8971842352"/>
    <x v="0"/>
    <x v="12"/>
    <x v="3"/>
    <s v="ILHA DO PRINCIPE"/>
    <d v="2016-05-12T00:00:00"/>
    <d v="2016-05-12T00:00:00"/>
    <x v="3"/>
    <x v="94"/>
    <x v="5"/>
    <n v="0"/>
    <x v="1"/>
    <n v="0"/>
    <n v="0"/>
    <n v="0"/>
    <x v="1"/>
    <x v="0"/>
    <n v="0"/>
  </r>
  <r>
    <n v="88863100000000"/>
    <x v="0"/>
    <x v="74"/>
    <x v="1"/>
    <s v="ITARARE"/>
    <d v="2016-05-12T00:00:00"/>
    <d v="2016-05-12T00:00:00"/>
    <x v="3"/>
    <x v="94"/>
    <x v="5"/>
    <n v="0"/>
    <x v="1"/>
    <n v="0"/>
    <n v="0"/>
    <n v="0"/>
    <x v="1"/>
    <x v="0"/>
    <n v="0"/>
  </r>
  <r>
    <n v="49782700000000"/>
    <x v="0"/>
    <x v="70"/>
    <x v="5"/>
    <s v="DO QUADRO"/>
    <d v="2016-05-12T00:00:00"/>
    <d v="2016-05-16T00:00:00"/>
    <x v="2"/>
    <x v="86"/>
    <x v="3"/>
    <n v="0"/>
    <x v="1"/>
    <n v="0"/>
    <n v="0"/>
    <n v="0"/>
    <x v="1"/>
    <x v="0"/>
    <n v="0"/>
  </r>
  <r>
    <n v="5838720000000"/>
    <x v="0"/>
    <x v="79"/>
    <x v="5"/>
    <s v="DO CABRAL"/>
    <d v="2016-05-12T00:00:00"/>
    <d v="2016-05-18T00:00:00"/>
    <x v="1"/>
    <x v="90"/>
    <x v="3"/>
    <n v="0"/>
    <x v="1"/>
    <n v="0"/>
    <n v="0"/>
    <n v="0"/>
    <x v="1"/>
    <x v="0"/>
    <n v="0"/>
  </r>
  <r>
    <n v="81912300000000"/>
    <x v="0"/>
    <x v="46"/>
    <x v="2"/>
    <s v="FORTE SAO JOAO"/>
    <d v="2016-05-12T00:00:00"/>
    <d v="2016-05-16T00:00:00"/>
    <x v="2"/>
    <x v="86"/>
    <x v="3"/>
    <n v="0"/>
    <x v="1"/>
    <n v="0"/>
    <n v="0"/>
    <n v="0"/>
    <x v="1"/>
    <x v="0"/>
    <n v="0"/>
  </r>
  <r>
    <n v="4282730000000"/>
    <x v="0"/>
    <x v="69"/>
    <x v="4"/>
    <s v="JARDIM DA PENHA"/>
    <d v="2016-05-12T00:00:00"/>
    <d v="2016-05-12T00:00:00"/>
    <x v="3"/>
    <x v="94"/>
    <x v="5"/>
    <n v="0"/>
    <x v="1"/>
    <n v="0"/>
    <n v="0"/>
    <n v="0"/>
    <x v="1"/>
    <x v="0"/>
    <n v="0"/>
  </r>
  <r>
    <n v="3581230000000"/>
    <x v="0"/>
    <x v="84"/>
    <x v="1"/>
    <s v="SANTA LUCIA"/>
    <d v="2016-05-12T00:00:00"/>
    <d v="2016-05-31T00:00:00"/>
    <x v="4"/>
    <x v="77"/>
    <x v="1"/>
    <n v="0"/>
    <x v="1"/>
    <n v="0"/>
    <n v="0"/>
    <n v="0"/>
    <x v="0"/>
    <x v="0"/>
    <n v="0"/>
  </r>
  <r>
    <n v="62318872412"/>
    <x v="0"/>
    <x v="48"/>
    <x v="3"/>
    <s v="PRAIA DO SUA"/>
    <d v="2016-05-12T00:00:00"/>
    <d v="2016-05-24T00:00:00"/>
    <x v="4"/>
    <x v="84"/>
    <x v="2"/>
    <n v="0"/>
    <x v="1"/>
    <n v="0"/>
    <n v="0"/>
    <n v="0"/>
    <x v="0"/>
    <x v="0"/>
    <n v="0"/>
  </r>
  <r>
    <n v="61462392715"/>
    <x v="0"/>
    <x v="43"/>
    <x v="2"/>
    <s v="JARDIM CAMBURI"/>
    <d v="2016-05-12T00:00:00"/>
    <d v="2016-05-12T00:00:00"/>
    <x v="3"/>
    <x v="94"/>
    <x v="5"/>
    <n v="0"/>
    <x v="1"/>
    <n v="0"/>
    <n v="0"/>
    <n v="0"/>
    <x v="1"/>
    <x v="0"/>
    <n v="0"/>
  </r>
  <r>
    <n v="516385000000000"/>
    <x v="0"/>
    <x v="77"/>
    <x v="4"/>
    <s v="JARDIM DA PENHA"/>
    <d v="2016-05-12T00:00:00"/>
    <d v="2016-05-13T00:00:00"/>
    <x v="0"/>
    <x v="93"/>
    <x v="4"/>
    <n v="0"/>
    <x v="1"/>
    <n v="0"/>
    <n v="0"/>
    <n v="0"/>
    <x v="1"/>
    <x v="0"/>
    <n v="0"/>
  </r>
  <r>
    <n v="15772523636"/>
    <x v="0"/>
    <x v="8"/>
    <x v="0"/>
    <s v="BONFIM"/>
    <d v="2016-05-12T00:00:00"/>
    <d v="2016-06-02T00:00:00"/>
    <x v="3"/>
    <x v="73"/>
    <x v="1"/>
    <n v="0"/>
    <x v="0"/>
    <n v="1"/>
    <n v="0"/>
    <n v="0"/>
    <x v="0"/>
    <x v="0"/>
    <n v="0"/>
  </r>
  <r>
    <n v="89698200000000"/>
    <x v="1"/>
    <x v="85"/>
    <x v="0"/>
    <s v="BONFIM"/>
    <d v="2016-05-12T00:00:00"/>
    <d v="2016-06-08T00:00:00"/>
    <x v="1"/>
    <x v="65"/>
    <x v="1"/>
    <n v="0"/>
    <x v="0"/>
    <n v="1"/>
    <n v="0"/>
    <n v="0"/>
    <x v="0"/>
    <x v="0"/>
    <n v="0"/>
  </r>
  <r>
    <n v="87498900000000"/>
    <x v="0"/>
    <x v="68"/>
    <x v="4"/>
    <s v="CONSOLACAO"/>
    <d v="2016-05-12T00:00:00"/>
    <d v="2016-05-12T00:00:00"/>
    <x v="3"/>
    <x v="94"/>
    <x v="5"/>
    <n v="0"/>
    <x v="1"/>
    <n v="0"/>
    <n v="0"/>
    <n v="0"/>
    <x v="1"/>
    <x v="0"/>
    <n v="0"/>
  </r>
  <r>
    <n v="88776500000000"/>
    <x v="0"/>
    <x v="19"/>
    <x v="2"/>
    <s v="ILHA DO PRINCIPE"/>
    <d v="2016-05-12T00:00:00"/>
    <d v="2016-05-24T00:00:00"/>
    <x v="4"/>
    <x v="84"/>
    <x v="2"/>
    <n v="0"/>
    <x v="1"/>
    <n v="0"/>
    <n v="0"/>
    <n v="0"/>
    <x v="0"/>
    <x v="1"/>
    <n v="1"/>
  </r>
  <r>
    <n v="3866570000000"/>
    <x v="0"/>
    <x v="73"/>
    <x v="4"/>
    <s v="ANDORINHAS"/>
    <d v="2016-05-12T00:00:00"/>
    <d v="2016-06-01T00:00:00"/>
    <x v="1"/>
    <x v="76"/>
    <x v="1"/>
    <n v="0"/>
    <x v="1"/>
    <n v="0"/>
    <n v="0"/>
    <n v="0"/>
    <x v="0"/>
    <x v="1"/>
    <n v="1"/>
  </r>
  <r>
    <n v="48699989773"/>
    <x v="0"/>
    <x v="4"/>
    <x v="2"/>
    <s v="JARDIM CAMBURI"/>
    <d v="2016-05-12T00:00:00"/>
    <d v="2016-05-13T00:00:00"/>
    <x v="0"/>
    <x v="93"/>
    <x v="4"/>
    <n v="0"/>
    <x v="1"/>
    <n v="0"/>
    <n v="0"/>
    <n v="0"/>
    <x v="1"/>
    <x v="0"/>
    <n v="0"/>
  </r>
  <r>
    <n v="682348000000000"/>
    <x v="0"/>
    <x v="28"/>
    <x v="3"/>
    <s v="PRAIA DO SUA"/>
    <d v="2016-05-12T00:00:00"/>
    <d v="2016-05-19T00:00:00"/>
    <x v="3"/>
    <x v="87"/>
    <x v="3"/>
    <n v="0"/>
    <x v="1"/>
    <n v="0"/>
    <n v="0"/>
    <n v="0"/>
    <x v="1"/>
    <x v="0"/>
    <n v="0"/>
  </r>
  <r>
    <n v="11568100000000"/>
    <x v="0"/>
    <x v="27"/>
    <x v="3"/>
    <s v="JOANA D ARC"/>
    <d v="2016-05-12T00:00:00"/>
    <d v="2016-05-12T00:00:00"/>
    <x v="3"/>
    <x v="94"/>
    <x v="5"/>
    <n v="0"/>
    <x v="1"/>
    <n v="1"/>
    <n v="0"/>
    <n v="0"/>
    <x v="1"/>
    <x v="0"/>
    <n v="0"/>
  </r>
  <r>
    <n v="81858000000000"/>
    <x v="0"/>
    <x v="82"/>
    <x v="0"/>
    <s v="CARATOIRA"/>
    <d v="2016-05-12T00:00:00"/>
    <d v="2016-05-19T00:00:00"/>
    <x v="3"/>
    <x v="87"/>
    <x v="3"/>
    <n v="0"/>
    <x v="0"/>
    <n v="0"/>
    <n v="0"/>
    <n v="0"/>
    <x v="1"/>
    <x v="1"/>
    <n v="1"/>
  </r>
  <r>
    <n v="74946500000000"/>
    <x v="1"/>
    <x v="46"/>
    <x v="2"/>
    <s v="FORTE SAO JOAO"/>
    <d v="2016-05-12T00:00:00"/>
    <d v="2016-05-12T00:00:00"/>
    <x v="3"/>
    <x v="94"/>
    <x v="5"/>
    <n v="0"/>
    <x v="1"/>
    <n v="0"/>
    <n v="0"/>
    <n v="0"/>
    <x v="1"/>
    <x v="0"/>
    <n v="0"/>
  </r>
  <r>
    <n v="38152700000000"/>
    <x v="0"/>
    <x v="76"/>
    <x v="0"/>
    <s v="MARIA ORTIZ"/>
    <d v="2016-05-12T00:00:00"/>
    <d v="2016-05-12T00:00:00"/>
    <x v="3"/>
    <x v="94"/>
    <x v="5"/>
    <n v="0"/>
    <x v="1"/>
    <n v="0"/>
    <n v="0"/>
    <n v="0"/>
    <x v="1"/>
    <x v="0"/>
    <n v="0"/>
  </r>
  <r>
    <n v="89614500000000"/>
    <x v="0"/>
    <x v="92"/>
    <x v="0"/>
    <s v="CARATOIRA"/>
    <d v="2016-05-12T00:00:00"/>
    <d v="2016-05-17T00:00:00"/>
    <x v="4"/>
    <x v="92"/>
    <x v="3"/>
    <n v="0"/>
    <x v="0"/>
    <n v="0"/>
    <n v="0"/>
    <n v="0"/>
    <x v="1"/>
    <x v="0"/>
    <n v="0"/>
  </r>
  <r>
    <n v="196542000000"/>
    <x v="0"/>
    <x v="80"/>
    <x v="2"/>
    <s v="BONFIM"/>
    <d v="2016-05-12T00:00:00"/>
    <d v="2016-06-02T00:00:00"/>
    <x v="3"/>
    <x v="73"/>
    <x v="1"/>
    <n v="0"/>
    <x v="1"/>
    <n v="0"/>
    <n v="0"/>
    <n v="0"/>
    <x v="0"/>
    <x v="1"/>
    <n v="1"/>
  </r>
  <r>
    <n v="178919000000000"/>
    <x v="0"/>
    <x v="84"/>
    <x v="1"/>
    <s v="CONQUISTA"/>
    <d v="2016-05-12T00:00:00"/>
    <d v="2016-05-12T00:00:00"/>
    <x v="3"/>
    <x v="94"/>
    <x v="5"/>
    <n v="1"/>
    <x v="0"/>
    <n v="0"/>
    <n v="0"/>
    <n v="0"/>
    <x v="1"/>
    <x v="0"/>
    <n v="0"/>
  </r>
  <r>
    <n v="798900000000000"/>
    <x v="0"/>
    <x v="18"/>
    <x v="0"/>
    <s v="JARDIM DA PENHA"/>
    <d v="2016-05-12T00:00:00"/>
    <d v="2016-05-17T00:00:00"/>
    <x v="4"/>
    <x v="92"/>
    <x v="3"/>
    <n v="0"/>
    <x v="0"/>
    <n v="0"/>
    <n v="0"/>
    <n v="0"/>
    <x v="1"/>
    <x v="0"/>
    <n v="0"/>
  </r>
  <r>
    <n v="134337000000000"/>
    <x v="1"/>
    <x v="78"/>
    <x v="0"/>
    <s v="ITARARE"/>
    <d v="2016-05-12T00:00:00"/>
    <d v="2016-05-12T00:00:00"/>
    <x v="3"/>
    <x v="94"/>
    <x v="5"/>
    <n v="0"/>
    <x v="0"/>
    <n v="0"/>
    <n v="0"/>
    <n v="0"/>
    <x v="1"/>
    <x v="0"/>
    <n v="0"/>
  </r>
  <r>
    <n v="51114500000000"/>
    <x v="0"/>
    <x v="24"/>
    <x v="1"/>
    <s v="JARDIM DA PENHA"/>
    <d v="2016-05-12T00:00:00"/>
    <d v="2016-05-12T00:00:00"/>
    <x v="3"/>
    <x v="94"/>
    <x v="5"/>
    <n v="0"/>
    <x v="0"/>
    <n v="0"/>
    <n v="0"/>
    <n v="0"/>
    <x v="1"/>
    <x v="0"/>
    <n v="0"/>
  </r>
  <r>
    <n v="14127700000000"/>
    <x v="0"/>
    <x v="34"/>
    <x v="0"/>
    <s v="JARDIM CAMBURI"/>
    <d v="2016-05-12T00:00:00"/>
    <d v="2016-05-12T00:00:00"/>
    <x v="3"/>
    <x v="94"/>
    <x v="5"/>
    <n v="0"/>
    <x v="1"/>
    <n v="0"/>
    <n v="0"/>
    <n v="0"/>
    <x v="1"/>
    <x v="0"/>
    <n v="0"/>
  </r>
  <r>
    <n v="456152000000000"/>
    <x v="1"/>
    <x v="46"/>
    <x v="2"/>
    <s v="SAO JOSE"/>
    <d v="2016-05-12T00:00:00"/>
    <d v="2016-05-17T00:00:00"/>
    <x v="4"/>
    <x v="92"/>
    <x v="3"/>
    <n v="0"/>
    <x v="1"/>
    <n v="0"/>
    <n v="0"/>
    <n v="0"/>
    <x v="1"/>
    <x v="1"/>
    <n v="1"/>
  </r>
  <r>
    <n v="94367600000000"/>
    <x v="1"/>
    <x v="27"/>
    <x v="3"/>
    <s v="JARDIM DA PENHA"/>
    <d v="2016-05-12T00:00:00"/>
    <d v="2016-05-16T00:00:00"/>
    <x v="2"/>
    <x v="86"/>
    <x v="3"/>
    <n v="0"/>
    <x v="1"/>
    <n v="0"/>
    <n v="0"/>
    <n v="0"/>
    <x v="1"/>
    <x v="0"/>
    <n v="0"/>
  </r>
  <r>
    <n v="65412300000000"/>
    <x v="0"/>
    <x v="68"/>
    <x v="4"/>
    <s v="GURIGICA"/>
    <d v="2016-05-12T00:00:00"/>
    <d v="2016-05-12T00:00:00"/>
    <x v="3"/>
    <x v="94"/>
    <x v="5"/>
    <n v="0"/>
    <x v="1"/>
    <n v="0"/>
    <n v="0"/>
    <n v="0"/>
    <x v="1"/>
    <x v="0"/>
    <n v="0"/>
  </r>
  <r>
    <n v="23218748321"/>
    <x v="0"/>
    <x v="13"/>
    <x v="0"/>
    <s v="CARATOIRA"/>
    <d v="2016-05-12T00:00:00"/>
    <d v="2016-05-17T00:00:00"/>
    <x v="4"/>
    <x v="92"/>
    <x v="3"/>
    <n v="0"/>
    <x v="0"/>
    <n v="1"/>
    <n v="0"/>
    <n v="0"/>
    <x v="1"/>
    <x v="0"/>
    <n v="0"/>
  </r>
  <r>
    <n v="49735300000000"/>
    <x v="0"/>
    <x v="81"/>
    <x v="5"/>
    <s v="INHANGUETA"/>
    <d v="2016-05-12T00:00:00"/>
    <d v="2016-06-02T00:00:00"/>
    <x v="3"/>
    <x v="73"/>
    <x v="1"/>
    <n v="0"/>
    <x v="1"/>
    <n v="0"/>
    <n v="0"/>
    <n v="0"/>
    <x v="0"/>
    <x v="0"/>
    <n v="0"/>
  </r>
  <r>
    <n v="533693000000"/>
    <x v="1"/>
    <x v="9"/>
    <x v="0"/>
    <s v="SANTO ANTONIO"/>
    <d v="2016-05-12T00:00:00"/>
    <d v="2016-05-17T00:00:00"/>
    <x v="4"/>
    <x v="92"/>
    <x v="3"/>
    <n v="0"/>
    <x v="0"/>
    <n v="1"/>
    <n v="0"/>
    <n v="0"/>
    <x v="1"/>
    <x v="0"/>
    <n v="0"/>
  </r>
  <r>
    <n v="465132000000000"/>
    <x v="0"/>
    <x v="80"/>
    <x v="2"/>
    <s v="VILA RUBIM"/>
    <d v="2016-05-12T00:00:00"/>
    <d v="2016-05-12T00:00:00"/>
    <x v="3"/>
    <x v="94"/>
    <x v="5"/>
    <n v="0"/>
    <x v="1"/>
    <n v="0"/>
    <n v="0"/>
    <n v="0"/>
    <x v="1"/>
    <x v="0"/>
    <n v="0"/>
  </r>
  <r>
    <n v="7243560000000"/>
    <x v="1"/>
    <x v="17"/>
    <x v="4"/>
    <s v="CONSOLACAO"/>
    <d v="2016-05-12T00:00:00"/>
    <d v="2016-05-12T00:00:00"/>
    <x v="3"/>
    <x v="94"/>
    <x v="5"/>
    <n v="0"/>
    <x v="1"/>
    <n v="0"/>
    <n v="0"/>
    <n v="1"/>
    <x v="1"/>
    <x v="0"/>
    <n v="0"/>
  </r>
  <r>
    <n v="7582710000000"/>
    <x v="1"/>
    <x v="28"/>
    <x v="3"/>
    <s v="GURIGICA"/>
    <d v="2016-05-12T00:00:00"/>
    <d v="2016-05-12T00:00:00"/>
    <x v="3"/>
    <x v="94"/>
    <x v="5"/>
    <n v="0"/>
    <x v="1"/>
    <n v="0"/>
    <n v="1"/>
    <n v="0"/>
    <x v="1"/>
    <x v="0"/>
    <n v="0"/>
  </r>
  <r>
    <n v="583122000000"/>
    <x v="0"/>
    <x v="68"/>
    <x v="4"/>
    <s v="SANTA MARTHA"/>
    <d v="2016-05-12T00:00:00"/>
    <d v="2016-05-12T00:00:00"/>
    <x v="3"/>
    <x v="94"/>
    <x v="5"/>
    <n v="1"/>
    <x v="1"/>
    <n v="0"/>
    <n v="0"/>
    <n v="0"/>
    <x v="1"/>
    <x v="0"/>
    <n v="0"/>
  </r>
  <r>
    <n v="4377550000000"/>
    <x v="0"/>
    <x v="62"/>
    <x v="3"/>
    <s v="SOLON BORGES"/>
    <d v="2016-05-12T00:00:00"/>
    <d v="2016-05-13T00:00:00"/>
    <x v="0"/>
    <x v="93"/>
    <x v="4"/>
    <n v="0"/>
    <x v="1"/>
    <n v="0"/>
    <n v="0"/>
    <n v="0"/>
    <x v="1"/>
    <x v="0"/>
    <n v="0"/>
  </r>
  <r>
    <n v="78497800000000"/>
    <x v="0"/>
    <x v="56"/>
    <x v="1"/>
    <s v="JABOUR"/>
    <d v="2016-05-12T00:00:00"/>
    <d v="2016-06-08T00:00:00"/>
    <x v="1"/>
    <x v="65"/>
    <x v="1"/>
    <n v="0"/>
    <x v="1"/>
    <n v="0"/>
    <n v="0"/>
    <n v="0"/>
    <x v="0"/>
    <x v="1"/>
    <n v="1"/>
  </r>
  <r>
    <n v="82861800000000"/>
    <x v="0"/>
    <x v="15"/>
    <x v="3"/>
    <s v="SOLON BORGES"/>
    <d v="2016-05-12T00:00:00"/>
    <d v="2016-05-13T00:00:00"/>
    <x v="0"/>
    <x v="93"/>
    <x v="4"/>
    <n v="0"/>
    <x v="0"/>
    <n v="0"/>
    <n v="0"/>
    <n v="0"/>
    <x v="1"/>
    <x v="0"/>
    <n v="0"/>
  </r>
  <r>
    <n v="86129000000000"/>
    <x v="0"/>
    <x v="77"/>
    <x v="4"/>
    <s v="JABOUR"/>
    <d v="2016-05-12T00:00:00"/>
    <d v="2016-05-13T00:00:00"/>
    <x v="0"/>
    <x v="93"/>
    <x v="4"/>
    <n v="1"/>
    <x v="1"/>
    <n v="0"/>
    <n v="0"/>
    <n v="0"/>
    <x v="1"/>
    <x v="0"/>
    <n v="0"/>
  </r>
  <r>
    <n v="7838780000000"/>
    <x v="0"/>
    <x v="73"/>
    <x v="4"/>
    <s v="JARDIM DA PENHA"/>
    <d v="2016-05-12T00:00:00"/>
    <d v="2016-05-17T00:00:00"/>
    <x v="4"/>
    <x v="92"/>
    <x v="3"/>
    <n v="0"/>
    <x v="1"/>
    <n v="0"/>
    <n v="0"/>
    <n v="0"/>
    <x v="1"/>
    <x v="0"/>
    <n v="0"/>
  </r>
  <r>
    <n v="98226300000000"/>
    <x v="0"/>
    <x v="75"/>
    <x v="5"/>
    <s v="FRADINHOS"/>
    <d v="2016-05-12T00:00:00"/>
    <d v="2016-05-19T00:00:00"/>
    <x v="3"/>
    <x v="87"/>
    <x v="3"/>
    <n v="0"/>
    <x v="1"/>
    <n v="0"/>
    <n v="0"/>
    <n v="0"/>
    <x v="1"/>
    <x v="0"/>
    <n v="0"/>
  </r>
  <r>
    <n v="21114300000000"/>
    <x v="0"/>
    <x v="29"/>
    <x v="3"/>
    <s v="VILA RUBIM"/>
    <d v="2016-05-12T00:00:00"/>
    <d v="2016-05-12T00:00:00"/>
    <x v="3"/>
    <x v="94"/>
    <x v="5"/>
    <n v="0"/>
    <x v="1"/>
    <n v="0"/>
    <n v="0"/>
    <n v="0"/>
    <x v="1"/>
    <x v="0"/>
    <n v="0"/>
  </r>
  <r>
    <n v="21234594283"/>
    <x v="0"/>
    <x v="46"/>
    <x v="2"/>
    <s v="SANTO ANDRE"/>
    <d v="2016-05-12T00:00:00"/>
    <d v="2016-05-12T00:00:00"/>
    <x v="3"/>
    <x v="94"/>
    <x v="5"/>
    <n v="0"/>
    <x v="1"/>
    <n v="0"/>
    <n v="0"/>
    <n v="0"/>
    <x v="1"/>
    <x v="0"/>
    <n v="0"/>
  </r>
  <r>
    <n v="7779990000000"/>
    <x v="0"/>
    <x v="71"/>
    <x v="4"/>
    <s v="ILHA DO PRINCIPE"/>
    <d v="2016-05-12T00:00:00"/>
    <d v="2016-05-25T00:00:00"/>
    <x v="1"/>
    <x v="82"/>
    <x v="2"/>
    <n v="0"/>
    <x v="1"/>
    <n v="0"/>
    <n v="0"/>
    <n v="0"/>
    <x v="0"/>
    <x v="1"/>
    <n v="1"/>
  </r>
  <r>
    <n v="71264600000000"/>
    <x v="0"/>
    <x v="58"/>
    <x v="0"/>
    <s v="MARIA ORTIZ"/>
    <d v="2016-05-12T00:00:00"/>
    <d v="2016-06-07T00:00:00"/>
    <x v="4"/>
    <x v="68"/>
    <x v="1"/>
    <n v="0"/>
    <x v="1"/>
    <n v="0"/>
    <n v="0"/>
    <n v="0"/>
    <x v="1"/>
    <x v="0"/>
    <n v="0"/>
  </r>
  <r>
    <n v="1645380000000"/>
    <x v="1"/>
    <x v="65"/>
    <x v="2"/>
    <s v="TABUAZEIRO"/>
    <d v="2016-05-12T00:00:00"/>
    <d v="2016-05-31T00:00:00"/>
    <x v="4"/>
    <x v="77"/>
    <x v="1"/>
    <n v="0"/>
    <x v="1"/>
    <n v="0"/>
    <n v="0"/>
    <n v="0"/>
    <x v="0"/>
    <x v="0"/>
    <n v="0"/>
  </r>
  <r>
    <n v="6414360000000"/>
    <x v="1"/>
    <x v="21"/>
    <x v="1"/>
    <s v="DA PENHA"/>
    <d v="2016-05-12T00:00:00"/>
    <d v="2016-05-13T00:00:00"/>
    <x v="0"/>
    <x v="93"/>
    <x v="4"/>
    <n v="0"/>
    <x v="1"/>
    <n v="0"/>
    <n v="0"/>
    <n v="0"/>
    <x v="1"/>
    <x v="1"/>
    <n v="1"/>
  </r>
  <r>
    <n v="38814300000000"/>
    <x v="1"/>
    <x v="71"/>
    <x v="4"/>
    <s v="JARDIM CAMBURI"/>
    <d v="2016-05-12T00:00:00"/>
    <d v="2016-05-12T00:00:00"/>
    <x v="3"/>
    <x v="94"/>
    <x v="5"/>
    <n v="0"/>
    <x v="1"/>
    <n v="0"/>
    <n v="0"/>
    <n v="0"/>
    <x v="1"/>
    <x v="0"/>
    <n v="0"/>
  </r>
  <r>
    <n v="9739320000000"/>
    <x v="0"/>
    <x v="65"/>
    <x v="2"/>
    <s v="ENSEADA DO SUA"/>
    <d v="2016-05-12T00:00:00"/>
    <d v="2016-05-12T00:00:00"/>
    <x v="3"/>
    <x v="94"/>
    <x v="5"/>
    <n v="0"/>
    <x v="1"/>
    <n v="0"/>
    <n v="0"/>
    <n v="0"/>
    <x v="1"/>
    <x v="0"/>
    <n v="0"/>
  </r>
  <r>
    <n v="963834000000"/>
    <x v="0"/>
    <x v="12"/>
    <x v="3"/>
    <s v="CARATOIRA"/>
    <d v="2016-05-12T00:00:00"/>
    <d v="2016-05-12T00:00:00"/>
    <x v="3"/>
    <x v="94"/>
    <x v="5"/>
    <n v="0"/>
    <x v="0"/>
    <n v="0"/>
    <n v="1"/>
    <n v="0"/>
    <x v="1"/>
    <x v="0"/>
    <n v="0"/>
  </r>
  <r>
    <n v="9791990000000"/>
    <x v="0"/>
    <x v="30"/>
    <x v="3"/>
    <s v="JESUS DE NAZARETH"/>
    <d v="2016-05-12T00:00:00"/>
    <d v="2016-05-13T00:00:00"/>
    <x v="0"/>
    <x v="93"/>
    <x v="4"/>
    <n v="0"/>
    <x v="1"/>
    <n v="0"/>
    <n v="0"/>
    <n v="0"/>
    <x v="1"/>
    <x v="0"/>
    <n v="0"/>
  </r>
  <r>
    <n v="119499000000000"/>
    <x v="1"/>
    <x v="24"/>
    <x v="1"/>
    <s v="SANTA MARTHA"/>
    <d v="2016-05-12T00:00:00"/>
    <d v="2016-05-12T00:00:00"/>
    <x v="3"/>
    <x v="94"/>
    <x v="5"/>
    <n v="0"/>
    <x v="1"/>
    <n v="0"/>
    <n v="0"/>
    <n v="0"/>
    <x v="1"/>
    <x v="0"/>
    <n v="0"/>
  </r>
  <r>
    <n v="41976600000000"/>
    <x v="0"/>
    <x v="30"/>
    <x v="3"/>
    <s v="SANTA MARTHA"/>
    <d v="2016-05-12T00:00:00"/>
    <d v="2016-05-12T00:00:00"/>
    <x v="3"/>
    <x v="94"/>
    <x v="5"/>
    <n v="0"/>
    <x v="0"/>
    <n v="0"/>
    <n v="0"/>
    <n v="0"/>
    <x v="1"/>
    <x v="0"/>
    <n v="0"/>
  </r>
  <r>
    <n v="13778500000000"/>
    <x v="0"/>
    <x v="77"/>
    <x v="4"/>
    <s v="MARIA ORTIZ"/>
    <d v="2016-05-12T00:00:00"/>
    <d v="2016-05-12T00:00:00"/>
    <x v="3"/>
    <x v="94"/>
    <x v="5"/>
    <n v="0"/>
    <x v="1"/>
    <n v="0"/>
    <n v="0"/>
    <n v="0"/>
    <x v="1"/>
    <x v="0"/>
    <n v="0"/>
  </r>
  <r>
    <n v="9739320000000"/>
    <x v="0"/>
    <x v="65"/>
    <x v="2"/>
    <s v="ENSEADA DO SUA"/>
    <d v="2016-05-12T00:00:00"/>
    <d v="2016-05-12T00:00:00"/>
    <x v="3"/>
    <x v="94"/>
    <x v="5"/>
    <n v="0"/>
    <x v="1"/>
    <n v="0"/>
    <n v="0"/>
    <n v="0"/>
    <x v="1"/>
    <x v="0"/>
    <n v="0"/>
  </r>
  <r>
    <n v="23895000000000"/>
    <x v="0"/>
    <x v="31"/>
    <x v="1"/>
    <s v="MARIA ORTIZ"/>
    <d v="2016-05-12T00:00:00"/>
    <d v="2016-05-12T00:00:00"/>
    <x v="3"/>
    <x v="94"/>
    <x v="5"/>
    <n v="0"/>
    <x v="1"/>
    <n v="0"/>
    <n v="0"/>
    <n v="0"/>
    <x v="1"/>
    <x v="0"/>
    <n v="0"/>
  </r>
  <r>
    <n v="15471800000000"/>
    <x v="0"/>
    <x v="46"/>
    <x v="2"/>
    <s v="ILHA DE SANTA MARIA"/>
    <d v="2016-05-12T00:00:00"/>
    <d v="2016-05-24T00:00:00"/>
    <x v="4"/>
    <x v="84"/>
    <x v="2"/>
    <n v="0"/>
    <x v="1"/>
    <n v="0"/>
    <n v="0"/>
    <n v="0"/>
    <x v="0"/>
    <x v="1"/>
    <n v="1"/>
  </r>
  <r>
    <n v="4345000000000"/>
    <x v="1"/>
    <x v="42"/>
    <x v="3"/>
    <s v="JESUS DE NAZARETH"/>
    <d v="2016-05-12T00:00:00"/>
    <d v="2016-05-12T00:00:00"/>
    <x v="3"/>
    <x v="94"/>
    <x v="5"/>
    <n v="0"/>
    <x v="0"/>
    <n v="0"/>
    <n v="0"/>
    <n v="0"/>
    <x v="1"/>
    <x v="0"/>
    <n v="0"/>
  </r>
  <r>
    <n v="831395000000000"/>
    <x v="0"/>
    <x v="33"/>
    <x v="4"/>
    <s v="SANTO ANTONIO"/>
    <d v="2016-05-12T00:00:00"/>
    <d v="2016-05-13T00:00:00"/>
    <x v="0"/>
    <x v="93"/>
    <x v="4"/>
    <n v="0"/>
    <x v="1"/>
    <n v="0"/>
    <n v="0"/>
    <n v="0"/>
    <x v="1"/>
    <x v="0"/>
    <n v="0"/>
  </r>
  <r>
    <n v="661328000000000"/>
    <x v="1"/>
    <x v="57"/>
    <x v="2"/>
    <s v="MARIA ORTIZ"/>
    <d v="2016-05-12T00:00:00"/>
    <d v="2016-05-13T00:00:00"/>
    <x v="0"/>
    <x v="93"/>
    <x v="4"/>
    <n v="0"/>
    <x v="1"/>
    <n v="0"/>
    <n v="0"/>
    <n v="0"/>
    <x v="1"/>
    <x v="0"/>
    <n v="0"/>
  </r>
  <r>
    <n v="912437000000000"/>
    <x v="0"/>
    <x v="7"/>
    <x v="3"/>
    <s v="MARIA ORTIZ"/>
    <d v="2016-05-12T00:00:00"/>
    <d v="2016-05-12T00:00:00"/>
    <x v="3"/>
    <x v="94"/>
    <x v="5"/>
    <n v="0"/>
    <x v="1"/>
    <n v="0"/>
    <n v="0"/>
    <n v="0"/>
    <x v="1"/>
    <x v="0"/>
    <n v="0"/>
  </r>
  <r>
    <n v="796142000000000"/>
    <x v="0"/>
    <x v="55"/>
    <x v="2"/>
    <s v="BONFIM"/>
    <d v="2016-05-12T00:00:00"/>
    <d v="2016-05-13T00:00:00"/>
    <x v="0"/>
    <x v="93"/>
    <x v="4"/>
    <n v="0"/>
    <x v="1"/>
    <n v="0"/>
    <n v="0"/>
    <n v="0"/>
    <x v="1"/>
    <x v="0"/>
    <n v="0"/>
  </r>
  <r>
    <n v="68747600000000"/>
    <x v="0"/>
    <x v="19"/>
    <x v="2"/>
    <s v="JARDIM CAMBURI"/>
    <d v="2016-05-12T00:00:00"/>
    <d v="2016-05-13T00:00:00"/>
    <x v="0"/>
    <x v="93"/>
    <x v="4"/>
    <n v="0"/>
    <x v="1"/>
    <n v="0"/>
    <n v="0"/>
    <n v="0"/>
    <x v="1"/>
    <x v="0"/>
    <n v="0"/>
  </r>
  <r>
    <n v="4361180000000"/>
    <x v="1"/>
    <x v="46"/>
    <x v="2"/>
    <s v="MONTE BELO"/>
    <d v="2016-05-12T00:00:00"/>
    <d v="2016-05-18T00:00:00"/>
    <x v="1"/>
    <x v="90"/>
    <x v="3"/>
    <n v="0"/>
    <x v="1"/>
    <n v="0"/>
    <n v="0"/>
    <n v="0"/>
    <x v="1"/>
    <x v="1"/>
    <n v="1"/>
  </r>
  <r>
    <n v="947825000000000"/>
    <x v="0"/>
    <x v="84"/>
    <x v="1"/>
    <s v="CARATOIRA"/>
    <d v="2016-05-12T00:00:00"/>
    <d v="2016-05-12T00:00:00"/>
    <x v="3"/>
    <x v="94"/>
    <x v="5"/>
    <n v="0"/>
    <x v="1"/>
    <n v="0"/>
    <n v="0"/>
    <n v="0"/>
    <x v="1"/>
    <x v="0"/>
    <n v="0"/>
  </r>
  <r>
    <n v="167735000000000"/>
    <x v="0"/>
    <x v="64"/>
    <x v="3"/>
    <s v="JARDIM CAMBURI"/>
    <d v="2016-05-12T00:00:00"/>
    <d v="2016-05-16T00:00:00"/>
    <x v="2"/>
    <x v="86"/>
    <x v="3"/>
    <n v="0"/>
    <x v="1"/>
    <n v="0"/>
    <n v="0"/>
    <n v="0"/>
    <x v="1"/>
    <x v="0"/>
    <n v="0"/>
  </r>
  <r>
    <n v="63225300000000"/>
    <x v="0"/>
    <x v="4"/>
    <x v="2"/>
    <s v="BONFIM"/>
    <d v="2016-05-12T00:00:00"/>
    <d v="2016-05-19T00:00:00"/>
    <x v="3"/>
    <x v="87"/>
    <x v="3"/>
    <n v="0"/>
    <x v="1"/>
    <n v="0"/>
    <n v="0"/>
    <n v="0"/>
    <x v="1"/>
    <x v="0"/>
    <n v="0"/>
  </r>
  <r>
    <n v="78344200000000"/>
    <x v="1"/>
    <x v="10"/>
    <x v="4"/>
    <s v="SANTO ANTONIO"/>
    <d v="2016-05-12T00:00:00"/>
    <d v="2016-05-12T00:00:00"/>
    <x v="3"/>
    <x v="94"/>
    <x v="5"/>
    <n v="0"/>
    <x v="1"/>
    <n v="0"/>
    <n v="0"/>
    <n v="0"/>
    <x v="1"/>
    <x v="0"/>
    <n v="0"/>
  </r>
  <r>
    <n v="6264200000000"/>
    <x v="1"/>
    <x v="36"/>
    <x v="3"/>
    <s v="JESUS DE NAZARETH"/>
    <d v="2016-05-12T00:00:00"/>
    <d v="2016-05-12T00:00:00"/>
    <x v="3"/>
    <x v="94"/>
    <x v="5"/>
    <n v="1"/>
    <x v="1"/>
    <n v="0"/>
    <n v="0"/>
    <n v="0"/>
    <x v="1"/>
    <x v="0"/>
    <n v="0"/>
  </r>
  <r>
    <n v="4178390000000"/>
    <x v="1"/>
    <x v="70"/>
    <x v="5"/>
    <s v="JARDIM DA PENHA"/>
    <d v="2016-05-12T00:00:00"/>
    <d v="2016-05-17T00:00:00"/>
    <x v="4"/>
    <x v="92"/>
    <x v="3"/>
    <n v="0"/>
    <x v="1"/>
    <n v="0"/>
    <n v="0"/>
    <n v="0"/>
    <x v="1"/>
    <x v="0"/>
    <n v="0"/>
  </r>
  <r>
    <n v="532655000000"/>
    <x v="0"/>
    <x v="31"/>
    <x v="1"/>
    <s v="JUCUTUQUARA"/>
    <d v="2016-05-12T00:00:00"/>
    <d v="2016-05-12T00:00:00"/>
    <x v="3"/>
    <x v="94"/>
    <x v="5"/>
    <n v="0"/>
    <x v="1"/>
    <n v="0"/>
    <n v="0"/>
    <n v="0"/>
    <x v="1"/>
    <x v="0"/>
    <n v="0"/>
  </r>
  <r>
    <n v="14559300000000"/>
    <x v="0"/>
    <x v="32"/>
    <x v="4"/>
    <s v="CENTRO"/>
    <d v="2016-05-12T00:00:00"/>
    <d v="2016-05-17T00:00:00"/>
    <x v="4"/>
    <x v="92"/>
    <x v="3"/>
    <n v="0"/>
    <x v="1"/>
    <n v="0"/>
    <n v="0"/>
    <n v="0"/>
    <x v="1"/>
    <x v="0"/>
    <n v="0"/>
  </r>
  <r>
    <n v="2596690000000"/>
    <x v="0"/>
    <x v="37"/>
    <x v="3"/>
    <s v="CARATOIRA"/>
    <d v="2016-05-12T00:00:00"/>
    <d v="2016-05-12T00:00:00"/>
    <x v="3"/>
    <x v="94"/>
    <x v="5"/>
    <n v="0"/>
    <x v="1"/>
    <n v="0"/>
    <n v="0"/>
    <n v="0"/>
    <x v="1"/>
    <x v="0"/>
    <n v="0"/>
  </r>
  <r>
    <n v="32751600000000"/>
    <x v="0"/>
    <x v="7"/>
    <x v="3"/>
    <s v="INHANGUETA"/>
    <d v="2016-05-12T00:00:00"/>
    <d v="2016-05-19T00:00:00"/>
    <x v="3"/>
    <x v="87"/>
    <x v="3"/>
    <n v="0"/>
    <x v="0"/>
    <n v="0"/>
    <n v="0"/>
    <n v="0"/>
    <x v="1"/>
    <x v="0"/>
    <n v="0"/>
  </r>
  <r>
    <n v="43583800000000"/>
    <x v="0"/>
    <x v="20"/>
    <x v="0"/>
    <s v="INHANGUETA"/>
    <d v="2016-05-12T00:00:00"/>
    <d v="2016-05-19T00:00:00"/>
    <x v="3"/>
    <x v="87"/>
    <x v="3"/>
    <n v="0"/>
    <x v="0"/>
    <n v="1"/>
    <n v="0"/>
    <n v="0"/>
    <x v="1"/>
    <x v="1"/>
    <n v="1"/>
  </r>
  <r>
    <n v="56126100000000"/>
    <x v="0"/>
    <x v="87"/>
    <x v="1"/>
    <s v="GURIGICA"/>
    <d v="2016-05-12T00:00:00"/>
    <d v="2016-05-12T00:00:00"/>
    <x v="3"/>
    <x v="94"/>
    <x v="5"/>
    <n v="0"/>
    <x v="1"/>
    <n v="0"/>
    <n v="0"/>
    <n v="0"/>
    <x v="1"/>
    <x v="0"/>
    <n v="0"/>
  </r>
  <r>
    <n v="385790000000000"/>
    <x v="0"/>
    <x v="73"/>
    <x v="4"/>
    <s v="ITARARE"/>
    <d v="2016-05-12T00:00:00"/>
    <d v="2016-05-12T00:00:00"/>
    <x v="3"/>
    <x v="94"/>
    <x v="5"/>
    <n v="0"/>
    <x v="1"/>
    <n v="0"/>
    <n v="0"/>
    <n v="0"/>
    <x v="1"/>
    <x v="0"/>
    <n v="0"/>
  </r>
  <r>
    <n v="812646000000000"/>
    <x v="1"/>
    <x v="44"/>
    <x v="4"/>
    <s v="CONQUISTA"/>
    <d v="2016-05-12T00:00:00"/>
    <d v="2016-05-12T00:00:00"/>
    <x v="3"/>
    <x v="94"/>
    <x v="5"/>
    <n v="0"/>
    <x v="1"/>
    <n v="0"/>
    <n v="0"/>
    <n v="0"/>
    <x v="1"/>
    <x v="0"/>
    <n v="0"/>
  </r>
  <r>
    <n v="64317500000000"/>
    <x v="1"/>
    <x v="27"/>
    <x v="3"/>
    <s v="PARQUE MOSCOSO"/>
    <d v="2016-05-12T00:00:00"/>
    <d v="2016-05-30T00:00:00"/>
    <x v="2"/>
    <x v="74"/>
    <x v="1"/>
    <n v="0"/>
    <x v="0"/>
    <n v="1"/>
    <n v="0"/>
    <n v="1"/>
    <x v="0"/>
    <x v="1"/>
    <n v="1"/>
  </r>
  <r>
    <n v="478335000000000"/>
    <x v="0"/>
    <x v="8"/>
    <x v="0"/>
    <s v="SANTO ANDRE"/>
    <d v="2016-05-12T00:00:00"/>
    <d v="2016-05-13T00:00:00"/>
    <x v="0"/>
    <x v="93"/>
    <x v="4"/>
    <n v="0"/>
    <x v="0"/>
    <n v="1"/>
    <n v="0"/>
    <n v="0"/>
    <x v="1"/>
    <x v="0"/>
    <n v="0"/>
  </r>
  <r>
    <n v="6765900000000"/>
    <x v="0"/>
    <x v="69"/>
    <x v="4"/>
    <s v="PRAIA DO SUA"/>
    <d v="2016-05-12T00:00:00"/>
    <d v="2016-05-24T00:00:00"/>
    <x v="4"/>
    <x v="84"/>
    <x v="2"/>
    <n v="0"/>
    <x v="1"/>
    <n v="0"/>
    <n v="0"/>
    <n v="0"/>
    <x v="0"/>
    <x v="1"/>
    <n v="1"/>
  </r>
  <r>
    <n v="6873690000000"/>
    <x v="0"/>
    <x v="15"/>
    <x v="3"/>
    <s v="JABOUR"/>
    <d v="2016-05-12T00:00:00"/>
    <d v="2016-05-16T00:00:00"/>
    <x v="2"/>
    <x v="86"/>
    <x v="3"/>
    <n v="0"/>
    <x v="1"/>
    <n v="0"/>
    <n v="0"/>
    <n v="0"/>
    <x v="1"/>
    <x v="0"/>
    <n v="0"/>
  </r>
  <r>
    <n v="756896000000000"/>
    <x v="0"/>
    <x v="31"/>
    <x v="1"/>
    <s v="ILHA DE SANTA MARIA"/>
    <d v="2016-05-12T00:00:00"/>
    <d v="2016-05-12T00:00:00"/>
    <x v="3"/>
    <x v="94"/>
    <x v="5"/>
    <n v="0"/>
    <x v="1"/>
    <n v="0"/>
    <n v="0"/>
    <n v="0"/>
    <x v="1"/>
    <x v="0"/>
    <n v="0"/>
  </r>
  <r>
    <n v="22268500000000"/>
    <x v="0"/>
    <x v="17"/>
    <x v="4"/>
    <s v="MARUIPE"/>
    <d v="2016-05-12T00:00:00"/>
    <d v="2016-05-19T00:00:00"/>
    <x v="3"/>
    <x v="87"/>
    <x v="3"/>
    <n v="0"/>
    <x v="1"/>
    <n v="0"/>
    <n v="0"/>
    <n v="0"/>
    <x v="1"/>
    <x v="1"/>
    <n v="1"/>
  </r>
  <r>
    <n v="465423000000000"/>
    <x v="0"/>
    <x v="10"/>
    <x v="4"/>
    <s v="MARIA ORTIZ"/>
    <d v="2016-05-12T00:00:00"/>
    <d v="2016-06-07T00:00:00"/>
    <x v="4"/>
    <x v="68"/>
    <x v="1"/>
    <n v="0"/>
    <x v="1"/>
    <n v="0"/>
    <n v="0"/>
    <n v="0"/>
    <x v="0"/>
    <x v="0"/>
    <n v="0"/>
  </r>
  <r>
    <n v="12318700000000"/>
    <x v="0"/>
    <x v="71"/>
    <x v="4"/>
    <s v="CRUZAMENTO"/>
    <d v="2016-05-12T00:00:00"/>
    <d v="2016-05-12T00:00:00"/>
    <x v="3"/>
    <x v="94"/>
    <x v="5"/>
    <n v="0"/>
    <x v="1"/>
    <n v="0"/>
    <n v="0"/>
    <n v="0"/>
    <x v="1"/>
    <x v="0"/>
    <n v="0"/>
  </r>
  <r>
    <n v="84395100000000"/>
    <x v="1"/>
    <x v="75"/>
    <x v="5"/>
    <s v="NOVA PALESTINA"/>
    <d v="2016-05-12T00:00:00"/>
    <d v="2016-06-02T00:00:00"/>
    <x v="3"/>
    <x v="73"/>
    <x v="1"/>
    <n v="0"/>
    <x v="1"/>
    <n v="0"/>
    <n v="0"/>
    <n v="0"/>
    <x v="0"/>
    <x v="0"/>
    <n v="0"/>
  </r>
  <r>
    <n v="59989900000000"/>
    <x v="1"/>
    <x v="41"/>
    <x v="4"/>
    <s v="FONTE GRANDE"/>
    <d v="2016-05-12T00:00:00"/>
    <d v="2016-05-12T00:00:00"/>
    <x v="3"/>
    <x v="94"/>
    <x v="5"/>
    <n v="0"/>
    <x v="1"/>
    <n v="0"/>
    <n v="0"/>
    <n v="0"/>
    <x v="1"/>
    <x v="0"/>
    <n v="0"/>
  </r>
  <r>
    <n v="85834900000000"/>
    <x v="0"/>
    <x v="38"/>
    <x v="4"/>
    <s v="SANTO ANTONIO"/>
    <d v="2016-05-12T00:00:00"/>
    <d v="2016-05-12T00:00:00"/>
    <x v="3"/>
    <x v="94"/>
    <x v="5"/>
    <n v="0"/>
    <x v="1"/>
    <n v="0"/>
    <n v="0"/>
    <n v="0"/>
    <x v="1"/>
    <x v="0"/>
    <n v="0"/>
  </r>
  <r>
    <n v="873149000000000"/>
    <x v="0"/>
    <x v="40"/>
    <x v="1"/>
    <s v="BELA VISTA"/>
    <d v="2016-05-12T00:00:00"/>
    <d v="2016-05-12T00:00:00"/>
    <x v="3"/>
    <x v="94"/>
    <x v="5"/>
    <n v="1"/>
    <x v="1"/>
    <n v="0"/>
    <n v="0"/>
    <n v="0"/>
    <x v="1"/>
    <x v="0"/>
    <n v="0"/>
  </r>
  <r>
    <n v="752696000000000"/>
    <x v="1"/>
    <x v="29"/>
    <x v="3"/>
    <s v="CRUZAMENTO"/>
    <d v="2016-05-12T00:00:00"/>
    <d v="2016-05-16T00:00:00"/>
    <x v="2"/>
    <x v="86"/>
    <x v="3"/>
    <n v="0"/>
    <x v="1"/>
    <n v="0"/>
    <n v="0"/>
    <n v="0"/>
    <x v="1"/>
    <x v="0"/>
    <n v="0"/>
  </r>
  <r>
    <n v="889269000000000"/>
    <x v="1"/>
    <x v="29"/>
    <x v="3"/>
    <s v="MARUIPE"/>
    <d v="2016-05-12T00:00:00"/>
    <d v="2016-06-06T00:00:00"/>
    <x v="2"/>
    <x v="70"/>
    <x v="1"/>
    <n v="0"/>
    <x v="1"/>
    <n v="0"/>
    <n v="0"/>
    <n v="0"/>
    <x v="1"/>
    <x v="1"/>
    <n v="1"/>
  </r>
  <r>
    <n v="28552200000000"/>
    <x v="0"/>
    <x v="44"/>
    <x v="4"/>
    <s v="ILHA DE SANTA MARIA"/>
    <d v="2016-05-12T00:00:00"/>
    <d v="2016-05-19T00:00:00"/>
    <x v="3"/>
    <x v="87"/>
    <x v="3"/>
    <n v="1"/>
    <x v="1"/>
    <n v="0"/>
    <n v="0"/>
    <n v="0"/>
    <x v="1"/>
    <x v="1"/>
    <n v="1"/>
  </r>
  <r>
    <n v="9686140000000"/>
    <x v="1"/>
    <x v="21"/>
    <x v="1"/>
    <s v="JARDIM DA PENHA"/>
    <d v="2016-05-12T00:00:00"/>
    <d v="2016-05-16T00:00:00"/>
    <x v="2"/>
    <x v="86"/>
    <x v="3"/>
    <n v="0"/>
    <x v="1"/>
    <n v="0"/>
    <n v="0"/>
    <n v="0"/>
    <x v="1"/>
    <x v="0"/>
    <n v="0"/>
  </r>
  <r>
    <n v="8349370000000"/>
    <x v="0"/>
    <x v="24"/>
    <x v="1"/>
    <s v="GOIABEIRAS"/>
    <d v="2016-05-12T00:00:00"/>
    <d v="2016-06-01T00:00:00"/>
    <x v="1"/>
    <x v="76"/>
    <x v="1"/>
    <n v="0"/>
    <x v="1"/>
    <n v="0"/>
    <n v="0"/>
    <n v="0"/>
    <x v="1"/>
    <x v="1"/>
    <n v="1"/>
  </r>
  <r>
    <n v="82433900000000"/>
    <x v="0"/>
    <x v="69"/>
    <x v="4"/>
    <s v="SANTO ANDRE"/>
    <d v="2016-05-12T00:00:00"/>
    <d v="2016-05-12T00:00:00"/>
    <x v="3"/>
    <x v="94"/>
    <x v="5"/>
    <n v="1"/>
    <x v="1"/>
    <n v="0"/>
    <n v="0"/>
    <n v="0"/>
    <x v="1"/>
    <x v="0"/>
    <n v="0"/>
  </r>
  <r>
    <n v="21819894132"/>
    <x v="0"/>
    <x v="62"/>
    <x v="3"/>
    <s v="UNIVERSITARIO"/>
    <d v="2016-05-12T00:00:00"/>
    <d v="2016-05-16T00:00:00"/>
    <x v="2"/>
    <x v="86"/>
    <x v="3"/>
    <n v="0"/>
    <x v="0"/>
    <n v="0"/>
    <n v="0"/>
    <n v="0"/>
    <x v="1"/>
    <x v="0"/>
    <n v="0"/>
  </r>
  <r>
    <n v="4694660000000"/>
    <x v="1"/>
    <x v="63"/>
    <x v="0"/>
    <s v="ITARARE"/>
    <d v="2016-05-12T00:00:00"/>
    <d v="2016-05-16T00:00:00"/>
    <x v="2"/>
    <x v="86"/>
    <x v="3"/>
    <n v="0"/>
    <x v="1"/>
    <n v="0"/>
    <n v="0"/>
    <n v="0"/>
    <x v="1"/>
    <x v="1"/>
    <n v="1"/>
  </r>
  <r>
    <n v="8562790000000"/>
    <x v="0"/>
    <x v="77"/>
    <x v="4"/>
    <s v="PRAIA DO SUA"/>
    <d v="2016-05-12T00:00:00"/>
    <d v="2016-05-17T00:00:00"/>
    <x v="4"/>
    <x v="92"/>
    <x v="3"/>
    <n v="0"/>
    <x v="1"/>
    <n v="0"/>
    <n v="0"/>
    <n v="1"/>
    <x v="1"/>
    <x v="0"/>
    <n v="0"/>
  </r>
  <r>
    <n v="354280000000"/>
    <x v="1"/>
    <x v="70"/>
    <x v="5"/>
    <s v="BONFIM"/>
    <d v="2016-05-12T00:00:00"/>
    <d v="2016-05-12T00:00:00"/>
    <x v="3"/>
    <x v="94"/>
    <x v="5"/>
    <n v="1"/>
    <x v="1"/>
    <n v="0"/>
    <n v="0"/>
    <n v="0"/>
    <x v="1"/>
    <x v="0"/>
    <n v="0"/>
  </r>
  <r>
    <n v="8711180000000"/>
    <x v="0"/>
    <x v="44"/>
    <x v="4"/>
    <s v="MATA DA PRAIA"/>
    <d v="2016-05-12T00:00:00"/>
    <d v="2016-05-12T00:00:00"/>
    <x v="3"/>
    <x v="94"/>
    <x v="5"/>
    <n v="0"/>
    <x v="1"/>
    <n v="0"/>
    <n v="0"/>
    <n v="0"/>
    <x v="1"/>
    <x v="0"/>
    <n v="0"/>
  </r>
  <r>
    <n v="972732000000"/>
    <x v="0"/>
    <x v="26"/>
    <x v="0"/>
    <s v="JARDIM DA PENHA"/>
    <d v="2016-05-12T00:00:00"/>
    <d v="2016-05-19T00:00:00"/>
    <x v="3"/>
    <x v="87"/>
    <x v="3"/>
    <n v="0"/>
    <x v="0"/>
    <n v="0"/>
    <n v="0"/>
    <n v="0"/>
    <x v="1"/>
    <x v="1"/>
    <n v="1"/>
  </r>
  <r>
    <n v="9411860000000"/>
    <x v="0"/>
    <x v="56"/>
    <x v="1"/>
    <s v="MARIA ORTIZ"/>
    <d v="2016-05-12T00:00:00"/>
    <d v="2016-05-12T00:00:00"/>
    <x v="3"/>
    <x v="94"/>
    <x v="5"/>
    <n v="0"/>
    <x v="1"/>
    <n v="0"/>
    <n v="0"/>
    <n v="0"/>
    <x v="1"/>
    <x v="0"/>
    <n v="0"/>
  </r>
  <r>
    <n v="284475000000000"/>
    <x v="0"/>
    <x v="20"/>
    <x v="0"/>
    <s v="CONSOLACAO"/>
    <d v="2016-05-12T00:00:00"/>
    <d v="2016-05-12T00:00:00"/>
    <x v="3"/>
    <x v="94"/>
    <x v="5"/>
    <n v="0"/>
    <x v="0"/>
    <n v="1"/>
    <n v="0"/>
    <n v="0"/>
    <x v="1"/>
    <x v="0"/>
    <n v="0"/>
  </r>
  <r>
    <n v="65268400000000"/>
    <x v="1"/>
    <x v="15"/>
    <x v="3"/>
    <s v="SANTO ANTONIO"/>
    <d v="2016-05-12T00:00:00"/>
    <d v="2016-05-14T00:00:00"/>
    <x v="5"/>
    <x v="91"/>
    <x v="4"/>
    <n v="0"/>
    <x v="0"/>
    <n v="0"/>
    <n v="0"/>
    <n v="0"/>
    <x v="1"/>
    <x v="0"/>
    <n v="0"/>
  </r>
  <r>
    <n v="812763000000000"/>
    <x v="1"/>
    <x v="5"/>
    <x v="1"/>
    <s v="RESISTENCIA"/>
    <d v="2016-05-12T00:00:00"/>
    <d v="2016-05-19T00:00:00"/>
    <x v="3"/>
    <x v="87"/>
    <x v="3"/>
    <n v="0"/>
    <x v="0"/>
    <n v="0"/>
    <n v="0"/>
    <n v="0"/>
    <x v="1"/>
    <x v="0"/>
    <n v="0"/>
  </r>
  <r>
    <n v="112975000000000"/>
    <x v="1"/>
    <x v="13"/>
    <x v="0"/>
    <s v="ILHA DO PRINCIPE"/>
    <d v="2016-05-12T00:00:00"/>
    <d v="2016-05-12T00:00:00"/>
    <x v="3"/>
    <x v="94"/>
    <x v="5"/>
    <n v="0"/>
    <x v="0"/>
    <n v="0"/>
    <n v="0"/>
    <n v="0"/>
    <x v="1"/>
    <x v="0"/>
    <n v="0"/>
  </r>
  <r>
    <n v="937889000000"/>
    <x v="0"/>
    <x v="33"/>
    <x v="4"/>
    <s v="CARATOIRA"/>
    <d v="2016-05-12T00:00:00"/>
    <d v="2016-05-12T00:00:00"/>
    <x v="3"/>
    <x v="94"/>
    <x v="5"/>
    <n v="0"/>
    <x v="1"/>
    <n v="0"/>
    <n v="0"/>
    <n v="0"/>
    <x v="1"/>
    <x v="0"/>
    <n v="0"/>
  </r>
  <r>
    <n v="83362900000000"/>
    <x v="0"/>
    <x v="0"/>
    <x v="0"/>
    <s v="JABOUR"/>
    <d v="2016-05-12T00:00:00"/>
    <d v="2016-05-16T00:00:00"/>
    <x v="2"/>
    <x v="86"/>
    <x v="3"/>
    <n v="0"/>
    <x v="1"/>
    <n v="0"/>
    <n v="0"/>
    <n v="0"/>
    <x v="1"/>
    <x v="0"/>
    <n v="0"/>
  </r>
  <r>
    <n v="629623000000000"/>
    <x v="0"/>
    <x v="17"/>
    <x v="4"/>
    <s v="JARDIM CAMBURI"/>
    <d v="2016-05-12T00:00:00"/>
    <d v="2016-05-12T00:00:00"/>
    <x v="3"/>
    <x v="94"/>
    <x v="5"/>
    <n v="0"/>
    <x v="1"/>
    <n v="0"/>
    <n v="0"/>
    <n v="0"/>
    <x v="1"/>
    <x v="0"/>
    <n v="0"/>
  </r>
  <r>
    <n v="2686730000000"/>
    <x v="1"/>
    <x v="57"/>
    <x v="2"/>
    <s v="MARIO CYPRESTE"/>
    <d v="2016-05-12T00:00:00"/>
    <d v="2016-05-12T00:00:00"/>
    <x v="3"/>
    <x v="94"/>
    <x v="5"/>
    <n v="0"/>
    <x v="1"/>
    <n v="0"/>
    <n v="0"/>
    <n v="0"/>
    <x v="1"/>
    <x v="0"/>
    <n v="0"/>
  </r>
  <r>
    <n v="2957000000000"/>
    <x v="0"/>
    <x v="17"/>
    <x v="4"/>
    <s v="SAO BENEDITO"/>
    <d v="2016-05-12T00:00:00"/>
    <d v="2016-05-12T00:00:00"/>
    <x v="3"/>
    <x v="94"/>
    <x v="5"/>
    <n v="1"/>
    <x v="1"/>
    <n v="0"/>
    <n v="1"/>
    <n v="0"/>
    <x v="1"/>
    <x v="0"/>
    <n v="0"/>
  </r>
  <r>
    <n v="273492000000000"/>
    <x v="0"/>
    <x v="64"/>
    <x v="3"/>
    <s v="CARATOIRA"/>
    <d v="2016-05-12T00:00:00"/>
    <d v="2016-05-16T00:00:00"/>
    <x v="2"/>
    <x v="86"/>
    <x v="3"/>
    <n v="0"/>
    <x v="1"/>
    <n v="1"/>
    <n v="0"/>
    <n v="0"/>
    <x v="1"/>
    <x v="0"/>
    <n v="0"/>
  </r>
  <r>
    <n v="1436284497"/>
    <x v="0"/>
    <x v="35"/>
    <x v="0"/>
    <s v="JARDIM DA PENHA"/>
    <d v="2016-05-12T00:00:00"/>
    <d v="2016-05-16T00:00:00"/>
    <x v="2"/>
    <x v="86"/>
    <x v="3"/>
    <n v="0"/>
    <x v="1"/>
    <n v="0"/>
    <n v="0"/>
    <n v="0"/>
    <x v="1"/>
    <x v="0"/>
    <n v="0"/>
  </r>
  <r>
    <n v="684813000000000"/>
    <x v="0"/>
    <x v="68"/>
    <x v="4"/>
    <s v="JARDIM DA PENHA"/>
    <d v="2016-05-12T00:00:00"/>
    <d v="2016-05-12T00:00:00"/>
    <x v="3"/>
    <x v="94"/>
    <x v="5"/>
    <n v="0"/>
    <x v="1"/>
    <n v="0"/>
    <n v="0"/>
    <n v="0"/>
    <x v="1"/>
    <x v="0"/>
    <n v="0"/>
  </r>
  <r>
    <n v="96866600000000"/>
    <x v="0"/>
    <x v="71"/>
    <x v="4"/>
    <s v="NAZARETH"/>
    <d v="2016-05-12T00:00:00"/>
    <d v="2016-05-12T00:00:00"/>
    <x v="3"/>
    <x v="94"/>
    <x v="5"/>
    <n v="0"/>
    <x v="1"/>
    <n v="0"/>
    <n v="0"/>
    <n v="0"/>
    <x v="1"/>
    <x v="0"/>
    <n v="0"/>
  </r>
  <r>
    <n v="85772900000000"/>
    <x v="0"/>
    <x v="17"/>
    <x v="4"/>
    <s v="MARIA ORTIZ"/>
    <d v="2016-05-12T00:00:00"/>
    <d v="2016-05-30T00:00:00"/>
    <x v="2"/>
    <x v="74"/>
    <x v="1"/>
    <n v="0"/>
    <x v="1"/>
    <n v="0"/>
    <n v="0"/>
    <n v="0"/>
    <x v="0"/>
    <x v="0"/>
    <n v="0"/>
  </r>
  <r>
    <n v="847435000000000"/>
    <x v="1"/>
    <x v="57"/>
    <x v="2"/>
    <s v="FORTE SAO JOAO"/>
    <d v="2016-05-12T00:00:00"/>
    <d v="2016-05-13T00:00:00"/>
    <x v="0"/>
    <x v="93"/>
    <x v="4"/>
    <n v="0"/>
    <x v="1"/>
    <n v="0"/>
    <n v="0"/>
    <n v="0"/>
    <x v="1"/>
    <x v="0"/>
    <n v="0"/>
  </r>
  <r>
    <n v="5856820000000"/>
    <x v="0"/>
    <x v="14"/>
    <x v="3"/>
    <s v="CENTRO"/>
    <d v="2016-05-12T00:00:00"/>
    <d v="2016-05-12T00:00:00"/>
    <x v="3"/>
    <x v="94"/>
    <x v="5"/>
    <n v="1"/>
    <x v="1"/>
    <n v="0"/>
    <n v="0"/>
    <n v="0"/>
    <x v="1"/>
    <x v="0"/>
    <n v="0"/>
  </r>
  <r>
    <n v="11512000000000"/>
    <x v="1"/>
    <x v="16"/>
    <x v="1"/>
    <s v="MARIA ORTIZ"/>
    <d v="2016-05-12T00:00:00"/>
    <d v="2016-05-18T00:00:00"/>
    <x v="1"/>
    <x v="90"/>
    <x v="3"/>
    <n v="0"/>
    <x v="1"/>
    <n v="0"/>
    <n v="0"/>
    <n v="0"/>
    <x v="1"/>
    <x v="0"/>
    <n v="0"/>
  </r>
  <r>
    <n v="539716000000000"/>
    <x v="0"/>
    <x v="33"/>
    <x v="4"/>
    <s v="FONTE GRANDE"/>
    <d v="2016-05-12T00:00:00"/>
    <d v="2016-05-17T00:00:00"/>
    <x v="4"/>
    <x v="92"/>
    <x v="3"/>
    <n v="0"/>
    <x v="1"/>
    <n v="0"/>
    <n v="0"/>
    <n v="0"/>
    <x v="1"/>
    <x v="1"/>
    <n v="1"/>
  </r>
  <r>
    <n v="566371000000000"/>
    <x v="0"/>
    <x v="44"/>
    <x v="4"/>
    <s v="REDENCAO"/>
    <d v="2016-05-12T00:00:00"/>
    <d v="2016-05-17T00:00:00"/>
    <x v="4"/>
    <x v="92"/>
    <x v="3"/>
    <n v="0"/>
    <x v="1"/>
    <n v="0"/>
    <n v="0"/>
    <n v="0"/>
    <x v="1"/>
    <x v="0"/>
    <n v="0"/>
  </r>
  <r>
    <n v="7867320000000"/>
    <x v="1"/>
    <x v="56"/>
    <x v="1"/>
    <s v="SANTA LUIZA"/>
    <d v="2016-05-12T00:00:00"/>
    <d v="2016-05-20T00:00:00"/>
    <x v="0"/>
    <x v="88"/>
    <x v="2"/>
    <n v="0"/>
    <x v="1"/>
    <n v="0"/>
    <n v="0"/>
    <n v="0"/>
    <x v="1"/>
    <x v="0"/>
    <n v="0"/>
  </r>
  <r>
    <n v="5851690000000"/>
    <x v="1"/>
    <x v="75"/>
    <x v="5"/>
    <s v="NOVA PALESTINA"/>
    <d v="2016-05-12T00:00:00"/>
    <d v="2016-05-12T00:00:00"/>
    <x v="3"/>
    <x v="94"/>
    <x v="5"/>
    <n v="1"/>
    <x v="1"/>
    <n v="0"/>
    <n v="0"/>
    <n v="0"/>
    <x v="1"/>
    <x v="1"/>
    <n v="1"/>
  </r>
  <r>
    <n v="137143000000"/>
    <x v="0"/>
    <x v="50"/>
    <x v="1"/>
    <s v="RESISTENCIA"/>
    <d v="2016-05-12T00:00:00"/>
    <d v="2016-05-17T00:00:00"/>
    <x v="4"/>
    <x v="92"/>
    <x v="3"/>
    <n v="0"/>
    <x v="0"/>
    <n v="0"/>
    <n v="0"/>
    <n v="0"/>
    <x v="1"/>
    <x v="0"/>
    <n v="0"/>
  </r>
  <r>
    <n v="38899500000000"/>
    <x v="0"/>
    <x v="18"/>
    <x v="0"/>
    <s v="SAO BENEDITO"/>
    <d v="2016-05-12T00:00:00"/>
    <d v="2016-05-31T00:00:00"/>
    <x v="4"/>
    <x v="77"/>
    <x v="1"/>
    <n v="0"/>
    <x v="0"/>
    <n v="1"/>
    <n v="0"/>
    <n v="0"/>
    <x v="0"/>
    <x v="0"/>
    <n v="0"/>
  </r>
  <r>
    <n v="1477560000000"/>
    <x v="0"/>
    <x v="61"/>
    <x v="1"/>
    <s v="INHANGUETA"/>
    <d v="2016-05-12T00:00:00"/>
    <d v="2016-06-08T00:00:00"/>
    <x v="1"/>
    <x v="65"/>
    <x v="1"/>
    <n v="1"/>
    <x v="1"/>
    <n v="0"/>
    <n v="0"/>
    <n v="0"/>
    <x v="0"/>
    <x v="1"/>
    <n v="1"/>
  </r>
  <r>
    <n v="2168840000000"/>
    <x v="0"/>
    <x v="85"/>
    <x v="0"/>
    <s v="SANTA MARTHA"/>
    <d v="2016-05-12T00:00:00"/>
    <d v="2016-05-18T00:00:00"/>
    <x v="1"/>
    <x v="90"/>
    <x v="3"/>
    <n v="0"/>
    <x v="0"/>
    <n v="1"/>
    <n v="0"/>
    <n v="0"/>
    <x v="1"/>
    <x v="0"/>
    <n v="0"/>
  </r>
  <r>
    <n v="92773487582"/>
    <x v="0"/>
    <x v="29"/>
    <x v="3"/>
    <s v="JARDIM DA PENHA"/>
    <d v="2016-05-12T00:00:00"/>
    <d v="2016-06-07T00:00:00"/>
    <x v="4"/>
    <x v="68"/>
    <x v="1"/>
    <n v="0"/>
    <x v="1"/>
    <n v="0"/>
    <n v="0"/>
    <n v="0"/>
    <x v="0"/>
    <x v="0"/>
    <n v="0"/>
  </r>
  <r>
    <n v="413341000000"/>
    <x v="0"/>
    <x v="62"/>
    <x v="3"/>
    <s v="RESISTENCIA"/>
    <d v="2016-05-12T00:00:00"/>
    <d v="2016-05-17T00:00:00"/>
    <x v="4"/>
    <x v="92"/>
    <x v="3"/>
    <n v="0"/>
    <x v="0"/>
    <n v="0"/>
    <n v="0"/>
    <n v="0"/>
    <x v="1"/>
    <x v="0"/>
    <n v="0"/>
  </r>
  <r>
    <n v="948566000000"/>
    <x v="0"/>
    <x v="37"/>
    <x v="3"/>
    <s v="JARDIM CAMBURI"/>
    <d v="2016-05-12T00:00:00"/>
    <d v="2016-05-17T00:00:00"/>
    <x v="4"/>
    <x v="92"/>
    <x v="3"/>
    <n v="0"/>
    <x v="1"/>
    <n v="0"/>
    <n v="0"/>
    <n v="0"/>
    <x v="1"/>
    <x v="1"/>
    <n v="1"/>
  </r>
  <r>
    <n v="33854800000000"/>
    <x v="0"/>
    <x v="40"/>
    <x v="1"/>
    <s v="SANTA MARTHA"/>
    <d v="2016-05-12T00:00:00"/>
    <d v="2016-05-12T00:00:00"/>
    <x v="3"/>
    <x v="94"/>
    <x v="5"/>
    <n v="0"/>
    <x v="1"/>
    <n v="0"/>
    <n v="0"/>
    <n v="0"/>
    <x v="1"/>
    <x v="0"/>
    <n v="0"/>
  </r>
  <r>
    <n v="68573900000000"/>
    <x v="1"/>
    <x v="2"/>
    <x v="1"/>
    <s v="MARIA ORTIZ"/>
    <d v="2016-05-12T00:00:00"/>
    <d v="2016-05-12T00:00:00"/>
    <x v="3"/>
    <x v="94"/>
    <x v="5"/>
    <n v="0"/>
    <x v="1"/>
    <n v="0"/>
    <n v="0"/>
    <n v="0"/>
    <x v="1"/>
    <x v="0"/>
    <n v="0"/>
  </r>
  <r>
    <n v="89231900000000"/>
    <x v="1"/>
    <x v="38"/>
    <x v="4"/>
    <s v="CENTRO"/>
    <d v="2016-05-12T00:00:00"/>
    <d v="2016-05-19T00:00:00"/>
    <x v="3"/>
    <x v="87"/>
    <x v="3"/>
    <n v="0"/>
    <x v="1"/>
    <n v="0"/>
    <n v="0"/>
    <n v="0"/>
    <x v="1"/>
    <x v="0"/>
    <n v="0"/>
  </r>
  <r>
    <n v="66117912619"/>
    <x v="0"/>
    <x v="5"/>
    <x v="1"/>
    <s v="JARDIM CAMBURI"/>
    <d v="2016-05-12T00:00:00"/>
    <d v="2016-05-12T00:00:00"/>
    <x v="3"/>
    <x v="94"/>
    <x v="5"/>
    <n v="0"/>
    <x v="1"/>
    <n v="0"/>
    <n v="0"/>
    <n v="0"/>
    <x v="1"/>
    <x v="0"/>
    <n v="0"/>
  </r>
  <r>
    <n v="38719800000000"/>
    <x v="0"/>
    <x v="28"/>
    <x v="3"/>
    <s v="JARDIM DA PENHA"/>
    <d v="2016-05-12T00:00:00"/>
    <d v="2016-05-12T00:00:00"/>
    <x v="3"/>
    <x v="94"/>
    <x v="5"/>
    <n v="0"/>
    <x v="0"/>
    <n v="0"/>
    <n v="0"/>
    <n v="0"/>
    <x v="1"/>
    <x v="0"/>
    <n v="0"/>
  </r>
  <r>
    <n v="188232000000000"/>
    <x v="1"/>
    <x v="45"/>
    <x v="1"/>
    <s v="JABOUR"/>
    <d v="2016-05-12T00:00:00"/>
    <d v="2016-05-12T00:00:00"/>
    <x v="3"/>
    <x v="94"/>
    <x v="5"/>
    <n v="0"/>
    <x v="1"/>
    <n v="0"/>
    <n v="0"/>
    <n v="0"/>
    <x v="1"/>
    <x v="0"/>
    <n v="0"/>
  </r>
  <r>
    <n v="8147430000000"/>
    <x v="0"/>
    <x v="33"/>
    <x v="4"/>
    <s v="JARDIM CAMBURI"/>
    <d v="2016-05-12T00:00:00"/>
    <d v="2016-05-12T00:00:00"/>
    <x v="3"/>
    <x v="94"/>
    <x v="5"/>
    <n v="0"/>
    <x v="1"/>
    <n v="0"/>
    <n v="0"/>
    <n v="0"/>
    <x v="1"/>
    <x v="0"/>
    <n v="0"/>
  </r>
  <r>
    <n v="36995000000000"/>
    <x v="0"/>
    <x v="39"/>
    <x v="4"/>
    <s v="SANTO ANTONIO"/>
    <d v="2016-05-12T00:00:00"/>
    <d v="2016-05-12T00:00:00"/>
    <x v="3"/>
    <x v="94"/>
    <x v="5"/>
    <n v="0"/>
    <x v="1"/>
    <n v="0"/>
    <n v="0"/>
    <n v="0"/>
    <x v="1"/>
    <x v="0"/>
    <n v="0"/>
  </r>
  <r>
    <n v="3951640000000"/>
    <x v="0"/>
    <x v="56"/>
    <x v="1"/>
    <s v="MARIA ORTIZ"/>
    <d v="2016-05-12T00:00:00"/>
    <d v="2016-05-20T00:00:00"/>
    <x v="0"/>
    <x v="88"/>
    <x v="2"/>
    <n v="0"/>
    <x v="1"/>
    <n v="0"/>
    <n v="0"/>
    <n v="0"/>
    <x v="1"/>
    <x v="1"/>
    <n v="1"/>
  </r>
  <r>
    <n v="2758660000000"/>
    <x v="1"/>
    <x v="5"/>
    <x v="1"/>
    <s v="JUCUTUQUARA"/>
    <d v="2016-05-12T00:00:00"/>
    <d v="2016-05-19T00:00:00"/>
    <x v="3"/>
    <x v="87"/>
    <x v="3"/>
    <n v="0"/>
    <x v="1"/>
    <n v="0"/>
    <n v="0"/>
    <n v="0"/>
    <x v="1"/>
    <x v="0"/>
    <n v="0"/>
  </r>
  <r>
    <n v="354280000000"/>
    <x v="1"/>
    <x v="70"/>
    <x v="5"/>
    <s v="BONFIM"/>
    <d v="2016-05-12T00:00:00"/>
    <d v="2016-05-12T00:00:00"/>
    <x v="3"/>
    <x v="94"/>
    <x v="5"/>
    <n v="1"/>
    <x v="1"/>
    <n v="0"/>
    <n v="0"/>
    <n v="0"/>
    <x v="1"/>
    <x v="0"/>
    <n v="0"/>
  </r>
  <r>
    <n v="37458900000000"/>
    <x v="0"/>
    <x v="3"/>
    <x v="0"/>
    <s v="JARDIM CAMBURI"/>
    <d v="2016-05-12T00:00:00"/>
    <d v="2016-05-12T00:00:00"/>
    <x v="3"/>
    <x v="94"/>
    <x v="5"/>
    <n v="0"/>
    <x v="1"/>
    <n v="0"/>
    <n v="0"/>
    <n v="0"/>
    <x v="1"/>
    <x v="0"/>
    <n v="0"/>
  </r>
  <r>
    <n v="611162000000000"/>
    <x v="0"/>
    <x v="84"/>
    <x v="1"/>
    <s v="JARDIM DA PENHA"/>
    <d v="2016-05-12T00:00:00"/>
    <d v="2016-05-12T00:00:00"/>
    <x v="3"/>
    <x v="94"/>
    <x v="5"/>
    <n v="0"/>
    <x v="1"/>
    <n v="0"/>
    <n v="0"/>
    <n v="0"/>
    <x v="1"/>
    <x v="0"/>
    <n v="0"/>
  </r>
  <r>
    <n v="4295450000000"/>
    <x v="0"/>
    <x v="14"/>
    <x v="3"/>
    <s v="SANTA MARTHA"/>
    <d v="2016-05-12T00:00:00"/>
    <d v="2016-05-12T00:00:00"/>
    <x v="3"/>
    <x v="94"/>
    <x v="5"/>
    <n v="0"/>
    <x v="1"/>
    <n v="0"/>
    <n v="0"/>
    <n v="0"/>
    <x v="1"/>
    <x v="0"/>
    <n v="0"/>
  </r>
  <r>
    <n v="53352200000000"/>
    <x v="0"/>
    <x v="12"/>
    <x v="3"/>
    <s v="JARDIM CAMBURI"/>
    <d v="2016-05-12T00:00:00"/>
    <d v="2016-05-17T00:00:00"/>
    <x v="4"/>
    <x v="92"/>
    <x v="3"/>
    <n v="0"/>
    <x v="1"/>
    <n v="0"/>
    <n v="0"/>
    <n v="0"/>
    <x v="1"/>
    <x v="0"/>
    <n v="0"/>
  </r>
  <r>
    <n v="584525000000000"/>
    <x v="0"/>
    <x v="37"/>
    <x v="3"/>
    <s v="JARDIM CAMBURI"/>
    <d v="2016-05-12T00:00:00"/>
    <d v="2016-05-17T00:00:00"/>
    <x v="4"/>
    <x v="92"/>
    <x v="3"/>
    <n v="0"/>
    <x v="1"/>
    <n v="0"/>
    <n v="0"/>
    <n v="0"/>
    <x v="1"/>
    <x v="0"/>
    <n v="0"/>
  </r>
  <r>
    <n v="234199000000"/>
    <x v="1"/>
    <x v="31"/>
    <x v="1"/>
    <s v="CARATOIRA"/>
    <d v="2016-05-13T00:00:00"/>
    <d v="2016-05-17T00:00:00"/>
    <x v="4"/>
    <x v="86"/>
    <x v="3"/>
    <n v="0"/>
    <x v="1"/>
    <n v="0"/>
    <n v="0"/>
    <n v="0"/>
    <x v="1"/>
    <x v="0"/>
    <n v="0"/>
  </r>
  <r>
    <n v="326283000000000"/>
    <x v="0"/>
    <x v="55"/>
    <x v="2"/>
    <s v="REDENCAO"/>
    <d v="2016-05-13T00:00:00"/>
    <d v="2016-05-16T00:00:00"/>
    <x v="2"/>
    <x v="89"/>
    <x v="4"/>
    <n v="0"/>
    <x v="1"/>
    <n v="0"/>
    <n v="0"/>
    <n v="0"/>
    <x v="1"/>
    <x v="0"/>
    <n v="0"/>
  </r>
  <r>
    <n v="294838000000"/>
    <x v="1"/>
    <x v="44"/>
    <x v="4"/>
    <s v="GURIGICA"/>
    <d v="2016-05-13T00:00:00"/>
    <d v="2016-05-13T00:00:00"/>
    <x v="0"/>
    <x v="94"/>
    <x v="5"/>
    <n v="0"/>
    <x v="0"/>
    <n v="0"/>
    <n v="0"/>
    <n v="0"/>
    <x v="1"/>
    <x v="0"/>
    <n v="0"/>
  </r>
  <r>
    <n v="7796320000000"/>
    <x v="0"/>
    <x v="17"/>
    <x v="4"/>
    <s v="SANTO ANTONIO"/>
    <d v="2016-05-13T00:00:00"/>
    <d v="2016-05-17T00:00:00"/>
    <x v="4"/>
    <x v="86"/>
    <x v="3"/>
    <n v="0"/>
    <x v="1"/>
    <n v="0"/>
    <n v="0"/>
    <n v="0"/>
    <x v="1"/>
    <x v="0"/>
    <n v="0"/>
  </r>
  <r>
    <n v="884976000000"/>
    <x v="1"/>
    <x v="23"/>
    <x v="3"/>
    <s v="CONQUISTA"/>
    <d v="2016-05-13T00:00:00"/>
    <d v="2016-05-13T00:00:00"/>
    <x v="0"/>
    <x v="94"/>
    <x v="5"/>
    <n v="0"/>
    <x v="0"/>
    <n v="0"/>
    <n v="1"/>
    <n v="0"/>
    <x v="1"/>
    <x v="0"/>
    <n v="0"/>
  </r>
  <r>
    <n v="472265000000000"/>
    <x v="1"/>
    <x v="35"/>
    <x v="0"/>
    <s v="PRAIA DO CANTO"/>
    <d v="2016-05-13T00:00:00"/>
    <d v="2016-05-25T00:00:00"/>
    <x v="1"/>
    <x v="84"/>
    <x v="2"/>
    <n v="0"/>
    <x v="0"/>
    <n v="1"/>
    <n v="0"/>
    <n v="0"/>
    <x v="0"/>
    <x v="0"/>
    <n v="0"/>
  </r>
  <r>
    <n v="8537840000000"/>
    <x v="0"/>
    <x v="59"/>
    <x v="2"/>
    <s v="BONFIM"/>
    <d v="2016-05-13T00:00:00"/>
    <d v="2016-05-13T00:00:00"/>
    <x v="0"/>
    <x v="94"/>
    <x v="5"/>
    <n v="0"/>
    <x v="1"/>
    <n v="0"/>
    <n v="0"/>
    <n v="0"/>
    <x v="1"/>
    <x v="1"/>
    <n v="1"/>
  </r>
  <r>
    <n v="35888200000000"/>
    <x v="1"/>
    <x v="53"/>
    <x v="0"/>
    <s v="SANTA MARTHA"/>
    <d v="2016-05-13T00:00:00"/>
    <d v="2016-05-17T00:00:00"/>
    <x v="4"/>
    <x v="86"/>
    <x v="3"/>
    <n v="0"/>
    <x v="1"/>
    <n v="0"/>
    <n v="1"/>
    <n v="0"/>
    <x v="1"/>
    <x v="0"/>
    <n v="0"/>
  </r>
  <r>
    <n v="432581000000000"/>
    <x v="0"/>
    <x v="43"/>
    <x v="2"/>
    <s v="SANTO ANDRE"/>
    <d v="2016-05-13T00:00:00"/>
    <d v="2016-05-17T00:00:00"/>
    <x v="4"/>
    <x v="86"/>
    <x v="3"/>
    <n v="0"/>
    <x v="1"/>
    <n v="0"/>
    <n v="0"/>
    <n v="0"/>
    <x v="1"/>
    <x v="0"/>
    <n v="0"/>
  </r>
  <r>
    <n v="22352500000000"/>
    <x v="0"/>
    <x v="40"/>
    <x v="1"/>
    <s v="JESUS DE NAZARETH"/>
    <d v="2016-05-13T00:00:00"/>
    <d v="2016-05-13T00:00:00"/>
    <x v="0"/>
    <x v="94"/>
    <x v="5"/>
    <n v="0"/>
    <x v="1"/>
    <n v="0"/>
    <n v="0"/>
    <n v="0"/>
    <x v="1"/>
    <x v="0"/>
    <n v="0"/>
  </r>
  <r>
    <n v="775590000000000"/>
    <x v="1"/>
    <x v="55"/>
    <x v="2"/>
    <s v="JARDIM CAMBURI"/>
    <d v="2016-05-13T00:00:00"/>
    <d v="2016-05-13T00:00:00"/>
    <x v="0"/>
    <x v="94"/>
    <x v="5"/>
    <n v="0"/>
    <x v="1"/>
    <n v="0"/>
    <n v="0"/>
    <n v="0"/>
    <x v="1"/>
    <x v="0"/>
    <n v="0"/>
  </r>
  <r>
    <n v="664853000000"/>
    <x v="0"/>
    <x v="83"/>
    <x v="0"/>
    <s v="SANTA MARTHA"/>
    <d v="2016-05-13T00:00:00"/>
    <d v="2016-05-13T00:00:00"/>
    <x v="0"/>
    <x v="94"/>
    <x v="5"/>
    <n v="0"/>
    <x v="0"/>
    <n v="1"/>
    <n v="0"/>
    <n v="0"/>
    <x v="1"/>
    <x v="0"/>
    <n v="0"/>
  </r>
  <r>
    <n v="81453700000000"/>
    <x v="1"/>
    <x v="69"/>
    <x v="4"/>
    <s v="SAO PEDRO"/>
    <d v="2016-05-13T00:00:00"/>
    <d v="2016-05-24T00:00:00"/>
    <x v="4"/>
    <x v="81"/>
    <x v="2"/>
    <n v="0"/>
    <x v="1"/>
    <n v="0"/>
    <n v="0"/>
    <n v="0"/>
    <x v="0"/>
    <x v="1"/>
    <n v="1"/>
  </r>
  <r>
    <n v="88521900000000"/>
    <x v="0"/>
    <x v="69"/>
    <x v="4"/>
    <s v="SANTA LUCIA"/>
    <d v="2016-05-13T00:00:00"/>
    <d v="2016-05-30T00:00:00"/>
    <x v="2"/>
    <x v="75"/>
    <x v="1"/>
    <n v="0"/>
    <x v="1"/>
    <n v="0"/>
    <n v="0"/>
    <n v="0"/>
    <x v="0"/>
    <x v="1"/>
    <n v="1"/>
  </r>
  <r>
    <n v="9689410000000"/>
    <x v="0"/>
    <x v="87"/>
    <x v="1"/>
    <s v="GURIGICA"/>
    <d v="2016-05-13T00:00:00"/>
    <d v="2016-05-30T00:00:00"/>
    <x v="2"/>
    <x v="75"/>
    <x v="1"/>
    <n v="0"/>
    <x v="1"/>
    <n v="0"/>
    <n v="1"/>
    <n v="0"/>
    <x v="0"/>
    <x v="0"/>
    <n v="0"/>
  </r>
  <r>
    <n v="163596000000000"/>
    <x v="0"/>
    <x v="28"/>
    <x v="3"/>
    <s v="VILA RUBIM"/>
    <d v="2016-05-13T00:00:00"/>
    <d v="2016-05-17T00:00:00"/>
    <x v="4"/>
    <x v="86"/>
    <x v="3"/>
    <n v="0"/>
    <x v="0"/>
    <n v="0"/>
    <n v="0"/>
    <n v="0"/>
    <x v="1"/>
    <x v="1"/>
    <n v="1"/>
  </r>
  <r>
    <n v="91146400000000"/>
    <x v="1"/>
    <x v="16"/>
    <x v="1"/>
    <s v="BONFIM"/>
    <d v="2016-05-13T00:00:00"/>
    <d v="2016-05-17T00:00:00"/>
    <x v="4"/>
    <x v="86"/>
    <x v="3"/>
    <n v="0"/>
    <x v="1"/>
    <n v="0"/>
    <n v="0"/>
    <n v="0"/>
    <x v="1"/>
    <x v="0"/>
    <n v="0"/>
  </r>
  <r>
    <n v="1993780000000"/>
    <x v="0"/>
    <x v="42"/>
    <x v="3"/>
    <s v="GURIGICA"/>
    <d v="2016-05-13T00:00:00"/>
    <d v="2016-05-13T00:00:00"/>
    <x v="0"/>
    <x v="94"/>
    <x v="5"/>
    <n v="0"/>
    <x v="1"/>
    <n v="0"/>
    <n v="0"/>
    <n v="0"/>
    <x v="1"/>
    <x v="0"/>
    <n v="0"/>
  </r>
  <r>
    <n v="57758400000000"/>
    <x v="0"/>
    <x v="30"/>
    <x v="3"/>
    <s v="RESISTENCIA"/>
    <d v="2016-05-13T00:00:00"/>
    <d v="2016-05-16T00:00:00"/>
    <x v="2"/>
    <x v="89"/>
    <x v="4"/>
    <n v="0"/>
    <x v="1"/>
    <n v="1"/>
    <n v="0"/>
    <n v="0"/>
    <x v="1"/>
    <x v="0"/>
    <n v="0"/>
  </r>
  <r>
    <n v="4388700000000"/>
    <x v="0"/>
    <x v="79"/>
    <x v="5"/>
    <s v="ANDORINHAS"/>
    <d v="2016-05-13T00:00:00"/>
    <d v="2016-05-17T00:00:00"/>
    <x v="4"/>
    <x v="86"/>
    <x v="3"/>
    <n v="1"/>
    <x v="1"/>
    <n v="0"/>
    <n v="0"/>
    <n v="0"/>
    <x v="1"/>
    <x v="0"/>
    <n v="0"/>
  </r>
  <r>
    <n v="4711640000000"/>
    <x v="1"/>
    <x v="66"/>
    <x v="2"/>
    <s v="ANDORINHAS"/>
    <d v="2016-05-13T00:00:00"/>
    <d v="2016-05-13T00:00:00"/>
    <x v="0"/>
    <x v="94"/>
    <x v="5"/>
    <n v="1"/>
    <x v="1"/>
    <n v="0"/>
    <n v="0"/>
    <n v="0"/>
    <x v="1"/>
    <x v="0"/>
    <n v="0"/>
  </r>
  <r>
    <n v="52298600000000"/>
    <x v="1"/>
    <x v="74"/>
    <x v="1"/>
    <s v="RESISTENCIA"/>
    <d v="2016-05-13T00:00:00"/>
    <d v="2016-05-18T00:00:00"/>
    <x v="1"/>
    <x v="92"/>
    <x v="3"/>
    <n v="0"/>
    <x v="1"/>
    <n v="0"/>
    <n v="0"/>
    <n v="0"/>
    <x v="1"/>
    <x v="0"/>
    <n v="0"/>
  </r>
  <r>
    <n v="79631200000000"/>
    <x v="1"/>
    <x v="12"/>
    <x v="3"/>
    <s v="DO QUADRO"/>
    <d v="2016-05-13T00:00:00"/>
    <d v="2016-05-17T00:00:00"/>
    <x v="4"/>
    <x v="86"/>
    <x v="3"/>
    <n v="0"/>
    <x v="1"/>
    <n v="0"/>
    <n v="0"/>
    <n v="0"/>
    <x v="1"/>
    <x v="0"/>
    <n v="0"/>
  </r>
  <r>
    <n v="13137400000000"/>
    <x v="0"/>
    <x v="60"/>
    <x v="2"/>
    <s v="SAO JOSE"/>
    <d v="2016-05-13T00:00:00"/>
    <d v="2016-06-06T00:00:00"/>
    <x v="2"/>
    <x v="66"/>
    <x v="1"/>
    <n v="0"/>
    <x v="1"/>
    <n v="0"/>
    <n v="0"/>
    <n v="0"/>
    <x v="0"/>
    <x v="0"/>
    <n v="0"/>
  </r>
  <r>
    <n v="19187600000000"/>
    <x v="0"/>
    <x v="52"/>
    <x v="2"/>
    <s v="SAO JOSE"/>
    <d v="2016-05-13T00:00:00"/>
    <d v="2016-05-18T00:00:00"/>
    <x v="1"/>
    <x v="92"/>
    <x v="3"/>
    <n v="0"/>
    <x v="1"/>
    <n v="0"/>
    <n v="0"/>
    <n v="0"/>
    <x v="1"/>
    <x v="0"/>
    <n v="0"/>
  </r>
  <r>
    <n v="7434990000000"/>
    <x v="1"/>
    <x v="67"/>
    <x v="4"/>
    <s v="ROMAO"/>
    <d v="2016-05-13T00:00:00"/>
    <d v="2016-05-13T00:00:00"/>
    <x v="0"/>
    <x v="94"/>
    <x v="5"/>
    <n v="0"/>
    <x v="1"/>
    <n v="0"/>
    <n v="0"/>
    <n v="0"/>
    <x v="1"/>
    <x v="0"/>
    <n v="0"/>
  </r>
  <r>
    <n v="8228950000000"/>
    <x v="1"/>
    <x v="42"/>
    <x v="3"/>
    <s v="BARRO VERMELHO"/>
    <d v="2016-05-13T00:00:00"/>
    <d v="2016-05-13T00:00:00"/>
    <x v="0"/>
    <x v="94"/>
    <x v="5"/>
    <n v="0"/>
    <x v="1"/>
    <n v="0"/>
    <n v="0"/>
    <n v="0"/>
    <x v="1"/>
    <x v="0"/>
    <n v="0"/>
  </r>
  <r>
    <n v="165114000000000"/>
    <x v="1"/>
    <x v="4"/>
    <x v="2"/>
    <s v="CRUZAMENTO"/>
    <d v="2016-05-13T00:00:00"/>
    <d v="2016-05-13T00:00:00"/>
    <x v="0"/>
    <x v="94"/>
    <x v="5"/>
    <n v="0"/>
    <x v="1"/>
    <n v="0"/>
    <n v="0"/>
    <n v="0"/>
    <x v="1"/>
    <x v="0"/>
    <n v="0"/>
  </r>
  <r>
    <n v="2196240000000"/>
    <x v="0"/>
    <x v="41"/>
    <x v="4"/>
    <s v="PARQUE MOSCOSO"/>
    <d v="2016-05-13T00:00:00"/>
    <d v="2016-05-13T00:00:00"/>
    <x v="0"/>
    <x v="94"/>
    <x v="5"/>
    <n v="0"/>
    <x v="1"/>
    <n v="0"/>
    <n v="0"/>
    <n v="0"/>
    <x v="1"/>
    <x v="0"/>
    <n v="0"/>
  </r>
  <r>
    <n v="37696800000000"/>
    <x v="0"/>
    <x v="57"/>
    <x v="2"/>
    <s v="SANTO ANDRE"/>
    <d v="2016-05-13T00:00:00"/>
    <d v="2016-05-13T00:00:00"/>
    <x v="0"/>
    <x v="94"/>
    <x v="5"/>
    <n v="0"/>
    <x v="1"/>
    <n v="0"/>
    <n v="0"/>
    <n v="0"/>
    <x v="1"/>
    <x v="0"/>
    <n v="0"/>
  </r>
  <r>
    <n v="26795200000000"/>
    <x v="0"/>
    <x v="0"/>
    <x v="0"/>
    <s v="JARDIM CAMBURI"/>
    <d v="2016-05-13T00:00:00"/>
    <d v="2016-05-16T00:00:00"/>
    <x v="2"/>
    <x v="89"/>
    <x v="4"/>
    <n v="0"/>
    <x v="0"/>
    <n v="0"/>
    <n v="0"/>
    <n v="0"/>
    <x v="1"/>
    <x v="0"/>
    <n v="0"/>
  </r>
  <r>
    <n v="3549770000000"/>
    <x v="0"/>
    <x v="71"/>
    <x v="4"/>
    <s v="MARIA ORTIZ"/>
    <d v="2016-05-13T00:00:00"/>
    <d v="2016-05-13T00:00:00"/>
    <x v="0"/>
    <x v="94"/>
    <x v="5"/>
    <n v="0"/>
    <x v="1"/>
    <n v="0"/>
    <n v="0"/>
    <n v="0"/>
    <x v="1"/>
    <x v="0"/>
    <n v="0"/>
  </r>
  <r>
    <n v="13951300000000"/>
    <x v="0"/>
    <x v="41"/>
    <x v="4"/>
    <s v="PRAIA DO CANTO"/>
    <d v="2016-05-13T00:00:00"/>
    <d v="2016-06-03T00:00:00"/>
    <x v="0"/>
    <x v="73"/>
    <x v="1"/>
    <n v="0"/>
    <x v="1"/>
    <n v="0"/>
    <n v="0"/>
    <n v="0"/>
    <x v="0"/>
    <x v="0"/>
    <n v="0"/>
  </r>
  <r>
    <n v="178164000000000"/>
    <x v="1"/>
    <x v="69"/>
    <x v="4"/>
    <s v="BARRO VERMELHO"/>
    <d v="2016-05-13T00:00:00"/>
    <d v="2016-06-01T00:00:00"/>
    <x v="1"/>
    <x v="77"/>
    <x v="1"/>
    <n v="0"/>
    <x v="1"/>
    <n v="0"/>
    <n v="0"/>
    <n v="0"/>
    <x v="0"/>
    <x v="0"/>
    <n v="0"/>
  </r>
  <r>
    <n v="4874300000000"/>
    <x v="0"/>
    <x v="73"/>
    <x v="4"/>
    <s v="ILHA DE SANTA MARIA"/>
    <d v="2016-05-13T00:00:00"/>
    <d v="2016-05-13T00:00:00"/>
    <x v="0"/>
    <x v="94"/>
    <x v="5"/>
    <n v="0"/>
    <x v="1"/>
    <n v="0"/>
    <n v="0"/>
    <n v="0"/>
    <x v="1"/>
    <x v="0"/>
    <n v="0"/>
  </r>
  <r>
    <n v="6198750000000"/>
    <x v="0"/>
    <x v="11"/>
    <x v="0"/>
    <s v="SANTA MARTHA"/>
    <d v="2016-05-13T00:00:00"/>
    <d v="2016-05-13T00:00:00"/>
    <x v="0"/>
    <x v="94"/>
    <x v="5"/>
    <n v="0"/>
    <x v="0"/>
    <n v="0"/>
    <n v="0"/>
    <n v="0"/>
    <x v="1"/>
    <x v="0"/>
    <n v="0"/>
  </r>
  <r>
    <n v="94864200000000"/>
    <x v="0"/>
    <x v="72"/>
    <x v="5"/>
    <s v="SAO CRISTOVAO"/>
    <d v="2016-05-13T00:00:00"/>
    <d v="2016-05-16T00:00:00"/>
    <x v="2"/>
    <x v="89"/>
    <x v="4"/>
    <n v="0"/>
    <x v="1"/>
    <n v="0"/>
    <n v="0"/>
    <n v="0"/>
    <x v="1"/>
    <x v="0"/>
    <n v="0"/>
  </r>
  <r>
    <n v="678370000000"/>
    <x v="0"/>
    <x v="59"/>
    <x v="2"/>
    <s v="ILHA DO PRINCIPE"/>
    <d v="2016-05-13T00:00:00"/>
    <d v="2016-05-31T00:00:00"/>
    <x v="4"/>
    <x v="74"/>
    <x v="1"/>
    <n v="0"/>
    <x v="1"/>
    <n v="0"/>
    <n v="0"/>
    <n v="0"/>
    <x v="0"/>
    <x v="1"/>
    <n v="1"/>
  </r>
  <r>
    <n v="1125900000000"/>
    <x v="0"/>
    <x v="51"/>
    <x v="2"/>
    <s v="ANDORINHAS"/>
    <d v="2016-05-13T00:00:00"/>
    <d v="2016-06-08T00:00:00"/>
    <x v="1"/>
    <x v="68"/>
    <x v="1"/>
    <n v="0"/>
    <x v="1"/>
    <n v="0"/>
    <n v="0"/>
    <n v="0"/>
    <x v="0"/>
    <x v="0"/>
    <n v="0"/>
  </r>
  <r>
    <n v="57794400000000"/>
    <x v="0"/>
    <x v="71"/>
    <x v="4"/>
    <s v="DA PENHA"/>
    <d v="2016-05-13T00:00:00"/>
    <d v="2016-05-13T00:00:00"/>
    <x v="0"/>
    <x v="94"/>
    <x v="5"/>
    <n v="1"/>
    <x v="1"/>
    <n v="0"/>
    <n v="0"/>
    <n v="0"/>
    <x v="1"/>
    <x v="0"/>
    <n v="0"/>
  </r>
  <r>
    <n v="116655000000000"/>
    <x v="0"/>
    <x v="31"/>
    <x v="1"/>
    <s v="BENTO FERREIRA"/>
    <d v="2016-05-13T00:00:00"/>
    <d v="2016-05-20T00:00:00"/>
    <x v="0"/>
    <x v="87"/>
    <x v="3"/>
    <n v="0"/>
    <x v="1"/>
    <n v="0"/>
    <n v="0"/>
    <n v="0"/>
    <x v="1"/>
    <x v="1"/>
    <n v="1"/>
  </r>
  <r>
    <n v="8662360000000"/>
    <x v="1"/>
    <x v="57"/>
    <x v="2"/>
    <s v="JESUS DE NAZARETH"/>
    <d v="2016-05-13T00:00:00"/>
    <d v="2016-05-16T00:00:00"/>
    <x v="2"/>
    <x v="89"/>
    <x v="4"/>
    <n v="0"/>
    <x v="1"/>
    <n v="0"/>
    <n v="0"/>
    <n v="0"/>
    <x v="1"/>
    <x v="0"/>
    <n v="0"/>
  </r>
  <r>
    <n v="58289200000000"/>
    <x v="1"/>
    <x v="22"/>
    <x v="4"/>
    <s v="FORTE SAO JOAO"/>
    <d v="2016-05-13T00:00:00"/>
    <d v="2016-05-13T00:00:00"/>
    <x v="0"/>
    <x v="94"/>
    <x v="5"/>
    <n v="0"/>
    <x v="1"/>
    <n v="0"/>
    <n v="0"/>
    <n v="0"/>
    <x v="1"/>
    <x v="0"/>
    <n v="0"/>
  </r>
  <r>
    <n v="9271390000000"/>
    <x v="0"/>
    <x v="4"/>
    <x v="2"/>
    <s v="SANTA TEREZA"/>
    <d v="2016-05-13T00:00:00"/>
    <d v="2016-05-13T00:00:00"/>
    <x v="0"/>
    <x v="94"/>
    <x v="5"/>
    <n v="0"/>
    <x v="1"/>
    <n v="0"/>
    <n v="0"/>
    <n v="0"/>
    <x v="1"/>
    <x v="0"/>
    <n v="0"/>
  </r>
  <r>
    <n v="48324600000000"/>
    <x v="1"/>
    <x v="70"/>
    <x v="5"/>
    <s v="JARDIM CAMBURI"/>
    <d v="2016-05-13T00:00:00"/>
    <d v="2016-05-13T00:00:00"/>
    <x v="0"/>
    <x v="94"/>
    <x v="5"/>
    <n v="0"/>
    <x v="1"/>
    <n v="0"/>
    <n v="0"/>
    <n v="0"/>
    <x v="1"/>
    <x v="1"/>
    <n v="1"/>
  </r>
  <r>
    <n v="641662000000"/>
    <x v="0"/>
    <x v="35"/>
    <x v="0"/>
    <s v="JARDIM CAMBURI"/>
    <d v="2016-05-13T00:00:00"/>
    <d v="2016-05-17T00:00:00"/>
    <x v="4"/>
    <x v="86"/>
    <x v="3"/>
    <n v="0"/>
    <x v="1"/>
    <n v="0"/>
    <n v="0"/>
    <n v="0"/>
    <x v="1"/>
    <x v="0"/>
    <n v="0"/>
  </r>
  <r>
    <n v="6922530000000"/>
    <x v="0"/>
    <x v="80"/>
    <x v="2"/>
    <s v="SOLON BORGES"/>
    <d v="2016-05-13T00:00:00"/>
    <d v="2016-05-17T00:00:00"/>
    <x v="4"/>
    <x v="86"/>
    <x v="3"/>
    <n v="0"/>
    <x v="1"/>
    <n v="0"/>
    <n v="0"/>
    <n v="0"/>
    <x v="1"/>
    <x v="1"/>
    <n v="1"/>
  </r>
  <r>
    <n v="4318200000000"/>
    <x v="1"/>
    <x v="48"/>
    <x v="3"/>
    <s v="REPUBLICA"/>
    <d v="2016-05-13T00:00:00"/>
    <d v="2016-05-17T00:00:00"/>
    <x v="4"/>
    <x v="86"/>
    <x v="3"/>
    <n v="0"/>
    <x v="1"/>
    <n v="0"/>
    <n v="0"/>
    <n v="0"/>
    <x v="1"/>
    <x v="0"/>
    <n v="0"/>
  </r>
  <r>
    <n v="52259600000000"/>
    <x v="1"/>
    <x v="81"/>
    <x v="5"/>
    <s v="ILHA DAS CAIEIRAS"/>
    <d v="2016-05-13T00:00:00"/>
    <d v="2016-05-13T00:00:00"/>
    <x v="0"/>
    <x v="94"/>
    <x v="5"/>
    <n v="0"/>
    <x v="1"/>
    <n v="0"/>
    <n v="0"/>
    <n v="0"/>
    <x v="1"/>
    <x v="0"/>
    <n v="0"/>
  </r>
  <r>
    <n v="15735800000000"/>
    <x v="1"/>
    <x v="11"/>
    <x v="0"/>
    <s v="MARIA ORTIZ"/>
    <d v="2016-05-13T00:00:00"/>
    <d v="2016-05-17T00:00:00"/>
    <x v="4"/>
    <x v="86"/>
    <x v="3"/>
    <n v="0"/>
    <x v="1"/>
    <n v="0"/>
    <n v="0"/>
    <n v="0"/>
    <x v="1"/>
    <x v="1"/>
    <n v="1"/>
  </r>
  <r>
    <n v="739231000000000"/>
    <x v="0"/>
    <x v="6"/>
    <x v="0"/>
    <s v="JARDIM CAMBURI"/>
    <d v="2016-05-13T00:00:00"/>
    <d v="2016-05-17T00:00:00"/>
    <x v="4"/>
    <x v="86"/>
    <x v="3"/>
    <n v="0"/>
    <x v="1"/>
    <n v="0"/>
    <n v="0"/>
    <n v="0"/>
    <x v="1"/>
    <x v="1"/>
    <n v="1"/>
  </r>
  <r>
    <n v="59458300000000"/>
    <x v="1"/>
    <x v="6"/>
    <x v="0"/>
    <s v="PRAIA DO CANTO"/>
    <d v="2016-05-13T00:00:00"/>
    <d v="2016-05-17T00:00:00"/>
    <x v="4"/>
    <x v="86"/>
    <x v="3"/>
    <n v="0"/>
    <x v="1"/>
    <n v="1"/>
    <n v="0"/>
    <n v="0"/>
    <x v="1"/>
    <x v="0"/>
    <n v="0"/>
  </r>
  <r>
    <n v="56124500000000"/>
    <x v="1"/>
    <x v="81"/>
    <x v="5"/>
    <s v="GURIGICA"/>
    <d v="2016-05-13T00:00:00"/>
    <d v="2016-05-13T00:00:00"/>
    <x v="0"/>
    <x v="94"/>
    <x v="5"/>
    <n v="0"/>
    <x v="1"/>
    <n v="0"/>
    <n v="0"/>
    <n v="0"/>
    <x v="1"/>
    <x v="0"/>
    <n v="0"/>
  </r>
  <r>
    <n v="65751600000000"/>
    <x v="1"/>
    <x v="52"/>
    <x v="2"/>
    <s v="INHANGUETA"/>
    <d v="2016-05-13T00:00:00"/>
    <d v="2016-05-24T00:00:00"/>
    <x v="4"/>
    <x v="81"/>
    <x v="2"/>
    <n v="0"/>
    <x v="1"/>
    <n v="0"/>
    <n v="0"/>
    <n v="0"/>
    <x v="0"/>
    <x v="0"/>
    <n v="0"/>
  </r>
  <r>
    <n v="39297500000000"/>
    <x v="0"/>
    <x v="36"/>
    <x v="3"/>
    <s v="MARIA ORTIZ"/>
    <d v="2016-05-13T00:00:00"/>
    <d v="2016-05-17T00:00:00"/>
    <x v="4"/>
    <x v="86"/>
    <x v="3"/>
    <n v="0"/>
    <x v="1"/>
    <n v="0"/>
    <n v="0"/>
    <n v="0"/>
    <x v="1"/>
    <x v="0"/>
    <n v="0"/>
  </r>
  <r>
    <n v="8292250000000"/>
    <x v="1"/>
    <x v="6"/>
    <x v="0"/>
    <s v="GOIABEIRAS"/>
    <d v="2016-05-13T00:00:00"/>
    <d v="2016-05-18T00:00:00"/>
    <x v="1"/>
    <x v="92"/>
    <x v="3"/>
    <n v="0"/>
    <x v="0"/>
    <n v="1"/>
    <n v="0"/>
    <n v="0"/>
    <x v="1"/>
    <x v="0"/>
    <n v="0"/>
  </r>
  <r>
    <n v="152417000000000"/>
    <x v="1"/>
    <x v="37"/>
    <x v="3"/>
    <s v="JARDIM DA PENHA"/>
    <d v="2016-05-13T00:00:00"/>
    <d v="2016-05-13T00:00:00"/>
    <x v="0"/>
    <x v="94"/>
    <x v="5"/>
    <n v="0"/>
    <x v="1"/>
    <n v="0"/>
    <n v="0"/>
    <n v="0"/>
    <x v="1"/>
    <x v="0"/>
    <n v="0"/>
  </r>
  <r>
    <n v="649780000000000"/>
    <x v="0"/>
    <x v="72"/>
    <x v="5"/>
    <s v="GRANDE VITORIA"/>
    <d v="2016-05-13T00:00:00"/>
    <d v="2016-05-20T00:00:00"/>
    <x v="0"/>
    <x v="87"/>
    <x v="3"/>
    <n v="0"/>
    <x v="1"/>
    <n v="0"/>
    <n v="0"/>
    <n v="0"/>
    <x v="1"/>
    <x v="1"/>
    <n v="1"/>
  </r>
  <r>
    <n v="8725270000000"/>
    <x v="0"/>
    <x v="23"/>
    <x v="3"/>
    <s v="CENTRO"/>
    <d v="2016-05-13T00:00:00"/>
    <d v="2016-05-17T00:00:00"/>
    <x v="4"/>
    <x v="86"/>
    <x v="3"/>
    <n v="0"/>
    <x v="0"/>
    <n v="0"/>
    <n v="0"/>
    <n v="0"/>
    <x v="1"/>
    <x v="0"/>
    <n v="0"/>
  </r>
  <r>
    <n v="65751400000000"/>
    <x v="1"/>
    <x v="72"/>
    <x v="5"/>
    <s v="ILHA DO PRINCIPE"/>
    <d v="2016-05-13T00:00:00"/>
    <d v="2016-05-13T00:00:00"/>
    <x v="0"/>
    <x v="94"/>
    <x v="5"/>
    <n v="0"/>
    <x v="1"/>
    <n v="0"/>
    <n v="0"/>
    <n v="0"/>
    <x v="1"/>
    <x v="1"/>
    <n v="1"/>
  </r>
  <r>
    <n v="47586000000000"/>
    <x v="1"/>
    <x v="30"/>
    <x v="3"/>
    <s v="SANTO ANDRE"/>
    <d v="2016-05-13T00:00:00"/>
    <d v="2016-05-31T00:00:00"/>
    <x v="4"/>
    <x v="74"/>
    <x v="1"/>
    <n v="0"/>
    <x v="0"/>
    <n v="0"/>
    <n v="0"/>
    <n v="0"/>
    <x v="0"/>
    <x v="0"/>
    <n v="0"/>
  </r>
  <r>
    <n v="22482200000000"/>
    <x v="0"/>
    <x v="27"/>
    <x v="3"/>
    <s v="ROMAO"/>
    <d v="2016-05-13T00:00:00"/>
    <d v="2016-05-19T00:00:00"/>
    <x v="3"/>
    <x v="90"/>
    <x v="3"/>
    <n v="1"/>
    <x v="0"/>
    <n v="0"/>
    <n v="0"/>
    <n v="0"/>
    <x v="1"/>
    <x v="0"/>
    <n v="0"/>
  </r>
  <r>
    <n v="61177400000000"/>
    <x v="0"/>
    <x v="81"/>
    <x v="5"/>
    <s v="SAO PEDRO"/>
    <d v="2016-05-13T00:00:00"/>
    <d v="2016-05-17T00:00:00"/>
    <x v="4"/>
    <x v="86"/>
    <x v="3"/>
    <n v="0"/>
    <x v="1"/>
    <n v="0"/>
    <n v="0"/>
    <n v="0"/>
    <x v="1"/>
    <x v="0"/>
    <n v="0"/>
  </r>
  <r>
    <n v="5852850000000"/>
    <x v="0"/>
    <x v="22"/>
    <x v="4"/>
    <s v="ESTRELINHA"/>
    <d v="2016-05-13T00:00:00"/>
    <d v="2016-05-13T00:00:00"/>
    <x v="0"/>
    <x v="94"/>
    <x v="5"/>
    <n v="1"/>
    <x v="1"/>
    <n v="0"/>
    <n v="0"/>
    <n v="1"/>
    <x v="1"/>
    <x v="0"/>
    <n v="0"/>
  </r>
  <r>
    <n v="7254930000000"/>
    <x v="1"/>
    <x v="79"/>
    <x v="5"/>
    <s v="DO QUADRO"/>
    <d v="2016-05-13T00:00:00"/>
    <d v="2016-05-13T00:00:00"/>
    <x v="0"/>
    <x v="94"/>
    <x v="5"/>
    <n v="0"/>
    <x v="1"/>
    <n v="0"/>
    <n v="0"/>
    <n v="0"/>
    <x v="1"/>
    <x v="1"/>
    <n v="1"/>
  </r>
  <r>
    <n v="4497415116"/>
    <x v="0"/>
    <x v="19"/>
    <x v="2"/>
    <s v="BELA VISTA"/>
    <d v="2016-05-13T00:00:00"/>
    <d v="2016-05-20T00:00:00"/>
    <x v="0"/>
    <x v="87"/>
    <x v="3"/>
    <n v="0"/>
    <x v="1"/>
    <n v="0"/>
    <n v="0"/>
    <n v="0"/>
    <x v="1"/>
    <x v="0"/>
    <n v="0"/>
  </r>
  <r>
    <n v="239584000000000"/>
    <x v="0"/>
    <x v="70"/>
    <x v="5"/>
    <s v="JABOUR"/>
    <d v="2016-05-13T00:00:00"/>
    <d v="2016-05-13T00:00:00"/>
    <x v="0"/>
    <x v="94"/>
    <x v="5"/>
    <n v="0"/>
    <x v="1"/>
    <n v="0"/>
    <n v="0"/>
    <n v="0"/>
    <x v="1"/>
    <x v="0"/>
    <n v="0"/>
  </r>
  <r>
    <n v="57128400000000"/>
    <x v="0"/>
    <x v="33"/>
    <x v="4"/>
    <s v="SANTO ANTONIO"/>
    <d v="2016-05-13T00:00:00"/>
    <d v="2016-05-20T00:00:00"/>
    <x v="0"/>
    <x v="87"/>
    <x v="3"/>
    <n v="0"/>
    <x v="1"/>
    <n v="0"/>
    <n v="0"/>
    <n v="0"/>
    <x v="1"/>
    <x v="1"/>
    <n v="1"/>
  </r>
  <r>
    <n v="96464400000000"/>
    <x v="0"/>
    <x v="53"/>
    <x v="0"/>
    <s v="REPUBLICA"/>
    <d v="2016-05-13T00:00:00"/>
    <d v="2016-06-02T00:00:00"/>
    <x v="3"/>
    <x v="76"/>
    <x v="1"/>
    <n v="0"/>
    <x v="0"/>
    <n v="1"/>
    <n v="0"/>
    <n v="0"/>
    <x v="0"/>
    <x v="0"/>
    <n v="0"/>
  </r>
  <r>
    <n v="28937200000000"/>
    <x v="0"/>
    <x v="14"/>
    <x v="3"/>
    <s v="MARIA ORTIZ"/>
    <d v="2016-05-13T00:00:00"/>
    <d v="2016-05-18T00:00:00"/>
    <x v="1"/>
    <x v="92"/>
    <x v="3"/>
    <n v="0"/>
    <x v="1"/>
    <n v="0"/>
    <n v="0"/>
    <n v="0"/>
    <x v="1"/>
    <x v="0"/>
    <n v="0"/>
  </r>
  <r>
    <n v="6518640000000"/>
    <x v="1"/>
    <x v="54"/>
    <x v="1"/>
    <s v="CONQUISTA"/>
    <d v="2016-05-13T00:00:00"/>
    <d v="2016-05-18T00:00:00"/>
    <x v="1"/>
    <x v="92"/>
    <x v="3"/>
    <n v="0"/>
    <x v="0"/>
    <n v="0"/>
    <n v="0"/>
    <n v="0"/>
    <x v="1"/>
    <x v="0"/>
    <n v="0"/>
  </r>
  <r>
    <n v="67263200000000"/>
    <x v="1"/>
    <x v="28"/>
    <x v="3"/>
    <s v="MARIO CYPRESTE"/>
    <d v="2016-05-13T00:00:00"/>
    <d v="2016-05-13T00:00:00"/>
    <x v="0"/>
    <x v="94"/>
    <x v="5"/>
    <n v="0"/>
    <x v="1"/>
    <n v="0"/>
    <n v="0"/>
    <n v="0"/>
    <x v="1"/>
    <x v="0"/>
    <n v="0"/>
  </r>
  <r>
    <n v="1126170000000"/>
    <x v="1"/>
    <x v="38"/>
    <x v="4"/>
    <s v="SAO CRISTOVAO"/>
    <d v="2016-05-13T00:00:00"/>
    <d v="2016-05-13T00:00:00"/>
    <x v="0"/>
    <x v="94"/>
    <x v="5"/>
    <n v="0"/>
    <x v="1"/>
    <n v="0"/>
    <n v="0"/>
    <n v="0"/>
    <x v="1"/>
    <x v="0"/>
    <n v="0"/>
  </r>
  <r>
    <n v="684224000000000"/>
    <x v="0"/>
    <x v="57"/>
    <x v="2"/>
    <s v="PRAIA DO SUA"/>
    <d v="2016-05-13T00:00:00"/>
    <d v="2016-05-13T00:00:00"/>
    <x v="0"/>
    <x v="94"/>
    <x v="5"/>
    <n v="0"/>
    <x v="1"/>
    <n v="0"/>
    <n v="0"/>
    <n v="0"/>
    <x v="1"/>
    <x v="0"/>
    <n v="0"/>
  </r>
  <r>
    <n v="17596800000000"/>
    <x v="1"/>
    <x v="24"/>
    <x v="1"/>
    <s v="SANTOS DUMONT"/>
    <d v="2016-05-13T00:00:00"/>
    <d v="2016-06-06T00:00:00"/>
    <x v="2"/>
    <x v="66"/>
    <x v="1"/>
    <n v="0"/>
    <x v="0"/>
    <n v="0"/>
    <n v="0"/>
    <n v="0"/>
    <x v="0"/>
    <x v="0"/>
    <n v="0"/>
  </r>
  <r>
    <n v="413761000000"/>
    <x v="0"/>
    <x v="33"/>
    <x v="4"/>
    <s v="CARATOIRA"/>
    <d v="2016-05-13T00:00:00"/>
    <d v="2016-05-13T00:00:00"/>
    <x v="0"/>
    <x v="94"/>
    <x v="5"/>
    <n v="1"/>
    <x v="1"/>
    <n v="0"/>
    <n v="0"/>
    <n v="0"/>
    <x v="1"/>
    <x v="0"/>
    <n v="0"/>
  </r>
  <r>
    <n v="3552850000000"/>
    <x v="1"/>
    <x v="63"/>
    <x v="0"/>
    <s v="SAO CRISTOVAO"/>
    <d v="2016-05-13T00:00:00"/>
    <d v="2016-05-13T00:00:00"/>
    <x v="0"/>
    <x v="94"/>
    <x v="5"/>
    <n v="0"/>
    <x v="0"/>
    <n v="0"/>
    <n v="0"/>
    <n v="0"/>
    <x v="1"/>
    <x v="0"/>
    <n v="0"/>
  </r>
  <r>
    <n v="29621400000000"/>
    <x v="1"/>
    <x v="43"/>
    <x v="2"/>
    <s v="TABUAZEIRO"/>
    <d v="2016-05-13T00:00:00"/>
    <d v="2016-05-13T00:00:00"/>
    <x v="0"/>
    <x v="94"/>
    <x v="5"/>
    <n v="1"/>
    <x v="1"/>
    <n v="0"/>
    <n v="0"/>
    <n v="0"/>
    <x v="1"/>
    <x v="0"/>
    <n v="0"/>
  </r>
  <r>
    <n v="79129100000000"/>
    <x v="0"/>
    <x v="69"/>
    <x v="4"/>
    <s v="RESISTENCIA"/>
    <d v="2016-05-13T00:00:00"/>
    <d v="2016-05-13T00:00:00"/>
    <x v="0"/>
    <x v="94"/>
    <x v="5"/>
    <n v="1"/>
    <x v="1"/>
    <n v="0"/>
    <n v="0"/>
    <n v="0"/>
    <x v="1"/>
    <x v="0"/>
    <n v="0"/>
  </r>
  <r>
    <n v="1846490000000"/>
    <x v="1"/>
    <x v="69"/>
    <x v="4"/>
    <s v="ILHA DO PRINCIPE"/>
    <d v="2016-05-13T00:00:00"/>
    <d v="2016-05-13T00:00:00"/>
    <x v="0"/>
    <x v="94"/>
    <x v="5"/>
    <n v="1"/>
    <x v="1"/>
    <n v="0"/>
    <n v="0"/>
    <n v="0"/>
    <x v="1"/>
    <x v="0"/>
    <n v="0"/>
  </r>
  <r>
    <n v="659614000000000"/>
    <x v="1"/>
    <x v="30"/>
    <x v="3"/>
    <s v="TABUAZEIRO"/>
    <d v="2016-05-13T00:00:00"/>
    <d v="2016-05-13T00:00:00"/>
    <x v="0"/>
    <x v="94"/>
    <x v="5"/>
    <n v="0"/>
    <x v="1"/>
    <n v="0"/>
    <n v="0"/>
    <n v="0"/>
    <x v="1"/>
    <x v="0"/>
    <n v="0"/>
  </r>
  <r>
    <n v="4922160000000"/>
    <x v="0"/>
    <x v="72"/>
    <x v="5"/>
    <s v="FONTE GRANDE"/>
    <d v="2016-05-13T00:00:00"/>
    <d v="2016-05-13T00:00:00"/>
    <x v="0"/>
    <x v="94"/>
    <x v="5"/>
    <n v="0"/>
    <x v="1"/>
    <n v="0"/>
    <n v="0"/>
    <n v="0"/>
    <x v="1"/>
    <x v="0"/>
    <n v="0"/>
  </r>
  <r>
    <n v="15935300000000"/>
    <x v="1"/>
    <x v="56"/>
    <x v="1"/>
    <s v="MARIA ORTIZ"/>
    <d v="2016-05-13T00:00:00"/>
    <d v="2016-05-13T00:00:00"/>
    <x v="0"/>
    <x v="94"/>
    <x v="5"/>
    <n v="0"/>
    <x v="1"/>
    <n v="0"/>
    <n v="0"/>
    <n v="0"/>
    <x v="1"/>
    <x v="0"/>
    <n v="0"/>
  </r>
  <r>
    <n v="119112000000000"/>
    <x v="0"/>
    <x v="50"/>
    <x v="1"/>
    <s v="CONQUISTA"/>
    <d v="2016-05-13T00:00:00"/>
    <d v="2016-05-13T00:00:00"/>
    <x v="0"/>
    <x v="94"/>
    <x v="5"/>
    <n v="0"/>
    <x v="1"/>
    <n v="0"/>
    <n v="0"/>
    <n v="0"/>
    <x v="1"/>
    <x v="0"/>
    <n v="0"/>
  </r>
  <r>
    <n v="5716860000000"/>
    <x v="0"/>
    <x v="26"/>
    <x v="0"/>
    <s v="CENTRO"/>
    <d v="2016-05-13T00:00:00"/>
    <d v="2016-05-20T00:00:00"/>
    <x v="0"/>
    <x v="87"/>
    <x v="3"/>
    <n v="0"/>
    <x v="0"/>
    <n v="0"/>
    <n v="0"/>
    <n v="0"/>
    <x v="1"/>
    <x v="0"/>
    <n v="0"/>
  </r>
  <r>
    <n v="65135000000000"/>
    <x v="0"/>
    <x v="67"/>
    <x v="4"/>
    <s v="CENTRO"/>
    <d v="2016-05-13T00:00:00"/>
    <d v="2016-05-20T00:00:00"/>
    <x v="0"/>
    <x v="87"/>
    <x v="3"/>
    <n v="0"/>
    <x v="1"/>
    <n v="0"/>
    <n v="0"/>
    <n v="0"/>
    <x v="1"/>
    <x v="0"/>
    <n v="0"/>
  </r>
  <r>
    <n v="39731400000000"/>
    <x v="1"/>
    <x v="4"/>
    <x v="2"/>
    <s v="DO CABRAL"/>
    <d v="2016-05-13T00:00:00"/>
    <d v="2016-05-13T00:00:00"/>
    <x v="0"/>
    <x v="94"/>
    <x v="5"/>
    <n v="0"/>
    <x v="1"/>
    <n v="0"/>
    <n v="0"/>
    <n v="0"/>
    <x v="1"/>
    <x v="0"/>
    <n v="0"/>
  </r>
  <r>
    <n v="1647310000000"/>
    <x v="0"/>
    <x v="22"/>
    <x v="4"/>
    <s v="MARUIPE"/>
    <d v="2016-05-13T00:00:00"/>
    <d v="2016-06-07T00:00:00"/>
    <x v="4"/>
    <x v="70"/>
    <x v="1"/>
    <n v="0"/>
    <x v="1"/>
    <n v="0"/>
    <n v="0"/>
    <n v="0"/>
    <x v="0"/>
    <x v="0"/>
    <n v="0"/>
  </r>
  <r>
    <n v="669350000000"/>
    <x v="0"/>
    <x v="89"/>
    <x v="0"/>
    <s v="RESISTENCIA"/>
    <d v="2016-05-13T00:00:00"/>
    <d v="2016-06-01T00:00:00"/>
    <x v="1"/>
    <x v="77"/>
    <x v="1"/>
    <n v="0"/>
    <x v="1"/>
    <n v="0"/>
    <n v="0"/>
    <n v="0"/>
    <x v="1"/>
    <x v="0"/>
    <n v="0"/>
  </r>
  <r>
    <n v="9477300000000"/>
    <x v="0"/>
    <x v="70"/>
    <x v="5"/>
    <s v="BONFIM"/>
    <d v="2016-05-13T00:00:00"/>
    <d v="2016-05-13T00:00:00"/>
    <x v="0"/>
    <x v="94"/>
    <x v="5"/>
    <n v="0"/>
    <x v="1"/>
    <n v="0"/>
    <n v="0"/>
    <n v="0"/>
    <x v="1"/>
    <x v="0"/>
    <n v="0"/>
  </r>
  <r>
    <n v="1411450000000"/>
    <x v="0"/>
    <x v="33"/>
    <x v="4"/>
    <s v="ILHA DO PRINCIPE"/>
    <d v="2016-05-13T00:00:00"/>
    <d v="2016-05-31T00:00:00"/>
    <x v="4"/>
    <x v="74"/>
    <x v="1"/>
    <n v="0"/>
    <x v="1"/>
    <n v="0"/>
    <n v="0"/>
    <n v="0"/>
    <x v="0"/>
    <x v="0"/>
    <n v="0"/>
  </r>
  <r>
    <n v="593227000000000"/>
    <x v="1"/>
    <x v="25"/>
    <x v="4"/>
    <s v="SAO JOSE"/>
    <d v="2016-05-13T00:00:00"/>
    <d v="2016-05-19T00:00:00"/>
    <x v="3"/>
    <x v="90"/>
    <x v="3"/>
    <n v="0"/>
    <x v="1"/>
    <n v="0"/>
    <n v="0"/>
    <n v="0"/>
    <x v="1"/>
    <x v="0"/>
    <n v="0"/>
  </r>
  <r>
    <n v="353690000000000"/>
    <x v="1"/>
    <x v="30"/>
    <x v="3"/>
    <s v="ROMAO"/>
    <d v="2016-05-13T00:00:00"/>
    <d v="2016-05-13T00:00:00"/>
    <x v="0"/>
    <x v="94"/>
    <x v="5"/>
    <n v="0"/>
    <x v="0"/>
    <n v="1"/>
    <n v="0"/>
    <n v="0"/>
    <x v="1"/>
    <x v="0"/>
    <n v="0"/>
  </r>
  <r>
    <n v="8173200000000"/>
    <x v="0"/>
    <x v="92"/>
    <x v="0"/>
    <s v="ROMAO"/>
    <d v="2016-05-13T00:00:00"/>
    <d v="2016-05-13T00:00:00"/>
    <x v="0"/>
    <x v="94"/>
    <x v="5"/>
    <n v="0"/>
    <x v="0"/>
    <n v="0"/>
    <n v="0"/>
    <n v="0"/>
    <x v="1"/>
    <x v="0"/>
    <n v="0"/>
  </r>
  <r>
    <n v="117681000000"/>
    <x v="0"/>
    <x v="27"/>
    <x v="3"/>
    <s v="SANTA MARTHA"/>
    <d v="2016-05-13T00:00:00"/>
    <d v="2016-05-13T00:00:00"/>
    <x v="0"/>
    <x v="94"/>
    <x v="5"/>
    <n v="0"/>
    <x v="0"/>
    <n v="0"/>
    <n v="0"/>
    <n v="0"/>
    <x v="1"/>
    <x v="0"/>
    <n v="0"/>
  </r>
  <r>
    <n v="42726600000000"/>
    <x v="0"/>
    <x v="20"/>
    <x v="0"/>
    <s v="PRAIA DO CANTO"/>
    <d v="2016-05-13T00:00:00"/>
    <d v="2016-05-13T00:00:00"/>
    <x v="0"/>
    <x v="94"/>
    <x v="5"/>
    <n v="0"/>
    <x v="0"/>
    <n v="1"/>
    <n v="0"/>
    <n v="0"/>
    <x v="1"/>
    <x v="0"/>
    <n v="0"/>
  </r>
  <r>
    <n v="9349360000000"/>
    <x v="1"/>
    <x v="58"/>
    <x v="0"/>
    <s v="ITARARE"/>
    <d v="2016-05-13T00:00:00"/>
    <d v="2016-05-20T00:00:00"/>
    <x v="0"/>
    <x v="87"/>
    <x v="3"/>
    <n v="0"/>
    <x v="0"/>
    <n v="0"/>
    <n v="0"/>
    <n v="0"/>
    <x v="1"/>
    <x v="0"/>
    <n v="0"/>
  </r>
  <r>
    <n v="996313000000000"/>
    <x v="0"/>
    <x v="85"/>
    <x v="0"/>
    <s v="CARATOIRA"/>
    <d v="2016-05-13T00:00:00"/>
    <d v="2016-05-17T00:00:00"/>
    <x v="4"/>
    <x v="86"/>
    <x v="3"/>
    <n v="0"/>
    <x v="0"/>
    <n v="1"/>
    <n v="0"/>
    <n v="0"/>
    <x v="1"/>
    <x v="0"/>
    <n v="0"/>
  </r>
  <r>
    <n v="648818000000000"/>
    <x v="1"/>
    <x v="29"/>
    <x v="3"/>
    <s v="MARIA ORTIZ"/>
    <d v="2016-05-13T00:00:00"/>
    <d v="2016-05-13T00:00:00"/>
    <x v="0"/>
    <x v="94"/>
    <x v="5"/>
    <n v="0"/>
    <x v="0"/>
    <n v="1"/>
    <n v="0"/>
    <n v="0"/>
    <x v="1"/>
    <x v="0"/>
    <n v="0"/>
  </r>
  <r>
    <n v="13621981994"/>
    <x v="0"/>
    <x v="73"/>
    <x v="4"/>
    <s v="SOLON BORGES"/>
    <d v="2016-05-13T00:00:00"/>
    <d v="2016-05-20T00:00:00"/>
    <x v="0"/>
    <x v="87"/>
    <x v="3"/>
    <n v="0"/>
    <x v="1"/>
    <n v="0"/>
    <n v="0"/>
    <n v="0"/>
    <x v="1"/>
    <x v="0"/>
    <n v="0"/>
  </r>
  <r>
    <n v="13513700000000"/>
    <x v="0"/>
    <x v="51"/>
    <x v="2"/>
    <s v="SANTA TEREZA"/>
    <d v="2016-05-13T00:00:00"/>
    <d v="2016-05-24T00:00:00"/>
    <x v="4"/>
    <x v="81"/>
    <x v="2"/>
    <n v="1"/>
    <x v="1"/>
    <n v="0"/>
    <n v="0"/>
    <n v="0"/>
    <x v="0"/>
    <x v="1"/>
    <n v="1"/>
  </r>
  <r>
    <n v="59372300000000"/>
    <x v="0"/>
    <x v="45"/>
    <x v="1"/>
    <s v="SANTO ANDRE"/>
    <d v="2016-05-13T00:00:00"/>
    <d v="2016-05-20T00:00:00"/>
    <x v="0"/>
    <x v="87"/>
    <x v="3"/>
    <n v="0"/>
    <x v="1"/>
    <n v="0"/>
    <n v="0"/>
    <n v="0"/>
    <x v="1"/>
    <x v="0"/>
    <n v="0"/>
  </r>
  <r>
    <n v="5784510000000"/>
    <x v="0"/>
    <x v="7"/>
    <x v="3"/>
    <s v="COMDUSA"/>
    <d v="2016-05-13T00:00:00"/>
    <d v="2016-05-17T00:00:00"/>
    <x v="4"/>
    <x v="86"/>
    <x v="3"/>
    <n v="0"/>
    <x v="0"/>
    <n v="1"/>
    <n v="0"/>
    <n v="0"/>
    <x v="1"/>
    <x v="0"/>
    <n v="0"/>
  </r>
  <r>
    <n v="65936200000000"/>
    <x v="1"/>
    <x v="69"/>
    <x v="4"/>
    <s v="ESTRELINHA"/>
    <d v="2016-05-13T00:00:00"/>
    <d v="2016-05-20T00:00:00"/>
    <x v="0"/>
    <x v="87"/>
    <x v="3"/>
    <n v="0"/>
    <x v="0"/>
    <n v="1"/>
    <n v="0"/>
    <n v="0"/>
    <x v="1"/>
    <x v="1"/>
    <n v="1"/>
  </r>
  <r>
    <n v="21493600000000"/>
    <x v="1"/>
    <x v="53"/>
    <x v="0"/>
    <s v="SANTA CLARA"/>
    <d v="2016-05-13T00:00:00"/>
    <d v="2016-05-17T00:00:00"/>
    <x v="4"/>
    <x v="86"/>
    <x v="3"/>
    <n v="0"/>
    <x v="0"/>
    <n v="0"/>
    <n v="0"/>
    <n v="0"/>
    <x v="1"/>
    <x v="0"/>
    <n v="0"/>
  </r>
  <r>
    <n v="788523000000000"/>
    <x v="0"/>
    <x v="67"/>
    <x v="4"/>
    <s v="SAO JOSE"/>
    <d v="2016-05-13T00:00:00"/>
    <d v="2016-05-18T00:00:00"/>
    <x v="1"/>
    <x v="92"/>
    <x v="3"/>
    <n v="0"/>
    <x v="1"/>
    <n v="0"/>
    <n v="0"/>
    <n v="0"/>
    <x v="1"/>
    <x v="0"/>
    <n v="0"/>
  </r>
  <r>
    <n v="154360000000000"/>
    <x v="0"/>
    <x v="39"/>
    <x v="4"/>
    <s v="TABUAZEIRO"/>
    <d v="2016-05-13T00:00:00"/>
    <d v="2016-05-18T00:00:00"/>
    <x v="1"/>
    <x v="92"/>
    <x v="3"/>
    <n v="0"/>
    <x v="1"/>
    <n v="0"/>
    <n v="0"/>
    <n v="0"/>
    <x v="1"/>
    <x v="0"/>
    <n v="0"/>
  </r>
  <r>
    <n v="6116280000000"/>
    <x v="1"/>
    <x v="39"/>
    <x v="4"/>
    <s v="REDENCAO"/>
    <d v="2016-05-13T00:00:00"/>
    <d v="2016-05-19T00:00:00"/>
    <x v="3"/>
    <x v="90"/>
    <x v="3"/>
    <n v="0"/>
    <x v="1"/>
    <n v="0"/>
    <n v="0"/>
    <n v="0"/>
    <x v="1"/>
    <x v="1"/>
    <n v="1"/>
  </r>
  <r>
    <n v="91582700000000"/>
    <x v="0"/>
    <x v="6"/>
    <x v="0"/>
    <s v="JARDIM CAMBURI"/>
    <d v="2016-05-13T00:00:00"/>
    <d v="2016-05-17T00:00:00"/>
    <x v="4"/>
    <x v="86"/>
    <x v="3"/>
    <n v="0"/>
    <x v="1"/>
    <n v="0"/>
    <n v="0"/>
    <n v="0"/>
    <x v="1"/>
    <x v="0"/>
    <n v="0"/>
  </r>
  <r>
    <n v="78648200000000"/>
    <x v="1"/>
    <x v="17"/>
    <x v="4"/>
    <s v="CARATOIRA"/>
    <d v="2016-05-13T00:00:00"/>
    <d v="2016-05-19T00:00:00"/>
    <x v="3"/>
    <x v="90"/>
    <x v="3"/>
    <n v="0"/>
    <x v="1"/>
    <n v="0"/>
    <n v="0"/>
    <n v="0"/>
    <x v="1"/>
    <x v="0"/>
    <n v="0"/>
  </r>
  <r>
    <n v="427962175"/>
    <x v="0"/>
    <x v="46"/>
    <x v="2"/>
    <s v="MARUIPE"/>
    <d v="2016-05-13T00:00:00"/>
    <d v="2016-05-13T00:00:00"/>
    <x v="0"/>
    <x v="94"/>
    <x v="5"/>
    <n v="0"/>
    <x v="1"/>
    <n v="0"/>
    <n v="0"/>
    <n v="0"/>
    <x v="1"/>
    <x v="0"/>
    <n v="0"/>
  </r>
  <r>
    <n v="91288400000000"/>
    <x v="0"/>
    <x v="63"/>
    <x v="0"/>
    <s v="SAO PEDRO"/>
    <d v="2016-05-13T00:00:00"/>
    <d v="2016-05-13T00:00:00"/>
    <x v="0"/>
    <x v="94"/>
    <x v="5"/>
    <n v="0"/>
    <x v="0"/>
    <n v="1"/>
    <n v="0"/>
    <n v="0"/>
    <x v="1"/>
    <x v="0"/>
    <n v="0"/>
  </r>
  <r>
    <n v="5189990000000"/>
    <x v="0"/>
    <x v="51"/>
    <x v="2"/>
    <s v="PRAIA DO CANTO"/>
    <d v="2016-05-13T00:00:00"/>
    <d v="2016-05-20T00:00:00"/>
    <x v="0"/>
    <x v="87"/>
    <x v="3"/>
    <n v="0"/>
    <x v="1"/>
    <n v="0"/>
    <n v="0"/>
    <n v="0"/>
    <x v="1"/>
    <x v="1"/>
    <n v="1"/>
  </r>
  <r>
    <n v="4917140000000"/>
    <x v="1"/>
    <x v="44"/>
    <x v="4"/>
    <s v="DO MOSCOSO"/>
    <d v="2016-05-13T00:00:00"/>
    <d v="2016-05-20T00:00:00"/>
    <x v="0"/>
    <x v="87"/>
    <x v="3"/>
    <n v="1"/>
    <x v="1"/>
    <n v="0"/>
    <n v="0"/>
    <n v="0"/>
    <x v="1"/>
    <x v="0"/>
    <n v="0"/>
  </r>
  <r>
    <n v="614977000000"/>
    <x v="1"/>
    <x v="36"/>
    <x v="3"/>
    <s v="MARIA ORTIZ"/>
    <d v="2016-05-13T00:00:00"/>
    <d v="2016-05-20T00:00:00"/>
    <x v="0"/>
    <x v="87"/>
    <x v="3"/>
    <n v="0"/>
    <x v="1"/>
    <n v="0"/>
    <n v="0"/>
    <n v="0"/>
    <x v="1"/>
    <x v="0"/>
    <n v="0"/>
  </r>
  <r>
    <n v="53333500000000"/>
    <x v="0"/>
    <x v="71"/>
    <x v="4"/>
    <s v="CENTRO"/>
    <d v="2016-05-13T00:00:00"/>
    <d v="2016-05-13T00:00:00"/>
    <x v="0"/>
    <x v="94"/>
    <x v="5"/>
    <n v="0"/>
    <x v="1"/>
    <n v="0"/>
    <n v="0"/>
    <n v="0"/>
    <x v="1"/>
    <x v="0"/>
    <n v="0"/>
  </r>
  <r>
    <n v="19645400000000"/>
    <x v="0"/>
    <x v="2"/>
    <x v="1"/>
    <s v="GURIGICA"/>
    <d v="2016-05-13T00:00:00"/>
    <d v="2016-05-17T00:00:00"/>
    <x v="4"/>
    <x v="86"/>
    <x v="3"/>
    <n v="0"/>
    <x v="0"/>
    <n v="0"/>
    <n v="0"/>
    <n v="0"/>
    <x v="1"/>
    <x v="0"/>
    <n v="0"/>
  </r>
  <r>
    <n v="22698900000000"/>
    <x v="1"/>
    <x v="56"/>
    <x v="1"/>
    <s v="COMDUSA"/>
    <d v="2016-05-13T00:00:00"/>
    <d v="2016-05-20T00:00:00"/>
    <x v="0"/>
    <x v="87"/>
    <x v="3"/>
    <n v="0"/>
    <x v="1"/>
    <n v="0"/>
    <n v="0"/>
    <n v="0"/>
    <x v="1"/>
    <x v="1"/>
    <n v="1"/>
  </r>
  <r>
    <n v="38899500000000"/>
    <x v="0"/>
    <x v="18"/>
    <x v="0"/>
    <s v="SAO BENEDITO"/>
    <d v="2016-05-13T00:00:00"/>
    <d v="2016-05-16T00:00:00"/>
    <x v="2"/>
    <x v="89"/>
    <x v="4"/>
    <n v="0"/>
    <x v="0"/>
    <n v="1"/>
    <n v="0"/>
    <n v="0"/>
    <x v="1"/>
    <x v="0"/>
    <n v="0"/>
  </r>
  <r>
    <n v="1383910000000"/>
    <x v="1"/>
    <x v="45"/>
    <x v="1"/>
    <s v="TABUAZEIRO"/>
    <d v="2016-05-13T00:00:00"/>
    <d v="2016-05-13T00:00:00"/>
    <x v="0"/>
    <x v="94"/>
    <x v="5"/>
    <n v="0"/>
    <x v="1"/>
    <n v="0"/>
    <n v="0"/>
    <n v="0"/>
    <x v="1"/>
    <x v="0"/>
    <n v="0"/>
  </r>
  <r>
    <n v="48565700000000"/>
    <x v="0"/>
    <x v="15"/>
    <x v="3"/>
    <s v="ESTRELINHA"/>
    <d v="2016-05-13T00:00:00"/>
    <d v="2016-05-17T00:00:00"/>
    <x v="4"/>
    <x v="86"/>
    <x v="3"/>
    <n v="0"/>
    <x v="0"/>
    <n v="1"/>
    <n v="1"/>
    <n v="0"/>
    <x v="1"/>
    <x v="0"/>
    <n v="0"/>
  </r>
  <r>
    <n v="27169400000000"/>
    <x v="0"/>
    <x v="30"/>
    <x v="3"/>
    <s v="CARATOIRA"/>
    <d v="2016-05-13T00:00:00"/>
    <d v="2016-05-16T00:00:00"/>
    <x v="2"/>
    <x v="89"/>
    <x v="4"/>
    <n v="0"/>
    <x v="1"/>
    <n v="0"/>
    <n v="0"/>
    <n v="1"/>
    <x v="1"/>
    <x v="0"/>
    <n v="0"/>
  </r>
  <r>
    <n v="7837850000000"/>
    <x v="0"/>
    <x v="4"/>
    <x v="2"/>
    <s v="CENTRO"/>
    <d v="2016-05-13T00:00:00"/>
    <d v="2016-05-13T00:00:00"/>
    <x v="0"/>
    <x v="94"/>
    <x v="5"/>
    <n v="0"/>
    <x v="1"/>
    <n v="0"/>
    <n v="0"/>
    <n v="0"/>
    <x v="1"/>
    <x v="0"/>
    <n v="0"/>
  </r>
  <r>
    <n v="46363300000000"/>
    <x v="1"/>
    <x v="81"/>
    <x v="5"/>
    <s v="ANTONIO HONORIO"/>
    <d v="2016-05-13T00:00:00"/>
    <d v="2016-06-01T00:00:00"/>
    <x v="1"/>
    <x v="77"/>
    <x v="1"/>
    <n v="0"/>
    <x v="1"/>
    <n v="0"/>
    <n v="0"/>
    <n v="0"/>
    <x v="1"/>
    <x v="1"/>
    <n v="1"/>
  </r>
  <r>
    <n v="8246270000000"/>
    <x v="0"/>
    <x v="4"/>
    <x v="2"/>
    <s v="ILHA DE SANTA MARIA"/>
    <d v="2016-05-13T00:00:00"/>
    <d v="2016-05-16T00:00:00"/>
    <x v="2"/>
    <x v="89"/>
    <x v="4"/>
    <n v="0"/>
    <x v="1"/>
    <n v="0"/>
    <n v="0"/>
    <n v="0"/>
    <x v="1"/>
    <x v="0"/>
    <n v="0"/>
  </r>
  <r>
    <n v="515790000000000"/>
    <x v="1"/>
    <x v="61"/>
    <x v="1"/>
    <s v="BELA VISTA"/>
    <d v="2016-05-13T00:00:00"/>
    <d v="2016-05-13T00:00:00"/>
    <x v="0"/>
    <x v="94"/>
    <x v="5"/>
    <n v="0"/>
    <x v="1"/>
    <n v="0"/>
    <n v="0"/>
    <n v="0"/>
    <x v="1"/>
    <x v="0"/>
    <n v="0"/>
  </r>
  <r>
    <n v="35914500000000"/>
    <x v="0"/>
    <x v="72"/>
    <x v="5"/>
    <s v="SANTO ANTONIO"/>
    <d v="2016-05-13T00:00:00"/>
    <d v="2016-05-16T00:00:00"/>
    <x v="2"/>
    <x v="89"/>
    <x v="4"/>
    <n v="0"/>
    <x v="1"/>
    <n v="0"/>
    <n v="0"/>
    <n v="0"/>
    <x v="1"/>
    <x v="1"/>
    <n v="1"/>
  </r>
  <r>
    <n v="751164000000000"/>
    <x v="1"/>
    <x v="8"/>
    <x v="0"/>
    <s v="PARQUE MOSCOSO"/>
    <d v="2016-05-13T00:00:00"/>
    <d v="2016-06-01T00:00:00"/>
    <x v="1"/>
    <x v="77"/>
    <x v="1"/>
    <n v="0"/>
    <x v="1"/>
    <n v="1"/>
    <n v="0"/>
    <n v="0"/>
    <x v="1"/>
    <x v="0"/>
    <n v="0"/>
  </r>
  <r>
    <n v="2494770000000"/>
    <x v="0"/>
    <x v="45"/>
    <x v="1"/>
    <s v="SANTO ANTONIO"/>
    <d v="2016-05-13T00:00:00"/>
    <d v="2016-05-17T00:00:00"/>
    <x v="4"/>
    <x v="86"/>
    <x v="3"/>
    <n v="0"/>
    <x v="1"/>
    <n v="0"/>
    <n v="0"/>
    <n v="0"/>
    <x v="1"/>
    <x v="0"/>
    <n v="0"/>
  </r>
  <r>
    <n v="3685860000000"/>
    <x v="1"/>
    <x v="45"/>
    <x v="1"/>
    <s v="SAO PEDRO"/>
    <d v="2016-05-13T00:00:00"/>
    <d v="2016-05-13T00:00:00"/>
    <x v="0"/>
    <x v="94"/>
    <x v="5"/>
    <n v="0"/>
    <x v="1"/>
    <n v="0"/>
    <n v="0"/>
    <n v="0"/>
    <x v="1"/>
    <x v="0"/>
    <n v="0"/>
  </r>
  <r>
    <n v="6617230000000"/>
    <x v="0"/>
    <x v="57"/>
    <x v="2"/>
    <s v="DA PENHA"/>
    <d v="2016-05-13T00:00:00"/>
    <d v="2016-05-20T00:00:00"/>
    <x v="0"/>
    <x v="87"/>
    <x v="3"/>
    <n v="1"/>
    <x v="1"/>
    <n v="0"/>
    <n v="0"/>
    <n v="0"/>
    <x v="1"/>
    <x v="1"/>
    <n v="1"/>
  </r>
  <r>
    <n v="97292600000000"/>
    <x v="0"/>
    <x v="24"/>
    <x v="1"/>
    <s v="SANTOS DUMONT"/>
    <d v="2016-05-13T00:00:00"/>
    <d v="2016-06-08T00:00:00"/>
    <x v="1"/>
    <x v="68"/>
    <x v="1"/>
    <n v="0"/>
    <x v="1"/>
    <n v="0"/>
    <n v="0"/>
    <n v="0"/>
    <x v="1"/>
    <x v="0"/>
    <n v="0"/>
  </r>
  <r>
    <n v="952893000000"/>
    <x v="1"/>
    <x v="71"/>
    <x v="4"/>
    <s v="ITARARE"/>
    <d v="2016-05-13T00:00:00"/>
    <d v="2016-05-13T00:00:00"/>
    <x v="0"/>
    <x v="94"/>
    <x v="5"/>
    <n v="0"/>
    <x v="1"/>
    <n v="0"/>
    <n v="0"/>
    <n v="0"/>
    <x v="1"/>
    <x v="0"/>
    <n v="0"/>
  </r>
  <r>
    <n v="714413000000"/>
    <x v="1"/>
    <x v="18"/>
    <x v="0"/>
    <s v="JOANA D ARC"/>
    <d v="2016-05-13T00:00:00"/>
    <d v="2016-05-13T00:00:00"/>
    <x v="0"/>
    <x v="94"/>
    <x v="5"/>
    <n v="0"/>
    <x v="0"/>
    <n v="0"/>
    <n v="0"/>
    <n v="0"/>
    <x v="1"/>
    <x v="0"/>
    <n v="0"/>
  </r>
  <r>
    <n v="35676300000000"/>
    <x v="1"/>
    <x v="24"/>
    <x v="1"/>
    <s v="BONFIM"/>
    <d v="2016-05-13T00:00:00"/>
    <d v="2016-05-20T00:00:00"/>
    <x v="0"/>
    <x v="87"/>
    <x v="3"/>
    <n v="0"/>
    <x v="1"/>
    <n v="0"/>
    <n v="0"/>
    <n v="0"/>
    <x v="1"/>
    <x v="0"/>
    <n v="0"/>
  </r>
  <r>
    <n v="189645000000000"/>
    <x v="0"/>
    <x v="17"/>
    <x v="4"/>
    <s v="MATA DA PRAIA"/>
    <d v="2016-05-13T00:00:00"/>
    <d v="2016-05-13T00:00:00"/>
    <x v="0"/>
    <x v="94"/>
    <x v="5"/>
    <n v="0"/>
    <x v="1"/>
    <n v="0"/>
    <n v="0"/>
    <n v="0"/>
    <x v="1"/>
    <x v="0"/>
    <n v="0"/>
  </r>
  <r>
    <n v="257773000000000"/>
    <x v="0"/>
    <x v="47"/>
    <x v="4"/>
    <s v="MARIA ORTIZ"/>
    <d v="2016-05-13T00:00:00"/>
    <d v="2016-05-13T00:00:00"/>
    <x v="0"/>
    <x v="94"/>
    <x v="5"/>
    <n v="0"/>
    <x v="1"/>
    <n v="0"/>
    <n v="0"/>
    <n v="0"/>
    <x v="1"/>
    <x v="0"/>
    <n v="0"/>
  </r>
  <r>
    <n v="387484000000000"/>
    <x v="0"/>
    <x v="51"/>
    <x v="2"/>
    <s v="CENTRO"/>
    <d v="2016-05-13T00:00:00"/>
    <d v="2016-05-16T00:00:00"/>
    <x v="2"/>
    <x v="89"/>
    <x v="4"/>
    <n v="0"/>
    <x v="1"/>
    <n v="0"/>
    <n v="0"/>
    <n v="0"/>
    <x v="1"/>
    <x v="0"/>
    <n v="0"/>
  </r>
  <r>
    <n v="3796820000000"/>
    <x v="0"/>
    <x v="6"/>
    <x v="0"/>
    <s v="RESISTENCIA"/>
    <d v="2016-05-13T00:00:00"/>
    <d v="2016-05-17T00:00:00"/>
    <x v="4"/>
    <x v="86"/>
    <x v="3"/>
    <n v="0"/>
    <x v="0"/>
    <n v="0"/>
    <n v="0"/>
    <n v="0"/>
    <x v="1"/>
    <x v="0"/>
    <n v="0"/>
  </r>
  <r>
    <n v="528184000000000"/>
    <x v="1"/>
    <x v="56"/>
    <x v="1"/>
    <s v="MARUIPE"/>
    <d v="2016-05-13T00:00:00"/>
    <d v="2016-05-13T00:00:00"/>
    <x v="0"/>
    <x v="94"/>
    <x v="5"/>
    <n v="0"/>
    <x v="1"/>
    <n v="0"/>
    <n v="0"/>
    <n v="0"/>
    <x v="1"/>
    <x v="0"/>
    <n v="0"/>
  </r>
  <r>
    <n v="596665000000"/>
    <x v="0"/>
    <x v="9"/>
    <x v="0"/>
    <s v="BARRO VERMELHO"/>
    <d v="2016-05-13T00:00:00"/>
    <d v="2016-05-31T00:00:00"/>
    <x v="4"/>
    <x v="74"/>
    <x v="1"/>
    <n v="0"/>
    <x v="1"/>
    <n v="0"/>
    <n v="0"/>
    <n v="0"/>
    <x v="1"/>
    <x v="0"/>
    <n v="0"/>
  </r>
  <r>
    <n v="9462530000000"/>
    <x v="0"/>
    <x v="39"/>
    <x v="4"/>
    <s v="MARIA ORTIZ"/>
    <d v="2016-05-13T00:00:00"/>
    <d v="2016-05-13T00:00:00"/>
    <x v="0"/>
    <x v="94"/>
    <x v="5"/>
    <n v="0"/>
    <x v="1"/>
    <n v="0"/>
    <n v="0"/>
    <n v="0"/>
    <x v="1"/>
    <x v="0"/>
    <n v="0"/>
  </r>
  <r>
    <n v="3417840000000"/>
    <x v="0"/>
    <x v="48"/>
    <x v="3"/>
    <s v="BARRO VERMELHO"/>
    <d v="2016-05-13T00:00:00"/>
    <d v="2016-05-13T00:00:00"/>
    <x v="0"/>
    <x v="94"/>
    <x v="5"/>
    <n v="0"/>
    <x v="1"/>
    <n v="0"/>
    <n v="0"/>
    <n v="0"/>
    <x v="1"/>
    <x v="0"/>
    <n v="0"/>
  </r>
  <r>
    <n v="8497360000000"/>
    <x v="0"/>
    <x v="4"/>
    <x v="2"/>
    <s v="JABOUR"/>
    <d v="2016-05-13T00:00:00"/>
    <d v="2016-05-13T00:00:00"/>
    <x v="0"/>
    <x v="94"/>
    <x v="5"/>
    <n v="0"/>
    <x v="1"/>
    <n v="0"/>
    <n v="0"/>
    <n v="0"/>
    <x v="1"/>
    <x v="0"/>
    <n v="0"/>
  </r>
  <r>
    <n v="66431200000000"/>
    <x v="0"/>
    <x v="9"/>
    <x v="0"/>
    <s v="ITARARE"/>
    <d v="2016-05-13T00:00:00"/>
    <d v="2016-05-17T00:00:00"/>
    <x v="4"/>
    <x v="86"/>
    <x v="3"/>
    <n v="0"/>
    <x v="0"/>
    <n v="0"/>
    <n v="0"/>
    <n v="0"/>
    <x v="1"/>
    <x v="1"/>
    <n v="1"/>
  </r>
  <r>
    <n v="64199700000000"/>
    <x v="1"/>
    <x v="4"/>
    <x v="2"/>
    <s v="SANTA LUCIA"/>
    <d v="2016-05-13T00:00:00"/>
    <d v="2016-05-13T00:00:00"/>
    <x v="0"/>
    <x v="94"/>
    <x v="5"/>
    <n v="0"/>
    <x v="1"/>
    <n v="0"/>
    <n v="0"/>
    <n v="0"/>
    <x v="1"/>
    <x v="0"/>
    <n v="0"/>
  </r>
  <r>
    <n v="66883300000000"/>
    <x v="0"/>
    <x v="15"/>
    <x v="3"/>
    <s v="CENTRO"/>
    <d v="2016-05-13T00:00:00"/>
    <d v="2016-05-13T00:00:00"/>
    <x v="0"/>
    <x v="94"/>
    <x v="5"/>
    <n v="0"/>
    <x v="0"/>
    <n v="0"/>
    <n v="0"/>
    <n v="0"/>
    <x v="1"/>
    <x v="0"/>
    <n v="0"/>
  </r>
  <r>
    <n v="43314300000000"/>
    <x v="1"/>
    <x v="43"/>
    <x v="2"/>
    <s v="CONQUISTA"/>
    <d v="2016-05-13T00:00:00"/>
    <d v="2016-06-03T00:00:00"/>
    <x v="0"/>
    <x v="73"/>
    <x v="1"/>
    <n v="0"/>
    <x v="1"/>
    <n v="0"/>
    <n v="0"/>
    <n v="0"/>
    <x v="0"/>
    <x v="1"/>
    <n v="1"/>
  </r>
  <r>
    <n v="393789000000000"/>
    <x v="0"/>
    <x v="45"/>
    <x v="1"/>
    <s v="REDENCAO"/>
    <d v="2016-05-13T00:00:00"/>
    <d v="2016-05-13T00:00:00"/>
    <x v="0"/>
    <x v="94"/>
    <x v="5"/>
    <n v="0"/>
    <x v="0"/>
    <n v="0"/>
    <n v="0"/>
    <n v="0"/>
    <x v="1"/>
    <x v="0"/>
    <n v="0"/>
  </r>
  <r>
    <n v="74664400000000"/>
    <x v="1"/>
    <x v="76"/>
    <x v="0"/>
    <s v="JARDIM DA PENHA"/>
    <d v="2016-05-13T00:00:00"/>
    <d v="2016-05-17T00:00:00"/>
    <x v="4"/>
    <x v="86"/>
    <x v="3"/>
    <n v="0"/>
    <x v="0"/>
    <n v="1"/>
    <n v="0"/>
    <n v="0"/>
    <x v="1"/>
    <x v="0"/>
    <n v="0"/>
  </r>
  <r>
    <n v="49695500000000"/>
    <x v="0"/>
    <x v="75"/>
    <x v="5"/>
    <s v="DO QUADRO"/>
    <d v="2016-05-13T00:00:00"/>
    <d v="2016-05-17T00:00:00"/>
    <x v="4"/>
    <x v="86"/>
    <x v="3"/>
    <n v="0"/>
    <x v="1"/>
    <n v="0"/>
    <n v="0"/>
    <n v="0"/>
    <x v="1"/>
    <x v="0"/>
    <n v="0"/>
  </r>
  <r>
    <n v="821891000000000"/>
    <x v="0"/>
    <x v="27"/>
    <x v="3"/>
    <s v="SANTO ANDRE"/>
    <d v="2016-05-13T00:00:00"/>
    <d v="2016-06-03T00:00:00"/>
    <x v="0"/>
    <x v="73"/>
    <x v="1"/>
    <n v="0"/>
    <x v="0"/>
    <n v="0"/>
    <n v="0"/>
    <n v="0"/>
    <x v="0"/>
    <x v="0"/>
    <n v="0"/>
  </r>
  <r>
    <n v="49641100000000"/>
    <x v="0"/>
    <x v="74"/>
    <x v="1"/>
    <s v="MARUIPE"/>
    <d v="2016-05-13T00:00:00"/>
    <d v="2016-06-08T00:00:00"/>
    <x v="1"/>
    <x v="68"/>
    <x v="1"/>
    <n v="0"/>
    <x v="1"/>
    <n v="0"/>
    <n v="0"/>
    <n v="0"/>
    <x v="0"/>
    <x v="0"/>
    <n v="0"/>
  </r>
  <r>
    <n v="5296610000000"/>
    <x v="0"/>
    <x v="37"/>
    <x v="3"/>
    <s v="GOIABEIRAS"/>
    <d v="2016-05-13T00:00:00"/>
    <d v="2016-05-16T00:00:00"/>
    <x v="2"/>
    <x v="89"/>
    <x v="4"/>
    <n v="0"/>
    <x v="1"/>
    <n v="0"/>
    <n v="0"/>
    <n v="0"/>
    <x v="1"/>
    <x v="0"/>
    <n v="0"/>
  </r>
  <r>
    <n v="111578000000000"/>
    <x v="0"/>
    <x v="17"/>
    <x v="4"/>
    <s v="ITARARE"/>
    <d v="2016-05-13T00:00:00"/>
    <d v="2016-05-18T00:00:00"/>
    <x v="1"/>
    <x v="92"/>
    <x v="3"/>
    <n v="0"/>
    <x v="1"/>
    <n v="0"/>
    <n v="0"/>
    <n v="0"/>
    <x v="1"/>
    <x v="0"/>
    <n v="0"/>
  </r>
  <r>
    <n v="51442100000000"/>
    <x v="0"/>
    <x v="40"/>
    <x v="1"/>
    <s v="CONQUISTA"/>
    <d v="2016-05-13T00:00:00"/>
    <d v="2016-05-13T00:00:00"/>
    <x v="0"/>
    <x v="94"/>
    <x v="5"/>
    <n v="0"/>
    <x v="1"/>
    <n v="0"/>
    <n v="0"/>
    <n v="0"/>
    <x v="1"/>
    <x v="0"/>
    <n v="0"/>
  </r>
  <r>
    <n v="53469700000000"/>
    <x v="0"/>
    <x v="70"/>
    <x v="5"/>
    <s v="ITARARE"/>
    <d v="2016-05-13T00:00:00"/>
    <d v="2016-05-13T00:00:00"/>
    <x v="0"/>
    <x v="94"/>
    <x v="5"/>
    <n v="1"/>
    <x v="1"/>
    <n v="0"/>
    <n v="0"/>
    <n v="0"/>
    <x v="1"/>
    <x v="0"/>
    <n v="0"/>
  </r>
  <r>
    <n v="8761860000000"/>
    <x v="0"/>
    <x v="16"/>
    <x v="1"/>
    <s v="CRUZAMENTO"/>
    <d v="2016-05-13T00:00:00"/>
    <d v="2016-05-17T00:00:00"/>
    <x v="4"/>
    <x v="86"/>
    <x v="3"/>
    <n v="0"/>
    <x v="1"/>
    <n v="1"/>
    <n v="0"/>
    <n v="0"/>
    <x v="1"/>
    <x v="0"/>
    <n v="0"/>
  </r>
  <r>
    <n v="87168815337"/>
    <x v="1"/>
    <x v="21"/>
    <x v="1"/>
    <s v="REDENCAO"/>
    <d v="2016-05-13T00:00:00"/>
    <d v="2016-05-13T00:00:00"/>
    <x v="0"/>
    <x v="94"/>
    <x v="5"/>
    <n v="0"/>
    <x v="1"/>
    <n v="0"/>
    <n v="0"/>
    <n v="0"/>
    <x v="1"/>
    <x v="1"/>
    <n v="1"/>
  </r>
  <r>
    <n v="8559570000000"/>
    <x v="0"/>
    <x v="69"/>
    <x v="4"/>
    <s v="ITARARE"/>
    <d v="2016-05-13T00:00:00"/>
    <d v="2016-05-16T00:00:00"/>
    <x v="2"/>
    <x v="89"/>
    <x v="4"/>
    <n v="1"/>
    <x v="0"/>
    <n v="0"/>
    <n v="0"/>
    <n v="0"/>
    <x v="1"/>
    <x v="0"/>
    <n v="0"/>
  </r>
  <r>
    <n v="4472970000000"/>
    <x v="0"/>
    <x v="20"/>
    <x v="0"/>
    <s v="JABOUR"/>
    <d v="2016-05-13T00:00:00"/>
    <d v="2016-05-17T00:00:00"/>
    <x v="4"/>
    <x v="86"/>
    <x v="3"/>
    <n v="0"/>
    <x v="1"/>
    <n v="0"/>
    <n v="0"/>
    <n v="0"/>
    <x v="1"/>
    <x v="0"/>
    <n v="0"/>
  </r>
  <r>
    <n v="71193300000000"/>
    <x v="0"/>
    <x v="26"/>
    <x v="0"/>
    <s v="ROMAO"/>
    <d v="2016-05-13T00:00:00"/>
    <d v="2016-05-17T00:00:00"/>
    <x v="4"/>
    <x v="86"/>
    <x v="3"/>
    <n v="0"/>
    <x v="0"/>
    <n v="0"/>
    <n v="0"/>
    <n v="0"/>
    <x v="1"/>
    <x v="1"/>
    <n v="1"/>
  </r>
  <r>
    <n v="712459000000000"/>
    <x v="1"/>
    <x v="2"/>
    <x v="1"/>
    <s v="FORTE SAO JOAO"/>
    <d v="2016-05-13T00:00:00"/>
    <d v="2016-05-13T00:00:00"/>
    <x v="0"/>
    <x v="94"/>
    <x v="5"/>
    <n v="0"/>
    <x v="1"/>
    <n v="0"/>
    <n v="1"/>
    <n v="0"/>
    <x v="1"/>
    <x v="0"/>
    <n v="0"/>
  </r>
  <r>
    <n v="614645000000000"/>
    <x v="0"/>
    <x v="49"/>
    <x v="4"/>
    <s v="ILHA DO PRINCIPE"/>
    <d v="2016-05-13T00:00:00"/>
    <d v="2016-05-13T00:00:00"/>
    <x v="0"/>
    <x v="94"/>
    <x v="5"/>
    <n v="0"/>
    <x v="1"/>
    <n v="0"/>
    <n v="0"/>
    <n v="0"/>
    <x v="1"/>
    <x v="0"/>
    <n v="0"/>
  </r>
  <r>
    <n v="1986120000000"/>
    <x v="0"/>
    <x v="30"/>
    <x v="3"/>
    <s v="CARATOIRA"/>
    <d v="2016-05-13T00:00:00"/>
    <d v="2016-05-13T00:00:00"/>
    <x v="0"/>
    <x v="94"/>
    <x v="5"/>
    <n v="0"/>
    <x v="0"/>
    <n v="1"/>
    <n v="0"/>
    <n v="0"/>
    <x v="1"/>
    <x v="0"/>
    <n v="0"/>
  </r>
  <r>
    <n v="93373500000000"/>
    <x v="0"/>
    <x v="32"/>
    <x v="4"/>
    <s v="NOVA PALESTINA"/>
    <d v="2016-05-13T00:00:00"/>
    <d v="2016-05-20T00:00:00"/>
    <x v="0"/>
    <x v="87"/>
    <x v="3"/>
    <n v="0"/>
    <x v="1"/>
    <n v="0"/>
    <n v="0"/>
    <n v="0"/>
    <x v="1"/>
    <x v="1"/>
    <n v="1"/>
  </r>
  <r>
    <n v="19451300000000"/>
    <x v="1"/>
    <x v="74"/>
    <x v="1"/>
    <s v="SANTO ANDRE"/>
    <d v="2016-05-13T00:00:00"/>
    <d v="2016-05-19T00:00:00"/>
    <x v="3"/>
    <x v="90"/>
    <x v="3"/>
    <n v="0"/>
    <x v="1"/>
    <n v="1"/>
    <n v="0"/>
    <n v="0"/>
    <x v="1"/>
    <x v="1"/>
    <n v="1"/>
  </r>
  <r>
    <n v="764591000000000"/>
    <x v="0"/>
    <x v="91"/>
    <x v="0"/>
    <s v="ANDORINHAS"/>
    <d v="2016-05-13T00:00:00"/>
    <d v="2016-05-13T00:00:00"/>
    <x v="0"/>
    <x v="94"/>
    <x v="5"/>
    <n v="0"/>
    <x v="0"/>
    <n v="0"/>
    <n v="0"/>
    <n v="0"/>
    <x v="1"/>
    <x v="0"/>
    <n v="0"/>
  </r>
  <r>
    <n v="629324000000"/>
    <x v="0"/>
    <x v="51"/>
    <x v="2"/>
    <s v="REPUBLICA"/>
    <d v="2016-05-13T00:00:00"/>
    <d v="2016-06-02T00:00:00"/>
    <x v="3"/>
    <x v="76"/>
    <x v="1"/>
    <n v="0"/>
    <x v="1"/>
    <n v="0"/>
    <n v="0"/>
    <n v="0"/>
    <x v="0"/>
    <x v="1"/>
    <n v="1"/>
  </r>
  <r>
    <n v="27599300000000"/>
    <x v="1"/>
    <x v="4"/>
    <x v="2"/>
    <s v="SAO BENEDITO"/>
    <d v="2016-05-13T00:00:00"/>
    <d v="2016-05-19T00:00:00"/>
    <x v="3"/>
    <x v="90"/>
    <x v="3"/>
    <n v="0"/>
    <x v="1"/>
    <n v="0"/>
    <n v="0"/>
    <n v="0"/>
    <x v="1"/>
    <x v="0"/>
    <n v="0"/>
  </r>
  <r>
    <n v="94528700000000"/>
    <x v="0"/>
    <x v="84"/>
    <x v="1"/>
    <s v="JARDIM CAMBURI"/>
    <d v="2016-05-13T00:00:00"/>
    <d v="2016-05-16T00:00:00"/>
    <x v="2"/>
    <x v="89"/>
    <x v="4"/>
    <n v="0"/>
    <x v="1"/>
    <n v="0"/>
    <n v="0"/>
    <n v="0"/>
    <x v="1"/>
    <x v="0"/>
    <n v="0"/>
  </r>
  <r>
    <n v="626740000000000"/>
    <x v="1"/>
    <x v="75"/>
    <x v="5"/>
    <s v="ANDORINHAS"/>
    <d v="2016-05-13T00:00:00"/>
    <d v="2016-05-13T00:00:00"/>
    <x v="0"/>
    <x v="94"/>
    <x v="5"/>
    <n v="1"/>
    <x v="1"/>
    <n v="0"/>
    <n v="0"/>
    <n v="0"/>
    <x v="1"/>
    <x v="0"/>
    <n v="0"/>
  </r>
  <r>
    <n v="7693350000000"/>
    <x v="0"/>
    <x v="61"/>
    <x v="1"/>
    <s v="SANTA HELENA"/>
    <d v="2016-05-13T00:00:00"/>
    <d v="2016-06-02T00:00:00"/>
    <x v="3"/>
    <x v="76"/>
    <x v="1"/>
    <n v="0"/>
    <x v="1"/>
    <n v="0"/>
    <n v="0"/>
    <n v="0"/>
    <x v="0"/>
    <x v="0"/>
    <n v="0"/>
  </r>
  <r>
    <n v="33761400000000"/>
    <x v="0"/>
    <x v="78"/>
    <x v="0"/>
    <s v="BELA VISTA"/>
    <d v="2016-05-13T00:00:00"/>
    <d v="2016-05-13T00:00:00"/>
    <x v="0"/>
    <x v="94"/>
    <x v="5"/>
    <n v="0"/>
    <x v="0"/>
    <n v="1"/>
    <n v="0"/>
    <n v="0"/>
    <x v="1"/>
    <x v="0"/>
    <n v="0"/>
  </r>
  <r>
    <n v="8526610000000"/>
    <x v="0"/>
    <x v="4"/>
    <x v="2"/>
    <s v="SANTA HELENA"/>
    <d v="2016-05-13T00:00:00"/>
    <d v="2016-06-08T00:00:00"/>
    <x v="1"/>
    <x v="68"/>
    <x v="1"/>
    <n v="0"/>
    <x v="1"/>
    <n v="0"/>
    <n v="0"/>
    <n v="0"/>
    <x v="0"/>
    <x v="0"/>
    <n v="0"/>
  </r>
  <r>
    <n v="92213400000000"/>
    <x v="0"/>
    <x v="61"/>
    <x v="1"/>
    <s v="GRANDE VITORIA"/>
    <d v="2016-05-13T00:00:00"/>
    <d v="2016-05-19T00:00:00"/>
    <x v="3"/>
    <x v="90"/>
    <x v="3"/>
    <n v="0"/>
    <x v="1"/>
    <n v="0"/>
    <n v="0"/>
    <n v="0"/>
    <x v="1"/>
    <x v="0"/>
    <n v="0"/>
  </r>
  <r>
    <n v="2252200000000"/>
    <x v="0"/>
    <x v="38"/>
    <x v="4"/>
    <s v="VILA RUBIM"/>
    <d v="2016-05-13T00:00:00"/>
    <d v="2016-05-13T00:00:00"/>
    <x v="0"/>
    <x v="94"/>
    <x v="5"/>
    <n v="0"/>
    <x v="1"/>
    <n v="0"/>
    <n v="0"/>
    <n v="0"/>
    <x v="1"/>
    <x v="0"/>
    <n v="0"/>
  </r>
  <r>
    <n v="853440000000000"/>
    <x v="0"/>
    <x v="50"/>
    <x v="1"/>
    <s v="ILHA DE SANTA MARIA"/>
    <d v="2016-05-13T00:00:00"/>
    <d v="2016-05-13T00:00:00"/>
    <x v="0"/>
    <x v="94"/>
    <x v="5"/>
    <n v="0"/>
    <x v="1"/>
    <n v="0"/>
    <n v="0"/>
    <n v="0"/>
    <x v="1"/>
    <x v="0"/>
    <n v="0"/>
  </r>
  <r>
    <n v="4482140000000"/>
    <x v="1"/>
    <x v="19"/>
    <x v="2"/>
    <s v="ITARARE"/>
    <d v="2016-05-13T00:00:00"/>
    <d v="2016-05-18T00:00:00"/>
    <x v="1"/>
    <x v="92"/>
    <x v="3"/>
    <n v="0"/>
    <x v="1"/>
    <n v="0"/>
    <n v="0"/>
    <n v="0"/>
    <x v="1"/>
    <x v="1"/>
    <n v="1"/>
  </r>
  <r>
    <n v="127529000000000"/>
    <x v="0"/>
    <x v="75"/>
    <x v="5"/>
    <s v="SAO CRISTOVAO"/>
    <d v="2016-05-13T00:00:00"/>
    <d v="2016-05-19T00:00:00"/>
    <x v="3"/>
    <x v="90"/>
    <x v="3"/>
    <n v="0"/>
    <x v="1"/>
    <n v="0"/>
    <n v="0"/>
    <n v="0"/>
    <x v="1"/>
    <x v="1"/>
    <n v="1"/>
  </r>
  <r>
    <n v="988212000000000"/>
    <x v="0"/>
    <x v="75"/>
    <x v="5"/>
    <s v="DA PENHA"/>
    <d v="2016-05-13T00:00:00"/>
    <d v="2016-05-19T00:00:00"/>
    <x v="3"/>
    <x v="90"/>
    <x v="3"/>
    <n v="0"/>
    <x v="1"/>
    <n v="0"/>
    <n v="0"/>
    <n v="0"/>
    <x v="1"/>
    <x v="1"/>
    <n v="1"/>
  </r>
  <r>
    <n v="619919000000000"/>
    <x v="0"/>
    <x v="46"/>
    <x v="2"/>
    <s v="SANTO ANTONIO"/>
    <d v="2016-05-13T00:00:00"/>
    <d v="2016-05-13T00:00:00"/>
    <x v="0"/>
    <x v="94"/>
    <x v="5"/>
    <n v="0"/>
    <x v="1"/>
    <n v="0"/>
    <n v="0"/>
    <n v="0"/>
    <x v="1"/>
    <x v="0"/>
    <n v="0"/>
  </r>
  <r>
    <n v="98399200000000"/>
    <x v="0"/>
    <x v="55"/>
    <x v="2"/>
    <s v="GURIGICA"/>
    <d v="2016-05-13T00:00:00"/>
    <d v="2016-05-13T00:00:00"/>
    <x v="0"/>
    <x v="94"/>
    <x v="5"/>
    <n v="0"/>
    <x v="1"/>
    <n v="0"/>
    <n v="0"/>
    <n v="0"/>
    <x v="1"/>
    <x v="0"/>
    <n v="0"/>
  </r>
  <r>
    <n v="614995000000000"/>
    <x v="0"/>
    <x v="87"/>
    <x v="1"/>
    <s v="RESISTENCIA"/>
    <d v="2016-05-13T00:00:00"/>
    <d v="2016-05-16T00:00:00"/>
    <x v="2"/>
    <x v="89"/>
    <x v="4"/>
    <n v="0"/>
    <x v="1"/>
    <n v="0"/>
    <n v="0"/>
    <n v="0"/>
    <x v="1"/>
    <x v="0"/>
    <n v="0"/>
  </r>
  <r>
    <n v="615141000000000"/>
    <x v="1"/>
    <x v="42"/>
    <x v="3"/>
    <s v="NAZARETH"/>
    <d v="2016-05-13T00:00:00"/>
    <d v="2016-05-16T00:00:00"/>
    <x v="2"/>
    <x v="89"/>
    <x v="4"/>
    <n v="0"/>
    <x v="1"/>
    <n v="0"/>
    <n v="0"/>
    <n v="0"/>
    <x v="1"/>
    <x v="0"/>
    <n v="0"/>
  </r>
  <r>
    <n v="1939230000000"/>
    <x v="0"/>
    <x v="61"/>
    <x v="1"/>
    <s v="MONTE BELO"/>
    <d v="2016-05-13T00:00:00"/>
    <d v="2016-05-17T00:00:00"/>
    <x v="4"/>
    <x v="86"/>
    <x v="3"/>
    <n v="0"/>
    <x v="1"/>
    <n v="0"/>
    <n v="0"/>
    <n v="0"/>
    <x v="1"/>
    <x v="0"/>
    <n v="0"/>
  </r>
  <r>
    <n v="67936300000000"/>
    <x v="0"/>
    <x v="55"/>
    <x v="2"/>
    <s v="ITARARE"/>
    <d v="2016-05-13T00:00:00"/>
    <d v="2016-05-13T00:00:00"/>
    <x v="0"/>
    <x v="94"/>
    <x v="5"/>
    <n v="0"/>
    <x v="1"/>
    <n v="0"/>
    <n v="0"/>
    <n v="0"/>
    <x v="1"/>
    <x v="0"/>
    <n v="0"/>
  </r>
  <r>
    <n v="39176500000000"/>
    <x v="0"/>
    <x v="47"/>
    <x v="4"/>
    <s v="SAO JOSE"/>
    <d v="2016-05-13T00:00:00"/>
    <d v="2016-05-17T00:00:00"/>
    <x v="4"/>
    <x v="86"/>
    <x v="3"/>
    <n v="0"/>
    <x v="1"/>
    <n v="0"/>
    <n v="0"/>
    <n v="0"/>
    <x v="1"/>
    <x v="0"/>
    <n v="0"/>
  </r>
  <r>
    <n v="826890000000000"/>
    <x v="0"/>
    <x v="41"/>
    <x v="4"/>
    <s v="SANTA MARTHA"/>
    <d v="2016-05-13T00:00:00"/>
    <d v="2016-05-19T00:00:00"/>
    <x v="3"/>
    <x v="90"/>
    <x v="3"/>
    <n v="0"/>
    <x v="1"/>
    <n v="0"/>
    <n v="0"/>
    <n v="0"/>
    <x v="1"/>
    <x v="0"/>
    <n v="0"/>
  </r>
  <r>
    <n v="427761000000000"/>
    <x v="0"/>
    <x v="42"/>
    <x v="3"/>
    <s v="CARATOIRA"/>
    <d v="2016-05-14T00:00:00"/>
    <d v="2016-05-14T00:00:00"/>
    <x v="5"/>
    <x v="94"/>
    <x v="5"/>
    <n v="0"/>
    <x v="1"/>
    <n v="0"/>
    <n v="0"/>
    <n v="0"/>
    <x v="1"/>
    <x v="0"/>
    <n v="0"/>
  </r>
  <r>
    <n v="58714300000000"/>
    <x v="0"/>
    <x v="84"/>
    <x v="1"/>
    <s v="CARATOIRA"/>
    <d v="2016-05-14T00:00:00"/>
    <d v="2016-05-14T00:00:00"/>
    <x v="5"/>
    <x v="94"/>
    <x v="5"/>
    <n v="1"/>
    <x v="1"/>
    <n v="0"/>
    <n v="0"/>
    <n v="0"/>
    <x v="1"/>
    <x v="0"/>
    <n v="0"/>
  </r>
  <r>
    <n v="8241330000000"/>
    <x v="0"/>
    <x v="54"/>
    <x v="1"/>
    <s v="MARIO CYPRESTE"/>
    <d v="2016-05-16T00:00:00"/>
    <d v="2016-05-16T00:00:00"/>
    <x v="2"/>
    <x v="94"/>
    <x v="5"/>
    <n v="0"/>
    <x v="1"/>
    <n v="0"/>
    <n v="0"/>
    <n v="0"/>
    <x v="1"/>
    <x v="0"/>
    <n v="0"/>
  </r>
  <r>
    <n v="66671500000000"/>
    <x v="1"/>
    <x v="87"/>
    <x v="1"/>
    <s v="SANTO ANDRE"/>
    <d v="2016-05-16T00:00:00"/>
    <d v="2016-05-18T00:00:00"/>
    <x v="1"/>
    <x v="91"/>
    <x v="4"/>
    <n v="0"/>
    <x v="0"/>
    <n v="1"/>
    <n v="0"/>
    <n v="0"/>
    <x v="1"/>
    <x v="0"/>
    <n v="0"/>
  </r>
  <r>
    <n v="247776000000000"/>
    <x v="0"/>
    <x v="16"/>
    <x v="1"/>
    <s v="CRUZAMENTO"/>
    <d v="2016-05-16T00:00:00"/>
    <d v="2016-05-16T00:00:00"/>
    <x v="2"/>
    <x v="94"/>
    <x v="5"/>
    <n v="0"/>
    <x v="1"/>
    <n v="0"/>
    <n v="0"/>
    <n v="0"/>
    <x v="1"/>
    <x v="0"/>
    <n v="0"/>
  </r>
  <r>
    <n v="144289000000000"/>
    <x v="1"/>
    <x v="45"/>
    <x v="1"/>
    <s v="INHANGUETA"/>
    <d v="2016-05-16T00:00:00"/>
    <d v="2016-05-18T00:00:00"/>
    <x v="1"/>
    <x v="91"/>
    <x v="4"/>
    <n v="1"/>
    <x v="1"/>
    <n v="0"/>
    <n v="0"/>
    <n v="0"/>
    <x v="1"/>
    <x v="0"/>
    <n v="0"/>
  </r>
  <r>
    <n v="2367560000000"/>
    <x v="0"/>
    <x v="30"/>
    <x v="3"/>
    <s v="PRAIA DO CANTO"/>
    <d v="2016-05-16T00:00:00"/>
    <d v="2016-05-16T00:00:00"/>
    <x v="2"/>
    <x v="94"/>
    <x v="5"/>
    <n v="0"/>
    <x v="1"/>
    <n v="0"/>
    <n v="0"/>
    <n v="0"/>
    <x v="1"/>
    <x v="0"/>
    <n v="0"/>
  </r>
  <r>
    <n v="331523000000000"/>
    <x v="1"/>
    <x v="59"/>
    <x v="2"/>
    <s v="GRANDE VITORIA"/>
    <d v="2016-05-16T00:00:00"/>
    <d v="2016-05-24T00:00:00"/>
    <x v="4"/>
    <x v="88"/>
    <x v="2"/>
    <n v="0"/>
    <x v="1"/>
    <n v="0"/>
    <n v="0"/>
    <n v="0"/>
    <x v="0"/>
    <x v="0"/>
    <n v="0"/>
  </r>
  <r>
    <n v="86172747259"/>
    <x v="1"/>
    <x v="67"/>
    <x v="4"/>
    <s v="CENTRO"/>
    <d v="2016-05-16T00:00:00"/>
    <d v="2016-05-16T00:00:00"/>
    <x v="2"/>
    <x v="94"/>
    <x v="5"/>
    <n v="0"/>
    <x v="1"/>
    <n v="0"/>
    <n v="0"/>
    <n v="0"/>
    <x v="1"/>
    <x v="0"/>
    <n v="0"/>
  </r>
  <r>
    <n v="1122440000000"/>
    <x v="1"/>
    <x v="6"/>
    <x v="0"/>
    <s v="SAO JOSE"/>
    <d v="2016-05-16T00:00:00"/>
    <d v="2016-05-19T00:00:00"/>
    <x v="3"/>
    <x v="89"/>
    <x v="4"/>
    <n v="0"/>
    <x v="0"/>
    <n v="1"/>
    <n v="0"/>
    <n v="0"/>
    <x v="1"/>
    <x v="1"/>
    <n v="1"/>
  </r>
  <r>
    <n v="851395000000"/>
    <x v="0"/>
    <x v="60"/>
    <x v="2"/>
    <s v="BONFIM"/>
    <d v="2016-05-16T00:00:00"/>
    <d v="2016-05-16T00:00:00"/>
    <x v="2"/>
    <x v="94"/>
    <x v="5"/>
    <n v="0"/>
    <x v="1"/>
    <n v="0"/>
    <n v="0"/>
    <n v="0"/>
    <x v="1"/>
    <x v="0"/>
    <n v="0"/>
  </r>
  <r>
    <n v="361423000000"/>
    <x v="0"/>
    <x v="26"/>
    <x v="0"/>
    <s v="DA PENHA"/>
    <d v="2016-05-16T00:00:00"/>
    <d v="2016-05-16T00:00:00"/>
    <x v="2"/>
    <x v="94"/>
    <x v="5"/>
    <n v="0"/>
    <x v="1"/>
    <n v="0"/>
    <n v="0"/>
    <n v="0"/>
    <x v="1"/>
    <x v="0"/>
    <n v="0"/>
  </r>
  <r>
    <n v="17111700000000"/>
    <x v="0"/>
    <x v="26"/>
    <x v="0"/>
    <s v="MATA DA PRAIA"/>
    <d v="2016-05-16T00:00:00"/>
    <d v="2016-05-16T00:00:00"/>
    <x v="2"/>
    <x v="94"/>
    <x v="5"/>
    <n v="0"/>
    <x v="1"/>
    <n v="0"/>
    <n v="0"/>
    <n v="0"/>
    <x v="1"/>
    <x v="0"/>
    <n v="0"/>
  </r>
  <r>
    <n v="3899280000000"/>
    <x v="0"/>
    <x v="14"/>
    <x v="3"/>
    <s v="FORTE SAO JOAO"/>
    <d v="2016-05-16T00:00:00"/>
    <d v="2016-05-16T00:00:00"/>
    <x v="2"/>
    <x v="94"/>
    <x v="5"/>
    <n v="0"/>
    <x v="1"/>
    <n v="0"/>
    <n v="0"/>
    <n v="0"/>
    <x v="1"/>
    <x v="0"/>
    <n v="0"/>
  </r>
  <r>
    <n v="98386400000000"/>
    <x v="0"/>
    <x v="74"/>
    <x v="1"/>
    <s v="CRUZAMENTO"/>
    <d v="2016-05-16T00:00:00"/>
    <d v="2016-05-16T00:00:00"/>
    <x v="2"/>
    <x v="94"/>
    <x v="5"/>
    <n v="0"/>
    <x v="1"/>
    <n v="0"/>
    <n v="0"/>
    <n v="0"/>
    <x v="1"/>
    <x v="0"/>
    <n v="0"/>
  </r>
  <r>
    <n v="75872177681"/>
    <x v="0"/>
    <x v="6"/>
    <x v="0"/>
    <s v="JARDIM CAMBURI"/>
    <d v="2016-05-16T00:00:00"/>
    <d v="2016-05-18T00:00:00"/>
    <x v="1"/>
    <x v="91"/>
    <x v="4"/>
    <n v="0"/>
    <x v="1"/>
    <n v="0"/>
    <n v="0"/>
    <n v="0"/>
    <x v="1"/>
    <x v="0"/>
    <n v="0"/>
  </r>
  <r>
    <n v="52442600000000"/>
    <x v="0"/>
    <x v="2"/>
    <x v="1"/>
    <s v="CENTRO"/>
    <d v="2016-05-16T00:00:00"/>
    <d v="2016-05-30T00:00:00"/>
    <x v="2"/>
    <x v="80"/>
    <x v="2"/>
    <n v="0"/>
    <x v="1"/>
    <n v="0"/>
    <n v="0"/>
    <n v="0"/>
    <x v="0"/>
    <x v="0"/>
    <n v="0"/>
  </r>
  <r>
    <n v="5124300000000"/>
    <x v="1"/>
    <x v="34"/>
    <x v="0"/>
    <s v="CENTRO"/>
    <d v="2016-05-16T00:00:00"/>
    <d v="2016-05-16T00:00:00"/>
    <x v="2"/>
    <x v="94"/>
    <x v="5"/>
    <n v="0"/>
    <x v="0"/>
    <n v="0"/>
    <n v="0"/>
    <n v="0"/>
    <x v="1"/>
    <x v="0"/>
    <n v="0"/>
  </r>
  <r>
    <n v="4948770000000"/>
    <x v="0"/>
    <x v="60"/>
    <x v="2"/>
    <s v="JARDIM DA PENHA"/>
    <d v="2016-05-16T00:00:00"/>
    <d v="2016-05-16T00:00:00"/>
    <x v="2"/>
    <x v="94"/>
    <x v="5"/>
    <n v="0"/>
    <x v="1"/>
    <n v="0"/>
    <n v="0"/>
    <n v="0"/>
    <x v="1"/>
    <x v="1"/>
    <n v="1"/>
  </r>
  <r>
    <n v="4176930000000"/>
    <x v="1"/>
    <x v="12"/>
    <x v="3"/>
    <s v="CENTRO"/>
    <d v="2016-05-16T00:00:00"/>
    <d v="2016-06-01T00:00:00"/>
    <x v="1"/>
    <x v="78"/>
    <x v="1"/>
    <n v="0"/>
    <x v="1"/>
    <n v="0"/>
    <n v="0"/>
    <n v="0"/>
    <x v="0"/>
    <x v="0"/>
    <n v="0"/>
  </r>
  <r>
    <n v="88274700000000"/>
    <x v="1"/>
    <x v="42"/>
    <x v="3"/>
    <s v="CRUZAMENTO"/>
    <d v="2016-05-16T00:00:00"/>
    <d v="2016-05-17T00:00:00"/>
    <x v="4"/>
    <x v="93"/>
    <x v="4"/>
    <n v="0"/>
    <x v="0"/>
    <n v="0"/>
    <n v="0"/>
    <n v="0"/>
    <x v="1"/>
    <x v="0"/>
    <n v="0"/>
  </r>
  <r>
    <n v="7758460000000"/>
    <x v="1"/>
    <x v="5"/>
    <x v="1"/>
    <s v="BONFIM"/>
    <d v="2016-05-16T00:00:00"/>
    <d v="2016-06-02T00:00:00"/>
    <x v="3"/>
    <x v="75"/>
    <x v="1"/>
    <n v="0"/>
    <x v="1"/>
    <n v="0"/>
    <n v="0"/>
    <n v="0"/>
    <x v="0"/>
    <x v="0"/>
    <n v="0"/>
  </r>
  <r>
    <n v="8154520000000"/>
    <x v="1"/>
    <x v="66"/>
    <x v="2"/>
    <s v="SANTO ANTONIO"/>
    <d v="2016-05-16T00:00:00"/>
    <d v="2016-05-16T00:00:00"/>
    <x v="2"/>
    <x v="94"/>
    <x v="5"/>
    <n v="0"/>
    <x v="1"/>
    <n v="0"/>
    <n v="0"/>
    <n v="0"/>
    <x v="1"/>
    <x v="0"/>
    <n v="0"/>
  </r>
  <r>
    <n v="741838000000"/>
    <x v="1"/>
    <x v="43"/>
    <x v="2"/>
    <s v="SANTOS DUMONT"/>
    <d v="2016-05-16T00:00:00"/>
    <d v="2016-05-16T00:00:00"/>
    <x v="2"/>
    <x v="94"/>
    <x v="5"/>
    <n v="0"/>
    <x v="1"/>
    <n v="0"/>
    <n v="0"/>
    <n v="0"/>
    <x v="1"/>
    <x v="0"/>
    <n v="0"/>
  </r>
  <r>
    <n v="315916000000000"/>
    <x v="0"/>
    <x v="15"/>
    <x v="3"/>
    <s v="BELA VISTA"/>
    <d v="2016-05-16T00:00:00"/>
    <d v="2016-06-06T00:00:00"/>
    <x v="2"/>
    <x v="73"/>
    <x v="1"/>
    <n v="0"/>
    <x v="0"/>
    <n v="1"/>
    <n v="0"/>
    <n v="0"/>
    <x v="0"/>
    <x v="0"/>
    <n v="0"/>
  </r>
  <r>
    <n v="3683790000000"/>
    <x v="1"/>
    <x v="77"/>
    <x v="4"/>
    <s v="CONSOLACAO"/>
    <d v="2016-05-16T00:00:00"/>
    <d v="2016-06-02T00:00:00"/>
    <x v="3"/>
    <x v="75"/>
    <x v="1"/>
    <n v="0"/>
    <x v="0"/>
    <n v="0"/>
    <n v="0"/>
    <n v="0"/>
    <x v="0"/>
    <x v="1"/>
    <n v="1"/>
  </r>
  <r>
    <n v="372892000000"/>
    <x v="0"/>
    <x v="49"/>
    <x v="4"/>
    <s v="CRUZAMENTO"/>
    <d v="2016-05-16T00:00:00"/>
    <d v="2016-05-19T00:00:00"/>
    <x v="3"/>
    <x v="89"/>
    <x v="4"/>
    <n v="1"/>
    <x v="1"/>
    <n v="0"/>
    <n v="0"/>
    <n v="0"/>
    <x v="1"/>
    <x v="0"/>
    <n v="0"/>
  </r>
  <r>
    <n v="7663460000000"/>
    <x v="0"/>
    <x v="46"/>
    <x v="2"/>
    <s v="BONFIM"/>
    <d v="2016-05-16T00:00:00"/>
    <d v="2016-05-16T00:00:00"/>
    <x v="2"/>
    <x v="94"/>
    <x v="5"/>
    <n v="0"/>
    <x v="1"/>
    <n v="0"/>
    <n v="0"/>
    <n v="0"/>
    <x v="1"/>
    <x v="0"/>
    <n v="0"/>
  </r>
  <r>
    <n v="1886350000000"/>
    <x v="0"/>
    <x v="62"/>
    <x v="3"/>
    <s v="ITARARE"/>
    <d v="2016-05-16T00:00:00"/>
    <d v="2016-06-02T00:00:00"/>
    <x v="3"/>
    <x v="75"/>
    <x v="1"/>
    <n v="0"/>
    <x v="1"/>
    <n v="0"/>
    <n v="0"/>
    <n v="0"/>
    <x v="0"/>
    <x v="0"/>
    <n v="0"/>
  </r>
  <r>
    <n v="693376000000000"/>
    <x v="0"/>
    <x v="77"/>
    <x v="4"/>
    <s v="JESUS DE NAZARETH"/>
    <d v="2016-05-16T00:00:00"/>
    <d v="2016-05-16T00:00:00"/>
    <x v="2"/>
    <x v="94"/>
    <x v="5"/>
    <n v="0"/>
    <x v="1"/>
    <n v="0"/>
    <n v="0"/>
    <n v="0"/>
    <x v="1"/>
    <x v="0"/>
    <n v="0"/>
  </r>
  <r>
    <n v="8283810000000"/>
    <x v="1"/>
    <x v="18"/>
    <x v="0"/>
    <s v="ITARARE"/>
    <d v="2016-05-16T00:00:00"/>
    <d v="2016-05-16T00:00:00"/>
    <x v="2"/>
    <x v="94"/>
    <x v="5"/>
    <n v="0"/>
    <x v="1"/>
    <n v="0"/>
    <n v="0"/>
    <n v="0"/>
    <x v="1"/>
    <x v="0"/>
    <n v="0"/>
  </r>
  <r>
    <n v="899683000000000"/>
    <x v="0"/>
    <x v="38"/>
    <x v="4"/>
    <s v="ILHA DO PRINCIPE"/>
    <d v="2016-05-16T00:00:00"/>
    <d v="2016-06-01T00:00:00"/>
    <x v="1"/>
    <x v="78"/>
    <x v="1"/>
    <n v="0"/>
    <x v="1"/>
    <n v="0"/>
    <n v="0"/>
    <n v="0"/>
    <x v="0"/>
    <x v="0"/>
    <n v="0"/>
  </r>
  <r>
    <n v="778958000000000"/>
    <x v="1"/>
    <x v="36"/>
    <x v="3"/>
    <s v="CENTRO"/>
    <d v="2016-05-16T00:00:00"/>
    <d v="2016-06-06T00:00:00"/>
    <x v="2"/>
    <x v="73"/>
    <x v="1"/>
    <n v="0"/>
    <x v="0"/>
    <n v="0"/>
    <n v="0"/>
    <n v="0"/>
    <x v="0"/>
    <x v="0"/>
    <n v="0"/>
  </r>
  <r>
    <n v="1947680000000"/>
    <x v="0"/>
    <x v="22"/>
    <x v="4"/>
    <s v="ITARARE"/>
    <d v="2016-05-16T00:00:00"/>
    <d v="2016-06-01T00:00:00"/>
    <x v="1"/>
    <x v="78"/>
    <x v="1"/>
    <n v="0"/>
    <x v="1"/>
    <n v="0"/>
    <n v="0"/>
    <n v="0"/>
    <x v="0"/>
    <x v="1"/>
    <n v="1"/>
  </r>
  <r>
    <n v="79315700000000"/>
    <x v="0"/>
    <x v="79"/>
    <x v="5"/>
    <s v="CARATOIRA"/>
    <d v="2016-05-16T00:00:00"/>
    <d v="2016-06-07T00:00:00"/>
    <x v="4"/>
    <x v="71"/>
    <x v="1"/>
    <n v="0"/>
    <x v="1"/>
    <n v="0"/>
    <n v="0"/>
    <n v="0"/>
    <x v="0"/>
    <x v="0"/>
    <n v="0"/>
  </r>
  <r>
    <n v="127761000000000"/>
    <x v="0"/>
    <x v="62"/>
    <x v="3"/>
    <s v="SANTO ANTONIO"/>
    <d v="2016-05-16T00:00:00"/>
    <d v="2016-06-02T00:00:00"/>
    <x v="3"/>
    <x v="75"/>
    <x v="1"/>
    <n v="0"/>
    <x v="0"/>
    <n v="0"/>
    <n v="0"/>
    <n v="0"/>
    <x v="0"/>
    <x v="0"/>
    <n v="0"/>
  </r>
  <r>
    <n v="69521300000000"/>
    <x v="1"/>
    <x v="48"/>
    <x v="3"/>
    <s v="BELA VISTA"/>
    <d v="2016-05-16T00:00:00"/>
    <d v="2016-06-06T00:00:00"/>
    <x v="2"/>
    <x v="73"/>
    <x v="1"/>
    <n v="0"/>
    <x v="1"/>
    <n v="0"/>
    <n v="0"/>
    <n v="0"/>
    <x v="1"/>
    <x v="1"/>
    <n v="1"/>
  </r>
  <r>
    <n v="814717000000000"/>
    <x v="1"/>
    <x v="19"/>
    <x v="2"/>
    <s v="JESUS DE NAZARETH"/>
    <d v="2016-05-16T00:00:00"/>
    <d v="2016-05-31T00:00:00"/>
    <x v="4"/>
    <x v="79"/>
    <x v="1"/>
    <n v="0"/>
    <x v="1"/>
    <n v="0"/>
    <n v="0"/>
    <n v="0"/>
    <x v="0"/>
    <x v="1"/>
    <n v="1"/>
  </r>
  <r>
    <n v="65939200000000"/>
    <x v="0"/>
    <x v="62"/>
    <x v="3"/>
    <s v="ITARARE"/>
    <d v="2016-05-16T00:00:00"/>
    <d v="2016-06-06T00:00:00"/>
    <x v="2"/>
    <x v="73"/>
    <x v="1"/>
    <n v="0"/>
    <x v="1"/>
    <n v="0"/>
    <n v="0"/>
    <n v="0"/>
    <x v="0"/>
    <x v="1"/>
    <n v="1"/>
  </r>
  <r>
    <n v="33823200000000"/>
    <x v="0"/>
    <x v="81"/>
    <x v="5"/>
    <s v="TABUAZEIRO"/>
    <d v="2016-05-16T00:00:00"/>
    <d v="2016-05-16T00:00:00"/>
    <x v="2"/>
    <x v="94"/>
    <x v="5"/>
    <n v="0"/>
    <x v="1"/>
    <n v="0"/>
    <n v="0"/>
    <n v="0"/>
    <x v="1"/>
    <x v="0"/>
    <n v="0"/>
  </r>
  <r>
    <n v="96215700000000"/>
    <x v="0"/>
    <x v="24"/>
    <x v="1"/>
    <s v="ANDORINHAS"/>
    <d v="2016-05-16T00:00:00"/>
    <d v="2016-05-18T00:00:00"/>
    <x v="1"/>
    <x v="91"/>
    <x v="4"/>
    <n v="0"/>
    <x v="0"/>
    <n v="1"/>
    <n v="0"/>
    <n v="0"/>
    <x v="1"/>
    <x v="0"/>
    <n v="0"/>
  </r>
  <r>
    <n v="3135196176"/>
    <x v="0"/>
    <x v="52"/>
    <x v="2"/>
    <s v="CRUZAMENTO"/>
    <d v="2016-05-16T00:00:00"/>
    <d v="2016-05-16T00:00:00"/>
    <x v="2"/>
    <x v="94"/>
    <x v="5"/>
    <n v="0"/>
    <x v="1"/>
    <n v="0"/>
    <n v="0"/>
    <n v="0"/>
    <x v="1"/>
    <x v="0"/>
    <n v="0"/>
  </r>
  <r>
    <n v="123919000000000"/>
    <x v="1"/>
    <x v="22"/>
    <x v="4"/>
    <s v="ARIOVALDO FAVALESSA"/>
    <d v="2016-05-16T00:00:00"/>
    <d v="2016-06-07T00:00:00"/>
    <x v="4"/>
    <x v="71"/>
    <x v="1"/>
    <n v="0"/>
    <x v="1"/>
    <n v="0"/>
    <n v="0"/>
    <n v="0"/>
    <x v="1"/>
    <x v="1"/>
    <n v="1"/>
  </r>
  <r>
    <n v="94786400000000"/>
    <x v="1"/>
    <x v="90"/>
    <x v="0"/>
    <s v="ROMAO"/>
    <d v="2016-05-16T00:00:00"/>
    <d v="2016-06-07T00:00:00"/>
    <x v="4"/>
    <x v="71"/>
    <x v="1"/>
    <n v="0"/>
    <x v="0"/>
    <n v="1"/>
    <n v="0"/>
    <n v="0"/>
    <x v="0"/>
    <x v="1"/>
    <n v="1"/>
  </r>
  <r>
    <n v="18935300000000"/>
    <x v="0"/>
    <x v="5"/>
    <x v="1"/>
    <s v="BELA VISTA"/>
    <d v="2016-05-16T00:00:00"/>
    <d v="2016-05-17T00:00:00"/>
    <x v="4"/>
    <x v="93"/>
    <x v="4"/>
    <n v="1"/>
    <x v="1"/>
    <n v="0"/>
    <n v="0"/>
    <n v="0"/>
    <x v="1"/>
    <x v="0"/>
    <n v="0"/>
  </r>
  <r>
    <n v="23192500000000"/>
    <x v="1"/>
    <x v="23"/>
    <x v="3"/>
    <s v="CARATOIRA"/>
    <d v="2016-05-16T00:00:00"/>
    <d v="2016-06-08T00:00:00"/>
    <x v="1"/>
    <x v="67"/>
    <x v="1"/>
    <n v="0"/>
    <x v="1"/>
    <n v="0"/>
    <n v="0"/>
    <n v="0"/>
    <x v="1"/>
    <x v="1"/>
    <n v="1"/>
  </r>
  <r>
    <n v="7178280000000"/>
    <x v="1"/>
    <x v="59"/>
    <x v="2"/>
    <s v="ANDORINHAS"/>
    <d v="2016-05-16T00:00:00"/>
    <d v="2016-05-16T00:00:00"/>
    <x v="2"/>
    <x v="94"/>
    <x v="5"/>
    <n v="0"/>
    <x v="1"/>
    <n v="0"/>
    <n v="0"/>
    <n v="0"/>
    <x v="1"/>
    <x v="0"/>
    <n v="0"/>
  </r>
  <r>
    <n v="6235570000000"/>
    <x v="1"/>
    <x v="75"/>
    <x v="5"/>
    <s v="RESISTENCIA"/>
    <d v="2016-05-16T00:00:00"/>
    <d v="2016-05-18T00:00:00"/>
    <x v="1"/>
    <x v="91"/>
    <x v="4"/>
    <n v="0"/>
    <x v="1"/>
    <n v="0"/>
    <n v="0"/>
    <n v="0"/>
    <x v="1"/>
    <x v="1"/>
    <n v="1"/>
  </r>
  <r>
    <n v="3115330000000"/>
    <x v="1"/>
    <x v="44"/>
    <x v="4"/>
    <s v="SANTOS DUMONT"/>
    <d v="2016-05-16T00:00:00"/>
    <d v="2016-05-16T00:00:00"/>
    <x v="2"/>
    <x v="94"/>
    <x v="5"/>
    <n v="0"/>
    <x v="1"/>
    <n v="0"/>
    <n v="0"/>
    <n v="0"/>
    <x v="1"/>
    <x v="1"/>
    <n v="1"/>
  </r>
  <r>
    <n v="735917000000000"/>
    <x v="1"/>
    <x v="88"/>
    <x v="0"/>
    <s v="MARUIPE"/>
    <d v="2016-05-16T00:00:00"/>
    <d v="2016-05-16T00:00:00"/>
    <x v="2"/>
    <x v="94"/>
    <x v="5"/>
    <n v="0"/>
    <x v="1"/>
    <n v="0"/>
    <n v="0"/>
    <n v="0"/>
    <x v="1"/>
    <x v="0"/>
    <n v="0"/>
  </r>
  <r>
    <n v="762655000000000"/>
    <x v="0"/>
    <x v="79"/>
    <x v="5"/>
    <s v="GOIABEIRAS"/>
    <d v="2016-05-16T00:00:00"/>
    <d v="2016-05-16T00:00:00"/>
    <x v="2"/>
    <x v="94"/>
    <x v="5"/>
    <n v="0"/>
    <x v="1"/>
    <n v="0"/>
    <n v="0"/>
    <n v="0"/>
    <x v="1"/>
    <x v="0"/>
    <n v="0"/>
  </r>
  <r>
    <n v="587752000000000"/>
    <x v="1"/>
    <x v="27"/>
    <x v="3"/>
    <s v="SANTO ANTONIO"/>
    <d v="2016-05-16T00:00:00"/>
    <d v="2016-06-02T00:00:00"/>
    <x v="3"/>
    <x v="75"/>
    <x v="1"/>
    <n v="0"/>
    <x v="0"/>
    <n v="1"/>
    <n v="1"/>
    <n v="0"/>
    <x v="0"/>
    <x v="0"/>
    <n v="0"/>
  </r>
  <r>
    <n v="988762000000000"/>
    <x v="1"/>
    <x v="73"/>
    <x v="4"/>
    <s v="SAO BENEDITO"/>
    <d v="2016-05-16T00:00:00"/>
    <d v="2016-05-16T00:00:00"/>
    <x v="2"/>
    <x v="94"/>
    <x v="5"/>
    <n v="0"/>
    <x v="1"/>
    <n v="0"/>
    <n v="0"/>
    <n v="0"/>
    <x v="1"/>
    <x v="0"/>
    <n v="0"/>
  </r>
  <r>
    <n v="86877300000000"/>
    <x v="0"/>
    <x v="30"/>
    <x v="3"/>
    <s v="DA PENHA"/>
    <d v="2016-05-16T00:00:00"/>
    <d v="2016-05-16T00:00:00"/>
    <x v="2"/>
    <x v="94"/>
    <x v="5"/>
    <n v="0"/>
    <x v="0"/>
    <n v="1"/>
    <n v="1"/>
    <n v="0"/>
    <x v="1"/>
    <x v="0"/>
    <n v="0"/>
  </r>
  <r>
    <n v="33756900000000"/>
    <x v="0"/>
    <x v="31"/>
    <x v="1"/>
    <s v="JESUS DE NAZARETH"/>
    <d v="2016-05-16T00:00:00"/>
    <d v="2016-06-08T00:00:00"/>
    <x v="1"/>
    <x v="67"/>
    <x v="1"/>
    <n v="0"/>
    <x v="1"/>
    <n v="0"/>
    <n v="0"/>
    <n v="0"/>
    <x v="1"/>
    <x v="1"/>
    <n v="1"/>
  </r>
  <r>
    <n v="332265000000000"/>
    <x v="0"/>
    <x v="36"/>
    <x v="3"/>
    <s v="SANTO ANTONIO"/>
    <d v="2016-05-16T00:00:00"/>
    <d v="2016-05-16T00:00:00"/>
    <x v="2"/>
    <x v="94"/>
    <x v="5"/>
    <n v="0"/>
    <x v="0"/>
    <n v="0"/>
    <n v="0"/>
    <n v="0"/>
    <x v="1"/>
    <x v="0"/>
    <n v="0"/>
  </r>
  <r>
    <n v="875920000000000"/>
    <x v="1"/>
    <x v="46"/>
    <x v="2"/>
    <s v="SAO PEDRO"/>
    <d v="2016-05-16T00:00:00"/>
    <d v="2016-05-16T00:00:00"/>
    <x v="2"/>
    <x v="94"/>
    <x v="5"/>
    <n v="0"/>
    <x v="1"/>
    <n v="0"/>
    <n v="0"/>
    <n v="0"/>
    <x v="1"/>
    <x v="0"/>
    <n v="0"/>
  </r>
  <r>
    <n v="566355000000000"/>
    <x v="1"/>
    <x v="46"/>
    <x v="2"/>
    <s v="SAO CRISTOVAO"/>
    <d v="2016-05-16T00:00:00"/>
    <d v="2016-05-16T00:00:00"/>
    <x v="2"/>
    <x v="94"/>
    <x v="5"/>
    <n v="0"/>
    <x v="1"/>
    <n v="0"/>
    <n v="0"/>
    <n v="0"/>
    <x v="1"/>
    <x v="0"/>
    <n v="0"/>
  </r>
  <r>
    <n v="168736000000"/>
    <x v="0"/>
    <x v="41"/>
    <x v="4"/>
    <s v="CONSOLACAO"/>
    <d v="2016-05-16T00:00:00"/>
    <d v="2016-06-03T00:00:00"/>
    <x v="0"/>
    <x v="74"/>
    <x v="1"/>
    <n v="0"/>
    <x v="1"/>
    <n v="0"/>
    <n v="0"/>
    <n v="0"/>
    <x v="0"/>
    <x v="0"/>
    <n v="0"/>
  </r>
  <r>
    <n v="158463000000000"/>
    <x v="0"/>
    <x v="41"/>
    <x v="4"/>
    <s v="SANTO ANTONIO"/>
    <d v="2016-05-16T00:00:00"/>
    <d v="2016-06-08T00:00:00"/>
    <x v="1"/>
    <x v="67"/>
    <x v="1"/>
    <n v="0"/>
    <x v="1"/>
    <n v="0"/>
    <n v="0"/>
    <n v="0"/>
    <x v="0"/>
    <x v="0"/>
    <n v="0"/>
  </r>
  <r>
    <n v="49547000000000"/>
    <x v="0"/>
    <x v="59"/>
    <x v="2"/>
    <s v="JESUS DE NAZARETH"/>
    <d v="2016-05-16T00:00:00"/>
    <d v="2016-05-16T00:00:00"/>
    <x v="2"/>
    <x v="94"/>
    <x v="5"/>
    <n v="0"/>
    <x v="1"/>
    <n v="0"/>
    <n v="0"/>
    <n v="0"/>
    <x v="1"/>
    <x v="0"/>
    <n v="0"/>
  </r>
  <r>
    <n v="757262000000000"/>
    <x v="1"/>
    <x v="85"/>
    <x v="0"/>
    <s v="SANTOS DUMONT"/>
    <d v="2016-05-16T00:00:00"/>
    <d v="2016-05-19T00:00:00"/>
    <x v="3"/>
    <x v="89"/>
    <x v="4"/>
    <n v="0"/>
    <x v="0"/>
    <n v="0"/>
    <n v="0"/>
    <n v="0"/>
    <x v="1"/>
    <x v="0"/>
    <n v="0"/>
  </r>
  <r>
    <n v="113573000000000"/>
    <x v="1"/>
    <x v="39"/>
    <x v="4"/>
    <s v="RESISTENCIA"/>
    <d v="2016-05-16T00:00:00"/>
    <d v="2016-05-17T00:00:00"/>
    <x v="4"/>
    <x v="93"/>
    <x v="4"/>
    <n v="0"/>
    <x v="1"/>
    <n v="0"/>
    <n v="0"/>
    <n v="0"/>
    <x v="1"/>
    <x v="0"/>
    <n v="0"/>
  </r>
  <r>
    <n v="8524560000000"/>
    <x v="1"/>
    <x v="75"/>
    <x v="5"/>
    <s v="PIEDADE"/>
    <d v="2016-05-16T00:00:00"/>
    <d v="2016-06-06T00:00:00"/>
    <x v="2"/>
    <x v="73"/>
    <x v="1"/>
    <n v="1"/>
    <x v="1"/>
    <n v="0"/>
    <n v="0"/>
    <n v="0"/>
    <x v="0"/>
    <x v="1"/>
    <n v="1"/>
  </r>
  <r>
    <n v="5537540000000"/>
    <x v="1"/>
    <x v="10"/>
    <x v="4"/>
    <s v="JOANA D ARC"/>
    <d v="2016-05-16T00:00:00"/>
    <d v="2016-06-03T00:00:00"/>
    <x v="0"/>
    <x v="74"/>
    <x v="1"/>
    <n v="0"/>
    <x v="1"/>
    <n v="0"/>
    <n v="0"/>
    <n v="0"/>
    <x v="0"/>
    <x v="0"/>
    <n v="0"/>
  </r>
  <r>
    <n v="992786000000000"/>
    <x v="0"/>
    <x v="44"/>
    <x v="4"/>
    <s v="DA PENHA"/>
    <d v="2016-05-16T00:00:00"/>
    <d v="2016-05-16T00:00:00"/>
    <x v="2"/>
    <x v="94"/>
    <x v="5"/>
    <n v="0"/>
    <x v="1"/>
    <n v="0"/>
    <n v="0"/>
    <n v="0"/>
    <x v="1"/>
    <x v="0"/>
    <n v="0"/>
  </r>
  <r>
    <n v="2336130000000"/>
    <x v="1"/>
    <x v="81"/>
    <x v="5"/>
    <s v="ITARARE"/>
    <d v="2016-05-16T00:00:00"/>
    <d v="2016-06-03T00:00:00"/>
    <x v="0"/>
    <x v="74"/>
    <x v="1"/>
    <n v="0"/>
    <x v="1"/>
    <n v="0"/>
    <n v="0"/>
    <n v="0"/>
    <x v="1"/>
    <x v="0"/>
    <n v="0"/>
  </r>
  <r>
    <n v="997555000000000"/>
    <x v="0"/>
    <x v="46"/>
    <x v="2"/>
    <s v="ROMAO"/>
    <d v="2016-05-16T00:00:00"/>
    <d v="2016-05-16T00:00:00"/>
    <x v="2"/>
    <x v="94"/>
    <x v="5"/>
    <n v="0"/>
    <x v="1"/>
    <n v="0"/>
    <n v="0"/>
    <n v="0"/>
    <x v="1"/>
    <x v="0"/>
    <n v="0"/>
  </r>
  <r>
    <n v="71741400000000"/>
    <x v="0"/>
    <x v="89"/>
    <x v="0"/>
    <s v="JABOUR"/>
    <d v="2016-05-16T00:00:00"/>
    <d v="2016-05-16T00:00:00"/>
    <x v="2"/>
    <x v="94"/>
    <x v="5"/>
    <n v="0"/>
    <x v="1"/>
    <n v="0"/>
    <n v="0"/>
    <n v="0"/>
    <x v="1"/>
    <x v="0"/>
    <n v="0"/>
  </r>
  <r>
    <n v="219588000000000"/>
    <x v="0"/>
    <x v="16"/>
    <x v="1"/>
    <s v="SAO PEDRO"/>
    <d v="2016-05-16T00:00:00"/>
    <d v="2016-05-16T00:00:00"/>
    <x v="2"/>
    <x v="94"/>
    <x v="5"/>
    <n v="0"/>
    <x v="1"/>
    <n v="0"/>
    <n v="0"/>
    <n v="0"/>
    <x v="1"/>
    <x v="0"/>
    <n v="0"/>
  </r>
  <r>
    <n v="6846650000000"/>
    <x v="1"/>
    <x v="42"/>
    <x v="3"/>
    <s v="RESISTENCIA"/>
    <d v="2016-05-16T00:00:00"/>
    <d v="2016-05-16T00:00:00"/>
    <x v="2"/>
    <x v="94"/>
    <x v="5"/>
    <n v="0"/>
    <x v="1"/>
    <n v="0"/>
    <n v="0"/>
    <n v="0"/>
    <x v="1"/>
    <x v="0"/>
    <n v="0"/>
  </r>
  <r>
    <n v="865471000000"/>
    <x v="1"/>
    <x v="48"/>
    <x v="3"/>
    <s v="CARATOIRA"/>
    <d v="2016-05-16T00:00:00"/>
    <d v="2016-06-06T00:00:00"/>
    <x v="2"/>
    <x v="73"/>
    <x v="1"/>
    <n v="0"/>
    <x v="0"/>
    <n v="0"/>
    <n v="0"/>
    <n v="0"/>
    <x v="0"/>
    <x v="0"/>
    <n v="0"/>
  </r>
  <r>
    <n v="39227500000000"/>
    <x v="1"/>
    <x v="7"/>
    <x v="3"/>
    <s v="BELA VISTA"/>
    <d v="2016-05-16T00:00:00"/>
    <d v="2016-06-06T00:00:00"/>
    <x v="2"/>
    <x v="73"/>
    <x v="1"/>
    <n v="0"/>
    <x v="0"/>
    <n v="0"/>
    <n v="0"/>
    <n v="0"/>
    <x v="0"/>
    <x v="0"/>
    <n v="0"/>
  </r>
  <r>
    <n v="77998900000000"/>
    <x v="0"/>
    <x v="33"/>
    <x v="4"/>
    <s v="HORTO"/>
    <d v="2016-05-16T00:00:00"/>
    <d v="2016-05-16T00:00:00"/>
    <x v="2"/>
    <x v="94"/>
    <x v="5"/>
    <n v="0"/>
    <x v="1"/>
    <n v="0"/>
    <n v="0"/>
    <n v="0"/>
    <x v="1"/>
    <x v="0"/>
    <n v="0"/>
  </r>
  <r>
    <n v="6423380000000"/>
    <x v="0"/>
    <x v="28"/>
    <x v="3"/>
    <s v="ANDORINHAS"/>
    <d v="2016-05-16T00:00:00"/>
    <d v="2016-05-19T00:00:00"/>
    <x v="3"/>
    <x v="89"/>
    <x v="4"/>
    <n v="0"/>
    <x v="0"/>
    <n v="0"/>
    <n v="0"/>
    <n v="1"/>
    <x v="1"/>
    <x v="0"/>
    <n v="0"/>
  </r>
  <r>
    <n v="33285200000000"/>
    <x v="0"/>
    <x v="2"/>
    <x v="1"/>
    <s v="JOANA D ARC"/>
    <d v="2016-05-16T00:00:00"/>
    <d v="2016-06-02T00:00:00"/>
    <x v="3"/>
    <x v="75"/>
    <x v="1"/>
    <n v="0"/>
    <x v="1"/>
    <n v="0"/>
    <n v="0"/>
    <n v="0"/>
    <x v="0"/>
    <x v="1"/>
    <n v="1"/>
  </r>
  <r>
    <n v="9817270000000"/>
    <x v="1"/>
    <x v="52"/>
    <x v="2"/>
    <s v="JOANA D ARC"/>
    <d v="2016-05-16T00:00:00"/>
    <d v="2016-05-16T00:00:00"/>
    <x v="2"/>
    <x v="94"/>
    <x v="5"/>
    <n v="0"/>
    <x v="1"/>
    <n v="0"/>
    <n v="0"/>
    <n v="0"/>
    <x v="1"/>
    <x v="0"/>
    <n v="0"/>
  </r>
  <r>
    <n v="8232600000000"/>
    <x v="1"/>
    <x v="57"/>
    <x v="2"/>
    <s v="SAO JOSE"/>
    <d v="2016-05-16T00:00:00"/>
    <d v="2016-05-24T00:00:00"/>
    <x v="4"/>
    <x v="88"/>
    <x v="2"/>
    <n v="0"/>
    <x v="1"/>
    <n v="0"/>
    <n v="0"/>
    <n v="0"/>
    <x v="0"/>
    <x v="0"/>
    <n v="0"/>
  </r>
  <r>
    <n v="95279500000000"/>
    <x v="1"/>
    <x v="40"/>
    <x v="1"/>
    <s v="BELA VISTA"/>
    <d v="2016-05-16T00:00:00"/>
    <d v="2016-06-07T00:00:00"/>
    <x v="4"/>
    <x v="71"/>
    <x v="1"/>
    <n v="0"/>
    <x v="1"/>
    <n v="0"/>
    <n v="0"/>
    <n v="0"/>
    <x v="0"/>
    <x v="0"/>
    <n v="0"/>
  </r>
  <r>
    <n v="178374000000"/>
    <x v="0"/>
    <x v="23"/>
    <x v="3"/>
    <s v="DA PENHA"/>
    <d v="2016-05-16T00:00:00"/>
    <d v="2016-06-03T00:00:00"/>
    <x v="0"/>
    <x v="74"/>
    <x v="1"/>
    <n v="0"/>
    <x v="1"/>
    <n v="0"/>
    <n v="0"/>
    <n v="1"/>
    <x v="1"/>
    <x v="0"/>
    <n v="0"/>
  </r>
  <r>
    <n v="9198830000000"/>
    <x v="0"/>
    <x v="70"/>
    <x v="5"/>
    <s v="JESUS DE NAZARETH"/>
    <d v="2016-05-16T00:00:00"/>
    <d v="2016-05-16T00:00:00"/>
    <x v="2"/>
    <x v="94"/>
    <x v="5"/>
    <n v="0"/>
    <x v="1"/>
    <n v="0"/>
    <n v="0"/>
    <n v="1"/>
    <x v="1"/>
    <x v="0"/>
    <n v="0"/>
  </r>
  <r>
    <n v="9156220000000"/>
    <x v="1"/>
    <x v="62"/>
    <x v="3"/>
    <s v="DA PENHA"/>
    <d v="2016-05-16T00:00:00"/>
    <d v="2016-05-16T00:00:00"/>
    <x v="2"/>
    <x v="94"/>
    <x v="5"/>
    <n v="0"/>
    <x v="1"/>
    <n v="0"/>
    <n v="0"/>
    <n v="0"/>
    <x v="1"/>
    <x v="0"/>
    <n v="0"/>
  </r>
  <r>
    <n v="38482800000000"/>
    <x v="0"/>
    <x v="84"/>
    <x v="1"/>
    <s v="JESUS DE NAZARETH"/>
    <d v="2016-05-16T00:00:00"/>
    <d v="2016-05-16T00:00:00"/>
    <x v="2"/>
    <x v="94"/>
    <x v="5"/>
    <n v="0"/>
    <x v="1"/>
    <n v="0"/>
    <n v="0"/>
    <n v="0"/>
    <x v="1"/>
    <x v="0"/>
    <n v="0"/>
  </r>
  <r>
    <n v="156291000000000"/>
    <x v="0"/>
    <x v="4"/>
    <x v="2"/>
    <s v="BELA VISTA"/>
    <d v="2016-05-16T00:00:00"/>
    <d v="2016-05-16T00:00:00"/>
    <x v="2"/>
    <x v="94"/>
    <x v="5"/>
    <n v="0"/>
    <x v="1"/>
    <n v="0"/>
    <n v="0"/>
    <n v="0"/>
    <x v="1"/>
    <x v="0"/>
    <n v="0"/>
  </r>
  <r>
    <n v="21613200000000"/>
    <x v="1"/>
    <x v="62"/>
    <x v="3"/>
    <s v="SANTO ANTONIO"/>
    <d v="2016-05-16T00:00:00"/>
    <d v="2016-06-06T00:00:00"/>
    <x v="2"/>
    <x v="73"/>
    <x v="1"/>
    <n v="0"/>
    <x v="1"/>
    <n v="0"/>
    <n v="0"/>
    <n v="0"/>
    <x v="0"/>
    <x v="0"/>
    <n v="0"/>
  </r>
  <r>
    <n v="51385592162"/>
    <x v="0"/>
    <x v="83"/>
    <x v="0"/>
    <s v="JESUS DE NAZARETH"/>
    <d v="2016-05-16T00:00:00"/>
    <d v="2016-05-30T00:00:00"/>
    <x v="2"/>
    <x v="80"/>
    <x v="2"/>
    <n v="0"/>
    <x v="1"/>
    <n v="0"/>
    <n v="0"/>
    <n v="0"/>
    <x v="0"/>
    <x v="0"/>
    <n v="0"/>
  </r>
  <r>
    <n v="6621851225"/>
    <x v="1"/>
    <x v="20"/>
    <x v="0"/>
    <s v="SANTO ANTONIO"/>
    <d v="2016-05-16T00:00:00"/>
    <d v="2016-06-06T00:00:00"/>
    <x v="2"/>
    <x v="73"/>
    <x v="1"/>
    <n v="0"/>
    <x v="0"/>
    <n v="1"/>
    <n v="0"/>
    <n v="0"/>
    <x v="0"/>
    <x v="0"/>
    <n v="0"/>
  </r>
  <r>
    <n v="4812990000000"/>
    <x v="0"/>
    <x v="59"/>
    <x v="2"/>
    <s v="SANTO ANTONIO"/>
    <d v="2016-05-16T00:00:00"/>
    <d v="2016-06-07T00:00:00"/>
    <x v="4"/>
    <x v="71"/>
    <x v="1"/>
    <n v="0"/>
    <x v="1"/>
    <n v="0"/>
    <n v="0"/>
    <n v="0"/>
    <x v="1"/>
    <x v="0"/>
    <n v="0"/>
  </r>
  <r>
    <n v="954565000000000"/>
    <x v="0"/>
    <x v="84"/>
    <x v="1"/>
    <s v="CENTRO"/>
    <d v="2016-05-16T00:00:00"/>
    <d v="2016-06-06T00:00:00"/>
    <x v="2"/>
    <x v="73"/>
    <x v="1"/>
    <n v="0"/>
    <x v="1"/>
    <n v="0"/>
    <n v="0"/>
    <n v="0"/>
    <x v="0"/>
    <x v="1"/>
    <n v="1"/>
  </r>
  <r>
    <n v="35783500000000"/>
    <x v="1"/>
    <x v="50"/>
    <x v="1"/>
    <s v="MONTE BELO"/>
    <d v="2016-05-16T00:00:00"/>
    <d v="2016-06-03T00:00:00"/>
    <x v="0"/>
    <x v="74"/>
    <x v="1"/>
    <n v="0"/>
    <x v="1"/>
    <n v="0"/>
    <n v="0"/>
    <n v="0"/>
    <x v="0"/>
    <x v="1"/>
    <n v="1"/>
  </r>
  <r>
    <n v="871375000000000"/>
    <x v="1"/>
    <x v="28"/>
    <x v="3"/>
    <s v="ROMAO"/>
    <d v="2016-05-16T00:00:00"/>
    <d v="2016-05-16T00:00:00"/>
    <x v="2"/>
    <x v="94"/>
    <x v="5"/>
    <n v="0"/>
    <x v="1"/>
    <n v="0"/>
    <n v="1"/>
    <n v="0"/>
    <x v="1"/>
    <x v="0"/>
    <n v="0"/>
  </r>
  <r>
    <n v="74527000000000"/>
    <x v="1"/>
    <x v="8"/>
    <x v="0"/>
    <s v="CARATOIRA"/>
    <d v="2016-05-16T00:00:00"/>
    <d v="2016-06-06T00:00:00"/>
    <x v="2"/>
    <x v="73"/>
    <x v="1"/>
    <n v="0"/>
    <x v="0"/>
    <n v="0"/>
    <n v="0"/>
    <n v="0"/>
    <x v="0"/>
    <x v="0"/>
    <n v="0"/>
  </r>
  <r>
    <n v="9496200000000"/>
    <x v="1"/>
    <x v="33"/>
    <x v="4"/>
    <s v="CENTRO"/>
    <d v="2016-05-16T00:00:00"/>
    <d v="2016-05-16T00:00:00"/>
    <x v="2"/>
    <x v="94"/>
    <x v="5"/>
    <n v="0"/>
    <x v="1"/>
    <n v="0"/>
    <n v="0"/>
    <n v="0"/>
    <x v="1"/>
    <x v="0"/>
    <n v="0"/>
  </r>
  <r>
    <n v="118178000000000"/>
    <x v="1"/>
    <x v="46"/>
    <x v="2"/>
    <s v="ILHA DO PRINCIPE"/>
    <d v="2016-05-16T00:00:00"/>
    <d v="2016-05-16T00:00:00"/>
    <x v="2"/>
    <x v="94"/>
    <x v="5"/>
    <n v="1"/>
    <x v="1"/>
    <n v="0"/>
    <n v="0"/>
    <n v="0"/>
    <x v="1"/>
    <x v="0"/>
    <n v="0"/>
  </r>
  <r>
    <n v="3952840000000"/>
    <x v="1"/>
    <x v="48"/>
    <x v="3"/>
    <s v="DO CABRAL"/>
    <d v="2016-05-16T00:00:00"/>
    <d v="2016-05-18T00:00:00"/>
    <x v="1"/>
    <x v="91"/>
    <x v="4"/>
    <n v="0"/>
    <x v="1"/>
    <n v="0"/>
    <n v="0"/>
    <n v="0"/>
    <x v="1"/>
    <x v="0"/>
    <n v="0"/>
  </r>
  <r>
    <n v="897529000000"/>
    <x v="0"/>
    <x v="54"/>
    <x v="1"/>
    <s v="ILHA DO PRINCIPE"/>
    <d v="2016-05-16T00:00:00"/>
    <d v="2016-05-30T00:00:00"/>
    <x v="2"/>
    <x v="80"/>
    <x v="2"/>
    <n v="0"/>
    <x v="1"/>
    <n v="0"/>
    <n v="0"/>
    <n v="0"/>
    <x v="0"/>
    <x v="0"/>
    <n v="0"/>
  </r>
  <r>
    <n v="1317360000000"/>
    <x v="0"/>
    <x v="87"/>
    <x v="1"/>
    <s v="BENTO FERREIRA"/>
    <d v="2016-05-16T00:00:00"/>
    <d v="2016-06-03T00:00:00"/>
    <x v="0"/>
    <x v="74"/>
    <x v="1"/>
    <n v="0"/>
    <x v="1"/>
    <n v="0"/>
    <n v="0"/>
    <n v="0"/>
    <x v="0"/>
    <x v="0"/>
    <n v="0"/>
  </r>
  <r>
    <n v="5794950000000"/>
    <x v="1"/>
    <x v="4"/>
    <x v="2"/>
    <s v="ITARARE"/>
    <d v="2016-05-16T00:00:00"/>
    <d v="2016-06-02T00:00:00"/>
    <x v="3"/>
    <x v="75"/>
    <x v="1"/>
    <n v="0"/>
    <x v="1"/>
    <n v="0"/>
    <n v="0"/>
    <n v="0"/>
    <x v="0"/>
    <x v="0"/>
    <n v="0"/>
  </r>
  <r>
    <n v="933790000000000"/>
    <x v="0"/>
    <x v="71"/>
    <x v="4"/>
    <s v="RESISTENCIA"/>
    <d v="2016-05-16T00:00:00"/>
    <d v="2016-05-24T00:00:00"/>
    <x v="4"/>
    <x v="88"/>
    <x v="2"/>
    <n v="0"/>
    <x v="1"/>
    <n v="0"/>
    <n v="0"/>
    <n v="1"/>
    <x v="0"/>
    <x v="0"/>
    <n v="0"/>
  </r>
  <r>
    <n v="54136156922"/>
    <x v="0"/>
    <x v="4"/>
    <x v="2"/>
    <s v="JESUS DE NAZARETH"/>
    <d v="2016-05-16T00:00:00"/>
    <d v="2016-05-16T00:00:00"/>
    <x v="2"/>
    <x v="94"/>
    <x v="5"/>
    <n v="0"/>
    <x v="1"/>
    <n v="0"/>
    <n v="0"/>
    <n v="0"/>
    <x v="1"/>
    <x v="0"/>
    <n v="0"/>
  </r>
  <r>
    <n v="421367000000000"/>
    <x v="0"/>
    <x v="52"/>
    <x v="2"/>
    <s v="SANTO ANTONIO"/>
    <d v="2016-05-16T00:00:00"/>
    <d v="2016-06-07T00:00:00"/>
    <x v="4"/>
    <x v="71"/>
    <x v="1"/>
    <n v="0"/>
    <x v="1"/>
    <n v="0"/>
    <n v="0"/>
    <n v="0"/>
    <x v="1"/>
    <x v="0"/>
    <n v="0"/>
  </r>
  <r>
    <n v="617752000000000"/>
    <x v="0"/>
    <x v="23"/>
    <x v="3"/>
    <s v="INHANGUETA"/>
    <d v="2016-05-16T00:00:00"/>
    <d v="2016-05-16T00:00:00"/>
    <x v="2"/>
    <x v="94"/>
    <x v="5"/>
    <n v="0"/>
    <x v="0"/>
    <n v="0"/>
    <n v="0"/>
    <n v="0"/>
    <x v="1"/>
    <x v="0"/>
    <n v="0"/>
  </r>
  <r>
    <n v="33585800000000"/>
    <x v="1"/>
    <x v="55"/>
    <x v="2"/>
    <s v="ITARARE"/>
    <d v="2016-05-16T00:00:00"/>
    <d v="2016-06-08T00:00:00"/>
    <x v="1"/>
    <x v="67"/>
    <x v="1"/>
    <n v="0"/>
    <x v="1"/>
    <n v="0"/>
    <n v="0"/>
    <n v="0"/>
    <x v="0"/>
    <x v="0"/>
    <n v="0"/>
  </r>
  <r>
    <n v="55567100000000"/>
    <x v="1"/>
    <x v="73"/>
    <x v="4"/>
    <s v="GRANDE VITORIA"/>
    <d v="2016-05-16T00:00:00"/>
    <d v="2016-05-30T00:00:00"/>
    <x v="2"/>
    <x v="80"/>
    <x v="2"/>
    <n v="0"/>
    <x v="1"/>
    <n v="0"/>
    <n v="0"/>
    <n v="0"/>
    <x v="0"/>
    <x v="0"/>
    <n v="0"/>
  </r>
  <r>
    <n v="816272000000"/>
    <x v="1"/>
    <x v="6"/>
    <x v="0"/>
    <s v="DA PENHA"/>
    <d v="2016-05-16T00:00:00"/>
    <d v="2016-05-16T00:00:00"/>
    <x v="2"/>
    <x v="94"/>
    <x v="5"/>
    <n v="0"/>
    <x v="1"/>
    <n v="0"/>
    <n v="0"/>
    <n v="0"/>
    <x v="1"/>
    <x v="0"/>
    <n v="0"/>
  </r>
  <r>
    <n v="1495370000000"/>
    <x v="0"/>
    <x v="39"/>
    <x v="4"/>
    <s v="ITARARE"/>
    <d v="2016-05-16T00:00:00"/>
    <d v="2016-05-16T00:00:00"/>
    <x v="2"/>
    <x v="94"/>
    <x v="5"/>
    <n v="0"/>
    <x v="1"/>
    <n v="0"/>
    <n v="0"/>
    <n v="0"/>
    <x v="1"/>
    <x v="0"/>
    <n v="0"/>
  </r>
  <r>
    <n v="641923000000000"/>
    <x v="0"/>
    <x v="38"/>
    <x v="4"/>
    <s v="RESISTENCIA"/>
    <d v="2016-05-16T00:00:00"/>
    <d v="2016-05-16T00:00:00"/>
    <x v="2"/>
    <x v="94"/>
    <x v="5"/>
    <n v="0"/>
    <x v="1"/>
    <n v="0"/>
    <n v="0"/>
    <n v="0"/>
    <x v="1"/>
    <x v="0"/>
    <n v="0"/>
  </r>
  <r>
    <n v="6911280000000"/>
    <x v="0"/>
    <x v="35"/>
    <x v="0"/>
    <s v="SANTO ANTONIO"/>
    <d v="2016-05-16T00:00:00"/>
    <d v="2016-06-01T00:00:00"/>
    <x v="1"/>
    <x v="78"/>
    <x v="1"/>
    <n v="0"/>
    <x v="0"/>
    <n v="1"/>
    <n v="0"/>
    <n v="0"/>
    <x v="0"/>
    <x v="0"/>
    <n v="0"/>
  </r>
  <r>
    <n v="55857500000000"/>
    <x v="0"/>
    <x v="7"/>
    <x v="3"/>
    <s v="ESTRELINHA"/>
    <d v="2016-05-16T00:00:00"/>
    <d v="2016-05-17T00:00:00"/>
    <x v="4"/>
    <x v="93"/>
    <x v="4"/>
    <n v="0"/>
    <x v="0"/>
    <n v="1"/>
    <n v="0"/>
    <n v="0"/>
    <x v="1"/>
    <x v="0"/>
    <n v="0"/>
  </r>
  <r>
    <n v="9861220000000"/>
    <x v="0"/>
    <x v="24"/>
    <x v="1"/>
    <s v="SANTO ANTONIO"/>
    <d v="2016-05-16T00:00:00"/>
    <d v="2016-05-20T00:00:00"/>
    <x v="0"/>
    <x v="86"/>
    <x v="3"/>
    <n v="0"/>
    <x v="1"/>
    <n v="0"/>
    <n v="0"/>
    <n v="0"/>
    <x v="1"/>
    <x v="0"/>
    <n v="0"/>
  </r>
  <r>
    <n v="96985400000000"/>
    <x v="1"/>
    <x v="6"/>
    <x v="0"/>
    <s v="SAO JOSE"/>
    <d v="2016-05-16T00:00:00"/>
    <d v="2016-05-16T00:00:00"/>
    <x v="2"/>
    <x v="94"/>
    <x v="5"/>
    <n v="0"/>
    <x v="0"/>
    <n v="1"/>
    <n v="1"/>
    <n v="0"/>
    <x v="1"/>
    <x v="1"/>
    <n v="1"/>
  </r>
  <r>
    <n v="6264200000000"/>
    <x v="1"/>
    <x v="36"/>
    <x v="3"/>
    <s v="JESUS DE NAZARETH"/>
    <d v="2016-05-16T00:00:00"/>
    <d v="2016-05-16T00:00:00"/>
    <x v="2"/>
    <x v="94"/>
    <x v="5"/>
    <n v="1"/>
    <x v="1"/>
    <n v="0"/>
    <n v="0"/>
    <n v="0"/>
    <x v="1"/>
    <x v="0"/>
    <n v="0"/>
  </r>
  <r>
    <n v="6973540000000"/>
    <x v="0"/>
    <x v="10"/>
    <x v="4"/>
    <s v="CENTRO"/>
    <d v="2016-05-16T00:00:00"/>
    <d v="2016-06-06T00:00:00"/>
    <x v="2"/>
    <x v="73"/>
    <x v="1"/>
    <n v="1"/>
    <x v="1"/>
    <n v="0"/>
    <n v="0"/>
    <n v="0"/>
    <x v="0"/>
    <x v="0"/>
    <n v="0"/>
  </r>
  <r>
    <n v="3956980000000"/>
    <x v="0"/>
    <x v="28"/>
    <x v="3"/>
    <s v="SANTA MARTHA"/>
    <d v="2016-05-16T00:00:00"/>
    <d v="2016-05-16T00:00:00"/>
    <x v="2"/>
    <x v="94"/>
    <x v="5"/>
    <n v="0"/>
    <x v="0"/>
    <n v="0"/>
    <n v="0"/>
    <n v="0"/>
    <x v="1"/>
    <x v="0"/>
    <n v="0"/>
  </r>
  <r>
    <n v="69322200000000"/>
    <x v="1"/>
    <x v="25"/>
    <x v="4"/>
    <s v="ESTRELINHA"/>
    <d v="2016-05-16T00:00:00"/>
    <d v="2016-05-16T00:00:00"/>
    <x v="2"/>
    <x v="94"/>
    <x v="5"/>
    <n v="0"/>
    <x v="1"/>
    <n v="0"/>
    <n v="1"/>
    <n v="0"/>
    <x v="1"/>
    <x v="0"/>
    <n v="0"/>
  </r>
  <r>
    <n v="594948000000"/>
    <x v="0"/>
    <x v="71"/>
    <x v="4"/>
    <s v="JESUS DE NAZARETH"/>
    <d v="2016-05-16T00:00:00"/>
    <d v="2016-05-16T00:00:00"/>
    <x v="2"/>
    <x v="94"/>
    <x v="5"/>
    <n v="0"/>
    <x v="1"/>
    <n v="0"/>
    <n v="0"/>
    <n v="0"/>
    <x v="1"/>
    <x v="0"/>
    <n v="0"/>
  </r>
  <r>
    <n v="746758000000000"/>
    <x v="0"/>
    <x v="58"/>
    <x v="0"/>
    <s v="SANTO ANDRE"/>
    <d v="2016-05-16T00:00:00"/>
    <d v="2016-05-17T00:00:00"/>
    <x v="4"/>
    <x v="93"/>
    <x v="4"/>
    <n v="0"/>
    <x v="0"/>
    <n v="0"/>
    <n v="0"/>
    <n v="0"/>
    <x v="1"/>
    <x v="0"/>
    <n v="0"/>
  </r>
  <r>
    <n v="591848000000"/>
    <x v="0"/>
    <x v="28"/>
    <x v="3"/>
    <s v="SANTO ANTONIO"/>
    <d v="2016-05-16T00:00:00"/>
    <d v="2016-06-02T00:00:00"/>
    <x v="3"/>
    <x v="75"/>
    <x v="1"/>
    <n v="0"/>
    <x v="1"/>
    <n v="0"/>
    <n v="0"/>
    <n v="0"/>
    <x v="0"/>
    <x v="1"/>
    <n v="1"/>
  </r>
  <r>
    <n v="228690000000000"/>
    <x v="0"/>
    <x v="72"/>
    <x v="5"/>
    <s v="REPUBLICA"/>
    <d v="2016-05-16T00:00:00"/>
    <d v="2016-05-16T00:00:00"/>
    <x v="2"/>
    <x v="94"/>
    <x v="5"/>
    <n v="0"/>
    <x v="1"/>
    <n v="0"/>
    <n v="0"/>
    <n v="0"/>
    <x v="1"/>
    <x v="0"/>
    <n v="0"/>
  </r>
  <r>
    <n v="928548000000"/>
    <x v="0"/>
    <x v="27"/>
    <x v="3"/>
    <s v="MATA DA PRAIA"/>
    <d v="2016-05-16T00:00:00"/>
    <d v="2016-05-19T00:00:00"/>
    <x v="3"/>
    <x v="89"/>
    <x v="4"/>
    <n v="0"/>
    <x v="1"/>
    <n v="0"/>
    <n v="0"/>
    <n v="0"/>
    <x v="1"/>
    <x v="0"/>
    <n v="0"/>
  </r>
  <r>
    <n v="1637470000000"/>
    <x v="0"/>
    <x v="77"/>
    <x v="4"/>
    <s v="SANTO ANTONIO"/>
    <d v="2016-05-16T00:00:00"/>
    <d v="2016-05-16T00:00:00"/>
    <x v="2"/>
    <x v="94"/>
    <x v="5"/>
    <n v="0"/>
    <x v="1"/>
    <n v="0"/>
    <n v="0"/>
    <n v="0"/>
    <x v="1"/>
    <x v="0"/>
    <n v="0"/>
  </r>
  <r>
    <n v="76442600000000"/>
    <x v="0"/>
    <x v="44"/>
    <x v="4"/>
    <s v="MARIO CYPRESTE"/>
    <d v="2016-05-16T00:00:00"/>
    <d v="2016-05-16T00:00:00"/>
    <x v="2"/>
    <x v="94"/>
    <x v="5"/>
    <n v="0"/>
    <x v="1"/>
    <n v="0"/>
    <n v="0"/>
    <n v="0"/>
    <x v="1"/>
    <x v="0"/>
    <n v="0"/>
  </r>
  <r>
    <n v="38613600000000"/>
    <x v="0"/>
    <x v="76"/>
    <x v="0"/>
    <s v="MARUIPE"/>
    <d v="2016-05-16T00:00:00"/>
    <d v="2016-06-08T00:00:00"/>
    <x v="1"/>
    <x v="67"/>
    <x v="1"/>
    <n v="0"/>
    <x v="1"/>
    <n v="0"/>
    <n v="0"/>
    <n v="0"/>
    <x v="0"/>
    <x v="1"/>
    <n v="1"/>
  </r>
  <r>
    <n v="6756340000000"/>
    <x v="1"/>
    <x v="72"/>
    <x v="5"/>
    <s v="FORTE SAO JOAO"/>
    <d v="2016-05-16T00:00:00"/>
    <d v="2016-05-17T00:00:00"/>
    <x v="4"/>
    <x v="93"/>
    <x v="4"/>
    <n v="0"/>
    <x v="1"/>
    <n v="0"/>
    <n v="0"/>
    <n v="0"/>
    <x v="1"/>
    <x v="0"/>
    <n v="0"/>
  </r>
  <r>
    <n v="62929800000000"/>
    <x v="0"/>
    <x v="76"/>
    <x v="0"/>
    <s v="SANTO ANTONIO"/>
    <d v="2016-05-16T00:00:00"/>
    <d v="2016-06-08T00:00:00"/>
    <x v="1"/>
    <x v="67"/>
    <x v="1"/>
    <n v="0"/>
    <x v="1"/>
    <n v="0"/>
    <n v="0"/>
    <n v="0"/>
    <x v="0"/>
    <x v="0"/>
    <n v="0"/>
  </r>
  <r>
    <n v="2888980000000"/>
    <x v="1"/>
    <x v="4"/>
    <x v="2"/>
    <s v="JARDIM CAMBURI"/>
    <d v="2016-05-16T00:00:00"/>
    <d v="2016-05-16T00:00:00"/>
    <x v="2"/>
    <x v="94"/>
    <x v="5"/>
    <n v="0"/>
    <x v="1"/>
    <n v="0"/>
    <n v="0"/>
    <n v="0"/>
    <x v="1"/>
    <x v="0"/>
    <n v="0"/>
  </r>
  <r>
    <n v="9943720000000"/>
    <x v="1"/>
    <x v="87"/>
    <x v="1"/>
    <s v="SAO CRISTOVAO"/>
    <d v="2016-05-16T00:00:00"/>
    <d v="2016-05-16T00:00:00"/>
    <x v="2"/>
    <x v="94"/>
    <x v="5"/>
    <n v="0"/>
    <x v="1"/>
    <n v="0"/>
    <n v="0"/>
    <n v="0"/>
    <x v="1"/>
    <x v="0"/>
    <n v="0"/>
  </r>
  <r>
    <n v="63618800000000"/>
    <x v="0"/>
    <x v="73"/>
    <x v="4"/>
    <s v="CARATOIRA"/>
    <d v="2016-05-16T00:00:00"/>
    <d v="2016-06-01T00:00:00"/>
    <x v="1"/>
    <x v="78"/>
    <x v="1"/>
    <n v="0"/>
    <x v="1"/>
    <n v="0"/>
    <n v="0"/>
    <n v="0"/>
    <x v="0"/>
    <x v="1"/>
    <n v="1"/>
  </r>
  <r>
    <n v="829459000000"/>
    <x v="0"/>
    <x v="45"/>
    <x v="1"/>
    <s v="PRAIA DO CANTO"/>
    <d v="2016-05-16T00:00:00"/>
    <d v="2016-06-01T00:00:00"/>
    <x v="1"/>
    <x v="78"/>
    <x v="1"/>
    <n v="0"/>
    <x v="1"/>
    <n v="0"/>
    <n v="0"/>
    <n v="0"/>
    <x v="0"/>
    <x v="0"/>
    <n v="0"/>
  </r>
  <r>
    <n v="62843100000000"/>
    <x v="0"/>
    <x v="4"/>
    <x v="2"/>
    <s v="NAZARETH"/>
    <d v="2016-05-16T00:00:00"/>
    <d v="2016-05-17T00:00:00"/>
    <x v="4"/>
    <x v="93"/>
    <x v="4"/>
    <n v="0"/>
    <x v="1"/>
    <n v="0"/>
    <n v="0"/>
    <n v="0"/>
    <x v="1"/>
    <x v="0"/>
    <n v="0"/>
  </r>
  <r>
    <n v="54852600000000"/>
    <x v="0"/>
    <x v="17"/>
    <x v="4"/>
    <s v="PRAIA DO SUA"/>
    <d v="2016-05-16T00:00:00"/>
    <d v="2016-05-16T00:00:00"/>
    <x v="2"/>
    <x v="94"/>
    <x v="5"/>
    <n v="0"/>
    <x v="1"/>
    <n v="0"/>
    <n v="0"/>
    <n v="0"/>
    <x v="1"/>
    <x v="0"/>
    <n v="0"/>
  </r>
  <r>
    <n v="58135649772"/>
    <x v="1"/>
    <x v="65"/>
    <x v="2"/>
    <s v="RESISTENCIA"/>
    <d v="2016-05-16T00:00:00"/>
    <d v="2016-05-16T00:00:00"/>
    <x v="2"/>
    <x v="94"/>
    <x v="5"/>
    <n v="0"/>
    <x v="1"/>
    <n v="0"/>
    <n v="0"/>
    <n v="0"/>
    <x v="1"/>
    <x v="0"/>
    <n v="0"/>
  </r>
  <r>
    <n v="8425860000000"/>
    <x v="1"/>
    <x v="19"/>
    <x v="2"/>
    <s v="JABOUR"/>
    <d v="2016-05-16T00:00:00"/>
    <d v="2016-06-06T00:00:00"/>
    <x v="2"/>
    <x v="73"/>
    <x v="1"/>
    <n v="0"/>
    <x v="1"/>
    <n v="0"/>
    <n v="0"/>
    <n v="0"/>
    <x v="0"/>
    <x v="0"/>
    <n v="0"/>
  </r>
  <r>
    <n v="3135196176"/>
    <x v="0"/>
    <x v="52"/>
    <x v="2"/>
    <s v="CRUZAMENTO"/>
    <d v="2016-05-16T00:00:00"/>
    <d v="2016-05-16T00:00:00"/>
    <x v="2"/>
    <x v="94"/>
    <x v="5"/>
    <n v="0"/>
    <x v="1"/>
    <n v="0"/>
    <n v="0"/>
    <n v="0"/>
    <x v="1"/>
    <x v="0"/>
    <n v="0"/>
  </r>
  <r>
    <n v="4424180000000"/>
    <x v="0"/>
    <x v="8"/>
    <x v="0"/>
    <s v="SANTO ANTONIO"/>
    <d v="2016-05-16T00:00:00"/>
    <d v="2016-06-07T00:00:00"/>
    <x v="4"/>
    <x v="71"/>
    <x v="1"/>
    <n v="0"/>
    <x v="1"/>
    <n v="0"/>
    <n v="0"/>
    <n v="0"/>
    <x v="1"/>
    <x v="0"/>
    <n v="0"/>
  </r>
  <r>
    <n v="1543750000000"/>
    <x v="1"/>
    <x v="37"/>
    <x v="3"/>
    <s v="JARDIM DA PENHA"/>
    <d v="2016-05-16T00:00:00"/>
    <d v="2016-05-16T00:00:00"/>
    <x v="2"/>
    <x v="94"/>
    <x v="5"/>
    <n v="0"/>
    <x v="1"/>
    <n v="0"/>
    <n v="0"/>
    <n v="0"/>
    <x v="1"/>
    <x v="0"/>
    <n v="0"/>
  </r>
  <r>
    <n v="533577000000000"/>
    <x v="1"/>
    <x v="49"/>
    <x v="4"/>
    <s v="BARRO VERMELHO"/>
    <d v="2016-05-16T00:00:00"/>
    <d v="2016-05-16T00:00:00"/>
    <x v="2"/>
    <x v="94"/>
    <x v="5"/>
    <n v="0"/>
    <x v="1"/>
    <n v="0"/>
    <n v="0"/>
    <n v="0"/>
    <x v="1"/>
    <x v="0"/>
    <n v="0"/>
  </r>
  <r>
    <n v="38864000000000"/>
    <x v="1"/>
    <x v="6"/>
    <x v="0"/>
    <s v="PIEDADE"/>
    <d v="2016-05-16T00:00:00"/>
    <d v="2016-05-16T00:00:00"/>
    <x v="2"/>
    <x v="94"/>
    <x v="5"/>
    <n v="0"/>
    <x v="0"/>
    <n v="1"/>
    <n v="0"/>
    <n v="0"/>
    <x v="1"/>
    <x v="0"/>
    <n v="0"/>
  </r>
  <r>
    <n v="1366450000000"/>
    <x v="0"/>
    <x v="92"/>
    <x v="0"/>
    <s v="SANTA LUIZA"/>
    <d v="2016-05-16T00:00:00"/>
    <d v="2016-06-01T00:00:00"/>
    <x v="1"/>
    <x v="78"/>
    <x v="1"/>
    <n v="0"/>
    <x v="0"/>
    <n v="0"/>
    <n v="0"/>
    <n v="0"/>
    <x v="0"/>
    <x v="1"/>
    <n v="1"/>
  </r>
  <r>
    <n v="23286800000000"/>
    <x v="1"/>
    <x v="12"/>
    <x v="3"/>
    <s v="ITARARE"/>
    <d v="2016-05-16T00:00:00"/>
    <d v="2016-06-07T00:00:00"/>
    <x v="4"/>
    <x v="71"/>
    <x v="1"/>
    <n v="0"/>
    <x v="0"/>
    <n v="0"/>
    <n v="0"/>
    <n v="0"/>
    <x v="0"/>
    <x v="0"/>
    <n v="0"/>
  </r>
  <r>
    <n v="13162800000000"/>
    <x v="0"/>
    <x v="69"/>
    <x v="4"/>
    <s v="DA PENHA"/>
    <d v="2016-05-16T00:00:00"/>
    <d v="2016-05-18T00:00:00"/>
    <x v="1"/>
    <x v="91"/>
    <x v="4"/>
    <n v="1"/>
    <x v="0"/>
    <n v="0"/>
    <n v="0"/>
    <n v="0"/>
    <x v="1"/>
    <x v="0"/>
    <n v="0"/>
  </r>
  <r>
    <n v="2384640000000"/>
    <x v="0"/>
    <x v="30"/>
    <x v="3"/>
    <s v="ANTONIO HONORIO"/>
    <d v="2016-05-16T00:00:00"/>
    <d v="2016-05-18T00:00:00"/>
    <x v="1"/>
    <x v="91"/>
    <x v="4"/>
    <n v="0"/>
    <x v="1"/>
    <n v="0"/>
    <n v="0"/>
    <n v="0"/>
    <x v="1"/>
    <x v="1"/>
    <n v="1"/>
  </r>
  <r>
    <n v="46999500000000"/>
    <x v="0"/>
    <x v="23"/>
    <x v="3"/>
    <s v="SAO CRISTOVAO"/>
    <d v="2016-05-16T00:00:00"/>
    <d v="2016-05-17T00:00:00"/>
    <x v="4"/>
    <x v="93"/>
    <x v="4"/>
    <n v="0"/>
    <x v="0"/>
    <n v="0"/>
    <n v="0"/>
    <n v="0"/>
    <x v="1"/>
    <x v="1"/>
    <n v="1"/>
  </r>
  <r>
    <n v="46947000000000"/>
    <x v="0"/>
    <x v="77"/>
    <x v="4"/>
    <s v="GRANDE VITORIA"/>
    <d v="2016-05-16T00:00:00"/>
    <d v="2016-06-06T00:00:00"/>
    <x v="2"/>
    <x v="73"/>
    <x v="1"/>
    <n v="1"/>
    <x v="1"/>
    <n v="0"/>
    <n v="0"/>
    <n v="0"/>
    <x v="0"/>
    <x v="0"/>
    <n v="0"/>
  </r>
  <r>
    <n v="7751920000000"/>
    <x v="1"/>
    <x v="9"/>
    <x v="0"/>
    <s v="MARIA ORTIZ"/>
    <d v="2016-05-16T00:00:00"/>
    <d v="2016-05-18T00:00:00"/>
    <x v="1"/>
    <x v="91"/>
    <x v="4"/>
    <n v="0"/>
    <x v="1"/>
    <n v="0"/>
    <n v="0"/>
    <n v="0"/>
    <x v="1"/>
    <x v="1"/>
    <n v="1"/>
  </r>
  <r>
    <n v="48796900000000"/>
    <x v="0"/>
    <x v="28"/>
    <x v="3"/>
    <s v="SANTO ANTONIO"/>
    <d v="2016-05-16T00:00:00"/>
    <d v="2016-06-08T00:00:00"/>
    <x v="1"/>
    <x v="67"/>
    <x v="1"/>
    <n v="0"/>
    <x v="0"/>
    <n v="1"/>
    <n v="0"/>
    <n v="0"/>
    <x v="0"/>
    <x v="0"/>
    <n v="0"/>
  </r>
  <r>
    <n v="58869500000000"/>
    <x v="0"/>
    <x v="28"/>
    <x v="3"/>
    <s v="JARDIM CAMBURI"/>
    <d v="2016-05-16T00:00:00"/>
    <d v="2016-05-19T00:00:00"/>
    <x v="3"/>
    <x v="89"/>
    <x v="4"/>
    <n v="0"/>
    <x v="1"/>
    <n v="0"/>
    <n v="0"/>
    <n v="0"/>
    <x v="1"/>
    <x v="0"/>
    <n v="0"/>
  </r>
  <r>
    <n v="9452750000000"/>
    <x v="1"/>
    <x v="36"/>
    <x v="3"/>
    <s v="JUCUTUQUARA"/>
    <d v="2016-05-16T00:00:00"/>
    <d v="2016-05-16T00:00:00"/>
    <x v="2"/>
    <x v="94"/>
    <x v="5"/>
    <n v="0"/>
    <x v="1"/>
    <n v="0"/>
    <n v="0"/>
    <n v="0"/>
    <x v="1"/>
    <x v="0"/>
    <n v="0"/>
  </r>
  <r>
    <n v="68954500000000"/>
    <x v="0"/>
    <x v="61"/>
    <x v="1"/>
    <s v="BELA VISTA"/>
    <d v="2016-05-16T00:00:00"/>
    <d v="2016-05-18T00:00:00"/>
    <x v="1"/>
    <x v="91"/>
    <x v="4"/>
    <n v="0"/>
    <x v="1"/>
    <n v="0"/>
    <n v="0"/>
    <n v="0"/>
    <x v="1"/>
    <x v="0"/>
    <n v="0"/>
  </r>
  <r>
    <n v="924918000000000"/>
    <x v="0"/>
    <x v="23"/>
    <x v="3"/>
    <s v="ITARARE"/>
    <d v="2016-05-16T00:00:00"/>
    <d v="2016-06-07T00:00:00"/>
    <x v="4"/>
    <x v="71"/>
    <x v="1"/>
    <n v="1"/>
    <x v="1"/>
    <n v="0"/>
    <n v="0"/>
    <n v="0"/>
    <x v="0"/>
    <x v="1"/>
    <n v="1"/>
  </r>
  <r>
    <n v="68121325459"/>
    <x v="0"/>
    <x v="55"/>
    <x v="2"/>
    <s v="ILHA DE SANTA MARIA"/>
    <d v="2016-05-16T00:00:00"/>
    <d v="2016-05-18T00:00:00"/>
    <x v="1"/>
    <x v="91"/>
    <x v="4"/>
    <n v="0"/>
    <x v="1"/>
    <n v="0"/>
    <n v="0"/>
    <n v="0"/>
    <x v="1"/>
    <x v="0"/>
    <n v="0"/>
  </r>
  <r>
    <n v="52749900000000"/>
    <x v="0"/>
    <x v="66"/>
    <x v="2"/>
    <s v="MARIA ORTIZ"/>
    <d v="2016-05-16T00:00:00"/>
    <d v="2016-05-16T00:00:00"/>
    <x v="2"/>
    <x v="94"/>
    <x v="5"/>
    <n v="0"/>
    <x v="1"/>
    <n v="0"/>
    <n v="0"/>
    <n v="0"/>
    <x v="1"/>
    <x v="0"/>
    <n v="0"/>
  </r>
  <r>
    <n v="2214170000000"/>
    <x v="0"/>
    <x v="9"/>
    <x v="0"/>
    <s v="SANTA LUIZA"/>
    <d v="2016-05-16T00:00:00"/>
    <d v="2016-05-24T00:00:00"/>
    <x v="4"/>
    <x v="88"/>
    <x v="2"/>
    <n v="0"/>
    <x v="0"/>
    <n v="0"/>
    <n v="0"/>
    <n v="0"/>
    <x v="1"/>
    <x v="0"/>
    <n v="0"/>
  </r>
  <r>
    <n v="4345670000000"/>
    <x v="1"/>
    <x v="37"/>
    <x v="3"/>
    <s v="ITARARE"/>
    <d v="2016-05-16T00:00:00"/>
    <d v="2016-06-06T00:00:00"/>
    <x v="2"/>
    <x v="73"/>
    <x v="1"/>
    <n v="0"/>
    <x v="0"/>
    <n v="0"/>
    <n v="1"/>
    <n v="0"/>
    <x v="0"/>
    <x v="0"/>
    <n v="0"/>
  </r>
  <r>
    <n v="39885900000000"/>
    <x v="0"/>
    <x v="49"/>
    <x v="4"/>
    <s v="MARIA ORTIZ"/>
    <d v="2016-05-16T00:00:00"/>
    <d v="2016-06-08T00:00:00"/>
    <x v="1"/>
    <x v="67"/>
    <x v="1"/>
    <n v="0"/>
    <x v="1"/>
    <n v="0"/>
    <n v="0"/>
    <n v="0"/>
    <x v="0"/>
    <x v="1"/>
    <n v="1"/>
  </r>
  <r>
    <n v="853440000000000"/>
    <x v="0"/>
    <x v="50"/>
    <x v="1"/>
    <s v="ILHA DE SANTA MARIA"/>
    <d v="2016-05-16T00:00:00"/>
    <d v="2016-05-16T00:00:00"/>
    <x v="2"/>
    <x v="94"/>
    <x v="5"/>
    <n v="0"/>
    <x v="1"/>
    <n v="0"/>
    <n v="0"/>
    <n v="0"/>
    <x v="1"/>
    <x v="0"/>
    <n v="0"/>
  </r>
  <r>
    <n v="7478370000000"/>
    <x v="0"/>
    <x v="65"/>
    <x v="2"/>
    <s v="PRAIA DO SUA"/>
    <d v="2016-05-16T00:00:00"/>
    <d v="2016-06-01T00:00:00"/>
    <x v="1"/>
    <x v="78"/>
    <x v="1"/>
    <n v="0"/>
    <x v="1"/>
    <n v="0"/>
    <n v="0"/>
    <n v="0"/>
    <x v="0"/>
    <x v="0"/>
    <n v="0"/>
  </r>
  <r>
    <n v="186839000000000"/>
    <x v="0"/>
    <x v="5"/>
    <x v="1"/>
    <s v="BENTO FERREIRA"/>
    <d v="2016-05-16T00:00:00"/>
    <d v="2016-05-30T00:00:00"/>
    <x v="2"/>
    <x v="80"/>
    <x v="2"/>
    <n v="0"/>
    <x v="1"/>
    <n v="0"/>
    <n v="0"/>
    <n v="0"/>
    <x v="0"/>
    <x v="0"/>
    <n v="0"/>
  </r>
  <r>
    <n v="7673990000000"/>
    <x v="0"/>
    <x v="10"/>
    <x v="4"/>
    <s v="MARIA ORTIZ"/>
    <d v="2016-05-16T00:00:00"/>
    <d v="2016-05-16T00:00:00"/>
    <x v="2"/>
    <x v="94"/>
    <x v="5"/>
    <n v="0"/>
    <x v="1"/>
    <n v="0"/>
    <n v="0"/>
    <n v="0"/>
    <x v="1"/>
    <x v="0"/>
    <n v="0"/>
  </r>
  <r>
    <n v="476249000000000"/>
    <x v="0"/>
    <x v="12"/>
    <x v="3"/>
    <s v="DO CABRAL"/>
    <d v="2016-05-16T00:00:00"/>
    <d v="2016-05-19T00:00:00"/>
    <x v="3"/>
    <x v="89"/>
    <x v="4"/>
    <n v="0"/>
    <x v="1"/>
    <n v="0"/>
    <n v="0"/>
    <n v="0"/>
    <x v="1"/>
    <x v="1"/>
    <n v="1"/>
  </r>
  <r>
    <n v="94864200000000"/>
    <x v="0"/>
    <x v="72"/>
    <x v="5"/>
    <s v="SAO CRISTOVAO"/>
    <d v="2016-05-16T00:00:00"/>
    <d v="2016-05-31T00:00:00"/>
    <x v="4"/>
    <x v="79"/>
    <x v="1"/>
    <n v="0"/>
    <x v="1"/>
    <n v="0"/>
    <n v="0"/>
    <n v="0"/>
    <x v="1"/>
    <x v="0"/>
    <n v="0"/>
  </r>
  <r>
    <n v="54171516151"/>
    <x v="0"/>
    <x v="76"/>
    <x v="0"/>
    <s v="SANTO ANTONIO"/>
    <d v="2016-05-16T00:00:00"/>
    <d v="2016-06-07T00:00:00"/>
    <x v="4"/>
    <x v="71"/>
    <x v="1"/>
    <n v="0"/>
    <x v="1"/>
    <n v="0"/>
    <n v="0"/>
    <n v="0"/>
    <x v="1"/>
    <x v="1"/>
    <n v="1"/>
  </r>
  <r>
    <n v="2125170000000"/>
    <x v="1"/>
    <x v="30"/>
    <x v="3"/>
    <s v="JARDIM DA PENHA"/>
    <d v="2016-05-16T00:00:00"/>
    <d v="2016-05-16T00:00:00"/>
    <x v="2"/>
    <x v="94"/>
    <x v="5"/>
    <n v="0"/>
    <x v="1"/>
    <n v="0"/>
    <n v="0"/>
    <n v="0"/>
    <x v="1"/>
    <x v="0"/>
    <n v="0"/>
  </r>
  <r>
    <n v="112912000000"/>
    <x v="1"/>
    <x v="50"/>
    <x v="1"/>
    <s v="SANTO ANTONIO"/>
    <d v="2016-05-16T00:00:00"/>
    <d v="2016-06-08T00:00:00"/>
    <x v="1"/>
    <x v="67"/>
    <x v="1"/>
    <n v="0"/>
    <x v="1"/>
    <n v="0"/>
    <n v="0"/>
    <n v="0"/>
    <x v="0"/>
    <x v="0"/>
    <n v="0"/>
  </r>
  <r>
    <n v="8487940000000"/>
    <x v="1"/>
    <x v="78"/>
    <x v="0"/>
    <s v="ITARARE"/>
    <d v="2016-05-16T00:00:00"/>
    <d v="2016-06-03T00:00:00"/>
    <x v="0"/>
    <x v="74"/>
    <x v="1"/>
    <n v="0"/>
    <x v="0"/>
    <n v="0"/>
    <n v="0"/>
    <n v="1"/>
    <x v="0"/>
    <x v="1"/>
    <n v="1"/>
  </r>
  <r>
    <n v="413856000000"/>
    <x v="0"/>
    <x v="50"/>
    <x v="1"/>
    <s v="JABOUR"/>
    <d v="2016-05-16T00:00:00"/>
    <d v="2016-05-16T00:00:00"/>
    <x v="2"/>
    <x v="94"/>
    <x v="5"/>
    <n v="0"/>
    <x v="1"/>
    <n v="0"/>
    <n v="0"/>
    <n v="0"/>
    <x v="1"/>
    <x v="0"/>
    <n v="0"/>
  </r>
  <r>
    <n v="7788420000000"/>
    <x v="0"/>
    <x v="75"/>
    <x v="5"/>
    <s v="SAO BENEDITO"/>
    <d v="2016-05-16T00:00:00"/>
    <d v="2016-05-20T00:00:00"/>
    <x v="0"/>
    <x v="86"/>
    <x v="3"/>
    <n v="0"/>
    <x v="1"/>
    <n v="0"/>
    <n v="0"/>
    <n v="0"/>
    <x v="1"/>
    <x v="0"/>
    <n v="0"/>
  </r>
  <r>
    <n v="78794700000000"/>
    <x v="0"/>
    <x v="25"/>
    <x v="4"/>
    <s v="CARATOIRA"/>
    <d v="2016-05-16T00:00:00"/>
    <d v="2016-05-30T00:00:00"/>
    <x v="2"/>
    <x v="80"/>
    <x v="2"/>
    <n v="1"/>
    <x v="1"/>
    <n v="0"/>
    <n v="0"/>
    <n v="0"/>
    <x v="0"/>
    <x v="1"/>
    <n v="1"/>
  </r>
  <r>
    <n v="435892000000000"/>
    <x v="0"/>
    <x v="42"/>
    <x v="3"/>
    <s v="GURIGICA"/>
    <d v="2016-05-16T00:00:00"/>
    <d v="2016-05-30T00:00:00"/>
    <x v="2"/>
    <x v="80"/>
    <x v="2"/>
    <n v="0"/>
    <x v="1"/>
    <n v="0"/>
    <n v="0"/>
    <n v="0"/>
    <x v="1"/>
    <x v="1"/>
    <n v="1"/>
  </r>
  <r>
    <n v="9578710000000"/>
    <x v="1"/>
    <x v="59"/>
    <x v="2"/>
    <s v="ANDORINHAS"/>
    <d v="2016-05-16T00:00:00"/>
    <d v="2016-05-30T00:00:00"/>
    <x v="2"/>
    <x v="80"/>
    <x v="2"/>
    <n v="0"/>
    <x v="1"/>
    <n v="0"/>
    <n v="0"/>
    <n v="0"/>
    <x v="1"/>
    <x v="0"/>
    <n v="0"/>
  </r>
  <r>
    <n v="23939400000000"/>
    <x v="0"/>
    <x v="32"/>
    <x v="4"/>
    <s v="JARDIM CAMBURI"/>
    <d v="2016-05-16T00:00:00"/>
    <d v="2016-05-19T00:00:00"/>
    <x v="3"/>
    <x v="89"/>
    <x v="4"/>
    <n v="0"/>
    <x v="1"/>
    <n v="0"/>
    <n v="0"/>
    <n v="0"/>
    <x v="1"/>
    <x v="0"/>
    <n v="0"/>
  </r>
  <r>
    <n v="3639420000000"/>
    <x v="1"/>
    <x v="59"/>
    <x v="2"/>
    <s v="ITARARE"/>
    <d v="2016-05-16T00:00:00"/>
    <d v="2016-05-25T00:00:00"/>
    <x v="1"/>
    <x v="85"/>
    <x v="2"/>
    <n v="0"/>
    <x v="1"/>
    <n v="0"/>
    <n v="0"/>
    <n v="0"/>
    <x v="0"/>
    <x v="0"/>
    <n v="0"/>
  </r>
  <r>
    <n v="1345270000000"/>
    <x v="0"/>
    <x v="41"/>
    <x v="4"/>
    <s v="FORTE SAO JOAO"/>
    <d v="2016-05-16T00:00:00"/>
    <d v="2016-05-16T00:00:00"/>
    <x v="2"/>
    <x v="94"/>
    <x v="5"/>
    <n v="1"/>
    <x v="0"/>
    <n v="0"/>
    <n v="0"/>
    <n v="0"/>
    <x v="1"/>
    <x v="0"/>
    <n v="0"/>
  </r>
  <r>
    <n v="863918000000"/>
    <x v="0"/>
    <x v="25"/>
    <x v="4"/>
    <s v="ITARARE"/>
    <d v="2016-05-16T00:00:00"/>
    <d v="2016-05-30T00:00:00"/>
    <x v="2"/>
    <x v="80"/>
    <x v="2"/>
    <n v="0"/>
    <x v="1"/>
    <n v="0"/>
    <n v="0"/>
    <n v="0"/>
    <x v="0"/>
    <x v="0"/>
    <n v="0"/>
  </r>
  <r>
    <n v="5635460000000"/>
    <x v="0"/>
    <x v="29"/>
    <x v="3"/>
    <s v="SANTO ANTONIO"/>
    <d v="2016-05-16T00:00:00"/>
    <d v="2016-06-06T00:00:00"/>
    <x v="2"/>
    <x v="73"/>
    <x v="1"/>
    <n v="0"/>
    <x v="1"/>
    <n v="0"/>
    <n v="0"/>
    <n v="0"/>
    <x v="0"/>
    <x v="1"/>
    <n v="1"/>
  </r>
  <r>
    <n v="9591270000000"/>
    <x v="0"/>
    <x v="9"/>
    <x v="0"/>
    <s v="DO QUADRO"/>
    <d v="2016-05-16T00:00:00"/>
    <d v="2016-05-16T00:00:00"/>
    <x v="2"/>
    <x v="94"/>
    <x v="5"/>
    <n v="0"/>
    <x v="0"/>
    <n v="1"/>
    <n v="0"/>
    <n v="0"/>
    <x v="1"/>
    <x v="0"/>
    <n v="0"/>
  </r>
  <r>
    <n v="97787700000000"/>
    <x v="1"/>
    <x v="28"/>
    <x v="3"/>
    <s v="DO CABRAL"/>
    <d v="2016-05-16T00:00:00"/>
    <d v="2016-05-16T00:00:00"/>
    <x v="2"/>
    <x v="94"/>
    <x v="5"/>
    <n v="1"/>
    <x v="1"/>
    <n v="0"/>
    <n v="0"/>
    <n v="0"/>
    <x v="1"/>
    <x v="0"/>
    <n v="0"/>
  </r>
  <r>
    <n v="412878000000"/>
    <x v="1"/>
    <x v="23"/>
    <x v="3"/>
    <s v="CONSOLACAO"/>
    <d v="2016-05-16T00:00:00"/>
    <d v="2016-05-19T00:00:00"/>
    <x v="3"/>
    <x v="89"/>
    <x v="4"/>
    <n v="0"/>
    <x v="0"/>
    <n v="0"/>
    <n v="0"/>
    <n v="0"/>
    <x v="1"/>
    <x v="1"/>
    <n v="1"/>
  </r>
  <r>
    <n v="4386710000000"/>
    <x v="0"/>
    <x v="89"/>
    <x v="0"/>
    <s v="SANTOS DUMONT"/>
    <d v="2016-05-16T00:00:00"/>
    <d v="2016-05-18T00:00:00"/>
    <x v="1"/>
    <x v="91"/>
    <x v="4"/>
    <n v="0"/>
    <x v="0"/>
    <n v="0"/>
    <n v="0"/>
    <n v="0"/>
    <x v="1"/>
    <x v="0"/>
    <n v="0"/>
  </r>
  <r>
    <n v="8822860000000"/>
    <x v="1"/>
    <x v="59"/>
    <x v="2"/>
    <s v="CARATOIRA"/>
    <d v="2016-05-16T00:00:00"/>
    <d v="2016-05-16T00:00:00"/>
    <x v="2"/>
    <x v="94"/>
    <x v="5"/>
    <n v="1"/>
    <x v="1"/>
    <n v="0"/>
    <n v="0"/>
    <n v="0"/>
    <x v="1"/>
    <x v="0"/>
    <n v="0"/>
  </r>
  <r>
    <n v="1278590000000"/>
    <x v="0"/>
    <x v="37"/>
    <x v="3"/>
    <s v="CONSOLACAO"/>
    <d v="2016-05-16T00:00:00"/>
    <d v="2016-05-19T00:00:00"/>
    <x v="3"/>
    <x v="89"/>
    <x v="4"/>
    <n v="1"/>
    <x v="0"/>
    <n v="0"/>
    <n v="0"/>
    <n v="0"/>
    <x v="1"/>
    <x v="0"/>
    <n v="0"/>
  </r>
  <r>
    <n v="86351900000000"/>
    <x v="0"/>
    <x v="7"/>
    <x v="3"/>
    <s v="JARDIM DA PENHA"/>
    <d v="2016-05-16T00:00:00"/>
    <d v="2016-05-18T00:00:00"/>
    <x v="1"/>
    <x v="91"/>
    <x v="4"/>
    <n v="0"/>
    <x v="0"/>
    <n v="1"/>
    <n v="0"/>
    <n v="0"/>
    <x v="1"/>
    <x v="0"/>
    <n v="0"/>
  </r>
  <r>
    <n v="69994400000000"/>
    <x v="0"/>
    <x v="15"/>
    <x v="3"/>
    <s v="JARDIM CAMBURI"/>
    <d v="2016-05-16T00:00:00"/>
    <d v="2016-05-19T00:00:00"/>
    <x v="3"/>
    <x v="89"/>
    <x v="4"/>
    <n v="0"/>
    <x v="1"/>
    <n v="0"/>
    <n v="0"/>
    <n v="0"/>
    <x v="1"/>
    <x v="0"/>
    <n v="0"/>
  </r>
  <r>
    <n v="4172460000000"/>
    <x v="0"/>
    <x v="29"/>
    <x v="3"/>
    <s v="JARDIM CAMBURI"/>
    <d v="2016-05-16T00:00:00"/>
    <d v="2016-05-18T00:00:00"/>
    <x v="1"/>
    <x v="91"/>
    <x v="4"/>
    <n v="0"/>
    <x v="1"/>
    <n v="0"/>
    <n v="0"/>
    <n v="0"/>
    <x v="1"/>
    <x v="1"/>
    <n v="1"/>
  </r>
  <r>
    <n v="8734500000000"/>
    <x v="0"/>
    <x v="49"/>
    <x v="4"/>
    <s v="MARIA ORTIZ"/>
    <d v="2016-05-16T00:00:00"/>
    <d v="2016-05-31T00:00:00"/>
    <x v="4"/>
    <x v="79"/>
    <x v="1"/>
    <n v="0"/>
    <x v="1"/>
    <n v="0"/>
    <n v="0"/>
    <n v="0"/>
    <x v="1"/>
    <x v="1"/>
    <n v="1"/>
  </r>
  <r>
    <n v="8634160000000"/>
    <x v="1"/>
    <x v="87"/>
    <x v="1"/>
    <s v="JUCUTUQUARA"/>
    <d v="2016-05-16T00:00:00"/>
    <d v="2016-05-16T00:00:00"/>
    <x v="2"/>
    <x v="94"/>
    <x v="5"/>
    <n v="0"/>
    <x v="1"/>
    <n v="0"/>
    <n v="0"/>
    <n v="0"/>
    <x v="1"/>
    <x v="0"/>
    <n v="0"/>
  </r>
  <r>
    <n v="118893000000"/>
    <x v="0"/>
    <x v="64"/>
    <x v="3"/>
    <s v="DO QUADRO"/>
    <d v="2016-05-16T00:00:00"/>
    <d v="2016-05-16T00:00:00"/>
    <x v="2"/>
    <x v="94"/>
    <x v="5"/>
    <n v="0"/>
    <x v="0"/>
    <n v="0"/>
    <n v="0"/>
    <n v="1"/>
    <x v="1"/>
    <x v="0"/>
    <n v="0"/>
  </r>
  <r>
    <n v="71724500000000"/>
    <x v="0"/>
    <x v="2"/>
    <x v="1"/>
    <s v="SANTA CECILIA"/>
    <d v="2016-05-16T00:00:00"/>
    <d v="2016-05-16T00:00:00"/>
    <x v="2"/>
    <x v="94"/>
    <x v="5"/>
    <n v="0"/>
    <x v="0"/>
    <n v="0"/>
    <n v="0"/>
    <n v="0"/>
    <x v="1"/>
    <x v="0"/>
    <n v="0"/>
  </r>
  <r>
    <n v="54874300000000"/>
    <x v="1"/>
    <x v="30"/>
    <x v="3"/>
    <s v="CENTRO"/>
    <d v="2016-05-16T00:00:00"/>
    <d v="2016-05-18T00:00:00"/>
    <x v="1"/>
    <x v="91"/>
    <x v="4"/>
    <n v="0"/>
    <x v="0"/>
    <n v="0"/>
    <n v="0"/>
    <n v="0"/>
    <x v="1"/>
    <x v="0"/>
    <n v="0"/>
  </r>
  <r>
    <n v="46555200000000"/>
    <x v="1"/>
    <x v="71"/>
    <x v="4"/>
    <s v="SANTO ANTONIO"/>
    <d v="2016-05-16T00:00:00"/>
    <d v="2016-06-08T00:00:00"/>
    <x v="1"/>
    <x v="67"/>
    <x v="1"/>
    <n v="0"/>
    <x v="1"/>
    <n v="0"/>
    <n v="0"/>
    <n v="0"/>
    <x v="0"/>
    <x v="1"/>
    <n v="1"/>
  </r>
  <r>
    <n v="419432000000"/>
    <x v="0"/>
    <x v="66"/>
    <x v="2"/>
    <s v="CENTRO"/>
    <d v="2016-05-16T00:00:00"/>
    <d v="2016-06-02T00:00:00"/>
    <x v="3"/>
    <x v="75"/>
    <x v="1"/>
    <n v="0"/>
    <x v="1"/>
    <n v="0"/>
    <n v="0"/>
    <n v="0"/>
    <x v="1"/>
    <x v="1"/>
    <n v="1"/>
  </r>
  <r>
    <n v="63964659235"/>
    <x v="1"/>
    <x v="67"/>
    <x v="4"/>
    <s v="MARUIPE"/>
    <d v="2016-05-16T00:00:00"/>
    <d v="2016-05-16T00:00:00"/>
    <x v="2"/>
    <x v="94"/>
    <x v="5"/>
    <n v="0"/>
    <x v="1"/>
    <n v="0"/>
    <n v="0"/>
    <n v="0"/>
    <x v="1"/>
    <x v="0"/>
    <n v="0"/>
  </r>
  <r>
    <n v="4168390000000"/>
    <x v="1"/>
    <x v="64"/>
    <x v="3"/>
    <s v="MARUIPE"/>
    <d v="2016-05-16T00:00:00"/>
    <d v="2016-05-16T00:00:00"/>
    <x v="2"/>
    <x v="94"/>
    <x v="5"/>
    <n v="0"/>
    <x v="0"/>
    <n v="0"/>
    <n v="0"/>
    <n v="0"/>
    <x v="1"/>
    <x v="0"/>
    <n v="0"/>
  </r>
  <r>
    <n v="569963000000"/>
    <x v="0"/>
    <x v="22"/>
    <x v="4"/>
    <s v="JARDIM CAMBURI"/>
    <d v="2016-05-16T00:00:00"/>
    <d v="2016-05-16T00:00:00"/>
    <x v="2"/>
    <x v="94"/>
    <x v="5"/>
    <n v="0"/>
    <x v="1"/>
    <n v="0"/>
    <n v="0"/>
    <n v="0"/>
    <x v="1"/>
    <x v="0"/>
    <n v="0"/>
  </r>
  <r>
    <n v="8384570000000"/>
    <x v="0"/>
    <x v="40"/>
    <x v="1"/>
    <s v="MARIA ORTIZ"/>
    <d v="2016-05-16T00:00:00"/>
    <d v="2016-05-18T00:00:00"/>
    <x v="1"/>
    <x v="91"/>
    <x v="4"/>
    <n v="0"/>
    <x v="1"/>
    <n v="0"/>
    <n v="0"/>
    <n v="0"/>
    <x v="1"/>
    <x v="1"/>
    <n v="1"/>
  </r>
  <r>
    <n v="7612920000000"/>
    <x v="1"/>
    <x v="73"/>
    <x v="4"/>
    <s v="CENTRO"/>
    <d v="2016-05-16T00:00:00"/>
    <d v="2016-06-03T00:00:00"/>
    <x v="0"/>
    <x v="74"/>
    <x v="1"/>
    <n v="0"/>
    <x v="1"/>
    <n v="0"/>
    <n v="0"/>
    <n v="0"/>
    <x v="0"/>
    <x v="0"/>
    <n v="0"/>
  </r>
  <r>
    <n v="281768000000"/>
    <x v="0"/>
    <x v="23"/>
    <x v="3"/>
    <s v="JARDIM CAMBURI"/>
    <d v="2016-05-16T00:00:00"/>
    <d v="2016-05-18T00:00:00"/>
    <x v="1"/>
    <x v="91"/>
    <x v="4"/>
    <n v="0"/>
    <x v="1"/>
    <n v="0"/>
    <n v="0"/>
    <n v="0"/>
    <x v="1"/>
    <x v="0"/>
    <n v="0"/>
  </r>
  <r>
    <n v="1816960000000"/>
    <x v="0"/>
    <x v="65"/>
    <x v="2"/>
    <s v="SAO PEDRO"/>
    <d v="2016-05-16T00:00:00"/>
    <d v="2016-05-19T00:00:00"/>
    <x v="3"/>
    <x v="89"/>
    <x v="4"/>
    <n v="0"/>
    <x v="1"/>
    <n v="0"/>
    <n v="0"/>
    <n v="0"/>
    <x v="1"/>
    <x v="0"/>
    <n v="0"/>
  </r>
  <r>
    <n v="89693600000000"/>
    <x v="0"/>
    <x v="62"/>
    <x v="3"/>
    <s v="RESISTENCIA"/>
    <d v="2016-05-16T00:00:00"/>
    <d v="2016-05-18T00:00:00"/>
    <x v="1"/>
    <x v="91"/>
    <x v="4"/>
    <n v="0"/>
    <x v="1"/>
    <n v="0"/>
    <n v="0"/>
    <n v="0"/>
    <x v="1"/>
    <x v="0"/>
    <n v="0"/>
  </r>
  <r>
    <n v="933972000000000"/>
    <x v="1"/>
    <x v="90"/>
    <x v="0"/>
    <s v="ANDORINHAS"/>
    <d v="2016-05-16T00:00:00"/>
    <d v="2016-05-18T00:00:00"/>
    <x v="1"/>
    <x v="91"/>
    <x v="4"/>
    <n v="0"/>
    <x v="0"/>
    <n v="0"/>
    <n v="0"/>
    <n v="0"/>
    <x v="1"/>
    <x v="0"/>
    <n v="0"/>
  </r>
  <r>
    <n v="7671370000000"/>
    <x v="1"/>
    <x v="43"/>
    <x v="2"/>
    <s v="ILHA DO PRINCIPE"/>
    <d v="2016-05-16T00:00:00"/>
    <d v="2016-06-02T00:00:00"/>
    <x v="3"/>
    <x v="75"/>
    <x v="1"/>
    <n v="1"/>
    <x v="1"/>
    <n v="0"/>
    <n v="0"/>
    <n v="0"/>
    <x v="0"/>
    <x v="0"/>
    <n v="0"/>
  </r>
  <r>
    <n v="9558280000000"/>
    <x v="1"/>
    <x v="23"/>
    <x v="3"/>
    <s v="JARDIM CAMBURI"/>
    <d v="2016-05-16T00:00:00"/>
    <d v="2016-05-18T00:00:00"/>
    <x v="1"/>
    <x v="91"/>
    <x v="4"/>
    <n v="0"/>
    <x v="1"/>
    <n v="0"/>
    <n v="0"/>
    <n v="0"/>
    <x v="1"/>
    <x v="0"/>
    <n v="0"/>
  </r>
  <r>
    <n v="548857000000"/>
    <x v="1"/>
    <x v="40"/>
    <x v="1"/>
    <s v="SAO PEDRO"/>
    <d v="2016-05-16T00:00:00"/>
    <d v="2016-05-20T00:00:00"/>
    <x v="0"/>
    <x v="86"/>
    <x v="3"/>
    <n v="1"/>
    <x v="1"/>
    <n v="0"/>
    <n v="0"/>
    <n v="0"/>
    <x v="1"/>
    <x v="0"/>
    <n v="0"/>
  </r>
  <r>
    <n v="724641000000000"/>
    <x v="0"/>
    <x v="56"/>
    <x v="1"/>
    <s v="VILA RUBIM"/>
    <d v="2016-05-16T00:00:00"/>
    <d v="2016-06-06T00:00:00"/>
    <x v="2"/>
    <x v="73"/>
    <x v="1"/>
    <n v="0"/>
    <x v="1"/>
    <n v="0"/>
    <n v="0"/>
    <n v="0"/>
    <x v="0"/>
    <x v="0"/>
    <n v="0"/>
  </r>
  <r>
    <n v="551833000000"/>
    <x v="0"/>
    <x v="28"/>
    <x v="3"/>
    <s v="JARDIM DA PENHA"/>
    <d v="2016-05-16T00:00:00"/>
    <d v="2016-05-18T00:00:00"/>
    <x v="1"/>
    <x v="91"/>
    <x v="4"/>
    <n v="0"/>
    <x v="0"/>
    <n v="0"/>
    <n v="0"/>
    <n v="0"/>
    <x v="1"/>
    <x v="0"/>
    <n v="0"/>
  </r>
  <r>
    <n v="82687200000000"/>
    <x v="1"/>
    <x v="84"/>
    <x v="1"/>
    <s v="ILHA DE SANTA MARIA"/>
    <d v="2016-05-16T00:00:00"/>
    <d v="2016-05-18T00:00:00"/>
    <x v="1"/>
    <x v="91"/>
    <x v="4"/>
    <n v="0"/>
    <x v="1"/>
    <n v="0"/>
    <n v="0"/>
    <n v="0"/>
    <x v="1"/>
    <x v="0"/>
    <n v="0"/>
  </r>
  <r>
    <n v="866919000000"/>
    <x v="0"/>
    <x v="58"/>
    <x v="0"/>
    <s v="DO MOSCOSO"/>
    <d v="2016-05-16T00:00:00"/>
    <d v="2016-05-17T00:00:00"/>
    <x v="4"/>
    <x v="93"/>
    <x v="4"/>
    <n v="0"/>
    <x v="0"/>
    <n v="0"/>
    <n v="0"/>
    <n v="1"/>
    <x v="1"/>
    <x v="0"/>
    <n v="0"/>
  </r>
  <r>
    <n v="6655800000000"/>
    <x v="0"/>
    <x v="21"/>
    <x v="1"/>
    <s v="VILA RUBIM"/>
    <d v="2016-05-16T00:00:00"/>
    <d v="2016-05-16T00:00:00"/>
    <x v="2"/>
    <x v="94"/>
    <x v="5"/>
    <n v="0"/>
    <x v="0"/>
    <n v="1"/>
    <n v="0"/>
    <n v="0"/>
    <x v="1"/>
    <x v="0"/>
    <n v="0"/>
  </r>
  <r>
    <n v="28278600000000"/>
    <x v="1"/>
    <x v="34"/>
    <x v="0"/>
    <s v="TABUAZEIRO"/>
    <d v="2016-05-16T00:00:00"/>
    <d v="2016-05-24T00:00:00"/>
    <x v="4"/>
    <x v="88"/>
    <x v="2"/>
    <n v="0"/>
    <x v="0"/>
    <n v="1"/>
    <n v="0"/>
    <n v="0"/>
    <x v="1"/>
    <x v="1"/>
    <n v="1"/>
  </r>
  <r>
    <n v="3132160000000"/>
    <x v="1"/>
    <x v="64"/>
    <x v="3"/>
    <s v="JARDIM DA PENHA"/>
    <d v="2016-05-16T00:00:00"/>
    <d v="2016-05-16T00:00:00"/>
    <x v="2"/>
    <x v="94"/>
    <x v="5"/>
    <n v="0"/>
    <x v="1"/>
    <n v="0"/>
    <n v="0"/>
    <n v="0"/>
    <x v="1"/>
    <x v="0"/>
    <n v="0"/>
  </r>
  <r>
    <n v="24388900000000"/>
    <x v="0"/>
    <x v="45"/>
    <x v="1"/>
    <s v="SAO PEDRO"/>
    <d v="2016-05-16T00:00:00"/>
    <d v="2016-05-17T00:00:00"/>
    <x v="4"/>
    <x v="93"/>
    <x v="4"/>
    <n v="0"/>
    <x v="0"/>
    <n v="1"/>
    <n v="0"/>
    <n v="0"/>
    <x v="1"/>
    <x v="0"/>
    <n v="0"/>
  </r>
  <r>
    <n v="2963430000000"/>
    <x v="0"/>
    <x v="14"/>
    <x v="3"/>
    <s v="CENTRO"/>
    <d v="2016-05-16T00:00:00"/>
    <d v="2016-06-08T00:00:00"/>
    <x v="1"/>
    <x v="67"/>
    <x v="1"/>
    <n v="0"/>
    <x v="1"/>
    <n v="0"/>
    <n v="0"/>
    <n v="0"/>
    <x v="0"/>
    <x v="0"/>
    <n v="0"/>
  </r>
  <r>
    <n v="5416390000000"/>
    <x v="0"/>
    <x v="30"/>
    <x v="3"/>
    <s v="SANTO ANTONIO"/>
    <d v="2016-05-16T00:00:00"/>
    <d v="2016-06-02T00:00:00"/>
    <x v="3"/>
    <x v="75"/>
    <x v="1"/>
    <n v="0"/>
    <x v="1"/>
    <n v="0"/>
    <n v="0"/>
    <n v="0"/>
    <x v="0"/>
    <x v="0"/>
    <n v="0"/>
  </r>
  <r>
    <n v="64918100000000"/>
    <x v="1"/>
    <x v="46"/>
    <x v="2"/>
    <s v="SAO BENEDITO"/>
    <d v="2016-05-16T00:00:00"/>
    <d v="2016-05-16T00:00:00"/>
    <x v="2"/>
    <x v="94"/>
    <x v="5"/>
    <n v="0"/>
    <x v="1"/>
    <n v="0"/>
    <n v="0"/>
    <n v="0"/>
    <x v="1"/>
    <x v="0"/>
    <n v="0"/>
  </r>
  <r>
    <n v="16344800000000"/>
    <x v="0"/>
    <x v="37"/>
    <x v="3"/>
    <s v="MONTE BELO"/>
    <d v="2016-05-16T00:00:00"/>
    <d v="2016-05-16T00:00:00"/>
    <x v="2"/>
    <x v="94"/>
    <x v="5"/>
    <n v="0"/>
    <x v="1"/>
    <n v="0"/>
    <n v="0"/>
    <n v="0"/>
    <x v="1"/>
    <x v="1"/>
    <n v="1"/>
  </r>
  <r>
    <n v="757629000000000"/>
    <x v="1"/>
    <x v="12"/>
    <x v="3"/>
    <s v="ITARARE"/>
    <d v="2016-05-16T00:00:00"/>
    <d v="2016-05-16T00:00:00"/>
    <x v="2"/>
    <x v="94"/>
    <x v="5"/>
    <n v="0"/>
    <x v="1"/>
    <n v="0"/>
    <n v="0"/>
    <n v="0"/>
    <x v="1"/>
    <x v="0"/>
    <n v="0"/>
  </r>
  <r>
    <n v="361792000000"/>
    <x v="0"/>
    <x v="50"/>
    <x v="1"/>
    <s v="DA PENHA"/>
    <d v="2016-05-16T00:00:00"/>
    <d v="2016-05-16T00:00:00"/>
    <x v="2"/>
    <x v="94"/>
    <x v="5"/>
    <n v="0"/>
    <x v="1"/>
    <n v="0"/>
    <n v="0"/>
    <n v="0"/>
    <x v="1"/>
    <x v="0"/>
    <n v="0"/>
  </r>
  <r>
    <n v="9756760000000"/>
    <x v="0"/>
    <x v="44"/>
    <x v="4"/>
    <s v="ITARARE"/>
    <d v="2016-05-16T00:00:00"/>
    <d v="2016-05-17T00:00:00"/>
    <x v="4"/>
    <x v="93"/>
    <x v="4"/>
    <n v="0"/>
    <x v="1"/>
    <n v="0"/>
    <n v="0"/>
    <n v="0"/>
    <x v="1"/>
    <x v="0"/>
    <n v="0"/>
  </r>
  <r>
    <n v="333972000000"/>
    <x v="0"/>
    <x v="37"/>
    <x v="3"/>
    <s v="JARDIM CAMBURI"/>
    <d v="2016-05-16T00:00:00"/>
    <d v="2016-05-17T00:00:00"/>
    <x v="4"/>
    <x v="93"/>
    <x v="4"/>
    <n v="0"/>
    <x v="1"/>
    <n v="0"/>
    <n v="0"/>
    <n v="0"/>
    <x v="1"/>
    <x v="0"/>
    <n v="0"/>
  </r>
  <r>
    <n v="6552460000000"/>
    <x v="0"/>
    <x v="49"/>
    <x v="4"/>
    <s v="CENTRO"/>
    <d v="2016-05-16T00:00:00"/>
    <d v="2016-05-25T00:00:00"/>
    <x v="1"/>
    <x v="85"/>
    <x v="2"/>
    <n v="0"/>
    <x v="1"/>
    <n v="0"/>
    <n v="0"/>
    <n v="0"/>
    <x v="0"/>
    <x v="1"/>
    <n v="1"/>
  </r>
  <r>
    <n v="774937000000"/>
    <x v="1"/>
    <x v="57"/>
    <x v="2"/>
    <s v="SAO BENEDITO"/>
    <d v="2016-05-16T00:00:00"/>
    <d v="2016-06-07T00:00:00"/>
    <x v="4"/>
    <x v="71"/>
    <x v="1"/>
    <n v="0"/>
    <x v="1"/>
    <n v="0"/>
    <n v="0"/>
    <n v="0"/>
    <x v="0"/>
    <x v="0"/>
    <n v="0"/>
  </r>
  <r>
    <n v="28827700000000"/>
    <x v="0"/>
    <x v="56"/>
    <x v="1"/>
    <s v="RESISTENCIA"/>
    <d v="2016-05-16T00:00:00"/>
    <d v="2016-05-16T00:00:00"/>
    <x v="2"/>
    <x v="94"/>
    <x v="5"/>
    <n v="1"/>
    <x v="1"/>
    <n v="0"/>
    <n v="0"/>
    <n v="0"/>
    <x v="1"/>
    <x v="0"/>
    <n v="0"/>
  </r>
  <r>
    <n v="44639000000000"/>
    <x v="0"/>
    <x v="71"/>
    <x v="4"/>
    <s v="SAO CRISTOVAO"/>
    <d v="2016-05-16T00:00:00"/>
    <d v="2016-05-24T00:00:00"/>
    <x v="4"/>
    <x v="88"/>
    <x v="2"/>
    <n v="0"/>
    <x v="1"/>
    <n v="0"/>
    <n v="0"/>
    <n v="0"/>
    <x v="0"/>
    <x v="1"/>
    <n v="1"/>
  </r>
  <r>
    <n v="27758800000000"/>
    <x v="1"/>
    <x v="65"/>
    <x v="2"/>
    <s v="INHANGUETA"/>
    <d v="2016-05-16T00:00:00"/>
    <d v="2016-05-17T00:00:00"/>
    <x v="4"/>
    <x v="93"/>
    <x v="4"/>
    <n v="0"/>
    <x v="1"/>
    <n v="0"/>
    <n v="0"/>
    <n v="0"/>
    <x v="1"/>
    <x v="0"/>
    <n v="0"/>
  </r>
  <r>
    <n v="871335000000000"/>
    <x v="0"/>
    <x v="36"/>
    <x v="3"/>
    <s v="SANTA TEREZA"/>
    <d v="2016-05-16T00:00:00"/>
    <d v="2016-05-18T00:00:00"/>
    <x v="1"/>
    <x v="91"/>
    <x v="4"/>
    <n v="1"/>
    <x v="0"/>
    <n v="0"/>
    <n v="0"/>
    <n v="0"/>
    <x v="1"/>
    <x v="0"/>
    <n v="0"/>
  </r>
  <r>
    <n v="513852000000000"/>
    <x v="1"/>
    <x v="58"/>
    <x v="0"/>
    <s v="SAO JOSE"/>
    <d v="2016-05-16T00:00:00"/>
    <d v="2016-05-24T00:00:00"/>
    <x v="4"/>
    <x v="88"/>
    <x v="2"/>
    <n v="0"/>
    <x v="0"/>
    <n v="0"/>
    <n v="0"/>
    <n v="0"/>
    <x v="0"/>
    <x v="1"/>
    <n v="1"/>
  </r>
  <r>
    <n v="9151520000000"/>
    <x v="0"/>
    <x v="55"/>
    <x v="2"/>
    <s v="ITARARE"/>
    <d v="2016-05-16T00:00:00"/>
    <d v="2016-05-17T00:00:00"/>
    <x v="4"/>
    <x v="93"/>
    <x v="4"/>
    <n v="0"/>
    <x v="1"/>
    <n v="0"/>
    <n v="0"/>
    <n v="0"/>
    <x v="1"/>
    <x v="1"/>
    <n v="1"/>
  </r>
  <r>
    <n v="6261250000000"/>
    <x v="1"/>
    <x v="17"/>
    <x v="4"/>
    <s v="SAO PEDRO"/>
    <d v="2016-05-16T00:00:00"/>
    <d v="2016-05-16T00:00:00"/>
    <x v="2"/>
    <x v="94"/>
    <x v="5"/>
    <n v="0"/>
    <x v="1"/>
    <n v="0"/>
    <n v="0"/>
    <n v="0"/>
    <x v="1"/>
    <x v="0"/>
    <n v="0"/>
  </r>
  <r>
    <n v="75731900000000"/>
    <x v="0"/>
    <x v="4"/>
    <x v="2"/>
    <s v="JARDIM CAMBURI"/>
    <d v="2016-05-16T00:00:00"/>
    <d v="2016-05-18T00:00:00"/>
    <x v="1"/>
    <x v="91"/>
    <x v="4"/>
    <n v="0"/>
    <x v="1"/>
    <n v="0"/>
    <n v="0"/>
    <n v="0"/>
    <x v="1"/>
    <x v="1"/>
    <n v="1"/>
  </r>
  <r>
    <n v="395447000000000"/>
    <x v="1"/>
    <x v="46"/>
    <x v="2"/>
    <s v="MARIA ORTIZ"/>
    <d v="2016-05-16T00:00:00"/>
    <d v="2016-05-16T00:00:00"/>
    <x v="2"/>
    <x v="94"/>
    <x v="5"/>
    <n v="0"/>
    <x v="1"/>
    <n v="0"/>
    <n v="0"/>
    <n v="0"/>
    <x v="1"/>
    <x v="0"/>
    <n v="0"/>
  </r>
  <r>
    <n v="55522568873"/>
    <x v="0"/>
    <x v="39"/>
    <x v="4"/>
    <s v="DA PENHA"/>
    <d v="2016-05-16T00:00:00"/>
    <d v="2016-06-06T00:00:00"/>
    <x v="2"/>
    <x v="73"/>
    <x v="1"/>
    <n v="0"/>
    <x v="1"/>
    <n v="0"/>
    <n v="0"/>
    <n v="0"/>
    <x v="0"/>
    <x v="0"/>
    <n v="0"/>
  </r>
  <r>
    <n v="421915000000000"/>
    <x v="0"/>
    <x v="47"/>
    <x v="4"/>
    <s v="PIEDADE"/>
    <d v="2016-05-16T00:00:00"/>
    <d v="2016-05-25T00:00:00"/>
    <x v="1"/>
    <x v="85"/>
    <x v="2"/>
    <n v="0"/>
    <x v="1"/>
    <n v="0"/>
    <n v="0"/>
    <n v="0"/>
    <x v="0"/>
    <x v="1"/>
    <n v="1"/>
  </r>
  <r>
    <n v="915269000000000"/>
    <x v="1"/>
    <x v="4"/>
    <x v="2"/>
    <s v="RESISTENCIA"/>
    <d v="2016-05-16T00:00:00"/>
    <d v="2016-05-16T00:00:00"/>
    <x v="2"/>
    <x v="94"/>
    <x v="5"/>
    <n v="0"/>
    <x v="1"/>
    <n v="0"/>
    <n v="0"/>
    <n v="0"/>
    <x v="1"/>
    <x v="0"/>
    <n v="0"/>
  </r>
  <r>
    <n v="42785500000000"/>
    <x v="0"/>
    <x v="36"/>
    <x v="3"/>
    <s v="ILHA DAS CAIEIRAS"/>
    <d v="2016-05-16T00:00:00"/>
    <d v="2016-05-17T00:00:00"/>
    <x v="4"/>
    <x v="93"/>
    <x v="4"/>
    <n v="0"/>
    <x v="0"/>
    <n v="0"/>
    <n v="0"/>
    <n v="0"/>
    <x v="1"/>
    <x v="1"/>
    <n v="1"/>
  </r>
  <r>
    <n v="1276510000000"/>
    <x v="0"/>
    <x v="71"/>
    <x v="4"/>
    <s v="ANDORINHAS"/>
    <d v="2016-05-16T00:00:00"/>
    <d v="2016-06-03T00:00:00"/>
    <x v="0"/>
    <x v="74"/>
    <x v="1"/>
    <n v="0"/>
    <x v="1"/>
    <n v="0"/>
    <n v="0"/>
    <n v="0"/>
    <x v="1"/>
    <x v="1"/>
    <n v="1"/>
  </r>
  <r>
    <n v="291459000000000"/>
    <x v="0"/>
    <x v="62"/>
    <x v="3"/>
    <s v="MARIA ORTIZ"/>
    <d v="2016-05-16T00:00:00"/>
    <d v="2016-05-31T00:00:00"/>
    <x v="4"/>
    <x v="79"/>
    <x v="1"/>
    <n v="0"/>
    <x v="1"/>
    <n v="0"/>
    <n v="0"/>
    <n v="0"/>
    <x v="0"/>
    <x v="1"/>
    <n v="1"/>
  </r>
  <r>
    <n v="473974000000"/>
    <x v="1"/>
    <x v="2"/>
    <x v="1"/>
    <s v="SAO PEDRO"/>
    <d v="2016-05-16T00:00:00"/>
    <d v="2016-05-17T00:00:00"/>
    <x v="4"/>
    <x v="93"/>
    <x v="4"/>
    <n v="0"/>
    <x v="1"/>
    <n v="0"/>
    <n v="0"/>
    <n v="0"/>
    <x v="1"/>
    <x v="0"/>
    <n v="0"/>
  </r>
  <r>
    <n v="4637240000000"/>
    <x v="0"/>
    <x v="68"/>
    <x v="4"/>
    <s v="ITARARE"/>
    <d v="2016-05-16T00:00:00"/>
    <d v="2016-05-16T00:00:00"/>
    <x v="2"/>
    <x v="94"/>
    <x v="5"/>
    <n v="0"/>
    <x v="1"/>
    <n v="0"/>
    <n v="0"/>
    <n v="0"/>
    <x v="1"/>
    <x v="0"/>
    <n v="0"/>
  </r>
  <r>
    <n v="221465000000000"/>
    <x v="1"/>
    <x v="4"/>
    <x v="2"/>
    <s v="SANTA MARTHA"/>
    <d v="2016-05-16T00:00:00"/>
    <d v="2016-05-16T00:00:00"/>
    <x v="2"/>
    <x v="94"/>
    <x v="5"/>
    <n v="0"/>
    <x v="1"/>
    <n v="0"/>
    <n v="0"/>
    <n v="0"/>
    <x v="1"/>
    <x v="0"/>
    <n v="0"/>
  </r>
  <r>
    <n v="88138500000000"/>
    <x v="1"/>
    <x v="27"/>
    <x v="3"/>
    <s v="SANTO ANTONIO"/>
    <d v="2016-05-16T00:00:00"/>
    <d v="2016-05-20T00:00:00"/>
    <x v="0"/>
    <x v="86"/>
    <x v="3"/>
    <n v="0"/>
    <x v="0"/>
    <n v="0"/>
    <n v="0"/>
    <n v="0"/>
    <x v="1"/>
    <x v="1"/>
    <n v="1"/>
  </r>
  <r>
    <n v="93558600000000"/>
    <x v="1"/>
    <x v="76"/>
    <x v="0"/>
    <s v="RESISTENCIA"/>
    <d v="2016-05-16T00:00:00"/>
    <d v="2016-06-03T00:00:00"/>
    <x v="0"/>
    <x v="74"/>
    <x v="1"/>
    <n v="0"/>
    <x v="1"/>
    <n v="0"/>
    <n v="1"/>
    <n v="0"/>
    <x v="0"/>
    <x v="1"/>
    <n v="1"/>
  </r>
  <r>
    <n v="1774170000000"/>
    <x v="1"/>
    <x v="18"/>
    <x v="0"/>
    <s v="FORTE SAO JOAO"/>
    <d v="2016-05-16T00:00:00"/>
    <d v="2016-05-17T00:00:00"/>
    <x v="4"/>
    <x v="93"/>
    <x v="4"/>
    <n v="0"/>
    <x v="0"/>
    <n v="1"/>
    <n v="0"/>
    <n v="0"/>
    <x v="1"/>
    <x v="0"/>
    <n v="0"/>
  </r>
  <r>
    <n v="838942000000000"/>
    <x v="0"/>
    <x v="81"/>
    <x v="5"/>
    <s v="INHANGUETA"/>
    <d v="2016-05-16T00:00:00"/>
    <d v="2016-05-25T00:00:00"/>
    <x v="1"/>
    <x v="85"/>
    <x v="2"/>
    <n v="0"/>
    <x v="1"/>
    <n v="0"/>
    <n v="0"/>
    <n v="0"/>
    <x v="1"/>
    <x v="1"/>
    <n v="1"/>
  </r>
  <r>
    <n v="531698000000000"/>
    <x v="1"/>
    <x v="38"/>
    <x v="4"/>
    <s v="CENTRO"/>
    <d v="2016-05-16T00:00:00"/>
    <d v="2016-05-30T00:00:00"/>
    <x v="2"/>
    <x v="80"/>
    <x v="2"/>
    <n v="0"/>
    <x v="1"/>
    <n v="0"/>
    <n v="0"/>
    <n v="0"/>
    <x v="0"/>
    <x v="0"/>
    <n v="0"/>
  </r>
  <r>
    <n v="237569000000000"/>
    <x v="0"/>
    <x v="56"/>
    <x v="1"/>
    <s v="ENSEADA DO SUA"/>
    <d v="2016-05-16T00:00:00"/>
    <d v="2016-06-02T00:00:00"/>
    <x v="3"/>
    <x v="75"/>
    <x v="1"/>
    <n v="0"/>
    <x v="1"/>
    <n v="0"/>
    <n v="0"/>
    <n v="0"/>
    <x v="0"/>
    <x v="1"/>
    <n v="1"/>
  </r>
  <r>
    <n v="184946000000"/>
    <x v="0"/>
    <x v="31"/>
    <x v="1"/>
    <s v="GOIABEIRAS"/>
    <d v="2016-05-16T00:00:00"/>
    <d v="2016-05-17T00:00:00"/>
    <x v="4"/>
    <x v="93"/>
    <x v="4"/>
    <n v="0"/>
    <x v="1"/>
    <n v="0"/>
    <n v="0"/>
    <n v="0"/>
    <x v="1"/>
    <x v="0"/>
    <n v="0"/>
  </r>
  <r>
    <n v="3723380000000"/>
    <x v="0"/>
    <x v="45"/>
    <x v="1"/>
    <s v="BONFIM"/>
    <d v="2016-05-16T00:00:00"/>
    <d v="2016-05-24T00:00:00"/>
    <x v="4"/>
    <x v="88"/>
    <x v="2"/>
    <n v="0"/>
    <x v="1"/>
    <n v="0"/>
    <n v="0"/>
    <n v="0"/>
    <x v="0"/>
    <x v="1"/>
    <n v="1"/>
  </r>
  <r>
    <n v="85963700000000"/>
    <x v="1"/>
    <x v="61"/>
    <x v="1"/>
    <s v="SANTA CECILIA"/>
    <d v="2016-05-16T00:00:00"/>
    <d v="2016-05-25T00:00:00"/>
    <x v="1"/>
    <x v="85"/>
    <x v="2"/>
    <n v="0"/>
    <x v="1"/>
    <n v="0"/>
    <n v="0"/>
    <n v="0"/>
    <x v="0"/>
    <x v="1"/>
    <n v="1"/>
  </r>
  <r>
    <n v="5122520000000"/>
    <x v="0"/>
    <x v="38"/>
    <x v="4"/>
    <s v="ITARARE"/>
    <d v="2016-05-16T00:00:00"/>
    <d v="2016-05-17T00:00:00"/>
    <x v="4"/>
    <x v="93"/>
    <x v="4"/>
    <n v="0"/>
    <x v="1"/>
    <n v="0"/>
    <n v="0"/>
    <n v="0"/>
    <x v="1"/>
    <x v="0"/>
    <n v="0"/>
  </r>
  <r>
    <n v="765973000000000"/>
    <x v="1"/>
    <x v="12"/>
    <x v="3"/>
    <s v="SANTA CECILIA"/>
    <d v="2016-05-16T00:00:00"/>
    <d v="2016-05-16T00:00:00"/>
    <x v="2"/>
    <x v="94"/>
    <x v="5"/>
    <n v="0"/>
    <x v="0"/>
    <n v="1"/>
    <n v="0"/>
    <n v="0"/>
    <x v="1"/>
    <x v="1"/>
    <n v="1"/>
  </r>
  <r>
    <n v="131152000000000"/>
    <x v="1"/>
    <x v="18"/>
    <x v="0"/>
    <s v="SANTO ANTONIO"/>
    <d v="2016-05-16T00:00:00"/>
    <d v="2016-05-24T00:00:00"/>
    <x v="4"/>
    <x v="88"/>
    <x v="2"/>
    <n v="0"/>
    <x v="1"/>
    <n v="0"/>
    <n v="0"/>
    <n v="0"/>
    <x v="0"/>
    <x v="0"/>
    <n v="0"/>
  </r>
  <r>
    <n v="847139000000"/>
    <x v="0"/>
    <x v="6"/>
    <x v="0"/>
    <s v="JARDIM DA PENHA"/>
    <d v="2016-05-16T00:00:00"/>
    <d v="2016-06-08T00:00:00"/>
    <x v="1"/>
    <x v="67"/>
    <x v="1"/>
    <n v="0"/>
    <x v="0"/>
    <n v="0"/>
    <n v="0"/>
    <n v="0"/>
    <x v="0"/>
    <x v="0"/>
    <n v="0"/>
  </r>
  <r>
    <n v="569765000000000"/>
    <x v="0"/>
    <x v="30"/>
    <x v="3"/>
    <s v="VILA RUBIM"/>
    <d v="2016-05-16T00:00:00"/>
    <d v="2016-05-19T00:00:00"/>
    <x v="3"/>
    <x v="89"/>
    <x v="4"/>
    <n v="0"/>
    <x v="0"/>
    <n v="0"/>
    <n v="0"/>
    <n v="0"/>
    <x v="1"/>
    <x v="0"/>
    <n v="0"/>
  </r>
  <r>
    <n v="17979800000000"/>
    <x v="0"/>
    <x v="5"/>
    <x v="1"/>
    <s v="PRAIA DO CANTO"/>
    <d v="2016-05-16T00:00:00"/>
    <d v="2016-05-30T00:00:00"/>
    <x v="2"/>
    <x v="80"/>
    <x v="2"/>
    <n v="0"/>
    <x v="1"/>
    <n v="0"/>
    <n v="0"/>
    <n v="0"/>
    <x v="0"/>
    <x v="0"/>
    <n v="0"/>
  </r>
  <r>
    <n v="65445100000000"/>
    <x v="0"/>
    <x v="23"/>
    <x v="3"/>
    <s v="JARDIM CAMBURI"/>
    <d v="2016-05-16T00:00:00"/>
    <d v="2016-05-20T00:00:00"/>
    <x v="0"/>
    <x v="86"/>
    <x v="3"/>
    <n v="0"/>
    <x v="1"/>
    <n v="0"/>
    <n v="0"/>
    <n v="0"/>
    <x v="1"/>
    <x v="0"/>
    <n v="0"/>
  </r>
  <r>
    <n v="68953300000000"/>
    <x v="0"/>
    <x v="6"/>
    <x v="0"/>
    <s v="CENTRO"/>
    <d v="2016-05-16T00:00:00"/>
    <d v="2016-05-16T00:00:00"/>
    <x v="2"/>
    <x v="94"/>
    <x v="5"/>
    <n v="0"/>
    <x v="1"/>
    <n v="0"/>
    <n v="0"/>
    <n v="0"/>
    <x v="1"/>
    <x v="0"/>
    <n v="0"/>
  </r>
  <r>
    <n v="52526600000000"/>
    <x v="1"/>
    <x v="44"/>
    <x v="4"/>
    <s v="SAO CRISTOVAO"/>
    <d v="2016-05-16T00:00:00"/>
    <d v="2016-05-24T00:00:00"/>
    <x v="4"/>
    <x v="88"/>
    <x v="2"/>
    <n v="0"/>
    <x v="1"/>
    <n v="0"/>
    <n v="0"/>
    <n v="0"/>
    <x v="1"/>
    <x v="1"/>
    <n v="1"/>
  </r>
  <r>
    <n v="419523000000"/>
    <x v="1"/>
    <x v="29"/>
    <x v="3"/>
    <s v="SAO BENEDITO"/>
    <d v="2016-05-16T00:00:00"/>
    <d v="2016-05-31T00:00:00"/>
    <x v="4"/>
    <x v="79"/>
    <x v="1"/>
    <n v="1"/>
    <x v="0"/>
    <n v="1"/>
    <n v="0"/>
    <n v="0"/>
    <x v="0"/>
    <x v="0"/>
    <n v="0"/>
  </r>
  <r>
    <n v="48372400000000"/>
    <x v="0"/>
    <x v="29"/>
    <x v="3"/>
    <s v="ILHA DE SANTA MARIA"/>
    <d v="2016-05-16T00:00:00"/>
    <d v="2016-05-16T00:00:00"/>
    <x v="2"/>
    <x v="94"/>
    <x v="5"/>
    <n v="0"/>
    <x v="1"/>
    <n v="0"/>
    <n v="0"/>
    <n v="0"/>
    <x v="1"/>
    <x v="0"/>
    <n v="0"/>
  </r>
  <r>
    <n v="24852900000000"/>
    <x v="0"/>
    <x v="47"/>
    <x v="4"/>
    <s v="PRAIA DO SUA"/>
    <d v="2016-05-16T00:00:00"/>
    <d v="2016-06-02T00:00:00"/>
    <x v="3"/>
    <x v="75"/>
    <x v="1"/>
    <n v="0"/>
    <x v="1"/>
    <n v="0"/>
    <n v="0"/>
    <n v="0"/>
    <x v="1"/>
    <x v="1"/>
    <n v="1"/>
  </r>
  <r>
    <n v="536635000000000"/>
    <x v="0"/>
    <x v="87"/>
    <x v="1"/>
    <s v="SAO CRISTOVAO"/>
    <d v="2016-05-16T00:00:00"/>
    <d v="2016-05-19T00:00:00"/>
    <x v="3"/>
    <x v="89"/>
    <x v="4"/>
    <n v="1"/>
    <x v="1"/>
    <n v="0"/>
    <n v="0"/>
    <n v="0"/>
    <x v="1"/>
    <x v="0"/>
    <n v="0"/>
  </r>
  <r>
    <n v="891337000000000"/>
    <x v="0"/>
    <x v="62"/>
    <x v="3"/>
    <s v="REDENCAO"/>
    <d v="2016-05-16T00:00:00"/>
    <d v="2016-06-06T00:00:00"/>
    <x v="2"/>
    <x v="73"/>
    <x v="1"/>
    <n v="0"/>
    <x v="0"/>
    <n v="0"/>
    <n v="0"/>
    <n v="0"/>
    <x v="0"/>
    <x v="0"/>
    <n v="0"/>
  </r>
  <r>
    <n v="99347400000000"/>
    <x v="0"/>
    <x v="70"/>
    <x v="5"/>
    <s v="SOLON BORGES"/>
    <d v="2016-05-16T00:00:00"/>
    <d v="2016-05-16T00:00:00"/>
    <x v="2"/>
    <x v="94"/>
    <x v="5"/>
    <n v="0"/>
    <x v="1"/>
    <n v="0"/>
    <n v="0"/>
    <n v="0"/>
    <x v="1"/>
    <x v="0"/>
    <n v="0"/>
  </r>
  <r>
    <n v="8156300000000"/>
    <x v="1"/>
    <x v="15"/>
    <x v="3"/>
    <s v="JARDIM CAMBURI"/>
    <d v="2016-05-16T00:00:00"/>
    <d v="2016-05-19T00:00:00"/>
    <x v="3"/>
    <x v="89"/>
    <x v="4"/>
    <n v="0"/>
    <x v="1"/>
    <n v="0"/>
    <n v="0"/>
    <n v="0"/>
    <x v="1"/>
    <x v="0"/>
    <n v="0"/>
  </r>
  <r>
    <n v="6382270000000"/>
    <x v="0"/>
    <x v="36"/>
    <x v="3"/>
    <s v="JARDIM CAMBURI"/>
    <d v="2016-05-16T00:00:00"/>
    <d v="2016-05-19T00:00:00"/>
    <x v="3"/>
    <x v="89"/>
    <x v="4"/>
    <n v="0"/>
    <x v="1"/>
    <n v="0"/>
    <n v="0"/>
    <n v="0"/>
    <x v="1"/>
    <x v="0"/>
    <n v="0"/>
  </r>
  <r>
    <n v="76899900000000"/>
    <x v="1"/>
    <x v="29"/>
    <x v="3"/>
    <s v="BELA VISTA"/>
    <d v="2016-05-17T00:00:00"/>
    <d v="2016-05-19T00:00:00"/>
    <x v="3"/>
    <x v="91"/>
    <x v="4"/>
    <n v="0"/>
    <x v="0"/>
    <n v="1"/>
    <n v="0"/>
    <n v="0"/>
    <x v="1"/>
    <x v="0"/>
    <n v="0"/>
  </r>
  <r>
    <n v="471684000000000"/>
    <x v="0"/>
    <x v="55"/>
    <x v="2"/>
    <s v="MARUIPE"/>
    <d v="2016-05-17T00:00:00"/>
    <d v="2016-05-17T00:00:00"/>
    <x v="4"/>
    <x v="94"/>
    <x v="5"/>
    <n v="0"/>
    <x v="1"/>
    <n v="0"/>
    <n v="0"/>
    <n v="0"/>
    <x v="1"/>
    <x v="0"/>
    <n v="0"/>
  </r>
  <r>
    <n v="951614000000000"/>
    <x v="0"/>
    <x v="22"/>
    <x v="4"/>
    <s v="JARDIM DA PENHA"/>
    <d v="2016-05-17T00:00:00"/>
    <d v="2016-05-17T00:00:00"/>
    <x v="4"/>
    <x v="94"/>
    <x v="5"/>
    <n v="0"/>
    <x v="1"/>
    <n v="0"/>
    <n v="0"/>
    <n v="0"/>
    <x v="1"/>
    <x v="0"/>
    <n v="0"/>
  </r>
  <r>
    <n v="693376000000000"/>
    <x v="0"/>
    <x v="77"/>
    <x v="4"/>
    <s v="JESUS DE NAZARETH"/>
    <d v="2016-05-17T00:00:00"/>
    <d v="2016-05-18T00:00:00"/>
    <x v="1"/>
    <x v="93"/>
    <x v="4"/>
    <n v="0"/>
    <x v="1"/>
    <n v="0"/>
    <n v="0"/>
    <n v="0"/>
    <x v="1"/>
    <x v="0"/>
    <n v="0"/>
  </r>
  <r>
    <n v="98955600000000"/>
    <x v="1"/>
    <x v="39"/>
    <x v="4"/>
    <s v="GURIGICA"/>
    <d v="2016-05-17T00:00:00"/>
    <d v="2016-05-17T00:00:00"/>
    <x v="4"/>
    <x v="94"/>
    <x v="5"/>
    <n v="0"/>
    <x v="1"/>
    <n v="0"/>
    <n v="1"/>
    <n v="0"/>
    <x v="1"/>
    <x v="0"/>
    <n v="0"/>
  </r>
  <r>
    <n v="693742000000000"/>
    <x v="1"/>
    <x v="49"/>
    <x v="4"/>
    <s v="MONTE BELO"/>
    <d v="2016-05-17T00:00:00"/>
    <d v="2016-05-17T00:00:00"/>
    <x v="4"/>
    <x v="94"/>
    <x v="5"/>
    <n v="0"/>
    <x v="1"/>
    <n v="0"/>
    <n v="0"/>
    <n v="0"/>
    <x v="1"/>
    <x v="0"/>
    <n v="0"/>
  </r>
  <r>
    <n v="381923000000000"/>
    <x v="1"/>
    <x v="33"/>
    <x v="4"/>
    <s v="ITARARE"/>
    <d v="2016-05-17T00:00:00"/>
    <d v="2016-05-19T00:00:00"/>
    <x v="3"/>
    <x v="91"/>
    <x v="4"/>
    <n v="0"/>
    <x v="0"/>
    <n v="0"/>
    <n v="0"/>
    <n v="0"/>
    <x v="1"/>
    <x v="1"/>
    <n v="1"/>
  </r>
  <r>
    <n v="5457890000000"/>
    <x v="0"/>
    <x v="84"/>
    <x v="1"/>
    <s v="MARIA ORTIZ"/>
    <d v="2016-05-17T00:00:00"/>
    <d v="2016-05-17T00:00:00"/>
    <x v="4"/>
    <x v="94"/>
    <x v="5"/>
    <n v="0"/>
    <x v="1"/>
    <n v="0"/>
    <n v="0"/>
    <n v="0"/>
    <x v="1"/>
    <x v="0"/>
    <n v="0"/>
  </r>
  <r>
    <n v="2754420000000"/>
    <x v="0"/>
    <x v="14"/>
    <x v="3"/>
    <s v="SANTA TEREZA"/>
    <d v="2016-05-17T00:00:00"/>
    <d v="2016-05-17T00:00:00"/>
    <x v="4"/>
    <x v="94"/>
    <x v="5"/>
    <n v="0"/>
    <x v="0"/>
    <n v="0"/>
    <n v="0"/>
    <n v="0"/>
    <x v="1"/>
    <x v="0"/>
    <n v="0"/>
  </r>
  <r>
    <n v="7859990000000"/>
    <x v="0"/>
    <x v="11"/>
    <x v="0"/>
    <s v="TABUAZEIRO"/>
    <d v="2016-05-17T00:00:00"/>
    <d v="2016-05-17T00:00:00"/>
    <x v="4"/>
    <x v="94"/>
    <x v="5"/>
    <n v="0"/>
    <x v="0"/>
    <n v="1"/>
    <n v="0"/>
    <n v="0"/>
    <x v="1"/>
    <x v="0"/>
    <n v="0"/>
  </r>
  <r>
    <n v="949392000000"/>
    <x v="1"/>
    <x v="52"/>
    <x v="2"/>
    <s v="GURIGICA"/>
    <d v="2016-05-17T00:00:00"/>
    <d v="2016-06-06T00:00:00"/>
    <x v="2"/>
    <x v="76"/>
    <x v="1"/>
    <n v="0"/>
    <x v="1"/>
    <n v="0"/>
    <n v="0"/>
    <n v="0"/>
    <x v="0"/>
    <x v="0"/>
    <n v="0"/>
  </r>
  <r>
    <n v="6775860000000"/>
    <x v="0"/>
    <x v="46"/>
    <x v="2"/>
    <s v="CONSOLACAO"/>
    <d v="2016-05-17T00:00:00"/>
    <d v="2016-06-06T00:00:00"/>
    <x v="2"/>
    <x v="76"/>
    <x v="1"/>
    <n v="0"/>
    <x v="1"/>
    <n v="0"/>
    <n v="0"/>
    <n v="0"/>
    <x v="0"/>
    <x v="0"/>
    <n v="0"/>
  </r>
  <r>
    <n v="7550000000000"/>
    <x v="0"/>
    <x v="37"/>
    <x v="3"/>
    <s v="FORTE SAO JOAO"/>
    <d v="2016-05-17T00:00:00"/>
    <d v="2016-05-18T00:00:00"/>
    <x v="1"/>
    <x v="93"/>
    <x v="4"/>
    <n v="0"/>
    <x v="1"/>
    <n v="1"/>
    <n v="0"/>
    <n v="0"/>
    <x v="1"/>
    <x v="0"/>
    <n v="0"/>
  </r>
  <r>
    <n v="4223190000000"/>
    <x v="1"/>
    <x v="42"/>
    <x v="3"/>
    <s v="RESISTENCIA"/>
    <d v="2016-05-17T00:00:00"/>
    <d v="2016-05-17T00:00:00"/>
    <x v="4"/>
    <x v="94"/>
    <x v="5"/>
    <n v="0"/>
    <x v="1"/>
    <n v="0"/>
    <n v="0"/>
    <n v="0"/>
    <x v="1"/>
    <x v="0"/>
    <n v="0"/>
  </r>
  <r>
    <n v="1424770000000"/>
    <x v="1"/>
    <x v="46"/>
    <x v="2"/>
    <s v="GURIGICA"/>
    <d v="2016-05-17T00:00:00"/>
    <d v="2016-06-06T00:00:00"/>
    <x v="2"/>
    <x v="76"/>
    <x v="1"/>
    <n v="0"/>
    <x v="1"/>
    <n v="0"/>
    <n v="0"/>
    <n v="0"/>
    <x v="1"/>
    <x v="1"/>
    <n v="1"/>
  </r>
  <r>
    <n v="66662700000000"/>
    <x v="0"/>
    <x v="31"/>
    <x v="1"/>
    <s v="GURIGICA"/>
    <d v="2016-05-17T00:00:00"/>
    <d v="2016-05-17T00:00:00"/>
    <x v="4"/>
    <x v="94"/>
    <x v="5"/>
    <n v="1"/>
    <x v="1"/>
    <n v="0"/>
    <n v="0"/>
    <n v="0"/>
    <x v="1"/>
    <x v="0"/>
    <n v="0"/>
  </r>
  <r>
    <n v="7145930000000"/>
    <x v="0"/>
    <x v="29"/>
    <x v="3"/>
    <s v="FORTE SAO JOAO"/>
    <d v="2016-05-17T00:00:00"/>
    <d v="2016-05-19T00:00:00"/>
    <x v="3"/>
    <x v="91"/>
    <x v="4"/>
    <n v="0"/>
    <x v="0"/>
    <n v="0"/>
    <n v="0"/>
    <n v="0"/>
    <x v="1"/>
    <x v="0"/>
    <n v="0"/>
  </r>
  <r>
    <n v="1529440000000"/>
    <x v="1"/>
    <x v="4"/>
    <x v="2"/>
    <s v="SAO BENEDITO"/>
    <d v="2016-05-17T00:00:00"/>
    <d v="2016-05-17T00:00:00"/>
    <x v="4"/>
    <x v="94"/>
    <x v="5"/>
    <n v="0"/>
    <x v="1"/>
    <n v="0"/>
    <n v="0"/>
    <n v="0"/>
    <x v="1"/>
    <x v="0"/>
    <n v="0"/>
  </r>
  <r>
    <n v="64491100000000"/>
    <x v="0"/>
    <x v="69"/>
    <x v="4"/>
    <s v="MARIA ORTIZ"/>
    <d v="2016-05-17T00:00:00"/>
    <d v="2016-05-17T00:00:00"/>
    <x v="4"/>
    <x v="94"/>
    <x v="5"/>
    <n v="0"/>
    <x v="1"/>
    <n v="0"/>
    <n v="0"/>
    <n v="0"/>
    <x v="1"/>
    <x v="0"/>
    <n v="0"/>
  </r>
  <r>
    <n v="956397000000000"/>
    <x v="0"/>
    <x v="51"/>
    <x v="2"/>
    <s v="SANTA MARTHA"/>
    <d v="2016-05-17T00:00:00"/>
    <d v="2016-05-17T00:00:00"/>
    <x v="4"/>
    <x v="94"/>
    <x v="5"/>
    <n v="0"/>
    <x v="1"/>
    <n v="0"/>
    <n v="0"/>
    <n v="0"/>
    <x v="1"/>
    <x v="0"/>
    <n v="0"/>
  </r>
  <r>
    <n v="48436200000000"/>
    <x v="0"/>
    <x v="87"/>
    <x v="1"/>
    <s v="SANTO ANDRE"/>
    <d v="2016-05-17T00:00:00"/>
    <d v="2016-05-31T00:00:00"/>
    <x v="4"/>
    <x v="80"/>
    <x v="2"/>
    <n v="1"/>
    <x v="1"/>
    <n v="0"/>
    <n v="0"/>
    <n v="0"/>
    <x v="0"/>
    <x v="1"/>
    <n v="1"/>
  </r>
  <r>
    <n v="219363000000"/>
    <x v="0"/>
    <x v="70"/>
    <x v="5"/>
    <s v="MARIA ORTIZ"/>
    <d v="2016-05-17T00:00:00"/>
    <d v="2016-05-17T00:00:00"/>
    <x v="4"/>
    <x v="94"/>
    <x v="5"/>
    <n v="0"/>
    <x v="1"/>
    <n v="0"/>
    <n v="0"/>
    <n v="0"/>
    <x v="1"/>
    <x v="0"/>
    <n v="0"/>
  </r>
  <r>
    <n v="38537182146"/>
    <x v="0"/>
    <x v="23"/>
    <x v="3"/>
    <s v="NOVA PALESTINA"/>
    <d v="2016-05-17T00:00:00"/>
    <d v="2016-05-17T00:00:00"/>
    <x v="4"/>
    <x v="94"/>
    <x v="5"/>
    <n v="0"/>
    <x v="0"/>
    <n v="1"/>
    <n v="0"/>
    <n v="1"/>
    <x v="1"/>
    <x v="0"/>
    <n v="0"/>
  </r>
  <r>
    <n v="29368500000000"/>
    <x v="0"/>
    <x v="27"/>
    <x v="3"/>
    <s v="ILHA DE SANTA MARIA"/>
    <d v="2016-05-17T00:00:00"/>
    <d v="2016-05-19T00:00:00"/>
    <x v="3"/>
    <x v="91"/>
    <x v="4"/>
    <n v="0"/>
    <x v="1"/>
    <n v="0"/>
    <n v="0"/>
    <n v="0"/>
    <x v="1"/>
    <x v="1"/>
    <n v="1"/>
  </r>
  <r>
    <n v="94536800000000"/>
    <x v="1"/>
    <x v="61"/>
    <x v="1"/>
    <s v="DO QUADRO"/>
    <d v="2016-05-17T00:00:00"/>
    <d v="2016-05-18T00:00:00"/>
    <x v="1"/>
    <x v="93"/>
    <x v="4"/>
    <n v="0"/>
    <x v="1"/>
    <n v="0"/>
    <n v="0"/>
    <n v="0"/>
    <x v="1"/>
    <x v="0"/>
    <n v="0"/>
  </r>
  <r>
    <n v="63449500000000"/>
    <x v="1"/>
    <x v="61"/>
    <x v="1"/>
    <s v="GRANDE VITORIA"/>
    <d v="2016-05-17T00:00:00"/>
    <d v="2016-05-19T00:00:00"/>
    <x v="3"/>
    <x v="91"/>
    <x v="4"/>
    <n v="0"/>
    <x v="0"/>
    <n v="0"/>
    <n v="0"/>
    <n v="0"/>
    <x v="1"/>
    <x v="0"/>
    <n v="0"/>
  </r>
  <r>
    <n v="5959720000000"/>
    <x v="0"/>
    <x v="72"/>
    <x v="5"/>
    <s v="JESUS DE NAZARETH"/>
    <d v="2016-05-17T00:00:00"/>
    <d v="2016-05-17T00:00:00"/>
    <x v="4"/>
    <x v="94"/>
    <x v="5"/>
    <n v="0"/>
    <x v="1"/>
    <n v="0"/>
    <n v="0"/>
    <n v="0"/>
    <x v="1"/>
    <x v="0"/>
    <n v="0"/>
  </r>
  <r>
    <n v="423144000000000"/>
    <x v="0"/>
    <x v="10"/>
    <x v="4"/>
    <s v="FRADINHOS"/>
    <d v="2016-05-17T00:00:00"/>
    <d v="2016-05-17T00:00:00"/>
    <x v="4"/>
    <x v="94"/>
    <x v="5"/>
    <n v="0"/>
    <x v="1"/>
    <n v="0"/>
    <n v="0"/>
    <n v="0"/>
    <x v="1"/>
    <x v="0"/>
    <n v="0"/>
  </r>
  <r>
    <n v="516579000000000"/>
    <x v="0"/>
    <x v="24"/>
    <x v="1"/>
    <s v="SAO PEDRO"/>
    <d v="2016-05-17T00:00:00"/>
    <d v="2016-05-17T00:00:00"/>
    <x v="4"/>
    <x v="94"/>
    <x v="5"/>
    <n v="0"/>
    <x v="0"/>
    <n v="0"/>
    <n v="0"/>
    <n v="0"/>
    <x v="1"/>
    <x v="0"/>
    <n v="0"/>
  </r>
  <r>
    <n v="56721900000000"/>
    <x v="1"/>
    <x v="21"/>
    <x v="1"/>
    <s v="RESISTENCIA"/>
    <d v="2016-05-17T00:00:00"/>
    <d v="2016-05-17T00:00:00"/>
    <x v="4"/>
    <x v="94"/>
    <x v="5"/>
    <n v="0"/>
    <x v="0"/>
    <n v="0"/>
    <n v="0"/>
    <n v="0"/>
    <x v="1"/>
    <x v="0"/>
    <n v="0"/>
  </r>
  <r>
    <n v="51162700000000"/>
    <x v="0"/>
    <x v="46"/>
    <x v="2"/>
    <s v="SANTA TEREZA"/>
    <d v="2016-05-17T00:00:00"/>
    <d v="2016-05-17T00:00:00"/>
    <x v="4"/>
    <x v="94"/>
    <x v="5"/>
    <n v="0"/>
    <x v="1"/>
    <n v="0"/>
    <n v="0"/>
    <n v="0"/>
    <x v="1"/>
    <x v="0"/>
    <n v="0"/>
  </r>
  <r>
    <n v="19536600000000"/>
    <x v="0"/>
    <x v="46"/>
    <x v="2"/>
    <s v="JARDIM CAMBURI"/>
    <d v="2016-05-17T00:00:00"/>
    <d v="2016-05-17T00:00:00"/>
    <x v="4"/>
    <x v="94"/>
    <x v="5"/>
    <n v="0"/>
    <x v="1"/>
    <n v="0"/>
    <n v="0"/>
    <n v="0"/>
    <x v="1"/>
    <x v="0"/>
    <n v="0"/>
  </r>
  <r>
    <n v="9329820000000"/>
    <x v="1"/>
    <x v="48"/>
    <x v="3"/>
    <s v="NOVA PALESTINA"/>
    <d v="2016-05-17T00:00:00"/>
    <d v="2016-05-17T00:00:00"/>
    <x v="4"/>
    <x v="94"/>
    <x v="5"/>
    <n v="0"/>
    <x v="0"/>
    <n v="0"/>
    <n v="0"/>
    <n v="0"/>
    <x v="1"/>
    <x v="0"/>
    <n v="0"/>
  </r>
  <r>
    <n v="693872000000000"/>
    <x v="1"/>
    <x v="46"/>
    <x v="2"/>
    <s v="DO MOSCOSO"/>
    <d v="2016-05-17T00:00:00"/>
    <d v="2016-05-17T00:00:00"/>
    <x v="4"/>
    <x v="94"/>
    <x v="5"/>
    <n v="0"/>
    <x v="1"/>
    <n v="0"/>
    <n v="0"/>
    <n v="0"/>
    <x v="1"/>
    <x v="0"/>
    <n v="0"/>
  </r>
  <r>
    <n v="3268370000000"/>
    <x v="1"/>
    <x v="66"/>
    <x v="2"/>
    <s v="GURIGICA"/>
    <d v="2016-05-17T00:00:00"/>
    <d v="2016-06-06T00:00:00"/>
    <x v="2"/>
    <x v="76"/>
    <x v="1"/>
    <n v="1"/>
    <x v="1"/>
    <n v="0"/>
    <n v="0"/>
    <n v="0"/>
    <x v="0"/>
    <x v="0"/>
    <n v="0"/>
  </r>
  <r>
    <n v="59445133189"/>
    <x v="0"/>
    <x v="46"/>
    <x v="2"/>
    <s v="RESISTENCIA"/>
    <d v="2016-05-17T00:00:00"/>
    <d v="2016-05-17T00:00:00"/>
    <x v="4"/>
    <x v="94"/>
    <x v="5"/>
    <n v="0"/>
    <x v="1"/>
    <n v="0"/>
    <n v="0"/>
    <n v="0"/>
    <x v="1"/>
    <x v="0"/>
    <n v="0"/>
  </r>
  <r>
    <n v="6455870000000"/>
    <x v="0"/>
    <x v="60"/>
    <x v="2"/>
    <s v="GRANDE VITORIA"/>
    <d v="2016-05-17T00:00:00"/>
    <d v="2016-05-17T00:00:00"/>
    <x v="4"/>
    <x v="94"/>
    <x v="5"/>
    <n v="0"/>
    <x v="1"/>
    <n v="0"/>
    <n v="0"/>
    <n v="0"/>
    <x v="1"/>
    <x v="0"/>
    <n v="0"/>
  </r>
  <r>
    <n v="575529000000000"/>
    <x v="1"/>
    <x v="41"/>
    <x v="4"/>
    <s v="SAO JOSE"/>
    <d v="2016-05-17T00:00:00"/>
    <d v="2016-05-17T00:00:00"/>
    <x v="4"/>
    <x v="94"/>
    <x v="5"/>
    <n v="0"/>
    <x v="1"/>
    <n v="0"/>
    <n v="0"/>
    <n v="0"/>
    <x v="1"/>
    <x v="0"/>
    <n v="0"/>
  </r>
  <r>
    <n v="9195410000000"/>
    <x v="1"/>
    <x v="55"/>
    <x v="2"/>
    <s v="ILHA DE SANTA MARIA"/>
    <d v="2016-05-17T00:00:00"/>
    <d v="2016-05-17T00:00:00"/>
    <x v="4"/>
    <x v="94"/>
    <x v="5"/>
    <n v="0"/>
    <x v="1"/>
    <n v="0"/>
    <n v="0"/>
    <n v="0"/>
    <x v="1"/>
    <x v="0"/>
    <n v="0"/>
  </r>
  <r>
    <n v="69314800000000"/>
    <x v="0"/>
    <x v="21"/>
    <x v="1"/>
    <s v="GURIGICA"/>
    <d v="2016-05-17T00:00:00"/>
    <d v="2016-05-30T00:00:00"/>
    <x v="2"/>
    <x v="82"/>
    <x v="2"/>
    <n v="0"/>
    <x v="0"/>
    <n v="0"/>
    <n v="0"/>
    <n v="1"/>
    <x v="0"/>
    <x v="0"/>
    <n v="0"/>
  </r>
  <r>
    <n v="848187000000"/>
    <x v="0"/>
    <x v="36"/>
    <x v="3"/>
    <s v="CENTRO"/>
    <d v="2016-05-17T00:00:00"/>
    <d v="2016-05-17T00:00:00"/>
    <x v="4"/>
    <x v="94"/>
    <x v="5"/>
    <n v="0"/>
    <x v="0"/>
    <n v="0"/>
    <n v="0"/>
    <n v="0"/>
    <x v="1"/>
    <x v="0"/>
    <n v="0"/>
  </r>
  <r>
    <n v="8751170000000"/>
    <x v="0"/>
    <x v="61"/>
    <x v="1"/>
    <s v="CARATOIRA"/>
    <d v="2016-05-17T00:00:00"/>
    <d v="2016-05-18T00:00:00"/>
    <x v="1"/>
    <x v="93"/>
    <x v="4"/>
    <n v="0"/>
    <x v="1"/>
    <n v="0"/>
    <n v="0"/>
    <n v="0"/>
    <x v="1"/>
    <x v="0"/>
    <n v="0"/>
  </r>
  <r>
    <n v="74756500000000"/>
    <x v="1"/>
    <x v="48"/>
    <x v="3"/>
    <s v="SANTA MARTHA"/>
    <d v="2016-05-17T00:00:00"/>
    <d v="2016-05-17T00:00:00"/>
    <x v="4"/>
    <x v="94"/>
    <x v="5"/>
    <n v="0"/>
    <x v="1"/>
    <n v="0"/>
    <n v="0"/>
    <n v="0"/>
    <x v="1"/>
    <x v="0"/>
    <n v="0"/>
  </r>
  <r>
    <n v="386287000000000"/>
    <x v="1"/>
    <x v="52"/>
    <x v="2"/>
    <s v="SANTOS DUMONT"/>
    <d v="2016-05-17T00:00:00"/>
    <d v="2016-05-17T00:00:00"/>
    <x v="4"/>
    <x v="94"/>
    <x v="5"/>
    <n v="0"/>
    <x v="1"/>
    <n v="0"/>
    <n v="0"/>
    <n v="0"/>
    <x v="1"/>
    <x v="0"/>
    <n v="0"/>
  </r>
  <r>
    <n v="541830000000"/>
    <x v="1"/>
    <x v="50"/>
    <x v="1"/>
    <s v="BARRO VERMELHO"/>
    <d v="2016-05-17T00:00:00"/>
    <d v="2016-05-17T00:00:00"/>
    <x v="4"/>
    <x v="94"/>
    <x v="5"/>
    <n v="0"/>
    <x v="1"/>
    <n v="0"/>
    <n v="0"/>
    <n v="0"/>
    <x v="1"/>
    <x v="0"/>
    <n v="0"/>
  </r>
  <r>
    <n v="467375000000000"/>
    <x v="0"/>
    <x v="92"/>
    <x v="0"/>
    <s v="SANTA CECILIA"/>
    <d v="2016-05-17T00:00:00"/>
    <d v="2016-05-19T00:00:00"/>
    <x v="3"/>
    <x v="91"/>
    <x v="4"/>
    <n v="0"/>
    <x v="0"/>
    <n v="0"/>
    <n v="0"/>
    <n v="0"/>
    <x v="1"/>
    <x v="0"/>
    <n v="0"/>
  </r>
  <r>
    <n v="265797000000"/>
    <x v="1"/>
    <x v="72"/>
    <x v="5"/>
    <s v="PRAIA DO SUA"/>
    <d v="2016-05-17T00:00:00"/>
    <d v="2016-05-25T00:00:00"/>
    <x v="1"/>
    <x v="88"/>
    <x v="2"/>
    <n v="0"/>
    <x v="1"/>
    <n v="0"/>
    <n v="0"/>
    <n v="0"/>
    <x v="0"/>
    <x v="1"/>
    <n v="1"/>
  </r>
  <r>
    <n v="99676396336"/>
    <x v="1"/>
    <x v="46"/>
    <x v="2"/>
    <s v="JARDIM CAMBURI"/>
    <d v="2016-05-17T00:00:00"/>
    <d v="2016-05-17T00:00:00"/>
    <x v="4"/>
    <x v="94"/>
    <x v="5"/>
    <n v="0"/>
    <x v="1"/>
    <n v="0"/>
    <n v="0"/>
    <n v="0"/>
    <x v="1"/>
    <x v="0"/>
    <n v="0"/>
  </r>
  <r>
    <n v="1835850000000"/>
    <x v="0"/>
    <x v="43"/>
    <x v="2"/>
    <s v="FORTE SAO JOAO"/>
    <d v="2016-05-17T00:00:00"/>
    <d v="2016-05-17T00:00:00"/>
    <x v="4"/>
    <x v="94"/>
    <x v="5"/>
    <n v="0"/>
    <x v="1"/>
    <n v="0"/>
    <n v="0"/>
    <n v="0"/>
    <x v="1"/>
    <x v="0"/>
    <n v="0"/>
  </r>
  <r>
    <n v="795317000000000"/>
    <x v="0"/>
    <x v="44"/>
    <x v="4"/>
    <s v="ILHA DO PRINCIPE"/>
    <d v="2016-05-17T00:00:00"/>
    <d v="2016-06-01T00:00:00"/>
    <x v="1"/>
    <x v="79"/>
    <x v="1"/>
    <n v="1"/>
    <x v="1"/>
    <n v="0"/>
    <n v="0"/>
    <n v="0"/>
    <x v="0"/>
    <x v="1"/>
    <n v="1"/>
  </r>
  <r>
    <n v="36299200000000"/>
    <x v="0"/>
    <x v="67"/>
    <x v="4"/>
    <s v="PRAIA DO SUA"/>
    <d v="2016-05-17T00:00:00"/>
    <d v="2016-06-01T00:00:00"/>
    <x v="1"/>
    <x v="79"/>
    <x v="1"/>
    <n v="0"/>
    <x v="1"/>
    <n v="0"/>
    <n v="0"/>
    <n v="0"/>
    <x v="1"/>
    <x v="0"/>
    <n v="0"/>
  </r>
  <r>
    <n v="6375610000000"/>
    <x v="0"/>
    <x v="47"/>
    <x v="4"/>
    <s v="SANTO ANDRE"/>
    <d v="2016-05-17T00:00:00"/>
    <d v="2016-05-17T00:00:00"/>
    <x v="4"/>
    <x v="94"/>
    <x v="5"/>
    <n v="0"/>
    <x v="1"/>
    <n v="0"/>
    <n v="0"/>
    <n v="0"/>
    <x v="1"/>
    <x v="0"/>
    <n v="0"/>
  </r>
  <r>
    <n v="859456000000"/>
    <x v="1"/>
    <x v="89"/>
    <x v="0"/>
    <s v="JOANA D ARC"/>
    <d v="2016-05-17T00:00:00"/>
    <d v="2016-05-17T00:00:00"/>
    <x v="4"/>
    <x v="94"/>
    <x v="5"/>
    <n v="0"/>
    <x v="1"/>
    <n v="1"/>
    <n v="0"/>
    <n v="0"/>
    <x v="1"/>
    <x v="0"/>
    <n v="0"/>
  </r>
  <r>
    <n v="419743000000000"/>
    <x v="0"/>
    <x v="33"/>
    <x v="4"/>
    <s v="BELA VISTA"/>
    <d v="2016-05-17T00:00:00"/>
    <d v="2016-06-01T00:00:00"/>
    <x v="1"/>
    <x v="79"/>
    <x v="1"/>
    <n v="1"/>
    <x v="1"/>
    <n v="0"/>
    <n v="0"/>
    <n v="0"/>
    <x v="0"/>
    <x v="1"/>
    <n v="1"/>
  </r>
  <r>
    <n v="85766400000000"/>
    <x v="0"/>
    <x v="77"/>
    <x v="4"/>
    <s v="SANTO ANDRE"/>
    <d v="2016-05-17T00:00:00"/>
    <d v="2016-05-17T00:00:00"/>
    <x v="4"/>
    <x v="94"/>
    <x v="5"/>
    <n v="1"/>
    <x v="1"/>
    <n v="0"/>
    <n v="0"/>
    <n v="0"/>
    <x v="1"/>
    <x v="1"/>
    <n v="1"/>
  </r>
  <r>
    <n v="83263800000000"/>
    <x v="0"/>
    <x v="81"/>
    <x v="5"/>
    <s v="BELA VISTA"/>
    <d v="2016-05-17T00:00:00"/>
    <d v="2016-05-17T00:00:00"/>
    <x v="4"/>
    <x v="94"/>
    <x v="5"/>
    <n v="0"/>
    <x v="1"/>
    <n v="0"/>
    <n v="0"/>
    <n v="0"/>
    <x v="1"/>
    <x v="0"/>
    <n v="0"/>
  </r>
  <r>
    <n v="8253350000000"/>
    <x v="0"/>
    <x v="5"/>
    <x v="1"/>
    <s v="SANTA TEREZA"/>
    <d v="2016-05-17T00:00:00"/>
    <d v="2016-05-17T00:00:00"/>
    <x v="4"/>
    <x v="94"/>
    <x v="5"/>
    <n v="0"/>
    <x v="0"/>
    <n v="0"/>
    <n v="0"/>
    <n v="0"/>
    <x v="1"/>
    <x v="0"/>
    <n v="0"/>
  </r>
  <r>
    <n v="14189800000000"/>
    <x v="0"/>
    <x v="27"/>
    <x v="3"/>
    <s v="CONSOLACAO"/>
    <d v="2016-05-17T00:00:00"/>
    <d v="2016-05-17T00:00:00"/>
    <x v="4"/>
    <x v="94"/>
    <x v="5"/>
    <n v="0"/>
    <x v="1"/>
    <n v="0"/>
    <n v="0"/>
    <n v="0"/>
    <x v="1"/>
    <x v="0"/>
    <n v="0"/>
  </r>
  <r>
    <n v="1196790000000"/>
    <x v="0"/>
    <x v="6"/>
    <x v="0"/>
    <s v="REDENCAO"/>
    <d v="2016-05-17T00:00:00"/>
    <d v="2016-05-17T00:00:00"/>
    <x v="4"/>
    <x v="94"/>
    <x v="5"/>
    <n v="0"/>
    <x v="0"/>
    <n v="0"/>
    <n v="0"/>
    <n v="0"/>
    <x v="1"/>
    <x v="0"/>
    <n v="0"/>
  </r>
  <r>
    <n v="554588000000"/>
    <x v="0"/>
    <x v="81"/>
    <x v="5"/>
    <s v="SANTOS REIS"/>
    <d v="2016-05-17T00:00:00"/>
    <d v="2016-05-30T00:00:00"/>
    <x v="2"/>
    <x v="82"/>
    <x v="2"/>
    <n v="1"/>
    <x v="1"/>
    <n v="0"/>
    <n v="0"/>
    <n v="0"/>
    <x v="0"/>
    <x v="0"/>
    <n v="0"/>
  </r>
  <r>
    <n v="357574000000"/>
    <x v="0"/>
    <x v="84"/>
    <x v="1"/>
    <s v="BELA VISTA"/>
    <d v="2016-05-17T00:00:00"/>
    <d v="2016-05-30T00:00:00"/>
    <x v="2"/>
    <x v="82"/>
    <x v="2"/>
    <n v="0"/>
    <x v="1"/>
    <n v="0"/>
    <n v="0"/>
    <n v="0"/>
    <x v="0"/>
    <x v="1"/>
    <n v="1"/>
  </r>
  <r>
    <n v="33837700000000"/>
    <x v="1"/>
    <x v="58"/>
    <x v="0"/>
    <s v="ITARARE"/>
    <d v="2016-05-17T00:00:00"/>
    <d v="2016-05-31T00:00:00"/>
    <x v="4"/>
    <x v="80"/>
    <x v="2"/>
    <n v="0"/>
    <x v="0"/>
    <n v="0"/>
    <n v="0"/>
    <n v="0"/>
    <x v="0"/>
    <x v="0"/>
    <n v="0"/>
  </r>
  <r>
    <n v="188915000000"/>
    <x v="1"/>
    <x v="19"/>
    <x v="2"/>
    <s v="SANTO ANTONIO"/>
    <d v="2016-05-17T00:00:00"/>
    <d v="2016-05-18T00:00:00"/>
    <x v="1"/>
    <x v="93"/>
    <x v="4"/>
    <n v="0"/>
    <x v="1"/>
    <n v="0"/>
    <n v="0"/>
    <n v="0"/>
    <x v="1"/>
    <x v="0"/>
    <n v="0"/>
  </r>
  <r>
    <n v="94484800000000"/>
    <x v="0"/>
    <x v="83"/>
    <x v="0"/>
    <s v="SANTA MARTHA"/>
    <d v="2016-05-17T00:00:00"/>
    <d v="2016-05-17T00:00:00"/>
    <x v="4"/>
    <x v="94"/>
    <x v="5"/>
    <n v="0"/>
    <x v="0"/>
    <n v="0"/>
    <n v="0"/>
    <n v="0"/>
    <x v="1"/>
    <x v="0"/>
    <n v="0"/>
  </r>
  <r>
    <n v="53634100000000"/>
    <x v="0"/>
    <x v="49"/>
    <x v="4"/>
    <s v="SANTO ANDRE"/>
    <d v="2016-05-17T00:00:00"/>
    <d v="2016-06-07T00:00:00"/>
    <x v="4"/>
    <x v="73"/>
    <x v="1"/>
    <n v="1"/>
    <x v="1"/>
    <n v="0"/>
    <n v="0"/>
    <n v="0"/>
    <x v="0"/>
    <x v="1"/>
    <n v="1"/>
  </r>
  <r>
    <n v="285957000000"/>
    <x v="0"/>
    <x v="77"/>
    <x v="4"/>
    <s v="CARATOIRA"/>
    <d v="2016-05-17T00:00:00"/>
    <d v="2016-05-18T00:00:00"/>
    <x v="1"/>
    <x v="93"/>
    <x v="4"/>
    <n v="0"/>
    <x v="1"/>
    <n v="1"/>
    <n v="0"/>
    <n v="0"/>
    <x v="1"/>
    <x v="0"/>
    <n v="0"/>
  </r>
  <r>
    <n v="442894000000000"/>
    <x v="0"/>
    <x v="36"/>
    <x v="3"/>
    <s v="ROMAO"/>
    <d v="2016-05-17T00:00:00"/>
    <d v="2016-05-30T00:00:00"/>
    <x v="2"/>
    <x v="82"/>
    <x v="2"/>
    <n v="0"/>
    <x v="0"/>
    <n v="1"/>
    <n v="0"/>
    <n v="0"/>
    <x v="0"/>
    <x v="0"/>
    <n v="0"/>
  </r>
  <r>
    <n v="696194000000000"/>
    <x v="0"/>
    <x v="23"/>
    <x v="3"/>
    <s v="JARDIM DA PENHA"/>
    <d v="2016-05-17T00:00:00"/>
    <d v="2016-05-18T00:00:00"/>
    <x v="1"/>
    <x v="93"/>
    <x v="4"/>
    <n v="0"/>
    <x v="1"/>
    <n v="0"/>
    <n v="0"/>
    <n v="0"/>
    <x v="1"/>
    <x v="0"/>
    <n v="0"/>
  </r>
  <r>
    <n v="725619000000"/>
    <x v="0"/>
    <x v="33"/>
    <x v="4"/>
    <s v="SAO PEDRO"/>
    <d v="2016-05-17T00:00:00"/>
    <d v="2016-05-25T00:00:00"/>
    <x v="1"/>
    <x v="88"/>
    <x v="2"/>
    <n v="0"/>
    <x v="1"/>
    <n v="0"/>
    <n v="0"/>
    <n v="0"/>
    <x v="0"/>
    <x v="0"/>
    <n v="0"/>
  </r>
  <r>
    <n v="879773000000000"/>
    <x v="1"/>
    <x v="53"/>
    <x v="0"/>
    <s v="BENTO FERREIRA"/>
    <d v="2016-05-17T00:00:00"/>
    <d v="2016-05-25T00:00:00"/>
    <x v="1"/>
    <x v="88"/>
    <x v="2"/>
    <n v="0"/>
    <x v="1"/>
    <n v="0"/>
    <n v="0"/>
    <n v="0"/>
    <x v="1"/>
    <x v="1"/>
    <n v="1"/>
  </r>
  <r>
    <n v="8325140000000"/>
    <x v="0"/>
    <x v="26"/>
    <x v="0"/>
    <s v="JUCUTUQUARA"/>
    <d v="2016-05-17T00:00:00"/>
    <d v="2016-05-17T00:00:00"/>
    <x v="4"/>
    <x v="94"/>
    <x v="5"/>
    <n v="0"/>
    <x v="1"/>
    <n v="0"/>
    <n v="0"/>
    <n v="0"/>
    <x v="1"/>
    <x v="0"/>
    <n v="0"/>
  </r>
  <r>
    <n v="52152900000000"/>
    <x v="0"/>
    <x v="46"/>
    <x v="2"/>
    <s v="ARIOVALDO FAVALESSA"/>
    <d v="2016-05-17T00:00:00"/>
    <d v="2016-05-18T00:00:00"/>
    <x v="1"/>
    <x v="93"/>
    <x v="4"/>
    <n v="0"/>
    <x v="1"/>
    <n v="0"/>
    <n v="0"/>
    <n v="0"/>
    <x v="1"/>
    <x v="0"/>
    <n v="0"/>
  </r>
  <r>
    <n v="273875000000"/>
    <x v="1"/>
    <x v="88"/>
    <x v="0"/>
    <s v="RESISTENCIA"/>
    <d v="2016-05-17T00:00:00"/>
    <d v="2016-05-17T00:00:00"/>
    <x v="4"/>
    <x v="94"/>
    <x v="5"/>
    <n v="0"/>
    <x v="0"/>
    <n v="0"/>
    <n v="0"/>
    <n v="1"/>
    <x v="1"/>
    <x v="0"/>
    <n v="0"/>
  </r>
  <r>
    <n v="99294400000000"/>
    <x v="1"/>
    <x v="76"/>
    <x v="0"/>
    <s v="BELA VISTA"/>
    <d v="2016-05-17T00:00:00"/>
    <d v="2016-05-24T00:00:00"/>
    <x v="4"/>
    <x v="87"/>
    <x v="3"/>
    <n v="0"/>
    <x v="0"/>
    <n v="1"/>
    <n v="0"/>
    <n v="0"/>
    <x v="0"/>
    <x v="0"/>
    <n v="0"/>
  </r>
  <r>
    <n v="94574900000000"/>
    <x v="1"/>
    <x v="4"/>
    <x v="2"/>
    <s v="JARDIM CAMBURI"/>
    <d v="2016-05-17T00:00:00"/>
    <d v="2016-05-17T00:00:00"/>
    <x v="4"/>
    <x v="94"/>
    <x v="5"/>
    <n v="0"/>
    <x v="1"/>
    <n v="0"/>
    <n v="0"/>
    <n v="0"/>
    <x v="1"/>
    <x v="0"/>
    <n v="0"/>
  </r>
  <r>
    <n v="31977200000000"/>
    <x v="0"/>
    <x v="54"/>
    <x v="1"/>
    <s v="JARDIM CAMBURI"/>
    <d v="2016-05-17T00:00:00"/>
    <d v="2016-05-17T00:00:00"/>
    <x v="4"/>
    <x v="94"/>
    <x v="5"/>
    <n v="0"/>
    <x v="1"/>
    <n v="0"/>
    <n v="0"/>
    <n v="0"/>
    <x v="1"/>
    <x v="0"/>
    <n v="0"/>
  </r>
  <r>
    <n v="38133500000000"/>
    <x v="1"/>
    <x v="60"/>
    <x v="2"/>
    <s v="FORTE SAO JOAO"/>
    <d v="2016-05-17T00:00:00"/>
    <d v="2016-05-31T00:00:00"/>
    <x v="4"/>
    <x v="80"/>
    <x v="2"/>
    <n v="0"/>
    <x v="1"/>
    <n v="0"/>
    <n v="0"/>
    <n v="0"/>
    <x v="0"/>
    <x v="0"/>
    <n v="0"/>
  </r>
  <r>
    <n v="313412000000"/>
    <x v="0"/>
    <x v="55"/>
    <x v="2"/>
    <s v="JOANA D ARC"/>
    <d v="2016-05-17T00:00:00"/>
    <d v="2016-05-24T00:00:00"/>
    <x v="4"/>
    <x v="87"/>
    <x v="3"/>
    <n v="0"/>
    <x v="1"/>
    <n v="0"/>
    <n v="0"/>
    <n v="0"/>
    <x v="1"/>
    <x v="0"/>
    <n v="0"/>
  </r>
  <r>
    <n v="28662700000000"/>
    <x v="0"/>
    <x v="84"/>
    <x v="1"/>
    <s v="JARDIM DA PENHA"/>
    <d v="2016-05-17T00:00:00"/>
    <d v="2016-06-07T00:00:00"/>
    <x v="4"/>
    <x v="73"/>
    <x v="1"/>
    <n v="0"/>
    <x v="0"/>
    <n v="0"/>
    <n v="0"/>
    <n v="0"/>
    <x v="0"/>
    <x v="0"/>
    <n v="0"/>
  </r>
  <r>
    <n v="348771000000000"/>
    <x v="0"/>
    <x v="42"/>
    <x v="3"/>
    <s v="SANTOS DUMONT"/>
    <d v="2016-05-17T00:00:00"/>
    <d v="2016-06-07T00:00:00"/>
    <x v="4"/>
    <x v="73"/>
    <x v="1"/>
    <n v="0"/>
    <x v="0"/>
    <n v="0"/>
    <n v="0"/>
    <n v="0"/>
    <x v="1"/>
    <x v="0"/>
    <n v="0"/>
  </r>
  <r>
    <n v="87187200000000"/>
    <x v="0"/>
    <x v="54"/>
    <x v="1"/>
    <s v="MARIA ORTIZ"/>
    <d v="2016-05-17T00:00:00"/>
    <d v="2016-05-17T00:00:00"/>
    <x v="4"/>
    <x v="94"/>
    <x v="5"/>
    <n v="0"/>
    <x v="1"/>
    <n v="0"/>
    <n v="0"/>
    <n v="0"/>
    <x v="1"/>
    <x v="0"/>
    <n v="0"/>
  </r>
  <r>
    <n v="4123290000000"/>
    <x v="0"/>
    <x v="49"/>
    <x v="4"/>
    <s v="SAO JOSE"/>
    <d v="2016-05-17T00:00:00"/>
    <d v="2016-05-18T00:00:00"/>
    <x v="1"/>
    <x v="93"/>
    <x v="4"/>
    <n v="0"/>
    <x v="1"/>
    <n v="0"/>
    <n v="0"/>
    <n v="0"/>
    <x v="1"/>
    <x v="1"/>
    <n v="1"/>
  </r>
  <r>
    <n v="754623000000"/>
    <x v="1"/>
    <x v="33"/>
    <x v="4"/>
    <s v="SAO JOSE"/>
    <d v="2016-05-17T00:00:00"/>
    <d v="2016-05-18T00:00:00"/>
    <x v="1"/>
    <x v="93"/>
    <x v="4"/>
    <n v="0"/>
    <x v="1"/>
    <n v="0"/>
    <n v="0"/>
    <n v="0"/>
    <x v="1"/>
    <x v="0"/>
    <n v="0"/>
  </r>
  <r>
    <n v="7464190000000"/>
    <x v="0"/>
    <x v="83"/>
    <x v="0"/>
    <s v="SAO CRISTOVAO"/>
    <d v="2016-05-17T00:00:00"/>
    <d v="2016-05-20T00:00:00"/>
    <x v="0"/>
    <x v="89"/>
    <x v="4"/>
    <n v="0"/>
    <x v="0"/>
    <n v="0"/>
    <n v="0"/>
    <n v="1"/>
    <x v="1"/>
    <x v="0"/>
    <n v="0"/>
  </r>
  <r>
    <n v="56882200000000"/>
    <x v="1"/>
    <x v="24"/>
    <x v="1"/>
    <s v="GURIGICA"/>
    <d v="2016-05-17T00:00:00"/>
    <d v="2016-05-20T00:00:00"/>
    <x v="0"/>
    <x v="89"/>
    <x v="4"/>
    <n v="0"/>
    <x v="1"/>
    <n v="0"/>
    <n v="0"/>
    <n v="0"/>
    <x v="1"/>
    <x v="0"/>
    <n v="0"/>
  </r>
  <r>
    <n v="895275000000000"/>
    <x v="0"/>
    <x v="75"/>
    <x v="5"/>
    <s v="PRAIA DO CANTO"/>
    <d v="2016-05-17T00:00:00"/>
    <d v="2016-06-07T00:00:00"/>
    <x v="4"/>
    <x v="73"/>
    <x v="1"/>
    <n v="0"/>
    <x v="1"/>
    <n v="0"/>
    <n v="0"/>
    <n v="0"/>
    <x v="1"/>
    <x v="0"/>
    <n v="0"/>
  </r>
  <r>
    <n v="211513000000000"/>
    <x v="0"/>
    <x v="46"/>
    <x v="2"/>
    <s v="JARDIM CAMBURI"/>
    <d v="2016-05-17T00:00:00"/>
    <d v="2016-05-17T00:00:00"/>
    <x v="4"/>
    <x v="94"/>
    <x v="5"/>
    <n v="0"/>
    <x v="1"/>
    <n v="0"/>
    <n v="0"/>
    <n v="0"/>
    <x v="1"/>
    <x v="0"/>
    <n v="0"/>
  </r>
  <r>
    <n v="51884400000000"/>
    <x v="0"/>
    <x v="33"/>
    <x v="4"/>
    <s v="GURIGICA"/>
    <d v="2016-05-17T00:00:00"/>
    <d v="2016-06-07T00:00:00"/>
    <x v="4"/>
    <x v="73"/>
    <x v="1"/>
    <n v="1"/>
    <x v="1"/>
    <n v="0"/>
    <n v="0"/>
    <n v="0"/>
    <x v="0"/>
    <x v="1"/>
    <n v="1"/>
  </r>
  <r>
    <n v="26428000000000"/>
    <x v="0"/>
    <x v="36"/>
    <x v="3"/>
    <s v="SANTA CLARA"/>
    <d v="2016-05-17T00:00:00"/>
    <d v="2016-05-17T00:00:00"/>
    <x v="4"/>
    <x v="94"/>
    <x v="5"/>
    <n v="0"/>
    <x v="0"/>
    <n v="0"/>
    <n v="0"/>
    <n v="0"/>
    <x v="1"/>
    <x v="0"/>
    <n v="0"/>
  </r>
  <r>
    <n v="81871300000000"/>
    <x v="0"/>
    <x v="69"/>
    <x v="4"/>
    <s v="SAO PEDRO"/>
    <d v="2016-05-17T00:00:00"/>
    <d v="2016-05-31T00:00:00"/>
    <x v="4"/>
    <x v="80"/>
    <x v="2"/>
    <n v="0"/>
    <x v="1"/>
    <n v="0"/>
    <n v="0"/>
    <n v="0"/>
    <x v="1"/>
    <x v="0"/>
    <n v="0"/>
  </r>
  <r>
    <n v="14844900000000"/>
    <x v="0"/>
    <x v="58"/>
    <x v="0"/>
    <s v="REPUBLICA"/>
    <d v="2016-05-17T00:00:00"/>
    <d v="2016-05-17T00:00:00"/>
    <x v="4"/>
    <x v="94"/>
    <x v="5"/>
    <n v="0"/>
    <x v="0"/>
    <n v="0"/>
    <n v="0"/>
    <n v="0"/>
    <x v="1"/>
    <x v="0"/>
    <n v="0"/>
  </r>
  <r>
    <n v="256396000000000"/>
    <x v="0"/>
    <x v="25"/>
    <x v="4"/>
    <s v="JARDIM DA PENHA"/>
    <d v="2016-05-17T00:00:00"/>
    <d v="2016-05-17T00:00:00"/>
    <x v="4"/>
    <x v="94"/>
    <x v="5"/>
    <n v="0"/>
    <x v="1"/>
    <n v="0"/>
    <n v="0"/>
    <n v="0"/>
    <x v="1"/>
    <x v="0"/>
    <n v="0"/>
  </r>
  <r>
    <n v="4845320000000"/>
    <x v="0"/>
    <x v="32"/>
    <x v="4"/>
    <s v="JARDIM CAMBURI"/>
    <d v="2016-05-17T00:00:00"/>
    <d v="2016-05-17T00:00:00"/>
    <x v="4"/>
    <x v="94"/>
    <x v="5"/>
    <n v="0"/>
    <x v="1"/>
    <n v="0"/>
    <n v="0"/>
    <n v="0"/>
    <x v="1"/>
    <x v="1"/>
    <n v="1"/>
  </r>
  <r>
    <n v="586920000000000"/>
    <x v="0"/>
    <x v="65"/>
    <x v="2"/>
    <s v="NOVA PALESTINA"/>
    <d v="2016-05-17T00:00:00"/>
    <d v="2016-05-17T00:00:00"/>
    <x v="4"/>
    <x v="94"/>
    <x v="5"/>
    <n v="0"/>
    <x v="1"/>
    <n v="0"/>
    <n v="0"/>
    <n v="0"/>
    <x v="1"/>
    <x v="0"/>
    <n v="0"/>
  </r>
  <r>
    <n v="979973000000"/>
    <x v="1"/>
    <x v="65"/>
    <x v="2"/>
    <s v="FRADINHOS"/>
    <d v="2016-05-17T00:00:00"/>
    <d v="2016-05-17T00:00:00"/>
    <x v="4"/>
    <x v="94"/>
    <x v="5"/>
    <n v="0"/>
    <x v="1"/>
    <n v="0"/>
    <n v="0"/>
    <n v="0"/>
    <x v="1"/>
    <x v="0"/>
    <n v="0"/>
  </r>
  <r>
    <n v="8397940000000"/>
    <x v="1"/>
    <x v="2"/>
    <x v="1"/>
    <s v="BONFIM"/>
    <d v="2016-05-17T00:00:00"/>
    <d v="2016-05-17T00:00:00"/>
    <x v="4"/>
    <x v="94"/>
    <x v="5"/>
    <n v="0"/>
    <x v="1"/>
    <n v="0"/>
    <n v="0"/>
    <n v="0"/>
    <x v="1"/>
    <x v="0"/>
    <n v="0"/>
  </r>
  <r>
    <n v="49973900000000"/>
    <x v="0"/>
    <x v="66"/>
    <x v="2"/>
    <s v="BONFIM"/>
    <d v="2016-05-17T00:00:00"/>
    <d v="2016-05-17T00:00:00"/>
    <x v="4"/>
    <x v="94"/>
    <x v="5"/>
    <n v="0"/>
    <x v="1"/>
    <n v="0"/>
    <n v="0"/>
    <n v="0"/>
    <x v="1"/>
    <x v="0"/>
    <n v="0"/>
  </r>
  <r>
    <n v="58646300000000"/>
    <x v="0"/>
    <x v="79"/>
    <x v="5"/>
    <s v="SANTO ANTONIO"/>
    <d v="2016-05-17T00:00:00"/>
    <d v="2016-05-17T00:00:00"/>
    <x v="4"/>
    <x v="94"/>
    <x v="5"/>
    <n v="0"/>
    <x v="1"/>
    <n v="0"/>
    <n v="0"/>
    <n v="0"/>
    <x v="1"/>
    <x v="1"/>
    <n v="1"/>
  </r>
  <r>
    <n v="32112000000000"/>
    <x v="0"/>
    <x v="51"/>
    <x v="2"/>
    <s v="ANDORINHAS"/>
    <d v="2016-05-17T00:00:00"/>
    <d v="2016-05-17T00:00:00"/>
    <x v="4"/>
    <x v="94"/>
    <x v="5"/>
    <n v="0"/>
    <x v="1"/>
    <n v="0"/>
    <n v="0"/>
    <n v="0"/>
    <x v="1"/>
    <x v="0"/>
    <n v="0"/>
  </r>
  <r>
    <n v="282554000000"/>
    <x v="0"/>
    <x v="39"/>
    <x v="4"/>
    <s v="CRUZAMENTO"/>
    <d v="2016-05-17T00:00:00"/>
    <d v="2016-06-03T00:00:00"/>
    <x v="0"/>
    <x v="75"/>
    <x v="1"/>
    <n v="0"/>
    <x v="1"/>
    <n v="0"/>
    <n v="0"/>
    <n v="0"/>
    <x v="0"/>
    <x v="1"/>
    <n v="1"/>
  </r>
  <r>
    <n v="8259920000000"/>
    <x v="0"/>
    <x v="71"/>
    <x v="4"/>
    <s v="ITARARE"/>
    <d v="2016-05-17T00:00:00"/>
    <d v="2016-05-17T00:00:00"/>
    <x v="4"/>
    <x v="94"/>
    <x v="5"/>
    <n v="0"/>
    <x v="1"/>
    <n v="0"/>
    <n v="0"/>
    <n v="0"/>
    <x v="1"/>
    <x v="0"/>
    <n v="0"/>
  </r>
  <r>
    <n v="93964700000000"/>
    <x v="0"/>
    <x v="29"/>
    <x v="3"/>
    <s v="BELA VISTA"/>
    <d v="2016-05-17T00:00:00"/>
    <d v="2016-05-30T00:00:00"/>
    <x v="2"/>
    <x v="82"/>
    <x v="2"/>
    <n v="0"/>
    <x v="1"/>
    <n v="0"/>
    <n v="0"/>
    <n v="0"/>
    <x v="0"/>
    <x v="1"/>
    <n v="1"/>
  </r>
  <r>
    <n v="4992620000000"/>
    <x v="0"/>
    <x v="74"/>
    <x v="1"/>
    <s v="NOVA PALESTINA"/>
    <d v="2016-05-17T00:00:00"/>
    <d v="2016-05-31T00:00:00"/>
    <x v="4"/>
    <x v="80"/>
    <x v="2"/>
    <n v="0"/>
    <x v="1"/>
    <n v="0"/>
    <n v="0"/>
    <n v="1"/>
    <x v="0"/>
    <x v="0"/>
    <n v="0"/>
  </r>
  <r>
    <n v="987928000000000"/>
    <x v="0"/>
    <x v="28"/>
    <x v="3"/>
    <s v="MARIA ORTIZ"/>
    <d v="2016-05-17T00:00:00"/>
    <d v="2016-05-17T00:00:00"/>
    <x v="4"/>
    <x v="94"/>
    <x v="5"/>
    <n v="0"/>
    <x v="1"/>
    <n v="0"/>
    <n v="0"/>
    <n v="0"/>
    <x v="1"/>
    <x v="0"/>
    <n v="0"/>
  </r>
  <r>
    <n v="68726200000000"/>
    <x v="1"/>
    <x v="6"/>
    <x v="0"/>
    <s v="SAO PEDRO"/>
    <d v="2016-05-17T00:00:00"/>
    <d v="2016-05-17T00:00:00"/>
    <x v="4"/>
    <x v="94"/>
    <x v="5"/>
    <n v="0"/>
    <x v="0"/>
    <n v="0"/>
    <n v="0"/>
    <n v="0"/>
    <x v="1"/>
    <x v="0"/>
    <n v="0"/>
  </r>
  <r>
    <n v="635667000000"/>
    <x v="0"/>
    <x v="62"/>
    <x v="3"/>
    <s v="PRAIA DO SUA"/>
    <d v="2016-05-17T00:00:00"/>
    <d v="2016-05-18T00:00:00"/>
    <x v="1"/>
    <x v="93"/>
    <x v="4"/>
    <n v="0"/>
    <x v="1"/>
    <n v="0"/>
    <n v="0"/>
    <n v="0"/>
    <x v="1"/>
    <x v="0"/>
    <n v="0"/>
  </r>
  <r>
    <n v="99836300000000"/>
    <x v="0"/>
    <x v="73"/>
    <x v="4"/>
    <s v="SANTA MARTHA"/>
    <d v="2016-05-17T00:00:00"/>
    <d v="2016-05-17T00:00:00"/>
    <x v="4"/>
    <x v="94"/>
    <x v="5"/>
    <n v="0"/>
    <x v="1"/>
    <n v="0"/>
    <n v="0"/>
    <n v="0"/>
    <x v="1"/>
    <x v="0"/>
    <n v="0"/>
  </r>
  <r>
    <n v="48577200000000"/>
    <x v="0"/>
    <x v="63"/>
    <x v="0"/>
    <s v="SANTA LUIZA"/>
    <d v="2016-05-17T00:00:00"/>
    <d v="2016-05-17T00:00:00"/>
    <x v="4"/>
    <x v="94"/>
    <x v="5"/>
    <n v="0"/>
    <x v="1"/>
    <n v="0"/>
    <n v="0"/>
    <n v="0"/>
    <x v="1"/>
    <x v="0"/>
    <n v="0"/>
  </r>
  <r>
    <n v="79557300000000"/>
    <x v="1"/>
    <x v="36"/>
    <x v="3"/>
    <s v="NOVA PALESTINA"/>
    <d v="2016-05-17T00:00:00"/>
    <d v="2016-05-17T00:00:00"/>
    <x v="4"/>
    <x v="94"/>
    <x v="5"/>
    <n v="0"/>
    <x v="1"/>
    <n v="0"/>
    <n v="0"/>
    <n v="0"/>
    <x v="1"/>
    <x v="0"/>
    <n v="0"/>
  </r>
  <r>
    <n v="643943000000000"/>
    <x v="0"/>
    <x v="56"/>
    <x v="1"/>
    <s v="RESISTENCIA"/>
    <d v="2016-05-17T00:00:00"/>
    <d v="2016-05-18T00:00:00"/>
    <x v="1"/>
    <x v="93"/>
    <x v="4"/>
    <n v="1"/>
    <x v="1"/>
    <n v="0"/>
    <n v="0"/>
    <n v="0"/>
    <x v="1"/>
    <x v="0"/>
    <n v="0"/>
  </r>
  <r>
    <n v="88421400000000"/>
    <x v="0"/>
    <x v="71"/>
    <x v="4"/>
    <s v="SANTA MARTHA"/>
    <d v="2016-05-17T00:00:00"/>
    <d v="2016-06-03T00:00:00"/>
    <x v="0"/>
    <x v="75"/>
    <x v="1"/>
    <n v="0"/>
    <x v="1"/>
    <n v="0"/>
    <n v="0"/>
    <n v="0"/>
    <x v="1"/>
    <x v="0"/>
    <n v="0"/>
  </r>
  <r>
    <n v="36181100000000"/>
    <x v="0"/>
    <x v="66"/>
    <x v="2"/>
    <s v="ITARARE"/>
    <d v="2016-05-17T00:00:00"/>
    <d v="2016-05-17T00:00:00"/>
    <x v="4"/>
    <x v="94"/>
    <x v="5"/>
    <n v="0"/>
    <x v="1"/>
    <n v="0"/>
    <n v="0"/>
    <n v="0"/>
    <x v="1"/>
    <x v="0"/>
    <n v="0"/>
  </r>
  <r>
    <n v="353668000000"/>
    <x v="0"/>
    <x v="36"/>
    <x v="3"/>
    <s v="ILHA DE SANTA MARIA"/>
    <d v="2016-05-17T00:00:00"/>
    <d v="2016-05-19T00:00:00"/>
    <x v="3"/>
    <x v="91"/>
    <x v="4"/>
    <n v="0"/>
    <x v="1"/>
    <n v="0"/>
    <n v="0"/>
    <n v="0"/>
    <x v="1"/>
    <x v="1"/>
    <n v="1"/>
  </r>
  <r>
    <n v="753249000000000"/>
    <x v="0"/>
    <x v="7"/>
    <x v="3"/>
    <s v="BELA VISTA"/>
    <d v="2016-05-17T00:00:00"/>
    <d v="2016-05-19T00:00:00"/>
    <x v="3"/>
    <x v="91"/>
    <x v="4"/>
    <n v="0"/>
    <x v="0"/>
    <n v="0"/>
    <n v="0"/>
    <n v="0"/>
    <x v="1"/>
    <x v="1"/>
    <n v="1"/>
  </r>
  <r>
    <n v="26767500000000"/>
    <x v="0"/>
    <x v="27"/>
    <x v="3"/>
    <s v="JARDIM CAMBURI"/>
    <d v="2016-05-17T00:00:00"/>
    <d v="2016-05-19T00:00:00"/>
    <x v="3"/>
    <x v="91"/>
    <x v="4"/>
    <n v="0"/>
    <x v="1"/>
    <n v="0"/>
    <n v="0"/>
    <n v="0"/>
    <x v="1"/>
    <x v="1"/>
    <n v="1"/>
  </r>
  <r>
    <n v="1324180000000"/>
    <x v="0"/>
    <x v="42"/>
    <x v="3"/>
    <s v="JARDIM DA PENHA"/>
    <d v="2016-05-17T00:00:00"/>
    <d v="2016-05-30T00:00:00"/>
    <x v="2"/>
    <x v="82"/>
    <x v="2"/>
    <n v="0"/>
    <x v="1"/>
    <n v="0"/>
    <n v="0"/>
    <n v="0"/>
    <x v="0"/>
    <x v="0"/>
    <n v="0"/>
  </r>
  <r>
    <n v="88826600000000"/>
    <x v="0"/>
    <x v="69"/>
    <x v="4"/>
    <s v="RESISTENCIA"/>
    <d v="2016-05-17T00:00:00"/>
    <d v="2016-05-17T00:00:00"/>
    <x v="4"/>
    <x v="94"/>
    <x v="5"/>
    <n v="0"/>
    <x v="1"/>
    <n v="0"/>
    <n v="0"/>
    <n v="0"/>
    <x v="1"/>
    <x v="0"/>
    <n v="0"/>
  </r>
  <r>
    <n v="19645400000000"/>
    <x v="0"/>
    <x v="2"/>
    <x v="1"/>
    <s v="GURIGICA"/>
    <d v="2016-05-17T00:00:00"/>
    <d v="2016-05-19T00:00:00"/>
    <x v="3"/>
    <x v="91"/>
    <x v="4"/>
    <n v="0"/>
    <x v="0"/>
    <n v="0"/>
    <n v="0"/>
    <n v="0"/>
    <x v="1"/>
    <x v="0"/>
    <n v="0"/>
  </r>
  <r>
    <n v="71636300000000"/>
    <x v="0"/>
    <x v="27"/>
    <x v="3"/>
    <s v="MARUIPE"/>
    <d v="2016-05-17T00:00:00"/>
    <d v="2016-05-19T00:00:00"/>
    <x v="3"/>
    <x v="91"/>
    <x v="4"/>
    <n v="0"/>
    <x v="1"/>
    <n v="0"/>
    <n v="0"/>
    <n v="0"/>
    <x v="1"/>
    <x v="1"/>
    <n v="1"/>
  </r>
  <r>
    <n v="28985500000000"/>
    <x v="0"/>
    <x v="23"/>
    <x v="3"/>
    <s v="JESUS DE NAZARETH"/>
    <d v="2016-05-17T00:00:00"/>
    <d v="2016-05-19T00:00:00"/>
    <x v="3"/>
    <x v="91"/>
    <x v="4"/>
    <n v="1"/>
    <x v="0"/>
    <n v="0"/>
    <n v="0"/>
    <n v="0"/>
    <x v="1"/>
    <x v="0"/>
    <n v="0"/>
  </r>
  <r>
    <n v="443168000000000"/>
    <x v="1"/>
    <x v="8"/>
    <x v="0"/>
    <s v="DA PENHA"/>
    <d v="2016-05-17T00:00:00"/>
    <d v="2016-05-19T00:00:00"/>
    <x v="3"/>
    <x v="91"/>
    <x v="4"/>
    <n v="0"/>
    <x v="0"/>
    <n v="1"/>
    <n v="1"/>
    <n v="0"/>
    <x v="1"/>
    <x v="0"/>
    <n v="0"/>
  </r>
  <r>
    <n v="517568000000"/>
    <x v="0"/>
    <x v="79"/>
    <x v="5"/>
    <s v="SANTO ANTONIO"/>
    <d v="2016-05-17T00:00:00"/>
    <d v="2016-05-19T00:00:00"/>
    <x v="3"/>
    <x v="91"/>
    <x v="4"/>
    <n v="0"/>
    <x v="1"/>
    <n v="0"/>
    <n v="0"/>
    <n v="1"/>
    <x v="1"/>
    <x v="0"/>
    <n v="0"/>
  </r>
  <r>
    <n v="1199850000000"/>
    <x v="0"/>
    <x v="60"/>
    <x v="2"/>
    <s v="SAO JOSE"/>
    <d v="2016-05-17T00:00:00"/>
    <d v="2016-05-19T00:00:00"/>
    <x v="3"/>
    <x v="91"/>
    <x v="4"/>
    <n v="0"/>
    <x v="1"/>
    <n v="0"/>
    <n v="0"/>
    <n v="0"/>
    <x v="1"/>
    <x v="0"/>
    <n v="0"/>
  </r>
  <r>
    <n v="27783100000000"/>
    <x v="1"/>
    <x v="33"/>
    <x v="4"/>
    <s v="ITARARE"/>
    <d v="2016-05-17T00:00:00"/>
    <d v="2016-05-17T00:00:00"/>
    <x v="4"/>
    <x v="94"/>
    <x v="5"/>
    <n v="0"/>
    <x v="1"/>
    <n v="1"/>
    <n v="0"/>
    <n v="0"/>
    <x v="1"/>
    <x v="0"/>
    <n v="0"/>
  </r>
  <r>
    <n v="7325650000000"/>
    <x v="0"/>
    <x v="56"/>
    <x v="1"/>
    <s v="JARDIM CAMBURI"/>
    <d v="2016-05-17T00:00:00"/>
    <d v="2016-05-19T00:00:00"/>
    <x v="3"/>
    <x v="91"/>
    <x v="4"/>
    <n v="0"/>
    <x v="1"/>
    <n v="0"/>
    <n v="0"/>
    <n v="0"/>
    <x v="1"/>
    <x v="0"/>
    <n v="0"/>
  </r>
  <r>
    <n v="37662100000000"/>
    <x v="1"/>
    <x v="44"/>
    <x v="4"/>
    <s v="JOANA D ARC"/>
    <d v="2016-05-17T00:00:00"/>
    <d v="2016-05-17T00:00:00"/>
    <x v="4"/>
    <x v="94"/>
    <x v="5"/>
    <n v="0"/>
    <x v="1"/>
    <n v="0"/>
    <n v="0"/>
    <n v="0"/>
    <x v="1"/>
    <x v="0"/>
    <n v="0"/>
  </r>
  <r>
    <n v="32442400000000"/>
    <x v="1"/>
    <x v="36"/>
    <x v="3"/>
    <s v="JARDIM DA PENHA"/>
    <d v="2016-05-17T00:00:00"/>
    <d v="2016-05-17T00:00:00"/>
    <x v="4"/>
    <x v="94"/>
    <x v="5"/>
    <n v="0"/>
    <x v="1"/>
    <n v="0"/>
    <n v="0"/>
    <n v="0"/>
    <x v="1"/>
    <x v="0"/>
    <n v="0"/>
  </r>
  <r>
    <n v="19913900000000"/>
    <x v="0"/>
    <x v="38"/>
    <x v="4"/>
    <s v="MARIA ORTIZ"/>
    <d v="2016-05-17T00:00:00"/>
    <d v="2016-05-17T00:00:00"/>
    <x v="4"/>
    <x v="94"/>
    <x v="5"/>
    <n v="0"/>
    <x v="1"/>
    <n v="0"/>
    <n v="0"/>
    <n v="0"/>
    <x v="1"/>
    <x v="0"/>
    <n v="0"/>
  </r>
  <r>
    <n v="85922100000000"/>
    <x v="1"/>
    <x v="31"/>
    <x v="1"/>
    <s v="FORTE SAO JOAO"/>
    <d v="2016-05-17T00:00:00"/>
    <d v="2016-05-20T00:00:00"/>
    <x v="0"/>
    <x v="89"/>
    <x v="4"/>
    <n v="1"/>
    <x v="1"/>
    <n v="0"/>
    <n v="0"/>
    <n v="0"/>
    <x v="1"/>
    <x v="0"/>
    <n v="0"/>
  </r>
  <r>
    <n v="753236000000"/>
    <x v="1"/>
    <x v="6"/>
    <x v="0"/>
    <s v="FORTE SAO JOAO"/>
    <d v="2016-05-17T00:00:00"/>
    <d v="2016-05-19T00:00:00"/>
    <x v="3"/>
    <x v="91"/>
    <x v="4"/>
    <n v="0"/>
    <x v="0"/>
    <n v="0"/>
    <n v="0"/>
    <n v="0"/>
    <x v="1"/>
    <x v="1"/>
    <n v="1"/>
  </r>
  <r>
    <n v="24266500000000"/>
    <x v="1"/>
    <x v="32"/>
    <x v="4"/>
    <s v="NOVA PALESTINA"/>
    <d v="2016-05-17T00:00:00"/>
    <d v="2016-05-17T00:00:00"/>
    <x v="4"/>
    <x v="94"/>
    <x v="5"/>
    <n v="0"/>
    <x v="1"/>
    <n v="0"/>
    <n v="0"/>
    <n v="0"/>
    <x v="1"/>
    <x v="1"/>
    <n v="1"/>
  </r>
  <r>
    <n v="2321530000000"/>
    <x v="1"/>
    <x v="77"/>
    <x v="4"/>
    <s v="SANTA CLARA"/>
    <d v="2016-05-17T00:00:00"/>
    <d v="2016-05-19T00:00:00"/>
    <x v="3"/>
    <x v="91"/>
    <x v="4"/>
    <n v="0"/>
    <x v="1"/>
    <n v="0"/>
    <n v="0"/>
    <n v="0"/>
    <x v="1"/>
    <x v="1"/>
    <n v="1"/>
  </r>
  <r>
    <n v="36573400000000"/>
    <x v="0"/>
    <x v="15"/>
    <x v="3"/>
    <s v="RESISTENCIA"/>
    <d v="2016-05-17T00:00:00"/>
    <d v="2016-05-19T00:00:00"/>
    <x v="3"/>
    <x v="91"/>
    <x v="4"/>
    <n v="0"/>
    <x v="1"/>
    <n v="0"/>
    <n v="0"/>
    <n v="0"/>
    <x v="1"/>
    <x v="0"/>
    <n v="0"/>
  </r>
  <r>
    <n v="197567000000"/>
    <x v="0"/>
    <x v="17"/>
    <x v="4"/>
    <s v="ANDORINHAS"/>
    <d v="2016-05-17T00:00:00"/>
    <d v="2016-05-19T00:00:00"/>
    <x v="3"/>
    <x v="91"/>
    <x v="4"/>
    <n v="1"/>
    <x v="1"/>
    <n v="0"/>
    <n v="0"/>
    <n v="0"/>
    <x v="1"/>
    <x v="0"/>
    <n v="0"/>
  </r>
  <r>
    <n v="135149000000000"/>
    <x v="1"/>
    <x v="45"/>
    <x v="1"/>
    <s v="GURIGICA"/>
    <d v="2016-05-17T00:00:00"/>
    <d v="2016-05-19T00:00:00"/>
    <x v="3"/>
    <x v="91"/>
    <x v="4"/>
    <n v="0"/>
    <x v="1"/>
    <n v="0"/>
    <n v="0"/>
    <n v="0"/>
    <x v="1"/>
    <x v="0"/>
    <n v="0"/>
  </r>
  <r>
    <n v="73948100000000"/>
    <x v="1"/>
    <x v="76"/>
    <x v="0"/>
    <s v="BONFIM"/>
    <d v="2016-05-17T00:00:00"/>
    <d v="2016-05-19T00:00:00"/>
    <x v="3"/>
    <x v="91"/>
    <x v="4"/>
    <n v="0"/>
    <x v="0"/>
    <n v="0"/>
    <n v="0"/>
    <n v="0"/>
    <x v="1"/>
    <x v="0"/>
    <n v="0"/>
  </r>
  <r>
    <n v="57436200000000"/>
    <x v="1"/>
    <x v="42"/>
    <x v="3"/>
    <s v="VILA RUBIM"/>
    <d v="2016-05-17T00:00:00"/>
    <d v="2016-05-30T00:00:00"/>
    <x v="2"/>
    <x v="82"/>
    <x v="2"/>
    <n v="0"/>
    <x v="0"/>
    <n v="1"/>
    <n v="0"/>
    <n v="0"/>
    <x v="0"/>
    <x v="0"/>
    <n v="0"/>
  </r>
  <r>
    <n v="6926690000000"/>
    <x v="0"/>
    <x v="85"/>
    <x v="0"/>
    <s v="JARDIM DA PENHA"/>
    <d v="2016-05-17T00:00:00"/>
    <d v="2016-05-24T00:00:00"/>
    <x v="4"/>
    <x v="87"/>
    <x v="3"/>
    <n v="0"/>
    <x v="0"/>
    <n v="0"/>
    <n v="0"/>
    <n v="0"/>
    <x v="0"/>
    <x v="0"/>
    <n v="0"/>
  </r>
  <r>
    <n v="339699000000000"/>
    <x v="0"/>
    <x v="69"/>
    <x v="4"/>
    <s v="SANTA LUIZA"/>
    <d v="2016-05-17T00:00:00"/>
    <d v="2016-05-30T00:00:00"/>
    <x v="2"/>
    <x v="82"/>
    <x v="2"/>
    <n v="0"/>
    <x v="1"/>
    <n v="0"/>
    <n v="0"/>
    <n v="0"/>
    <x v="0"/>
    <x v="1"/>
    <n v="1"/>
  </r>
  <r>
    <n v="752458000000"/>
    <x v="0"/>
    <x v="68"/>
    <x v="4"/>
    <s v="SANTA TEREZA"/>
    <d v="2016-05-17T00:00:00"/>
    <d v="2016-05-19T00:00:00"/>
    <x v="3"/>
    <x v="91"/>
    <x v="4"/>
    <n v="0"/>
    <x v="1"/>
    <n v="0"/>
    <n v="0"/>
    <n v="0"/>
    <x v="1"/>
    <x v="0"/>
    <n v="0"/>
  </r>
  <r>
    <n v="62494300000000"/>
    <x v="1"/>
    <x v="49"/>
    <x v="4"/>
    <s v="RESISTENCIA"/>
    <d v="2016-05-17T00:00:00"/>
    <d v="2016-06-07T00:00:00"/>
    <x v="4"/>
    <x v="73"/>
    <x v="1"/>
    <n v="0"/>
    <x v="1"/>
    <n v="0"/>
    <n v="0"/>
    <n v="0"/>
    <x v="0"/>
    <x v="0"/>
    <n v="0"/>
  </r>
  <r>
    <n v="35957400000000"/>
    <x v="0"/>
    <x v="72"/>
    <x v="5"/>
    <s v="ILHA DO PRINCIPE"/>
    <d v="2016-05-17T00:00:00"/>
    <d v="2016-06-01T00:00:00"/>
    <x v="1"/>
    <x v="79"/>
    <x v="1"/>
    <n v="1"/>
    <x v="1"/>
    <n v="0"/>
    <n v="0"/>
    <n v="0"/>
    <x v="0"/>
    <x v="0"/>
    <n v="0"/>
  </r>
  <r>
    <n v="639215000000000"/>
    <x v="1"/>
    <x v="36"/>
    <x v="3"/>
    <s v="MARUIPE"/>
    <d v="2016-05-17T00:00:00"/>
    <d v="2016-05-19T00:00:00"/>
    <x v="3"/>
    <x v="91"/>
    <x v="4"/>
    <n v="0"/>
    <x v="0"/>
    <n v="0"/>
    <n v="0"/>
    <n v="1"/>
    <x v="1"/>
    <x v="0"/>
    <n v="0"/>
  </r>
  <r>
    <n v="453937000000000"/>
    <x v="1"/>
    <x v="71"/>
    <x v="4"/>
    <s v="INHANGUETA"/>
    <d v="2016-05-17T00:00:00"/>
    <d v="2016-05-17T00:00:00"/>
    <x v="4"/>
    <x v="94"/>
    <x v="5"/>
    <n v="0"/>
    <x v="1"/>
    <n v="0"/>
    <n v="0"/>
    <n v="0"/>
    <x v="1"/>
    <x v="0"/>
    <n v="0"/>
  </r>
  <r>
    <n v="8919490000000"/>
    <x v="0"/>
    <x v="63"/>
    <x v="0"/>
    <s v="COMDUSA"/>
    <d v="2016-05-17T00:00:00"/>
    <d v="2016-05-17T00:00:00"/>
    <x v="4"/>
    <x v="94"/>
    <x v="5"/>
    <n v="0"/>
    <x v="1"/>
    <n v="0"/>
    <n v="0"/>
    <n v="0"/>
    <x v="1"/>
    <x v="0"/>
    <n v="0"/>
  </r>
  <r>
    <n v="96516800000000"/>
    <x v="0"/>
    <x v="47"/>
    <x v="4"/>
    <s v="JARDIM DA PENHA"/>
    <d v="2016-05-17T00:00:00"/>
    <d v="2016-05-17T00:00:00"/>
    <x v="4"/>
    <x v="94"/>
    <x v="5"/>
    <n v="0"/>
    <x v="1"/>
    <n v="0"/>
    <n v="0"/>
    <n v="0"/>
    <x v="1"/>
    <x v="0"/>
    <n v="0"/>
  </r>
  <r>
    <n v="285636000000"/>
    <x v="0"/>
    <x v="47"/>
    <x v="4"/>
    <s v="MARIA ORTIZ"/>
    <d v="2016-05-17T00:00:00"/>
    <d v="2016-05-17T00:00:00"/>
    <x v="4"/>
    <x v="94"/>
    <x v="5"/>
    <n v="0"/>
    <x v="1"/>
    <n v="0"/>
    <n v="0"/>
    <n v="0"/>
    <x v="1"/>
    <x v="0"/>
    <n v="0"/>
  </r>
  <r>
    <n v="1856000000000"/>
    <x v="0"/>
    <x v="69"/>
    <x v="4"/>
    <s v="SANTA LUIZA"/>
    <d v="2016-05-17T00:00:00"/>
    <d v="2016-05-20T00:00:00"/>
    <x v="0"/>
    <x v="89"/>
    <x v="4"/>
    <n v="0"/>
    <x v="1"/>
    <n v="0"/>
    <n v="0"/>
    <n v="0"/>
    <x v="1"/>
    <x v="0"/>
    <n v="0"/>
  </r>
  <r>
    <n v="953375000000000"/>
    <x v="0"/>
    <x v="45"/>
    <x v="1"/>
    <s v="MARIA ORTIZ"/>
    <d v="2016-05-17T00:00:00"/>
    <d v="2016-05-20T00:00:00"/>
    <x v="0"/>
    <x v="89"/>
    <x v="4"/>
    <n v="0"/>
    <x v="1"/>
    <n v="0"/>
    <n v="0"/>
    <n v="0"/>
    <x v="1"/>
    <x v="0"/>
    <n v="0"/>
  </r>
  <r>
    <n v="75232700000000"/>
    <x v="0"/>
    <x v="59"/>
    <x v="2"/>
    <s v="DO QUADRO"/>
    <d v="2016-05-17T00:00:00"/>
    <d v="2016-05-31T00:00:00"/>
    <x v="4"/>
    <x v="80"/>
    <x v="2"/>
    <n v="0"/>
    <x v="1"/>
    <n v="0"/>
    <n v="0"/>
    <n v="0"/>
    <x v="0"/>
    <x v="0"/>
    <n v="0"/>
  </r>
  <r>
    <n v="398172000000"/>
    <x v="0"/>
    <x v="32"/>
    <x v="4"/>
    <s v="INHANGUETA"/>
    <d v="2016-05-17T00:00:00"/>
    <d v="2016-05-20T00:00:00"/>
    <x v="0"/>
    <x v="89"/>
    <x v="4"/>
    <n v="0"/>
    <x v="1"/>
    <n v="0"/>
    <n v="0"/>
    <n v="0"/>
    <x v="1"/>
    <x v="0"/>
    <n v="0"/>
  </r>
  <r>
    <n v="5723180000000"/>
    <x v="0"/>
    <x v="47"/>
    <x v="4"/>
    <s v="RESISTENCIA"/>
    <d v="2016-05-17T00:00:00"/>
    <d v="2016-05-17T00:00:00"/>
    <x v="4"/>
    <x v="94"/>
    <x v="5"/>
    <n v="0"/>
    <x v="1"/>
    <n v="0"/>
    <n v="0"/>
    <n v="0"/>
    <x v="1"/>
    <x v="0"/>
    <n v="0"/>
  </r>
  <r>
    <n v="49486500000000"/>
    <x v="0"/>
    <x v="33"/>
    <x v="4"/>
    <s v="JARDIM CAMBURI"/>
    <d v="2016-05-17T00:00:00"/>
    <d v="2016-05-19T00:00:00"/>
    <x v="3"/>
    <x v="91"/>
    <x v="4"/>
    <n v="0"/>
    <x v="1"/>
    <n v="0"/>
    <n v="0"/>
    <n v="0"/>
    <x v="1"/>
    <x v="0"/>
    <n v="0"/>
  </r>
  <r>
    <n v="6727690000000"/>
    <x v="0"/>
    <x v="80"/>
    <x v="2"/>
    <s v="SAO CRISTOVAO"/>
    <d v="2016-05-17T00:00:00"/>
    <d v="2016-05-17T00:00:00"/>
    <x v="4"/>
    <x v="94"/>
    <x v="5"/>
    <n v="0"/>
    <x v="1"/>
    <n v="0"/>
    <n v="0"/>
    <n v="0"/>
    <x v="1"/>
    <x v="0"/>
    <n v="0"/>
  </r>
  <r>
    <n v="8431380000000"/>
    <x v="0"/>
    <x v="62"/>
    <x v="3"/>
    <s v="CARATOIRA"/>
    <d v="2016-05-17T00:00:00"/>
    <d v="2016-05-20T00:00:00"/>
    <x v="0"/>
    <x v="89"/>
    <x v="4"/>
    <n v="0"/>
    <x v="0"/>
    <n v="0"/>
    <n v="0"/>
    <n v="0"/>
    <x v="1"/>
    <x v="0"/>
    <n v="0"/>
  </r>
  <r>
    <n v="9853380000000"/>
    <x v="0"/>
    <x v="56"/>
    <x v="1"/>
    <s v="ITARARE"/>
    <d v="2016-05-17T00:00:00"/>
    <d v="2016-05-17T00:00:00"/>
    <x v="4"/>
    <x v="94"/>
    <x v="5"/>
    <n v="1"/>
    <x v="1"/>
    <n v="0"/>
    <n v="0"/>
    <n v="0"/>
    <x v="1"/>
    <x v="0"/>
    <n v="0"/>
  </r>
  <r>
    <n v="453630000000000"/>
    <x v="0"/>
    <x v="63"/>
    <x v="0"/>
    <s v="SANTOS DUMONT"/>
    <d v="2016-05-17T00:00:00"/>
    <d v="2016-05-19T00:00:00"/>
    <x v="3"/>
    <x v="91"/>
    <x v="4"/>
    <n v="0"/>
    <x v="0"/>
    <n v="0"/>
    <n v="0"/>
    <n v="0"/>
    <x v="1"/>
    <x v="0"/>
    <n v="0"/>
  </r>
  <r>
    <n v="61247600000000"/>
    <x v="0"/>
    <x v="5"/>
    <x v="1"/>
    <s v="SANTOS DUMONT"/>
    <d v="2016-05-17T00:00:00"/>
    <d v="2016-05-25T00:00:00"/>
    <x v="1"/>
    <x v="88"/>
    <x v="2"/>
    <n v="0"/>
    <x v="0"/>
    <n v="1"/>
    <n v="0"/>
    <n v="0"/>
    <x v="1"/>
    <x v="0"/>
    <n v="0"/>
  </r>
  <r>
    <n v="22579400000000"/>
    <x v="1"/>
    <x v="67"/>
    <x v="4"/>
    <s v="SANTA TEREZA"/>
    <d v="2016-05-17T00:00:00"/>
    <d v="2016-05-17T00:00:00"/>
    <x v="4"/>
    <x v="94"/>
    <x v="5"/>
    <n v="1"/>
    <x v="1"/>
    <n v="0"/>
    <n v="0"/>
    <n v="1"/>
    <x v="1"/>
    <x v="0"/>
    <n v="0"/>
  </r>
  <r>
    <n v="44144000000000"/>
    <x v="1"/>
    <x v="44"/>
    <x v="4"/>
    <s v="ANDORINHAS"/>
    <d v="2016-05-17T00:00:00"/>
    <d v="2016-05-17T00:00:00"/>
    <x v="4"/>
    <x v="94"/>
    <x v="5"/>
    <n v="0"/>
    <x v="1"/>
    <n v="0"/>
    <n v="0"/>
    <n v="0"/>
    <x v="1"/>
    <x v="0"/>
    <n v="0"/>
  </r>
  <r>
    <n v="55572100000000"/>
    <x v="1"/>
    <x v="14"/>
    <x v="3"/>
    <s v="FORTE SAO JOAO"/>
    <d v="2016-05-17T00:00:00"/>
    <d v="2016-05-31T00:00:00"/>
    <x v="4"/>
    <x v="80"/>
    <x v="2"/>
    <n v="0"/>
    <x v="0"/>
    <n v="1"/>
    <n v="0"/>
    <n v="0"/>
    <x v="0"/>
    <x v="0"/>
    <n v="0"/>
  </r>
  <r>
    <n v="539542000000"/>
    <x v="0"/>
    <x v="61"/>
    <x v="1"/>
    <s v="ROMAO"/>
    <d v="2016-05-17T00:00:00"/>
    <d v="2016-05-25T00:00:00"/>
    <x v="1"/>
    <x v="88"/>
    <x v="2"/>
    <n v="0"/>
    <x v="1"/>
    <n v="0"/>
    <n v="0"/>
    <n v="0"/>
    <x v="0"/>
    <x v="0"/>
    <n v="0"/>
  </r>
  <r>
    <n v="13244900000000"/>
    <x v="0"/>
    <x v="21"/>
    <x v="1"/>
    <s v="BELA VISTA"/>
    <d v="2016-05-17T00:00:00"/>
    <d v="2016-05-25T00:00:00"/>
    <x v="1"/>
    <x v="88"/>
    <x v="2"/>
    <n v="0"/>
    <x v="1"/>
    <n v="0"/>
    <n v="0"/>
    <n v="0"/>
    <x v="0"/>
    <x v="0"/>
    <n v="0"/>
  </r>
  <r>
    <n v="81221900000000"/>
    <x v="0"/>
    <x v="69"/>
    <x v="4"/>
    <s v="JARDIM DA PENHA"/>
    <d v="2016-05-17T00:00:00"/>
    <d v="2016-05-17T00:00:00"/>
    <x v="4"/>
    <x v="94"/>
    <x v="5"/>
    <n v="0"/>
    <x v="1"/>
    <n v="0"/>
    <n v="0"/>
    <n v="0"/>
    <x v="1"/>
    <x v="0"/>
    <n v="0"/>
  </r>
  <r>
    <n v="7616820000000"/>
    <x v="0"/>
    <x v="71"/>
    <x v="4"/>
    <s v="ITARARE"/>
    <d v="2016-05-17T00:00:00"/>
    <d v="2016-05-25T00:00:00"/>
    <x v="1"/>
    <x v="88"/>
    <x v="2"/>
    <n v="0"/>
    <x v="1"/>
    <n v="0"/>
    <n v="0"/>
    <n v="0"/>
    <x v="0"/>
    <x v="0"/>
    <n v="0"/>
  </r>
  <r>
    <n v="739412000000000"/>
    <x v="0"/>
    <x v="2"/>
    <x v="1"/>
    <s v="ILHA DE SANTA MARIA"/>
    <d v="2016-05-17T00:00:00"/>
    <d v="2016-05-17T00:00:00"/>
    <x v="4"/>
    <x v="94"/>
    <x v="5"/>
    <n v="0"/>
    <x v="1"/>
    <n v="0"/>
    <n v="0"/>
    <n v="0"/>
    <x v="1"/>
    <x v="0"/>
    <n v="0"/>
  </r>
  <r>
    <n v="13377800000000"/>
    <x v="0"/>
    <x v="51"/>
    <x v="2"/>
    <s v="BONFIM"/>
    <d v="2016-05-17T00:00:00"/>
    <d v="2016-06-08T00:00:00"/>
    <x v="1"/>
    <x v="71"/>
    <x v="1"/>
    <n v="0"/>
    <x v="1"/>
    <n v="0"/>
    <n v="0"/>
    <n v="0"/>
    <x v="0"/>
    <x v="1"/>
    <n v="1"/>
  </r>
  <r>
    <n v="2891920000000"/>
    <x v="0"/>
    <x v="27"/>
    <x v="3"/>
    <s v="JARDIM CAMBURI"/>
    <d v="2016-05-17T00:00:00"/>
    <d v="2016-06-01T00:00:00"/>
    <x v="1"/>
    <x v="79"/>
    <x v="1"/>
    <n v="0"/>
    <x v="1"/>
    <n v="1"/>
    <n v="0"/>
    <n v="0"/>
    <x v="0"/>
    <x v="0"/>
    <n v="0"/>
  </r>
  <r>
    <n v="465714000000000"/>
    <x v="1"/>
    <x v="56"/>
    <x v="1"/>
    <s v="RESISTENCIA"/>
    <d v="2016-05-17T00:00:00"/>
    <d v="2016-06-01T00:00:00"/>
    <x v="1"/>
    <x v="79"/>
    <x v="1"/>
    <n v="0"/>
    <x v="1"/>
    <n v="0"/>
    <n v="0"/>
    <n v="0"/>
    <x v="1"/>
    <x v="1"/>
    <n v="1"/>
  </r>
  <r>
    <n v="847151000000000"/>
    <x v="0"/>
    <x v="46"/>
    <x v="2"/>
    <s v="REDENCAO"/>
    <d v="2016-05-17T00:00:00"/>
    <d v="2016-05-18T00:00:00"/>
    <x v="1"/>
    <x v="93"/>
    <x v="4"/>
    <n v="0"/>
    <x v="1"/>
    <n v="0"/>
    <n v="0"/>
    <n v="0"/>
    <x v="1"/>
    <x v="0"/>
    <n v="0"/>
  </r>
  <r>
    <n v="133826000000"/>
    <x v="0"/>
    <x v="68"/>
    <x v="4"/>
    <s v="MATA DA PRAIA"/>
    <d v="2016-05-17T00:00:00"/>
    <d v="2016-05-18T00:00:00"/>
    <x v="1"/>
    <x v="93"/>
    <x v="4"/>
    <n v="0"/>
    <x v="1"/>
    <n v="0"/>
    <n v="0"/>
    <n v="0"/>
    <x v="1"/>
    <x v="0"/>
    <n v="0"/>
  </r>
  <r>
    <n v="53634300000000"/>
    <x v="0"/>
    <x v="58"/>
    <x v="0"/>
    <s v="ROMAO"/>
    <d v="2016-05-17T00:00:00"/>
    <d v="2016-05-19T00:00:00"/>
    <x v="3"/>
    <x v="91"/>
    <x v="4"/>
    <n v="0"/>
    <x v="0"/>
    <n v="0"/>
    <n v="0"/>
    <n v="0"/>
    <x v="1"/>
    <x v="0"/>
    <n v="0"/>
  </r>
  <r>
    <n v="6756980000000"/>
    <x v="0"/>
    <x v="17"/>
    <x v="4"/>
    <s v="SANTA HELENA"/>
    <d v="2016-05-17T00:00:00"/>
    <d v="2016-05-18T00:00:00"/>
    <x v="1"/>
    <x v="93"/>
    <x v="4"/>
    <n v="0"/>
    <x v="1"/>
    <n v="0"/>
    <n v="0"/>
    <n v="0"/>
    <x v="1"/>
    <x v="0"/>
    <n v="0"/>
  </r>
  <r>
    <n v="7841630000000"/>
    <x v="1"/>
    <x v="68"/>
    <x v="4"/>
    <s v="ROMAO"/>
    <d v="2016-05-17T00:00:00"/>
    <d v="2016-05-17T00:00:00"/>
    <x v="4"/>
    <x v="94"/>
    <x v="5"/>
    <n v="0"/>
    <x v="1"/>
    <n v="0"/>
    <n v="0"/>
    <n v="0"/>
    <x v="1"/>
    <x v="0"/>
    <n v="0"/>
  </r>
  <r>
    <n v="87317100000000"/>
    <x v="1"/>
    <x v="69"/>
    <x v="4"/>
    <s v="SANTO ANDRE"/>
    <d v="2016-05-17T00:00:00"/>
    <d v="2016-05-18T00:00:00"/>
    <x v="1"/>
    <x v="93"/>
    <x v="4"/>
    <n v="0"/>
    <x v="1"/>
    <n v="0"/>
    <n v="0"/>
    <n v="0"/>
    <x v="1"/>
    <x v="0"/>
    <n v="0"/>
  </r>
  <r>
    <n v="6383700000000"/>
    <x v="1"/>
    <x v="66"/>
    <x v="2"/>
    <s v="GURIGICA"/>
    <d v="2016-05-17T00:00:00"/>
    <d v="2016-05-17T00:00:00"/>
    <x v="4"/>
    <x v="94"/>
    <x v="5"/>
    <n v="0"/>
    <x v="1"/>
    <n v="0"/>
    <n v="0"/>
    <n v="0"/>
    <x v="1"/>
    <x v="0"/>
    <n v="0"/>
  </r>
  <r>
    <n v="98439600000000"/>
    <x v="1"/>
    <x v="4"/>
    <x v="2"/>
    <s v="JABOUR"/>
    <d v="2016-05-17T00:00:00"/>
    <d v="2016-05-17T00:00:00"/>
    <x v="4"/>
    <x v="94"/>
    <x v="5"/>
    <n v="0"/>
    <x v="1"/>
    <n v="0"/>
    <n v="0"/>
    <n v="0"/>
    <x v="1"/>
    <x v="0"/>
    <n v="0"/>
  </r>
  <r>
    <n v="75625800000000"/>
    <x v="1"/>
    <x v="15"/>
    <x v="3"/>
    <s v="JABOUR"/>
    <d v="2016-05-17T00:00:00"/>
    <d v="2016-05-17T00:00:00"/>
    <x v="4"/>
    <x v="94"/>
    <x v="5"/>
    <n v="0"/>
    <x v="1"/>
    <n v="0"/>
    <n v="0"/>
    <n v="0"/>
    <x v="1"/>
    <x v="0"/>
    <n v="0"/>
  </r>
  <r>
    <n v="318149000000"/>
    <x v="1"/>
    <x v="50"/>
    <x v="1"/>
    <s v="SANTOS DUMONT"/>
    <d v="2016-05-17T00:00:00"/>
    <d v="2016-05-17T00:00:00"/>
    <x v="4"/>
    <x v="94"/>
    <x v="5"/>
    <n v="0"/>
    <x v="1"/>
    <n v="0"/>
    <n v="0"/>
    <n v="0"/>
    <x v="1"/>
    <x v="0"/>
    <n v="0"/>
  </r>
  <r>
    <n v="97529900000000"/>
    <x v="0"/>
    <x v="71"/>
    <x v="4"/>
    <s v="PRAIA DO SUA"/>
    <d v="2016-05-17T00:00:00"/>
    <d v="2016-05-17T00:00:00"/>
    <x v="4"/>
    <x v="94"/>
    <x v="5"/>
    <n v="0"/>
    <x v="1"/>
    <n v="0"/>
    <n v="0"/>
    <n v="0"/>
    <x v="1"/>
    <x v="0"/>
    <n v="0"/>
  </r>
  <r>
    <n v="371570000000"/>
    <x v="1"/>
    <x v="34"/>
    <x v="0"/>
    <s v="CENTRO"/>
    <d v="2016-05-17T00:00:00"/>
    <d v="2016-05-20T00:00:00"/>
    <x v="0"/>
    <x v="89"/>
    <x v="4"/>
    <n v="0"/>
    <x v="0"/>
    <n v="1"/>
    <n v="0"/>
    <n v="0"/>
    <x v="1"/>
    <x v="0"/>
    <n v="0"/>
  </r>
  <r>
    <n v="65148300000000"/>
    <x v="0"/>
    <x v="36"/>
    <x v="3"/>
    <s v="CARATOIRA"/>
    <d v="2016-05-17T00:00:00"/>
    <d v="2016-05-18T00:00:00"/>
    <x v="1"/>
    <x v="93"/>
    <x v="4"/>
    <n v="0"/>
    <x v="0"/>
    <n v="0"/>
    <n v="0"/>
    <n v="0"/>
    <x v="1"/>
    <x v="0"/>
    <n v="0"/>
  </r>
  <r>
    <n v="956236000000"/>
    <x v="0"/>
    <x v="47"/>
    <x v="4"/>
    <s v="SANTO ANTONIO"/>
    <d v="2016-05-17T00:00:00"/>
    <d v="2016-05-18T00:00:00"/>
    <x v="1"/>
    <x v="93"/>
    <x v="4"/>
    <n v="0"/>
    <x v="1"/>
    <n v="0"/>
    <n v="0"/>
    <n v="0"/>
    <x v="1"/>
    <x v="1"/>
    <n v="1"/>
  </r>
  <r>
    <n v="8492550000000"/>
    <x v="0"/>
    <x v="43"/>
    <x v="2"/>
    <s v="VILA RUBIM"/>
    <d v="2016-05-17T00:00:00"/>
    <d v="2016-05-18T00:00:00"/>
    <x v="1"/>
    <x v="93"/>
    <x v="4"/>
    <n v="0"/>
    <x v="1"/>
    <n v="0"/>
    <n v="0"/>
    <n v="0"/>
    <x v="1"/>
    <x v="0"/>
    <n v="0"/>
  </r>
  <r>
    <n v="62551400000000"/>
    <x v="1"/>
    <x v="6"/>
    <x v="0"/>
    <s v="BELA VISTA"/>
    <d v="2016-05-17T00:00:00"/>
    <d v="2016-05-18T00:00:00"/>
    <x v="1"/>
    <x v="93"/>
    <x v="4"/>
    <n v="0"/>
    <x v="0"/>
    <n v="1"/>
    <n v="0"/>
    <n v="0"/>
    <x v="1"/>
    <x v="0"/>
    <n v="0"/>
  </r>
  <r>
    <n v="9264570000000"/>
    <x v="1"/>
    <x v="32"/>
    <x v="4"/>
    <s v="BELA VISTA"/>
    <d v="2016-05-17T00:00:00"/>
    <d v="2016-05-17T00:00:00"/>
    <x v="4"/>
    <x v="94"/>
    <x v="5"/>
    <n v="0"/>
    <x v="1"/>
    <n v="0"/>
    <n v="0"/>
    <n v="0"/>
    <x v="1"/>
    <x v="0"/>
    <n v="0"/>
  </r>
  <r>
    <n v="945758000000"/>
    <x v="0"/>
    <x v="54"/>
    <x v="1"/>
    <s v="DA PENHA"/>
    <d v="2016-05-17T00:00:00"/>
    <d v="2016-05-19T00:00:00"/>
    <x v="3"/>
    <x v="91"/>
    <x v="4"/>
    <n v="0"/>
    <x v="0"/>
    <n v="0"/>
    <n v="0"/>
    <n v="0"/>
    <x v="1"/>
    <x v="0"/>
    <n v="0"/>
  </r>
  <r>
    <n v="213285000000000"/>
    <x v="0"/>
    <x v="21"/>
    <x v="1"/>
    <s v="DA PENHA"/>
    <d v="2016-05-17T00:00:00"/>
    <d v="2016-05-19T00:00:00"/>
    <x v="3"/>
    <x v="91"/>
    <x v="4"/>
    <n v="1"/>
    <x v="1"/>
    <n v="0"/>
    <n v="0"/>
    <n v="0"/>
    <x v="1"/>
    <x v="1"/>
    <n v="1"/>
  </r>
  <r>
    <n v="6216770000000"/>
    <x v="0"/>
    <x v="5"/>
    <x v="1"/>
    <s v="SANTA HELENA"/>
    <d v="2016-05-17T00:00:00"/>
    <d v="2016-05-17T00:00:00"/>
    <x v="4"/>
    <x v="94"/>
    <x v="5"/>
    <n v="0"/>
    <x v="1"/>
    <n v="0"/>
    <n v="0"/>
    <n v="0"/>
    <x v="1"/>
    <x v="0"/>
    <n v="0"/>
  </r>
  <r>
    <n v="36961700000000"/>
    <x v="0"/>
    <x v="41"/>
    <x v="4"/>
    <s v="ESTRELINHA"/>
    <d v="2016-05-17T00:00:00"/>
    <d v="2016-05-24T00:00:00"/>
    <x v="4"/>
    <x v="87"/>
    <x v="3"/>
    <n v="0"/>
    <x v="1"/>
    <n v="0"/>
    <n v="0"/>
    <n v="0"/>
    <x v="1"/>
    <x v="0"/>
    <n v="0"/>
  </r>
  <r>
    <n v="381997000000000"/>
    <x v="0"/>
    <x v="81"/>
    <x v="5"/>
    <s v="JARDIM DA PENHA"/>
    <d v="2016-05-17T00:00:00"/>
    <d v="2016-05-17T00:00:00"/>
    <x v="4"/>
    <x v="94"/>
    <x v="5"/>
    <n v="0"/>
    <x v="1"/>
    <n v="0"/>
    <n v="0"/>
    <n v="0"/>
    <x v="1"/>
    <x v="0"/>
    <n v="0"/>
  </r>
  <r>
    <n v="574885000000000"/>
    <x v="0"/>
    <x v="68"/>
    <x v="4"/>
    <s v="VILA RUBIM"/>
    <d v="2016-05-17T00:00:00"/>
    <d v="2016-05-25T00:00:00"/>
    <x v="1"/>
    <x v="88"/>
    <x v="2"/>
    <n v="0"/>
    <x v="1"/>
    <n v="0"/>
    <n v="0"/>
    <n v="0"/>
    <x v="0"/>
    <x v="0"/>
    <n v="0"/>
  </r>
  <r>
    <n v="1227760000000"/>
    <x v="1"/>
    <x v="7"/>
    <x v="3"/>
    <s v="ITARARE"/>
    <d v="2016-05-17T00:00:00"/>
    <d v="2016-05-24T00:00:00"/>
    <x v="4"/>
    <x v="87"/>
    <x v="3"/>
    <n v="0"/>
    <x v="0"/>
    <n v="1"/>
    <n v="0"/>
    <n v="0"/>
    <x v="0"/>
    <x v="0"/>
    <n v="0"/>
  </r>
  <r>
    <n v="3554220000000"/>
    <x v="1"/>
    <x v="69"/>
    <x v="4"/>
    <s v="ILHA DE SANTA MARIA"/>
    <d v="2016-05-17T00:00:00"/>
    <d v="2016-05-30T00:00:00"/>
    <x v="2"/>
    <x v="82"/>
    <x v="2"/>
    <n v="0"/>
    <x v="1"/>
    <n v="0"/>
    <n v="0"/>
    <n v="0"/>
    <x v="0"/>
    <x v="0"/>
    <n v="0"/>
  </r>
  <r>
    <n v="256168000000"/>
    <x v="1"/>
    <x v="74"/>
    <x v="1"/>
    <s v="CENTRO"/>
    <d v="2016-05-17T00:00:00"/>
    <d v="2016-05-18T00:00:00"/>
    <x v="1"/>
    <x v="93"/>
    <x v="4"/>
    <n v="0"/>
    <x v="1"/>
    <n v="0"/>
    <n v="0"/>
    <n v="0"/>
    <x v="1"/>
    <x v="0"/>
    <n v="0"/>
  </r>
  <r>
    <n v="138499000000000"/>
    <x v="1"/>
    <x v="30"/>
    <x v="3"/>
    <s v="ILHA DO PRINCIPE"/>
    <d v="2016-05-17T00:00:00"/>
    <d v="2016-05-17T00:00:00"/>
    <x v="4"/>
    <x v="94"/>
    <x v="5"/>
    <n v="0"/>
    <x v="1"/>
    <n v="0"/>
    <n v="0"/>
    <n v="0"/>
    <x v="1"/>
    <x v="0"/>
    <n v="0"/>
  </r>
  <r>
    <n v="9896820000000"/>
    <x v="1"/>
    <x v="38"/>
    <x v="4"/>
    <s v="JARDIM DA PENHA"/>
    <d v="2016-05-17T00:00:00"/>
    <d v="2016-05-17T00:00:00"/>
    <x v="4"/>
    <x v="94"/>
    <x v="5"/>
    <n v="0"/>
    <x v="1"/>
    <n v="0"/>
    <n v="0"/>
    <n v="0"/>
    <x v="1"/>
    <x v="0"/>
    <n v="0"/>
  </r>
  <r>
    <n v="37973900000000"/>
    <x v="0"/>
    <x v="24"/>
    <x v="1"/>
    <s v="ENSEADA DO SUA"/>
    <d v="2016-05-17T00:00:00"/>
    <d v="2016-05-17T00:00:00"/>
    <x v="4"/>
    <x v="94"/>
    <x v="5"/>
    <n v="0"/>
    <x v="1"/>
    <n v="0"/>
    <n v="0"/>
    <n v="0"/>
    <x v="1"/>
    <x v="0"/>
    <n v="0"/>
  </r>
  <r>
    <n v="4512870000000"/>
    <x v="0"/>
    <x v="2"/>
    <x v="1"/>
    <s v="ANDORINHAS"/>
    <d v="2016-05-17T00:00:00"/>
    <d v="2016-05-18T00:00:00"/>
    <x v="1"/>
    <x v="93"/>
    <x v="4"/>
    <n v="0"/>
    <x v="0"/>
    <n v="0"/>
    <n v="0"/>
    <n v="0"/>
    <x v="1"/>
    <x v="0"/>
    <n v="0"/>
  </r>
  <r>
    <n v="16211800000000"/>
    <x v="0"/>
    <x v="42"/>
    <x v="3"/>
    <s v="RESISTENCIA"/>
    <d v="2016-05-17T00:00:00"/>
    <d v="2016-05-31T00:00:00"/>
    <x v="4"/>
    <x v="80"/>
    <x v="2"/>
    <n v="0"/>
    <x v="1"/>
    <n v="0"/>
    <n v="0"/>
    <n v="0"/>
    <x v="0"/>
    <x v="0"/>
    <n v="0"/>
  </r>
  <r>
    <n v="162265000000000"/>
    <x v="0"/>
    <x v="70"/>
    <x v="5"/>
    <s v="NOVA PALESTINA"/>
    <d v="2016-05-17T00:00:00"/>
    <d v="2016-05-19T00:00:00"/>
    <x v="3"/>
    <x v="91"/>
    <x v="4"/>
    <n v="0"/>
    <x v="1"/>
    <n v="0"/>
    <n v="0"/>
    <n v="0"/>
    <x v="1"/>
    <x v="1"/>
    <n v="1"/>
  </r>
  <r>
    <n v="99637671331"/>
    <x v="1"/>
    <x v="84"/>
    <x v="1"/>
    <s v="JABOUR"/>
    <d v="2016-05-17T00:00:00"/>
    <d v="2016-05-17T00:00:00"/>
    <x v="4"/>
    <x v="94"/>
    <x v="5"/>
    <n v="0"/>
    <x v="1"/>
    <n v="0"/>
    <n v="0"/>
    <n v="0"/>
    <x v="1"/>
    <x v="0"/>
    <n v="0"/>
  </r>
  <r>
    <n v="188697000000000"/>
    <x v="1"/>
    <x v="61"/>
    <x v="1"/>
    <s v="JARDIM CAMBURI"/>
    <d v="2016-05-17T00:00:00"/>
    <d v="2016-06-03T00:00:00"/>
    <x v="0"/>
    <x v="75"/>
    <x v="1"/>
    <n v="0"/>
    <x v="1"/>
    <n v="0"/>
    <n v="0"/>
    <n v="0"/>
    <x v="1"/>
    <x v="1"/>
    <n v="1"/>
  </r>
  <r>
    <n v="863615000000000"/>
    <x v="1"/>
    <x v="45"/>
    <x v="1"/>
    <s v="JARDIM CAMBURI"/>
    <d v="2016-05-17T00:00:00"/>
    <d v="2016-06-03T00:00:00"/>
    <x v="0"/>
    <x v="75"/>
    <x v="1"/>
    <n v="0"/>
    <x v="1"/>
    <n v="0"/>
    <n v="0"/>
    <n v="0"/>
    <x v="1"/>
    <x v="0"/>
    <n v="0"/>
  </r>
  <r>
    <n v="7569550000000"/>
    <x v="1"/>
    <x v="33"/>
    <x v="4"/>
    <s v="DE LOURDES"/>
    <d v="2016-05-17T00:00:00"/>
    <d v="2016-05-19T00:00:00"/>
    <x v="3"/>
    <x v="91"/>
    <x v="4"/>
    <n v="0"/>
    <x v="1"/>
    <n v="0"/>
    <n v="0"/>
    <n v="0"/>
    <x v="1"/>
    <x v="1"/>
    <n v="1"/>
  </r>
  <r>
    <n v="27196900000000"/>
    <x v="0"/>
    <x v="12"/>
    <x v="3"/>
    <s v="VILA RUBIM"/>
    <d v="2016-05-18T00:00:00"/>
    <d v="2016-05-20T00:00:00"/>
    <x v="0"/>
    <x v="91"/>
    <x v="4"/>
    <n v="1"/>
    <x v="0"/>
    <n v="0"/>
    <n v="0"/>
    <n v="0"/>
    <x v="1"/>
    <x v="0"/>
    <n v="0"/>
  </r>
  <r>
    <n v="4454220000000"/>
    <x v="0"/>
    <x v="31"/>
    <x v="1"/>
    <s v="ILHA DAS CAIEIRAS"/>
    <d v="2016-05-18T00:00:00"/>
    <d v="2016-05-20T00:00:00"/>
    <x v="0"/>
    <x v="91"/>
    <x v="4"/>
    <n v="1"/>
    <x v="1"/>
    <n v="0"/>
    <n v="0"/>
    <n v="0"/>
    <x v="1"/>
    <x v="0"/>
    <n v="0"/>
  </r>
  <r>
    <n v="817662677"/>
    <x v="0"/>
    <x v="81"/>
    <x v="5"/>
    <s v="SANTO ANDRE"/>
    <d v="2016-05-18T00:00:00"/>
    <d v="2016-05-30T00:00:00"/>
    <x v="2"/>
    <x v="84"/>
    <x v="2"/>
    <n v="0"/>
    <x v="1"/>
    <n v="0"/>
    <n v="0"/>
    <n v="0"/>
    <x v="1"/>
    <x v="0"/>
    <n v="0"/>
  </r>
  <r>
    <n v="1519420000000"/>
    <x v="0"/>
    <x v="62"/>
    <x v="3"/>
    <s v="CENTRO"/>
    <d v="2016-05-18T00:00:00"/>
    <d v="2016-05-18T00:00:00"/>
    <x v="1"/>
    <x v="94"/>
    <x v="5"/>
    <n v="0"/>
    <x v="1"/>
    <n v="0"/>
    <n v="0"/>
    <n v="0"/>
    <x v="1"/>
    <x v="0"/>
    <n v="0"/>
  </r>
  <r>
    <n v="832256000000000"/>
    <x v="0"/>
    <x v="42"/>
    <x v="3"/>
    <s v="RESISTENCIA"/>
    <d v="2016-05-18T00:00:00"/>
    <d v="2016-05-18T00:00:00"/>
    <x v="1"/>
    <x v="94"/>
    <x v="5"/>
    <n v="0"/>
    <x v="1"/>
    <n v="0"/>
    <n v="0"/>
    <n v="0"/>
    <x v="1"/>
    <x v="0"/>
    <n v="0"/>
  </r>
  <r>
    <n v="732260000000"/>
    <x v="0"/>
    <x v="57"/>
    <x v="2"/>
    <s v="SANTO ANDRE"/>
    <d v="2016-05-18T00:00:00"/>
    <d v="2016-06-02T00:00:00"/>
    <x v="3"/>
    <x v="79"/>
    <x v="1"/>
    <n v="0"/>
    <x v="1"/>
    <n v="0"/>
    <n v="0"/>
    <n v="0"/>
    <x v="0"/>
    <x v="0"/>
    <n v="0"/>
  </r>
  <r>
    <n v="298453000000"/>
    <x v="1"/>
    <x v="49"/>
    <x v="4"/>
    <s v="GURIGICA"/>
    <d v="2016-05-18T00:00:00"/>
    <d v="2016-05-18T00:00:00"/>
    <x v="1"/>
    <x v="94"/>
    <x v="5"/>
    <n v="0"/>
    <x v="1"/>
    <n v="0"/>
    <n v="0"/>
    <n v="1"/>
    <x v="1"/>
    <x v="0"/>
    <n v="0"/>
  </r>
  <r>
    <n v="3319880000000"/>
    <x v="0"/>
    <x v="43"/>
    <x v="2"/>
    <s v="RESISTENCIA"/>
    <d v="2016-05-18T00:00:00"/>
    <d v="2016-05-18T00:00:00"/>
    <x v="1"/>
    <x v="94"/>
    <x v="5"/>
    <n v="0"/>
    <x v="1"/>
    <n v="0"/>
    <n v="0"/>
    <n v="0"/>
    <x v="1"/>
    <x v="0"/>
    <n v="0"/>
  </r>
  <r>
    <n v="33713473292"/>
    <x v="0"/>
    <x v="45"/>
    <x v="1"/>
    <s v="INHANGUETA"/>
    <d v="2016-05-18T00:00:00"/>
    <d v="2016-05-19T00:00:00"/>
    <x v="3"/>
    <x v="93"/>
    <x v="4"/>
    <n v="0"/>
    <x v="1"/>
    <n v="0"/>
    <n v="0"/>
    <n v="0"/>
    <x v="1"/>
    <x v="0"/>
    <n v="0"/>
  </r>
  <r>
    <n v="664461000000000"/>
    <x v="0"/>
    <x v="61"/>
    <x v="1"/>
    <s v="ROMAO"/>
    <d v="2016-05-18T00:00:00"/>
    <d v="2016-06-02T00:00:00"/>
    <x v="3"/>
    <x v="79"/>
    <x v="1"/>
    <n v="0"/>
    <x v="1"/>
    <n v="0"/>
    <n v="0"/>
    <n v="0"/>
    <x v="0"/>
    <x v="1"/>
    <n v="1"/>
  </r>
  <r>
    <n v="765432000000000"/>
    <x v="1"/>
    <x v="37"/>
    <x v="3"/>
    <s v="REDENCAO"/>
    <d v="2016-05-18T00:00:00"/>
    <d v="2016-06-02T00:00:00"/>
    <x v="3"/>
    <x v="79"/>
    <x v="1"/>
    <n v="0"/>
    <x v="1"/>
    <n v="0"/>
    <n v="0"/>
    <n v="0"/>
    <x v="1"/>
    <x v="0"/>
    <n v="0"/>
  </r>
  <r>
    <n v="52983200000000"/>
    <x v="0"/>
    <x v="58"/>
    <x v="0"/>
    <s v="JARDIM DA PENHA"/>
    <d v="2016-05-18T00:00:00"/>
    <d v="2016-05-20T00:00:00"/>
    <x v="0"/>
    <x v="91"/>
    <x v="4"/>
    <n v="0"/>
    <x v="1"/>
    <n v="0"/>
    <n v="0"/>
    <n v="0"/>
    <x v="1"/>
    <x v="0"/>
    <n v="0"/>
  </r>
  <r>
    <n v="54859300000000"/>
    <x v="0"/>
    <x v="35"/>
    <x v="0"/>
    <s v="INHANGUETA"/>
    <d v="2016-05-18T00:00:00"/>
    <d v="2016-05-24T00:00:00"/>
    <x v="4"/>
    <x v="90"/>
    <x v="3"/>
    <n v="0"/>
    <x v="0"/>
    <n v="1"/>
    <n v="0"/>
    <n v="0"/>
    <x v="0"/>
    <x v="0"/>
    <n v="0"/>
  </r>
  <r>
    <n v="98298923136"/>
    <x v="1"/>
    <x v="61"/>
    <x v="1"/>
    <s v="CONQUISTA"/>
    <d v="2016-05-18T00:00:00"/>
    <d v="2016-05-18T00:00:00"/>
    <x v="1"/>
    <x v="94"/>
    <x v="5"/>
    <n v="0"/>
    <x v="1"/>
    <n v="0"/>
    <n v="0"/>
    <n v="0"/>
    <x v="1"/>
    <x v="0"/>
    <n v="0"/>
  </r>
  <r>
    <n v="2752980000000"/>
    <x v="0"/>
    <x v="55"/>
    <x v="2"/>
    <s v="RESISTENCIA"/>
    <d v="2016-05-18T00:00:00"/>
    <d v="2016-05-18T00:00:00"/>
    <x v="1"/>
    <x v="94"/>
    <x v="5"/>
    <n v="0"/>
    <x v="1"/>
    <n v="0"/>
    <n v="0"/>
    <n v="0"/>
    <x v="1"/>
    <x v="0"/>
    <n v="0"/>
  </r>
  <r>
    <n v="5747740000000"/>
    <x v="0"/>
    <x v="37"/>
    <x v="3"/>
    <s v="ROMAO"/>
    <d v="2016-05-18T00:00:00"/>
    <d v="2016-05-18T00:00:00"/>
    <x v="1"/>
    <x v="94"/>
    <x v="5"/>
    <n v="0"/>
    <x v="0"/>
    <n v="0"/>
    <n v="0"/>
    <n v="0"/>
    <x v="1"/>
    <x v="1"/>
    <n v="1"/>
  </r>
  <r>
    <n v="14199600000000"/>
    <x v="0"/>
    <x v="21"/>
    <x v="1"/>
    <s v="BONFIM"/>
    <d v="2016-05-18T00:00:00"/>
    <d v="2016-05-18T00:00:00"/>
    <x v="1"/>
    <x v="94"/>
    <x v="5"/>
    <n v="1"/>
    <x v="1"/>
    <n v="0"/>
    <n v="0"/>
    <n v="0"/>
    <x v="1"/>
    <x v="0"/>
    <n v="0"/>
  </r>
  <r>
    <n v="1515690000000"/>
    <x v="0"/>
    <x v="87"/>
    <x v="1"/>
    <s v="JARDIM DA PENHA"/>
    <d v="2016-05-18T00:00:00"/>
    <d v="2016-05-18T00:00:00"/>
    <x v="1"/>
    <x v="94"/>
    <x v="5"/>
    <n v="0"/>
    <x v="1"/>
    <n v="0"/>
    <n v="0"/>
    <n v="0"/>
    <x v="1"/>
    <x v="0"/>
    <n v="0"/>
  </r>
  <r>
    <n v="24274319532"/>
    <x v="0"/>
    <x v="79"/>
    <x v="5"/>
    <s v="SAO PEDRO"/>
    <d v="2016-05-18T00:00:00"/>
    <d v="2016-05-20T00:00:00"/>
    <x v="0"/>
    <x v="91"/>
    <x v="4"/>
    <n v="0"/>
    <x v="1"/>
    <n v="0"/>
    <n v="0"/>
    <n v="0"/>
    <x v="1"/>
    <x v="1"/>
    <n v="1"/>
  </r>
  <r>
    <n v="36685400000000"/>
    <x v="1"/>
    <x v="21"/>
    <x v="1"/>
    <s v="JARDIM CAMBURI"/>
    <d v="2016-05-18T00:00:00"/>
    <d v="2016-05-20T00:00:00"/>
    <x v="0"/>
    <x v="91"/>
    <x v="4"/>
    <n v="0"/>
    <x v="1"/>
    <n v="0"/>
    <n v="0"/>
    <n v="0"/>
    <x v="1"/>
    <x v="1"/>
    <n v="1"/>
  </r>
  <r>
    <n v="39814500000000"/>
    <x v="0"/>
    <x v="22"/>
    <x v="4"/>
    <s v="INHANGUETA"/>
    <d v="2016-05-18T00:00:00"/>
    <d v="2016-05-31T00:00:00"/>
    <x v="4"/>
    <x v="82"/>
    <x v="2"/>
    <n v="0"/>
    <x v="1"/>
    <n v="0"/>
    <n v="0"/>
    <n v="0"/>
    <x v="1"/>
    <x v="0"/>
    <n v="0"/>
  </r>
  <r>
    <n v="496379000000000"/>
    <x v="0"/>
    <x v="77"/>
    <x v="4"/>
    <s v="TABUAZEIRO"/>
    <d v="2016-05-18T00:00:00"/>
    <d v="2016-05-18T00:00:00"/>
    <x v="1"/>
    <x v="94"/>
    <x v="5"/>
    <n v="0"/>
    <x v="1"/>
    <n v="0"/>
    <n v="0"/>
    <n v="0"/>
    <x v="1"/>
    <x v="0"/>
    <n v="0"/>
  </r>
  <r>
    <n v="48282436883"/>
    <x v="0"/>
    <x v="84"/>
    <x v="1"/>
    <s v="NOVA PALESTINA"/>
    <d v="2016-05-18T00:00:00"/>
    <d v="2016-05-18T00:00:00"/>
    <x v="1"/>
    <x v="94"/>
    <x v="5"/>
    <n v="0"/>
    <x v="1"/>
    <n v="0"/>
    <n v="0"/>
    <n v="0"/>
    <x v="1"/>
    <x v="0"/>
    <n v="0"/>
  </r>
  <r>
    <n v="742256000000000"/>
    <x v="0"/>
    <x v="19"/>
    <x v="2"/>
    <s v="TABUAZEIRO"/>
    <d v="2016-05-18T00:00:00"/>
    <d v="2016-05-18T00:00:00"/>
    <x v="1"/>
    <x v="94"/>
    <x v="5"/>
    <n v="0"/>
    <x v="1"/>
    <n v="0"/>
    <n v="0"/>
    <n v="0"/>
    <x v="1"/>
    <x v="0"/>
    <n v="0"/>
  </r>
  <r>
    <n v="4934710000000"/>
    <x v="0"/>
    <x v="78"/>
    <x v="0"/>
    <s v="ILHA DE SANTA MARIA"/>
    <d v="2016-05-18T00:00:00"/>
    <d v="2016-05-18T00:00:00"/>
    <x v="1"/>
    <x v="94"/>
    <x v="5"/>
    <n v="0"/>
    <x v="1"/>
    <n v="0"/>
    <n v="0"/>
    <n v="0"/>
    <x v="1"/>
    <x v="0"/>
    <n v="0"/>
  </r>
  <r>
    <n v="95572000000000"/>
    <x v="1"/>
    <x v="33"/>
    <x v="4"/>
    <s v="SAO BENEDITO"/>
    <d v="2016-05-18T00:00:00"/>
    <d v="2016-05-18T00:00:00"/>
    <x v="1"/>
    <x v="94"/>
    <x v="5"/>
    <n v="0"/>
    <x v="1"/>
    <n v="0"/>
    <n v="0"/>
    <n v="0"/>
    <x v="1"/>
    <x v="0"/>
    <n v="0"/>
  </r>
  <r>
    <n v="925216000000000"/>
    <x v="1"/>
    <x v="39"/>
    <x v="4"/>
    <s v="MARIA ORTIZ"/>
    <d v="2016-05-18T00:00:00"/>
    <d v="2016-05-30T00:00:00"/>
    <x v="2"/>
    <x v="84"/>
    <x v="2"/>
    <n v="0"/>
    <x v="1"/>
    <n v="0"/>
    <n v="0"/>
    <n v="0"/>
    <x v="0"/>
    <x v="0"/>
    <n v="0"/>
  </r>
  <r>
    <n v="691569000000000"/>
    <x v="0"/>
    <x v="32"/>
    <x v="4"/>
    <s v="GURIGICA"/>
    <d v="2016-05-18T00:00:00"/>
    <d v="2016-05-18T00:00:00"/>
    <x v="1"/>
    <x v="94"/>
    <x v="5"/>
    <n v="0"/>
    <x v="1"/>
    <n v="0"/>
    <n v="0"/>
    <n v="0"/>
    <x v="1"/>
    <x v="0"/>
    <n v="0"/>
  </r>
  <r>
    <n v="82371300000000"/>
    <x v="1"/>
    <x v="0"/>
    <x v="0"/>
    <s v="JABOUR"/>
    <d v="2016-05-18T00:00:00"/>
    <d v="2016-05-18T00:00:00"/>
    <x v="1"/>
    <x v="94"/>
    <x v="5"/>
    <n v="0"/>
    <x v="1"/>
    <n v="0"/>
    <n v="0"/>
    <n v="0"/>
    <x v="1"/>
    <x v="0"/>
    <n v="0"/>
  </r>
  <r>
    <n v="36879700000000"/>
    <x v="0"/>
    <x v="22"/>
    <x v="4"/>
    <s v="BELA VISTA"/>
    <d v="2016-05-18T00:00:00"/>
    <d v="2016-06-03T00:00:00"/>
    <x v="0"/>
    <x v="78"/>
    <x v="1"/>
    <n v="0"/>
    <x v="1"/>
    <n v="0"/>
    <n v="0"/>
    <n v="0"/>
    <x v="0"/>
    <x v="1"/>
    <n v="1"/>
  </r>
  <r>
    <n v="827879000000"/>
    <x v="0"/>
    <x v="71"/>
    <x v="4"/>
    <s v="ROMAO"/>
    <d v="2016-05-18T00:00:00"/>
    <d v="2016-05-31T00:00:00"/>
    <x v="4"/>
    <x v="82"/>
    <x v="2"/>
    <n v="0"/>
    <x v="1"/>
    <n v="0"/>
    <n v="0"/>
    <n v="0"/>
    <x v="1"/>
    <x v="0"/>
    <n v="0"/>
  </r>
  <r>
    <n v="697458000000000"/>
    <x v="1"/>
    <x v="75"/>
    <x v="5"/>
    <s v="ROMAO"/>
    <d v="2016-05-18T00:00:00"/>
    <d v="2016-05-18T00:00:00"/>
    <x v="1"/>
    <x v="94"/>
    <x v="5"/>
    <n v="0"/>
    <x v="1"/>
    <n v="0"/>
    <n v="0"/>
    <n v="0"/>
    <x v="1"/>
    <x v="0"/>
    <n v="0"/>
  </r>
  <r>
    <n v="9874120000000"/>
    <x v="0"/>
    <x v="77"/>
    <x v="4"/>
    <s v="ROMAO"/>
    <d v="2016-05-18T00:00:00"/>
    <d v="2016-05-18T00:00:00"/>
    <x v="1"/>
    <x v="94"/>
    <x v="5"/>
    <n v="0"/>
    <x v="1"/>
    <n v="0"/>
    <n v="0"/>
    <n v="0"/>
    <x v="1"/>
    <x v="0"/>
    <n v="0"/>
  </r>
  <r>
    <n v="817764000000000"/>
    <x v="0"/>
    <x v="19"/>
    <x v="2"/>
    <s v="GRANDE VITORIA"/>
    <d v="2016-05-18T00:00:00"/>
    <d v="2016-05-24T00:00:00"/>
    <x v="4"/>
    <x v="90"/>
    <x v="3"/>
    <n v="0"/>
    <x v="1"/>
    <n v="0"/>
    <n v="0"/>
    <n v="0"/>
    <x v="0"/>
    <x v="0"/>
    <n v="0"/>
  </r>
  <r>
    <n v="596173000000000"/>
    <x v="1"/>
    <x v="23"/>
    <x v="3"/>
    <s v="MARIO CYPRESTE"/>
    <d v="2016-05-18T00:00:00"/>
    <d v="2016-05-18T00:00:00"/>
    <x v="1"/>
    <x v="94"/>
    <x v="5"/>
    <n v="0"/>
    <x v="0"/>
    <n v="0"/>
    <n v="0"/>
    <n v="0"/>
    <x v="1"/>
    <x v="0"/>
    <n v="0"/>
  </r>
  <r>
    <n v="188232000000000"/>
    <x v="1"/>
    <x v="45"/>
    <x v="1"/>
    <s v="JABOUR"/>
    <d v="2016-05-18T00:00:00"/>
    <d v="2016-05-18T00:00:00"/>
    <x v="1"/>
    <x v="94"/>
    <x v="5"/>
    <n v="0"/>
    <x v="1"/>
    <n v="0"/>
    <n v="0"/>
    <n v="0"/>
    <x v="1"/>
    <x v="0"/>
    <n v="0"/>
  </r>
  <r>
    <n v="2271580000000"/>
    <x v="1"/>
    <x v="30"/>
    <x v="3"/>
    <s v="ILHA DE SANTA MARIA"/>
    <d v="2016-05-18T00:00:00"/>
    <d v="2016-05-18T00:00:00"/>
    <x v="1"/>
    <x v="94"/>
    <x v="5"/>
    <n v="0"/>
    <x v="1"/>
    <n v="0"/>
    <n v="0"/>
    <n v="0"/>
    <x v="1"/>
    <x v="0"/>
    <n v="0"/>
  </r>
  <r>
    <n v="431875000000000"/>
    <x v="1"/>
    <x v="46"/>
    <x v="2"/>
    <s v="RESISTENCIA"/>
    <d v="2016-05-18T00:00:00"/>
    <d v="2016-05-18T00:00:00"/>
    <x v="1"/>
    <x v="94"/>
    <x v="5"/>
    <n v="0"/>
    <x v="1"/>
    <n v="0"/>
    <n v="0"/>
    <n v="0"/>
    <x v="1"/>
    <x v="0"/>
    <n v="0"/>
  </r>
  <r>
    <n v="826713000000"/>
    <x v="0"/>
    <x v="42"/>
    <x v="3"/>
    <s v="SANTA MARTHA"/>
    <d v="2016-05-18T00:00:00"/>
    <d v="2016-06-01T00:00:00"/>
    <x v="1"/>
    <x v="80"/>
    <x v="2"/>
    <n v="0"/>
    <x v="0"/>
    <n v="0"/>
    <n v="1"/>
    <n v="0"/>
    <x v="0"/>
    <x v="0"/>
    <n v="0"/>
  </r>
  <r>
    <n v="68337600000000"/>
    <x v="0"/>
    <x v="25"/>
    <x v="4"/>
    <s v="CARATOIRA"/>
    <d v="2016-05-18T00:00:00"/>
    <d v="2016-05-18T00:00:00"/>
    <x v="1"/>
    <x v="94"/>
    <x v="5"/>
    <n v="1"/>
    <x v="0"/>
    <n v="0"/>
    <n v="0"/>
    <n v="0"/>
    <x v="1"/>
    <x v="0"/>
    <n v="0"/>
  </r>
  <r>
    <n v="7327440000000"/>
    <x v="0"/>
    <x v="4"/>
    <x v="2"/>
    <s v="SAO BENEDITO"/>
    <d v="2016-05-18T00:00:00"/>
    <d v="2016-05-18T00:00:00"/>
    <x v="1"/>
    <x v="94"/>
    <x v="5"/>
    <n v="0"/>
    <x v="1"/>
    <n v="0"/>
    <n v="0"/>
    <n v="0"/>
    <x v="1"/>
    <x v="0"/>
    <n v="0"/>
  </r>
  <r>
    <n v="287650000000"/>
    <x v="0"/>
    <x v="71"/>
    <x v="4"/>
    <s v="SANTA LUIZA"/>
    <d v="2016-05-18T00:00:00"/>
    <d v="2016-05-18T00:00:00"/>
    <x v="1"/>
    <x v="94"/>
    <x v="5"/>
    <n v="1"/>
    <x v="1"/>
    <n v="0"/>
    <n v="0"/>
    <n v="0"/>
    <x v="1"/>
    <x v="0"/>
    <n v="0"/>
  </r>
  <r>
    <n v="91314100000000"/>
    <x v="0"/>
    <x v="72"/>
    <x v="5"/>
    <s v="BELA VISTA"/>
    <d v="2016-05-18T00:00:00"/>
    <d v="2016-05-24T00:00:00"/>
    <x v="4"/>
    <x v="90"/>
    <x v="3"/>
    <n v="0"/>
    <x v="1"/>
    <n v="0"/>
    <n v="0"/>
    <n v="0"/>
    <x v="0"/>
    <x v="1"/>
    <n v="1"/>
  </r>
  <r>
    <n v="836593000000000"/>
    <x v="0"/>
    <x v="48"/>
    <x v="3"/>
    <s v="RESISTENCIA"/>
    <d v="2016-05-18T00:00:00"/>
    <d v="2016-05-31T00:00:00"/>
    <x v="4"/>
    <x v="82"/>
    <x v="2"/>
    <n v="0"/>
    <x v="1"/>
    <n v="0"/>
    <n v="0"/>
    <n v="0"/>
    <x v="1"/>
    <x v="0"/>
    <n v="0"/>
  </r>
  <r>
    <n v="878328000000"/>
    <x v="1"/>
    <x v="51"/>
    <x v="2"/>
    <s v="ILHA DE SANTA MARIA"/>
    <d v="2016-05-18T00:00:00"/>
    <d v="2016-05-31T00:00:00"/>
    <x v="4"/>
    <x v="82"/>
    <x v="2"/>
    <n v="0"/>
    <x v="1"/>
    <n v="0"/>
    <n v="0"/>
    <n v="0"/>
    <x v="0"/>
    <x v="0"/>
    <n v="0"/>
  </r>
  <r>
    <n v="155783000000"/>
    <x v="0"/>
    <x v="56"/>
    <x v="1"/>
    <s v="PARQUE MOSCOSO"/>
    <d v="2016-05-18T00:00:00"/>
    <d v="2016-05-19T00:00:00"/>
    <x v="3"/>
    <x v="93"/>
    <x v="4"/>
    <n v="0"/>
    <x v="1"/>
    <n v="0"/>
    <n v="0"/>
    <n v="0"/>
    <x v="1"/>
    <x v="0"/>
    <n v="0"/>
  </r>
  <r>
    <n v="32145200000000"/>
    <x v="0"/>
    <x v="65"/>
    <x v="2"/>
    <s v="ITARARE"/>
    <d v="2016-05-18T00:00:00"/>
    <d v="2016-05-18T00:00:00"/>
    <x v="1"/>
    <x v="94"/>
    <x v="5"/>
    <n v="0"/>
    <x v="1"/>
    <n v="0"/>
    <n v="0"/>
    <n v="0"/>
    <x v="1"/>
    <x v="0"/>
    <n v="0"/>
  </r>
  <r>
    <n v="443328000000"/>
    <x v="1"/>
    <x v="43"/>
    <x v="2"/>
    <s v="SAO CRISTOVAO"/>
    <d v="2016-05-18T00:00:00"/>
    <d v="2016-05-19T00:00:00"/>
    <x v="3"/>
    <x v="93"/>
    <x v="4"/>
    <n v="0"/>
    <x v="1"/>
    <n v="0"/>
    <n v="0"/>
    <n v="0"/>
    <x v="1"/>
    <x v="0"/>
    <n v="0"/>
  </r>
  <r>
    <n v="33726400000000"/>
    <x v="0"/>
    <x v="87"/>
    <x v="1"/>
    <s v="SAO PEDRO"/>
    <d v="2016-05-18T00:00:00"/>
    <d v="2016-05-19T00:00:00"/>
    <x v="3"/>
    <x v="93"/>
    <x v="4"/>
    <n v="0"/>
    <x v="1"/>
    <n v="0"/>
    <n v="0"/>
    <n v="0"/>
    <x v="1"/>
    <x v="0"/>
    <n v="0"/>
  </r>
  <r>
    <n v="948566000000"/>
    <x v="0"/>
    <x v="37"/>
    <x v="3"/>
    <s v="JARDIM CAMBURI"/>
    <d v="2016-05-18T00:00:00"/>
    <d v="2016-05-19T00:00:00"/>
    <x v="3"/>
    <x v="93"/>
    <x v="4"/>
    <n v="0"/>
    <x v="1"/>
    <n v="0"/>
    <n v="0"/>
    <n v="0"/>
    <x v="1"/>
    <x v="0"/>
    <n v="0"/>
  </r>
  <r>
    <n v="9326400000000"/>
    <x v="1"/>
    <x v="73"/>
    <x v="4"/>
    <s v="JABOUR"/>
    <d v="2016-05-18T00:00:00"/>
    <d v="2016-05-18T00:00:00"/>
    <x v="1"/>
    <x v="94"/>
    <x v="5"/>
    <n v="0"/>
    <x v="1"/>
    <n v="0"/>
    <n v="0"/>
    <n v="0"/>
    <x v="1"/>
    <x v="0"/>
    <n v="0"/>
  </r>
  <r>
    <n v="29462300000000"/>
    <x v="1"/>
    <x v="55"/>
    <x v="2"/>
    <s v="CONSOLACAO"/>
    <d v="2016-05-18T00:00:00"/>
    <d v="2016-05-18T00:00:00"/>
    <x v="1"/>
    <x v="94"/>
    <x v="5"/>
    <n v="0"/>
    <x v="1"/>
    <n v="0"/>
    <n v="0"/>
    <n v="0"/>
    <x v="1"/>
    <x v="0"/>
    <n v="0"/>
  </r>
  <r>
    <n v="19844700000000"/>
    <x v="0"/>
    <x v="39"/>
    <x v="4"/>
    <s v="ITARARE"/>
    <d v="2016-05-18T00:00:00"/>
    <d v="2016-05-18T00:00:00"/>
    <x v="1"/>
    <x v="94"/>
    <x v="5"/>
    <n v="0"/>
    <x v="1"/>
    <n v="0"/>
    <n v="0"/>
    <n v="0"/>
    <x v="1"/>
    <x v="0"/>
    <n v="0"/>
  </r>
  <r>
    <n v="3815330000000"/>
    <x v="0"/>
    <x v="70"/>
    <x v="5"/>
    <s v="SANTO ANDRE"/>
    <d v="2016-05-18T00:00:00"/>
    <d v="2016-05-18T00:00:00"/>
    <x v="1"/>
    <x v="94"/>
    <x v="5"/>
    <n v="0"/>
    <x v="1"/>
    <n v="0"/>
    <n v="0"/>
    <n v="0"/>
    <x v="1"/>
    <x v="0"/>
    <n v="0"/>
  </r>
  <r>
    <n v="249386000000000"/>
    <x v="1"/>
    <x v="65"/>
    <x v="2"/>
    <s v="SANTA LUIZA"/>
    <d v="2016-05-18T00:00:00"/>
    <d v="2016-05-25T00:00:00"/>
    <x v="1"/>
    <x v="87"/>
    <x v="3"/>
    <n v="0"/>
    <x v="1"/>
    <n v="0"/>
    <n v="0"/>
    <n v="0"/>
    <x v="0"/>
    <x v="1"/>
    <n v="1"/>
  </r>
  <r>
    <n v="794918000000000"/>
    <x v="1"/>
    <x v="84"/>
    <x v="1"/>
    <s v="JARDIM DA PENHA"/>
    <d v="2016-05-18T00:00:00"/>
    <d v="2016-05-18T00:00:00"/>
    <x v="1"/>
    <x v="94"/>
    <x v="5"/>
    <n v="0"/>
    <x v="1"/>
    <n v="0"/>
    <n v="0"/>
    <n v="0"/>
    <x v="1"/>
    <x v="0"/>
    <n v="0"/>
  </r>
  <r>
    <n v="3341130000000"/>
    <x v="0"/>
    <x v="73"/>
    <x v="4"/>
    <s v="JESUS DE NAZARETH"/>
    <d v="2016-05-18T00:00:00"/>
    <d v="2016-05-19T00:00:00"/>
    <x v="3"/>
    <x v="93"/>
    <x v="4"/>
    <n v="0"/>
    <x v="0"/>
    <n v="0"/>
    <n v="0"/>
    <n v="0"/>
    <x v="1"/>
    <x v="0"/>
    <n v="0"/>
  </r>
  <r>
    <n v="6183944955"/>
    <x v="0"/>
    <x v="33"/>
    <x v="4"/>
    <s v="RESISTENCIA"/>
    <d v="2016-05-18T00:00:00"/>
    <d v="2016-05-18T00:00:00"/>
    <x v="1"/>
    <x v="94"/>
    <x v="5"/>
    <n v="0"/>
    <x v="1"/>
    <n v="0"/>
    <n v="0"/>
    <n v="0"/>
    <x v="1"/>
    <x v="0"/>
    <n v="0"/>
  </r>
  <r>
    <n v="32263300000000"/>
    <x v="1"/>
    <x v="63"/>
    <x v="0"/>
    <s v="ITARARE"/>
    <d v="2016-05-18T00:00:00"/>
    <d v="2016-05-18T00:00:00"/>
    <x v="1"/>
    <x v="94"/>
    <x v="5"/>
    <n v="0"/>
    <x v="1"/>
    <n v="0"/>
    <n v="0"/>
    <n v="0"/>
    <x v="1"/>
    <x v="0"/>
    <n v="0"/>
  </r>
  <r>
    <n v="522618000000000"/>
    <x v="0"/>
    <x v="47"/>
    <x v="4"/>
    <s v="FORTE SAO JOAO"/>
    <d v="2016-05-18T00:00:00"/>
    <d v="2016-05-25T00:00:00"/>
    <x v="1"/>
    <x v="87"/>
    <x v="3"/>
    <n v="0"/>
    <x v="1"/>
    <n v="0"/>
    <n v="0"/>
    <n v="0"/>
    <x v="0"/>
    <x v="0"/>
    <n v="0"/>
  </r>
  <r>
    <n v="6361470000000"/>
    <x v="1"/>
    <x v="63"/>
    <x v="0"/>
    <s v="PRAIA DO CANTO"/>
    <d v="2016-05-18T00:00:00"/>
    <d v="2016-05-18T00:00:00"/>
    <x v="1"/>
    <x v="94"/>
    <x v="5"/>
    <n v="0"/>
    <x v="1"/>
    <n v="0"/>
    <n v="0"/>
    <n v="0"/>
    <x v="1"/>
    <x v="0"/>
    <n v="0"/>
  </r>
  <r>
    <n v="3773160000000"/>
    <x v="0"/>
    <x v="68"/>
    <x v="4"/>
    <s v="SANTOS DUMONT"/>
    <d v="2016-05-18T00:00:00"/>
    <d v="2016-06-06T00:00:00"/>
    <x v="2"/>
    <x v="77"/>
    <x v="1"/>
    <n v="0"/>
    <x v="1"/>
    <n v="0"/>
    <n v="0"/>
    <n v="0"/>
    <x v="0"/>
    <x v="1"/>
    <n v="1"/>
  </r>
  <r>
    <n v="775575000000000"/>
    <x v="0"/>
    <x v="38"/>
    <x v="4"/>
    <s v="REDENCAO"/>
    <d v="2016-05-18T00:00:00"/>
    <d v="2016-05-18T00:00:00"/>
    <x v="1"/>
    <x v="94"/>
    <x v="5"/>
    <n v="0"/>
    <x v="1"/>
    <n v="0"/>
    <n v="0"/>
    <n v="0"/>
    <x v="1"/>
    <x v="0"/>
    <n v="0"/>
  </r>
  <r>
    <n v="229572000000000"/>
    <x v="0"/>
    <x v="63"/>
    <x v="0"/>
    <s v="MARIA ORTIZ"/>
    <d v="2016-05-18T00:00:00"/>
    <d v="2016-05-18T00:00:00"/>
    <x v="1"/>
    <x v="94"/>
    <x v="5"/>
    <n v="0"/>
    <x v="1"/>
    <n v="0"/>
    <n v="0"/>
    <n v="0"/>
    <x v="1"/>
    <x v="0"/>
    <n v="0"/>
  </r>
  <r>
    <n v="6643580000000"/>
    <x v="0"/>
    <x v="15"/>
    <x v="3"/>
    <s v="SANTO ANTONIO"/>
    <d v="2016-05-18T00:00:00"/>
    <d v="2016-05-18T00:00:00"/>
    <x v="1"/>
    <x v="94"/>
    <x v="5"/>
    <n v="0"/>
    <x v="1"/>
    <n v="0"/>
    <n v="0"/>
    <n v="0"/>
    <x v="1"/>
    <x v="0"/>
    <n v="0"/>
  </r>
  <r>
    <n v="329732000000"/>
    <x v="0"/>
    <x v="21"/>
    <x v="1"/>
    <s v="MARIA ORTIZ"/>
    <d v="2016-05-18T00:00:00"/>
    <d v="2016-05-20T00:00:00"/>
    <x v="0"/>
    <x v="91"/>
    <x v="4"/>
    <n v="0"/>
    <x v="1"/>
    <n v="0"/>
    <n v="0"/>
    <n v="0"/>
    <x v="1"/>
    <x v="0"/>
    <n v="0"/>
  </r>
  <r>
    <n v="193182000000000"/>
    <x v="0"/>
    <x v="64"/>
    <x v="3"/>
    <s v="JUCUTUQUARA"/>
    <d v="2016-05-18T00:00:00"/>
    <d v="2016-05-20T00:00:00"/>
    <x v="0"/>
    <x v="91"/>
    <x v="4"/>
    <n v="0"/>
    <x v="1"/>
    <n v="0"/>
    <n v="0"/>
    <n v="0"/>
    <x v="1"/>
    <x v="0"/>
    <n v="0"/>
  </r>
  <r>
    <n v="376996000000000"/>
    <x v="1"/>
    <x v="75"/>
    <x v="5"/>
    <s v="ESTRELINHA"/>
    <d v="2016-05-18T00:00:00"/>
    <d v="2016-05-24T00:00:00"/>
    <x v="4"/>
    <x v="90"/>
    <x v="3"/>
    <n v="1"/>
    <x v="1"/>
    <n v="0"/>
    <n v="0"/>
    <n v="0"/>
    <x v="0"/>
    <x v="0"/>
    <n v="0"/>
  </r>
  <r>
    <n v="936463000000000"/>
    <x v="0"/>
    <x v="26"/>
    <x v="0"/>
    <s v="ILHA DE SANTA MARIA"/>
    <d v="2016-05-18T00:00:00"/>
    <d v="2016-05-24T00:00:00"/>
    <x v="4"/>
    <x v="90"/>
    <x v="3"/>
    <n v="0"/>
    <x v="1"/>
    <n v="0"/>
    <n v="0"/>
    <n v="0"/>
    <x v="0"/>
    <x v="0"/>
    <n v="0"/>
  </r>
  <r>
    <n v="789612000000000"/>
    <x v="1"/>
    <x v="44"/>
    <x v="4"/>
    <s v="SAO PEDRO"/>
    <d v="2016-05-18T00:00:00"/>
    <d v="2016-05-18T00:00:00"/>
    <x v="1"/>
    <x v="94"/>
    <x v="5"/>
    <n v="0"/>
    <x v="1"/>
    <n v="0"/>
    <n v="0"/>
    <n v="0"/>
    <x v="1"/>
    <x v="0"/>
    <n v="0"/>
  </r>
  <r>
    <n v="93721900000000"/>
    <x v="0"/>
    <x v="83"/>
    <x v="0"/>
    <s v="JARDIM DA PENHA"/>
    <d v="2016-05-18T00:00:00"/>
    <d v="2016-05-24T00:00:00"/>
    <x v="4"/>
    <x v="90"/>
    <x v="3"/>
    <n v="0"/>
    <x v="1"/>
    <n v="0"/>
    <n v="0"/>
    <n v="0"/>
    <x v="0"/>
    <x v="0"/>
    <n v="0"/>
  </r>
  <r>
    <n v="678326000000000"/>
    <x v="0"/>
    <x v="72"/>
    <x v="5"/>
    <s v="SOLON BORGES"/>
    <d v="2016-05-18T00:00:00"/>
    <d v="2016-05-18T00:00:00"/>
    <x v="1"/>
    <x v="94"/>
    <x v="5"/>
    <n v="0"/>
    <x v="1"/>
    <n v="0"/>
    <n v="0"/>
    <n v="0"/>
    <x v="1"/>
    <x v="0"/>
    <n v="0"/>
  </r>
  <r>
    <n v="665999000000000"/>
    <x v="0"/>
    <x v="36"/>
    <x v="3"/>
    <s v="ILHA DO PRINCIPE"/>
    <d v="2016-05-18T00:00:00"/>
    <d v="2016-06-02T00:00:00"/>
    <x v="3"/>
    <x v="79"/>
    <x v="1"/>
    <n v="0"/>
    <x v="0"/>
    <n v="0"/>
    <n v="0"/>
    <n v="0"/>
    <x v="0"/>
    <x v="0"/>
    <n v="0"/>
  </r>
  <r>
    <n v="89693600000000"/>
    <x v="0"/>
    <x v="62"/>
    <x v="3"/>
    <s v="RESISTENCIA"/>
    <d v="2016-05-18T00:00:00"/>
    <d v="2016-05-24T00:00:00"/>
    <x v="4"/>
    <x v="90"/>
    <x v="3"/>
    <n v="0"/>
    <x v="1"/>
    <n v="0"/>
    <n v="0"/>
    <n v="0"/>
    <x v="0"/>
    <x v="0"/>
    <n v="0"/>
  </r>
  <r>
    <n v="964471000000"/>
    <x v="0"/>
    <x v="26"/>
    <x v="0"/>
    <s v="DA PENHA"/>
    <d v="2016-05-18T00:00:00"/>
    <d v="2016-06-06T00:00:00"/>
    <x v="2"/>
    <x v="77"/>
    <x v="1"/>
    <n v="0"/>
    <x v="0"/>
    <n v="1"/>
    <n v="0"/>
    <n v="0"/>
    <x v="0"/>
    <x v="0"/>
    <n v="0"/>
  </r>
  <r>
    <n v="315916000000000"/>
    <x v="0"/>
    <x v="15"/>
    <x v="3"/>
    <s v="BELA VISTA"/>
    <d v="2016-05-18T00:00:00"/>
    <d v="2016-05-30T00:00:00"/>
    <x v="2"/>
    <x v="84"/>
    <x v="2"/>
    <n v="0"/>
    <x v="0"/>
    <n v="1"/>
    <n v="0"/>
    <n v="0"/>
    <x v="0"/>
    <x v="1"/>
    <n v="1"/>
  </r>
  <r>
    <n v="249171000000000"/>
    <x v="0"/>
    <x v="23"/>
    <x v="3"/>
    <s v="SANTA MARTHA"/>
    <d v="2016-05-18T00:00:00"/>
    <d v="2016-05-24T00:00:00"/>
    <x v="4"/>
    <x v="90"/>
    <x v="3"/>
    <n v="0"/>
    <x v="0"/>
    <n v="0"/>
    <n v="1"/>
    <n v="0"/>
    <x v="0"/>
    <x v="1"/>
    <n v="1"/>
  </r>
  <r>
    <n v="17851900000000"/>
    <x v="0"/>
    <x v="50"/>
    <x v="1"/>
    <s v="NOVA PALESTINA"/>
    <d v="2016-05-18T00:00:00"/>
    <d v="2016-05-20T00:00:00"/>
    <x v="0"/>
    <x v="91"/>
    <x v="4"/>
    <n v="1"/>
    <x v="1"/>
    <n v="0"/>
    <n v="0"/>
    <n v="0"/>
    <x v="1"/>
    <x v="0"/>
    <n v="0"/>
  </r>
  <r>
    <n v="78344200000000"/>
    <x v="1"/>
    <x v="67"/>
    <x v="4"/>
    <s v="SANTO ANTONIO"/>
    <d v="2016-05-18T00:00:00"/>
    <d v="2016-06-07T00:00:00"/>
    <x v="4"/>
    <x v="76"/>
    <x v="1"/>
    <n v="0"/>
    <x v="1"/>
    <n v="0"/>
    <n v="0"/>
    <n v="0"/>
    <x v="1"/>
    <x v="0"/>
    <n v="0"/>
  </r>
  <r>
    <n v="521748000000"/>
    <x v="0"/>
    <x v="84"/>
    <x v="1"/>
    <s v="JARDIM DA PENHA"/>
    <d v="2016-05-18T00:00:00"/>
    <d v="2016-05-18T00:00:00"/>
    <x v="1"/>
    <x v="94"/>
    <x v="5"/>
    <n v="0"/>
    <x v="0"/>
    <n v="0"/>
    <n v="0"/>
    <n v="0"/>
    <x v="1"/>
    <x v="0"/>
    <n v="0"/>
  </r>
  <r>
    <n v="9232460000000"/>
    <x v="0"/>
    <x v="23"/>
    <x v="3"/>
    <s v="CRUZAMENTO"/>
    <d v="2016-05-18T00:00:00"/>
    <d v="2016-05-31T00:00:00"/>
    <x v="4"/>
    <x v="82"/>
    <x v="2"/>
    <n v="0"/>
    <x v="0"/>
    <n v="0"/>
    <n v="0"/>
    <n v="0"/>
    <x v="0"/>
    <x v="1"/>
    <n v="1"/>
  </r>
  <r>
    <n v="4365450000000"/>
    <x v="0"/>
    <x v="46"/>
    <x v="2"/>
    <s v="CRUZAMENTO"/>
    <d v="2016-05-18T00:00:00"/>
    <d v="2016-05-24T00:00:00"/>
    <x v="4"/>
    <x v="90"/>
    <x v="3"/>
    <n v="0"/>
    <x v="1"/>
    <n v="0"/>
    <n v="0"/>
    <n v="0"/>
    <x v="1"/>
    <x v="0"/>
    <n v="0"/>
  </r>
  <r>
    <n v="227124000000"/>
    <x v="1"/>
    <x v="4"/>
    <x v="2"/>
    <s v="NOVA PALESTINA"/>
    <d v="2016-05-18T00:00:00"/>
    <d v="2016-05-18T00:00:00"/>
    <x v="1"/>
    <x v="94"/>
    <x v="5"/>
    <n v="0"/>
    <x v="1"/>
    <n v="0"/>
    <n v="0"/>
    <n v="0"/>
    <x v="1"/>
    <x v="0"/>
    <n v="0"/>
  </r>
  <r>
    <n v="56322700000000"/>
    <x v="0"/>
    <x v="50"/>
    <x v="1"/>
    <s v="SANTA CECILIA"/>
    <d v="2016-05-18T00:00:00"/>
    <d v="2016-05-25T00:00:00"/>
    <x v="1"/>
    <x v="87"/>
    <x v="3"/>
    <n v="0"/>
    <x v="1"/>
    <n v="0"/>
    <n v="0"/>
    <n v="0"/>
    <x v="0"/>
    <x v="0"/>
    <n v="0"/>
  </r>
  <r>
    <n v="768279000000000"/>
    <x v="1"/>
    <x v="39"/>
    <x v="4"/>
    <s v="ITARARE"/>
    <d v="2016-05-18T00:00:00"/>
    <d v="2016-05-24T00:00:00"/>
    <x v="4"/>
    <x v="90"/>
    <x v="3"/>
    <n v="0"/>
    <x v="1"/>
    <n v="0"/>
    <n v="0"/>
    <n v="0"/>
    <x v="0"/>
    <x v="0"/>
    <n v="0"/>
  </r>
  <r>
    <n v="85568200000000"/>
    <x v="1"/>
    <x v="74"/>
    <x v="1"/>
    <s v="PARQUE MOSCOSO"/>
    <d v="2016-05-18T00:00:00"/>
    <d v="2016-05-24T00:00:00"/>
    <x v="4"/>
    <x v="90"/>
    <x v="3"/>
    <n v="0"/>
    <x v="1"/>
    <n v="0"/>
    <n v="0"/>
    <n v="0"/>
    <x v="0"/>
    <x v="0"/>
    <n v="0"/>
  </r>
  <r>
    <n v="8362910000000"/>
    <x v="0"/>
    <x v="75"/>
    <x v="5"/>
    <s v="FORTE SAO JOAO"/>
    <d v="2016-05-18T00:00:00"/>
    <d v="2016-05-18T00:00:00"/>
    <x v="1"/>
    <x v="94"/>
    <x v="5"/>
    <n v="0"/>
    <x v="1"/>
    <n v="0"/>
    <n v="0"/>
    <n v="0"/>
    <x v="1"/>
    <x v="0"/>
    <n v="0"/>
  </r>
  <r>
    <n v="4476643187"/>
    <x v="0"/>
    <x v="36"/>
    <x v="3"/>
    <s v="CENTRO"/>
    <d v="2016-05-18T00:00:00"/>
    <d v="2016-05-24T00:00:00"/>
    <x v="4"/>
    <x v="90"/>
    <x v="3"/>
    <n v="0"/>
    <x v="1"/>
    <n v="0"/>
    <n v="0"/>
    <n v="0"/>
    <x v="0"/>
    <x v="0"/>
    <n v="0"/>
  </r>
  <r>
    <n v="664268000000000"/>
    <x v="0"/>
    <x v="48"/>
    <x v="3"/>
    <s v="RESISTENCIA"/>
    <d v="2016-05-18T00:00:00"/>
    <d v="2016-05-24T00:00:00"/>
    <x v="4"/>
    <x v="90"/>
    <x v="3"/>
    <n v="0"/>
    <x v="1"/>
    <n v="0"/>
    <n v="0"/>
    <n v="0"/>
    <x v="0"/>
    <x v="0"/>
    <n v="0"/>
  </r>
  <r>
    <n v="36125900000000"/>
    <x v="0"/>
    <x v="14"/>
    <x v="3"/>
    <s v="ROMAO"/>
    <d v="2016-05-18T00:00:00"/>
    <d v="2016-05-20T00:00:00"/>
    <x v="0"/>
    <x v="91"/>
    <x v="4"/>
    <n v="0"/>
    <x v="1"/>
    <n v="0"/>
    <n v="0"/>
    <n v="0"/>
    <x v="1"/>
    <x v="0"/>
    <n v="0"/>
  </r>
  <r>
    <n v="8211840000000"/>
    <x v="0"/>
    <x v="17"/>
    <x v="4"/>
    <s v="TABUAZEIRO"/>
    <d v="2016-05-18T00:00:00"/>
    <d v="2016-05-18T00:00:00"/>
    <x v="1"/>
    <x v="94"/>
    <x v="5"/>
    <n v="1"/>
    <x v="1"/>
    <n v="0"/>
    <n v="0"/>
    <n v="0"/>
    <x v="1"/>
    <x v="0"/>
    <n v="0"/>
  </r>
  <r>
    <n v="164733000000"/>
    <x v="1"/>
    <x v="75"/>
    <x v="5"/>
    <s v="REPUBLICA"/>
    <d v="2016-05-18T00:00:00"/>
    <d v="2016-06-01T00:00:00"/>
    <x v="1"/>
    <x v="80"/>
    <x v="2"/>
    <n v="0"/>
    <x v="1"/>
    <n v="0"/>
    <n v="0"/>
    <n v="0"/>
    <x v="0"/>
    <x v="0"/>
    <n v="0"/>
  </r>
  <r>
    <n v="45776600000000"/>
    <x v="0"/>
    <x v="7"/>
    <x v="3"/>
    <s v="ILHA DO PRINCIPE"/>
    <d v="2016-05-18T00:00:00"/>
    <d v="2016-06-02T00:00:00"/>
    <x v="3"/>
    <x v="79"/>
    <x v="1"/>
    <n v="0"/>
    <x v="1"/>
    <n v="0"/>
    <n v="0"/>
    <n v="0"/>
    <x v="0"/>
    <x v="0"/>
    <n v="0"/>
  </r>
  <r>
    <n v="55842268592"/>
    <x v="0"/>
    <x v="34"/>
    <x v="0"/>
    <s v="JARDIM CAMBURI"/>
    <d v="2016-05-18T00:00:00"/>
    <d v="2016-05-20T00:00:00"/>
    <x v="0"/>
    <x v="91"/>
    <x v="4"/>
    <n v="0"/>
    <x v="1"/>
    <n v="0"/>
    <n v="0"/>
    <n v="0"/>
    <x v="1"/>
    <x v="1"/>
    <n v="1"/>
  </r>
  <r>
    <n v="245856000000000"/>
    <x v="1"/>
    <x v="52"/>
    <x v="2"/>
    <s v="CARATOIRA"/>
    <d v="2016-05-18T00:00:00"/>
    <d v="2016-05-18T00:00:00"/>
    <x v="1"/>
    <x v="94"/>
    <x v="5"/>
    <n v="1"/>
    <x v="1"/>
    <n v="0"/>
    <n v="0"/>
    <n v="0"/>
    <x v="1"/>
    <x v="0"/>
    <n v="0"/>
  </r>
  <r>
    <n v="58621700000000"/>
    <x v="1"/>
    <x v="81"/>
    <x v="5"/>
    <s v="JARDIM CAMBURI"/>
    <d v="2016-05-18T00:00:00"/>
    <d v="2016-05-20T00:00:00"/>
    <x v="0"/>
    <x v="91"/>
    <x v="4"/>
    <n v="0"/>
    <x v="1"/>
    <n v="0"/>
    <n v="0"/>
    <n v="0"/>
    <x v="1"/>
    <x v="0"/>
    <n v="0"/>
  </r>
  <r>
    <n v="46986582965"/>
    <x v="1"/>
    <x v="55"/>
    <x v="2"/>
    <s v="DA PENHA"/>
    <d v="2016-05-18T00:00:00"/>
    <d v="2016-06-03T00:00:00"/>
    <x v="0"/>
    <x v="78"/>
    <x v="1"/>
    <n v="0"/>
    <x v="1"/>
    <n v="0"/>
    <n v="0"/>
    <n v="0"/>
    <x v="0"/>
    <x v="0"/>
    <n v="0"/>
  </r>
  <r>
    <n v="87399300000000"/>
    <x v="0"/>
    <x v="27"/>
    <x v="3"/>
    <s v="JARDIM CAMBURI"/>
    <d v="2016-05-18T00:00:00"/>
    <d v="2016-06-01T00:00:00"/>
    <x v="1"/>
    <x v="80"/>
    <x v="2"/>
    <n v="0"/>
    <x v="1"/>
    <n v="0"/>
    <n v="0"/>
    <n v="0"/>
    <x v="0"/>
    <x v="0"/>
    <n v="0"/>
  </r>
  <r>
    <n v="57396600000000"/>
    <x v="0"/>
    <x v="81"/>
    <x v="5"/>
    <s v="CRUZAMENTO"/>
    <d v="2016-05-18T00:00:00"/>
    <d v="2016-05-24T00:00:00"/>
    <x v="4"/>
    <x v="90"/>
    <x v="3"/>
    <n v="0"/>
    <x v="1"/>
    <n v="0"/>
    <n v="0"/>
    <n v="0"/>
    <x v="0"/>
    <x v="0"/>
    <n v="0"/>
  </r>
  <r>
    <n v="294843000000000"/>
    <x v="0"/>
    <x v="21"/>
    <x v="1"/>
    <s v="JARDIM CAMBURI"/>
    <d v="2016-05-18T00:00:00"/>
    <d v="2016-05-31T00:00:00"/>
    <x v="4"/>
    <x v="82"/>
    <x v="2"/>
    <n v="0"/>
    <x v="1"/>
    <n v="0"/>
    <n v="0"/>
    <n v="0"/>
    <x v="0"/>
    <x v="0"/>
    <n v="0"/>
  </r>
  <r>
    <n v="38279800000000"/>
    <x v="0"/>
    <x v="23"/>
    <x v="3"/>
    <s v="TABUAZEIRO"/>
    <d v="2016-05-18T00:00:00"/>
    <d v="2016-05-18T00:00:00"/>
    <x v="1"/>
    <x v="94"/>
    <x v="5"/>
    <n v="0"/>
    <x v="1"/>
    <n v="0"/>
    <n v="0"/>
    <n v="0"/>
    <x v="1"/>
    <x v="0"/>
    <n v="0"/>
  </r>
  <r>
    <n v="6633470000000"/>
    <x v="1"/>
    <x v="81"/>
    <x v="5"/>
    <s v="BONFIM"/>
    <d v="2016-05-18T00:00:00"/>
    <d v="2016-05-18T00:00:00"/>
    <x v="1"/>
    <x v="94"/>
    <x v="5"/>
    <n v="0"/>
    <x v="1"/>
    <n v="0"/>
    <n v="0"/>
    <n v="0"/>
    <x v="1"/>
    <x v="0"/>
    <n v="0"/>
  </r>
  <r>
    <n v="368217000000"/>
    <x v="1"/>
    <x v="32"/>
    <x v="4"/>
    <s v="SANTA CECILIA"/>
    <d v="2016-05-18T00:00:00"/>
    <d v="2016-05-19T00:00:00"/>
    <x v="3"/>
    <x v="93"/>
    <x v="4"/>
    <n v="0"/>
    <x v="1"/>
    <n v="0"/>
    <n v="0"/>
    <n v="0"/>
    <x v="1"/>
    <x v="0"/>
    <n v="0"/>
  </r>
  <r>
    <n v="94561700000000"/>
    <x v="0"/>
    <x v="51"/>
    <x v="2"/>
    <s v="MARIA ORTIZ"/>
    <d v="2016-05-18T00:00:00"/>
    <d v="2016-05-18T00:00:00"/>
    <x v="1"/>
    <x v="94"/>
    <x v="5"/>
    <n v="0"/>
    <x v="1"/>
    <n v="0"/>
    <n v="0"/>
    <n v="0"/>
    <x v="1"/>
    <x v="0"/>
    <n v="0"/>
  </r>
  <r>
    <n v="7472160000000"/>
    <x v="1"/>
    <x v="52"/>
    <x v="2"/>
    <s v="JARDIM DA PENHA"/>
    <d v="2016-05-18T00:00:00"/>
    <d v="2016-05-18T00:00:00"/>
    <x v="1"/>
    <x v="94"/>
    <x v="5"/>
    <n v="0"/>
    <x v="1"/>
    <n v="0"/>
    <n v="0"/>
    <n v="0"/>
    <x v="1"/>
    <x v="0"/>
    <n v="0"/>
  </r>
  <r>
    <n v="3536780000000"/>
    <x v="0"/>
    <x v="77"/>
    <x v="4"/>
    <s v="DA PENHA"/>
    <d v="2016-05-18T00:00:00"/>
    <d v="2016-05-18T00:00:00"/>
    <x v="1"/>
    <x v="94"/>
    <x v="5"/>
    <n v="0"/>
    <x v="1"/>
    <n v="0"/>
    <n v="0"/>
    <n v="0"/>
    <x v="1"/>
    <x v="0"/>
    <n v="0"/>
  </r>
  <r>
    <n v="47316100000000"/>
    <x v="0"/>
    <x v="29"/>
    <x v="3"/>
    <s v="RESISTENCIA"/>
    <d v="2016-05-18T00:00:00"/>
    <d v="2016-05-20T00:00:00"/>
    <x v="0"/>
    <x v="91"/>
    <x v="4"/>
    <n v="0"/>
    <x v="1"/>
    <n v="0"/>
    <n v="0"/>
    <n v="0"/>
    <x v="1"/>
    <x v="0"/>
    <n v="0"/>
  </r>
  <r>
    <n v="834798000000"/>
    <x v="1"/>
    <x v="24"/>
    <x v="1"/>
    <s v="DO CABRAL"/>
    <d v="2016-05-18T00:00:00"/>
    <d v="2016-05-20T00:00:00"/>
    <x v="0"/>
    <x v="91"/>
    <x v="4"/>
    <n v="0"/>
    <x v="0"/>
    <n v="0"/>
    <n v="0"/>
    <n v="0"/>
    <x v="1"/>
    <x v="0"/>
    <n v="0"/>
  </r>
  <r>
    <n v="68954500000000"/>
    <x v="0"/>
    <x v="61"/>
    <x v="1"/>
    <s v="BELA VISTA"/>
    <d v="2016-05-18T00:00:00"/>
    <d v="2016-05-20T00:00:00"/>
    <x v="0"/>
    <x v="91"/>
    <x v="4"/>
    <n v="0"/>
    <x v="1"/>
    <n v="0"/>
    <n v="0"/>
    <n v="0"/>
    <x v="1"/>
    <x v="0"/>
    <n v="0"/>
  </r>
  <r>
    <n v="462119000000000"/>
    <x v="0"/>
    <x v="21"/>
    <x v="1"/>
    <s v="REPUBLICA"/>
    <d v="2016-05-18T00:00:00"/>
    <d v="2016-06-01T00:00:00"/>
    <x v="1"/>
    <x v="80"/>
    <x v="2"/>
    <n v="0"/>
    <x v="1"/>
    <n v="0"/>
    <n v="0"/>
    <n v="0"/>
    <x v="0"/>
    <x v="0"/>
    <n v="0"/>
  </r>
  <r>
    <n v="4526800000000"/>
    <x v="1"/>
    <x v="17"/>
    <x v="4"/>
    <s v="JARDIM CAMBURI"/>
    <d v="2016-05-18T00:00:00"/>
    <d v="2016-05-18T00:00:00"/>
    <x v="1"/>
    <x v="94"/>
    <x v="5"/>
    <n v="0"/>
    <x v="1"/>
    <n v="0"/>
    <n v="0"/>
    <n v="0"/>
    <x v="1"/>
    <x v="0"/>
    <n v="0"/>
  </r>
  <r>
    <n v="581529000000000"/>
    <x v="0"/>
    <x v="31"/>
    <x v="1"/>
    <s v="TABUAZEIRO"/>
    <d v="2016-05-18T00:00:00"/>
    <d v="2016-06-06T00:00:00"/>
    <x v="2"/>
    <x v="77"/>
    <x v="1"/>
    <n v="0"/>
    <x v="0"/>
    <n v="0"/>
    <n v="0"/>
    <n v="0"/>
    <x v="0"/>
    <x v="0"/>
    <n v="0"/>
  </r>
  <r>
    <n v="1638880000000"/>
    <x v="0"/>
    <x v="24"/>
    <x v="1"/>
    <s v="SAO PEDRO"/>
    <d v="2016-05-18T00:00:00"/>
    <d v="2016-05-18T00:00:00"/>
    <x v="1"/>
    <x v="94"/>
    <x v="5"/>
    <n v="0"/>
    <x v="0"/>
    <n v="0"/>
    <n v="0"/>
    <n v="0"/>
    <x v="1"/>
    <x v="0"/>
    <n v="0"/>
  </r>
  <r>
    <n v="853440000000000"/>
    <x v="0"/>
    <x v="50"/>
    <x v="1"/>
    <s v="ILHA DE SANTA MARIA"/>
    <d v="2016-05-18T00:00:00"/>
    <d v="2016-05-18T00:00:00"/>
    <x v="1"/>
    <x v="94"/>
    <x v="5"/>
    <n v="0"/>
    <x v="1"/>
    <n v="0"/>
    <n v="0"/>
    <n v="0"/>
    <x v="1"/>
    <x v="0"/>
    <n v="0"/>
  </r>
  <r>
    <n v="964396000000"/>
    <x v="0"/>
    <x v="50"/>
    <x v="1"/>
    <s v="GRANDE VITORIA"/>
    <d v="2016-05-18T00:00:00"/>
    <d v="2016-06-06T00:00:00"/>
    <x v="2"/>
    <x v="77"/>
    <x v="1"/>
    <n v="1"/>
    <x v="0"/>
    <n v="1"/>
    <n v="0"/>
    <n v="0"/>
    <x v="0"/>
    <x v="0"/>
    <n v="0"/>
  </r>
  <r>
    <n v="69322200000000"/>
    <x v="1"/>
    <x v="25"/>
    <x v="4"/>
    <s v="ESTRELINHA"/>
    <d v="2016-05-18T00:00:00"/>
    <d v="2016-05-18T00:00:00"/>
    <x v="1"/>
    <x v="94"/>
    <x v="5"/>
    <n v="0"/>
    <x v="1"/>
    <n v="0"/>
    <n v="1"/>
    <n v="0"/>
    <x v="1"/>
    <x v="0"/>
    <n v="0"/>
  </r>
  <r>
    <n v="615441000000000"/>
    <x v="0"/>
    <x v="87"/>
    <x v="1"/>
    <s v="JARDIM CAMBURI"/>
    <d v="2016-05-18T00:00:00"/>
    <d v="2016-06-03T00:00:00"/>
    <x v="0"/>
    <x v="78"/>
    <x v="1"/>
    <n v="0"/>
    <x v="1"/>
    <n v="0"/>
    <n v="0"/>
    <n v="0"/>
    <x v="0"/>
    <x v="0"/>
    <n v="0"/>
  </r>
  <r>
    <n v="14133900000000"/>
    <x v="0"/>
    <x v="81"/>
    <x v="5"/>
    <s v="PRAIA DO SUA"/>
    <d v="2016-05-18T00:00:00"/>
    <d v="2016-06-02T00:00:00"/>
    <x v="3"/>
    <x v="79"/>
    <x v="1"/>
    <n v="1"/>
    <x v="1"/>
    <n v="0"/>
    <n v="0"/>
    <n v="0"/>
    <x v="1"/>
    <x v="1"/>
    <n v="1"/>
  </r>
  <r>
    <n v="71199800000000"/>
    <x v="0"/>
    <x v="46"/>
    <x v="2"/>
    <s v="JESUS DE NAZARETH"/>
    <d v="2016-05-18T00:00:00"/>
    <d v="2016-05-19T00:00:00"/>
    <x v="3"/>
    <x v="93"/>
    <x v="4"/>
    <n v="0"/>
    <x v="1"/>
    <n v="0"/>
    <n v="0"/>
    <n v="0"/>
    <x v="1"/>
    <x v="0"/>
    <n v="0"/>
  </r>
  <r>
    <n v="424885000000000"/>
    <x v="0"/>
    <x v="68"/>
    <x v="4"/>
    <s v="RESISTENCIA"/>
    <d v="2016-05-18T00:00:00"/>
    <d v="2016-06-07T00:00:00"/>
    <x v="4"/>
    <x v="76"/>
    <x v="1"/>
    <n v="0"/>
    <x v="1"/>
    <n v="0"/>
    <n v="0"/>
    <n v="0"/>
    <x v="0"/>
    <x v="1"/>
    <n v="1"/>
  </r>
  <r>
    <n v="65365400000000"/>
    <x v="0"/>
    <x v="65"/>
    <x v="2"/>
    <s v="ITARARE"/>
    <d v="2016-05-18T00:00:00"/>
    <d v="2016-05-24T00:00:00"/>
    <x v="4"/>
    <x v="90"/>
    <x v="3"/>
    <n v="0"/>
    <x v="1"/>
    <n v="0"/>
    <n v="0"/>
    <n v="0"/>
    <x v="1"/>
    <x v="0"/>
    <n v="0"/>
  </r>
  <r>
    <n v="41833500000000"/>
    <x v="1"/>
    <x v="4"/>
    <x v="2"/>
    <s v="MARIA ORTIZ"/>
    <d v="2016-05-18T00:00:00"/>
    <d v="2016-05-18T00:00:00"/>
    <x v="1"/>
    <x v="94"/>
    <x v="5"/>
    <n v="0"/>
    <x v="1"/>
    <n v="0"/>
    <n v="0"/>
    <n v="0"/>
    <x v="1"/>
    <x v="0"/>
    <n v="0"/>
  </r>
  <r>
    <n v="818217000000000"/>
    <x v="0"/>
    <x v="62"/>
    <x v="3"/>
    <s v="SAO CRISTOVAO"/>
    <d v="2016-05-18T00:00:00"/>
    <d v="2016-05-18T00:00:00"/>
    <x v="1"/>
    <x v="94"/>
    <x v="5"/>
    <n v="0"/>
    <x v="1"/>
    <n v="1"/>
    <n v="0"/>
    <n v="0"/>
    <x v="1"/>
    <x v="0"/>
    <n v="0"/>
  </r>
  <r>
    <n v="1513670000000"/>
    <x v="0"/>
    <x v="16"/>
    <x v="1"/>
    <s v="SANTOS DUMONT"/>
    <d v="2016-05-18T00:00:00"/>
    <d v="2016-05-19T00:00:00"/>
    <x v="3"/>
    <x v="93"/>
    <x v="4"/>
    <n v="0"/>
    <x v="0"/>
    <n v="0"/>
    <n v="0"/>
    <n v="0"/>
    <x v="1"/>
    <x v="0"/>
    <n v="0"/>
  </r>
  <r>
    <n v="51554700000000"/>
    <x v="0"/>
    <x v="23"/>
    <x v="3"/>
    <s v="CARATOIRA"/>
    <d v="2016-05-18T00:00:00"/>
    <d v="2016-05-19T00:00:00"/>
    <x v="3"/>
    <x v="93"/>
    <x v="4"/>
    <n v="0"/>
    <x v="1"/>
    <n v="0"/>
    <n v="0"/>
    <n v="0"/>
    <x v="1"/>
    <x v="0"/>
    <n v="0"/>
  </r>
  <r>
    <n v="469890000000"/>
    <x v="1"/>
    <x v="70"/>
    <x v="5"/>
    <s v="ILHA DE SANTA MARIA"/>
    <d v="2016-05-18T00:00:00"/>
    <d v="2016-05-18T00:00:00"/>
    <x v="1"/>
    <x v="94"/>
    <x v="5"/>
    <n v="0"/>
    <x v="1"/>
    <n v="0"/>
    <n v="0"/>
    <n v="0"/>
    <x v="1"/>
    <x v="0"/>
    <n v="0"/>
  </r>
  <r>
    <n v="3368940000000"/>
    <x v="0"/>
    <x v="80"/>
    <x v="2"/>
    <s v="SANTO ANTONIO"/>
    <d v="2016-05-18T00:00:00"/>
    <d v="2016-05-19T00:00:00"/>
    <x v="3"/>
    <x v="93"/>
    <x v="4"/>
    <n v="0"/>
    <x v="1"/>
    <n v="0"/>
    <n v="0"/>
    <n v="0"/>
    <x v="1"/>
    <x v="0"/>
    <n v="0"/>
  </r>
  <r>
    <n v="2944920000000"/>
    <x v="1"/>
    <x v="43"/>
    <x v="2"/>
    <s v="NOVA PALESTINA"/>
    <d v="2016-05-18T00:00:00"/>
    <d v="2016-05-25T00:00:00"/>
    <x v="1"/>
    <x v="87"/>
    <x v="3"/>
    <n v="1"/>
    <x v="1"/>
    <n v="0"/>
    <n v="0"/>
    <n v="0"/>
    <x v="0"/>
    <x v="0"/>
    <n v="0"/>
  </r>
  <r>
    <n v="1577980000000"/>
    <x v="0"/>
    <x v="77"/>
    <x v="4"/>
    <s v="JARDIM DA PENHA"/>
    <d v="2016-05-18T00:00:00"/>
    <d v="2016-06-06T00:00:00"/>
    <x v="2"/>
    <x v="77"/>
    <x v="1"/>
    <n v="0"/>
    <x v="1"/>
    <n v="0"/>
    <n v="0"/>
    <n v="0"/>
    <x v="0"/>
    <x v="0"/>
    <n v="0"/>
  </r>
  <r>
    <n v="121238000000"/>
    <x v="1"/>
    <x v="38"/>
    <x v="4"/>
    <s v="RESISTENCIA"/>
    <d v="2016-05-18T00:00:00"/>
    <d v="2016-05-30T00:00:00"/>
    <x v="2"/>
    <x v="84"/>
    <x v="2"/>
    <n v="0"/>
    <x v="1"/>
    <n v="0"/>
    <n v="0"/>
    <n v="0"/>
    <x v="0"/>
    <x v="0"/>
    <n v="0"/>
  </r>
  <r>
    <n v="5743120000000"/>
    <x v="0"/>
    <x v="72"/>
    <x v="5"/>
    <s v="SANTO ANTONIO"/>
    <d v="2016-05-18T00:00:00"/>
    <d v="2016-05-19T00:00:00"/>
    <x v="3"/>
    <x v="93"/>
    <x v="4"/>
    <n v="0"/>
    <x v="1"/>
    <n v="0"/>
    <n v="0"/>
    <n v="0"/>
    <x v="1"/>
    <x v="0"/>
    <n v="0"/>
  </r>
  <r>
    <n v="31183000000000"/>
    <x v="0"/>
    <x v="72"/>
    <x v="5"/>
    <s v="RESISTENCIA"/>
    <d v="2016-05-18T00:00:00"/>
    <d v="2016-05-19T00:00:00"/>
    <x v="3"/>
    <x v="93"/>
    <x v="4"/>
    <n v="0"/>
    <x v="1"/>
    <n v="0"/>
    <n v="0"/>
    <n v="0"/>
    <x v="1"/>
    <x v="0"/>
    <n v="0"/>
  </r>
  <r>
    <n v="1439200000000"/>
    <x v="1"/>
    <x v="36"/>
    <x v="3"/>
    <s v="ITARARE"/>
    <d v="2016-05-18T00:00:00"/>
    <d v="2016-05-20T00:00:00"/>
    <x v="0"/>
    <x v="91"/>
    <x v="4"/>
    <n v="0"/>
    <x v="1"/>
    <n v="0"/>
    <n v="0"/>
    <n v="0"/>
    <x v="1"/>
    <x v="0"/>
    <n v="0"/>
  </r>
  <r>
    <n v="58153400000000"/>
    <x v="1"/>
    <x v="45"/>
    <x v="1"/>
    <s v="MARIA ORTIZ"/>
    <d v="2016-05-18T00:00:00"/>
    <d v="2016-05-18T00:00:00"/>
    <x v="1"/>
    <x v="94"/>
    <x v="5"/>
    <n v="0"/>
    <x v="1"/>
    <n v="0"/>
    <n v="0"/>
    <n v="0"/>
    <x v="1"/>
    <x v="0"/>
    <n v="0"/>
  </r>
  <r>
    <n v="824333000000"/>
    <x v="1"/>
    <x v="37"/>
    <x v="3"/>
    <s v="ANTONIO HONORIO"/>
    <d v="2016-05-18T00:00:00"/>
    <d v="2016-06-03T00:00:00"/>
    <x v="0"/>
    <x v="78"/>
    <x v="1"/>
    <n v="0"/>
    <x v="1"/>
    <n v="0"/>
    <n v="0"/>
    <n v="0"/>
    <x v="0"/>
    <x v="1"/>
    <n v="1"/>
  </r>
  <r>
    <n v="192529000000000"/>
    <x v="0"/>
    <x v="49"/>
    <x v="4"/>
    <s v="MARIO CYPRESTE"/>
    <d v="2016-05-18T00:00:00"/>
    <d v="2016-05-18T00:00:00"/>
    <x v="1"/>
    <x v="94"/>
    <x v="5"/>
    <n v="0"/>
    <x v="1"/>
    <n v="1"/>
    <n v="0"/>
    <n v="0"/>
    <x v="1"/>
    <x v="0"/>
    <n v="0"/>
  </r>
  <r>
    <n v="6332990000000"/>
    <x v="0"/>
    <x v="71"/>
    <x v="4"/>
    <s v="SANTA MARTHA"/>
    <d v="2016-05-18T00:00:00"/>
    <d v="2016-05-18T00:00:00"/>
    <x v="1"/>
    <x v="94"/>
    <x v="5"/>
    <n v="0"/>
    <x v="1"/>
    <n v="0"/>
    <n v="0"/>
    <n v="0"/>
    <x v="1"/>
    <x v="0"/>
    <n v="0"/>
  </r>
  <r>
    <n v="123935000000000"/>
    <x v="1"/>
    <x v="57"/>
    <x v="2"/>
    <s v="JARDIM CAMBURI"/>
    <d v="2016-05-18T00:00:00"/>
    <d v="2016-05-25T00:00:00"/>
    <x v="1"/>
    <x v="87"/>
    <x v="3"/>
    <n v="0"/>
    <x v="1"/>
    <n v="0"/>
    <n v="0"/>
    <n v="0"/>
    <x v="0"/>
    <x v="0"/>
    <n v="0"/>
  </r>
  <r>
    <n v="184424000000000"/>
    <x v="0"/>
    <x v="41"/>
    <x v="4"/>
    <s v="ANDORINHAS"/>
    <d v="2016-05-18T00:00:00"/>
    <d v="2016-06-07T00:00:00"/>
    <x v="4"/>
    <x v="76"/>
    <x v="1"/>
    <n v="1"/>
    <x v="1"/>
    <n v="0"/>
    <n v="0"/>
    <n v="0"/>
    <x v="1"/>
    <x v="1"/>
    <n v="1"/>
  </r>
  <r>
    <n v="53534200000000"/>
    <x v="0"/>
    <x v="42"/>
    <x v="3"/>
    <s v="ANDORINHAS"/>
    <d v="2016-05-18T00:00:00"/>
    <d v="2016-05-31T00:00:00"/>
    <x v="4"/>
    <x v="82"/>
    <x v="2"/>
    <n v="0"/>
    <x v="1"/>
    <n v="0"/>
    <n v="0"/>
    <n v="0"/>
    <x v="1"/>
    <x v="1"/>
    <n v="1"/>
  </r>
  <r>
    <n v="472248000000000"/>
    <x v="0"/>
    <x v="68"/>
    <x v="4"/>
    <s v="ILHA DE SANTA MARIA"/>
    <d v="2016-05-18T00:00:00"/>
    <d v="2016-05-25T00:00:00"/>
    <x v="1"/>
    <x v="87"/>
    <x v="3"/>
    <n v="0"/>
    <x v="1"/>
    <n v="0"/>
    <n v="0"/>
    <n v="0"/>
    <x v="0"/>
    <x v="0"/>
    <n v="0"/>
  </r>
  <r>
    <n v="654535000000000"/>
    <x v="0"/>
    <x v="31"/>
    <x v="1"/>
    <s v="MARUIPE"/>
    <d v="2016-05-18T00:00:00"/>
    <d v="2016-05-24T00:00:00"/>
    <x v="4"/>
    <x v="90"/>
    <x v="3"/>
    <n v="0"/>
    <x v="0"/>
    <n v="0"/>
    <n v="0"/>
    <n v="0"/>
    <x v="0"/>
    <x v="0"/>
    <n v="0"/>
  </r>
  <r>
    <n v="76411800000000"/>
    <x v="0"/>
    <x v="27"/>
    <x v="3"/>
    <s v="INHANGUETA"/>
    <d v="2016-05-18T00:00:00"/>
    <d v="2016-06-06T00:00:00"/>
    <x v="2"/>
    <x v="77"/>
    <x v="1"/>
    <n v="0"/>
    <x v="0"/>
    <n v="1"/>
    <n v="0"/>
    <n v="0"/>
    <x v="0"/>
    <x v="0"/>
    <n v="0"/>
  </r>
  <r>
    <n v="951678000000"/>
    <x v="0"/>
    <x v="67"/>
    <x v="4"/>
    <s v="MONTE BELO"/>
    <d v="2016-05-18T00:00:00"/>
    <d v="2016-05-18T00:00:00"/>
    <x v="1"/>
    <x v="94"/>
    <x v="5"/>
    <n v="0"/>
    <x v="1"/>
    <n v="0"/>
    <n v="0"/>
    <n v="0"/>
    <x v="1"/>
    <x v="0"/>
    <n v="0"/>
  </r>
  <r>
    <n v="379796000000"/>
    <x v="0"/>
    <x v="4"/>
    <x v="2"/>
    <s v="TABUAZEIRO"/>
    <d v="2016-05-18T00:00:00"/>
    <d v="2016-05-18T00:00:00"/>
    <x v="1"/>
    <x v="94"/>
    <x v="5"/>
    <n v="0"/>
    <x v="1"/>
    <n v="0"/>
    <n v="0"/>
    <n v="0"/>
    <x v="1"/>
    <x v="0"/>
    <n v="0"/>
  </r>
  <r>
    <n v="45252400000000"/>
    <x v="1"/>
    <x v="44"/>
    <x v="4"/>
    <s v="ILHA DO PRINCIPE"/>
    <d v="2016-05-18T00:00:00"/>
    <d v="2016-06-03T00:00:00"/>
    <x v="0"/>
    <x v="78"/>
    <x v="1"/>
    <n v="1"/>
    <x v="1"/>
    <n v="0"/>
    <n v="0"/>
    <n v="0"/>
    <x v="0"/>
    <x v="1"/>
    <n v="1"/>
  </r>
  <r>
    <n v="918287000000000"/>
    <x v="0"/>
    <x v="31"/>
    <x v="1"/>
    <s v="SANTO ANTONIO"/>
    <d v="2016-05-18T00:00:00"/>
    <d v="2016-05-18T00:00:00"/>
    <x v="1"/>
    <x v="94"/>
    <x v="5"/>
    <n v="0"/>
    <x v="1"/>
    <n v="0"/>
    <n v="0"/>
    <n v="0"/>
    <x v="1"/>
    <x v="0"/>
    <n v="0"/>
  </r>
  <r>
    <n v="58267800000000"/>
    <x v="1"/>
    <x v="32"/>
    <x v="4"/>
    <s v="SANTO ANTONIO"/>
    <d v="2016-05-18T00:00:00"/>
    <d v="2016-05-18T00:00:00"/>
    <x v="1"/>
    <x v="94"/>
    <x v="5"/>
    <n v="0"/>
    <x v="1"/>
    <n v="0"/>
    <n v="0"/>
    <n v="0"/>
    <x v="1"/>
    <x v="0"/>
    <n v="0"/>
  </r>
  <r>
    <n v="371517000000000"/>
    <x v="0"/>
    <x v="72"/>
    <x v="5"/>
    <s v="INHANGUETA"/>
    <d v="2016-05-18T00:00:00"/>
    <d v="2016-06-08T00:00:00"/>
    <x v="1"/>
    <x v="73"/>
    <x v="1"/>
    <n v="0"/>
    <x v="1"/>
    <n v="0"/>
    <n v="0"/>
    <n v="0"/>
    <x v="1"/>
    <x v="0"/>
    <n v="0"/>
  </r>
  <r>
    <n v="765973000000000"/>
    <x v="1"/>
    <x v="12"/>
    <x v="3"/>
    <s v="SANTA CECILIA"/>
    <d v="2016-05-18T00:00:00"/>
    <d v="2016-05-20T00:00:00"/>
    <x v="0"/>
    <x v="91"/>
    <x v="4"/>
    <n v="0"/>
    <x v="0"/>
    <n v="1"/>
    <n v="0"/>
    <n v="0"/>
    <x v="1"/>
    <x v="0"/>
    <n v="0"/>
  </r>
  <r>
    <n v="932634000000000"/>
    <x v="0"/>
    <x v="42"/>
    <x v="3"/>
    <s v="JARDIM CAMBURI"/>
    <d v="2016-05-18T00:00:00"/>
    <d v="2016-05-24T00:00:00"/>
    <x v="4"/>
    <x v="90"/>
    <x v="3"/>
    <n v="0"/>
    <x v="1"/>
    <n v="0"/>
    <n v="0"/>
    <n v="0"/>
    <x v="0"/>
    <x v="1"/>
    <n v="1"/>
  </r>
  <r>
    <n v="49653500000000"/>
    <x v="1"/>
    <x v="14"/>
    <x v="3"/>
    <s v="MARIA ORTIZ"/>
    <d v="2016-05-18T00:00:00"/>
    <d v="2016-05-18T00:00:00"/>
    <x v="1"/>
    <x v="94"/>
    <x v="5"/>
    <n v="0"/>
    <x v="1"/>
    <n v="0"/>
    <n v="0"/>
    <n v="0"/>
    <x v="1"/>
    <x v="0"/>
    <n v="0"/>
  </r>
  <r>
    <n v="1243920000000"/>
    <x v="0"/>
    <x v="20"/>
    <x v="0"/>
    <s v="VILA RUBIM"/>
    <d v="2016-05-18T00:00:00"/>
    <d v="2016-05-18T00:00:00"/>
    <x v="1"/>
    <x v="94"/>
    <x v="5"/>
    <n v="0"/>
    <x v="0"/>
    <n v="0"/>
    <n v="0"/>
    <n v="0"/>
    <x v="1"/>
    <x v="0"/>
    <n v="0"/>
  </r>
  <r>
    <n v="7896290000000"/>
    <x v="0"/>
    <x v="22"/>
    <x v="4"/>
    <s v="SANTO ANTONIO"/>
    <d v="2016-05-18T00:00:00"/>
    <d v="2016-05-18T00:00:00"/>
    <x v="1"/>
    <x v="94"/>
    <x v="5"/>
    <n v="0"/>
    <x v="1"/>
    <n v="0"/>
    <n v="0"/>
    <n v="1"/>
    <x v="1"/>
    <x v="0"/>
    <n v="0"/>
  </r>
  <r>
    <n v="68754000000000"/>
    <x v="0"/>
    <x v="38"/>
    <x v="4"/>
    <s v="MARIA ORTIZ"/>
    <d v="2016-05-18T00:00:00"/>
    <d v="2016-05-18T00:00:00"/>
    <x v="1"/>
    <x v="94"/>
    <x v="5"/>
    <n v="0"/>
    <x v="1"/>
    <n v="0"/>
    <n v="0"/>
    <n v="0"/>
    <x v="1"/>
    <x v="0"/>
    <n v="0"/>
  </r>
  <r>
    <n v="375476000000000"/>
    <x v="0"/>
    <x v="41"/>
    <x v="4"/>
    <s v="JARDIM DA PENHA"/>
    <d v="2016-05-18T00:00:00"/>
    <d v="2016-05-18T00:00:00"/>
    <x v="1"/>
    <x v="94"/>
    <x v="5"/>
    <n v="0"/>
    <x v="1"/>
    <n v="0"/>
    <n v="0"/>
    <n v="0"/>
    <x v="1"/>
    <x v="0"/>
    <n v="0"/>
  </r>
  <r>
    <n v="116755000000"/>
    <x v="1"/>
    <x v="69"/>
    <x v="4"/>
    <s v="HORTO"/>
    <d v="2016-05-18T00:00:00"/>
    <d v="2016-05-30T00:00:00"/>
    <x v="2"/>
    <x v="84"/>
    <x v="2"/>
    <n v="0"/>
    <x v="1"/>
    <n v="0"/>
    <n v="1"/>
    <n v="0"/>
    <x v="0"/>
    <x v="1"/>
    <n v="1"/>
  </r>
  <r>
    <n v="181932000000000"/>
    <x v="0"/>
    <x v="14"/>
    <x v="3"/>
    <s v="DO QUADRO"/>
    <d v="2016-05-18T00:00:00"/>
    <d v="2016-05-18T00:00:00"/>
    <x v="1"/>
    <x v="94"/>
    <x v="5"/>
    <n v="0"/>
    <x v="1"/>
    <n v="0"/>
    <n v="0"/>
    <n v="0"/>
    <x v="1"/>
    <x v="0"/>
    <n v="0"/>
  </r>
  <r>
    <n v="249164000000000"/>
    <x v="1"/>
    <x v="43"/>
    <x v="2"/>
    <s v="SANTO ANTONIO"/>
    <d v="2016-05-18T00:00:00"/>
    <d v="2016-05-18T00:00:00"/>
    <x v="1"/>
    <x v="94"/>
    <x v="5"/>
    <n v="0"/>
    <x v="1"/>
    <n v="0"/>
    <n v="0"/>
    <n v="0"/>
    <x v="1"/>
    <x v="0"/>
    <n v="0"/>
  </r>
  <r>
    <n v="62735800000000"/>
    <x v="0"/>
    <x v="65"/>
    <x v="2"/>
    <s v="ILHA DE SANTA MARIA"/>
    <d v="2016-05-18T00:00:00"/>
    <d v="2016-05-19T00:00:00"/>
    <x v="3"/>
    <x v="93"/>
    <x v="4"/>
    <n v="0"/>
    <x v="1"/>
    <n v="0"/>
    <n v="0"/>
    <n v="0"/>
    <x v="1"/>
    <x v="0"/>
    <n v="0"/>
  </r>
  <r>
    <n v="459779000000"/>
    <x v="1"/>
    <x v="59"/>
    <x v="2"/>
    <s v="SAO PEDRO"/>
    <d v="2016-05-18T00:00:00"/>
    <d v="2016-05-18T00:00:00"/>
    <x v="1"/>
    <x v="94"/>
    <x v="5"/>
    <n v="1"/>
    <x v="1"/>
    <n v="0"/>
    <n v="0"/>
    <n v="0"/>
    <x v="1"/>
    <x v="0"/>
    <n v="0"/>
  </r>
  <r>
    <n v="85796900000000"/>
    <x v="0"/>
    <x v="0"/>
    <x v="0"/>
    <s v="CARATOIRA"/>
    <d v="2016-05-18T00:00:00"/>
    <d v="2016-06-07T00:00:00"/>
    <x v="4"/>
    <x v="76"/>
    <x v="1"/>
    <n v="0"/>
    <x v="0"/>
    <n v="1"/>
    <n v="0"/>
    <n v="0"/>
    <x v="1"/>
    <x v="0"/>
    <n v="0"/>
  </r>
  <r>
    <n v="273583000000000"/>
    <x v="0"/>
    <x v="36"/>
    <x v="3"/>
    <s v="JARDIM DA PENHA"/>
    <d v="2016-05-18T00:00:00"/>
    <d v="2016-05-18T00:00:00"/>
    <x v="1"/>
    <x v="94"/>
    <x v="5"/>
    <n v="0"/>
    <x v="1"/>
    <n v="0"/>
    <n v="0"/>
    <n v="0"/>
    <x v="1"/>
    <x v="0"/>
    <n v="0"/>
  </r>
  <r>
    <n v="37861100000000"/>
    <x v="1"/>
    <x v="31"/>
    <x v="1"/>
    <s v="ITARARE"/>
    <d v="2016-05-18T00:00:00"/>
    <d v="2016-05-24T00:00:00"/>
    <x v="4"/>
    <x v="90"/>
    <x v="3"/>
    <n v="0"/>
    <x v="1"/>
    <n v="0"/>
    <n v="0"/>
    <n v="0"/>
    <x v="0"/>
    <x v="0"/>
    <n v="0"/>
  </r>
  <r>
    <n v="8348380000000"/>
    <x v="0"/>
    <x v="57"/>
    <x v="2"/>
    <s v="DA PENHA"/>
    <d v="2016-05-18T00:00:00"/>
    <d v="2016-06-03T00:00:00"/>
    <x v="0"/>
    <x v="78"/>
    <x v="1"/>
    <n v="0"/>
    <x v="1"/>
    <n v="0"/>
    <n v="0"/>
    <n v="0"/>
    <x v="1"/>
    <x v="0"/>
    <n v="0"/>
  </r>
  <r>
    <n v="55215600000000"/>
    <x v="0"/>
    <x v="87"/>
    <x v="1"/>
    <s v="REDENCAO"/>
    <d v="2016-05-18T00:00:00"/>
    <d v="2016-05-20T00:00:00"/>
    <x v="0"/>
    <x v="91"/>
    <x v="4"/>
    <n v="0"/>
    <x v="1"/>
    <n v="0"/>
    <n v="0"/>
    <n v="0"/>
    <x v="1"/>
    <x v="0"/>
    <n v="0"/>
  </r>
  <r>
    <n v="755127000000000"/>
    <x v="0"/>
    <x v="2"/>
    <x v="1"/>
    <s v="BONFIM"/>
    <d v="2016-05-18T00:00:00"/>
    <d v="2016-05-20T00:00:00"/>
    <x v="0"/>
    <x v="91"/>
    <x v="4"/>
    <n v="0"/>
    <x v="1"/>
    <n v="0"/>
    <n v="0"/>
    <n v="0"/>
    <x v="1"/>
    <x v="0"/>
    <n v="0"/>
  </r>
  <r>
    <n v="21724000000000"/>
    <x v="1"/>
    <x v="27"/>
    <x v="3"/>
    <s v="ITARARE"/>
    <d v="2016-05-18T00:00:00"/>
    <d v="2016-05-20T00:00:00"/>
    <x v="0"/>
    <x v="91"/>
    <x v="4"/>
    <n v="0"/>
    <x v="1"/>
    <n v="0"/>
    <n v="0"/>
    <n v="0"/>
    <x v="1"/>
    <x v="0"/>
    <n v="0"/>
  </r>
  <r>
    <n v="96329500000000"/>
    <x v="1"/>
    <x v="29"/>
    <x v="3"/>
    <s v="BONFIM"/>
    <d v="2016-05-18T00:00:00"/>
    <d v="2016-06-01T00:00:00"/>
    <x v="1"/>
    <x v="80"/>
    <x v="2"/>
    <n v="0"/>
    <x v="1"/>
    <n v="0"/>
    <n v="0"/>
    <n v="0"/>
    <x v="0"/>
    <x v="0"/>
    <n v="0"/>
  </r>
  <r>
    <n v="715183000000000"/>
    <x v="0"/>
    <x v="20"/>
    <x v="0"/>
    <s v="RESISTENCIA"/>
    <d v="2016-05-18T00:00:00"/>
    <d v="2016-05-20T00:00:00"/>
    <x v="0"/>
    <x v="91"/>
    <x v="4"/>
    <n v="0"/>
    <x v="0"/>
    <n v="0"/>
    <n v="0"/>
    <n v="0"/>
    <x v="1"/>
    <x v="0"/>
    <n v="0"/>
  </r>
  <r>
    <n v="99779200000000"/>
    <x v="0"/>
    <x v="51"/>
    <x v="2"/>
    <s v="JABOUR"/>
    <d v="2016-05-18T00:00:00"/>
    <d v="2016-06-03T00:00:00"/>
    <x v="0"/>
    <x v="78"/>
    <x v="1"/>
    <n v="0"/>
    <x v="1"/>
    <n v="0"/>
    <n v="0"/>
    <n v="0"/>
    <x v="0"/>
    <x v="0"/>
    <n v="0"/>
  </r>
  <r>
    <n v="511790000000000"/>
    <x v="0"/>
    <x v="16"/>
    <x v="1"/>
    <s v="MARIA ORTIZ"/>
    <d v="2016-05-18T00:00:00"/>
    <d v="2016-05-20T00:00:00"/>
    <x v="0"/>
    <x v="91"/>
    <x v="4"/>
    <n v="0"/>
    <x v="1"/>
    <n v="0"/>
    <n v="0"/>
    <n v="0"/>
    <x v="1"/>
    <x v="0"/>
    <n v="0"/>
  </r>
  <r>
    <n v="6266460000000"/>
    <x v="1"/>
    <x v="11"/>
    <x v="0"/>
    <s v="JARDIM DA PENHA"/>
    <d v="2016-05-18T00:00:00"/>
    <d v="2016-05-18T00:00:00"/>
    <x v="1"/>
    <x v="94"/>
    <x v="5"/>
    <n v="0"/>
    <x v="0"/>
    <n v="0"/>
    <n v="0"/>
    <n v="0"/>
    <x v="1"/>
    <x v="0"/>
    <n v="0"/>
  </r>
  <r>
    <n v="5185670000000"/>
    <x v="0"/>
    <x v="10"/>
    <x v="4"/>
    <s v="PRAIA DO SUA"/>
    <d v="2016-05-18T00:00:00"/>
    <d v="2016-05-24T00:00:00"/>
    <x v="4"/>
    <x v="90"/>
    <x v="3"/>
    <n v="0"/>
    <x v="1"/>
    <n v="0"/>
    <n v="0"/>
    <n v="0"/>
    <x v="0"/>
    <x v="0"/>
    <n v="0"/>
  </r>
  <r>
    <n v="92293900000000"/>
    <x v="0"/>
    <x v="34"/>
    <x v="0"/>
    <s v="DA PENHA"/>
    <d v="2016-05-18T00:00:00"/>
    <d v="2016-05-20T00:00:00"/>
    <x v="0"/>
    <x v="91"/>
    <x v="4"/>
    <n v="0"/>
    <x v="0"/>
    <n v="0"/>
    <n v="0"/>
    <n v="1"/>
    <x v="1"/>
    <x v="0"/>
    <n v="0"/>
  </r>
  <r>
    <n v="93245500000000"/>
    <x v="0"/>
    <x v="23"/>
    <x v="3"/>
    <s v="MONTE BELO"/>
    <d v="2016-05-18T00:00:00"/>
    <d v="2016-05-20T00:00:00"/>
    <x v="0"/>
    <x v="91"/>
    <x v="4"/>
    <n v="0"/>
    <x v="1"/>
    <n v="0"/>
    <n v="0"/>
    <n v="0"/>
    <x v="1"/>
    <x v="0"/>
    <n v="0"/>
  </r>
  <r>
    <n v="1614540000000"/>
    <x v="0"/>
    <x v="36"/>
    <x v="3"/>
    <s v="JARDIM CAMBURI"/>
    <d v="2016-05-18T00:00:00"/>
    <d v="2016-05-18T00:00:00"/>
    <x v="1"/>
    <x v="94"/>
    <x v="5"/>
    <n v="0"/>
    <x v="1"/>
    <n v="0"/>
    <n v="0"/>
    <n v="0"/>
    <x v="1"/>
    <x v="0"/>
    <n v="0"/>
  </r>
  <r>
    <n v="364287000000"/>
    <x v="0"/>
    <x v="9"/>
    <x v="0"/>
    <s v="CENTRO"/>
    <d v="2016-05-18T00:00:00"/>
    <d v="2016-05-20T00:00:00"/>
    <x v="0"/>
    <x v="91"/>
    <x v="4"/>
    <n v="0"/>
    <x v="0"/>
    <n v="0"/>
    <n v="0"/>
    <n v="0"/>
    <x v="1"/>
    <x v="0"/>
    <n v="0"/>
  </r>
  <r>
    <n v="876792000000000"/>
    <x v="0"/>
    <x v="80"/>
    <x v="2"/>
    <s v="ANDORINHAS"/>
    <d v="2016-05-18T00:00:00"/>
    <d v="2016-05-18T00:00:00"/>
    <x v="1"/>
    <x v="94"/>
    <x v="5"/>
    <n v="0"/>
    <x v="1"/>
    <n v="0"/>
    <n v="0"/>
    <n v="0"/>
    <x v="1"/>
    <x v="1"/>
    <n v="1"/>
  </r>
  <r>
    <n v="89572800000000"/>
    <x v="1"/>
    <x v="25"/>
    <x v="4"/>
    <s v="PRAIA DO SUA"/>
    <d v="2016-05-18T00:00:00"/>
    <d v="2016-06-07T00:00:00"/>
    <x v="4"/>
    <x v="76"/>
    <x v="1"/>
    <n v="0"/>
    <x v="1"/>
    <n v="0"/>
    <n v="0"/>
    <n v="0"/>
    <x v="0"/>
    <x v="1"/>
    <n v="1"/>
  </r>
  <r>
    <n v="6124810000000"/>
    <x v="1"/>
    <x v="51"/>
    <x v="2"/>
    <s v="SANTO ANTONIO"/>
    <d v="2016-05-18T00:00:00"/>
    <d v="2016-05-18T00:00:00"/>
    <x v="1"/>
    <x v="94"/>
    <x v="5"/>
    <n v="0"/>
    <x v="1"/>
    <n v="0"/>
    <n v="0"/>
    <n v="0"/>
    <x v="1"/>
    <x v="0"/>
    <n v="0"/>
  </r>
  <r>
    <n v="6264200000000"/>
    <x v="1"/>
    <x v="36"/>
    <x v="3"/>
    <s v="JESUS DE NAZARETH"/>
    <d v="2016-05-18T00:00:00"/>
    <d v="2016-05-18T00:00:00"/>
    <x v="1"/>
    <x v="94"/>
    <x v="5"/>
    <n v="1"/>
    <x v="1"/>
    <n v="0"/>
    <n v="0"/>
    <n v="0"/>
    <x v="1"/>
    <x v="0"/>
    <n v="0"/>
  </r>
  <r>
    <n v="9452750000000"/>
    <x v="1"/>
    <x v="36"/>
    <x v="3"/>
    <s v="JUCUTUQUARA"/>
    <d v="2016-05-18T00:00:00"/>
    <d v="2016-05-18T00:00:00"/>
    <x v="1"/>
    <x v="94"/>
    <x v="5"/>
    <n v="0"/>
    <x v="1"/>
    <n v="0"/>
    <n v="0"/>
    <n v="0"/>
    <x v="1"/>
    <x v="0"/>
    <n v="0"/>
  </r>
  <r>
    <n v="7735160000000"/>
    <x v="0"/>
    <x v="61"/>
    <x v="1"/>
    <s v="JARDIM CAMBURI"/>
    <d v="2016-05-18T00:00:00"/>
    <d v="2016-05-24T00:00:00"/>
    <x v="4"/>
    <x v="90"/>
    <x v="3"/>
    <n v="0"/>
    <x v="1"/>
    <n v="0"/>
    <n v="0"/>
    <n v="0"/>
    <x v="0"/>
    <x v="0"/>
    <n v="0"/>
  </r>
  <r>
    <n v="26614400000000"/>
    <x v="1"/>
    <x v="40"/>
    <x v="1"/>
    <s v="ENSEADA DO SUA"/>
    <d v="2016-05-18T00:00:00"/>
    <d v="2016-05-18T00:00:00"/>
    <x v="1"/>
    <x v="94"/>
    <x v="5"/>
    <n v="0"/>
    <x v="1"/>
    <n v="0"/>
    <n v="0"/>
    <n v="0"/>
    <x v="1"/>
    <x v="0"/>
    <n v="0"/>
  </r>
  <r>
    <n v="457358000000000"/>
    <x v="0"/>
    <x v="77"/>
    <x v="4"/>
    <s v="SANTOS DUMONT"/>
    <d v="2016-05-18T00:00:00"/>
    <d v="2016-06-08T00:00:00"/>
    <x v="1"/>
    <x v="73"/>
    <x v="1"/>
    <n v="0"/>
    <x v="1"/>
    <n v="0"/>
    <n v="0"/>
    <n v="0"/>
    <x v="0"/>
    <x v="1"/>
    <n v="1"/>
  </r>
  <r>
    <n v="2981490000000"/>
    <x v="1"/>
    <x v="43"/>
    <x v="2"/>
    <s v="REDENCAO"/>
    <d v="2016-05-18T00:00:00"/>
    <d v="2016-06-08T00:00:00"/>
    <x v="1"/>
    <x v="73"/>
    <x v="1"/>
    <n v="0"/>
    <x v="1"/>
    <n v="0"/>
    <n v="0"/>
    <n v="0"/>
    <x v="1"/>
    <x v="1"/>
    <n v="1"/>
  </r>
  <r>
    <n v="798478000000"/>
    <x v="1"/>
    <x v="77"/>
    <x v="4"/>
    <s v="JARDIM CAMBURI"/>
    <d v="2016-05-18T00:00:00"/>
    <d v="2016-05-19T00:00:00"/>
    <x v="3"/>
    <x v="93"/>
    <x v="4"/>
    <n v="0"/>
    <x v="1"/>
    <n v="0"/>
    <n v="0"/>
    <n v="0"/>
    <x v="1"/>
    <x v="0"/>
    <n v="0"/>
  </r>
  <r>
    <n v="13867400000000"/>
    <x v="0"/>
    <x v="15"/>
    <x v="3"/>
    <s v="JARDIM CAMBURI"/>
    <d v="2016-05-18T00:00:00"/>
    <d v="2016-05-24T00:00:00"/>
    <x v="4"/>
    <x v="90"/>
    <x v="3"/>
    <n v="0"/>
    <x v="1"/>
    <n v="0"/>
    <n v="0"/>
    <n v="0"/>
    <x v="0"/>
    <x v="0"/>
    <n v="0"/>
  </r>
  <r>
    <n v="14342500000000"/>
    <x v="1"/>
    <x v="64"/>
    <x v="3"/>
    <s v="SAO JOSE"/>
    <d v="2016-05-19T00:00:00"/>
    <d v="2016-05-25T00:00:00"/>
    <x v="1"/>
    <x v="90"/>
    <x v="3"/>
    <n v="0"/>
    <x v="0"/>
    <n v="1"/>
    <n v="0"/>
    <n v="0"/>
    <x v="1"/>
    <x v="0"/>
    <n v="0"/>
  </r>
  <r>
    <n v="743155000000"/>
    <x v="1"/>
    <x v="48"/>
    <x v="3"/>
    <s v="SAO JOSE"/>
    <d v="2016-05-19T00:00:00"/>
    <d v="2016-06-01T00:00:00"/>
    <x v="1"/>
    <x v="82"/>
    <x v="2"/>
    <n v="0"/>
    <x v="1"/>
    <n v="0"/>
    <n v="0"/>
    <n v="0"/>
    <x v="0"/>
    <x v="0"/>
    <n v="0"/>
  </r>
  <r>
    <n v="64469800000000"/>
    <x v="1"/>
    <x v="66"/>
    <x v="2"/>
    <s v="JARDIM CAMBURI"/>
    <d v="2016-05-19T00:00:00"/>
    <d v="2016-06-06T00:00:00"/>
    <x v="2"/>
    <x v="74"/>
    <x v="1"/>
    <n v="0"/>
    <x v="1"/>
    <n v="0"/>
    <n v="0"/>
    <n v="0"/>
    <x v="1"/>
    <x v="0"/>
    <n v="0"/>
  </r>
  <r>
    <n v="864168000000000"/>
    <x v="1"/>
    <x v="3"/>
    <x v="0"/>
    <s v="REDENCAO"/>
    <d v="2016-05-19T00:00:00"/>
    <d v="2016-06-01T00:00:00"/>
    <x v="1"/>
    <x v="82"/>
    <x v="2"/>
    <n v="0"/>
    <x v="0"/>
    <n v="0"/>
    <n v="0"/>
    <n v="0"/>
    <x v="0"/>
    <x v="0"/>
    <n v="0"/>
  </r>
  <r>
    <n v="156578000000000"/>
    <x v="0"/>
    <x v="37"/>
    <x v="3"/>
    <s v="ANDORINHAS"/>
    <d v="2016-05-19T00:00:00"/>
    <d v="2016-05-19T00:00:00"/>
    <x v="3"/>
    <x v="94"/>
    <x v="5"/>
    <n v="0"/>
    <x v="0"/>
    <n v="0"/>
    <n v="0"/>
    <n v="0"/>
    <x v="1"/>
    <x v="0"/>
    <n v="0"/>
  </r>
  <r>
    <n v="59271100000000"/>
    <x v="1"/>
    <x v="61"/>
    <x v="1"/>
    <s v="ESTRELINHA"/>
    <d v="2016-05-19T00:00:00"/>
    <d v="2016-06-01T00:00:00"/>
    <x v="1"/>
    <x v="82"/>
    <x v="2"/>
    <n v="0"/>
    <x v="1"/>
    <n v="0"/>
    <n v="0"/>
    <n v="0"/>
    <x v="0"/>
    <x v="0"/>
    <n v="0"/>
  </r>
  <r>
    <n v="6542840000000"/>
    <x v="1"/>
    <x v="53"/>
    <x v="0"/>
    <s v="CONSOLACAO"/>
    <d v="2016-05-19T00:00:00"/>
    <d v="2016-05-19T00:00:00"/>
    <x v="3"/>
    <x v="94"/>
    <x v="5"/>
    <n v="0"/>
    <x v="1"/>
    <n v="0"/>
    <n v="0"/>
    <n v="0"/>
    <x v="1"/>
    <x v="0"/>
    <n v="0"/>
  </r>
  <r>
    <n v="24436100000000"/>
    <x v="0"/>
    <x v="15"/>
    <x v="3"/>
    <s v="TABUAZEIRO"/>
    <d v="2016-05-19T00:00:00"/>
    <d v="2016-05-19T00:00:00"/>
    <x v="3"/>
    <x v="94"/>
    <x v="5"/>
    <n v="0"/>
    <x v="0"/>
    <n v="1"/>
    <n v="0"/>
    <n v="0"/>
    <x v="1"/>
    <x v="0"/>
    <n v="0"/>
  </r>
  <r>
    <n v="693278000000"/>
    <x v="0"/>
    <x v="36"/>
    <x v="3"/>
    <s v="REDENCAO"/>
    <d v="2016-05-19T00:00:00"/>
    <d v="2016-06-03T00:00:00"/>
    <x v="0"/>
    <x v="79"/>
    <x v="1"/>
    <n v="0"/>
    <x v="0"/>
    <n v="0"/>
    <n v="0"/>
    <n v="0"/>
    <x v="0"/>
    <x v="0"/>
    <n v="0"/>
  </r>
  <r>
    <n v="716650000000000"/>
    <x v="0"/>
    <x v="80"/>
    <x v="2"/>
    <s v="JESUS DE NAZARETH"/>
    <d v="2016-05-19T00:00:00"/>
    <d v="2016-05-19T00:00:00"/>
    <x v="3"/>
    <x v="94"/>
    <x v="5"/>
    <n v="0"/>
    <x v="1"/>
    <n v="0"/>
    <n v="0"/>
    <n v="0"/>
    <x v="1"/>
    <x v="0"/>
    <n v="0"/>
  </r>
  <r>
    <n v="825526000000"/>
    <x v="0"/>
    <x v="45"/>
    <x v="1"/>
    <s v="SANTO ANTONIO"/>
    <d v="2016-05-19T00:00:00"/>
    <d v="2016-05-19T00:00:00"/>
    <x v="3"/>
    <x v="94"/>
    <x v="5"/>
    <n v="0"/>
    <x v="0"/>
    <n v="1"/>
    <n v="0"/>
    <n v="0"/>
    <x v="1"/>
    <x v="0"/>
    <n v="0"/>
  </r>
  <r>
    <n v="32135500000000"/>
    <x v="0"/>
    <x v="71"/>
    <x v="4"/>
    <s v="MARIA ORTIZ"/>
    <d v="2016-05-19T00:00:00"/>
    <d v="2016-05-19T00:00:00"/>
    <x v="3"/>
    <x v="94"/>
    <x v="5"/>
    <n v="0"/>
    <x v="1"/>
    <n v="0"/>
    <n v="0"/>
    <n v="0"/>
    <x v="1"/>
    <x v="1"/>
    <n v="1"/>
  </r>
  <r>
    <n v="414983000000000"/>
    <x v="0"/>
    <x v="27"/>
    <x v="3"/>
    <s v="DA PENHA"/>
    <d v="2016-05-19T00:00:00"/>
    <d v="2016-05-19T00:00:00"/>
    <x v="3"/>
    <x v="94"/>
    <x v="5"/>
    <n v="0"/>
    <x v="0"/>
    <n v="1"/>
    <n v="0"/>
    <n v="0"/>
    <x v="1"/>
    <x v="0"/>
    <n v="0"/>
  </r>
  <r>
    <n v="4515660000000"/>
    <x v="1"/>
    <x v="37"/>
    <x v="3"/>
    <s v="RESISTENCIA"/>
    <d v="2016-05-19T00:00:00"/>
    <d v="2016-05-25T00:00:00"/>
    <x v="1"/>
    <x v="90"/>
    <x v="3"/>
    <n v="0"/>
    <x v="1"/>
    <n v="0"/>
    <n v="0"/>
    <n v="0"/>
    <x v="0"/>
    <x v="0"/>
    <n v="0"/>
  </r>
  <r>
    <n v="48658700000000"/>
    <x v="1"/>
    <x v="17"/>
    <x v="4"/>
    <s v="SANTA MARTHA"/>
    <d v="2016-05-19T00:00:00"/>
    <d v="2016-05-19T00:00:00"/>
    <x v="3"/>
    <x v="94"/>
    <x v="5"/>
    <n v="0"/>
    <x v="1"/>
    <n v="0"/>
    <n v="0"/>
    <n v="0"/>
    <x v="1"/>
    <x v="0"/>
    <n v="0"/>
  </r>
  <r>
    <n v="495695000000"/>
    <x v="1"/>
    <x v="47"/>
    <x v="4"/>
    <s v="SAO PEDRO"/>
    <d v="2016-05-19T00:00:00"/>
    <d v="2016-05-19T00:00:00"/>
    <x v="3"/>
    <x v="94"/>
    <x v="5"/>
    <n v="0"/>
    <x v="1"/>
    <n v="0"/>
    <n v="0"/>
    <n v="0"/>
    <x v="1"/>
    <x v="0"/>
    <n v="0"/>
  </r>
  <r>
    <n v="2261750000000"/>
    <x v="0"/>
    <x v="46"/>
    <x v="2"/>
    <s v="CONSOLACAO"/>
    <d v="2016-05-19T00:00:00"/>
    <d v="2016-05-19T00:00:00"/>
    <x v="3"/>
    <x v="94"/>
    <x v="5"/>
    <n v="0"/>
    <x v="1"/>
    <n v="0"/>
    <n v="0"/>
    <n v="0"/>
    <x v="1"/>
    <x v="0"/>
    <n v="0"/>
  </r>
  <r>
    <n v="516798000000000"/>
    <x v="1"/>
    <x v="60"/>
    <x v="2"/>
    <s v="DO MOSCOSO"/>
    <d v="2016-05-19T00:00:00"/>
    <d v="2016-05-19T00:00:00"/>
    <x v="3"/>
    <x v="94"/>
    <x v="5"/>
    <n v="0"/>
    <x v="1"/>
    <n v="0"/>
    <n v="0"/>
    <n v="0"/>
    <x v="1"/>
    <x v="0"/>
    <n v="0"/>
  </r>
  <r>
    <n v="5817950000000"/>
    <x v="1"/>
    <x v="47"/>
    <x v="4"/>
    <s v="JARDIM CAMBURI"/>
    <d v="2016-05-19T00:00:00"/>
    <d v="2016-05-19T00:00:00"/>
    <x v="3"/>
    <x v="94"/>
    <x v="5"/>
    <n v="0"/>
    <x v="1"/>
    <n v="0"/>
    <n v="0"/>
    <n v="0"/>
    <x v="1"/>
    <x v="0"/>
    <n v="0"/>
  </r>
  <r>
    <n v="8588650000000"/>
    <x v="0"/>
    <x v="29"/>
    <x v="3"/>
    <s v="JESUS DE NAZARETH"/>
    <d v="2016-05-19T00:00:00"/>
    <d v="2016-06-02T00:00:00"/>
    <x v="3"/>
    <x v="80"/>
    <x v="2"/>
    <n v="0"/>
    <x v="0"/>
    <n v="1"/>
    <n v="1"/>
    <n v="1"/>
    <x v="0"/>
    <x v="1"/>
    <n v="1"/>
  </r>
  <r>
    <n v="818716000000"/>
    <x v="0"/>
    <x v="50"/>
    <x v="1"/>
    <s v="GRANDE VITORIA"/>
    <d v="2016-05-19T00:00:00"/>
    <d v="2016-05-19T00:00:00"/>
    <x v="3"/>
    <x v="94"/>
    <x v="5"/>
    <n v="0"/>
    <x v="0"/>
    <n v="0"/>
    <n v="0"/>
    <n v="0"/>
    <x v="1"/>
    <x v="0"/>
    <n v="0"/>
  </r>
  <r>
    <n v="173245000000"/>
    <x v="1"/>
    <x v="52"/>
    <x v="2"/>
    <s v="SAO JOSE"/>
    <d v="2016-05-19T00:00:00"/>
    <d v="2016-05-19T00:00:00"/>
    <x v="3"/>
    <x v="94"/>
    <x v="5"/>
    <n v="0"/>
    <x v="1"/>
    <n v="0"/>
    <n v="0"/>
    <n v="0"/>
    <x v="1"/>
    <x v="0"/>
    <n v="0"/>
  </r>
  <r>
    <n v="742784000000000"/>
    <x v="1"/>
    <x v="68"/>
    <x v="4"/>
    <s v="ILHA DO PRINCIPE"/>
    <d v="2016-05-19T00:00:00"/>
    <d v="2016-06-07T00:00:00"/>
    <x v="4"/>
    <x v="77"/>
    <x v="1"/>
    <n v="0"/>
    <x v="1"/>
    <n v="0"/>
    <n v="0"/>
    <n v="0"/>
    <x v="0"/>
    <x v="0"/>
    <n v="0"/>
  </r>
  <r>
    <n v="94154900000000"/>
    <x v="1"/>
    <x v="65"/>
    <x v="2"/>
    <s v="NOVA PALESTINA"/>
    <d v="2016-05-19T00:00:00"/>
    <d v="2016-05-20T00:00:00"/>
    <x v="0"/>
    <x v="93"/>
    <x v="4"/>
    <n v="0"/>
    <x v="1"/>
    <n v="0"/>
    <n v="0"/>
    <n v="0"/>
    <x v="1"/>
    <x v="0"/>
    <n v="0"/>
  </r>
  <r>
    <n v="429953000000000"/>
    <x v="1"/>
    <x v="21"/>
    <x v="1"/>
    <s v="SANTA MARTHA"/>
    <d v="2016-05-19T00:00:00"/>
    <d v="2016-06-07T00:00:00"/>
    <x v="4"/>
    <x v="77"/>
    <x v="1"/>
    <n v="0"/>
    <x v="1"/>
    <n v="0"/>
    <n v="0"/>
    <n v="0"/>
    <x v="0"/>
    <x v="0"/>
    <n v="0"/>
  </r>
  <r>
    <n v="59573600000000"/>
    <x v="1"/>
    <x v="59"/>
    <x v="2"/>
    <s v="SANTA HELENA"/>
    <d v="2016-05-19T00:00:00"/>
    <d v="2016-05-19T00:00:00"/>
    <x v="3"/>
    <x v="94"/>
    <x v="5"/>
    <n v="0"/>
    <x v="1"/>
    <n v="0"/>
    <n v="0"/>
    <n v="0"/>
    <x v="1"/>
    <x v="0"/>
    <n v="0"/>
  </r>
  <r>
    <n v="15832800000000"/>
    <x v="0"/>
    <x v="87"/>
    <x v="1"/>
    <s v="RESISTENCIA"/>
    <d v="2016-05-19T00:00:00"/>
    <d v="2016-06-01T00:00:00"/>
    <x v="1"/>
    <x v="82"/>
    <x v="2"/>
    <n v="0"/>
    <x v="1"/>
    <n v="0"/>
    <n v="0"/>
    <n v="0"/>
    <x v="0"/>
    <x v="0"/>
    <n v="0"/>
  </r>
  <r>
    <n v="499252831"/>
    <x v="0"/>
    <x v="71"/>
    <x v="4"/>
    <s v="DA PENHA"/>
    <d v="2016-05-19T00:00:00"/>
    <d v="2016-05-19T00:00:00"/>
    <x v="3"/>
    <x v="94"/>
    <x v="5"/>
    <n v="0"/>
    <x v="1"/>
    <n v="0"/>
    <n v="0"/>
    <n v="0"/>
    <x v="1"/>
    <x v="0"/>
    <n v="0"/>
  </r>
  <r>
    <n v="59573600000000"/>
    <x v="1"/>
    <x v="59"/>
    <x v="2"/>
    <s v="SANTA HELENA"/>
    <d v="2016-05-19T00:00:00"/>
    <d v="2016-05-19T00:00:00"/>
    <x v="3"/>
    <x v="94"/>
    <x v="5"/>
    <n v="0"/>
    <x v="1"/>
    <n v="0"/>
    <n v="0"/>
    <n v="0"/>
    <x v="1"/>
    <x v="0"/>
    <n v="0"/>
  </r>
  <r>
    <n v="78651400000000"/>
    <x v="1"/>
    <x v="64"/>
    <x v="3"/>
    <s v="PRAIA DO CANTO"/>
    <d v="2016-05-19T00:00:00"/>
    <d v="2016-05-19T00:00:00"/>
    <x v="3"/>
    <x v="94"/>
    <x v="5"/>
    <n v="0"/>
    <x v="1"/>
    <n v="0"/>
    <n v="0"/>
    <n v="0"/>
    <x v="1"/>
    <x v="0"/>
    <n v="0"/>
  </r>
  <r>
    <n v="948926000000000"/>
    <x v="0"/>
    <x v="15"/>
    <x v="3"/>
    <s v="MARUIPE"/>
    <d v="2016-05-19T00:00:00"/>
    <d v="2016-05-19T00:00:00"/>
    <x v="3"/>
    <x v="94"/>
    <x v="5"/>
    <n v="0"/>
    <x v="0"/>
    <n v="0"/>
    <n v="0"/>
    <n v="0"/>
    <x v="1"/>
    <x v="0"/>
    <n v="0"/>
  </r>
  <r>
    <n v="24734317154"/>
    <x v="0"/>
    <x v="37"/>
    <x v="3"/>
    <s v="JABOUR"/>
    <d v="2016-05-19T00:00:00"/>
    <d v="2016-05-19T00:00:00"/>
    <x v="3"/>
    <x v="94"/>
    <x v="5"/>
    <n v="0"/>
    <x v="0"/>
    <n v="0"/>
    <n v="0"/>
    <n v="0"/>
    <x v="1"/>
    <x v="0"/>
    <n v="0"/>
  </r>
  <r>
    <n v="781546000000000"/>
    <x v="1"/>
    <x v="36"/>
    <x v="3"/>
    <s v="ITARARE"/>
    <d v="2016-05-19T00:00:00"/>
    <d v="2016-05-30T00:00:00"/>
    <x v="2"/>
    <x v="81"/>
    <x v="2"/>
    <n v="0"/>
    <x v="0"/>
    <n v="0"/>
    <n v="0"/>
    <n v="0"/>
    <x v="0"/>
    <x v="0"/>
    <n v="0"/>
  </r>
  <r>
    <n v="72258800000000"/>
    <x v="1"/>
    <x v="57"/>
    <x v="2"/>
    <s v="CENTRO"/>
    <d v="2016-05-19T00:00:00"/>
    <d v="2016-06-06T00:00:00"/>
    <x v="2"/>
    <x v="74"/>
    <x v="1"/>
    <n v="0"/>
    <x v="1"/>
    <n v="0"/>
    <n v="0"/>
    <n v="0"/>
    <x v="0"/>
    <x v="0"/>
    <n v="0"/>
  </r>
  <r>
    <n v="345714000000000"/>
    <x v="0"/>
    <x v="65"/>
    <x v="2"/>
    <s v="CENTRO"/>
    <d v="2016-05-19T00:00:00"/>
    <d v="2016-05-19T00:00:00"/>
    <x v="3"/>
    <x v="94"/>
    <x v="5"/>
    <n v="0"/>
    <x v="1"/>
    <n v="0"/>
    <n v="0"/>
    <n v="0"/>
    <x v="1"/>
    <x v="0"/>
    <n v="0"/>
  </r>
  <r>
    <n v="169875000000"/>
    <x v="0"/>
    <x v="60"/>
    <x v="2"/>
    <s v="FORTE SAO JOAO"/>
    <d v="2016-05-19T00:00:00"/>
    <d v="2016-05-19T00:00:00"/>
    <x v="3"/>
    <x v="94"/>
    <x v="5"/>
    <n v="0"/>
    <x v="1"/>
    <n v="0"/>
    <n v="0"/>
    <n v="0"/>
    <x v="1"/>
    <x v="0"/>
    <n v="0"/>
  </r>
  <r>
    <n v="48499825945"/>
    <x v="0"/>
    <x v="11"/>
    <x v="0"/>
    <s v="VILA RUBIM"/>
    <d v="2016-05-19T00:00:00"/>
    <d v="2016-05-19T00:00:00"/>
    <x v="3"/>
    <x v="94"/>
    <x v="5"/>
    <n v="0"/>
    <x v="0"/>
    <n v="1"/>
    <n v="0"/>
    <n v="0"/>
    <x v="1"/>
    <x v="0"/>
    <n v="0"/>
  </r>
  <r>
    <n v="317966000000"/>
    <x v="1"/>
    <x v="47"/>
    <x v="4"/>
    <s v="SANTA LUCIA"/>
    <d v="2016-05-19T00:00:00"/>
    <d v="2016-05-19T00:00:00"/>
    <x v="3"/>
    <x v="94"/>
    <x v="5"/>
    <n v="0"/>
    <x v="1"/>
    <n v="0"/>
    <n v="0"/>
    <n v="0"/>
    <x v="1"/>
    <x v="0"/>
    <n v="0"/>
  </r>
  <r>
    <n v="683863000000"/>
    <x v="1"/>
    <x v="15"/>
    <x v="3"/>
    <s v="SAO JOSE"/>
    <d v="2016-05-19T00:00:00"/>
    <d v="2016-05-24T00:00:00"/>
    <x v="4"/>
    <x v="92"/>
    <x v="3"/>
    <n v="0"/>
    <x v="0"/>
    <n v="1"/>
    <n v="0"/>
    <n v="0"/>
    <x v="0"/>
    <x v="0"/>
    <n v="0"/>
  </r>
  <r>
    <n v="298370000000"/>
    <x v="0"/>
    <x v="46"/>
    <x v="2"/>
    <s v="GURIGICA"/>
    <d v="2016-05-19T00:00:00"/>
    <d v="2016-05-19T00:00:00"/>
    <x v="3"/>
    <x v="94"/>
    <x v="5"/>
    <n v="0"/>
    <x v="1"/>
    <n v="0"/>
    <n v="0"/>
    <n v="0"/>
    <x v="1"/>
    <x v="0"/>
    <n v="0"/>
  </r>
  <r>
    <n v="65452900000000"/>
    <x v="0"/>
    <x v="79"/>
    <x v="5"/>
    <s v="JESUS DE NAZARETH"/>
    <d v="2016-05-19T00:00:00"/>
    <d v="2016-05-20T00:00:00"/>
    <x v="0"/>
    <x v="93"/>
    <x v="4"/>
    <n v="0"/>
    <x v="1"/>
    <n v="0"/>
    <n v="0"/>
    <n v="0"/>
    <x v="1"/>
    <x v="0"/>
    <n v="0"/>
  </r>
  <r>
    <n v="812829000000000"/>
    <x v="0"/>
    <x v="78"/>
    <x v="0"/>
    <s v="RESISTENCIA"/>
    <d v="2016-05-19T00:00:00"/>
    <d v="2016-06-02T00:00:00"/>
    <x v="3"/>
    <x v="80"/>
    <x v="2"/>
    <n v="0"/>
    <x v="0"/>
    <n v="0"/>
    <n v="0"/>
    <n v="0"/>
    <x v="0"/>
    <x v="0"/>
    <n v="0"/>
  </r>
  <r>
    <n v="493764000000"/>
    <x v="1"/>
    <x v="27"/>
    <x v="3"/>
    <s v="SANTO ANTONIO"/>
    <d v="2016-05-19T00:00:00"/>
    <d v="2016-05-20T00:00:00"/>
    <x v="0"/>
    <x v="93"/>
    <x v="4"/>
    <n v="0"/>
    <x v="0"/>
    <n v="1"/>
    <n v="0"/>
    <n v="0"/>
    <x v="1"/>
    <x v="0"/>
    <n v="0"/>
  </r>
  <r>
    <n v="44153500000000"/>
    <x v="1"/>
    <x v="62"/>
    <x v="3"/>
    <s v="ILHA DO PRINCIPE"/>
    <d v="2016-05-19T00:00:00"/>
    <d v="2016-05-19T00:00:00"/>
    <x v="3"/>
    <x v="94"/>
    <x v="5"/>
    <n v="0"/>
    <x v="1"/>
    <n v="0"/>
    <n v="1"/>
    <n v="0"/>
    <x v="1"/>
    <x v="0"/>
    <n v="0"/>
  </r>
  <r>
    <n v="934185000000"/>
    <x v="1"/>
    <x v="69"/>
    <x v="4"/>
    <s v="SANTO ANTONIO"/>
    <d v="2016-05-19T00:00:00"/>
    <d v="2016-05-19T00:00:00"/>
    <x v="3"/>
    <x v="94"/>
    <x v="5"/>
    <n v="0"/>
    <x v="1"/>
    <n v="0"/>
    <n v="0"/>
    <n v="0"/>
    <x v="1"/>
    <x v="0"/>
    <n v="0"/>
  </r>
  <r>
    <n v="788917000000"/>
    <x v="1"/>
    <x v="46"/>
    <x v="2"/>
    <s v="ITARARE"/>
    <d v="2016-05-19T00:00:00"/>
    <d v="2016-05-19T00:00:00"/>
    <x v="3"/>
    <x v="94"/>
    <x v="5"/>
    <n v="0"/>
    <x v="1"/>
    <n v="0"/>
    <n v="0"/>
    <n v="0"/>
    <x v="1"/>
    <x v="0"/>
    <n v="0"/>
  </r>
  <r>
    <n v="17764100000000"/>
    <x v="1"/>
    <x v="19"/>
    <x v="2"/>
    <s v="BELA VISTA"/>
    <d v="2016-05-19T00:00:00"/>
    <d v="2016-05-19T00:00:00"/>
    <x v="3"/>
    <x v="94"/>
    <x v="5"/>
    <n v="0"/>
    <x v="1"/>
    <n v="0"/>
    <n v="0"/>
    <n v="0"/>
    <x v="1"/>
    <x v="0"/>
    <n v="0"/>
  </r>
  <r>
    <n v="12675800000000"/>
    <x v="0"/>
    <x v="18"/>
    <x v="0"/>
    <s v="JARDIM CAMBURI"/>
    <d v="2016-05-19T00:00:00"/>
    <d v="2016-05-20T00:00:00"/>
    <x v="0"/>
    <x v="93"/>
    <x v="4"/>
    <n v="0"/>
    <x v="1"/>
    <n v="0"/>
    <n v="0"/>
    <n v="0"/>
    <x v="1"/>
    <x v="0"/>
    <n v="0"/>
  </r>
  <r>
    <n v="97675600000000"/>
    <x v="0"/>
    <x v="77"/>
    <x v="4"/>
    <s v="ILHA DAS CAIEIRAS"/>
    <d v="2016-05-19T00:00:00"/>
    <d v="2016-05-20T00:00:00"/>
    <x v="0"/>
    <x v="93"/>
    <x v="4"/>
    <n v="0"/>
    <x v="1"/>
    <n v="0"/>
    <n v="0"/>
    <n v="1"/>
    <x v="1"/>
    <x v="0"/>
    <n v="0"/>
  </r>
  <r>
    <n v="233124000000"/>
    <x v="0"/>
    <x v="4"/>
    <x v="2"/>
    <s v="JARDIM DA PENHA"/>
    <d v="2016-05-19T00:00:00"/>
    <d v="2016-05-19T00:00:00"/>
    <x v="3"/>
    <x v="94"/>
    <x v="5"/>
    <n v="0"/>
    <x v="1"/>
    <n v="0"/>
    <n v="0"/>
    <n v="0"/>
    <x v="1"/>
    <x v="0"/>
    <n v="0"/>
  </r>
  <r>
    <n v="43529200000000"/>
    <x v="0"/>
    <x v="37"/>
    <x v="3"/>
    <s v="ILHA DE SANTA MARIA"/>
    <d v="2016-05-19T00:00:00"/>
    <d v="2016-05-20T00:00:00"/>
    <x v="0"/>
    <x v="93"/>
    <x v="4"/>
    <n v="0"/>
    <x v="1"/>
    <n v="0"/>
    <n v="0"/>
    <n v="0"/>
    <x v="1"/>
    <x v="0"/>
    <n v="0"/>
  </r>
  <r>
    <n v="16286200000000"/>
    <x v="0"/>
    <x v="29"/>
    <x v="3"/>
    <s v="PRAIA DO CANTO"/>
    <d v="2016-05-19T00:00:00"/>
    <d v="2016-06-07T00:00:00"/>
    <x v="4"/>
    <x v="77"/>
    <x v="1"/>
    <n v="0"/>
    <x v="0"/>
    <n v="0"/>
    <n v="0"/>
    <n v="0"/>
    <x v="1"/>
    <x v="0"/>
    <n v="0"/>
  </r>
  <r>
    <n v="9656580000000"/>
    <x v="0"/>
    <x v="7"/>
    <x v="3"/>
    <s v="TABUAZEIRO"/>
    <d v="2016-05-19T00:00:00"/>
    <d v="2016-05-20T00:00:00"/>
    <x v="0"/>
    <x v="93"/>
    <x v="4"/>
    <n v="0"/>
    <x v="1"/>
    <n v="0"/>
    <n v="0"/>
    <n v="0"/>
    <x v="1"/>
    <x v="0"/>
    <n v="0"/>
  </r>
  <r>
    <n v="498386000000"/>
    <x v="0"/>
    <x v="7"/>
    <x v="3"/>
    <s v="SANTO ANDRE"/>
    <d v="2016-05-19T00:00:00"/>
    <d v="2016-05-25T00:00:00"/>
    <x v="1"/>
    <x v="90"/>
    <x v="3"/>
    <n v="0"/>
    <x v="1"/>
    <n v="1"/>
    <n v="0"/>
    <n v="0"/>
    <x v="0"/>
    <x v="1"/>
    <n v="1"/>
  </r>
  <r>
    <n v="1729780000000"/>
    <x v="1"/>
    <x v="59"/>
    <x v="2"/>
    <s v="ILHA DO PRINCIPE"/>
    <d v="2016-05-19T00:00:00"/>
    <d v="2016-06-07T00:00:00"/>
    <x v="4"/>
    <x v="77"/>
    <x v="1"/>
    <n v="0"/>
    <x v="1"/>
    <n v="0"/>
    <n v="0"/>
    <n v="0"/>
    <x v="1"/>
    <x v="0"/>
    <n v="0"/>
  </r>
  <r>
    <n v="3853280000000"/>
    <x v="0"/>
    <x v="62"/>
    <x v="3"/>
    <s v="JARDIM CAMBURI"/>
    <d v="2016-05-19T00:00:00"/>
    <d v="2016-05-19T00:00:00"/>
    <x v="3"/>
    <x v="94"/>
    <x v="5"/>
    <n v="0"/>
    <x v="1"/>
    <n v="0"/>
    <n v="0"/>
    <n v="0"/>
    <x v="1"/>
    <x v="0"/>
    <n v="0"/>
  </r>
  <r>
    <n v="236869000000000"/>
    <x v="1"/>
    <x v="4"/>
    <x v="2"/>
    <s v="JOANA D ARC"/>
    <d v="2016-05-19T00:00:00"/>
    <d v="2016-05-30T00:00:00"/>
    <x v="2"/>
    <x v="81"/>
    <x v="2"/>
    <n v="0"/>
    <x v="1"/>
    <n v="0"/>
    <n v="0"/>
    <n v="0"/>
    <x v="0"/>
    <x v="0"/>
    <n v="0"/>
  </r>
  <r>
    <n v="973135000000"/>
    <x v="0"/>
    <x v="59"/>
    <x v="2"/>
    <s v="SANTA CLARA"/>
    <d v="2016-05-19T00:00:00"/>
    <d v="2016-06-01T00:00:00"/>
    <x v="1"/>
    <x v="82"/>
    <x v="2"/>
    <n v="0"/>
    <x v="1"/>
    <n v="0"/>
    <n v="0"/>
    <n v="0"/>
    <x v="0"/>
    <x v="0"/>
    <n v="0"/>
  </r>
  <r>
    <n v="784534000000000"/>
    <x v="0"/>
    <x v="67"/>
    <x v="4"/>
    <s v="DO MOSCOSO"/>
    <d v="2016-05-19T00:00:00"/>
    <d v="2016-05-24T00:00:00"/>
    <x v="4"/>
    <x v="92"/>
    <x v="3"/>
    <n v="0"/>
    <x v="1"/>
    <n v="0"/>
    <n v="0"/>
    <n v="0"/>
    <x v="0"/>
    <x v="0"/>
    <n v="0"/>
  </r>
  <r>
    <n v="49898900000000"/>
    <x v="0"/>
    <x v="39"/>
    <x v="4"/>
    <s v="MARIA ORTIZ"/>
    <d v="2016-05-19T00:00:00"/>
    <d v="2016-05-19T00:00:00"/>
    <x v="3"/>
    <x v="94"/>
    <x v="5"/>
    <n v="0"/>
    <x v="1"/>
    <n v="0"/>
    <n v="0"/>
    <n v="0"/>
    <x v="1"/>
    <x v="0"/>
    <n v="0"/>
  </r>
  <r>
    <n v="4151410000000"/>
    <x v="0"/>
    <x v="5"/>
    <x v="1"/>
    <s v="BONFIM"/>
    <d v="2016-05-19T00:00:00"/>
    <d v="2016-05-19T00:00:00"/>
    <x v="3"/>
    <x v="94"/>
    <x v="5"/>
    <n v="0"/>
    <x v="1"/>
    <n v="0"/>
    <n v="0"/>
    <n v="0"/>
    <x v="1"/>
    <x v="0"/>
    <n v="0"/>
  </r>
  <r>
    <n v="18225300000000"/>
    <x v="0"/>
    <x v="46"/>
    <x v="2"/>
    <s v="ANDORINHAS"/>
    <d v="2016-05-19T00:00:00"/>
    <d v="2016-05-24T00:00:00"/>
    <x v="4"/>
    <x v="92"/>
    <x v="3"/>
    <n v="0"/>
    <x v="1"/>
    <n v="0"/>
    <n v="0"/>
    <n v="0"/>
    <x v="1"/>
    <x v="1"/>
    <n v="1"/>
  </r>
  <r>
    <n v="6938640000000"/>
    <x v="0"/>
    <x v="59"/>
    <x v="2"/>
    <s v="JARDIM CAMBURI"/>
    <d v="2016-05-19T00:00:00"/>
    <d v="2016-05-19T00:00:00"/>
    <x v="3"/>
    <x v="94"/>
    <x v="5"/>
    <n v="0"/>
    <x v="1"/>
    <n v="0"/>
    <n v="0"/>
    <n v="0"/>
    <x v="1"/>
    <x v="0"/>
    <n v="0"/>
  </r>
  <r>
    <n v="53265300000000"/>
    <x v="1"/>
    <x v="72"/>
    <x v="5"/>
    <s v="PRAIA DO SUA"/>
    <d v="2016-05-19T00:00:00"/>
    <d v="2016-06-02T00:00:00"/>
    <x v="3"/>
    <x v="80"/>
    <x v="2"/>
    <n v="0"/>
    <x v="1"/>
    <n v="0"/>
    <n v="0"/>
    <n v="0"/>
    <x v="0"/>
    <x v="0"/>
    <n v="0"/>
  </r>
  <r>
    <n v="412113000000000"/>
    <x v="0"/>
    <x v="4"/>
    <x v="2"/>
    <s v="FORTE SAO JOAO"/>
    <d v="2016-05-19T00:00:00"/>
    <d v="2016-05-19T00:00:00"/>
    <x v="3"/>
    <x v="94"/>
    <x v="5"/>
    <n v="0"/>
    <x v="1"/>
    <n v="0"/>
    <n v="0"/>
    <n v="0"/>
    <x v="1"/>
    <x v="0"/>
    <n v="0"/>
  </r>
  <r>
    <n v="973316000000"/>
    <x v="1"/>
    <x v="7"/>
    <x v="3"/>
    <s v="BOA VISTA"/>
    <d v="2016-05-19T00:00:00"/>
    <d v="2016-05-19T00:00:00"/>
    <x v="3"/>
    <x v="94"/>
    <x v="5"/>
    <n v="0"/>
    <x v="1"/>
    <n v="0"/>
    <n v="1"/>
    <n v="0"/>
    <x v="1"/>
    <x v="0"/>
    <n v="0"/>
  </r>
  <r>
    <n v="4812770000000"/>
    <x v="0"/>
    <x v="30"/>
    <x v="3"/>
    <s v="INHANGUETA"/>
    <d v="2016-05-19T00:00:00"/>
    <d v="2016-06-08T00:00:00"/>
    <x v="1"/>
    <x v="76"/>
    <x v="1"/>
    <n v="0"/>
    <x v="1"/>
    <n v="0"/>
    <n v="0"/>
    <n v="0"/>
    <x v="0"/>
    <x v="0"/>
    <n v="0"/>
  </r>
  <r>
    <n v="162629000000000"/>
    <x v="0"/>
    <x v="33"/>
    <x v="4"/>
    <s v="JARDIM CAMBURI"/>
    <d v="2016-05-19T00:00:00"/>
    <d v="2016-05-25T00:00:00"/>
    <x v="1"/>
    <x v="90"/>
    <x v="3"/>
    <n v="0"/>
    <x v="1"/>
    <n v="0"/>
    <n v="0"/>
    <n v="0"/>
    <x v="0"/>
    <x v="0"/>
    <n v="0"/>
  </r>
  <r>
    <n v="295543000000"/>
    <x v="0"/>
    <x v="43"/>
    <x v="2"/>
    <s v="GRANDE VITORIA"/>
    <d v="2016-05-19T00:00:00"/>
    <d v="2016-05-31T00:00:00"/>
    <x v="4"/>
    <x v="84"/>
    <x v="2"/>
    <n v="0"/>
    <x v="1"/>
    <n v="0"/>
    <n v="0"/>
    <n v="0"/>
    <x v="0"/>
    <x v="0"/>
    <n v="0"/>
  </r>
  <r>
    <n v="15766300000000"/>
    <x v="0"/>
    <x v="30"/>
    <x v="3"/>
    <s v="ILHA DAS CAIEIRAS"/>
    <d v="2016-05-19T00:00:00"/>
    <d v="2016-05-25T00:00:00"/>
    <x v="1"/>
    <x v="90"/>
    <x v="3"/>
    <n v="1"/>
    <x v="0"/>
    <n v="1"/>
    <n v="0"/>
    <n v="1"/>
    <x v="1"/>
    <x v="1"/>
    <n v="1"/>
  </r>
  <r>
    <n v="946763000000"/>
    <x v="0"/>
    <x v="90"/>
    <x v="0"/>
    <s v="CARATOIRA"/>
    <d v="2016-05-19T00:00:00"/>
    <d v="2016-06-02T00:00:00"/>
    <x v="3"/>
    <x v="80"/>
    <x v="2"/>
    <n v="0"/>
    <x v="0"/>
    <n v="1"/>
    <n v="0"/>
    <n v="0"/>
    <x v="1"/>
    <x v="1"/>
    <n v="1"/>
  </r>
  <r>
    <n v="53536456243"/>
    <x v="1"/>
    <x v="66"/>
    <x v="2"/>
    <s v="ILHA DAS CAIEIRAS"/>
    <d v="2016-05-19T00:00:00"/>
    <d v="2016-05-24T00:00:00"/>
    <x v="4"/>
    <x v="92"/>
    <x v="3"/>
    <n v="0"/>
    <x v="1"/>
    <n v="0"/>
    <n v="0"/>
    <n v="0"/>
    <x v="0"/>
    <x v="1"/>
    <n v="1"/>
  </r>
  <r>
    <n v="93539200000000"/>
    <x v="0"/>
    <x v="50"/>
    <x v="1"/>
    <s v="CONSOLACAO"/>
    <d v="2016-05-19T00:00:00"/>
    <d v="2016-05-19T00:00:00"/>
    <x v="3"/>
    <x v="94"/>
    <x v="5"/>
    <n v="1"/>
    <x v="0"/>
    <n v="0"/>
    <n v="0"/>
    <n v="0"/>
    <x v="1"/>
    <x v="0"/>
    <n v="0"/>
  </r>
  <r>
    <n v="76436500000000"/>
    <x v="1"/>
    <x v="55"/>
    <x v="2"/>
    <s v="DA PENHA"/>
    <d v="2016-05-19T00:00:00"/>
    <d v="2016-06-03T00:00:00"/>
    <x v="0"/>
    <x v="79"/>
    <x v="1"/>
    <n v="0"/>
    <x v="1"/>
    <n v="0"/>
    <n v="0"/>
    <n v="0"/>
    <x v="0"/>
    <x v="0"/>
    <n v="0"/>
  </r>
  <r>
    <n v="7145570000000"/>
    <x v="1"/>
    <x v="51"/>
    <x v="2"/>
    <s v="SANTO ANTONIO"/>
    <d v="2016-05-19T00:00:00"/>
    <d v="2016-05-20T00:00:00"/>
    <x v="0"/>
    <x v="93"/>
    <x v="4"/>
    <n v="0"/>
    <x v="1"/>
    <n v="0"/>
    <n v="0"/>
    <n v="0"/>
    <x v="1"/>
    <x v="0"/>
    <n v="0"/>
  </r>
  <r>
    <n v="1269120000000"/>
    <x v="0"/>
    <x v="48"/>
    <x v="3"/>
    <s v="SANTA MARTHA"/>
    <d v="2016-05-19T00:00:00"/>
    <d v="2016-05-19T00:00:00"/>
    <x v="3"/>
    <x v="94"/>
    <x v="5"/>
    <n v="0"/>
    <x v="1"/>
    <n v="0"/>
    <n v="0"/>
    <n v="0"/>
    <x v="1"/>
    <x v="0"/>
    <n v="0"/>
  </r>
  <r>
    <n v="57464500000000"/>
    <x v="1"/>
    <x v="73"/>
    <x v="4"/>
    <s v="COMDUSA"/>
    <d v="2016-05-19T00:00:00"/>
    <d v="2016-06-03T00:00:00"/>
    <x v="0"/>
    <x v="79"/>
    <x v="1"/>
    <n v="0"/>
    <x v="1"/>
    <n v="0"/>
    <n v="0"/>
    <n v="0"/>
    <x v="0"/>
    <x v="1"/>
    <n v="1"/>
  </r>
  <r>
    <n v="624462000000000"/>
    <x v="1"/>
    <x v="8"/>
    <x v="0"/>
    <s v="JARDIM DA PENHA"/>
    <d v="2016-05-19T00:00:00"/>
    <d v="2016-05-19T00:00:00"/>
    <x v="3"/>
    <x v="94"/>
    <x v="5"/>
    <n v="0"/>
    <x v="0"/>
    <n v="0"/>
    <n v="0"/>
    <n v="0"/>
    <x v="1"/>
    <x v="0"/>
    <n v="0"/>
  </r>
  <r>
    <n v="67252300000000"/>
    <x v="1"/>
    <x v="60"/>
    <x v="2"/>
    <s v="DA PENHA"/>
    <d v="2016-05-19T00:00:00"/>
    <d v="2016-06-06T00:00:00"/>
    <x v="2"/>
    <x v="74"/>
    <x v="1"/>
    <n v="0"/>
    <x v="1"/>
    <n v="0"/>
    <n v="0"/>
    <n v="0"/>
    <x v="1"/>
    <x v="0"/>
    <n v="0"/>
  </r>
  <r>
    <n v="75663400000000"/>
    <x v="0"/>
    <x v="17"/>
    <x v="4"/>
    <s v="ILHA DE SANTA MARIA"/>
    <d v="2016-05-19T00:00:00"/>
    <d v="2016-06-01T00:00:00"/>
    <x v="1"/>
    <x v="82"/>
    <x v="2"/>
    <n v="0"/>
    <x v="1"/>
    <n v="0"/>
    <n v="0"/>
    <n v="0"/>
    <x v="0"/>
    <x v="0"/>
    <n v="0"/>
  </r>
  <r>
    <n v="8676450000000"/>
    <x v="1"/>
    <x v="30"/>
    <x v="3"/>
    <s v="BONFIM"/>
    <d v="2016-05-19T00:00:00"/>
    <d v="2016-05-19T00:00:00"/>
    <x v="3"/>
    <x v="94"/>
    <x v="5"/>
    <n v="0"/>
    <x v="0"/>
    <n v="0"/>
    <n v="0"/>
    <n v="1"/>
    <x v="1"/>
    <x v="0"/>
    <n v="0"/>
  </r>
  <r>
    <n v="233694000000000"/>
    <x v="1"/>
    <x v="51"/>
    <x v="2"/>
    <s v="BOA VISTA"/>
    <d v="2016-05-19T00:00:00"/>
    <d v="2016-05-19T00:00:00"/>
    <x v="3"/>
    <x v="94"/>
    <x v="5"/>
    <n v="0"/>
    <x v="1"/>
    <n v="0"/>
    <n v="0"/>
    <n v="0"/>
    <x v="1"/>
    <x v="0"/>
    <n v="0"/>
  </r>
  <r>
    <n v="99637671331"/>
    <x v="1"/>
    <x v="84"/>
    <x v="1"/>
    <s v="JABOUR"/>
    <d v="2016-05-19T00:00:00"/>
    <d v="2016-05-19T00:00:00"/>
    <x v="3"/>
    <x v="94"/>
    <x v="5"/>
    <n v="0"/>
    <x v="1"/>
    <n v="0"/>
    <n v="0"/>
    <n v="0"/>
    <x v="1"/>
    <x v="0"/>
    <n v="0"/>
  </r>
  <r>
    <n v="98576500000000"/>
    <x v="0"/>
    <x v="22"/>
    <x v="4"/>
    <s v="SAO JOSE"/>
    <d v="2016-05-19T00:00:00"/>
    <d v="2016-05-19T00:00:00"/>
    <x v="3"/>
    <x v="94"/>
    <x v="5"/>
    <n v="0"/>
    <x v="1"/>
    <n v="0"/>
    <n v="0"/>
    <n v="0"/>
    <x v="1"/>
    <x v="1"/>
    <n v="1"/>
  </r>
  <r>
    <n v="712459000000000"/>
    <x v="1"/>
    <x v="2"/>
    <x v="1"/>
    <s v="FORTE SAO JOAO"/>
    <d v="2016-05-19T00:00:00"/>
    <d v="2016-05-19T00:00:00"/>
    <x v="3"/>
    <x v="94"/>
    <x v="5"/>
    <n v="0"/>
    <x v="1"/>
    <n v="0"/>
    <n v="1"/>
    <n v="0"/>
    <x v="1"/>
    <x v="0"/>
    <n v="0"/>
  </r>
  <r>
    <n v="39528000000000"/>
    <x v="1"/>
    <x v="57"/>
    <x v="2"/>
    <s v="DA PENHA"/>
    <d v="2016-05-19T00:00:00"/>
    <d v="2016-06-07T00:00:00"/>
    <x v="4"/>
    <x v="77"/>
    <x v="1"/>
    <n v="0"/>
    <x v="1"/>
    <n v="0"/>
    <n v="0"/>
    <n v="0"/>
    <x v="0"/>
    <x v="0"/>
    <n v="0"/>
  </r>
  <r>
    <n v="44453200000000"/>
    <x v="0"/>
    <x v="46"/>
    <x v="2"/>
    <s v="REDENCAO"/>
    <d v="2016-05-19T00:00:00"/>
    <d v="2016-05-24T00:00:00"/>
    <x v="4"/>
    <x v="92"/>
    <x v="3"/>
    <n v="0"/>
    <x v="1"/>
    <n v="0"/>
    <n v="0"/>
    <n v="0"/>
    <x v="1"/>
    <x v="0"/>
    <n v="0"/>
  </r>
  <r>
    <n v="3472320000000"/>
    <x v="0"/>
    <x v="66"/>
    <x v="2"/>
    <s v="TABUAZEIRO"/>
    <d v="2016-05-19T00:00:00"/>
    <d v="2016-05-19T00:00:00"/>
    <x v="3"/>
    <x v="94"/>
    <x v="5"/>
    <n v="0"/>
    <x v="1"/>
    <n v="0"/>
    <n v="0"/>
    <n v="0"/>
    <x v="1"/>
    <x v="0"/>
    <n v="0"/>
  </r>
  <r>
    <n v="17835100000000"/>
    <x v="0"/>
    <x v="40"/>
    <x v="1"/>
    <s v="SAO CRISTOVAO"/>
    <d v="2016-05-19T00:00:00"/>
    <d v="2016-05-25T00:00:00"/>
    <x v="1"/>
    <x v="90"/>
    <x v="3"/>
    <n v="1"/>
    <x v="1"/>
    <n v="0"/>
    <n v="0"/>
    <n v="0"/>
    <x v="0"/>
    <x v="1"/>
    <n v="1"/>
  </r>
  <r>
    <n v="8862220000000"/>
    <x v="0"/>
    <x v="20"/>
    <x v="0"/>
    <s v="SAO BENEDITO"/>
    <d v="2016-05-19T00:00:00"/>
    <d v="2016-05-19T00:00:00"/>
    <x v="3"/>
    <x v="94"/>
    <x v="5"/>
    <n v="0"/>
    <x v="0"/>
    <n v="1"/>
    <n v="0"/>
    <n v="0"/>
    <x v="1"/>
    <x v="0"/>
    <n v="0"/>
  </r>
  <r>
    <n v="5531893983"/>
    <x v="1"/>
    <x v="62"/>
    <x v="3"/>
    <s v="SANTA MARTHA"/>
    <d v="2016-05-19T00:00:00"/>
    <d v="2016-06-02T00:00:00"/>
    <x v="3"/>
    <x v="80"/>
    <x v="2"/>
    <n v="0"/>
    <x v="0"/>
    <n v="0"/>
    <n v="0"/>
    <n v="0"/>
    <x v="0"/>
    <x v="0"/>
    <n v="0"/>
  </r>
  <r>
    <n v="991340000000000"/>
    <x v="0"/>
    <x v="87"/>
    <x v="1"/>
    <s v="SANTA MARTHA"/>
    <d v="2016-05-19T00:00:00"/>
    <d v="2016-05-19T00:00:00"/>
    <x v="3"/>
    <x v="94"/>
    <x v="5"/>
    <n v="1"/>
    <x v="1"/>
    <n v="0"/>
    <n v="0"/>
    <n v="0"/>
    <x v="1"/>
    <x v="0"/>
    <n v="0"/>
  </r>
  <r>
    <n v="79299700000000"/>
    <x v="0"/>
    <x v="38"/>
    <x v="4"/>
    <s v="BOA VISTA"/>
    <d v="2016-05-19T00:00:00"/>
    <d v="2016-05-24T00:00:00"/>
    <x v="4"/>
    <x v="92"/>
    <x v="3"/>
    <n v="1"/>
    <x v="1"/>
    <n v="0"/>
    <n v="0"/>
    <n v="0"/>
    <x v="0"/>
    <x v="1"/>
    <n v="1"/>
  </r>
  <r>
    <n v="421917000000000"/>
    <x v="0"/>
    <x v="50"/>
    <x v="1"/>
    <s v="SAO PEDRO"/>
    <d v="2016-05-19T00:00:00"/>
    <d v="2016-06-02T00:00:00"/>
    <x v="3"/>
    <x v="80"/>
    <x v="2"/>
    <n v="0"/>
    <x v="1"/>
    <n v="0"/>
    <n v="0"/>
    <n v="0"/>
    <x v="0"/>
    <x v="0"/>
    <n v="0"/>
  </r>
  <r>
    <n v="462257000000000"/>
    <x v="0"/>
    <x v="15"/>
    <x v="3"/>
    <s v="RESISTENCIA"/>
    <d v="2016-05-19T00:00:00"/>
    <d v="2016-05-24T00:00:00"/>
    <x v="4"/>
    <x v="92"/>
    <x v="3"/>
    <n v="0"/>
    <x v="0"/>
    <n v="0"/>
    <n v="0"/>
    <n v="0"/>
    <x v="0"/>
    <x v="0"/>
    <n v="0"/>
  </r>
  <r>
    <n v="51734300000000"/>
    <x v="0"/>
    <x v="77"/>
    <x v="4"/>
    <s v="RESISTENCIA"/>
    <d v="2016-05-19T00:00:00"/>
    <d v="2016-05-24T00:00:00"/>
    <x v="4"/>
    <x v="92"/>
    <x v="3"/>
    <n v="0"/>
    <x v="1"/>
    <n v="0"/>
    <n v="0"/>
    <n v="0"/>
    <x v="0"/>
    <x v="0"/>
    <n v="0"/>
  </r>
  <r>
    <n v="411164000000000"/>
    <x v="0"/>
    <x v="19"/>
    <x v="2"/>
    <s v="JABOUR"/>
    <d v="2016-05-19T00:00:00"/>
    <d v="2016-05-25T00:00:00"/>
    <x v="1"/>
    <x v="90"/>
    <x v="3"/>
    <n v="1"/>
    <x v="1"/>
    <n v="0"/>
    <n v="0"/>
    <n v="0"/>
    <x v="0"/>
    <x v="0"/>
    <n v="0"/>
  </r>
  <r>
    <n v="89614500000000"/>
    <x v="0"/>
    <x v="92"/>
    <x v="0"/>
    <s v="CARATOIRA"/>
    <d v="2016-05-19T00:00:00"/>
    <d v="2016-05-25T00:00:00"/>
    <x v="1"/>
    <x v="90"/>
    <x v="3"/>
    <n v="0"/>
    <x v="0"/>
    <n v="0"/>
    <n v="0"/>
    <n v="0"/>
    <x v="0"/>
    <x v="0"/>
    <n v="0"/>
  </r>
  <r>
    <n v="159271000000000"/>
    <x v="0"/>
    <x v="78"/>
    <x v="0"/>
    <s v="PRAIA DO CANTO"/>
    <d v="2016-05-19T00:00:00"/>
    <d v="2016-05-19T00:00:00"/>
    <x v="3"/>
    <x v="94"/>
    <x v="5"/>
    <n v="0"/>
    <x v="0"/>
    <n v="0"/>
    <n v="0"/>
    <n v="0"/>
    <x v="1"/>
    <x v="0"/>
    <n v="0"/>
  </r>
  <r>
    <n v="1851670000000"/>
    <x v="0"/>
    <x v="33"/>
    <x v="4"/>
    <s v="PRAIA DO CANTO"/>
    <d v="2016-05-19T00:00:00"/>
    <d v="2016-06-02T00:00:00"/>
    <x v="3"/>
    <x v="80"/>
    <x v="2"/>
    <n v="0"/>
    <x v="1"/>
    <n v="0"/>
    <n v="0"/>
    <n v="0"/>
    <x v="0"/>
    <x v="1"/>
    <n v="1"/>
  </r>
  <r>
    <n v="7835940000000"/>
    <x v="1"/>
    <x v="71"/>
    <x v="4"/>
    <s v="SAO PEDRO"/>
    <d v="2016-05-19T00:00:00"/>
    <d v="2016-05-25T00:00:00"/>
    <x v="1"/>
    <x v="90"/>
    <x v="3"/>
    <n v="0"/>
    <x v="1"/>
    <n v="0"/>
    <n v="0"/>
    <n v="0"/>
    <x v="0"/>
    <x v="1"/>
    <n v="1"/>
  </r>
  <r>
    <n v="93648138958"/>
    <x v="0"/>
    <x v="30"/>
    <x v="3"/>
    <s v="INHANGUETA"/>
    <d v="2016-05-19T00:00:00"/>
    <d v="2016-05-25T00:00:00"/>
    <x v="1"/>
    <x v="90"/>
    <x v="3"/>
    <n v="1"/>
    <x v="1"/>
    <n v="0"/>
    <n v="0"/>
    <n v="0"/>
    <x v="0"/>
    <x v="0"/>
    <n v="0"/>
  </r>
  <r>
    <n v="845656000000000"/>
    <x v="0"/>
    <x v="60"/>
    <x v="2"/>
    <s v="ROMAO"/>
    <d v="2016-05-19T00:00:00"/>
    <d v="2016-05-19T00:00:00"/>
    <x v="3"/>
    <x v="94"/>
    <x v="5"/>
    <n v="0"/>
    <x v="1"/>
    <n v="0"/>
    <n v="0"/>
    <n v="0"/>
    <x v="1"/>
    <x v="0"/>
    <n v="0"/>
  </r>
  <r>
    <n v="3864460000000"/>
    <x v="0"/>
    <x v="23"/>
    <x v="3"/>
    <s v="SANTA MARTHA"/>
    <d v="2016-05-19T00:00:00"/>
    <d v="2016-06-01T00:00:00"/>
    <x v="1"/>
    <x v="82"/>
    <x v="2"/>
    <n v="0"/>
    <x v="0"/>
    <n v="0"/>
    <n v="0"/>
    <n v="0"/>
    <x v="0"/>
    <x v="0"/>
    <n v="0"/>
  </r>
  <r>
    <n v="81511700000000"/>
    <x v="0"/>
    <x v="2"/>
    <x v="1"/>
    <s v="REPUBLICA"/>
    <d v="2016-05-19T00:00:00"/>
    <d v="2016-05-19T00:00:00"/>
    <x v="3"/>
    <x v="94"/>
    <x v="5"/>
    <n v="0"/>
    <x v="1"/>
    <n v="0"/>
    <n v="0"/>
    <n v="0"/>
    <x v="1"/>
    <x v="0"/>
    <n v="0"/>
  </r>
  <r>
    <n v="48565700000000"/>
    <x v="0"/>
    <x v="15"/>
    <x v="3"/>
    <s v="ESTRELINHA"/>
    <d v="2016-05-19T00:00:00"/>
    <d v="2016-05-24T00:00:00"/>
    <x v="4"/>
    <x v="92"/>
    <x v="3"/>
    <n v="0"/>
    <x v="0"/>
    <n v="1"/>
    <n v="1"/>
    <n v="0"/>
    <x v="0"/>
    <x v="1"/>
    <n v="1"/>
  </r>
  <r>
    <n v="79587200000000"/>
    <x v="0"/>
    <x v="51"/>
    <x v="2"/>
    <s v="JABOUR"/>
    <d v="2016-05-19T00:00:00"/>
    <d v="2016-05-19T00:00:00"/>
    <x v="3"/>
    <x v="94"/>
    <x v="5"/>
    <n v="1"/>
    <x v="1"/>
    <n v="0"/>
    <n v="0"/>
    <n v="0"/>
    <x v="1"/>
    <x v="0"/>
    <n v="0"/>
  </r>
  <r>
    <n v="29693700000000"/>
    <x v="0"/>
    <x v="29"/>
    <x v="3"/>
    <s v="GRANDE VITORIA"/>
    <d v="2016-05-19T00:00:00"/>
    <d v="2016-05-25T00:00:00"/>
    <x v="1"/>
    <x v="90"/>
    <x v="3"/>
    <n v="0"/>
    <x v="1"/>
    <n v="0"/>
    <n v="0"/>
    <n v="0"/>
    <x v="0"/>
    <x v="1"/>
    <n v="1"/>
  </r>
  <r>
    <n v="69389000000000"/>
    <x v="0"/>
    <x v="17"/>
    <x v="4"/>
    <s v="DO QUADRO"/>
    <d v="2016-05-19T00:00:00"/>
    <d v="2016-05-19T00:00:00"/>
    <x v="3"/>
    <x v="94"/>
    <x v="5"/>
    <n v="0"/>
    <x v="1"/>
    <n v="0"/>
    <n v="0"/>
    <n v="0"/>
    <x v="1"/>
    <x v="0"/>
    <n v="0"/>
  </r>
  <r>
    <n v="1484140000000"/>
    <x v="0"/>
    <x v="15"/>
    <x v="3"/>
    <s v="GRANDE VITORIA"/>
    <d v="2016-05-19T00:00:00"/>
    <d v="2016-05-19T00:00:00"/>
    <x v="3"/>
    <x v="94"/>
    <x v="5"/>
    <n v="0"/>
    <x v="0"/>
    <n v="0"/>
    <n v="0"/>
    <n v="0"/>
    <x v="1"/>
    <x v="0"/>
    <n v="0"/>
  </r>
  <r>
    <n v="8722350000000"/>
    <x v="1"/>
    <x v="24"/>
    <x v="1"/>
    <s v="JESUS DE NAZARETH"/>
    <d v="2016-05-19T00:00:00"/>
    <d v="2016-05-19T00:00:00"/>
    <x v="3"/>
    <x v="94"/>
    <x v="5"/>
    <n v="0"/>
    <x v="0"/>
    <n v="0"/>
    <n v="0"/>
    <n v="0"/>
    <x v="1"/>
    <x v="0"/>
    <n v="0"/>
  </r>
  <r>
    <n v="91894600000000"/>
    <x v="0"/>
    <x v="45"/>
    <x v="1"/>
    <s v="SANTA MARTHA"/>
    <d v="2016-05-19T00:00:00"/>
    <d v="2016-05-19T00:00:00"/>
    <x v="3"/>
    <x v="94"/>
    <x v="5"/>
    <n v="1"/>
    <x v="1"/>
    <n v="0"/>
    <n v="0"/>
    <n v="0"/>
    <x v="1"/>
    <x v="0"/>
    <n v="0"/>
  </r>
  <r>
    <n v="621999000000000"/>
    <x v="0"/>
    <x v="74"/>
    <x v="1"/>
    <s v="SANTA TEREZA"/>
    <d v="2016-05-19T00:00:00"/>
    <d v="2016-05-19T00:00:00"/>
    <x v="3"/>
    <x v="94"/>
    <x v="5"/>
    <n v="0"/>
    <x v="1"/>
    <n v="0"/>
    <n v="0"/>
    <n v="0"/>
    <x v="1"/>
    <x v="0"/>
    <n v="0"/>
  </r>
  <r>
    <n v="7846140000000"/>
    <x v="1"/>
    <x v="32"/>
    <x v="4"/>
    <s v="FORTE SAO JOAO"/>
    <d v="2016-05-19T00:00:00"/>
    <d v="2016-05-20T00:00:00"/>
    <x v="0"/>
    <x v="93"/>
    <x v="4"/>
    <n v="0"/>
    <x v="1"/>
    <n v="0"/>
    <n v="0"/>
    <n v="0"/>
    <x v="1"/>
    <x v="0"/>
    <n v="0"/>
  </r>
  <r>
    <n v="42211900000000"/>
    <x v="0"/>
    <x v="68"/>
    <x v="4"/>
    <s v="SANTA MARTHA"/>
    <d v="2016-05-19T00:00:00"/>
    <d v="2016-05-19T00:00:00"/>
    <x v="3"/>
    <x v="94"/>
    <x v="5"/>
    <n v="0"/>
    <x v="1"/>
    <n v="0"/>
    <n v="0"/>
    <n v="0"/>
    <x v="1"/>
    <x v="0"/>
    <n v="0"/>
  </r>
  <r>
    <n v="11919882439"/>
    <x v="0"/>
    <x v="46"/>
    <x v="2"/>
    <s v="INHANGUETA"/>
    <d v="2016-05-19T00:00:00"/>
    <d v="2016-06-07T00:00:00"/>
    <x v="4"/>
    <x v="77"/>
    <x v="1"/>
    <n v="0"/>
    <x v="1"/>
    <n v="0"/>
    <n v="0"/>
    <n v="0"/>
    <x v="1"/>
    <x v="0"/>
    <n v="0"/>
  </r>
  <r>
    <n v="81587600000000"/>
    <x v="1"/>
    <x v="33"/>
    <x v="4"/>
    <s v="SANTA CECILIA"/>
    <d v="2016-05-19T00:00:00"/>
    <d v="2016-05-19T00:00:00"/>
    <x v="3"/>
    <x v="94"/>
    <x v="5"/>
    <n v="0"/>
    <x v="1"/>
    <n v="0"/>
    <n v="0"/>
    <n v="0"/>
    <x v="1"/>
    <x v="0"/>
    <n v="0"/>
  </r>
  <r>
    <n v="975563000000"/>
    <x v="0"/>
    <x v="68"/>
    <x v="4"/>
    <s v="ILHA DO PRINCIPE"/>
    <d v="2016-05-19T00:00:00"/>
    <d v="2016-05-19T00:00:00"/>
    <x v="3"/>
    <x v="94"/>
    <x v="5"/>
    <n v="0"/>
    <x v="1"/>
    <n v="0"/>
    <n v="0"/>
    <n v="0"/>
    <x v="1"/>
    <x v="0"/>
    <n v="0"/>
  </r>
  <r>
    <n v="485179000000000"/>
    <x v="0"/>
    <x v="57"/>
    <x v="2"/>
    <s v="CONQUISTA"/>
    <d v="2016-05-19T00:00:00"/>
    <d v="2016-06-02T00:00:00"/>
    <x v="3"/>
    <x v="80"/>
    <x v="2"/>
    <n v="0"/>
    <x v="1"/>
    <n v="0"/>
    <n v="0"/>
    <n v="0"/>
    <x v="0"/>
    <x v="0"/>
    <n v="0"/>
  </r>
  <r>
    <n v="119834000000000"/>
    <x v="1"/>
    <x v="38"/>
    <x v="4"/>
    <s v="DO CABRAL"/>
    <d v="2016-05-19T00:00:00"/>
    <d v="2016-05-19T00:00:00"/>
    <x v="3"/>
    <x v="94"/>
    <x v="5"/>
    <n v="0"/>
    <x v="1"/>
    <n v="0"/>
    <n v="0"/>
    <n v="0"/>
    <x v="1"/>
    <x v="0"/>
    <n v="0"/>
  </r>
  <r>
    <n v="822869000000000"/>
    <x v="0"/>
    <x v="79"/>
    <x v="5"/>
    <s v="SANTA TEREZA"/>
    <d v="2016-05-19T00:00:00"/>
    <d v="2016-05-19T00:00:00"/>
    <x v="3"/>
    <x v="94"/>
    <x v="5"/>
    <n v="1"/>
    <x v="1"/>
    <n v="0"/>
    <n v="0"/>
    <n v="0"/>
    <x v="1"/>
    <x v="0"/>
    <n v="0"/>
  </r>
  <r>
    <n v="8431380000000"/>
    <x v="0"/>
    <x v="62"/>
    <x v="3"/>
    <s v="CARATOIRA"/>
    <d v="2016-05-19T00:00:00"/>
    <d v="2016-05-24T00:00:00"/>
    <x v="4"/>
    <x v="92"/>
    <x v="3"/>
    <n v="0"/>
    <x v="0"/>
    <n v="0"/>
    <n v="0"/>
    <n v="0"/>
    <x v="0"/>
    <x v="0"/>
    <n v="0"/>
  </r>
  <r>
    <n v="6423380000000"/>
    <x v="0"/>
    <x v="55"/>
    <x v="2"/>
    <s v="ESTRELINHA"/>
    <d v="2016-05-19T00:00:00"/>
    <d v="2016-05-19T00:00:00"/>
    <x v="3"/>
    <x v="94"/>
    <x v="5"/>
    <n v="1"/>
    <x v="1"/>
    <n v="0"/>
    <n v="0"/>
    <n v="0"/>
    <x v="1"/>
    <x v="1"/>
    <n v="1"/>
  </r>
  <r>
    <n v="573533000000000"/>
    <x v="1"/>
    <x v="26"/>
    <x v="0"/>
    <s v="JARDIM DA PENHA"/>
    <d v="2016-05-19T00:00:00"/>
    <d v="2016-05-30T00:00:00"/>
    <x v="2"/>
    <x v="81"/>
    <x v="2"/>
    <n v="0"/>
    <x v="0"/>
    <n v="0"/>
    <n v="0"/>
    <n v="0"/>
    <x v="1"/>
    <x v="0"/>
    <n v="0"/>
  </r>
  <r>
    <n v="76558500000000"/>
    <x v="0"/>
    <x v="80"/>
    <x v="2"/>
    <s v="SANTO ANDRE"/>
    <d v="2016-05-19T00:00:00"/>
    <d v="2016-05-19T00:00:00"/>
    <x v="3"/>
    <x v="94"/>
    <x v="5"/>
    <n v="0"/>
    <x v="1"/>
    <n v="0"/>
    <n v="0"/>
    <n v="0"/>
    <x v="1"/>
    <x v="0"/>
    <n v="0"/>
  </r>
  <r>
    <n v="2775630000000"/>
    <x v="0"/>
    <x v="0"/>
    <x v="0"/>
    <s v="PRAIA DO CANTO"/>
    <d v="2016-05-19T00:00:00"/>
    <d v="2016-05-20T00:00:00"/>
    <x v="0"/>
    <x v="93"/>
    <x v="4"/>
    <n v="0"/>
    <x v="1"/>
    <n v="0"/>
    <n v="0"/>
    <n v="0"/>
    <x v="1"/>
    <x v="0"/>
    <n v="0"/>
  </r>
  <r>
    <n v="685126000000000"/>
    <x v="0"/>
    <x v="15"/>
    <x v="3"/>
    <s v="SANTO ANTONIO"/>
    <d v="2016-05-19T00:00:00"/>
    <d v="2016-06-02T00:00:00"/>
    <x v="3"/>
    <x v="80"/>
    <x v="2"/>
    <n v="0"/>
    <x v="0"/>
    <n v="1"/>
    <n v="0"/>
    <n v="0"/>
    <x v="0"/>
    <x v="0"/>
    <n v="0"/>
  </r>
  <r>
    <n v="9247170000000"/>
    <x v="0"/>
    <x v="17"/>
    <x v="4"/>
    <s v="SANTA MARTHA"/>
    <d v="2016-05-19T00:00:00"/>
    <d v="2016-05-19T00:00:00"/>
    <x v="3"/>
    <x v="94"/>
    <x v="5"/>
    <n v="1"/>
    <x v="1"/>
    <n v="0"/>
    <n v="1"/>
    <n v="0"/>
    <x v="1"/>
    <x v="0"/>
    <n v="0"/>
  </r>
  <r>
    <n v="152599000000000"/>
    <x v="0"/>
    <x v="25"/>
    <x v="4"/>
    <s v="GURIGICA"/>
    <d v="2016-05-19T00:00:00"/>
    <d v="2016-05-24T00:00:00"/>
    <x v="4"/>
    <x v="92"/>
    <x v="3"/>
    <n v="1"/>
    <x v="1"/>
    <n v="0"/>
    <n v="0"/>
    <n v="0"/>
    <x v="0"/>
    <x v="0"/>
    <n v="0"/>
  </r>
  <r>
    <n v="72364400000000"/>
    <x v="0"/>
    <x v="34"/>
    <x v="0"/>
    <s v="PRAIA DO CANTO"/>
    <d v="2016-05-19T00:00:00"/>
    <d v="2016-05-19T00:00:00"/>
    <x v="3"/>
    <x v="94"/>
    <x v="5"/>
    <n v="0"/>
    <x v="0"/>
    <n v="1"/>
    <n v="0"/>
    <n v="0"/>
    <x v="1"/>
    <x v="1"/>
    <n v="1"/>
  </r>
  <r>
    <n v="9398870000000"/>
    <x v="1"/>
    <x v="76"/>
    <x v="0"/>
    <s v="SANTA LUCIA"/>
    <d v="2016-05-19T00:00:00"/>
    <d v="2016-05-19T00:00:00"/>
    <x v="3"/>
    <x v="94"/>
    <x v="5"/>
    <n v="0"/>
    <x v="1"/>
    <n v="0"/>
    <n v="0"/>
    <n v="0"/>
    <x v="1"/>
    <x v="1"/>
    <n v="1"/>
  </r>
  <r>
    <n v="33964600000000"/>
    <x v="0"/>
    <x v="53"/>
    <x v="0"/>
    <s v="PARQUE MOSCOSO"/>
    <d v="2016-05-19T00:00:00"/>
    <d v="2016-05-24T00:00:00"/>
    <x v="4"/>
    <x v="92"/>
    <x v="3"/>
    <n v="0"/>
    <x v="0"/>
    <n v="1"/>
    <n v="0"/>
    <n v="0"/>
    <x v="0"/>
    <x v="1"/>
    <n v="1"/>
  </r>
  <r>
    <n v="93585900000000"/>
    <x v="0"/>
    <x v="23"/>
    <x v="3"/>
    <s v="JESUS DE NAZARETH"/>
    <d v="2016-05-19T00:00:00"/>
    <d v="2016-05-24T00:00:00"/>
    <x v="4"/>
    <x v="92"/>
    <x v="3"/>
    <n v="0"/>
    <x v="0"/>
    <n v="0"/>
    <n v="0"/>
    <n v="0"/>
    <x v="0"/>
    <x v="0"/>
    <n v="0"/>
  </r>
  <r>
    <n v="156384000000000"/>
    <x v="1"/>
    <x v="41"/>
    <x v="4"/>
    <s v="SANTO ANTONIO"/>
    <d v="2016-05-19T00:00:00"/>
    <d v="2016-06-07T00:00:00"/>
    <x v="4"/>
    <x v="77"/>
    <x v="1"/>
    <n v="0"/>
    <x v="1"/>
    <n v="0"/>
    <n v="0"/>
    <n v="0"/>
    <x v="0"/>
    <x v="1"/>
    <n v="1"/>
  </r>
  <r>
    <n v="267297000000000"/>
    <x v="0"/>
    <x v="27"/>
    <x v="3"/>
    <s v="ILHA DO PRINCIPE"/>
    <d v="2016-05-19T00:00:00"/>
    <d v="2016-05-19T00:00:00"/>
    <x v="3"/>
    <x v="94"/>
    <x v="5"/>
    <n v="0"/>
    <x v="1"/>
    <n v="0"/>
    <n v="0"/>
    <n v="0"/>
    <x v="1"/>
    <x v="0"/>
    <n v="0"/>
  </r>
  <r>
    <n v="98313700000000"/>
    <x v="0"/>
    <x v="16"/>
    <x v="1"/>
    <s v="MARUIPE"/>
    <d v="2016-05-19T00:00:00"/>
    <d v="2016-05-25T00:00:00"/>
    <x v="1"/>
    <x v="90"/>
    <x v="3"/>
    <n v="0"/>
    <x v="1"/>
    <n v="0"/>
    <n v="0"/>
    <n v="0"/>
    <x v="0"/>
    <x v="0"/>
    <n v="0"/>
  </r>
  <r>
    <n v="86741163962"/>
    <x v="1"/>
    <x v="49"/>
    <x v="4"/>
    <s v="SANTA TEREZA"/>
    <d v="2016-05-19T00:00:00"/>
    <d v="2016-05-30T00:00:00"/>
    <x v="2"/>
    <x v="81"/>
    <x v="2"/>
    <n v="0"/>
    <x v="1"/>
    <n v="0"/>
    <n v="0"/>
    <n v="0"/>
    <x v="0"/>
    <x v="0"/>
    <n v="0"/>
  </r>
  <r>
    <n v="13889600000000"/>
    <x v="0"/>
    <x v="59"/>
    <x v="2"/>
    <s v="SANTO ANDRE"/>
    <d v="2016-05-19T00:00:00"/>
    <d v="2016-05-20T00:00:00"/>
    <x v="0"/>
    <x v="93"/>
    <x v="4"/>
    <n v="0"/>
    <x v="1"/>
    <n v="0"/>
    <n v="0"/>
    <n v="0"/>
    <x v="1"/>
    <x v="1"/>
    <n v="1"/>
  </r>
  <r>
    <n v="95587800000000"/>
    <x v="1"/>
    <x v="51"/>
    <x v="2"/>
    <s v="JARDIM CAMBURI"/>
    <d v="2016-05-19T00:00:00"/>
    <d v="2016-05-20T00:00:00"/>
    <x v="0"/>
    <x v="93"/>
    <x v="4"/>
    <n v="0"/>
    <x v="1"/>
    <n v="0"/>
    <n v="0"/>
    <n v="0"/>
    <x v="1"/>
    <x v="0"/>
    <n v="0"/>
  </r>
  <r>
    <n v="53515800000000"/>
    <x v="0"/>
    <x v="5"/>
    <x v="1"/>
    <s v="DA PENHA"/>
    <d v="2016-05-19T00:00:00"/>
    <d v="2016-05-24T00:00:00"/>
    <x v="4"/>
    <x v="92"/>
    <x v="3"/>
    <n v="0"/>
    <x v="1"/>
    <n v="0"/>
    <n v="0"/>
    <n v="0"/>
    <x v="0"/>
    <x v="1"/>
    <n v="1"/>
  </r>
  <r>
    <n v="42654200000000"/>
    <x v="1"/>
    <x v="10"/>
    <x v="4"/>
    <s v="CONSOLACAO"/>
    <d v="2016-05-19T00:00:00"/>
    <d v="2016-05-19T00:00:00"/>
    <x v="3"/>
    <x v="94"/>
    <x v="5"/>
    <n v="0"/>
    <x v="1"/>
    <n v="0"/>
    <n v="0"/>
    <n v="0"/>
    <x v="1"/>
    <x v="0"/>
    <n v="0"/>
  </r>
  <r>
    <n v="828725000000000"/>
    <x v="0"/>
    <x v="22"/>
    <x v="4"/>
    <s v="FORTE SAO JOAO"/>
    <d v="2016-05-19T00:00:00"/>
    <d v="2016-05-25T00:00:00"/>
    <x v="1"/>
    <x v="90"/>
    <x v="3"/>
    <n v="0"/>
    <x v="1"/>
    <n v="0"/>
    <n v="0"/>
    <n v="0"/>
    <x v="1"/>
    <x v="0"/>
    <n v="0"/>
  </r>
  <r>
    <n v="64212200000000"/>
    <x v="0"/>
    <x v="28"/>
    <x v="3"/>
    <s v="MARIA ORTIZ"/>
    <d v="2016-05-19T00:00:00"/>
    <d v="2016-05-19T00:00:00"/>
    <x v="3"/>
    <x v="94"/>
    <x v="5"/>
    <n v="0"/>
    <x v="1"/>
    <n v="0"/>
    <n v="0"/>
    <n v="0"/>
    <x v="1"/>
    <x v="0"/>
    <n v="0"/>
  </r>
  <r>
    <n v="317831000000000"/>
    <x v="1"/>
    <x v="46"/>
    <x v="2"/>
    <s v="JOANA D ARC"/>
    <d v="2016-05-19T00:00:00"/>
    <d v="2016-06-01T00:00:00"/>
    <x v="1"/>
    <x v="82"/>
    <x v="2"/>
    <n v="0"/>
    <x v="1"/>
    <n v="0"/>
    <n v="0"/>
    <n v="0"/>
    <x v="0"/>
    <x v="0"/>
    <n v="0"/>
  </r>
  <r>
    <n v="317831000000000"/>
    <x v="1"/>
    <x v="46"/>
    <x v="2"/>
    <s v="JOANA D ARC"/>
    <d v="2016-05-19T00:00:00"/>
    <d v="2016-05-19T00:00:00"/>
    <x v="3"/>
    <x v="94"/>
    <x v="5"/>
    <n v="0"/>
    <x v="1"/>
    <n v="0"/>
    <n v="0"/>
    <n v="0"/>
    <x v="1"/>
    <x v="0"/>
    <n v="0"/>
  </r>
  <r>
    <n v="658586000000000"/>
    <x v="0"/>
    <x v="93"/>
    <x v="0"/>
    <s v="ITARARE"/>
    <d v="2016-05-19T00:00:00"/>
    <d v="2016-05-24T00:00:00"/>
    <x v="4"/>
    <x v="92"/>
    <x v="3"/>
    <n v="0"/>
    <x v="0"/>
    <n v="0"/>
    <n v="0"/>
    <n v="0"/>
    <x v="1"/>
    <x v="1"/>
    <n v="1"/>
  </r>
  <r>
    <n v="945627000000000"/>
    <x v="0"/>
    <x v="77"/>
    <x v="4"/>
    <s v="SANTA TEREZA"/>
    <d v="2016-05-19T00:00:00"/>
    <d v="2016-05-19T00:00:00"/>
    <x v="3"/>
    <x v="94"/>
    <x v="5"/>
    <n v="0"/>
    <x v="1"/>
    <n v="0"/>
    <n v="0"/>
    <n v="0"/>
    <x v="1"/>
    <x v="0"/>
    <n v="0"/>
  </r>
  <r>
    <n v="61338600000000"/>
    <x v="0"/>
    <x v="29"/>
    <x v="3"/>
    <s v="NOVA PALESTINA"/>
    <d v="2016-05-19T00:00:00"/>
    <d v="2016-05-19T00:00:00"/>
    <x v="3"/>
    <x v="94"/>
    <x v="5"/>
    <n v="1"/>
    <x v="0"/>
    <n v="0"/>
    <n v="0"/>
    <n v="0"/>
    <x v="1"/>
    <x v="0"/>
    <n v="0"/>
  </r>
  <r>
    <n v="675323000000"/>
    <x v="1"/>
    <x v="12"/>
    <x v="3"/>
    <s v="NOVA PALESTINA"/>
    <d v="2016-05-19T00:00:00"/>
    <d v="2016-05-19T00:00:00"/>
    <x v="3"/>
    <x v="94"/>
    <x v="5"/>
    <n v="0"/>
    <x v="1"/>
    <n v="0"/>
    <n v="0"/>
    <n v="0"/>
    <x v="1"/>
    <x v="0"/>
    <n v="0"/>
  </r>
  <r>
    <n v="6516490000000"/>
    <x v="0"/>
    <x v="38"/>
    <x v="4"/>
    <s v="SANTA MARTHA"/>
    <d v="2016-05-19T00:00:00"/>
    <d v="2016-05-19T00:00:00"/>
    <x v="3"/>
    <x v="94"/>
    <x v="5"/>
    <n v="0"/>
    <x v="1"/>
    <n v="0"/>
    <n v="0"/>
    <n v="0"/>
    <x v="1"/>
    <x v="0"/>
    <n v="0"/>
  </r>
  <r>
    <n v="49458800000000"/>
    <x v="1"/>
    <x v="47"/>
    <x v="4"/>
    <s v="CENTRO"/>
    <d v="2016-05-19T00:00:00"/>
    <d v="2016-05-19T00:00:00"/>
    <x v="3"/>
    <x v="94"/>
    <x v="5"/>
    <n v="0"/>
    <x v="1"/>
    <n v="0"/>
    <n v="0"/>
    <n v="0"/>
    <x v="1"/>
    <x v="0"/>
    <n v="0"/>
  </r>
  <r>
    <n v="791882000000000"/>
    <x v="1"/>
    <x v="4"/>
    <x v="2"/>
    <s v="PRAIA DO SUA"/>
    <d v="2016-05-19T00:00:00"/>
    <d v="2016-05-19T00:00:00"/>
    <x v="3"/>
    <x v="94"/>
    <x v="5"/>
    <n v="0"/>
    <x v="1"/>
    <n v="0"/>
    <n v="0"/>
    <n v="0"/>
    <x v="1"/>
    <x v="0"/>
    <n v="0"/>
  </r>
  <r>
    <n v="94227800000000"/>
    <x v="0"/>
    <x v="76"/>
    <x v="0"/>
    <s v="TABUAZEIRO"/>
    <d v="2016-05-19T00:00:00"/>
    <d v="2016-05-19T00:00:00"/>
    <x v="3"/>
    <x v="94"/>
    <x v="5"/>
    <n v="0"/>
    <x v="0"/>
    <n v="1"/>
    <n v="0"/>
    <n v="0"/>
    <x v="1"/>
    <x v="0"/>
    <n v="0"/>
  </r>
  <r>
    <n v="59796419885"/>
    <x v="1"/>
    <x v="66"/>
    <x v="2"/>
    <s v="REPUBLICA"/>
    <d v="2016-05-19T00:00:00"/>
    <d v="2016-05-19T00:00:00"/>
    <x v="3"/>
    <x v="94"/>
    <x v="5"/>
    <n v="0"/>
    <x v="1"/>
    <n v="0"/>
    <n v="0"/>
    <n v="0"/>
    <x v="1"/>
    <x v="0"/>
    <n v="0"/>
  </r>
  <r>
    <n v="38115800000000"/>
    <x v="0"/>
    <x v="22"/>
    <x v="4"/>
    <s v="ILHA DE SANTA MARIA"/>
    <d v="2016-05-19T00:00:00"/>
    <d v="2016-05-19T00:00:00"/>
    <x v="3"/>
    <x v="94"/>
    <x v="5"/>
    <n v="0"/>
    <x v="1"/>
    <n v="0"/>
    <n v="0"/>
    <n v="0"/>
    <x v="1"/>
    <x v="0"/>
    <n v="0"/>
  </r>
  <r>
    <n v="73715200000000"/>
    <x v="1"/>
    <x v="46"/>
    <x v="2"/>
    <s v="CARATOIRA"/>
    <d v="2016-05-19T00:00:00"/>
    <d v="2016-05-20T00:00:00"/>
    <x v="0"/>
    <x v="93"/>
    <x v="4"/>
    <n v="0"/>
    <x v="1"/>
    <n v="0"/>
    <n v="0"/>
    <n v="0"/>
    <x v="1"/>
    <x v="0"/>
    <n v="0"/>
  </r>
  <r>
    <n v="578523000000000"/>
    <x v="0"/>
    <x v="14"/>
    <x v="3"/>
    <s v="DO QUADRO"/>
    <d v="2016-05-19T00:00:00"/>
    <d v="2016-05-31T00:00:00"/>
    <x v="4"/>
    <x v="84"/>
    <x v="2"/>
    <n v="0"/>
    <x v="0"/>
    <n v="0"/>
    <n v="0"/>
    <n v="0"/>
    <x v="0"/>
    <x v="0"/>
    <n v="0"/>
  </r>
  <r>
    <n v="936546000000000"/>
    <x v="1"/>
    <x v="47"/>
    <x v="4"/>
    <s v="JARDIM CAMBURI"/>
    <d v="2016-05-19T00:00:00"/>
    <d v="2016-05-25T00:00:00"/>
    <x v="1"/>
    <x v="90"/>
    <x v="3"/>
    <n v="0"/>
    <x v="1"/>
    <n v="0"/>
    <n v="0"/>
    <n v="0"/>
    <x v="0"/>
    <x v="0"/>
    <n v="0"/>
  </r>
  <r>
    <n v="6786450000000"/>
    <x v="1"/>
    <x v="37"/>
    <x v="3"/>
    <s v="JARDIM CAMBURI"/>
    <d v="2016-05-19T00:00:00"/>
    <d v="2016-05-25T00:00:00"/>
    <x v="1"/>
    <x v="90"/>
    <x v="3"/>
    <n v="0"/>
    <x v="0"/>
    <n v="0"/>
    <n v="0"/>
    <n v="0"/>
    <x v="0"/>
    <x v="0"/>
    <n v="0"/>
  </r>
  <r>
    <n v="6442170000000"/>
    <x v="0"/>
    <x v="19"/>
    <x v="2"/>
    <s v="JARDIM CAMBURI"/>
    <d v="2016-05-19T00:00:00"/>
    <d v="2016-06-06T00:00:00"/>
    <x v="2"/>
    <x v="74"/>
    <x v="1"/>
    <n v="0"/>
    <x v="1"/>
    <n v="0"/>
    <n v="0"/>
    <n v="0"/>
    <x v="0"/>
    <x v="0"/>
    <n v="0"/>
  </r>
  <r>
    <n v="4629580000000"/>
    <x v="1"/>
    <x v="51"/>
    <x v="2"/>
    <s v="SANTOS DUMONT"/>
    <d v="2016-05-19T00:00:00"/>
    <d v="2016-05-19T00:00:00"/>
    <x v="3"/>
    <x v="94"/>
    <x v="5"/>
    <n v="0"/>
    <x v="1"/>
    <n v="0"/>
    <n v="0"/>
    <n v="0"/>
    <x v="1"/>
    <x v="0"/>
    <n v="0"/>
  </r>
  <r>
    <n v="53696700000000"/>
    <x v="1"/>
    <x v="66"/>
    <x v="2"/>
    <s v="ITARARE"/>
    <d v="2016-05-19T00:00:00"/>
    <d v="2016-05-19T00:00:00"/>
    <x v="3"/>
    <x v="94"/>
    <x v="5"/>
    <n v="0"/>
    <x v="1"/>
    <n v="0"/>
    <n v="0"/>
    <n v="0"/>
    <x v="1"/>
    <x v="1"/>
    <n v="1"/>
  </r>
  <r>
    <n v="1839190000000"/>
    <x v="1"/>
    <x v="66"/>
    <x v="2"/>
    <s v="GURIGICA"/>
    <d v="2016-05-19T00:00:00"/>
    <d v="2016-05-19T00:00:00"/>
    <x v="3"/>
    <x v="94"/>
    <x v="5"/>
    <n v="1"/>
    <x v="1"/>
    <n v="0"/>
    <n v="0"/>
    <n v="0"/>
    <x v="1"/>
    <x v="1"/>
    <n v="1"/>
  </r>
  <r>
    <n v="94265100000000"/>
    <x v="0"/>
    <x v="36"/>
    <x v="3"/>
    <s v="HORTO"/>
    <d v="2016-05-19T00:00:00"/>
    <d v="2016-05-19T00:00:00"/>
    <x v="3"/>
    <x v="94"/>
    <x v="5"/>
    <n v="0"/>
    <x v="1"/>
    <n v="0"/>
    <n v="0"/>
    <n v="0"/>
    <x v="1"/>
    <x v="0"/>
    <n v="0"/>
  </r>
  <r>
    <n v="9951350000000"/>
    <x v="0"/>
    <x v="5"/>
    <x v="1"/>
    <s v="ILHA DO PRINCIPE"/>
    <d v="2016-05-19T00:00:00"/>
    <d v="2016-06-02T00:00:00"/>
    <x v="3"/>
    <x v="80"/>
    <x v="2"/>
    <n v="0"/>
    <x v="1"/>
    <n v="0"/>
    <n v="0"/>
    <n v="0"/>
    <x v="0"/>
    <x v="0"/>
    <n v="0"/>
  </r>
  <r>
    <n v="8693670000000"/>
    <x v="0"/>
    <x v="84"/>
    <x v="1"/>
    <s v="JARDIM CAMBURI"/>
    <d v="2016-05-19T00:00:00"/>
    <d v="2016-05-31T00:00:00"/>
    <x v="4"/>
    <x v="84"/>
    <x v="2"/>
    <n v="0"/>
    <x v="1"/>
    <n v="0"/>
    <n v="0"/>
    <n v="0"/>
    <x v="0"/>
    <x v="0"/>
    <n v="0"/>
  </r>
  <r>
    <n v="6992770000000"/>
    <x v="1"/>
    <x v="19"/>
    <x v="2"/>
    <s v="MARUIPE"/>
    <d v="2016-05-19T00:00:00"/>
    <d v="2016-06-02T00:00:00"/>
    <x v="3"/>
    <x v="80"/>
    <x v="2"/>
    <n v="0"/>
    <x v="1"/>
    <n v="0"/>
    <n v="0"/>
    <n v="0"/>
    <x v="0"/>
    <x v="0"/>
    <n v="0"/>
  </r>
  <r>
    <n v="692277000000"/>
    <x v="1"/>
    <x v="59"/>
    <x v="2"/>
    <s v="ILHA DO PRINCIPE"/>
    <d v="2016-05-19T00:00:00"/>
    <d v="2016-05-19T00:00:00"/>
    <x v="3"/>
    <x v="94"/>
    <x v="5"/>
    <n v="0"/>
    <x v="1"/>
    <n v="0"/>
    <n v="0"/>
    <n v="0"/>
    <x v="1"/>
    <x v="0"/>
    <n v="0"/>
  </r>
  <r>
    <n v="179545000000000"/>
    <x v="0"/>
    <x v="42"/>
    <x v="3"/>
    <s v="SANTO ANTONIO"/>
    <d v="2016-05-19T00:00:00"/>
    <d v="2016-05-19T00:00:00"/>
    <x v="3"/>
    <x v="94"/>
    <x v="5"/>
    <n v="0"/>
    <x v="1"/>
    <n v="0"/>
    <n v="0"/>
    <n v="0"/>
    <x v="1"/>
    <x v="0"/>
    <n v="0"/>
  </r>
  <r>
    <n v="52671600000000"/>
    <x v="1"/>
    <x v="61"/>
    <x v="1"/>
    <s v="CONSOLACAO"/>
    <d v="2016-05-19T00:00:00"/>
    <d v="2016-05-19T00:00:00"/>
    <x v="3"/>
    <x v="94"/>
    <x v="5"/>
    <n v="0"/>
    <x v="1"/>
    <n v="0"/>
    <n v="0"/>
    <n v="0"/>
    <x v="1"/>
    <x v="0"/>
    <n v="0"/>
  </r>
  <r>
    <n v="65488268945"/>
    <x v="0"/>
    <x v="85"/>
    <x v="0"/>
    <s v="CENTRO"/>
    <d v="2016-05-19T00:00:00"/>
    <d v="2016-05-24T00:00:00"/>
    <x v="4"/>
    <x v="92"/>
    <x v="3"/>
    <n v="0"/>
    <x v="1"/>
    <n v="0"/>
    <n v="0"/>
    <n v="0"/>
    <x v="1"/>
    <x v="0"/>
    <n v="0"/>
  </r>
  <r>
    <n v="623697000000000"/>
    <x v="0"/>
    <x v="61"/>
    <x v="1"/>
    <s v="JESUS DE NAZARETH"/>
    <d v="2016-05-19T00:00:00"/>
    <d v="2016-05-19T00:00:00"/>
    <x v="3"/>
    <x v="94"/>
    <x v="5"/>
    <n v="0"/>
    <x v="1"/>
    <n v="0"/>
    <n v="0"/>
    <n v="0"/>
    <x v="1"/>
    <x v="0"/>
    <n v="0"/>
  </r>
  <r>
    <n v="712459000000000"/>
    <x v="1"/>
    <x v="2"/>
    <x v="1"/>
    <s v="FORTE SAO JOAO"/>
    <d v="2016-05-19T00:00:00"/>
    <d v="2016-05-19T00:00:00"/>
    <x v="3"/>
    <x v="94"/>
    <x v="5"/>
    <n v="0"/>
    <x v="1"/>
    <n v="0"/>
    <n v="1"/>
    <n v="0"/>
    <x v="1"/>
    <x v="0"/>
    <n v="0"/>
  </r>
  <r>
    <n v="24494000000000"/>
    <x v="1"/>
    <x v="12"/>
    <x v="3"/>
    <s v="JARDIM CAMBURI"/>
    <d v="2016-05-19T00:00:00"/>
    <d v="2016-06-06T00:00:00"/>
    <x v="2"/>
    <x v="74"/>
    <x v="1"/>
    <n v="0"/>
    <x v="1"/>
    <n v="0"/>
    <n v="0"/>
    <n v="0"/>
    <x v="0"/>
    <x v="0"/>
    <n v="0"/>
  </r>
  <r>
    <n v="63964659235"/>
    <x v="1"/>
    <x v="67"/>
    <x v="4"/>
    <s v="MARUIPE"/>
    <d v="2016-05-19T00:00:00"/>
    <d v="2016-05-19T00:00:00"/>
    <x v="3"/>
    <x v="94"/>
    <x v="5"/>
    <n v="0"/>
    <x v="1"/>
    <n v="0"/>
    <n v="0"/>
    <n v="0"/>
    <x v="1"/>
    <x v="0"/>
    <n v="0"/>
  </r>
  <r>
    <n v="612166000000000"/>
    <x v="0"/>
    <x v="33"/>
    <x v="4"/>
    <s v="SANTA MARTHA"/>
    <d v="2016-05-19T00:00:00"/>
    <d v="2016-05-19T00:00:00"/>
    <x v="3"/>
    <x v="94"/>
    <x v="5"/>
    <n v="0"/>
    <x v="1"/>
    <n v="0"/>
    <n v="0"/>
    <n v="0"/>
    <x v="1"/>
    <x v="0"/>
    <n v="0"/>
  </r>
  <r>
    <n v="51824300000000"/>
    <x v="0"/>
    <x v="62"/>
    <x v="3"/>
    <s v="MARUIPE"/>
    <d v="2016-05-19T00:00:00"/>
    <d v="2016-05-25T00:00:00"/>
    <x v="1"/>
    <x v="90"/>
    <x v="3"/>
    <n v="0"/>
    <x v="0"/>
    <n v="0"/>
    <n v="0"/>
    <n v="0"/>
    <x v="1"/>
    <x v="0"/>
    <n v="0"/>
  </r>
  <r>
    <n v="5796960000000"/>
    <x v="1"/>
    <x v="24"/>
    <x v="1"/>
    <s v="SAO CRISTOVAO"/>
    <d v="2016-05-19T00:00:00"/>
    <d v="2016-06-03T00:00:00"/>
    <x v="0"/>
    <x v="79"/>
    <x v="1"/>
    <n v="0"/>
    <x v="1"/>
    <n v="0"/>
    <n v="0"/>
    <n v="0"/>
    <x v="1"/>
    <x v="0"/>
    <n v="0"/>
  </r>
  <r>
    <n v="1914160000000"/>
    <x v="1"/>
    <x v="45"/>
    <x v="1"/>
    <s v="SANTOS DUMONT"/>
    <d v="2016-05-19T00:00:00"/>
    <d v="2016-05-19T00:00:00"/>
    <x v="3"/>
    <x v="94"/>
    <x v="5"/>
    <n v="0"/>
    <x v="1"/>
    <n v="0"/>
    <n v="0"/>
    <n v="0"/>
    <x v="1"/>
    <x v="1"/>
    <n v="1"/>
  </r>
  <r>
    <n v="476117000000000"/>
    <x v="0"/>
    <x v="87"/>
    <x v="1"/>
    <s v="ANDORINHAS"/>
    <d v="2016-05-19T00:00:00"/>
    <d v="2016-05-20T00:00:00"/>
    <x v="0"/>
    <x v="93"/>
    <x v="4"/>
    <n v="1"/>
    <x v="1"/>
    <n v="0"/>
    <n v="0"/>
    <n v="0"/>
    <x v="1"/>
    <x v="1"/>
    <n v="1"/>
  </r>
  <r>
    <n v="2758660000000"/>
    <x v="1"/>
    <x v="5"/>
    <x v="1"/>
    <s v="JUCUTUQUARA"/>
    <d v="2016-05-19T00:00:00"/>
    <d v="2016-05-25T00:00:00"/>
    <x v="1"/>
    <x v="90"/>
    <x v="3"/>
    <n v="0"/>
    <x v="1"/>
    <n v="0"/>
    <n v="0"/>
    <n v="0"/>
    <x v="0"/>
    <x v="1"/>
    <n v="1"/>
  </r>
  <r>
    <n v="773286000000"/>
    <x v="0"/>
    <x v="42"/>
    <x v="3"/>
    <s v="RESISTENCIA"/>
    <d v="2016-05-19T00:00:00"/>
    <d v="2016-05-25T00:00:00"/>
    <x v="1"/>
    <x v="90"/>
    <x v="3"/>
    <n v="0"/>
    <x v="1"/>
    <n v="0"/>
    <n v="0"/>
    <n v="0"/>
    <x v="0"/>
    <x v="0"/>
    <n v="0"/>
  </r>
  <r>
    <n v="487448000000000"/>
    <x v="1"/>
    <x v="69"/>
    <x v="4"/>
    <s v="JARDIM DA PENHA"/>
    <d v="2016-05-19T00:00:00"/>
    <d v="2016-05-25T00:00:00"/>
    <x v="1"/>
    <x v="90"/>
    <x v="3"/>
    <n v="0"/>
    <x v="1"/>
    <n v="0"/>
    <n v="0"/>
    <n v="0"/>
    <x v="0"/>
    <x v="0"/>
    <n v="0"/>
  </r>
  <r>
    <n v="4378820000000"/>
    <x v="0"/>
    <x v="2"/>
    <x v="1"/>
    <s v="JABOUR"/>
    <d v="2016-05-19T00:00:00"/>
    <d v="2016-05-25T00:00:00"/>
    <x v="1"/>
    <x v="90"/>
    <x v="3"/>
    <n v="1"/>
    <x v="1"/>
    <n v="0"/>
    <n v="0"/>
    <n v="0"/>
    <x v="0"/>
    <x v="0"/>
    <n v="0"/>
  </r>
  <r>
    <n v="8646980000000"/>
    <x v="0"/>
    <x v="21"/>
    <x v="1"/>
    <s v="RESISTENCIA"/>
    <d v="2016-05-19T00:00:00"/>
    <d v="2016-05-25T00:00:00"/>
    <x v="1"/>
    <x v="90"/>
    <x v="3"/>
    <n v="0"/>
    <x v="1"/>
    <n v="0"/>
    <n v="0"/>
    <n v="0"/>
    <x v="0"/>
    <x v="0"/>
    <n v="0"/>
  </r>
  <r>
    <n v="28636274117"/>
    <x v="1"/>
    <x v="27"/>
    <x v="3"/>
    <s v="JARDIM CAMBURI"/>
    <d v="2016-05-19T00:00:00"/>
    <d v="2016-05-24T00:00:00"/>
    <x v="4"/>
    <x v="92"/>
    <x v="3"/>
    <n v="0"/>
    <x v="1"/>
    <n v="0"/>
    <n v="0"/>
    <n v="0"/>
    <x v="0"/>
    <x v="0"/>
    <n v="0"/>
  </r>
  <r>
    <n v="747423000000"/>
    <x v="0"/>
    <x v="36"/>
    <x v="3"/>
    <s v="JARDIM CAMBURI"/>
    <d v="2016-05-19T00:00:00"/>
    <d v="2016-05-30T00:00:00"/>
    <x v="2"/>
    <x v="81"/>
    <x v="2"/>
    <n v="0"/>
    <x v="1"/>
    <n v="0"/>
    <n v="0"/>
    <n v="0"/>
    <x v="0"/>
    <x v="1"/>
    <n v="1"/>
  </r>
  <r>
    <n v="6552300000000"/>
    <x v="1"/>
    <x v="77"/>
    <x v="4"/>
    <s v="SAO JOSE"/>
    <d v="2016-05-19T00:00:00"/>
    <d v="2016-06-03T00:00:00"/>
    <x v="0"/>
    <x v="79"/>
    <x v="1"/>
    <n v="0"/>
    <x v="1"/>
    <n v="0"/>
    <n v="0"/>
    <n v="0"/>
    <x v="0"/>
    <x v="0"/>
    <n v="0"/>
  </r>
  <r>
    <n v="992947000000000"/>
    <x v="0"/>
    <x v="42"/>
    <x v="3"/>
    <s v="SANTA TEREZA"/>
    <d v="2016-05-19T00:00:00"/>
    <d v="2016-06-07T00:00:00"/>
    <x v="4"/>
    <x v="77"/>
    <x v="1"/>
    <n v="0"/>
    <x v="1"/>
    <n v="0"/>
    <n v="0"/>
    <n v="0"/>
    <x v="1"/>
    <x v="0"/>
    <n v="0"/>
  </r>
  <r>
    <n v="43327900000000"/>
    <x v="0"/>
    <x v="36"/>
    <x v="3"/>
    <s v="SANTO ANTONIO"/>
    <d v="2016-05-20T00:00:00"/>
    <d v="2016-05-24T00:00:00"/>
    <x v="4"/>
    <x v="86"/>
    <x v="3"/>
    <n v="0"/>
    <x v="1"/>
    <n v="0"/>
    <n v="0"/>
    <n v="0"/>
    <x v="0"/>
    <x v="0"/>
    <n v="0"/>
  </r>
  <r>
    <n v="741274000000"/>
    <x v="0"/>
    <x v="37"/>
    <x v="3"/>
    <s v="JARDIM DA PENHA"/>
    <d v="2016-05-20T00:00:00"/>
    <d v="2016-05-25T00:00:00"/>
    <x v="1"/>
    <x v="92"/>
    <x v="3"/>
    <n v="0"/>
    <x v="1"/>
    <n v="0"/>
    <n v="0"/>
    <n v="0"/>
    <x v="0"/>
    <x v="0"/>
    <n v="0"/>
  </r>
  <r>
    <n v="24677300000000"/>
    <x v="0"/>
    <x v="15"/>
    <x v="3"/>
    <s v="CENTRO"/>
    <d v="2016-05-20T00:00:00"/>
    <d v="2016-06-01T00:00:00"/>
    <x v="1"/>
    <x v="84"/>
    <x v="2"/>
    <n v="0"/>
    <x v="1"/>
    <n v="0"/>
    <n v="0"/>
    <n v="0"/>
    <x v="0"/>
    <x v="0"/>
    <n v="0"/>
  </r>
  <r>
    <n v="1775390000000"/>
    <x v="0"/>
    <x v="23"/>
    <x v="3"/>
    <s v="BONFIM"/>
    <d v="2016-05-20T00:00:00"/>
    <d v="2016-05-24T00:00:00"/>
    <x v="4"/>
    <x v="86"/>
    <x v="3"/>
    <n v="0"/>
    <x v="0"/>
    <n v="0"/>
    <n v="0"/>
    <n v="0"/>
    <x v="0"/>
    <x v="0"/>
    <n v="0"/>
  </r>
  <r>
    <n v="949255000000"/>
    <x v="1"/>
    <x v="24"/>
    <x v="1"/>
    <s v="GOIABEIRAS"/>
    <d v="2016-05-20T00:00:00"/>
    <d v="2016-05-25T00:00:00"/>
    <x v="1"/>
    <x v="92"/>
    <x v="3"/>
    <n v="0"/>
    <x v="1"/>
    <n v="0"/>
    <n v="0"/>
    <n v="0"/>
    <x v="0"/>
    <x v="0"/>
    <n v="0"/>
  </r>
  <r>
    <n v="29513841931"/>
    <x v="1"/>
    <x v="23"/>
    <x v="3"/>
    <s v="PARQUE MOSCOSO"/>
    <d v="2016-05-20T00:00:00"/>
    <d v="2016-06-02T00:00:00"/>
    <x v="3"/>
    <x v="82"/>
    <x v="2"/>
    <n v="0"/>
    <x v="0"/>
    <n v="0"/>
    <n v="0"/>
    <n v="0"/>
    <x v="1"/>
    <x v="0"/>
    <n v="0"/>
  </r>
  <r>
    <n v="9245200000000"/>
    <x v="1"/>
    <x v="5"/>
    <x v="1"/>
    <s v="CENTRO"/>
    <d v="2016-05-20T00:00:00"/>
    <d v="2016-06-01T00:00:00"/>
    <x v="1"/>
    <x v="84"/>
    <x v="2"/>
    <n v="0"/>
    <x v="1"/>
    <n v="0"/>
    <n v="0"/>
    <n v="0"/>
    <x v="1"/>
    <x v="0"/>
    <n v="0"/>
  </r>
  <r>
    <n v="35284700000000"/>
    <x v="0"/>
    <x v="38"/>
    <x v="4"/>
    <s v="JARDIM CAMBURI"/>
    <d v="2016-05-20T00:00:00"/>
    <d v="2016-05-20T00:00:00"/>
    <x v="0"/>
    <x v="94"/>
    <x v="5"/>
    <n v="0"/>
    <x v="1"/>
    <n v="0"/>
    <n v="0"/>
    <n v="0"/>
    <x v="1"/>
    <x v="0"/>
    <n v="0"/>
  </r>
  <r>
    <n v="18435600000000"/>
    <x v="1"/>
    <x v="49"/>
    <x v="4"/>
    <s v="ILHA DE SANTA MARIA"/>
    <d v="2016-05-20T00:00:00"/>
    <d v="2016-05-24T00:00:00"/>
    <x v="4"/>
    <x v="86"/>
    <x v="3"/>
    <n v="0"/>
    <x v="1"/>
    <n v="0"/>
    <n v="0"/>
    <n v="0"/>
    <x v="0"/>
    <x v="0"/>
    <n v="0"/>
  </r>
  <r>
    <n v="5625730000000"/>
    <x v="0"/>
    <x v="85"/>
    <x v="0"/>
    <s v="REPUBLICA"/>
    <d v="2016-05-20T00:00:00"/>
    <d v="2016-05-24T00:00:00"/>
    <x v="4"/>
    <x v="86"/>
    <x v="3"/>
    <n v="0"/>
    <x v="0"/>
    <n v="0"/>
    <n v="0"/>
    <n v="0"/>
    <x v="0"/>
    <x v="0"/>
    <n v="0"/>
  </r>
  <r>
    <n v="84965500000000"/>
    <x v="1"/>
    <x v="84"/>
    <x v="1"/>
    <s v="JARDIM CAMBURI"/>
    <d v="2016-05-20T00:00:00"/>
    <d v="2016-05-24T00:00:00"/>
    <x v="4"/>
    <x v="86"/>
    <x v="3"/>
    <n v="0"/>
    <x v="1"/>
    <n v="0"/>
    <n v="0"/>
    <n v="0"/>
    <x v="1"/>
    <x v="1"/>
    <n v="1"/>
  </r>
  <r>
    <n v="3586890000000"/>
    <x v="0"/>
    <x v="21"/>
    <x v="1"/>
    <s v="JARDIM CAMBURI"/>
    <d v="2016-05-20T00:00:00"/>
    <d v="2016-05-24T00:00:00"/>
    <x v="4"/>
    <x v="86"/>
    <x v="3"/>
    <n v="0"/>
    <x v="1"/>
    <n v="0"/>
    <n v="0"/>
    <n v="0"/>
    <x v="0"/>
    <x v="1"/>
    <n v="1"/>
  </r>
  <r>
    <n v="32965600000000"/>
    <x v="1"/>
    <x v="47"/>
    <x v="4"/>
    <s v="SANTA TEREZA"/>
    <d v="2016-05-20T00:00:00"/>
    <d v="2016-05-20T00:00:00"/>
    <x v="0"/>
    <x v="94"/>
    <x v="5"/>
    <n v="0"/>
    <x v="1"/>
    <n v="0"/>
    <n v="0"/>
    <n v="0"/>
    <x v="1"/>
    <x v="0"/>
    <n v="0"/>
  </r>
  <r>
    <n v="269919126"/>
    <x v="0"/>
    <x v="46"/>
    <x v="2"/>
    <s v="PIEDADE"/>
    <d v="2016-05-20T00:00:00"/>
    <d v="2016-05-20T00:00:00"/>
    <x v="0"/>
    <x v="94"/>
    <x v="5"/>
    <n v="0"/>
    <x v="1"/>
    <n v="0"/>
    <n v="0"/>
    <n v="0"/>
    <x v="1"/>
    <x v="0"/>
    <n v="0"/>
  </r>
  <r>
    <n v="566327000000000"/>
    <x v="0"/>
    <x v="19"/>
    <x v="2"/>
    <s v="SANTO ANTONIO"/>
    <d v="2016-05-20T00:00:00"/>
    <d v="2016-05-20T00:00:00"/>
    <x v="0"/>
    <x v="94"/>
    <x v="5"/>
    <n v="0"/>
    <x v="1"/>
    <n v="0"/>
    <n v="0"/>
    <n v="0"/>
    <x v="1"/>
    <x v="0"/>
    <n v="0"/>
  </r>
  <r>
    <n v="544118000000000"/>
    <x v="1"/>
    <x v="81"/>
    <x v="5"/>
    <s v="JESUS DE NAZARETH"/>
    <d v="2016-05-20T00:00:00"/>
    <d v="2016-05-20T00:00:00"/>
    <x v="0"/>
    <x v="94"/>
    <x v="5"/>
    <n v="0"/>
    <x v="1"/>
    <n v="0"/>
    <n v="0"/>
    <n v="0"/>
    <x v="1"/>
    <x v="0"/>
    <n v="0"/>
  </r>
  <r>
    <n v="28532500000000"/>
    <x v="0"/>
    <x v="27"/>
    <x v="3"/>
    <s v="ROMAO"/>
    <d v="2016-05-20T00:00:00"/>
    <d v="2016-05-25T00:00:00"/>
    <x v="1"/>
    <x v="92"/>
    <x v="3"/>
    <n v="0"/>
    <x v="0"/>
    <n v="0"/>
    <n v="0"/>
    <n v="0"/>
    <x v="0"/>
    <x v="0"/>
    <n v="0"/>
  </r>
  <r>
    <n v="18184700000000"/>
    <x v="1"/>
    <x v="50"/>
    <x v="1"/>
    <s v="CENTRO"/>
    <d v="2016-05-20T00:00:00"/>
    <d v="2016-06-03T00:00:00"/>
    <x v="0"/>
    <x v="80"/>
    <x v="2"/>
    <n v="0"/>
    <x v="1"/>
    <n v="0"/>
    <n v="0"/>
    <n v="0"/>
    <x v="1"/>
    <x v="0"/>
    <n v="0"/>
  </r>
  <r>
    <n v="38543400000000"/>
    <x v="1"/>
    <x v="49"/>
    <x v="4"/>
    <s v="ILHA DO PRINCIPE"/>
    <d v="2016-05-20T00:00:00"/>
    <d v="2016-05-30T00:00:00"/>
    <x v="2"/>
    <x v="83"/>
    <x v="2"/>
    <n v="0"/>
    <x v="1"/>
    <n v="0"/>
    <n v="0"/>
    <n v="0"/>
    <x v="0"/>
    <x v="1"/>
    <n v="1"/>
  </r>
  <r>
    <n v="494174000000000"/>
    <x v="0"/>
    <x v="46"/>
    <x v="2"/>
    <s v="FORTE SAO JOAO"/>
    <d v="2016-05-20T00:00:00"/>
    <d v="2016-05-24T00:00:00"/>
    <x v="4"/>
    <x v="86"/>
    <x v="3"/>
    <n v="0"/>
    <x v="1"/>
    <n v="0"/>
    <n v="0"/>
    <n v="0"/>
    <x v="1"/>
    <x v="0"/>
    <n v="0"/>
  </r>
  <r>
    <n v="986624000000000"/>
    <x v="0"/>
    <x v="36"/>
    <x v="3"/>
    <s v="CENTRO"/>
    <d v="2016-05-20T00:00:00"/>
    <d v="2016-05-30T00:00:00"/>
    <x v="2"/>
    <x v="83"/>
    <x v="2"/>
    <n v="0"/>
    <x v="0"/>
    <n v="0"/>
    <n v="0"/>
    <n v="0"/>
    <x v="0"/>
    <x v="0"/>
    <n v="0"/>
  </r>
  <r>
    <n v="58426000000000"/>
    <x v="0"/>
    <x v="66"/>
    <x v="2"/>
    <s v="CRUZAMENTO"/>
    <d v="2016-05-20T00:00:00"/>
    <d v="2016-05-25T00:00:00"/>
    <x v="1"/>
    <x v="92"/>
    <x v="3"/>
    <n v="0"/>
    <x v="1"/>
    <n v="0"/>
    <n v="0"/>
    <n v="0"/>
    <x v="0"/>
    <x v="0"/>
    <n v="0"/>
  </r>
  <r>
    <n v="974960000000"/>
    <x v="0"/>
    <x v="46"/>
    <x v="2"/>
    <s v="JUCUTUQUARA"/>
    <d v="2016-05-20T00:00:00"/>
    <d v="2016-05-24T00:00:00"/>
    <x v="4"/>
    <x v="86"/>
    <x v="3"/>
    <n v="0"/>
    <x v="1"/>
    <n v="0"/>
    <n v="0"/>
    <n v="0"/>
    <x v="0"/>
    <x v="0"/>
    <n v="0"/>
  </r>
  <r>
    <n v="973316000000"/>
    <x v="1"/>
    <x v="7"/>
    <x v="3"/>
    <s v="BOA VISTA"/>
    <d v="2016-05-20T00:00:00"/>
    <d v="2016-05-20T00:00:00"/>
    <x v="0"/>
    <x v="94"/>
    <x v="5"/>
    <n v="0"/>
    <x v="1"/>
    <n v="0"/>
    <n v="1"/>
    <n v="0"/>
    <x v="1"/>
    <x v="1"/>
    <n v="1"/>
  </r>
  <r>
    <n v="6217940000000"/>
    <x v="0"/>
    <x v="43"/>
    <x v="2"/>
    <s v="SAO PEDRO"/>
    <d v="2016-05-20T00:00:00"/>
    <d v="2016-05-31T00:00:00"/>
    <x v="4"/>
    <x v="81"/>
    <x v="2"/>
    <n v="0"/>
    <x v="1"/>
    <n v="0"/>
    <n v="0"/>
    <n v="0"/>
    <x v="0"/>
    <x v="0"/>
    <n v="0"/>
  </r>
  <r>
    <n v="447248000000"/>
    <x v="0"/>
    <x v="68"/>
    <x v="4"/>
    <s v="PARQUE MOSCOSO"/>
    <d v="2016-05-20T00:00:00"/>
    <d v="2016-05-24T00:00:00"/>
    <x v="4"/>
    <x v="86"/>
    <x v="3"/>
    <n v="0"/>
    <x v="1"/>
    <n v="0"/>
    <n v="0"/>
    <n v="0"/>
    <x v="0"/>
    <x v="0"/>
    <n v="0"/>
  </r>
  <r>
    <n v="945639000000000"/>
    <x v="0"/>
    <x v="42"/>
    <x v="3"/>
    <s v="SANTA CECILIA"/>
    <d v="2016-05-20T00:00:00"/>
    <d v="2016-05-24T00:00:00"/>
    <x v="4"/>
    <x v="86"/>
    <x v="3"/>
    <n v="0"/>
    <x v="1"/>
    <n v="0"/>
    <n v="0"/>
    <n v="0"/>
    <x v="0"/>
    <x v="0"/>
    <n v="0"/>
  </r>
  <r>
    <n v="4297540000000"/>
    <x v="1"/>
    <x v="87"/>
    <x v="1"/>
    <s v="REDENCAO"/>
    <d v="2016-05-20T00:00:00"/>
    <d v="2016-05-24T00:00:00"/>
    <x v="4"/>
    <x v="86"/>
    <x v="3"/>
    <n v="0"/>
    <x v="1"/>
    <n v="0"/>
    <n v="1"/>
    <n v="0"/>
    <x v="0"/>
    <x v="1"/>
    <n v="1"/>
  </r>
  <r>
    <n v="45987900000000"/>
    <x v="0"/>
    <x v="49"/>
    <x v="4"/>
    <s v="BONFIM"/>
    <d v="2016-05-20T00:00:00"/>
    <d v="2016-05-31T00:00:00"/>
    <x v="4"/>
    <x v="81"/>
    <x v="2"/>
    <n v="0"/>
    <x v="1"/>
    <n v="0"/>
    <n v="0"/>
    <n v="0"/>
    <x v="0"/>
    <x v="0"/>
    <n v="0"/>
  </r>
  <r>
    <n v="72912800000000"/>
    <x v="0"/>
    <x v="61"/>
    <x v="1"/>
    <s v="TABUAZEIRO"/>
    <d v="2016-05-20T00:00:00"/>
    <d v="2016-05-20T00:00:00"/>
    <x v="0"/>
    <x v="94"/>
    <x v="5"/>
    <n v="0"/>
    <x v="1"/>
    <n v="0"/>
    <n v="0"/>
    <n v="0"/>
    <x v="1"/>
    <x v="0"/>
    <n v="0"/>
  </r>
  <r>
    <n v="52986800000000"/>
    <x v="1"/>
    <x v="75"/>
    <x v="5"/>
    <s v="FORTE SAO JOAO"/>
    <d v="2016-05-20T00:00:00"/>
    <d v="2016-05-31T00:00:00"/>
    <x v="4"/>
    <x v="81"/>
    <x v="2"/>
    <n v="0"/>
    <x v="1"/>
    <n v="0"/>
    <n v="0"/>
    <n v="0"/>
    <x v="0"/>
    <x v="0"/>
    <n v="0"/>
  </r>
  <r>
    <n v="4761950000000"/>
    <x v="1"/>
    <x v="68"/>
    <x v="4"/>
    <s v="SANTO ANDRE"/>
    <d v="2016-05-20T00:00:00"/>
    <d v="2016-05-24T00:00:00"/>
    <x v="4"/>
    <x v="86"/>
    <x v="3"/>
    <n v="0"/>
    <x v="1"/>
    <n v="0"/>
    <n v="0"/>
    <n v="0"/>
    <x v="0"/>
    <x v="0"/>
    <n v="0"/>
  </r>
  <r>
    <n v="883943000000"/>
    <x v="0"/>
    <x v="81"/>
    <x v="5"/>
    <s v="SAO JOSE"/>
    <d v="2016-05-20T00:00:00"/>
    <d v="2016-05-25T00:00:00"/>
    <x v="1"/>
    <x v="92"/>
    <x v="3"/>
    <n v="0"/>
    <x v="1"/>
    <n v="0"/>
    <n v="0"/>
    <n v="0"/>
    <x v="0"/>
    <x v="0"/>
    <n v="0"/>
  </r>
  <r>
    <n v="746752000000000"/>
    <x v="0"/>
    <x v="50"/>
    <x v="1"/>
    <s v="SAO PEDRO"/>
    <d v="2016-05-20T00:00:00"/>
    <d v="2016-06-01T00:00:00"/>
    <x v="1"/>
    <x v="84"/>
    <x v="2"/>
    <n v="1"/>
    <x v="1"/>
    <n v="0"/>
    <n v="0"/>
    <n v="0"/>
    <x v="0"/>
    <x v="1"/>
    <n v="1"/>
  </r>
  <r>
    <n v="8852490000000"/>
    <x v="0"/>
    <x v="47"/>
    <x v="4"/>
    <s v="SAO JOSE"/>
    <d v="2016-05-20T00:00:00"/>
    <d v="2016-05-20T00:00:00"/>
    <x v="0"/>
    <x v="94"/>
    <x v="5"/>
    <n v="0"/>
    <x v="1"/>
    <n v="0"/>
    <n v="0"/>
    <n v="0"/>
    <x v="1"/>
    <x v="0"/>
    <n v="0"/>
  </r>
  <r>
    <n v="556844000000"/>
    <x v="0"/>
    <x v="64"/>
    <x v="3"/>
    <s v="SANTO ANTONIO"/>
    <d v="2016-05-20T00:00:00"/>
    <d v="2016-05-20T00:00:00"/>
    <x v="0"/>
    <x v="94"/>
    <x v="5"/>
    <n v="0"/>
    <x v="0"/>
    <n v="1"/>
    <n v="0"/>
    <n v="0"/>
    <x v="1"/>
    <x v="0"/>
    <n v="0"/>
  </r>
  <r>
    <n v="4297540000000"/>
    <x v="1"/>
    <x v="87"/>
    <x v="1"/>
    <s v="REDENCAO"/>
    <d v="2016-05-20T00:00:00"/>
    <d v="2016-05-20T00:00:00"/>
    <x v="0"/>
    <x v="94"/>
    <x v="5"/>
    <n v="0"/>
    <x v="1"/>
    <n v="0"/>
    <n v="1"/>
    <n v="0"/>
    <x v="1"/>
    <x v="0"/>
    <n v="0"/>
  </r>
  <r>
    <n v="3825860000000"/>
    <x v="1"/>
    <x v="65"/>
    <x v="2"/>
    <s v="JOANA D ARC"/>
    <d v="2016-05-20T00:00:00"/>
    <d v="2016-05-20T00:00:00"/>
    <x v="0"/>
    <x v="94"/>
    <x v="5"/>
    <n v="0"/>
    <x v="1"/>
    <n v="0"/>
    <n v="0"/>
    <n v="0"/>
    <x v="1"/>
    <x v="0"/>
    <n v="0"/>
  </r>
  <r>
    <n v="76749400000000"/>
    <x v="0"/>
    <x v="52"/>
    <x v="2"/>
    <s v="TABUAZEIRO"/>
    <d v="2016-05-20T00:00:00"/>
    <d v="2016-05-20T00:00:00"/>
    <x v="0"/>
    <x v="94"/>
    <x v="5"/>
    <n v="0"/>
    <x v="1"/>
    <n v="0"/>
    <n v="0"/>
    <n v="0"/>
    <x v="1"/>
    <x v="0"/>
    <n v="0"/>
  </r>
  <r>
    <n v="73738500000000"/>
    <x v="0"/>
    <x v="10"/>
    <x v="4"/>
    <s v="GRANDE VITORIA"/>
    <d v="2016-05-20T00:00:00"/>
    <d v="2016-05-20T00:00:00"/>
    <x v="0"/>
    <x v="94"/>
    <x v="5"/>
    <n v="0"/>
    <x v="1"/>
    <n v="0"/>
    <n v="0"/>
    <n v="0"/>
    <x v="1"/>
    <x v="0"/>
    <n v="0"/>
  </r>
  <r>
    <n v="32787100000000"/>
    <x v="0"/>
    <x v="21"/>
    <x v="1"/>
    <s v="SANTA LUIZA"/>
    <d v="2016-05-20T00:00:00"/>
    <d v="2016-06-06T00:00:00"/>
    <x v="2"/>
    <x v="75"/>
    <x v="1"/>
    <n v="0"/>
    <x v="1"/>
    <n v="0"/>
    <n v="0"/>
    <n v="0"/>
    <x v="1"/>
    <x v="1"/>
    <n v="1"/>
  </r>
  <r>
    <n v="611759000000000"/>
    <x v="0"/>
    <x v="74"/>
    <x v="1"/>
    <s v="MONTE BELO"/>
    <d v="2016-05-20T00:00:00"/>
    <d v="2016-06-06T00:00:00"/>
    <x v="2"/>
    <x v="75"/>
    <x v="1"/>
    <n v="0"/>
    <x v="1"/>
    <n v="0"/>
    <n v="0"/>
    <n v="0"/>
    <x v="0"/>
    <x v="0"/>
    <n v="0"/>
  </r>
  <r>
    <n v="5174760000000"/>
    <x v="0"/>
    <x v="46"/>
    <x v="2"/>
    <s v="SAO BENEDITO"/>
    <d v="2016-05-20T00:00:00"/>
    <d v="2016-05-24T00:00:00"/>
    <x v="4"/>
    <x v="86"/>
    <x v="3"/>
    <n v="0"/>
    <x v="1"/>
    <n v="0"/>
    <n v="0"/>
    <n v="0"/>
    <x v="0"/>
    <x v="1"/>
    <n v="1"/>
  </r>
  <r>
    <n v="825821000000000"/>
    <x v="1"/>
    <x v="55"/>
    <x v="2"/>
    <s v="DA PENHA"/>
    <d v="2016-05-20T00:00:00"/>
    <d v="2016-05-20T00:00:00"/>
    <x v="0"/>
    <x v="94"/>
    <x v="5"/>
    <n v="1"/>
    <x v="1"/>
    <n v="0"/>
    <n v="0"/>
    <n v="0"/>
    <x v="1"/>
    <x v="0"/>
    <n v="0"/>
  </r>
  <r>
    <n v="39371100000000"/>
    <x v="0"/>
    <x v="85"/>
    <x v="0"/>
    <s v="JARDIM CAMBURI"/>
    <d v="2016-05-20T00:00:00"/>
    <d v="2016-05-24T00:00:00"/>
    <x v="4"/>
    <x v="86"/>
    <x v="3"/>
    <n v="0"/>
    <x v="1"/>
    <n v="0"/>
    <n v="0"/>
    <n v="0"/>
    <x v="0"/>
    <x v="1"/>
    <n v="1"/>
  </r>
  <r>
    <n v="6361580000000"/>
    <x v="0"/>
    <x v="87"/>
    <x v="1"/>
    <s v="GRANDE VITORIA"/>
    <d v="2016-05-20T00:00:00"/>
    <d v="2016-05-24T00:00:00"/>
    <x v="4"/>
    <x v="86"/>
    <x v="3"/>
    <n v="0"/>
    <x v="1"/>
    <n v="0"/>
    <n v="0"/>
    <n v="1"/>
    <x v="0"/>
    <x v="0"/>
    <n v="0"/>
  </r>
  <r>
    <n v="2884270000000"/>
    <x v="1"/>
    <x v="44"/>
    <x v="4"/>
    <s v="SANTA LUCIA"/>
    <d v="2016-05-20T00:00:00"/>
    <d v="2016-06-07T00:00:00"/>
    <x v="4"/>
    <x v="74"/>
    <x v="1"/>
    <n v="0"/>
    <x v="1"/>
    <n v="0"/>
    <n v="0"/>
    <n v="0"/>
    <x v="1"/>
    <x v="1"/>
    <n v="1"/>
  </r>
  <r>
    <n v="8619450000000"/>
    <x v="0"/>
    <x v="40"/>
    <x v="1"/>
    <s v="JOANA D ARC"/>
    <d v="2016-05-20T00:00:00"/>
    <d v="2016-05-20T00:00:00"/>
    <x v="0"/>
    <x v="94"/>
    <x v="5"/>
    <n v="0"/>
    <x v="1"/>
    <n v="0"/>
    <n v="0"/>
    <n v="0"/>
    <x v="1"/>
    <x v="0"/>
    <n v="0"/>
  </r>
  <r>
    <n v="5472350000000"/>
    <x v="0"/>
    <x v="30"/>
    <x v="3"/>
    <s v="SANTA LUCIA"/>
    <d v="2016-05-20T00:00:00"/>
    <d v="2016-06-07T00:00:00"/>
    <x v="4"/>
    <x v="74"/>
    <x v="1"/>
    <n v="0"/>
    <x v="1"/>
    <n v="0"/>
    <n v="0"/>
    <n v="0"/>
    <x v="1"/>
    <x v="0"/>
    <n v="0"/>
  </r>
  <r>
    <n v="2965140000000"/>
    <x v="0"/>
    <x v="63"/>
    <x v="0"/>
    <s v="FORTE SAO JOAO"/>
    <d v="2016-05-20T00:00:00"/>
    <d v="2016-05-30T00:00:00"/>
    <x v="2"/>
    <x v="83"/>
    <x v="2"/>
    <n v="0"/>
    <x v="0"/>
    <n v="0"/>
    <n v="0"/>
    <n v="0"/>
    <x v="0"/>
    <x v="0"/>
    <n v="0"/>
  </r>
  <r>
    <n v="1793450000000"/>
    <x v="0"/>
    <x v="24"/>
    <x v="1"/>
    <s v="TABUAZEIRO"/>
    <d v="2016-05-20T00:00:00"/>
    <d v="2016-05-20T00:00:00"/>
    <x v="0"/>
    <x v="94"/>
    <x v="5"/>
    <n v="1"/>
    <x v="0"/>
    <n v="0"/>
    <n v="0"/>
    <n v="0"/>
    <x v="1"/>
    <x v="0"/>
    <n v="0"/>
  </r>
  <r>
    <n v="226149000000"/>
    <x v="1"/>
    <x v="69"/>
    <x v="4"/>
    <s v="SANTO ANDRE"/>
    <d v="2016-05-20T00:00:00"/>
    <d v="2016-05-20T00:00:00"/>
    <x v="0"/>
    <x v="94"/>
    <x v="5"/>
    <n v="0"/>
    <x v="0"/>
    <n v="0"/>
    <n v="0"/>
    <n v="0"/>
    <x v="1"/>
    <x v="0"/>
    <n v="0"/>
  </r>
  <r>
    <n v="155498000000"/>
    <x v="1"/>
    <x v="57"/>
    <x v="2"/>
    <s v="ILHA DO PRINCIPE"/>
    <d v="2016-05-20T00:00:00"/>
    <d v="2016-05-20T00:00:00"/>
    <x v="0"/>
    <x v="94"/>
    <x v="5"/>
    <n v="0"/>
    <x v="1"/>
    <n v="0"/>
    <n v="0"/>
    <n v="1"/>
    <x v="1"/>
    <x v="0"/>
    <n v="0"/>
  </r>
  <r>
    <n v="66756300000000"/>
    <x v="1"/>
    <x v="22"/>
    <x v="4"/>
    <s v="SAO CRISTOVAO"/>
    <d v="2016-05-20T00:00:00"/>
    <d v="2016-05-25T00:00:00"/>
    <x v="1"/>
    <x v="92"/>
    <x v="3"/>
    <n v="1"/>
    <x v="1"/>
    <n v="0"/>
    <n v="0"/>
    <n v="0"/>
    <x v="1"/>
    <x v="0"/>
    <n v="0"/>
  </r>
  <r>
    <n v="74166700000000"/>
    <x v="0"/>
    <x v="36"/>
    <x v="3"/>
    <s v="SANTA MARTHA"/>
    <d v="2016-05-20T00:00:00"/>
    <d v="2016-05-25T00:00:00"/>
    <x v="1"/>
    <x v="92"/>
    <x v="3"/>
    <n v="0"/>
    <x v="1"/>
    <n v="0"/>
    <n v="0"/>
    <n v="0"/>
    <x v="1"/>
    <x v="0"/>
    <n v="0"/>
  </r>
  <r>
    <n v="3497330000000"/>
    <x v="0"/>
    <x v="22"/>
    <x v="4"/>
    <s v="ESTRELINHA"/>
    <d v="2016-05-20T00:00:00"/>
    <d v="2016-06-08T00:00:00"/>
    <x v="1"/>
    <x v="77"/>
    <x v="1"/>
    <n v="0"/>
    <x v="1"/>
    <n v="0"/>
    <n v="0"/>
    <n v="0"/>
    <x v="0"/>
    <x v="0"/>
    <n v="0"/>
  </r>
  <r>
    <n v="75227300000000"/>
    <x v="1"/>
    <x v="60"/>
    <x v="2"/>
    <s v="TABUAZEIRO"/>
    <d v="2016-05-20T00:00:00"/>
    <d v="2016-05-31T00:00:00"/>
    <x v="4"/>
    <x v="81"/>
    <x v="2"/>
    <n v="1"/>
    <x v="1"/>
    <n v="0"/>
    <n v="0"/>
    <n v="0"/>
    <x v="0"/>
    <x v="0"/>
    <n v="0"/>
  </r>
  <r>
    <n v="745896000000000"/>
    <x v="1"/>
    <x v="7"/>
    <x v="3"/>
    <s v="SOLON BORGES"/>
    <d v="2016-05-20T00:00:00"/>
    <d v="2016-05-20T00:00:00"/>
    <x v="0"/>
    <x v="94"/>
    <x v="5"/>
    <n v="0"/>
    <x v="1"/>
    <n v="0"/>
    <n v="0"/>
    <n v="0"/>
    <x v="1"/>
    <x v="0"/>
    <n v="0"/>
  </r>
  <r>
    <n v="2499370000000"/>
    <x v="0"/>
    <x v="61"/>
    <x v="1"/>
    <s v="ILHA DO PRINCIPE"/>
    <d v="2016-05-20T00:00:00"/>
    <d v="2016-05-20T00:00:00"/>
    <x v="0"/>
    <x v="94"/>
    <x v="5"/>
    <n v="1"/>
    <x v="1"/>
    <n v="0"/>
    <n v="0"/>
    <n v="0"/>
    <x v="1"/>
    <x v="0"/>
    <n v="0"/>
  </r>
  <r>
    <n v="2616570000000"/>
    <x v="0"/>
    <x v="33"/>
    <x v="4"/>
    <s v="FORTE SAO JOAO"/>
    <d v="2016-05-20T00:00:00"/>
    <d v="2016-06-02T00:00:00"/>
    <x v="3"/>
    <x v="82"/>
    <x v="2"/>
    <n v="0"/>
    <x v="1"/>
    <n v="0"/>
    <n v="0"/>
    <n v="0"/>
    <x v="0"/>
    <x v="0"/>
    <n v="0"/>
  </r>
  <r>
    <n v="438826000000000"/>
    <x v="1"/>
    <x v="62"/>
    <x v="3"/>
    <s v="CARATOIRA"/>
    <d v="2016-05-20T00:00:00"/>
    <d v="2016-05-25T00:00:00"/>
    <x v="1"/>
    <x v="92"/>
    <x v="3"/>
    <n v="0"/>
    <x v="1"/>
    <n v="1"/>
    <n v="0"/>
    <n v="0"/>
    <x v="0"/>
    <x v="0"/>
    <n v="0"/>
  </r>
  <r>
    <n v="262296000000"/>
    <x v="0"/>
    <x v="44"/>
    <x v="4"/>
    <s v="JARDIM CAMBURI"/>
    <d v="2016-05-20T00:00:00"/>
    <d v="2016-05-30T00:00:00"/>
    <x v="2"/>
    <x v="83"/>
    <x v="2"/>
    <n v="0"/>
    <x v="1"/>
    <n v="0"/>
    <n v="0"/>
    <n v="0"/>
    <x v="0"/>
    <x v="0"/>
    <n v="0"/>
  </r>
  <r>
    <n v="33222557638"/>
    <x v="1"/>
    <x v="64"/>
    <x v="3"/>
    <s v="SANTO ANTONIO"/>
    <d v="2016-05-20T00:00:00"/>
    <d v="2016-06-08T00:00:00"/>
    <x v="1"/>
    <x v="77"/>
    <x v="1"/>
    <n v="0"/>
    <x v="1"/>
    <n v="1"/>
    <n v="0"/>
    <n v="0"/>
    <x v="1"/>
    <x v="0"/>
    <n v="0"/>
  </r>
  <r>
    <n v="5778430000000"/>
    <x v="0"/>
    <x v="45"/>
    <x v="1"/>
    <s v="JARDIM DA PENHA"/>
    <d v="2016-05-20T00:00:00"/>
    <d v="2016-06-06T00:00:00"/>
    <x v="2"/>
    <x v="75"/>
    <x v="1"/>
    <n v="1"/>
    <x v="0"/>
    <n v="1"/>
    <n v="0"/>
    <n v="0"/>
    <x v="1"/>
    <x v="0"/>
    <n v="0"/>
  </r>
  <r>
    <n v="57744000000000"/>
    <x v="1"/>
    <x v="84"/>
    <x v="1"/>
    <s v="SAO PEDRO"/>
    <d v="2016-05-20T00:00:00"/>
    <d v="2016-05-20T00:00:00"/>
    <x v="0"/>
    <x v="94"/>
    <x v="5"/>
    <n v="0"/>
    <x v="0"/>
    <n v="0"/>
    <n v="1"/>
    <n v="0"/>
    <x v="1"/>
    <x v="0"/>
    <n v="0"/>
  </r>
  <r>
    <n v="89952300000000"/>
    <x v="0"/>
    <x v="75"/>
    <x v="5"/>
    <s v="JESUS DE NAZARETH"/>
    <d v="2016-05-20T00:00:00"/>
    <d v="2016-06-03T00:00:00"/>
    <x v="0"/>
    <x v="80"/>
    <x v="2"/>
    <n v="0"/>
    <x v="1"/>
    <n v="0"/>
    <n v="0"/>
    <n v="0"/>
    <x v="1"/>
    <x v="0"/>
    <n v="0"/>
  </r>
  <r>
    <n v="69542775145"/>
    <x v="0"/>
    <x v="44"/>
    <x v="4"/>
    <s v="PRAIA DO SUA"/>
    <d v="2016-05-20T00:00:00"/>
    <d v="2016-05-24T00:00:00"/>
    <x v="4"/>
    <x v="86"/>
    <x v="3"/>
    <n v="0"/>
    <x v="1"/>
    <n v="0"/>
    <n v="0"/>
    <n v="0"/>
    <x v="0"/>
    <x v="1"/>
    <n v="1"/>
  </r>
  <r>
    <n v="914294000000000"/>
    <x v="0"/>
    <x v="32"/>
    <x v="4"/>
    <s v="BOA VISTA"/>
    <d v="2016-05-20T00:00:00"/>
    <d v="2016-06-07T00:00:00"/>
    <x v="4"/>
    <x v="74"/>
    <x v="1"/>
    <n v="0"/>
    <x v="1"/>
    <n v="0"/>
    <n v="0"/>
    <n v="0"/>
    <x v="0"/>
    <x v="1"/>
    <n v="1"/>
  </r>
  <r>
    <n v="13238621341"/>
    <x v="1"/>
    <x v="51"/>
    <x v="2"/>
    <s v="ILHA DE SANTA MARIA"/>
    <d v="2016-05-20T00:00:00"/>
    <d v="2016-06-03T00:00:00"/>
    <x v="0"/>
    <x v="80"/>
    <x v="2"/>
    <n v="0"/>
    <x v="1"/>
    <n v="0"/>
    <n v="0"/>
    <n v="0"/>
    <x v="0"/>
    <x v="0"/>
    <n v="0"/>
  </r>
  <r>
    <n v="81894500000000"/>
    <x v="1"/>
    <x v="33"/>
    <x v="4"/>
    <s v="ROMAO"/>
    <d v="2016-05-20T00:00:00"/>
    <d v="2016-05-20T00:00:00"/>
    <x v="0"/>
    <x v="94"/>
    <x v="5"/>
    <n v="0"/>
    <x v="1"/>
    <n v="0"/>
    <n v="0"/>
    <n v="0"/>
    <x v="1"/>
    <x v="0"/>
    <n v="0"/>
  </r>
  <r>
    <n v="126357000000000"/>
    <x v="0"/>
    <x v="69"/>
    <x v="4"/>
    <s v="ROMAO"/>
    <d v="2016-05-20T00:00:00"/>
    <d v="2016-05-20T00:00:00"/>
    <x v="0"/>
    <x v="94"/>
    <x v="5"/>
    <n v="0"/>
    <x v="1"/>
    <n v="0"/>
    <n v="0"/>
    <n v="0"/>
    <x v="1"/>
    <x v="0"/>
    <n v="0"/>
  </r>
  <r>
    <n v="43432700000000"/>
    <x v="0"/>
    <x v="77"/>
    <x v="4"/>
    <s v="PRAIA DO CANTO"/>
    <d v="2016-05-20T00:00:00"/>
    <d v="2016-06-07T00:00:00"/>
    <x v="4"/>
    <x v="74"/>
    <x v="1"/>
    <n v="0"/>
    <x v="1"/>
    <n v="0"/>
    <n v="0"/>
    <n v="0"/>
    <x v="0"/>
    <x v="0"/>
    <n v="0"/>
  </r>
  <r>
    <n v="29691447659"/>
    <x v="1"/>
    <x v="57"/>
    <x v="2"/>
    <s v="SANTA TEREZA"/>
    <d v="2016-05-20T00:00:00"/>
    <d v="2016-05-20T00:00:00"/>
    <x v="0"/>
    <x v="94"/>
    <x v="5"/>
    <n v="0"/>
    <x v="1"/>
    <n v="0"/>
    <n v="0"/>
    <n v="0"/>
    <x v="1"/>
    <x v="0"/>
    <n v="0"/>
  </r>
  <r>
    <n v="7597190000000"/>
    <x v="0"/>
    <x v="30"/>
    <x v="3"/>
    <s v="SANTOS REIS"/>
    <d v="2016-05-20T00:00:00"/>
    <d v="2016-05-25T00:00:00"/>
    <x v="1"/>
    <x v="92"/>
    <x v="3"/>
    <n v="0"/>
    <x v="0"/>
    <n v="0"/>
    <n v="0"/>
    <n v="0"/>
    <x v="0"/>
    <x v="0"/>
    <n v="0"/>
  </r>
  <r>
    <n v="182914000000"/>
    <x v="0"/>
    <x v="71"/>
    <x v="4"/>
    <s v="RESISTENCIA"/>
    <d v="2016-05-20T00:00:00"/>
    <d v="2016-06-01T00:00:00"/>
    <x v="1"/>
    <x v="84"/>
    <x v="2"/>
    <n v="0"/>
    <x v="1"/>
    <n v="0"/>
    <n v="0"/>
    <n v="0"/>
    <x v="0"/>
    <x v="0"/>
    <n v="0"/>
  </r>
  <r>
    <n v="4342320000000"/>
    <x v="0"/>
    <x v="73"/>
    <x v="4"/>
    <s v="ROMAO"/>
    <d v="2016-05-20T00:00:00"/>
    <d v="2016-06-07T00:00:00"/>
    <x v="4"/>
    <x v="74"/>
    <x v="1"/>
    <n v="0"/>
    <x v="1"/>
    <n v="0"/>
    <n v="0"/>
    <n v="0"/>
    <x v="0"/>
    <x v="0"/>
    <n v="0"/>
  </r>
  <r>
    <n v="986163000000000"/>
    <x v="0"/>
    <x v="45"/>
    <x v="1"/>
    <s v="SANTA MARTHA"/>
    <d v="2016-05-20T00:00:00"/>
    <d v="2016-05-20T00:00:00"/>
    <x v="0"/>
    <x v="94"/>
    <x v="5"/>
    <n v="0"/>
    <x v="1"/>
    <n v="0"/>
    <n v="1"/>
    <n v="0"/>
    <x v="1"/>
    <x v="0"/>
    <n v="0"/>
  </r>
  <r>
    <n v="1841950000000"/>
    <x v="0"/>
    <x v="84"/>
    <x v="1"/>
    <s v="ANDORINHAS"/>
    <d v="2016-05-20T00:00:00"/>
    <d v="2016-05-20T00:00:00"/>
    <x v="0"/>
    <x v="94"/>
    <x v="5"/>
    <n v="0"/>
    <x v="1"/>
    <n v="0"/>
    <n v="1"/>
    <n v="0"/>
    <x v="1"/>
    <x v="0"/>
    <n v="0"/>
  </r>
  <r>
    <n v="63467400000000"/>
    <x v="0"/>
    <x v="90"/>
    <x v="0"/>
    <s v="SANTO ANTONIO"/>
    <d v="2016-05-20T00:00:00"/>
    <d v="2016-05-20T00:00:00"/>
    <x v="0"/>
    <x v="94"/>
    <x v="5"/>
    <n v="0"/>
    <x v="0"/>
    <n v="0"/>
    <n v="0"/>
    <n v="0"/>
    <x v="1"/>
    <x v="0"/>
    <n v="0"/>
  </r>
  <r>
    <n v="9478390000000"/>
    <x v="0"/>
    <x v="34"/>
    <x v="0"/>
    <s v="TABUAZEIRO"/>
    <d v="2016-05-20T00:00:00"/>
    <d v="2016-05-20T00:00:00"/>
    <x v="0"/>
    <x v="94"/>
    <x v="5"/>
    <n v="0"/>
    <x v="0"/>
    <n v="1"/>
    <n v="0"/>
    <n v="0"/>
    <x v="1"/>
    <x v="0"/>
    <n v="0"/>
  </r>
  <r>
    <n v="51635700000000"/>
    <x v="0"/>
    <x v="80"/>
    <x v="2"/>
    <s v="ILHA DE SANTA MARIA"/>
    <d v="2016-05-20T00:00:00"/>
    <d v="2016-05-30T00:00:00"/>
    <x v="2"/>
    <x v="83"/>
    <x v="2"/>
    <n v="0"/>
    <x v="1"/>
    <n v="0"/>
    <n v="0"/>
    <n v="0"/>
    <x v="1"/>
    <x v="0"/>
    <n v="0"/>
  </r>
  <r>
    <n v="3678450000000"/>
    <x v="0"/>
    <x v="45"/>
    <x v="1"/>
    <s v="FORTE SAO JOAO"/>
    <d v="2016-05-20T00:00:00"/>
    <d v="2016-05-20T00:00:00"/>
    <x v="0"/>
    <x v="94"/>
    <x v="5"/>
    <n v="0"/>
    <x v="1"/>
    <n v="0"/>
    <n v="0"/>
    <n v="0"/>
    <x v="1"/>
    <x v="1"/>
    <n v="1"/>
  </r>
  <r>
    <n v="45543400000000"/>
    <x v="0"/>
    <x v="55"/>
    <x v="2"/>
    <s v="FONTE GRANDE"/>
    <d v="2016-05-20T00:00:00"/>
    <d v="2016-05-25T00:00:00"/>
    <x v="1"/>
    <x v="92"/>
    <x v="3"/>
    <n v="0"/>
    <x v="1"/>
    <n v="0"/>
    <n v="0"/>
    <n v="0"/>
    <x v="0"/>
    <x v="0"/>
    <n v="0"/>
  </r>
  <r>
    <n v="8269380000000"/>
    <x v="0"/>
    <x v="79"/>
    <x v="5"/>
    <s v="GURIGICA"/>
    <d v="2016-05-20T00:00:00"/>
    <d v="2016-05-31T00:00:00"/>
    <x v="4"/>
    <x v="81"/>
    <x v="2"/>
    <n v="0"/>
    <x v="1"/>
    <n v="0"/>
    <n v="0"/>
    <n v="0"/>
    <x v="0"/>
    <x v="0"/>
    <n v="0"/>
  </r>
  <r>
    <n v="783154000000000"/>
    <x v="0"/>
    <x v="31"/>
    <x v="1"/>
    <s v="ROMAO"/>
    <d v="2016-05-20T00:00:00"/>
    <d v="2016-06-02T00:00:00"/>
    <x v="3"/>
    <x v="82"/>
    <x v="2"/>
    <n v="0"/>
    <x v="0"/>
    <n v="0"/>
    <n v="0"/>
    <n v="0"/>
    <x v="0"/>
    <x v="1"/>
    <n v="1"/>
  </r>
  <r>
    <n v="172898000000000"/>
    <x v="0"/>
    <x v="30"/>
    <x v="3"/>
    <s v="REDENCAO"/>
    <d v="2016-05-20T00:00:00"/>
    <d v="2016-05-24T00:00:00"/>
    <x v="4"/>
    <x v="86"/>
    <x v="3"/>
    <n v="0"/>
    <x v="1"/>
    <n v="0"/>
    <n v="0"/>
    <n v="0"/>
    <x v="0"/>
    <x v="1"/>
    <n v="1"/>
  </r>
  <r>
    <n v="46687700000000"/>
    <x v="0"/>
    <x v="71"/>
    <x v="4"/>
    <s v="TABUAZEIRO"/>
    <d v="2016-05-20T00:00:00"/>
    <d v="2016-05-20T00:00:00"/>
    <x v="0"/>
    <x v="94"/>
    <x v="5"/>
    <n v="1"/>
    <x v="1"/>
    <n v="0"/>
    <n v="0"/>
    <n v="0"/>
    <x v="1"/>
    <x v="0"/>
    <n v="0"/>
  </r>
  <r>
    <n v="24929900000000"/>
    <x v="0"/>
    <x v="73"/>
    <x v="4"/>
    <s v="SAO JOSE"/>
    <d v="2016-05-20T00:00:00"/>
    <d v="2016-05-20T00:00:00"/>
    <x v="0"/>
    <x v="94"/>
    <x v="5"/>
    <n v="0"/>
    <x v="1"/>
    <n v="0"/>
    <n v="0"/>
    <n v="0"/>
    <x v="1"/>
    <x v="0"/>
    <n v="0"/>
  </r>
  <r>
    <n v="42987400000000"/>
    <x v="0"/>
    <x v="24"/>
    <x v="1"/>
    <s v="MARIA ORTIZ"/>
    <d v="2016-05-20T00:00:00"/>
    <d v="2016-05-20T00:00:00"/>
    <x v="0"/>
    <x v="94"/>
    <x v="5"/>
    <n v="0"/>
    <x v="1"/>
    <n v="0"/>
    <n v="0"/>
    <n v="0"/>
    <x v="1"/>
    <x v="0"/>
    <n v="0"/>
  </r>
  <r>
    <n v="38299200000000"/>
    <x v="1"/>
    <x v="38"/>
    <x v="4"/>
    <s v="INHANGUETA"/>
    <d v="2016-05-20T00:00:00"/>
    <d v="2016-05-20T00:00:00"/>
    <x v="0"/>
    <x v="94"/>
    <x v="5"/>
    <n v="0"/>
    <x v="1"/>
    <n v="0"/>
    <n v="0"/>
    <n v="0"/>
    <x v="1"/>
    <x v="0"/>
    <n v="0"/>
  </r>
  <r>
    <n v="4125800000000"/>
    <x v="0"/>
    <x v="14"/>
    <x v="3"/>
    <s v="JABOUR"/>
    <d v="2016-05-20T00:00:00"/>
    <d v="2016-05-20T00:00:00"/>
    <x v="0"/>
    <x v="94"/>
    <x v="5"/>
    <n v="0"/>
    <x v="1"/>
    <n v="0"/>
    <n v="0"/>
    <n v="0"/>
    <x v="1"/>
    <x v="0"/>
    <n v="0"/>
  </r>
  <r>
    <n v="416756000000000"/>
    <x v="1"/>
    <x v="25"/>
    <x v="4"/>
    <s v="BONFIM"/>
    <d v="2016-05-20T00:00:00"/>
    <d v="2016-05-20T00:00:00"/>
    <x v="0"/>
    <x v="94"/>
    <x v="5"/>
    <n v="0"/>
    <x v="1"/>
    <n v="0"/>
    <n v="0"/>
    <n v="0"/>
    <x v="1"/>
    <x v="1"/>
    <n v="1"/>
  </r>
  <r>
    <n v="14455767152"/>
    <x v="0"/>
    <x v="32"/>
    <x v="4"/>
    <s v="GRANDE VITORIA"/>
    <d v="2016-05-20T00:00:00"/>
    <d v="2016-05-20T00:00:00"/>
    <x v="0"/>
    <x v="94"/>
    <x v="5"/>
    <n v="0"/>
    <x v="1"/>
    <n v="0"/>
    <n v="0"/>
    <n v="0"/>
    <x v="1"/>
    <x v="0"/>
    <n v="0"/>
  </r>
  <r>
    <n v="7785610000000"/>
    <x v="0"/>
    <x v="65"/>
    <x v="2"/>
    <s v="ROMAO"/>
    <d v="2016-05-20T00:00:00"/>
    <d v="2016-06-03T00:00:00"/>
    <x v="0"/>
    <x v="80"/>
    <x v="2"/>
    <n v="0"/>
    <x v="1"/>
    <n v="0"/>
    <n v="0"/>
    <n v="0"/>
    <x v="0"/>
    <x v="0"/>
    <n v="0"/>
  </r>
  <r>
    <n v="717823000000000"/>
    <x v="0"/>
    <x v="56"/>
    <x v="1"/>
    <s v="JOANA D ARC"/>
    <d v="2016-05-20T00:00:00"/>
    <d v="2016-06-06T00:00:00"/>
    <x v="2"/>
    <x v="75"/>
    <x v="1"/>
    <n v="0"/>
    <x v="1"/>
    <n v="0"/>
    <n v="0"/>
    <n v="0"/>
    <x v="0"/>
    <x v="1"/>
    <n v="1"/>
  </r>
  <r>
    <n v="4776300000000"/>
    <x v="1"/>
    <x v="40"/>
    <x v="1"/>
    <s v="JESUS DE NAZARETH"/>
    <d v="2016-05-20T00:00:00"/>
    <d v="2016-06-06T00:00:00"/>
    <x v="2"/>
    <x v="75"/>
    <x v="1"/>
    <n v="0"/>
    <x v="1"/>
    <n v="0"/>
    <n v="0"/>
    <n v="0"/>
    <x v="0"/>
    <x v="0"/>
    <n v="0"/>
  </r>
  <r>
    <n v="83826782553"/>
    <x v="0"/>
    <x v="51"/>
    <x v="2"/>
    <s v="RESISTENCIA"/>
    <d v="2016-05-20T00:00:00"/>
    <d v="2016-05-30T00:00:00"/>
    <x v="2"/>
    <x v="83"/>
    <x v="2"/>
    <n v="0"/>
    <x v="1"/>
    <n v="0"/>
    <n v="0"/>
    <n v="0"/>
    <x v="0"/>
    <x v="1"/>
    <n v="1"/>
  </r>
  <r>
    <n v="18578300000000"/>
    <x v="0"/>
    <x v="89"/>
    <x v="0"/>
    <s v="PRAIA DO CANTO"/>
    <d v="2016-05-20T00:00:00"/>
    <d v="2016-05-20T00:00:00"/>
    <x v="0"/>
    <x v="94"/>
    <x v="5"/>
    <n v="0"/>
    <x v="1"/>
    <n v="0"/>
    <n v="0"/>
    <n v="0"/>
    <x v="1"/>
    <x v="0"/>
    <n v="0"/>
  </r>
  <r>
    <n v="9832660000000"/>
    <x v="1"/>
    <x v="16"/>
    <x v="1"/>
    <s v="BARRO VERMELHO"/>
    <d v="2016-05-20T00:00:00"/>
    <d v="2016-06-08T00:00:00"/>
    <x v="1"/>
    <x v="77"/>
    <x v="1"/>
    <n v="0"/>
    <x v="0"/>
    <n v="0"/>
    <n v="0"/>
    <n v="0"/>
    <x v="0"/>
    <x v="1"/>
    <n v="1"/>
  </r>
  <r>
    <n v="8946820000000"/>
    <x v="0"/>
    <x v="34"/>
    <x v="0"/>
    <s v="SANTO ANTONIO"/>
    <d v="2016-05-20T00:00:00"/>
    <d v="2016-05-20T00:00:00"/>
    <x v="0"/>
    <x v="94"/>
    <x v="5"/>
    <n v="0"/>
    <x v="0"/>
    <n v="0"/>
    <n v="0"/>
    <n v="0"/>
    <x v="1"/>
    <x v="0"/>
    <n v="0"/>
  </r>
  <r>
    <n v="45894600000000"/>
    <x v="0"/>
    <x v="44"/>
    <x v="4"/>
    <s v="ROMAO"/>
    <d v="2016-05-20T00:00:00"/>
    <d v="2016-06-03T00:00:00"/>
    <x v="0"/>
    <x v="80"/>
    <x v="2"/>
    <n v="0"/>
    <x v="1"/>
    <n v="0"/>
    <n v="0"/>
    <n v="0"/>
    <x v="0"/>
    <x v="1"/>
    <n v="1"/>
  </r>
  <r>
    <n v="2127620000000"/>
    <x v="1"/>
    <x v="23"/>
    <x v="3"/>
    <s v="GURIGICA"/>
    <d v="2016-05-20T00:00:00"/>
    <d v="2016-05-20T00:00:00"/>
    <x v="0"/>
    <x v="94"/>
    <x v="5"/>
    <n v="0"/>
    <x v="1"/>
    <n v="0"/>
    <n v="0"/>
    <n v="0"/>
    <x v="1"/>
    <x v="0"/>
    <n v="0"/>
  </r>
  <r>
    <n v="749699000000000"/>
    <x v="0"/>
    <x v="34"/>
    <x v="0"/>
    <s v="BONFIM"/>
    <d v="2016-05-20T00:00:00"/>
    <d v="2016-05-25T00:00:00"/>
    <x v="1"/>
    <x v="92"/>
    <x v="3"/>
    <n v="0"/>
    <x v="0"/>
    <n v="0"/>
    <n v="0"/>
    <n v="0"/>
    <x v="0"/>
    <x v="0"/>
    <n v="0"/>
  </r>
  <r>
    <n v="476636000000"/>
    <x v="1"/>
    <x v="32"/>
    <x v="4"/>
    <s v="ILHA DAS CAIEIRAS"/>
    <d v="2016-05-20T00:00:00"/>
    <d v="2016-05-20T00:00:00"/>
    <x v="0"/>
    <x v="94"/>
    <x v="5"/>
    <n v="0"/>
    <x v="1"/>
    <n v="0"/>
    <n v="0"/>
    <n v="0"/>
    <x v="1"/>
    <x v="0"/>
    <n v="0"/>
  </r>
  <r>
    <n v="2271580000000"/>
    <x v="1"/>
    <x v="30"/>
    <x v="3"/>
    <s v="ILHA DE SANTA MARIA"/>
    <d v="2016-05-20T00:00:00"/>
    <d v="2016-05-24T00:00:00"/>
    <x v="4"/>
    <x v="86"/>
    <x v="3"/>
    <n v="0"/>
    <x v="1"/>
    <n v="0"/>
    <n v="0"/>
    <n v="0"/>
    <x v="1"/>
    <x v="1"/>
    <n v="1"/>
  </r>
  <r>
    <n v="9458650000000"/>
    <x v="0"/>
    <x v="36"/>
    <x v="3"/>
    <s v="PRAIA DO SUA"/>
    <d v="2016-05-20T00:00:00"/>
    <d v="2016-05-24T00:00:00"/>
    <x v="4"/>
    <x v="86"/>
    <x v="3"/>
    <n v="0"/>
    <x v="0"/>
    <n v="0"/>
    <n v="1"/>
    <n v="0"/>
    <x v="0"/>
    <x v="0"/>
    <n v="0"/>
  </r>
  <r>
    <n v="4399370000000"/>
    <x v="1"/>
    <x v="55"/>
    <x v="2"/>
    <s v="RESISTENCIA"/>
    <d v="2016-05-20T00:00:00"/>
    <d v="2016-06-07T00:00:00"/>
    <x v="4"/>
    <x v="74"/>
    <x v="1"/>
    <n v="1"/>
    <x v="1"/>
    <n v="0"/>
    <n v="0"/>
    <n v="0"/>
    <x v="0"/>
    <x v="0"/>
    <n v="0"/>
  </r>
  <r>
    <n v="319172000000000"/>
    <x v="0"/>
    <x v="63"/>
    <x v="0"/>
    <s v="JARDIM CAMBURI"/>
    <d v="2016-05-20T00:00:00"/>
    <d v="2016-05-31T00:00:00"/>
    <x v="4"/>
    <x v="81"/>
    <x v="2"/>
    <n v="0"/>
    <x v="1"/>
    <n v="0"/>
    <n v="0"/>
    <n v="0"/>
    <x v="0"/>
    <x v="1"/>
    <n v="1"/>
  </r>
  <r>
    <n v="45458500000000"/>
    <x v="1"/>
    <x v="31"/>
    <x v="1"/>
    <s v="ANDORINHAS"/>
    <d v="2016-05-20T00:00:00"/>
    <d v="2016-06-03T00:00:00"/>
    <x v="0"/>
    <x v="80"/>
    <x v="2"/>
    <n v="0"/>
    <x v="1"/>
    <n v="0"/>
    <n v="0"/>
    <n v="0"/>
    <x v="1"/>
    <x v="0"/>
    <n v="0"/>
  </r>
  <r>
    <n v="72476900000000"/>
    <x v="0"/>
    <x v="3"/>
    <x v="0"/>
    <s v="JARDIM DA PENHA"/>
    <d v="2016-05-20T00:00:00"/>
    <d v="2016-06-07T00:00:00"/>
    <x v="4"/>
    <x v="74"/>
    <x v="1"/>
    <n v="0"/>
    <x v="0"/>
    <n v="1"/>
    <n v="0"/>
    <n v="1"/>
    <x v="0"/>
    <x v="0"/>
    <n v="0"/>
  </r>
  <r>
    <n v="26687900000000"/>
    <x v="0"/>
    <x v="62"/>
    <x v="3"/>
    <s v="CONSOLACAO"/>
    <d v="2016-05-20T00:00:00"/>
    <d v="2016-05-25T00:00:00"/>
    <x v="1"/>
    <x v="92"/>
    <x v="3"/>
    <n v="0"/>
    <x v="1"/>
    <n v="0"/>
    <n v="0"/>
    <n v="0"/>
    <x v="0"/>
    <x v="0"/>
    <n v="0"/>
  </r>
  <r>
    <n v="496154000000"/>
    <x v="0"/>
    <x v="48"/>
    <x v="3"/>
    <s v="JARDIM CAMBURI"/>
    <d v="2016-05-20T00:00:00"/>
    <d v="2016-05-20T00:00:00"/>
    <x v="0"/>
    <x v="94"/>
    <x v="5"/>
    <n v="0"/>
    <x v="1"/>
    <n v="0"/>
    <n v="0"/>
    <n v="0"/>
    <x v="1"/>
    <x v="0"/>
    <n v="0"/>
  </r>
  <r>
    <n v="81362200000000"/>
    <x v="1"/>
    <x v="54"/>
    <x v="1"/>
    <s v="ANDORINHAS"/>
    <d v="2016-05-20T00:00:00"/>
    <d v="2016-05-20T00:00:00"/>
    <x v="0"/>
    <x v="94"/>
    <x v="5"/>
    <n v="0"/>
    <x v="0"/>
    <n v="1"/>
    <n v="0"/>
    <n v="0"/>
    <x v="1"/>
    <x v="0"/>
    <n v="0"/>
  </r>
  <r>
    <n v="6737450000000"/>
    <x v="0"/>
    <x v="79"/>
    <x v="5"/>
    <s v="ILHA DO PRINCIPE"/>
    <d v="2016-05-20T00:00:00"/>
    <d v="2016-06-01T00:00:00"/>
    <x v="1"/>
    <x v="84"/>
    <x v="2"/>
    <n v="1"/>
    <x v="1"/>
    <n v="0"/>
    <n v="0"/>
    <n v="0"/>
    <x v="1"/>
    <x v="0"/>
    <n v="0"/>
  </r>
  <r>
    <n v="446715000000000"/>
    <x v="0"/>
    <x v="33"/>
    <x v="4"/>
    <s v="TABUAZEIRO"/>
    <d v="2016-05-20T00:00:00"/>
    <d v="2016-05-25T00:00:00"/>
    <x v="1"/>
    <x v="92"/>
    <x v="3"/>
    <n v="0"/>
    <x v="1"/>
    <n v="0"/>
    <n v="0"/>
    <n v="0"/>
    <x v="0"/>
    <x v="0"/>
    <n v="0"/>
  </r>
  <r>
    <n v="44932124486"/>
    <x v="0"/>
    <x v="30"/>
    <x v="3"/>
    <s v="ENSEADA DO SUA"/>
    <d v="2016-05-20T00:00:00"/>
    <d v="2016-05-25T00:00:00"/>
    <x v="1"/>
    <x v="92"/>
    <x v="3"/>
    <n v="1"/>
    <x v="1"/>
    <n v="0"/>
    <n v="0"/>
    <n v="0"/>
    <x v="0"/>
    <x v="0"/>
    <n v="0"/>
  </r>
  <r>
    <n v="4497415116"/>
    <x v="0"/>
    <x v="19"/>
    <x v="2"/>
    <s v="BELA VISTA"/>
    <d v="2016-05-20T00:00:00"/>
    <d v="2016-06-03T00:00:00"/>
    <x v="0"/>
    <x v="80"/>
    <x v="2"/>
    <n v="0"/>
    <x v="1"/>
    <n v="0"/>
    <n v="0"/>
    <n v="0"/>
    <x v="1"/>
    <x v="1"/>
    <n v="1"/>
  </r>
  <r>
    <n v="29888700000000"/>
    <x v="0"/>
    <x v="89"/>
    <x v="0"/>
    <s v="SAO CRISTOVAO"/>
    <d v="2016-05-20T00:00:00"/>
    <d v="2016-05-20T00:00:00"/>
    <x v="0"/>
    <x v="94"/>
    <x v="5"/>
    <n v="0"/>
    <x v="0"/>
    <n v="0"/>
    <n v="0"/>
    <n v="0"/>
    <x v="1"/>
    <x v="0"/>
    <n v="0"/>
  </r>
  <r>
    <n v="825312000000000"/>
    <x v="1"/>
    <x v="66"/>
    <x v="2"/>
    <s v="COMDUSA"/>
    <d v="2016-05-20T00:00:00"/>
    <d v="2016-05-20T00:00:00"/>
    <x v="0"/>
    <x v="94"/>
    <x v="5"/>
    <n v="0"/>
    <x v="1"/>
    <n v="0"/>
    <n v="0"/>
    <n v="0"/>
    <x v="1"/>
    <x v="0"/>
    <n v="0"/>
  </r>
  <r>
    <n v="266762000000000"/>
    <x v="1"/>
    <x v="51"/>
    <x v="2"/>
    <s v="MARIA ORTIZ"/>
    <d v="2016-05-20T00:00:00"/>
    <d v="2016-05-20T00:00:00"/>
    <x v="0"/>
    <x v="94"/>
    <x v="5"/>
    <n v="0"/>
    <x v="1"/>
    <n v="0"/>
    <n v="0"/>
    <n v="0"/>
    <x v="1"/>
    <x v="0"/>
    <n v="0"/>
  </r>
  <r>
    <n v="726338000000000"/>
    <x v="0"/>
    <x v="30"/>
    <x v="3"/>
    <s v="CENTRO"/>
    <d v="2016-05-20T00:00:00"/>
    <d v="2016-05-24T00:00:00"/>
    <x v="4"/>
    <x v="86"/>
    <x v="3"/>
    <n v="0"/>
    <x v="1"/>
    <n v="0"/>
    <n v="0"/>
    <n v="0"/>
    <x v="1"/>
    <x v="0"/>
    <n v="0"/>
  </r>
  <r>
    <n v="95982400000000"/>
    <x v="0"/>
    <x v="21"/>
    <x v="1"/>
    <s v="SOLON BORGES"/>
    <d v="2016-05-20T00:00:00"/>
    <d v="2016-05-20T00:00:00"/>
    <x v="0"/>
    <x v="94"/>
    <x v="5"/>
    <n v="0"/>
    <x v="1"/>
    <n v="0"/>
    <n v="0"/>
    <n v="0"/>
    <x v="1"/>
    <x v="0"/>
    <n v="0"/>
  </r>
  <r>
    <n v="22579400000000"/>
    <x v="1"/>
    <x v="67"/>
    <x v="4"/>
    <s v="SANTA TEREZA"/>
    <d v="2016-05-20T00:00:00"/>
    <d v="2016-05-20T00:00:00"/>
    <x v="0"/>
    <x v="94"/>
    <x v="5"/>
    <n v="1"/>
    <x v="1"/>
    <n v="0"/>
    <n v="0"/>
    <n v="1"/>
    <x v="1"/>
    <x v="0"/>
    <n v="0"/>
  </r>
  <r>
    <n v="7648190000000"/>
    <x v="1"/>
    <x v="46"/>
    <x v="2"/>
    <s v="JABOUR"/>
    <d v="2016-05-20T00:00:00"/>
    <d v="2016-05-20T00:00:00"/>
    <x v="0"/>
    <x v="94"/>
    <x v="5"/>
    <n v="0"/>
    <x v="1"/>
    <n v="0"/>
    <n v="0"/>
    <n v="0"/>
    <x v="1"/>
    <x v="0"/>
    <n v="0"/>
  </r>
  <r>
    <n v="6111120000000"/>
    <x v="0"/>
    <x v="54"/>
    <x v="1"/>
    <s v="MARUIPE"/>
    <d v="2016-05-20T00:00:00"/>
    <d v="2016-06-03T00:00:00"/>
    <x v="0"/>
    <x v="80"/>
    <x v="2"/>
    <n v="0"/>
    <x v="0"/>
    <n v="0"/>
    <n v="0"/>
    <n v="0"/>
    <x v="0"/>
    <x v="1"/>
    <n v="1"/>
  </r>
  <r>
    <n v="26886100000000"/>
    <x v="1"/>
    <x v="28"/>
    <x v="3"/>
    <s v="SANTA MARTHA"/>
    <d v="2016-05-20T00:00:00"/>
    <d v="2016-05-20T00:00:00"/>
    <x v="0"/>
    <x v="94"/>
    <x v="5"/>
    <n v="0"/>
    <x v="1"/>
    <n v="0"/>
    <n v="1"/>
    <n v="0"/>
    <x v="1"/>
    <x v="0"/>
    <n v="0"/>
  </r>
  <r>
    <n v="47276200000000"/>
    <x v="1"/>
    <x v="15"/>
    <x v="3"/>
    <s v="SAO JOSE"/>
    <d v="2016-05-20T00:00:00"/>
    <d v="2016-05-30T00:00:00"/>
    <x v="2"/>
    <x v="83"/>
    <x v="2"/>
    <n v="0"/>
    <x v="1"/>
    <n v="0"/>
    <n v="0"/>
    <n v="0"/>
    <x v="0"/>
    <x v="0"/>
    <n v="0"/>
  </r>
  <r>
    <n v="45671600000000"/>
    <x v="0"/>
    <x v="73"/>
    <x v="4"/>
    <s v="TABUAZEIRO"/>
    <d v="2016-05-20T00:00:00"/>
    <d v="2016-05-20T00:00:00"/>
    <x v="0"/>
    <x v="94"/>
    <x v="5"/>
    <n v="0"/>
    <x v="1"/>
    <n v="0"/>
    <n v="0"/>
    <n v="0"/>
    <x v="1"/>
    <x v="0"/>
    <n v="0"/>
  </r>
  <r>
    <n v="3644480000000"/>
    <x v="0"/>
    <x v="32"/>
    <x v="4"/>
    <s v="NOVA PALESTINA"/>
    <d v="2016-05-20T00:00:00"/>
    <d v="2016-05-31T00:00:00"/>
    <x v="4"/>
    <x v="81"/>
    <x v="2"/>
    <n v="0"/>
    <x v="1"/>
    <n v="0"/>
    <n v="0"/>
    <n v="0"/>
    <x v="0"/>
    <x v="0"/>
    <n v="0"/>
  </r>
  <r>
    <n v="55422500000000"/>
    <x v="0"/>
    <x v="30"/>
    <x v="3"/>
    <s v="SOLON BORGES"/>
    <d v="2016-05-20T00:00:00"/>
    <d v="2016-05-20T00:00:00"/>
    <x v="0"/>
    <x v="94"/>
    <x v="5"/>
    <n v="0"/>
    <x v="1"/>
    <n v="0"/>
    <n v="0"/>
    <n v="0"/>
    <x v="1"/>
    <x v="0"/>
    <n v="0"/>
  </r>
  <r>
    <n v="532124000000"/>
    <x v="0"/>
    <x v="83"/>
    <x v="0"/>
    <s v="RESISTENCIA"/>
    <d v="2016-05-20T00:00:00"/>
    <d v="2016-06-07T00:00:00"/>
    <x v="4"/>
    <x v="74"/>
    <x v="1"/>
    <n v="0"/>
    <x v="0"/>
    <n v="0"/>
    <n v="0"/>
    <n v="0"/>
    <x v="0"/>
    <x v="0"/>
    <n v="0"/>
  </r>
  <r>
    <n v="3895230000000"/>
    <x v="0"/>
    <x v="2"/>
    <x v="1"/>
    <s v="JARDIM CAMBURI"/>
    <d v="2016-05-20T00:00:00"/>
    <d v="2016-05-24T00:00:00"/>
    <x v="4"/>
    <x v="86"/>
    <x v="3"/>
    <n v="0"/>
    <x v="1"/>
    <n v="0"/>
    <n v="0"/>
    <n v="0"/>
    <x v="0"/>
    <x v="1"/>
    <n v="1"/>
  </r>
  <r>
    <n v="61321276427"/>
    <x v="1"/>
    <x v="19"/>
    <x v="2"/>
    <s v="ILHA DAS CAIEIRAS"/>
    <d v="2016-05-20T00:00:00"/>
    <d v="2016-05-20T00:00:00"/>
    <x v="0"/>
    <x v="94"/>
    <x v="5"/>
    <n v="0"/>
    <x v="1"/>
    <n v="0"/>
    <n v="0"/>
    <n v="0"/>
    <x v="1"/>
    <x v="0"/>
    <n v="0"/>
  </r>
  <r>
    <n v="17646700000000"/>
    <x v="0"/>
    <x v="78"/>
    <x v="0"/>
    <s v="FONTE GRANDE"/>
    <d v="2016-05-20T00:00:00"/>
    <d v="2016-06-02T00:00:00"/>
    <x v="3"/>
    <x v="82"/>
    <x v="2"/>
    <n v="0"/>
    <x v="0"/>
    <n v="1"/>
    <n v="0"/>
    <n v="0"/>
    <x v="0"/>
    <x v="0"/>
    <n v="0"/>
  </r>
  <r>
    <n v="762754000000000"/>
    <x v="1"/>
    <x v="36"/>
    <x v="3"/>
    <s v="JARDIM CAMBURI"/>
    <d v="2016-05-20T00:00:00"/>
    <d v="2016-05-20T00:00:00"/>
    <x v="0"/>
    <x v="94"/>
    <x v="5"/>
    <n v="0"/>
    <x v="1"/>
    <n v="0"/>
    <n v="0"/>
    <n v="0"/>
    <x v="1"/>
    <x v="0"/>
    <n v="0"/>
  </r>
  <r>
    <n v="537997000000"/>
    <x v="1"/>
    <x v="21"/>
    <x v="1"/>
    <s v="ANDORINHAS"/>
    <d v="2016-05-20T00:00:00"/>
    <d v="2016-05-20T00:00:00"/>
    <x v="0"/>
    <x v="94"/>
    <x v="5"/>
    <n v="0"/>
    <x v="1"/>
    <n v="0"/>
    <n v="0"/>
    <n v="0"/>
    <x v="1"/>
    <x v="0"/>
    <n v="0"/>
  </r>
  <r>
    <n v="426486000000"/>
    <x v="0"/>
    <x v="68"/>
    <x v="4"/>
    <s v="ITARARE"/>
    <d v="2016-05-20T00:00:00"/>
    <d v="2016-06-06T00:00:00"/>
    <x v="2"/>
    <x v="75"/>
    <x v="1"/>
    <n v="0"/>
    <x v="1"/>
    <n v="0"/>
    <n v="0"/>
    <n v="0"/>
    <x v="0"/>
    <x v="1"/>
    <n v="1"/>
  </r>
  <r>
    <n v="99637671331"/>
    <x v="1"/>
    <x v="84"/>
    <x v="1"/>
    <s v="JABOUR"/>
    <d v="2016-05-20T00:00:00"/>
    <d v="2016-05-20T00:00:00"/>
    <x v="0"/>
    <x v="94"/>
    <x v="5"/>
    <n v="0"/>
    <x v="1"/>
    <n v="0"/>
    <n v="0"/>
    <n v="0"/>
    <x v="1"/>
    <x v="0"/>
    <n v="0"/>
  </r>
  <r>
    <n v="61824200000000"/>
    <x v="0"/>
    <x v="76"/>
    <x v="0"/>
    <s v="BENTO FERREIRA"/>
    <d v="2016-05-20T00:00:00"/>
    <d v="2016-06-07T00:00:00"/>
    <x v="4"/>
    <x v="74"/>
    <x v="1"/>
    <n v="0"/>
    <x v="0"/>
    <n v="0"/>
    <n v="0"/>
    <n v="0"/>
    <x v="0"/>
    <x v="0"/>
    <n v="0"/>
  </r>
  <r>
    <n v="97756900000000"/>
    <x v="0"/>
    <x v="52"/>
    <x v="2"/>
    <s v="JARDIM DA PENHA"/>
    <d v="2016-05-20T00:00:00"/>
    <d v="2016-05-20T00:00:00"/>
    <x v="0"/>
    <x v="94"/>
    <x v="5"/>
    <n v="0"/>
    <x v="1"/>
    <n v="0"/>
    <n v="0"/>
    <n v="0"/>
    <x v="1"/>
    <x v="0"/>
    <n v="0"/>
  </r>
  <r>
    <n v="749653000000000"/>
    <x v="0"/>
    <x v="42"/>
    <x v="3"/>
    <s v="SANTOS DUMONT"/>
    <d v="2016-05-20T00:00:00"/>
    <d v="2016-05-25T00:00:00"/>
    <x v="1"/>
    <x v="92"/>
    <x v="3"/>
    <n v="0"/>
    <x v="0"/>
    <n v="0"/>
    <n v="0"/>
    <n v="0"/>
    <x v="1"/>
    <x v="1"/>
    <n v="1"/>
  </r>
  <r>
    <n v="7722990000000"/>
    <x v="0"/>
    <x v="62"/>
    <x v="3"/>
    <s v="SANTOS DUMONT"/>
    <d v="2016-05-20T00:00:00"/>
    <d v="2016-05-25T00:00:00"/>
    <x v="1"/>
    <x v="92"/>
    <x v="3"/>
    <n v="0"/>
    <x v="1"/>
    <n v="1"/>
    <n v="0"/>
    <n v="0"/>
    <x v="0"/>
    <x v="1"/>
    <n v="1"/>
  </r>
  <r>
    <n v="374131000000000"/>
    <x v="0"/>
    <x v="9"/>
    <x v="0"/>
    <s v="BOA VISTA"/>
    <d v="2016-05-20T00:00:00"/>
    <d v="2016-06-02T00:00:00"/>
    <x v="3"/>
    <x v="82"/>
    <x v="2"/>
    <n v="0"/>
    <x v="1"/>
    <n v="0"/>
    <n v="0"/>
    <n v="0"/>
    <x v="0"/>
    <x v="0"/>
    <n v="0"/>
  </r>
  <r>
    <n v="22361900000000"/>
    <x v="0"/>
    <x v="37"/>
    <x v="3"/>
    <s v="PRAIA DO CANTO"/>
    <d v="2016-05-20T00:00:00"/>
    <d v="2016-05-20T00:00:00"/>
    <x v="0"/>
    <x v="94"/>
    <x v="5"/>
    <n v="0"/>
    <x v="1"/>
    <n v="0"/>
    <n v="0"/>
    <n v="0"/>
    <x v="1"/>
    <x v="0"/>
    <n v="0"/>
  </r>
  <r>
    <n v="31225800000000"/>
    <x v="0"/>
    <x v="50"/>
    <x v="1"/>
    <s v="SAO PEDRO"/>
    <d v="2016-05-20T00:00:00"/>
    <d v="2016-05-20T00:00:00"/>
    <x v="0"/>
    <x v="94"/>
    <x v="5"/>
    <n v="0"/>
    <x v="1"/>
    <n v="0"/>
    <n v="0"/>
    <n v="0"/>
    <x v="1"/>
    <x v="0"/>
    <n v="0"/>
  </r>
  <r>
    <n v="434798000000"/>
    <x v="0"/>
    <x v="0"/>
    <x v="0"/>
    <s v="PRAIA DO SUA"/>
    <d v="2016-05-20T00:00:00"/>
    <d v="2016-06-08T00:00:00"/>
    <x v="1"/>
    <x v="77"/>
    <x v="1"/>
    <n v="0"/>
    <x v="0"/>
    <n v="0"/>
    <n v="0"/>
    <n v="0"/>
    <x v="0"/>
    <x v="0"/>
    <n v="0"/>
  </r>
  <r>
    <n v="66736600000000"/>
    <x v="0"/>
    <x v="74"/>
    <x v="1"/>
    <s v="SANTO ANTONIO"/>
    <d v="2016-05-20T00:00:00"/>
    <d v="2016-05-20T00:00:00"/>
    <x v="0"/>
    <x v="94"/>
    <x v="5"/>
    <n v="0"/>
    <x v="1"/>
    <n v="0"/>
    <n v="0"/>
    <n v="1"/>
    <x v="1"/>
    <x v="0"/>
    <n v="0"/>
  </r>
  <r>
    <n v="45756900000000"/>
    <x v="0"/>
    <x v="44"/>
    <x v="4"/>
    <s v="MARIA ORTIZ"/>
    <d v="2016-05-20T00:00:00"/>
    <d v="2016-05-20T00:00:00"/>
    <x v="0"/>
    <x v="94"/>
    <x v="5"/>
    <n v="0"/>
    <x v="1"/>
    <n v="0"/>
    <n v="0"/>
    <n v="0"/>
    <x v="1"/>
    <x v="0"/>
    <n v="0"/>
  </r>
  <r>
    <n v="31826700000000"/>
    <x v="1"/>
    <x v="59"/>
    <x v="2"/>
    <s v="SAO JOSE"/>
    <d v="2016-05-20T00:00:00"/>
    <d v="2016-05-30T00:00:00"/>
    <x v="2"/>
    <x v="83"/>
    <x v="2"/>
    <n v="0"/>
    <x v="1"/>
    <n v="0"/>
    <n v="0"/>
    <n v="0"/>
    <x v="1"/>
    <x v="1"/>
    <n v="1"/>
  </r>
  <r>
    <n v="671585000000000"/>
    <x v="1"/>
    <x v="60"/>
    <x v="2"/>
    <s v="ANDORINHAS"/>
    <d v="2016-05-20T00:00:00"/>
    <d v="2016-05-25T00:00:00"/>
    <x v="1"/>
    <x v="92"/>
    <x v="3"/>
    <n v="0"/>
    <x v="1"/>
    <n v="0"/>
    <n v="0"/>
    <n v="0"/>
    <x v="0"/>
    <x v="1"/>
    <n v="1"/>
  </r>
  <r>
    <n v="44945500000000"/>
    <x v="1"/>
    <x v="32"/>
    <x v="4"/>
    <s v="CONQUISTA"/>
    <d v="2016-05-20T00:00:00"/>
    <d v="2016-05-20T00:00:00"/>
    <x v="0"/>
    <x v="94"/>
    <x v="5"/>
    <n v="0"/>
    <x v="1"/>
    <n v="0"/>
    <n v="0"/>
    <n v="0"/>
    <x v="1"/>
    <x v="0"/>
    <n v="0"/>
  </r>
  <r>
    <n v="62199700000000"/>
    <x v="0"/>
    <x v="41"/>
    <x v="4"/>
    <s v="SANTOS DUMONT"/>
    <d v="2016-05-20T00:00:00"/>
    <d v="2016-05-20T00:00:00"/>
    <x v="0"/>
    <x v="94"/>
    <x v="5"/>
    <n v="0"/>
    <x v="1"/>
    <n v="0"/>
    <n v="0"/>
    <n v="0"/>
    <x v="1"/>
    <x v="0"/>
    <n v="0"/>
  </r>
  <r>
    <n v="9775690000000"/>
    <x v="0"/>
    <x v="24"/>
    <x v="1"/>
    <s v="RESISTENCIA"/>
    <d v="2016-05-20T00:00:00"/>
    <d v="2016-06-01T00:00:00"/>
    <x v="1"/>
    <x v="84"/>
    <x v="2"/>
    <n v="0"/>
    <x v="0"/>
    <n v="0"/>
    <n v="0"/>
    <n v="0"/>
    <x v="0"/>
    <x v="0"/>
    <n v="0"/>
  </r>
  <r>
    <n v="25114300000000"/>
    <x v="0"/>
    <x v="38"/>
    <x v="4"/>
    <s v="DO QUADRO"/>
    <d v="2016-05-20T00:00:00"/>
    <d v="2016-06-07T00:00:00"/>
    <x v="4"/>
    <x v="74"/>
    <x v="1"/>
    <n v="0"/>
    <x v="1"/>
    <n v="0"/>
    <n v="0"/>
    <n v="0"/>
    <x v="0"/>
    <x v="0"/>
    <n v="0"/>
  </r>
  <r>
    <n v="71324900000000"/>
    <x v="1"/>
    <x v="15"/>
    <x v="3"/>
    <s v="SANTA LUIZA"/>
    <d v="2016-05-20T00:00:00"/>
    <d v="2016-05-20T00:00:00"/>
    <x v="0"/>
    <x v="94"/>
    <x v="5"/>
    <n v="0"/>
    <x v="1"/>
    <n v="0"/>
    <n v="0"/>
    <n v="0"/>
    <x v="1"/>
    <x v="0"/>
    <n v="0"/>
  </r>
  <r>
    <n v="1775630000000"/>
    <x v="1"/>
    <x v="65"/>
    <x v="2"/>
    <s v="RESISTENCIA"/>
    <d v="2016-05-20T00:00:00"/>
    <d v="2016-05-24T00:00:00"/>
    <x v="4"/>
    <x v="86"/>
    <x v="3"/>
    <n v="0"/>
    <x v="1"/>
    <n v="0"/>
    <n v="0"/>
    <n v="0"/>
    <x v="0"/>
    <x v="0"/>
    <n v="0"/>
  </r>
  <r>
    <n v="6541440000000"/>
    <x v="1"/>
    <x v="46"/>
    <x v="2"/>
    <s v="SAO JOSE"/>
    <d v="2016-05-20T00:00:00"/>
    <d v="2016-06-03T00:00:00"/>
    <x v="0"/>
    <x v="80"/>
    <x v="2"/>
    <n v="0"/>
    <x v="1"/>
    <n v="0"/>
    <n v="0"/>
    <n v="0"/>
    <x v="1"/>
    <x v="0"/>
    <n v="0"/>
  </r>
  <r>
    <n v="73416500000000"/>
    <x v="0"/>
    <x v="18"/>
    <x v="0"/>
    <s v="MARIA ORTIZ"/>
    <d v="2016-05-20T00:00:00"/>
    <d v="2016-05-20T00:00:00"/>
    <x v="0"/>
    <x v="94"/>
    <x v="5"/>
    <n v="0"/>
    <x v="1"/>
    <n v="0"/>
    <n v="0"/>
    <n v="0"/>
    <x v="1"/>
    <x v="0"/>
    <n v="0"/>
  </r>
  <r>
    <n v="364588000000000"/>
    <x v="1"/>
    <x v="12"/>
    <x v="3"/>
    <s v="JOANA D ARC"/>
    <d v="2016-05-20T00:00:00"/>
    <d v="2016-05-20T00:00:00"/>
    <x v="0"/>
    <x v="94"/>
    <x v="5"/>
    <n v="0"/>
    <x v="0"/>
    <n v="0"/>
    <n v="0"/>
    <n v="0"/>
    <x v="1"/>
    <x v="0"/>
    <n v="0"/>
  </r>
  <r>
    <n v="82358700000000"/>
    <x v="1"/>
    <x v="36"/>
    <x v="3"/>
    <s v="ROMAO"/>
    <d v="2016-05-20T00:00:00"/>
    <d v="2016-05-20T00:00:00"/>
    <x v="0"/>
    <x v="94"/>
    <x v="5"/>
    <n v="0"/>
    <x v="0"/>
    <n v="0"/>
    <n v="0"/>
    <n v="0"/>
    <x v="1"/>
    <x v="0"/>
    <n v="0"/>
  </r>
  <r>
    <n v="7783340000000"/>
    <x v="1"/>
    <x v="72"/>
    <x v="5"/>
    <s v="DA PENHA"/>
    <d v="2016-05-20T00:00:00"/>
    <d v="2016-05-20T00:00:00"/>
    <x v="0"/>
    <x v="94"/>
    <x v="5"/>
    <n v="0"/>
    <x v="1"/>
    <n v="0"/>
    <n v="0"/>
    <n v="1"/>
    <x v="1"/>
    <x v="1"/>
    <n v="1"/>
  </r>
  <r>
    <n v="9995990000000"/>
    <x v="1"/>
    <x v="79"/>
    <x v="5"/>
    <s v="SANTA TEREZA"/>
    <d v="2016-05-20T00:00:00"/>
    <d v="2016-05-20T00:00:00"/>
    <x v="0"/>
    <x v="94"/>
    <x v="5"/>
    <n v="0"/>
    <x v="1"/>
    <n v="0"/>
    <n v="0"/>
    <n v="0"/>
    <x v="1"/>
    <x v="1"/>
    <n v="1"/>
  </r>
  <r>
    <n v="846785000000"/>
    <x v="0"/>
    <x v="68"/>
    <x v="4"/>
    <s v="JABOUR"/>
    <d v="2016-05-20T00:00:00"/>
    <d v="2016-05-20T00:00:00"/>
    <x v="0"/>
    <x v="94"/>
    <x v="5"/>
    <n v="1"/>
    <x v="1"/>
    <n v="0"/>
    <n v="0"/>
    <n v="0"/>
    <x v="1"/>
    <x v="1"/>
    <n v="1"/>
  </r>
  <r>
    <n v="992875000000000"/>
    <x v="1"/>
    <x v="57"/>
    <x v="2"/>
    <s v="SAO PEDRO"/>
    <d v="2016-05-20T00:00:00"/>
    <d v="2016-05-20T00:00:00"/>
    <x v="0"/>
    <x v="94"/>
    <x v="5"/>
    <n v="1"/>
    <x v="1"/>
    <n v="0"/>
    <n v="0"/>
    <n v="0"/>
    <x v="1"/>
    <x v="0"/>
    <n v="0"/>
  </r>
  <r>
    <n v="3536170000000"/>
    <x v="0"/>
    <x v="44"/>
    <x v="4"/>
    <s v="RESISTENCIA"/>
    <d v="2016-05-20T00:00:00"/>
    <d v="2016-06-03T00:00:00"/>
    <x v="0"/>
    <x v="80"/>
    <x v="2"/>
    <n v="0"/>
    <x v="1"/>
    <n v="0"/>
    <n v="0"/>
    <n v="0"/>
    <x v="0"/>
    <x v="0"/>
    <n v="0"/>
  </r>
  <r>
    <n v="34812600000000"/>
    <x v="0"/>
    <x v="85"/>
    <x v="0"/>
    <s v="MARIA ORTIZ"/>
    <d v="2016-05-20T00:00:00"/>
    <d v="2016-05-20T00:00:00"/>
    <x v="0"/>
    <x v="94"/>
    <x v="5"/>
    <n v="0"/>
    <x v="1"/>
    <n v="0"/>
    <n v="0"/>
    <n v="0"/>
    <x v="1"/>
    <x v="0"/>
    <n v="0"/>
  </r>
  <r>
    <n v="6825330000000"/>
    <x v="1"/>
    <x v="21"/>
    <x v="1"/>
    <s v="SAO PEDRO"/>
    <d v="2016-05-20T00:00:00"/>
    <d v="2016-05-20T00:00:00"/>
    <x v="0"/>
    <x v="94"/>
    <x v="5"/>
    <n v="0"/>
    <x v="1"/>
    <n v="0"/>
    <n v="1"/>
    <n v="0"/>
    <x v="1"/>
    <x v="1"/>
    <n v="1"/>
  </r>
  <r>
    <n v="224678000000000"/>
    <x v="0"/>
    <x v="52"/>
    <x v="2"/>
    <s v="BELA VISTA"/>
    <d v="2016-05-20T00:00:00"/>
    <d v="2016-05-20T00:00:00"/>
    <x v="0"/>
    <x v="94"/>
    <x v="5"/>
    <n v="0"/>
    <x v="1"/>
    <n v="0"/>
    <n v="0"/>
    <n v="0"/>
    <x v="1"/>
    <x v="0"/>
    <n v="0"/>
  </r>
  <r>
    <n v="471735000000000"/>
    <x v="1"/>
    <x v="9"/>
    <x v="0"/>
    <s v="CENTRO"/>
    <d v="2016-05-20T00:00:00"/>
    <d v="2016-05-25T00:00:00"/>
    <x v="1"/>
    <x v="92"/>
    <x v="3"/>
    <n v="0"/>
    <x v="0"/>
    <n v="1"/>
    <n v="0"/>
    <n v="1"/>
    <x v="0"/>
    <x v="0"/>
    <n v="0"/>
  </r>
  <r>
    <n v="869357000000000"/>
    <x v="1"/>
    <x v="39"/>
    <x v="4"/>
    <s v="RESISTENCIA"/>
    <d v="2016-05-20T00:00:00"/>
    <d v="2016-05-25T00:00:00"/>
    <x v="1"/>
    <x v="92"/>
    <x v="3"/>
    <n v="0"/>
    <x v="1"/>
    <n v="0"/>
    <n v="0"/>
    <n v="0"/>
    <x v="0"/>
    <x v="0"/>
    <n v="0"/>
  </r>
  <r>
    <n v="49144500000000"/>
    <x v="0"/>
    <x v="34"/>
    <x v="0"/>
    <s v="ILHA DE SANTA MARIA"/>
    <d v="2016-05-20T00:00:00"/>
    <d v="2016-05-25T00:00:00"/>
    <x v="1"/>
    <x v="92"/>
    <x v="3"/>
    <n v="0"/>
    <x v="1"/>
    <n v="0"/>
    <n v="0"/>
    <n v="0"/>
    <x v="1"/>
    <x v="1"/>
    <n v="1"/>
  </r>
  <r>
    <n v="5215780000000"/>
    <x v="0"/>
    <x v="8"/>
    <x v="0"/>
    <s v="SOLON BORGES"/>
    <d v="2016-05-20T00:00:00"/>
    <d v="2016-05-20T00:00:00"/>
    <x v="0"/>
    <x v="94"/>
    <x v="5"/>
    <n v="0"/>
    <x v="1"/>
    <n v="0"/>
    <n v="0"/>
    <n v="0"/>
    <x v="1"/>
    <x v="0"/>
    <n v="0"/>
  </r>
  <r>
    <n v="176558000000000"/>
    <x v="1"/>
    <x v="54"/>
    <x v="1"/>
    <s v="FORTE SAO JOAO"/>
    <d v="2016-05-20T00:00:00"/>
    <d v="2016-05-25T00:00:00"/>
    <x v="1"/>
    <x v="92"/>
    <x v="3"/>
    <n v="0"/>
    <x v="1"/>
    <n v="0"/>
    <n v="0"/>
    <n v="0"/>
    <x v="0"/>
    <x v="0"/>
    <n v="0"/>
  </r>
  <r>
    <n v="4866700000000"/>
    <x v="1"/>
    <x v="73"/>
    <x v="4"/>
    <s v="ANDORINHAS"/>
    <d v="2016-05-20T00:00:00"/>
    <d v="2016-05-20T00:00:00"/>
    <x v="0"/>
    <x v="94"/>
    <x v="5"/>
    <n v="0"/>
    <x v="1"/>
    <n v="0"/>
    <n v="0"/>
    <n v="0"/>
    <x v="1"/>
    <x v="0"/>
    <n v="0"/>
  </r>
  <r>
    <n v="5594130000000"/>
    <x v="0"/>
    <x v="75"/>
    <x v="5"/>
    <s v="CENTRO"/>
    <d v="2016-05-20T00:00:00"/>
    <d v="2016-06-03T00:00:00"/>
    <x v="0"/>
    <x v="80"/>
    <x v="2"/>
    <n v="0"/>
    <x v="1"/>
    <n v="0"/>
    <n v="0"/>
    <n v="0"/>
    <x v="0"/>
    <x v="1"/>
    <n v="1"/>
  </r>
  <r>
    <n v="45358700000000"/>
    <x v="0"/>
    <x v="66"/>
    <x v="2"/>
    <s v="SAO PEDRO"/>
    <d v="2016-05-20T00:00:00"/>
    <d v="2016-06-03T00:00:00"/>
    <x v="0"/>
    <x v="80"/>
    <x v="2"/>
    <n v="0"/>
    <x v="1"/>
    <n v="0"/>
    <n v="0"/>
    <n v="0"/>
    <x v="0"/>
    <x v="0"/>
    <n v="0"/>
  </r>
  <r>
    <n v="7254930000000"/>
    <x v="1"/>
    <x v="79"/>
    <x v="5"/>
    <s v="DO QUADRO"/>
    <d v="2016-05-20T00:00:00"/>
    <d v="2016-05-20T00:00:00"/>
    <x v="0"/>
    <x v="94"/>
    <x v="5"/>
    <n v="0"/>
    <x v="1"/>
    <n v="0"/>
    <n v="0"/>
    <n v="0"/>
    <x v="1"/>
    <x v="0"/>
    <n v="0"/>
  </r>
  <r>
    <n v="795449000000000"/>
    <x v="0"/>
    <x v="39"/>
    <x v="4"/>
    <s v="ANDORINHAS"/>
    <d v="2016-05-20T00:00:00"/>
    <d v="2016-05-20T00:00:00"/>
    <x v="0"/>
    <x v="94"/>
    <x v="5"/>
    <n v="0"/>
    <x v="1"/>
    <n v="0"/>
    <n v="0"/>
    <n v="0"/>
    <x v="1"/>
    <x v="0"/>
    <n v="0"/>
  </r>
  <r>
    <n v="18673200000000"/>
    <x v="1"/>
    <x v="79"/>
    <x v="5"/>
    <s v="ROMAO"/>
    <d v="2016-05-20T00:00:00"/>
    <d v="2016-05-25T00:00:00"/>
    <x v="1"/>
    <x v="92"/>
    <x v="3"/>
    <n v="0"/>
    <x v="1"/>
    <n v="0"/>
    <n v="0"/>
    <n v="0"/>
    <x v="0"/>
    <x v="1"/>
    <n v="1"/>
  </r>
  <r>
    <n v="56517600000000"/>
    <x v="1"/>
    <x v="37"/>
    <x v="3"/>
    <s v="MARIA ORTIZ"/>
    <d v="2016-05-20T00:00:00"/>
    <d v="2016-05-20T00:00:00"/>
    <x v="0"/>
    <x v="94"/>
    <x v="5"/>
    <n v="0"/>
    <x v="1"/>
    <n v="0"/>
    <n v="0"/>
    <n v="0"/>
    <x v="1"/>
    <x v="0"/>
    <n v="0"/>
  </r>
  <r>
    <n v="1252560000000"/>
    <x v="1"/>
    <x v="57"/>
    <x v="2"/>
    <s v="CRUZAMENTO"/>
    <d v="2016-05-20T00:00:00"/>
    <d v="2016-06-07T00:00:00"/>
    <x v="4"/>
    <x v="74"/>
    <x v="1"/>
    <n v="0"/>
    <x v="1"/>
    <n v="0"/>
    <n v="0"/>
    <n v="0"/>
    <x v="0"/>
    <x v="1"/>
    <n v="1"/>
  </r>
  <r>
    <n v="38952000000000"/>
    <x v="0"/>
    <x v="10"/>
    <x v="4"/>
    <s v="JESUS DE NAZARETH"/>
    <d v="2016-05-20T00:00:00"/>
    <d v="2016-05-25T00:00:00"/>
    <x v="1"/>
    <x v="92"/>
    <x v="3"/>
    <n v="0"/>
    <x v="1"/>
    <n v="0"/>
    <n v="0"/>
    <n v="0"/>
    <x v="0"/>
    <x v="0"/>
    <n v="0"/>
  </r>
  <r>
    <n v="59659700000000"/>
    <x v="0"/>
    <x v="30"/>
    <x v="3"/>
    <s v="MARIA ORTIZ"/>
    <d v="2016-05-20T00:00:00"/>
    <d v="2016-05-20T00:00:00"/>
    <x v="0"/>
    <x v="94"/>
    <x v="5"/>
    <n v="0"/>
    <x v="0"/>
    <n v="0"/>
    <n v="0"/>
    <n v="0"/>
    <x v="1"/>
    <x v="0"/>
    <n v="0"/>
  </r>
  <r>
    <n v="559570000000000"/>
    <x v="0"/>
    <x v="27"/>
    <x v="3"/>
    <s v="JESUS DE NAZARETH"/>
    <d v="2016-05-20T00:00:00"/>
    <d v="2016-05-25T00:00:00"/>
    <x v="1"/>
    <x v="92"/>
    <x v="3"/>
    <n v="0"/>
    <x v="0"/>
    <n v="0"/>
    <n v="0"/>
    <n v="0"/>
    <x v="0"/>
    <x v="1"/>
    <n v="1"/>
  </r>
  <r>
    <n v="75224000000000"/>
    <x v="0"/>
    <x v="61"/>
    <x v="1"/>
    <s v="JESUS DE NAZARETH"/>
    <d v="2016-05-20T00:00:00"/>
    <d v="2016-05-25T00:00:00"/>
    <x v="1"/>
    <x v="92"/>
    <x v="3"/>
    <n v="1"/>
    <x v="0"/>
    <n v="0"/>
    <n v="0"/>
    <n v="0"/>
    <x v="0"/>
    <x v="0"/>
    <n v="0"/>
  </r>
  <r>
    <n v="8466930000000"/>
    <x v="0"/>
    <x v="32"/>
    <x v="4"/>
    <s v="MATA DA PRAIA"/>
    <d v="2016-05-20T00:00:00"/>
    <d v="2016-05-20T00:00:00"/>
    <x v="0"/>
    <x v="94"/>
    <x v="5"/>
    <n v="0"/>
    <x v="1"/>
    <n v="0"/>
    <n v="0"/>
    <n v="0"/>
    <x v="1"/>
    <x v="0"/>
    <n v="0"/>
  </r>
  <r>
    <n v="45238200000000"/>
    <x v="0"/>
    <x v="77"/>
    <x v="4"/>
    <s v="MARIA ORTIZ"/>
    <d v="2016-05-20T00:00:00"/>
    <d v="2016-05-20T00:00:00"/>
    <x v="0"/>
    <x v="94"/>
    <x v="5"/>
    <n v="0"/>
    <x v="1"/>
    <n v="0"/>
    <n v="0"/>
    <n v="0"/>
    <x v="1"/>
    <x v="0"/>
    <n v="0"/>
  </r>
  <r>
    <n v="65313400000000"/>
    <x v="0"/>
    <x v="54"/>
    <x v="1"/>
    <s v="SANTA LUCIA"/>
    <d v="2016-05-20T00:00:00"/>
    <d v="2016-05-20T00:00:00"/>
    <x v="0"/>
    <x v="94"/>
    <x v="5"/>
    <n v="0"/>
    <x v="0"/>
    <n v="1"/>
    <n v="0"/>
    <n v="0"/>
    <x v="1"/>
    <x v="0"/>
    <n v="0"/>
  </r>
  <r>
    <n v="122945000000000"/>
    <x v="1"/>
    <x v="71"/>
    <x v="4"/>
    <s v="NOVA PALESTINA"/>
    <d v="2016-05-20T00:00:00"/>
    <d v="2016-05-20T00:00:00"/>
    <x v="0"/>
    <x v="94"/>
    <x v="5"/>
    <n v="0"/>
    <x v="1"/>
    <n v="0"/>
    <n v="0"/>
    <n v="0"/>
    <x v="1"/>
    <x v="0"/>
    <n v="0"/>
  </r>
  <r>
    <n v="711587000000000"/>
    <x v="0"/>
    <x v="87"/>
    <x v="1"/>
    <s v="JARDIM CAMBURI"/>
    <d v="2016-05-20T00:00:00"/>
    <d v="2016-05-20T00:00:00"/>
    <x v="0"/>
    <x v="94"/>
    <x v="5"/>
    <n v="0"/>
    <x v="1"/>
    <n v="0"/>
    <n v="0"/>
    <n v="0"/>
    <x v="1"/>
    <x v="0"/>
    <n v="0"/>
  </r>
  <r>
    <n v="17851900000000"/>
    <x v="0"/>
    <x v="50"/>
    <x v="1"/>
    <s v="NOVA PALESTINA"/>
    <d v="2016-05-20T00:00:00"/>
    <d v="2016-05-30T00:00:00"/>
    <x v="2"/>
    <x v="83"/>
    <x v="2"/>
    <n v="1"/>
    <x v="1"/>
    <n v="0"/>
    <n v="0"/>
    <n v="0"/>
    <x v="0"/>
    <x v="0"/>
    <n v="0"/>
  </r>
  <r>
    <n v="399446000000"/>
    <x v="0"/>
    <x v="22"/>
    <x v="4"/>
    <s v="SANTO ANDRE"/>
    <d v="2016-05-20T00:00:00"/>
    <d v="2016-05-24T00:00:00"/>
    <x v="4"/>
    <x v="86"/>
    <x v="3"/>
    <n v="0"/>
    <x v="1"/>
    <n v="0"/>
    <n v="0"/>
    <n v="0"/>
    <x v="0"/>
    <x v="0"/>
    <n v="0"/>
  </r>
  <r>
    <n v="15860000000000"/>
    <x v="0"/>
    <x v="42"/>
    <x v="3"/>
    <s v="ANDORINHAS"/>
    <d v="2016-05-20T00:00:00"/>
    <d v="2016-05-20T00:00:00"/>
    <x v="0"/>
    <x v="94"/>
    <x v="5"/>
    <n v="1"/>
    <x v="1"/>
    <n v="0"/>
    <n v="0"/>
    <n v="0"/>
    <x v="1"/>
    <x v="0"/>
    <n v="0"/>
  </r>
  <r>
    <n v="572712000000"/>
    <x v="0"/>
    <x v="48"/>
    <x v="3"/>
    <s v="SAO PEDRO"/>
    <d v="2016-05-20T00:00:00"/>
    <d v="2016-06-08T00:00:00"/>
    <x v="1"/>
    <x v="77"/>
    <x v="1"/>
    <n v="0"/>
    <x v="0"/>
    <n v="0"/>
    <n v="0"/>
    <n v="0"/>
    <x v="0"/>
    <x v="1"/>
    <n v="1"/>
  </r>
  <r>
    <n v="5312610000000"/>
    <x v="1"/>
    <x v="69"/>
    <x v="4"/>
    <s v="SAO PEDRO"/>
    <d v="2016-05-20T00:00:00"/>
    <d v="2016-05-30T00:00:00"/>
    <x v="2"/>
    <x v="83"/>
    <x v="2"/>
    <n v="0"/>
    <x v="1"/>
    <n v="0"/>
    <n v="0"/>
    <n v="0"/>
    <x v="0"/>
    <x v="1"/>
    <n v="1"/>
  </r>
  <r>
    <n v="9484800000000"/>
    <x v="1"/>
    <x v="14"/>
    <x v="3"/>
    <s v="DE LOURDES"/>
    <d v="2016-05-20T00:00:00"/>
    <d v="2016-06-02T00:00:00"/>
    <x v="3"/>
    <x v="82"/>
    <x v="2"/>
    <n v="0"/>
    <x v="0"/>
    <n v="1"/>
    <n v="0"/>
    <n v="0"/>
    <x v="0"/>
    <x v="0"/>
    <n v="0"/>
  </r>
  <r>
    <n v="563647000000"/>
    <x v="0"/>
    <x v="92"/>
    <x v="0"/>
    <s v="SAO PEDRO"/>
    <d v="2016-05-20T00:00:00"/>
    <d v="2016-06-08T00:00:00"/>
    <x v="1"/>
    <x v="77"/>
    <x v="1"/>
    <n v="0"/>
    <x v="1"/>
    <n v="0"/>
    <n v="0"/>
    <n v="1"/>
    <x v="0"/>
    <x v="0"/>
    <n v="0"/>
  </r>
  <r>
    <n v="36146748378"/>
    <x v="1"/>
    <x v="57"/>
    <x v="2"/>
    <s v="PRAIA DO SUA"/>
    <d v="2016-05-20T00:00:00"/>
    <d v="2016-05-20T00:00:00"/>
    <x v="0"/>
    <x v="94"/>
    <x v="5"/>
    <n v="0"/>
    <x v="1"/>
    <n v="0"/>
    <n v="0"/>
    <n v="0"/>
    <x v="1"/>
    <x v="0"/>
    <n v="0"/>
  </r>
  <r>
    <n v="274961000000000"/>
    <x v="0"/>
    <x v="7"/>
    <x v="3"/>
    <s v="ILHA DAS CAIEIRAS"/>
    <d v="2016-05-20T00:00:00"/>
    <d v="2016-05-20T00:00:00"/>
    <x v="0"/>
    <x v="94"/>
    <x v="5"/>
    <n v="0"/>
    <x v="0"/>
    <n v="0"/>
    <n v="0"/>
    <n v="0"/>
    <x v="1"/>
    <x v="0"/>
    <n v="0"/>
  </r>
  <r>
    <n v="177484000000000"/>
    <x v="0"/>
    <x v="87"/>
    <x v="1"/>
    <s v="TABUAZEIRO"/>
    <d v="2016-05-20T00:00:00"/>
    <d v="2016-06-06T00:00:00"/>
    <x v="2"/>
    <x v="75"/>
    <x v="1"/>
    <n v="1"/>
    <x v="1"/>
    <n v="0"/>
    <n v="0"/>
    <n v="0"/>
    <x v="0"/>
    <x v="1"/>
    <n v="1"/>
  </r>
  <r>
    <n v="537873000000000"/>
    <x v="1"/>
    <x v="75"/>
    <x v="5"/>
    <s v="INHANGUETA"/>
    <d v="2016-05-20T00:00:00"/>
    <d v="2016-05-20T00:00:00"/>
    <x v="0"/>
    <x v="94"/>
    <x v="5"/>
    <n v="0"/>
    <x v="1"/>
    <n v="0"/>
    <n v="0"/>
    <n v="0"/>
    <x v="1"/>
    <x v="1"/>
    <n v="1"/>
  </r>
  <r>
    <n v="65394300000000"/>
    <x v="0"/>
    <x v="68"/>
    <x v="4"/>
    <s v="MONTE BELO"/>
    <d v="2016-05-20T00:00:00"/>
    <d v="2016-05-24T00:00:00"/>
    <x v="4"/>
    <x v="86"/>
    <x v="3"/>
    <n v="0"/>
    <x v="1"/>
    <n v="0"/>
    <n v="0"/>
    <n v="0"/>
    <x v="0"/>
    <x v="0"/>
    <n v="0"/>
  </r>
  <r>
    <n v="22351100000000"/>
    <x v="1"/>
    <x v="55"/>
    <x v="2"/>
    <s v="MARUIPE"/>
    <d v="2016-05-20T00:00:00"/>
    <d v="2016-05-24T00:00:00"/>
    <x v="4"/>
    <x v="86"/>
    <x v="3"/>
    <n v="0"/>
    <x v="1"/>
    <n v="0"/>
    <n v="0"/>
    <n v="0"/>
    <x v="0"/>
    <x v="0"/>
    <n v="0"/>
  </r>
  <r>
    <n v="715998000000000"/>
    <x v="0"/>
    <x v="71"/>
    <x v="4"/>
    <s v="SAO CRISTOVAO"/>
    <d v="2016-05-20T00:00:00"/>
    <d v="2016-05-24T00:00:00"/>
    <x v="4"/>
    <x v="86"/>
    <x v="3"/>
    <n v="0"/>
    <x v="1"/>
    <n v="0"/>
    <n v="0"/>
    <n v="0"/>
    <x v="0"/>
    <x v="0"/>
    <n v="0"/>
  </r>
  <r>
    <n v="456431000000000"/>
    <x v="0"/>
    <x v="47"/>
    <x v="4"/>
    <s v="MARIO CYPRESTE"/>
    <d v="2016-05-20T00:00:00"/>
    <d v="2016-05-20T00:00:00"/>
    <x v="0"/>
    <x v="94"/>
    <x v="5"/>
    <n v="0"/>
    <x v="1"/>
    <n v="0"/>
    <n v="0"/>
    <n v="0"/>
    <x v="1"/>
    <x v="0"/>
    <n v="0"/>
  </r>
  <r>
    <n v="456431000000000"/>
    <x v="0"/>
    <x v="22"/>
    <x v="4"/>
    <s v="MARIO CYPRESTE"/>
    <d v="2016-05-20T00:00:00"/>
    <d v="2016-06-03T00:00:00"/>
    <x v="0"/>
    <x v="80"/>
    <x v="2"/>
    <n v="0"/>
    <x v="1"/>
    <n v="0"/>
    <n v="0"/>
    <n v="0"/>
    <x v="0"/>
    <x v="0"/>
    <n v="0"/>
  </r>
  <r>
    <n v="53422600000000"/>
    <x v="0"/>
    <x v="19"/>
    <x v="2"/>
    <s v="SANTO ANTONIO"/>
    <d v="2016-05-20T00:00:00"/>
    <d v="2016-05-20T00:00:00"/>
    <x v="0"/>
    <x v="94"/>
    <x v="5"/>
    <n v="0"/>
    <x v="1"/>
    <n v="0"/>
    <n v="0"/>
    <n v="0"/>
    <x v="1"/>
    <x v="0"/>
    <n v="0"/>
  </r>
  <r>
    <n v="763915000000"/>
    <x v="0"/>
    <x v="36"/>
    <x v="3"/>
    <s v="ROMAO"/>
    <d v="2016-05-20T00:00:00"/>
    <d v="2016-05-20T00:00:00"/>
    <x v="0"/>
    <x v="94"/>
    <x v="5"/>
    <n v="0"/>
    <x v="0"/>
    <n v="0"/>
    <n v="0"/>
    <n v="0"/>
    <x v="1"/>
    <x v="0"/>
    <n v="0"/>
  </r>
  <r>
    <n v="66844900000000"/>
    <x v="0"/>
    <x v="37"/>
    <x v="3"/>
    <s v="BENTO FERREIRA"/>
    <d v="2016-05-20T00:00:00"/>
    <d v="2016-05-20T00:00:00"/>
    <x v="0"/>
    <x v="94"/>
    <x v="5"/>
    <n v="0"/>
    <x v="1"/>
    <n v="0"/>
    <n v="0"/>
    <n v="0"/>
    <x v="1"/>
    <x v="0"/>
    <n v="0"/>
  </r>
  <r>
    <n v="75797500000000"/>
    <x v="1"/>
    <x v="24"/>
    <x v="1"/>
    <s v="JARDIM CAMBURI"/>
    <d v="2016-05-20T00:00:00"/>
    <d v="2016-05-20T00:00:00"/>
    <x v="0"/>
    <x v="94"/>
    <x v="5"/>
    <n v="0"/>
    <x v="1"/>
    <n v="0"/>
    <n v="0"/>
    <n v="0"/>
    <x v="1"/>
    <x v="0"/>
    <n v="0"/>
  </r>
  <r>
    <n v="67263200000000"/>
    <x v="1"/>
    <x v="28"/>
    <x v="3"/>
    <s v="MARIO CYPRESTE"/>
    <d v="2016-05-20T00:00:00"/>
    <d v="2016-05-20T00:00:00"/>
    <x v="0"/>
    <x v="94"/>
    <x v="5"/>
    <n v="0"/>
    <x v="1"/>
    <n v="0"/>
    <n v="0"/>
    <n v="0"/>
    <x v="1"/>
    <x v="0"/>
    <n v="0"/>
  </r>
  <r>
    <n v="6264200000000"/>
    <x v="1"/>
    <x v="36"/>
    <x v="3"/>
    <s v="JESUS DE NAZARETH"/>
    <d v="2016-05-20T00:00:00"/>
    <d v="2016-05-20T00:00:00"/>
    <x v="0"/>
    <x v="94"/>
    <x v="5"/>
    <n v="1"/>
    <x v="1"/>
    <n v="0"/>
    <n v="0"/>
    <n v="0"/>
    <x v="1"/>
    <x v="0"/>
    <n v="0"/>
  </r>
  <r>
    <n v="444550000000000"/>
    <x v="1"/>
    <x v="50"/>
    <x v="1"/>
    <s v="TABUAZEIRO"/>
    <d v="2016-05-20T00:00:00"/>
    <d v="2016-05-20T00:00:00"/>
    <x v="0"/>
    <x v="94"/>
    <x v="5"/>
    <n v="0"/>
    <x v="1"/>
    <n v="0"/>
    <n v="0"/>
    <n v="0"/>
    <x v="1"/>
    <x v="1"/>
    <n v="1"/>
  </r>
  <r>
    <n v="48324600000000"/>
    <x v="1"/>
    <x v="70"/>
    <x v="5"/>
    <s v="JARDIM CAMBURI"/>
    <d v="2016-05-20T00:00:00"/>
    <d v="2016-05-20T00:00:00"/>
    <x v="0"/>
    <x v="94"/>
    <x v="5"/>
    <n v="0"/>
    <x v="1"/>
    <n v="0"/>
    <n v="0"/>
    <n v="0"/>
    <x v="1"/>
    <x v="1"/>
    <n v="1"/>
  </r>
  <r>
    <n v="298286000000000"/>
    <x v="0"/>
    <x v="6"/>
    <x v="0"/>
    <s v="JARDIM CAMBURI"/>
    <d v="2016-05-20T00:00:00"/>
    <d v="2016-05-30T00:00:00"/>
    <x v="2"/>
    <x v="83"/>
    <x v="2"/>
    <n v="0"/>
    <x v="1"/>
    <n v="0"/>
    <n v="0"/>
    <n v="0"/>
    <x v="0"/>
    <x v="0"/>
    <n v="0"/>
  </r>
  <r>
    <n v="1722570000000"/>
    <x v="0"/>
    <x v="6"/>
    <x v="0"/>
    <s v="JARDIM CAMBURI"/>
    <d v="2016-05-20T00:00:00"/>
    <d v="2016-05-31T00:00:00"/>
    <x v="4"/>
    <x v="81"/>
    <x v="2"/>
    <n v="0"/>
    <x v="1"/>
    <n v="0"/>
    <n v="0"/>
    <n v="0"/>
    <x v="1"/>
    <x v="0"/>
    <n v="0"/>
  </r>
  <r>
    <n v="64434200000000"/>
    <x v="0"/>
    <x v="24"/>
    <x v="1"/>
    <s v="REDENCAO"/>
    <d v="2016-05-20T00:00:00"/>
    <d v="2016-05-24T00:00:00"/>
    <x v="4"/>
    <x v="86"/>
    <x v="3"/>
    <n v="0"/>
    <x v="0"/>
    <n v="0"/>
    <n v="0"/>
    <n v="0"/>
    <x v="0"/>
    <x v="1"/>
    <n v="1"/>
  </r>
  <r>
    <n v="242270000000000"/>
    <x v="0"/>
    <x v="24"/>
    <x v="1"/>
    <s v="DE LOURDES"/>
    <d v="2016-05-20T00:00:00"/>
    <d v="2016-05-25T00:00:00"/>
    <x v="1"/>
    <x v="92"/>
    <x v="3"/>
    <n v="0"/>
    <x v="1"/>
    <n v="0"/>
    <n v="0"/>
    <n v="0"/>
    <x v="1"/>
    <x v="0"/>
    <n v="0"/>
  </r>
  <r>
    <n v="1719520000000"/>
    <x v="0"/>
    <x v="0"/>
    <x v="0"/>
    <s v="MARUIPE"/>
    <d v="2016-05-20T00:00:00"/>
    <d v="2016-05-24T00:00:00"/>
    <x v="4"/>
    <x v="86"/>
    <x v="3"/>
    <n v="0"/>
    <x v="0"/>
    <n v="1"/>
    <n v="0"/>
    <n v="0"/>
    <x v="0"/>
    <x v="0"/>
    <n v="0"/>
  </r>
  <r>
    <n v="311559000000000"/>
    <x v="0"/>
    <x v="29"/>
    <x v="3"/>
    <s v="INHANGUETA"/>
    <d v="2016-05-20T00:00:00"/>
    <d v="2016-05-25T00:00:00"/>
    <x v="1"/>
    <x v="92"/>
    <x v="3"/>
    <n v="0"/>
    <x v="1"/>
    <n v="0"/>
    <n v="0"/>
    <n v="0"/>
    <x v="0"/>
    <x v="0"/>
    <n v="0"/>
  </r>
  <r>
    <n v="443649000000"/>
    <x v="1"/>
    <x v="21"/>
    <x v="1"/>
    <s v="TABUAZEIRO"/>
    <d v="2016-05-20T00:00:00"/>
    <d v="2016-05-20T00:00:00"/>
    <x v="0"/>
    <x v="94"/>
    <x v="5"/>
    <n v="0"/>
    <x v="0"/>
    <n v="0"/>
    <n v="0"/>
    <n v="0"/>
    <x v="1"/>
    <x v="0"/>
    <n v="0"/>
  </r>
  <r>
    <n v="863267000000000"/>
    <x v="0"/>
    <x v="62"/>
    <x v="3"/>
    <s v="SANTO ANDRE"/>
    <d v="2016-05-24T00:00:00"/>
    <d v="2016-05-30T00:00:00"/>
    <x v="2"/>
    <x v="90"/>
    <x v="3"/>
    <n v="0"/>
    <x v="1"/>
    <n v="0"/>
    <n v="0"/>
    <n v="0"/>
    <x v="0"/>
    <x v="0"/>
    <n v="0"/>
  </r>
  <r>
    <n v="66325300000000"/>
    <x v="1"/>
    <x v="60"/>
    <x v="2"/>
    <s v="CENTRO"/>
    <d v="2016-05-24T00:00:00"/>
    <d v="2016-05-24T00:00:00"/>
    <x v="4"/>
    <x v="94"/>
    <x v="5"/>
    <n v="0"/>
    <x v="1"/>
    <n v="0"/>
    <n v="0"/>
    <n v="0"/>
    <x v="1"/>
    <x v="0"/>
    <n v="0"/>
  </r>
  <r>
    <n v="1293330000000"/>
    <x v="0"/>
    <x v="1"/>
    <x v="0"/>
    <s v="GURIGICA"/>
    <d v="2016-05-24T00:00:00"/>
    <d v="2016-05-24T00:00:00"/>
    <x v="4"/>
    <x v="94"/>
    <x v="5"/>
    <n v="0"/>
    <x v="0"/>
    <n v="0"/>
    <n v="0"/>
    <n v="0"/>
    <x v="1"/>
    <x v="0"/>
    <n v="0"/>
  </r>
  <r>
    <n v="1657220000000"/>
    <x v="0"/>
    <x v="42"/>
    <x v="3"/>
    <s v="MONTE BELO"/>
    <d v="2016-05-24T00:00:00"/>
    <d v="2016-05-30T00:00:00"/>
    <x v="2"/>
    <x v="90"/>
    <x v="3"/>
    <n v="0"/>
    <x v="1"/>
    <n v="0"/>
    <n v="0"/>
    <n v="0"/>
    <x v="0"/>
    <x v="0"/>
    <n v="0"/>
  </r>
  <r>
    <n v="13126400000000"/>
    <x v="0"/>
    <x v="54"/>
    <x v="1"/>
    <s v="REPUBLICA"/>
    <d v="2016-05-24T00:00:00"/>
    <d v="2016-05-24T00:00:00"/>
    <x v="4"/>
    <x v="94"/>
    <x v="5"/>
    <n v="0"/>
    <x v="1"/>
    <n v="0"/>
    <n v="0"/>
    <n v="0"/>
    <x v="1"/>
    <x v="0"/>
    <n v="0"/>
  </r>
  <r>
    <n v="73688600000000"/>
    <x v="1"/>
    <x v="29"/>
    <x v="3"/>
    <s v="TABUAZEIRO"/>
    <d v="2016-05-24T00:00:00"/>
    <d v="2016-05-24T00:00:00"/>
    <x v="4"/>
    <x v="94"/>
    <x v="5"/>
    <n v="0"/>
    <x v="0"/>
    <n v="0"/>
    <n v="0"/>
    <n v="0"/>
    <x v="1"/>
    <x v="0"/>
    <n v="0"/>
  </r>
  <r>
    <n v="4543920000000"/>
    <x v="0"/>
    <x v="10"/>
    <x v="4"/>
    <s v="CARATOIRA"/>
    <d v="2016-05-24T00:00:00"/>
    <d v="2016-05-30T00:00:00"/>
    <x v="2"/>
    <x v="90"/>
    <x v="3"/>
    <n v="0"/>
    <x v="1"/>
    <n v="0"/>
    <n v="0"/>
    <n v="0"/>
    <x v="0"/>
    <x v="1"/>
    <n v="1"/>
  </r>
  <r>
    <n v="846652000000"/>
    <x v="0"/>
    <x v="76"/>
    <x v="0"/>
    <s v="SANTO ANTONIO"/>
    <d v="2016-05-24T00:00:00"/>
    <d v="2016-05-24T00:00:00"/>
    <x v="4"/>
    <x v="94"/>
    <x v="5"/>
    <n v="0"/>
    <x v="0"/>
    <n v="0"/>
    <n v="0"/>
    <n v="0"/>
    <x v="1"/>
    <x v="0"/>
    <n v="0"/>
  </r>
  <r>
    <n v="72618700000000"/>
    <x v="1"/>
    <x v="42"/>
    <x v="3"/>
    <s v="SANTA MARTHA"/>
    <d v="2016-05-24T00:00:00"/>
    <d v="2016-05-24T00:00:00"/>
    <x v="4"/>
    <x v="94"/>
    <x v="5"/>
    <n v="0"/>
    <x v="0"/>
    <n v="0"/>
    <n v="0"/>
    <n v="0"/>
    <x v="1"/>
    <x v="0"/>
    <n v="0"/>
  </r>
  <r>
    <n v="566599000000000"/>
    <x v="1"/>
    <x v="80"/>
    <x v="2"/>
    <s v="ILHA DO PRINCIPE"/>
    <d v="2016-05-24T00:00:00"/>
    <d v="2016-05-24T00:00:00"/>
    <x v="4"/>
    <x v="94"/>
    <x v="5"/>
    <n v="0"/>
    <x v="1"/>
    <n v="0"/>
    <n v="0"/>
    <n v="0"/>
    <x v="1"/>
    <x v="0"/>
    <n v="0"/>
  </r>
  <r>
    <n v="949255000000"/>
    <x v="1"/>
    <x v="24"/>
    <x v="1"/>
    <s v="GOIABEIRAS"/>
    <d v="2016-05-24T00:00:00"/>
    <d v="2016-05-30T00:00:00"/>
    <x v="2"/>
    <x v="90"/>
    <x v="3"/>
    <n v="0"/>
    <x v="1"/>
    <n v="0"/>
    <n v="0"/>
    <n v="0"/>
    <x v="0"/>
    <x v="0"/>
    <n v="0"/>
  </r>
  <r>
    <n v="22235300000000"/>
    <x v="1"/>
    <x v="23"/>
    <x v="3"/>
    <s v="MARIA ORTIZ"/>
    <d v="2016-05-24T00:00:00"/>
    <d v="2016-05-24T00:00:00"/>
    <x v="4"/>
    <x v="94"/>
    <x v="5"/>
    <n v="0"/>
    <x v="1"/>
    <n v="0"/>
    <n v="0"/>
    <n v="0"/>
    <x v="1"/>
    <x v="0"/>
    <n v="0"/>
  </r>
  <r>
    <n v="825272000000"/>
    <x v="1"/>
    <x v="66"/>
    <x v="2"/>
    <s v="SANTA LUCIA"/>
    <d v="2016-05-24T00:00:00"/>
    <d v="2016-05-30T00:00:00"/>
    <x v="2"/>
    <x v="90"/>
    <x v="3"/>
    <n v="0"/>
    <x v="1"/>
    <n v="0"/>
    <n v="0"/>
    <n v="0"/>
    <x v="0"/>
    <x v="0"/>
    <n v="0"/>
  </r>
  <r>
    <n v="12466200000000"/>
    <x v="0"/>
    <x v="71"/>
    <x v="4"/>
    <s v="CRUZAMENTO"/>
    <d v="2016-05-24T00:00:00"/>
    <d v="2016-06-03T00:00:00"/>
    <x v="0"/>
    <x v="83"/>
    <x v="2"/>
    <n v="0"/>
    <x v="1"/>
    <n v="0"/>
    <n v="0"/>
    <n v="0"/>
    <x v="0"/>
    <x v="0"/>
    <n v="0"/>
  </r>
  <r>
    <n v="49298400000000"/>
    <x v="0"/>
    <x v="32"/>
    <x v="4"/>
    <s v="ILHA DAS CAIEIRAS"/>
    <d v="2016-05-24T00:00:00"/>
    <d v="2016-05-25T00:00:00"/>
    <x v="1"/>
    <x v="93"/>
    <x v="4"/>
    <n v="0"/>
    <x v="1"/>
    <n v="0"/>
    <n v="0"/>
    <n v="0"/>
    <x v="1"/>
    <x v="0"/>
    <n v="0"/>
  </r>
  <r>
    <n v="4756330000000"/>
    <x v="0"/>
    <x v="23"/>
    <x v="3"/>
    <s v="BELA VISTA"/>
    <d v="2016-05-24T00:00:00"/>
    <d v="2016-05-24T00:00:00"/>
    <x v="4"/>
    <x v="94"/>
    <x v="5"/>
    <n v="1"/>
    <x v="0"/>
    <n v="0"/>
    <n v="0"/>
    <n v="1"/>
    <x v="1"/>
    <x v="0"/>
    <n v="0"/>
  </r>
  <r>
    <n v="19146000000000"/>
    <x v="0"/>
    <x v="44"/>
    <x v="4"/>
    <s v="GOIABEIRAS"/>
    <d v="2016-05-24T00:00:00"/>
    <d v="2016-06-03T00:00:00"/>
    <x v="0"/>
    <x v="83"/>
    <x v="2"/>
    <n v="0"/>
    <x v="1"/>
    <n v="0"/>
    <n v="0"/>
    <n v="0"/>
    <x v="0"/>
    <x v="0"/>
    <n v="0"/>
  </r>
  <r>
    <n v="27754400000000"/>
    <x v="1"/>
    <x v="81"/>
    <x v="5"/>
    <s v="BELA VISTA"/>
    <d v="2016-05-24T00:00:00"/>
    <d v="2016-05-25T00:00:00"/>
    <x v="1"/>
    <x v="93"/>
    <x v="4"/>
    <n v="1"/>
    <x v="1"/>
    <n v="0"/>
    <n v="0"/>
    <n v="1"/>
    <x v="1"/>
    <x v="1"/>
    <n v="1"/>
  </r>
  <r>
    <n v="1284450000000"/>
    <x v="1"/>
    <x v="64"/>
    <x v="3"/>
    <s v="SANTO ANTONIO"/>
    <d v="2016-05-24T00:00:00"/>
    <d v="2016-05-24T00:00:00"/>
    <x v="4"/>
    <x v="94"/>
    <x v="5"/>
    <n v="0"/>
    <x v="1"/>
    <n v="0"/>
    <n v="0"/>
    <n v="0"/>
    <x v="1"/>
    <x v="0"/>
    <n v="0"/>
  </r>
  <r>
    <n v="133722000000000"/>
    <x v="1"/>
    <x v="9"/>
    <x v="0"/>
    <s v="ESTRELINHA"/>
    <d v="2016-05-24T00:00:00"/>
    <d v="2016-05-24T00:00:00"/>
    <x v="4"/>
    <x v="94"/>
    <x v="5"/>
    <n v="0"/>
    <x v="1"/>
    <n v="0"/>
    <n v="0"/>
    <n v="0"/>
    <x v="1"/>
    <x v="1"/>
    <n v="1"/>
  </r>
  <r>
    <n v="951737000000"/>
    <x v="0"/>
    <x v="47"/>
    <x v="4"/>
    <s v="SANTO ANDRE"/>
    <d v="2016-05-24T00:00:00"/>
    <d v="2016-05-24T00:00:00"/>
    <x v="4"/>
    <x v="94"/>
    <x v="5"/>
    <n v="0"/>
    <x v="1"/>
    <n v="0"/>
    <n v="0"/>
    <n v="0"/>
    <x v="1"/>
    <x v="0"/>
    <n v="0"/>
  </r>
  <r>
    <n v="16119749222"/>
    <x v="0"/>
    <x v="64"/>
    <x v="3"/>
    <s v="ILHA DO PRINCIPE"/>
    <d v="2016-05-24T00:00:00"/>
    <d v="2016-05-24T00:00:00"/>
    <x v="4"/>
    <x v="94"/>
    <x v="5"/>
    <n v="0"/>
    <x v="0"/>
    <n v="0"/>
    <n v="0"/>
    <n v="0"/>
    <x v="1"/>
    <x v="0"/>
    <n v="0"/>
  </r>
  <r>
    <n v="5573370000000"/>
    <x v="0"/>
    <x v="68"/>
    <x v="4"/>
    <s v="PARQUE MOSCOSO"/>
    <d v="2016-05-24T00:00:00"/>
    <d v="2016-05-24T00:00:00"/>
    <x v="4"/>
    <x v="94"/>
    <x v="5"/>
    <n v="0"/>
    <x v="1"/>
    <n v="0"/>
    <n v="0"/>
    <n v="0"/>
    <x v="1"/>
    <x v="0"/>
    <n v="0"/>
  </r>
  <r>
    <n v="1393320000000"/>
    <x v="1"/>
    <x v="21"/>
    <x v="1"/>
    <s v="MARIA ORTIZ"/>
    <d v="2016-05-24T00:00:00"/>
    <d v="2016-05-24T00:00:00"/>
    <x v="4"/>
    <x v="94"/>
    <x v="5"/>
    <n v="0"/>
    <x v="0"/>
    <n v="0"/>
    <n v="0"/>
    <n v="0"/>
    <x v="1"/>
    <x v="0"/>
    <n v="0"/>
  </r>
  <r>
    <n v="27673585361"/>
    <x v="1"/>
    <x v="19"/>
    <x v="2"/>
    <s v="TABUAZEIRO"/>
    <d v="2016-05-24T00:00:00"/>
    <d v="2016-05-24T00:00:00"/>
    <x v="4"/>
    <x v="94"/>
    <x v="5"/>
    <n v="0"/>
    <x v="1"/>
    <n v="0"/>
    <n v="0"/>
    <n v="0"/>
    <x v="1"/>
    <x v="0"/>
    <n v="0"/>
  </r>
  <r>
    <n v="626762000000000"/>
    <x v="0"/>
    <x v="37"/>
    <x v="3"/>
    <s v="SAO CRISTOVAO"/>
    <d v="2016-05-24T00:00:00"/>
    <d v="2016-05-24T00:00:00"/>
    <x v="4"/>
    <x v="94"/>
    <x v="5"/>
    <n v="0"/>
    <x v="0"/>
    <n v="1"/>
    <n v="0"/>
    <n v="0"/>
    <x v="1"/>
    <x v="0"/>
    <n v="0"/>
  </r>
  <r>
    <n v="63633900000000"/>
    <x v="0"/>
    <x v="55"/>
    <x v="2"/>
    <s v="JESUS DE NAZARETH"/>
    <d v="2016-05-24T00:00:00"/>
    <d v="2016-05-24T00:00:00"/>
    <x v="4"/>
    <x v="94"/>
    <x v="5"/>
    <n v="0"/>
    <x v="1"/>
    <n v="0"/>
    <n v="0"/>
    <n v="0"/>
    <x v="1"/>
    <x v="0"/>
    <n v="0"/>
  </r>
  <r>
    <n v="3833170000000"/>
    <x v="0"/>
    <x v="49"/>
    <x v="4"/>
    <s v="ILHA DO PRINCIPE"/>
    <d v="2016-05-24T00:00:00"/>
    <d v="2016-06-02T00:00:00"/>
    <x v="3"/>
    <x v="85"/>
    <x v="2"/>
    <n v="0"/>
    <x v="1"/>
    <n v="0"/>
    <n v="0"/>
    <n v="0"/>
    <x v="0"/>
    <x v="0"/>
    <n v="0"/>
  </r>
  <r>
    <n v="5254190000000"/>
    <x v="1"/>
    <x v="55"/>
    <x v="2"/>
    <s v="TABUAZEIRO"/>
    <d v="2016-05-24T00:00:00"/>
    <d v="2016-06-06T00:00:00"/>
    <x v="2"/>
    <x v="82"/>
    <x v="2"/>
    <n v="0"/>
    <x v="1"/>
    <n v="0"/>
    <n v="0"/>
    <n v="0"/>
    <x v="0"/>
    <x v="0"/>
    <n v="0"/>
  </r>
  <r>
    <n v="5597310000000"/>
    <x v="0"/>
    <x v="4"/>
    <x v="2"/>
    <s v="GURIGICA"/>
    <d v="2016-05-24T00:00:00"/>
    <d v="2016-05-24T00:00:00"/>
    <x v="4"/>
    <x v="94"/>
    <x v="5"/>
    <n v="0"/>
    <x v="1"/>
    <n v="0"/>
    <n v="0"/>
    <n v="0"/>
    <x v="1"/>
    <x v="0"/>
    <n v="0"/>
  </r>
  <r>
    <n v="9939180000000"/>
    <x v="1"/>
    <x v="4"/>
    <x v="2"/>
    <s v="PIEDADE"/>
    <d v="2016-05-24T00:00:00"/>
    <d v="2016-05-24T00:00:00"/>
    <x v="4"/>
    <x v="94"/>
    <x v="5"/>
    <n v="0"/>
    <x v="1"/>
    <n v="0"/>
    <n v="0"/>
    <n v="0"/>
    <x v="1"/>
    <x v="0"/>
    <n v="0"/>
  </r>
  <r>
    <n v="598488000000000"/>
    <x v="0"/>
    <x v="77"/>
    <x v="4"/>
    <s v="SANTA MARTHA"/>
    <d v="2016-05-24T00:00:00"/>
    <d v="2016-05-24T00:00:00"/>
    <x v="4"/>
    <x v="94"/>
    <x v="5"/>
    <n v="0"/>
    <x v="1"/>
    <n v="0"/>
    <n v="0"/>
    <n v="0"/>
    <x v="1"/>
    <x v="0"/>
    <n v="0"/>
  </r>
  <r>
    <n v="1868340000000"/>
    <x v="0"/>
    <x v="64"/>
    <x v="3"/>
    <s v="SANTO ANTONIO"/>
    <d v="2016-05-24T00:00:00"/>
    <d v="2016-05-24T00:00:00"/>
    <x v="4"/>
    <x v="94"/>
    <x v="5"/>
    <n v="0"/>
    <x v="0"/>
    <n v="0"/>
    <n v="0"/>
    <n v="0"/>
    <x v="1"/>
    <x v="0"/>
    <n v="0"/>
  </r>
  <r>
    <n v="169832000000000"/>
    <x v="0"/>
    <x v="59"/>
    <x v="2"/>
    <s v="ILHA DE SANTA MARIA"/>
    <d v="2016-05-24T00:00:00"/>
    <d v="2016-06-03T00:00:00"/>
    <x v="0"/>
    <x v="83"/>
    <x v="2"/>
    <n v="0"/>
    <x v="1"/>
    <n v="0"/>
    <n v="0"/>
    <n v="0"/>
    <x v="0"/>
    <x v="0"/>
    <n v="0"/>
  </r>
  <r>
    <n v="3213320000000"/>
    <x v="0"/>
    <x v="2"/>
    <x v="1"/>
    <s v="SANTA MARTHA"/>
    <d v="2016-05-24T00:00:00"/>
    <d v="2016-05-24T00:00:00"/>
    <x v="4"/>
    <x v="94"/>
    <x v="5"/>
    <n v="0"/>
    <x v="1"/>
    <n v="0"/>
    <n v="0"/>
    <n v="0"/>
    <x v="1"/>
    <x v="0"/>
    <n v="0"/>
  </r>
  <r>
    <n v="589978000000"/>
    <x v="0"/>
    <x v="67"/>
    <x v="4"/>
    <s v="ESTRELINHA"/>
    <d v="2016-05-24T00:00:00"/>
    <d v="2016-05-31T00:00:00"/>
    <x v="4"/>
    <x v="87"/>
    <x v="3"/>
    <n v="0"/>
    <x v="1"/>
    <n v="0"/>
    <n v="1"/>
    <n v="0"/>
    <x v="0"/>
    <x v="1"/>
    <n v="1"/>
  </r>
  <r>
    <n v="41288500000000"/>
    <x v="0"/>
    <x v="77"/>
    <x v="4"/>
    <s v="ESTRELINHA"/>
    <d v="2016-05-24T00:00:00"/>
    <d v="2016-05-31T00:00:00"/>
    <x v="4"/>
    <x v="87"/>
    <x v="3"/>
    <n v="0"/>
    <x v="1"/>
    <n v="0"/>
    <n v="0"/>
    <n v="0"/>
    <x v="0"/>
    <x v="1"/>
    <n v="1"/>
  </r>
  <r>
    <n v="636331000000000"/>
    <x v="0"/>
    <x v="38"/>
    <x v="4"/>
    <s v="CONQUISTA"/>
    <d v="2016-05-24T00:00:00"/>
    <d v="2016-06-08T00:00:00"/>
    <x v="1"/>
    <x v="79"/>
    <x v="1"/>
    <n v="0"/>
    <x v="1"/>
    <n v="0"/>
    <n v="0"/>
    <n v="0"/>
    <x v="0"/>
    <x v="1"/>
    <n v="1"/>
  </r>
  <r>
    <n v="259897000000000"/>
    <x v="0"/>
    <x v="43"/>
    <x v="2"/>
    <s v="TABUAZEIRO"/>
    <d v="2016-05-24T00:00:00"/>
    <d v="2016-05-24T00:00:00"/>
    <x v="4"/>
    <x v="94"/>
    <x v="5"/>
    <n v="0"/>
    <x v="1"/>
    <n v="0"/>
    <n v="0"/>
    <n v="0"/>
    <x v="1"/>
    <x v="0"/>
    <n v="0"/>
  </r>
  <r>
    <n v="9385260000000"/>
    <x v="0"/>
    <x v="18"/>
    <x v="0"/>
    <s v="CENTRO"/>
    <d v="2016-05-24T00:00:00"/>
    <d v="2016-05-31T00:00:00"/>
    <x v="4"/>
    <x v="87"/>
    <x v="3"/>
    <n v="0"/>
    <x v="1"/>
    <n v="0"/>
    <n v="0"/>
    <n v="0"/>
    <x v="0"/>
    <x v="0"/>
    <n v="0"/>
  </r>
  <r>
    <n v="719155000000000"/>
    <x v="1"/>
    <x v="66"/>
    <x v="2"/>
    <s v="BONFIM"/>
    <d v="2016-05-24T00:00:00"/>
    <d v="2016-05-24T00:00:00"/>
    <x v="4"/>
    <x v="94"/>
    <x v="5"/>
    <n v="0"/>
    <x v="1"/>
    <n v="0"/>
    <n v="0"/>
    <n v="0"/>
    <x v="1"/>
    <x v="1"/>
    <n v="1"/>
  </r>
  <r>
    <n v="98299145656"/>
    <x v="0"/>
    <x v="10"/>
    <x v="4"/>
    <s v="GURIGICA"/>
    <d v="2016-05-24T00:00:00"/>
    <d v="2016-05-24T00:00:00"/>
    <x v="4"/>
    <x v="94"/>
    <x v="5"/>
    <n v="1"/>
    <x v="1"/>
    <n v="0"/>
    <n v="0"/>
    <n v="0"/>
    <x v="1"/>
    <x v="0"/>
    <n v="0"/>
  </r>
  <r>
    <n v="566558000000000"/>
    <x v="1"/>
    <x v="46"/>
    <x v="2"/>
    <s v="ROMAO"/>
    <d v="2016-05-24T00:00:00"/>
    <d v="2016-05-24T00:00:00"/>
    <x v="4"/>
    <x v="94"/>
    <x v="5"/>
    <n v="0"/>
    <x v="1"/>
    <n v="0"/>
    <n v="0"/>
    <n v="0"/>
    <x v="1"/>
    <x v="0"/>
    <n v="0"/>
  </r>
  <r>
    <n v="85518800000000"/>
    <x v="0"/>
    <x v="38"/>
    <x v="4"/>
    <s v="PIEDADE"/>
    <d v="2016-05-24T00:00:00"/>
    <d v="2016-05-24T00:00:00"/>
    <x v="4"/>
    <x v="94"/>
    <x v="5"/>
    <n v="1"/>
    <x v="1"/>
    <n v="0"/>
    <n v="0"/>
    <n v="0"/>
    <x v="1"/>
    <x v="0"/>
    <n v="0"/>
  </r>
  <r>
    <n v="71727900000000"/>
    <x v="1"/>
    <x v="65"/>
    <x v="2"/>
    <s v="BOA VISTA"/>
    <d v="2016-05-24T00:00:00"/>
    <d v="2016-05-24T00:00:00"/>
    <x v="4"/>
    <x v="94"/>
    <x v="5"/>
    <n v="0"/>
    <x v="1"/>
    <n v="0"/>
    <n v="0"/>
    <n v="0"/>
    <x v="1"/>
    <x v="0"/>
    <n v="0"/>
  </r>
  <r>
    <n v="6111770000000"/>
    <x v="1"/>
    <x v="66"/>
    <x v="2"/>
    <s v="SANTO ANDRE"/>
    <d v="2016-05-24T00:00:00"/>
    <d v="2016-06-02T00:00:00"/>
    <x v="3"/>
    <x v="85"/>
    <x v="2"/>
    <n v="0"/>
    <x v="1"/>
    <n v="0"/>
    <n v="0"/>
    <n v="0"/>
    <x v="0"/>
    <x v="0"/>
    <n v="0"/>
  </r>
  <r>
    <n v="1771350000000"/>
    <x v="1"/>
    <x v="52"/>
    <x v="2"/>
    <s v="NOVA PALESTINA"/>
    <d v="2016-05-24T00:00:00"/>
    <d v="2016-05-24T00:00:00"/>
    <x v="4"/>
    <x v="94"/>
    <x v="5"/>
    <n v="0"/>
    <x v="1"/>
    <n v="0"/>
    <n v="0"/>
    <n v="0"/>
    <x v="1"/>
    <x v="0"/>
    <n v="0"/>
  </r>
  <r>
    <n v="75657000000000"/>
    <x v="0"/>
    <x v="26"/>
    <x v="0"/>
    <s v="SAO PEDRO"/>
    <d v="2016-05-24T00:00:00"/>
    <d v="2016-05-24T00:00:00"/>
    <x v="4"/>
    <x v="94"/>
    <x v="5"/>
    <n v="0"/>
    <x v="0"/>
    <n v="0"/>
    <n v="0"/>
    <n v="0"/>
    <x v="1"/>
    <x v="0"/>
    <n v="0"/>
  </r>
  <r>
    <n v="442865000000000"/>
    <x v="1"/>
    <x v="55"/>
    <x v="2"/>
    <s v="ILHA DO PRINCIPE"/>
    <d v="2016-05-24T00:00:00"/>
    <d v="2016-05-24T00:00:00"/>
    <x v="4"/>
    <x v="94"/>
    <x v="5"/>
    <n v="0"/>
    <x v="1"/>
    <n v="0"/>
    <n v="0"/>
    <n v="0"/>
    <x v="1"/>
    <x v="0"/>
    <n v="0"/>
  </r>
  <r>
    <n v="69833900000000"/>
    <x v="0"/>
    <x v="87"/>
    <x v="1"/>
    <s v="FORTE SAO JOAO"/>
    <d v="2016-05-24T00:00:00"/>
    <d v="2016-05-24T00:00:00"/>
    <x v="4"/>
    <x v="94"/>
    <x v="5"/>
    <n v="0"/>
    <x v="0"/>
    <n v="0"/>
    <n v="0"/>
    <n v="0"/>
    <x v="1"/>
    <x v="1"/>
    <n v="1"/>
  </r>
  <r>
    <n v="359297000000"/>
    <x v="0"/>
    <x v="6"/>
    <x v="0"/>
    <s v="CARATOIRA"/>
    <d v="2016-05-24T00:00:00"/>
    <d v="2016-05-24T00:00:00"/>
    <x v="4"/>
    <x v="94"/>
    <x v="5"/>
    <n v="0"/>
    <x v="0"/>
    <n v="0"/>
    <n v="0"/>
    <n v="0"/>
    <x v="1"/>
    <x v="0"/>
    <n v="0"/>
  </r>
  <r>
    <n v="22159300000000"/>
    <x v="1"/>
    <x v="59"/>
    <x v="2"/>
    <s v="ROMAO"/>
    <d v="2016-05-24T00:00:00"/>
    <d v="2016-05-24T00:00:00"/>
    <x v="4"/>
    <x v="94"/>
    <x v="5"/>
    <n v="0"/>
    <x v="1"/>
    <n v="0"/>
    <n v="0"/>
    <n v="0"/>
    <x v="1"/>
    <x v="0"/>
    <n v="0"/>
  </r>
  <r>
    <n v="41387826435"/>
    <x v="0"/>
    <x v="66"/>
    <x v="2"/>
    <s v="FONTE GRANDE"/>
    <d v="2016-05-24T00:00:00"/>
    <d v="2016-05-24T00:00:00"/>
    <x v="4"/>
    <x v="94"/>
    <x v="5"/>
    <n v="0"/>
    <x v="1"/>
    <n v="0"/>
    <n v="0"/>
    <n v="0"/>
    <x v="1"/>
    <x v="0"/>
    <n v="0"/>
  </r>
  <r>
    <n v="23574300000000"/>
    <x v="0"/>
    <x v="58"/>
    <x v="0"/>
    <s v="DO QUADRO"/>
    <d v="2016-05-24T00:00:00"/>
    <d v="2016-05-24T00:00:00"/>
    <x v="4"/>
    <x v="94"/>
    <x v="5"/>
    <n v="0"/>
    <x v="0"/>
    <n v="1"/>
    <n v="0"/>
    <n v="0"/>
    <x v="1"/>
    <x v="0"/>
    <n v="0"/>
  </r>
  <r>
    <n v="521760000000"/>
    <x v="0"/>
    <x v="62"/>
    <x v="3"/>
    <s v="GRANDE VITORIA"/>
    <d v="2016-05-24T00:00:00"/>
    <d v="2016-05-24T00:00:00"/>
    <x v="4"/>
    <x v="94"/>
    <x v="5"/>
    <n v="0"/>
    <x v="0"/>
    <n v="1"/>
    <n v="0"/>
    <n v="0"/>
    <x v="1"/>
    <x v="0"/>
    <n v="0"/>
  </r>
  <r>
    <n v="59157600000000"/>
    <x v="1"/>
    <x v="46"/>
    <x v="2"/>
    <s v="MARIA ORTIZ"/>
    <d v="2016-05-24T00:00:00"/>
    <d v="2016-05-24T00:00:00"/>
    <x v="4"/>
    <x v="94"/>
    <x v="5"/>
    <n v="0"/>
    <x v="1"/>
    <n v="0"/>
    <n v="0"/>
    <n v="0"/>
    <x v="1"/>
    <x v="0"/>
    <n v="0"/>
  </r>
  <r>
    <n v="2879270000000"/>
    <x v="0"/>
    <x v="38"/>
    <x v="4"/>
    <s v="DA PENHA"/>
    <d v="2016-05-24T00:00:00"/>
    <d v="2016-05-24T00:00:00"/>
    <x v="4"/>
    <x v="94"/>
    <x v="5"/>
    <n v="1"/>
    <x v="1"/>
    <n v="0"/>
    <n v="0"/>
    <n v="0"/>
    <x v="1"/>
    <x v="0"/>
    <n v="0"/>
  </r>
  <r>
    <n v="729932000000"/>
    <x v="0"/>
    <x v="79"/>
    <x v="5"/>
    <s v="JARDIM CAMBURI"/>
    <d v="2016-05-24T00:00:00"/>
    <d v="2016-05-24T00:00:00"/>
    <x v="4"/>
    <x v="94"/>
    <x v="5"/>
    <n v="0"/>
    <x v="1"/>
    <n v="0"/>
    <n v="0"/>
    <n v="0"/>
    <x v="1"/>
    <x v="0"/>
    <n v="0"/>
  </r>
  <r>
    <n v="81831900000000"/>
    <x v="0"/>
    <x v="65"/>
    <x v="2"/>
    <s v="CONSOLACAO"/>
    <d v="2016-05-24T00:00:00"/>
    <d v="2016-05-24T00:00:00"/>
    <x v="4"/>
    <x v="94"/>
    <x v="5"/>
    <n v="1"/>
    <x v="1"/>
    <n v="0"/>
    <n v="0"/>
    <n v="0"/>
    <x v="1"/>
    <x v="0"/>
    <n v="0"/>
  </r>
  <r>
    <n v="178567000000"/>
    <x v="0"/>
    <x v="15"/>
    <x v="3"/>
    <s v="MATA DA PRAIA"/>
    <d v="2016-05-24T00:00:00"/>
    <d v="2016-05-24T00:00:00"/>
    <x v="4"/>
    <x v="94"/>
    <x v="5"/>
    <n v="0"/>
    <x v="1"/>
    <n v="0"/>
    <n v="0"/>
    <n v="0"/>
    <x v="1"/>
    <x v="0"/>
    <n v="0"/>
  </r>
  <r>
    <n v="36372700000000"/>
    <x v="1"/>
    <x v="54"/>
    <x v="1"/>
    <s v="MONTE BELO"/>
    <d v="2016-05-24T00:00:00"/>
    <d v="2016-05-24T00:00:00"/>
    <x v="4"/>
    <x v="94"/>
    <x v="5"/>
    <n v="0"/>
    <x v="1"/>
    <n v="0"/>
    <n v="0"/>
    <n v="0"/>
    <x v="1"/>
    <x v="0"/>
    <n v="0"/>
  </r>
  <r>
    <n v="79281600000000"/>
    <x v="1"/>
    <x v="57"/>
    <x v="2"/>
    <s v="REDENCAO"/>
    <d v="2016-05-24T00:00:00"/>
    <d v="2016-06-08T00:00:00"/>
    <x v="1"/>
    <x v="79"/>
    <x v="1"/>
    <n v="0"/>
    <x v="1"/>
    <n v="0"/>
    <n v="0"/>
    <n v="0"/>
    <x v="0"/>
    <x v="0"/>
    <n v="0"/>
  </r>
  <r>
    <n v="162754000000000"/>
    <x v="0"/>
    <x v="24"/>
    <x v="1"/>
    <s v="MARIA ORTIZ"/>
    <d v="2016-05-24T00:00:00"/>
    <d v="2016-05-24T00:00:00"/>
    <x v="4"/>
    <x v="94"/>
    <x v="5"/>
    <n v="0"/>
    <x v="1"/>
    <n v="0"/>
    <n v="0"/>
    <n v="0"/>
    <x v="1"/>
    <x v="0"/>
    <n v="0"/>
  </r>
  <r>
    <n v="38545700000000"/>
    <x v="0"/>
    <x v="38"/>
    <x v="4"/>
    <s v="CENTRO"/>
    <d v="2016-05-24T00:00:00"/>
    <d v="2016-05-24T00:00:00"/>
    <x v="4"/>
    <x v="94"/>
    <x v="5"/>
    <n v="0"/>
    <x v="1"/>
    <n v="0"/>
    <n v="0"/>
    <n v="0"/>
    <x v="1"/>
    <x v="0"/>
    <n v="0"/>
  </r>
  <r>
    <n v="617946000000"/>
    <x v="0"/>
    <x v="32"/>
    <x v="4"/>
    <s v="ROMAO"/>
    <d v="2016-05-24T00:00:00"/>
    <d v="2016-06-02T00:00:00"/>
    <x v="3"/>
    <x v="85"/>
    <x v="2"/>
    <n v="0"/>
    <x v="1"/>
    <n v="0"/>
    <n v="0"/>
    <n v="0"/>
    <x v="0"/>
    <x v="0"/>
    <n v="0"/>
  </r>
  <r>
    <n v="1864250000000"/>
    <x v="0"/>
    <x v="7"/>
    <x v="3"/>
    <s v="ENSEADA DO SUA"/>
    <d v="2016-05-24T00:00:00"/>
    <d v="2016-05-25T00:00:00"/>
    <x v="1"/>
    <x v="93"/>
    <x v="4"/>
    <n v="0"/>
    <x v="0"/>
    <n v="1"/>
    <n v="0"/>
    <n v="0"/>
    <x v="1"/>
    <x v="0"/>
    <n v="0"/>
  </r>
  <r>
    <n v="25937500000000"/>
    <x v="1"/>
    <x v="52"/>
    <x v="2"/>
    <s v="FORTE SAO JOAO"/>
    <d v="2016-05-24T00:00:00"/>
    <d v="2016-05-24T00:00:00"/>
    <x v="4"/>
    <x v="94"/>
    <x v="5"/>
    <n v="0"/>
    <x v="1"/>
    <n v="0"/>
    <n v="0"/>
    <n v="0"/>
    <x v="1"/>
    <x v="0"/>
    <n v="0"/>
  </r>
  <r>
    <n v="37942000000000"/>
    <x v="0"/>
    <x v="42"/>
    <x v="3"/>
    <s v="SAO PEDRO"/>
    <d v="2016-05-24T00:00:00"/>
    <d v="2016-05-24T00:00:00"/>
    <x v="4"/>
    <x v="94"/>
    <x v="5"/>
    <n v="0"/>
    <x v="0"/>
    <n v="0"/>
    <n v="0"/>
    <n v="0"/>
    <x v="1"/>
    <x v="0"/>
    <n v="0"/>
  </r>
  <r>
    <n v="352442000000000"/>
    <x v="1"/>
    <x v="48"/>
    <x v="3"/>
    <s v="NOVA PALESTINA"/>
    <d v="2016-05-24T00:00:00"/>
    <d v="2016-06-01T00:00:00"/>
    <x v="1"/>
    <x v="88"/>
    <x v="2"/>
    <n v="0"/>
    <x v="0"/>
    <n v="0"/>
    <n v="0"/>
    <n v="0"/>
    <x v="0"/>
    <x v="1"/>
    <n v="1"/>
  </r>
  <r>
    <n v="41276900000000"/>
    <x v="0"/>
    <x v="7"/>
    <x v="3"/>
    <s v="JARDIM DA PENHA"/>
    <d v="2016-05-24T00:00:00"/>
    <d v="2016-06-07T00:00:00"/>
    <x v="4"/>
    <x v="80"/>
    <x v="2"/>
    <n v="0"/>
    <x v="1"/>
    <n v="0"/>
    <n v="0"/>
    <n v="0"/>
    <x v="0"/>
    <x v="0"/>
    <n v="0"/>
  </r>
  <r>
    <n v="34162800000000"/>
    <x v="0"/>
    <x v="57"/>
    <x v="2"/>
    <s v="TABUAZEIRO"/>
    <d v="2016-05-24T00:00:00"/>
    <d v="2016-05-24T00:00:00"/>
    <x v="4"/>
    <x v="94"/>
    <x v="5"/>
    <n v="1"/>
    <x v="1"/>
    <n v="0"/>
    <n v="0"/>
    <n v="0"/>
    <x v="1"/>
    <x v="0"/>
    <n v="0"/>
  </r>
  <r>
    <n v="58516500000000"/>
    <x v="0"/>
    <x v="84"/>
    <x v="1"/>
    <s v="MARUIPE"/>
    <d v="2016-05-24T00:00:00"/>
    <d v="2016-05-24T00:00:00"/>
    <x v="4"/>
    <x v="94"/>
    <x v="5"/>
    <n v="0"/>
    <x v="1"/>
    <n v="0"/>
    <n v="0"/>
    <n v="0"/>
    <x v="1"/>
    <x v="0"/>
    <n v="0"/>
  </r>
  <r>
    <n v="7397880000000"/>
    <x v="0"/>
    <x v="69"/>
    <x v="4"/>
    <s v="CARATOIRA"/>
    <d v="2016-05-24T00:00:00"/>
    <d v="2016-05-24T00:00:00"/>
    <x v="4"/>
    <x v="94"/>
    <x v="5"/>
    <n v="0"/>
    <x v="1"/>
    <n v="0"/>
    <n v="0"/>
    <n v="0"/>
    <x v="1"/>
    <x v="0"/>
    <n v="0"/>
  </r>
  <r>
    <n v="243475000000"/>
    <x v="1"/>
    <x v="46"/>
    <x v="2"/>
    <s v="GURIGICA"/>
    <d v="2016-05-24T00:00:00"/>
    <d v="2016-05-30T00:00:00"/>
    <x v="2"/>
    <x v="90"/>
    <x v="3"/>
    <n v="0"/>
    <x v="1"/>
    <n v="0"/>
    <n v="0"/>
    <n v="0"/>
    <x v="0"/>
    <x v="1"/>
    <n v="1"/>
  </r>
  <r>
    <n v="81453700000000"/>
    <x v="1"/>
    <x v="69"/>
    <x v="4"/>
    <s v="SAO PEDRO"/>
    <d v="2016-05-24T00:00:00"/>
    <d v="2016-06-07T00:00:00"/>
    <x v="4"/>
    <x v="80"/>
    <x v="2"/>
    <n v="0"/>
    <x v="1"/>
    <n v="0"/>
    <n v="0"/>
    <n v="0"/>
    <x v="0"/>
    <x v="0"/>
    <n v="0"/>
  </r>
  <r>
    <n v="3625890000000"/>
    <x v="1"/>
    <x v="57"/>
    <x v="2"/>
    <s v="SANTA LUCIA"/>
    <d v="2016-05-24T00:00:00"/>
    <d v="2016-05-31T00:00:00"/>
    <x v="4"/>
    <x v="87"/>
    <x v="3"/>
    <n v="0"/>
    <x v="1"/>
    <n v="0"/>
    <n v="0"/>
    <n v="0"/>
    <x v="1"/>
    <x v="0"/>
    <n v="0"/>
  </r>
  <r>
    <n v="9677270000000"/>
    <x v="1"/>
    <x v="42"/>
    <x v="3"/>
    <s v="ROMAO"/>
    <d v="2016-05-24T00:00:00"/>
    <d v="2016-05-24T00:00:00"/>
    <x v="4"/>
    <x v="94"/>
    <x v="5"/>
    <n v="0"/>
    <x v="0"/>
    <n v="0"/>
    <n v="0"/>
    <n v="0"/>
    <x v="1"/>
    <x v="0"/>
    <n v="0"/>
  </r>
  <r>
    <n v="27585700000000"/>
    <x v="0"/>
    <x v="50"/>
    <x v="1"/>
    <s v="JOANA D ARC"/>
    <d v="2016-05-24T00:00:00"/>
    <d v="2016-05-24T00:00:00"/>
    <x v="4"/>
    <x v="94"/>
    <x v="5"/>
    <n v="0"/>
    <x v="1"/>
    <n v="0"/>
    <n v="0"/>
    <n v="0"/>
    <x v="1"/>
    <x v="0"/>
    <n v="0"/>
  </r>
  <r>
    <n v="46129800000000"/>
    <x v="0"/>
    <x v="7"/>
    <x v="3"/>
    <s v="MARUIPE"/>
    <d v="2016-05-24T00:00:00"/>
    <d v="2016-05-30T00:00:00"/>
    <x v="2"/>
    <x v="90"/>
    <x v="3"/>
    <n v="0"/>
    <x v="1"/>
    <n v="0"/>
    <n v="0"/>
    <n v="0"/>
    <x v="0"/>
    <x v="0"/>
    <n v="0"/>
  </r>
  <r>
    <n v="52584627848"/>
    <x v="0"/>
    <x v="79"/>
    <x v="5"/>
    <s v="NOVA PALESTINA"/>
    <d v="2016-05-24T00:00:00"/>
    <d v="2016-06-06T00:00:00"/>
    <x v="2"/>
    <x v="82"/>
    <x v="2"/>
    <n v="0"/>
    <x v="1"/>
    <n v="0"/>
    <n v="0"/>
    <n v="0"/>
    <x v="0"/>
    <x v="1"/>
    <n v="1"/>
  </r>
  <r>
    <n v="972395000000000"/>
    <x v="1"/>
    <x v="41"/>
    <x v="4"/>
    <s v="RESISTENCIA"/>
    <d v="2016-05-24T00:00:00"/>
    <d v="2016-05-31T00:00:00"/>
    <x v="4"/>
    <x v="87"/>
    <x v="3"/>
    <n v="0"/>
    <x v="1"/>
    <n v="0"/>
    <n v="0"/>
    <n v="0"/>
    <x v="0"/>
    <x v="1"/>
    <n v="1"/>
  </r>
  <r>
    <n v="333227000000"/>
    <x v="0"/>
    <x v="32"/>
    <x v="4"/>
    <s v="JABOUR"/>
    <d v="2016-05-24T00:00:00"/>
    <d v="2016-05-24T00:00:00"/>
    <x v="4"/>
    <x v="94"/>
    <x v="5"/>
    <n v="0"/>
    <x v="1"/>
    <n v="0"/>
    <n v="0"/>
    <n v="0"/>
    <x v="1"/>
    <x v="0"/>
    <n v="0"/>
  </r>
  <r>
    <n v="58869500000000"/>
    <x v="0"/>
    <x v="28"/>
    <x v="3"/>
    <s v="JARDIM CAMBURI"/>
    <d v="2016-05-24T00:00:00"/>
    <d v="2016-05-25T00:00:00"/>
    <x v="1"/>
    <x v="93"/>
    <x v="4"/>
    <n v="0"/>
    <x v="1"/>
    <n v="0"/>
    <n v="0"/>
    <n v="0"/>
    <x v="1"/>
    <x v="1"/>
    <n v="1"/>
  </r>
  <r>
    <n v="83655500000000"/>
    <x v="0"/>
    <x v="44"/>
    <x v="4"/>
    <s v="FORTE SAO JOAO"/>
    <d v="2016-05-24T00:00:00"/>
    <d v="2016-05-25T00:00:00"/>
    <x v="1"/>
    <x v="93"/>
    <x v="4"/>
    <n v="0"/>
    <x v="1"/>
    <n v="0"/>
    <n v="0"/>
    <n v="0"/>
    <x v="1"/>
    <x v="0"/>
    <n v="0"/>
  </r>
  <r>
    <n v="6946170000000"/>
    <x v="0"/>
    <x v="41"/>
    <x v="4"/>
    <s v="SAO CRISTOVAO"/>
    <d v="2016-05-24T00:00:00"/>
    <d v="2016-05-24T00:00:00"/>
    <x v="4"/>
    <x v="94"/>
    <x v="5"/>
    <n v="1"/>
    <x v="1"/>
    <n v="0"/>
    <n v="1"/>
    <n v="0"/>
    <x v="1"/>
    <x v="0"/>
    <n v="0"/>
  </r>
  <r>
    <n v="274590000000000"/>
    <x v="0"/>
    <x v="9"/>
    <x v="0"/>
    <s v="CENTRO"/>
    <d v="2016-05-24T00:00:00"/>
    <d v="2016-06-08T00:00:00"/>
    <x v="1"/>
    <x v="79"/>
    <x v="1"/>
    <n v="0"/>
    <x v="0"/>
    <n v="0"/>
    <n v="0"/>
    <n v="0"/>
    <x v="0"/>
    <x v="0"/>
    <n v="0"/>
  </r>
  <r>
    <n v="9111630000000"/>
    <x v="1"/>
    <x v="74"/>
    <x v="1"/>
    <s v="SANTA CECILIA"/>
    <d v="2016-05-24T00:00:00"/>
    <d v="2016-05-24T00:00:00"/>
    <x v="4"/>
    <x v="94"/>
    <x v="5"/>
    <n v="0"/>
    <x v="0"/>
    <n v="0"/>
    <n v="0"/>
    <n v="0"/>
    <x v="1"/>
    <x v="1"/>
    <n v="1"/>
  </r>
  <r>
    <n v="9668320000000"/>
    <x v="0"/>
    <x v="24"/>
    <x v="1"/>
    <s v="MONTE BELO"/>
    <d v="2016-05-24T00:00:00"/>
    <d v="2016-05-24T00:00:00"/>
    <x v="4"/>
    <x v="94"/>
    <x v="5"/>
    <n v="0"/>
    <x v="1"/>
    <n v="0"/>
    <n v="0"/>
    <n v="0"/>
    <x v="1"/>
    <x v="0"/>
    <n v="0"/>
  </r>
  <r>
    <n v="312299000000000"/>
    <x v="1"/>
    <x v="93"/>
    <x v="0"/>
    <s v="JARDIM CAMBURI"/>
    <d v="2016-05-24T00:00:00"/>
    <d v="2016-05-24T00:00:00"/>
    <x v="4"/>
    <x v="94"/>
    <x v="5"/>
    <n v="0"/>
    <x v="1"/>
    <n v="0"/>
    <n v="0"/>
    <n v="0"/>
    <x v="1"/>
    <x v="0"/>
    <n v="0"/>
  </r>
  <r>
    <n v="91297500000000"/>
    <x v="0"/>
    <x v="84"/>
    <x v="1"/>
    <s v="SANTA MARTHA"/>
    <d v="2016-05-24T00:00:00"/>
    <d v="2016-05-24T00:00:00"/>
    <x v="4"/>
    <x v="94"/>
    <x v="5"/>
    <n v="0"/>
    <x v="1"/>
    <n v="0"/>
    <n v="0"/>
    <n v="0"/>
    <x v="1"/>
    <x v="0"/>
    <n v="0"/>
  </r>
  <r>
    <n v="3828150000000"/>
    <x v="1"/>
    <x v="43"/>
    <x v="2"/>
    <s v="ILHA DE SANTA MARIA"/>
    <d v="2016-05-24T00:00:00"/>
    <d v="2016-05-24T00:00:00"/>
    <x v="4"/>
    <x v="94"/>
    <x v="5"/>
    <n v="0"/>
    <x v="1"/>
    <n v="0"/>
    <n v="0"/>
    <n v="0"/>
    <x v="1"/>
    <x v="0"/>
    <n v="0"/>
  </r>
  <r>
    <n v="9833620000000"/>
    <x v="0"/>
    <x v="76"/>
    <x v="0"/>
    <s v="BELA VISTA"/>
    <d v="2016-05-24T00:00:00"/>
    <d v="2016-05-24T00:00:00"/>
    <x v="4"/>
    <x v="94"/>
    <x v="5"/>
    <n v="0"/>
    <x v="0"/>
    <n v="0"/>
    <n v="0"/>
    <n v="0"/>
    <x v="1"/>
    <x v="0"/>
    <n v="0"/>
  </r>
  <r>
    <n v="8537790000000"/>
    <x v="1"/>
    <x v="81"/>
    <x v="5"/>
    <s v="JARDIM CAMBURI"/>
    <d v="2016-05-24T00:00:00"/>
    <d v="2016-05-24T00:00:00"/>
    <x v="4"/>
    <x v="94"/>
    <x v="5"/>
    <n v="0"/>
    <x v="1"/>
    <n v="0"/>
    <n v="0"/>
    <n v="0"/>
    <x v="1"/>
    <x v="0"/>
    <n v="0"/>
  </r>
  <r>
    <n v="41456400000000"/>
    <x v="0"/>
    <x v="55"/>
    <x v="2"/>
    <s v="NOVA PALESTINA"/>
    <d v="2016-05-24T00:00:00"/>
    <d v="2016-05-24T00:00:00"/>
    <x v="4"/>
    <x v="94"/>
    <x v="5"/>
    <n v="0"/>
    <x v="1"/>
    <n v="0"/>
    <n v="0"/>
    <n v="0"/>
    <x v="1"/>
    <x v="0"/>
    <n v="0"/>
  </r>
  <r>
    <n v="25599600000000"/>
    <x v="0"/>
    <x v="16"/>
    <x v="1"/>
    <s v="SANTA LUIZA"/>
    <d v="2016-05-24T00:00:00"/>
    <d v="2016-05-24T00:00:00"/>
    <x v="4"/>
    <x v="94"/>
    <x v="5"/>
    <n v="0"/>
    <x v="1"/>
    <n v="0"/>
    <n v="0"/>
    <n v="0"/>
    <x v="1"/>
    <x v="0"/>
    <n v="0"/>
  </r>
  <r>
    <n v="78314900000000"/>
    <x v="1"/>
    <x v="40"/>
    <x v="1"/>
    <s v="SANTO ANTONIO"/>
    <d v="2016-05-24T00:00:00"/>
    <d v="2016-05-31T00:00:00"/>
    <x v="4"/>
    <x v="87"/>
    <x v="3"/>
    <n v="0"/>
    <x v="1"/>
    <n v="0"/>
    <n v="0"/>
    <n v="0"/>
    <x v="0"/>
    <x v="0"/>
    <n v="0"/>
  </r>
  <r>
    <n v="421937000000000"/>
    <x v="1"/>
    <x v="44"/>
    <x v="4"/>
    <s v="INHANGUETA"/>
    <d v="2016-05-24T00:00:00"/>
    <d v="2016-05-31T00:00:00"/>
    <x v="4"/>
    <x v="87"/>
    <x v="3"/>
    <n v="0"/>
    <x v="1"/>
    <n v="0"/>
    <n v="0"/>
    <n v="0"/>
    <x v="1"/>
    <x v="0"/>
    <n v="0"/>
  </r>
  <r>
    <n v="5692570000000"/>
    <x v="0"/>
    <x v="81"/>
    <x v="5"/>
    <s v="JARDIM CAMBURI"/>
    <d v="2016-05-24T00:00:00"/>
    <d v="2016-06-02T00:00:00"/>
    <x v="3"/>
    <x v="85"/>
    <x v="2"/>
    <n v="0"/>
    <x v="1"/>
    <n v="0"/>
    <n v="0"/>
    <n v="0"/>
    <x v="0"/>
    <x v="1"/>
    <n v="1"/>
  </r>
  <r>
    <n v="874340000000000"/>
    <x v="0"/>
    <x v="5"/>
    <x v="1"/>
    <s v="JARDIM CAMBURI"/>
    <d v="2016-05-24T00:00:00"/>
    <d v="2016-05-31T00:00:00"/>
    <x v="4"/>
    <x v="87"/>
    <x v="3"/>
    <n v="0"/>
    <x v="1"/>
    <n v="0"/>
    <n v="0"/>
    <n v="0"/>
    <x v="0"/>
    <x v="0"/>
    <n v="0"/>
  </r>
  <r>
    <n v="6763480000000"/>
    <x v="1"/>
    <x v="73"/>
    <x v="4"/>
    <s v="JARDIM DA PENHA"/>
    <d v="2016-05-24T00:00:00"/>
    <d v="2016-05-24T00:00:00"/>
    <x v="4"/>
    <x v="94"/>
    <x v="5"/>
    <n v="0"/>
    <x v="1"/>
    <n v="0"/>
    <n v="0"/>
    <n v="0"/>
    <x v="1"/>
    <x v="0"/>
    <n v="0"/>
  </r>
  <r>
    <n v="59819281136"/>
    <x v="0"/>
    <x v="45"/>
    <x v="1"/>
    <s v="JARDIM CAMBURI"/>
    <d v="2016-05-24T00:00:00"/>
    <d v="2016-05-31T00:00:00"/>
    <x v="4"/>
    <x v="87"/>
    <x v="3"/>
    <n v="0"/>
    <x v="1"/>
    <n v="0"/>
    <n v="0"/>
    <n v="0"/>
    <x v="0"/>
    <x v="0"/>
    <n v="0"/>
  </r>
  <r>
    <n v="962445000000"/>
    <x v="0"/>
    <x v="77"/>
    <x v="4"/>
    <s v="ILHA DAS CAIEIRAS"/>
    <d v="2016-05-24T00:00:00"/>
    <d v="2016-05-24T00:00:00"/>
    <x v="4"/>
    <x v="94"/>
    <x v="5"/>
    <n v="0"/>
    <x v="1"/>
    <n v="0"/>
    <n v="0"/>
    <n v="0"/>
    <x v="1"/>
    <x v="0"/>
    <n v="0"/>
  </r>
  <r>
    <n v="381547000000000"/>
    <x v="1"/>
    <x v="72"/>
    <x v="5"/>
    <s v="MARIA ORTIZ"/>
    <d v="2016-05-24T00:00:00"/>
    <d v="2016-06-06T00:00:00"/>
    <x v="2"/>
    <x v="82"/>
    <x v="2"/>
    <n v="0"/>
    <x v="1"/>
    <n v="0"/>
    <n v="0"/>
    <n v="0"/>
    <x v="0"/>
    <x v="1"/>
    <n v="1"/>
  </r>
  <r>
    <n v="37483900000000"/>
    <x v="1"/>
    <x v="48"/>
    <x v="3"/>
    <s v="MATA DA PRAIA"/>
    <d v="2016-05-24T00:00:00"/>
    <d v="2016-06-03T00:00:00"/>
    <x v="0"/>
    <x v="83"/>
    <x v="2"/>
    <n v="0"/>
    <x v="1"/>
    <n v="0"/>
    <n v="0"/>
    <n v="0"/>
    <x v="0"/>
    <x v="0"/>
    <n v="0"/>
  </r>
  <r>
    <n v="1679430000000"/>
    <x v="1"/>
    <x v="52"/>
    <x v="2"/>
    <s v="SAO BENEDITO"/>
    <d v="2016-05-24T00:00:00"/>
    <d v="2016-05-24T00:00:00"/>
    <x v="4"/>
    <x v="94"/>
    <x v="5"/>
    <n v="0"/>
    <x v="1"/>
    <n v="0"/>
    <n v="0"/>
    <n v="0"/>
    <x v="1"/>
    <x v="0"/>
    <n v="0"/>
  </r>
  <r>
    <n v="12351400000000"/>
    <x v="0"/>
    <x v="84"/>
    <x v="1"/>
    <s v="FORTE SAO JOAO"/>
    <d v="2016-05-24T00:00:00"/>
    <d v="2016-05-31T00:00:00"/>
    <x v="4"/>
    <x v="87"/>
    <x v="3"/>
    <n v="0"/>
    <x v="1"/>
    <n v="0"/>
    <n v="0"/>
    <n v="0"/>
    <x v="0"/>
    <x v="0"/>
    <n v="0"/>
  </r>
  <r>
    <n v="877415000000"/>
    <x v="0"/>
    <x v="46"/>
    <x v="2"/>
    <s v="ILHA DAS CAIEIRAS"/>
    <d v="2016-05-24T00:00:00"/>
    <d v="2016-05-25T00:00:00"/>
    <x v="1"/>
    <x v="93"/>
    <x v="4"/>
    <n v="0"/>
    <x v="1"/>
    <n v="0"/>
    <n v="0"/>
    <n v="0"/>
    <x v="1"/>
    <x v="1"/>
    <n v="1"/>
  </r>
  <r>
    <n v="2698500000000"/>
    <x v="0"/>
    <x v="45"/>
    <x v="1"/>
    <s v="CONQUISTA"/>
    <d v="2016-05-24T00:00:00"/>
    <d v="2016-05-24T00:00:00"/>
    <x v="4"/>
    <x v="94"/>
    <x v="5"/>
    <n v="1"/>
    <x v="1"/>
    <n v="0"/>
    <n v="0"/>
    <n v="0"/>
    <x v="1"/>
    <x v="0"/>
    <n v="0"/>
  </r>
  <r>
    <n v="935378000000000"/>
    <x v="0"/>
    <x v="38"/>
    <x v="4"/>
    <s v="MARUIPE"/>
    <d v="2016-05-24T00:00:00"/>
    <d v="2016-05-24T00:00:00"/>
    <x v="4"/>
    <x v="94"/>
    <x v="5"/>
    <n v="1"/>
    <x v="0"/>
    <n v="0"/>
    <n v="1"/>
    <n v="0"/>
    <x v="1"/>
    <x v="0"/>
    <n v="0"/>
  </r>
  <r>
    <n v="19737400000000"/>
    <x v="0"/>
    <x v="25"/>
    <x v="4"/>
    <s v="ANDORINHAS"/>
    <d v="2016-05-24T00:00:00"/>
    <d v="2016-05-25T00:00:00"/>
    <x v="1"/>
    <x v="93"/>
    <x v="4"/>
    <n v="1"/>
    <x v="1"/>
    <n v="0"/>
    <n v="0"/>
    <n v="0"/>
    <x v="1"/>
    <x v="1"/>
    <n v="1"/>
  </r>
  <r>
    <n v="45387813178"/>
    <x v="0"/>
    <x v="15"/>
    <x v="3"/>
    <s v="GURIGICA"/>
    <d v="2016-05-24T00:00:00"/>
    <d v="2016-05-30T00:00:00"/>
    <x v="2"/>
    <x v="90"/>
    <x v="3"/>
    <n v="0"/>
    <x v="0"/>
    <n v="0"/>
    <n v="0"/>
    <n v="0"/>
    <x v="0"/>
    <x v="0"/>
    <n v="0"/>
  </r>
  <r>
    <n v="7856470000000"/>
    <x v="0"/>
    <x v="72"/>
    <x v="5"/>
    <s v="TABUAZEIRO"/>
    <d v="2016-05-24T00:00:00"/>
    <d v="2016-05-24T00:00:00"/>
    <x v="4"/>
    <x v="94"/>
    <x v="5"/>
    <n v="0"/>
    <x v="1"/>
    <n v="0"/>
    <n v="0"/>
    <n v="1"/>
    <x v="1"/>
    <x v="0"/>
    <n v="0"/>
  </r>
  <r>
    <n v="68739600000000"/>
    <x v="0"/>
    <x v="6"/>
    <x v="0"/>
    <s v="CENTRO"/>
    <d v="2016-05-24T00:00:00"/>
    <d v="2016-05-30T00:00:00"/>
    <x v="2"/>
    <x v="90"/>
    <x v="3"/>
    <n v="0"/>
    <x v="1"/>
    <n v="0"/>
    <n v="0"/>
    <n v="0"/>
    <x v="0"/>
    <x v="1"/>
    <n v="1"/>
  </r>
  <r>
    <n v="15585800000000"/>
    <x v="1"/>
    <x v="57"/>
    <x v="2"/>
    <s v="PRAIA DO SUA"/>
    <d v="2016-05-24T00:00:00"/>
    <d v="2016-06-01T00:00:00"/>
    <x v="1"/>
    <x v="88"/>
    <x v="2"/>
    <n v="1"/>
    <x v="1"/>
    <n v="0"/>
    <n v="0"/>
    <n v="0"/>
    <x v="0"/>
    <x v="1"/>
    <n v="1"/>
  </r>
  <r>
    <n v="366725000000"/>
    <x v="0"/>
    <x v="46"/>
    <x v="2"/>
    <s v="CONQUISTA"/>
    <d v="2016-05-24T00:00:00"/>
    <d v="2016-06-07T00:00:00"/>
    <x v="4"/>
    <x v="80"/>
    <x v="2"/>
    <n v="0"/>
    <x v="1"/>
    <n v="0"/>
    <n v="0"/>
    <n v="0"/>
    <x v="0"/>
    <x v="0"/>
    <n v="0"/>
  </r>
  <r>
    <n v="3449290000000"/>
    <x v="1"/>
    <x v="70"/>
    <x v="5"/>
    <s v="MARIA ORTIZ"/>
    <d v="2016-05-24T00:00:00"/>
    <d v="2016-05-24T00:00:00"/>
    <x v="4"/>
    <x v="94"/>
    <x v="5"/>
    <n v="0"/>
    <x v="1"/>
    <n v="0"/>
    <n v="0"/>
    <n v="0"/>
    <x v="1"/>
    <x v="0"/>
    <n v="0"/>
  </r>
  <r>
    <n v="78587200000000"/>
    <x v="0"/>
    <x v="51"/>
    <x v="2"/>
    <s v="JARDIM CAMBURI"/>
    <d v="2016-05-24T00:00:00"/>
    <d v="2016-05-24T00:00:00"/>
    <x v="4"/>
    <x v="94"/>
    <x v="5"/>
    <n v="0"/>
    <x v="1"/>
    <n v="0"/>
    <n v="0"/>
    <n v="0"/>
    <x v="1"/>
    <x v="0"/>
    <n v="0"/>
  </r>
  <r>
    <n v="562268000000000"/>
    <x v="1"/>
    <x v="79"/>
    <x v="5"/>
    <s v="ILHA DE SANTA MARIA"/>
    <d v="2016-05-24T00:00:00"/>
    <d v="2016-05-24T00:00:00"/>
    <x v="4"/>
    <x v="94"/>
    <x v="5"/>
    <n v="0"/>
    <x v="1"/>
    <n v="0"/>
    <n v="0"/>
    <n v="0"/>
    <x v="1"/>
    <x v="0"/>
    <n v="0"/>
  </r>
  <r>
    <n v="331716000000"/>
    <x v="1"/>
    <x v="69"/>
    <x v="4"/>
    <s v="JARDIM CAMBURI"/>
    <d v="2016-05-24T00:00:00"/>
    <d v="2016-05-25T00:00:00"/>
    <x v="1"/>
    <x v="93"/>
    <x v="4"/>
    <n v="0"/>
    <x v="1"/>
    <n v="0"/>
    <n v="0"/>
    <n v="0"/>
    <x v="1"/>
    <x v="0"/>
    <n v="0"/>
  </r>
  <r>
    <n v="42545200000000"/>
    <x v="0"/>
    <x v="46"/>
    <x v="2"/>
    <s v="JARDIM DA PENHA"/>
    <d v="2016-05-24T00:00:00"/>
    <d v="2016-05-24T00:00:00"/>
    <x v="4"/>
    <x v="94"/>
    <x v="5"/>
    <n v="0"/>
    <x v="1"/>
    <n v="0"/>
    <n v="0"/>
    <n v="0"/>
    <x v="1"/>
    <x v="0"/>
    <n v="0"/>
  </r>
  <r>
    <n v="218381000000000"/>
    <x v="0"/>
    <x v="23"/>
    <x v="3"/>
    <s v="INHANGUETA"/>
    <d v="2016-05-24T00:00:00"/>
    <d v="2016-05-30T00:00:00"/>
    <x v="2"/>
    <x v="90"/>
    <x v="3"/>
    <n v="0"/>
    <x v="0"/>
    <n v="1"/>
    <n v="0"/>
    <n v="0"/>
    <x v="0"/>
    <x v="0"/>
    <n v="0"/>
  </r>
  <r>
    <n v="22311800000000"/>
    <x v="0"/>
    <x v="91"/>
    <x v="0"/>
    <s v="VILA RUBIM"/>
    <d v="2016-05-24T00:00:00"/>
    <d v="2016-05-24T00:00:00"/>
    <x v="4"/>
    <x v="94"/>
    <x v="5"/>
    <n v="0"/>
    <x v="0"/>
    <n v="1"/>
    <n v="0"/>
    <n v="0"/>
    <x v="1"/>
    <x v="0"/>
    <n v="0"/>
  </r>
  <r>
    <n v="917255000000000"/>
    <x v="0"/>
    <x v="89"/>
    <x v="0"/>
    <s v="VILA RUBIM"/>
    <d v="2016-05-24T00:00:00"/>
    <d v="2016-05-24T00:00:00"/>
    <x v="4"/>
    <x v="94"/>
    <x v="5"/>
    <n v="0"/>
    <x v="1"/>
    <n v="1"/>
    <n v="0"/>
    <n v="0"/>
    <x v="1"/>
    <x v="0"/>
    <n v="0"/>
  </r>
  <r>
    <n v="417745000000000"/>
    <x v="0"/>
    <x v="81"/>
    <x v="5"/>
    <s v="JESUS DE NAZARETH"/>
    <d v="2016-05-24T00:00:00"/>
    <d v="2016-06-03T00:00:00"/>
    <x v="0"/>
    <x v="83"/>
    <x v="2"/>
    <n v="0"/>
    <x v="1"/>
    <n v="0"/>
    <n v="0"/>
    <n v="0"/>
    <x v="1"/>
    <x v="0"/>
    <n v="0"/>
  </r>
  <r>
    <n v="858977000000000"/>
    <x v="0"/>
    <x v="22"/>
    <x v="4"/>
    <s v="FONTE GRANDE"/>
    <d v="2016-05-24T00:00:00"/>
    <d v="2016-05-24T00:00:00"/>
    <x v="4"/>
    <x v="94"/>
    <x v="5"/>
    <n v="0"/>
    <x v="1"/>
    <n v="0"/>
    <n v="0"/>
    <n v="0"/>
    <x v="1"/>
    <x v="0"/>
    <n v="0"/>
  </r>
  <r>
    <n v="561412000000"/>
    <x v="0"/>
    <x v="23"/>
    <x v="3"/>
    <s v="MARIO CYPRESTE"/>
    <d v="2016-05-24T00:00:00"/>
    <d v="2016-05-30T00:00:00"/>
    <x v="2"/>
    <x v="90"/>
    <x v="3"/>
    <n v="0"/>
    <x v="1"/>
    <n v="0"/>
    <n v="0"/>
    <n v="0"/>
    <x v="0"/>
    <x v="1"/>
    <n v="1"/>
  </r>
  <r>
    <n v="33534800000000"/>
    <x v="1"/>
    <x v="2"/>
    <x v="1"/>
    <s v="DA PENHA"/>
    <d v="2016-05-24T00:00:00"/>
    <d v="2016-05-24T00:00:00"/>
    <x v="4"/>
    <x v="94"/>
    <x v="5"/>
    <n v="0"/>
    <x v="1"/>
    <n v="0"/>
    <n v="1"/>
    <n v="0"/>
    <x v="1"/>
    <x v="0"/>
    <n v="0"/>
  </r>
  <r>
    <n v="123974000000"/>
    <x v="0"/>
    <x v="52"/>
    <x v="2"/>
    <s v="BELA VISTA"/>
    <d v="2016-05-24T00:00:00"/>
    <d v="2016-05-24T00:00:00"/>
    <x v="4"/>
    <x v="94"/>
    <x v="5"/>
    <n v="0"/>
    <x v="1"/>
    <n v="0"/>
    <n v="0"/>
    <n v="0"/>
    <x v="1"/>
    <x v="1"/>
    <n v="1"/>
  </r>
  <r>
    <n v="611470000000000"/>
    <x v="0"/>
    <x v="24"/>
    <x v="1"/>
    <s v="MATA DA PRAIA"/>
    <d v="2016-05-24T00:00:00"/>
    <d v="2016-06-02T00:00:00"/>
    <x v="3"/>
    <x v="85"/>
    <x v="2"/>
    <n v="0"/>
    <x v="1"/>
    <n v="0"/>
    <n v="0"/>
    <n v="0"/>
    <x v="0"/>
    <x v="1"/>
    <n v="1"/>
  </r>
  <r>
    <n v="62629100000000"/>
    <x v="0"/>
    <x v="31"/>
    <x v="1"/>
    <s v="REDENCAO"/>
    <d v="2016-05-24T00:00:00"/>
    <d v="2016-06-06T00:00:00"/>
    <x v="2"/>
    <x v="82"/>
    <x v="2"/>
    <n v="0"/>
    <x v="0"/>
    <n v="0"/>
    <n v="0"/>
    <n v="0"/>
    <x v="0"/>
    <x v="0"/>
    <n v="0"/>
  </r>
  <r>
    <n v="648895000000"/>
    <x v="0"/>
    <x v="30"/>
    <x v="3"/>
    <s v="ROMAO"/>
    <d v="2016-05-24T00:00:00"/>
    <d v="2016-06-06T00:00:00"/>
    <x v="2"/>
    <x v="82"/>
    <x v="2"/>
    <n v="1"/>
    <x v="0"/>
    <n v="0"/>
    <n v="0"/>
    <n v="0"/>
    <x v="0"/>
    <x v="0"/>
    <n v="0"/>
  </r>
  <r>
    <n v="97524000000000"/>
    <x v="1"/>
    <x v="87"/>
    <x v="1"/>
    <s v="VILA RUBIM"/>
    <d v="2016-05-24T00:00:00"/>
    <d v="2016-06-08T00:00:00"/>
    <x v="1"/>
    <x v="79"/>
    <x v="1"/>
    <n v="0"/>
    <x v="1"/>
    <n v="0"/>
    <n v="1"/>
    <n v="0"/>
    <x v="1"/>
    <x v="1"/>
    <n v="1"/>
  </r>
  <r>
    <n v="22343400000000"/>
    <x v="0"/>
    <x v="83"/>
    <x v="0"/>
    <s v="GURIGICA"/>
    <d v="2016-05-24T00:00:00"/>
    <d v="2016-05-24T00:00:00"/>
    <x v="4"/>
    <x v="94"/>
    <x v="5"/>
    <n v="0"/>
    <x v="1"/>
    <n v="0"/>
    <n v="0"/>
    <n v="0"/>
    <x v="1"/>
    <x v="0"/>
    <n v="0"/>
  </r>
  <r>
    <n v="199419000000"/>
    <x v="0"/>
    <x v="79"/>
    <x v="5"/>
    <s v="SANTA MARTHA"/>
    <d v="2016-05-24T00:00:00"/>
    <d v="2016-05-24T00:00:00"/>
    <x v="4"/>
    <x v="94"/>
    <x v="5"/>
    <n v="0"/>
    <x v="1"/>
    <n v="0"/>
    <n v="0"/>
    <n v="0"/>
    <x v="1"/>
    <x v="0"/>
    <n v="0"/>
  </r>
  <r>
    <n v="229449000000000"/>
    <x v="1"/>
    <x v="89"/>
    <x v="0"/>
    <s v="CENTRO"/>
    <d v="2016-05-24T00:00:00"/>
    <d v="2016-05-30T00:00:00"/>
    <x v="2"/>
    <x v="90"/>
    <x v="3"/>
    <n v="0"/>
    <x v="0"/>
    <n v="0"/>
    <n v="0"/>
    <n v="0"/>
    <x v="0"/>
    <x v="0"/>
    <n v="0"/>
  </r>
  <r>
    <n v="84779800000000"/>
    <x v="0"/>
    <x v="37"/>
    <x v="3"/>
    <s v="DA PENHA"/>
    <d v="2016-05-24T00:00:00"/>
    <d v="2016-05-24T00:00:00"/>
    <x v="4"/>
    <x v="94"/>
    <x v="5"/>
    <n v="0"/>
    <x v="0"/>
    <n v="0"/>
    <n v="0"/>
    <n v="0"/>
    <x v="1"/>
    <x v="0"/>
    <n v="0"/>
  </r>
  <r>
    <n v="7718990000000"/>
    <x v="0"/>
    <x v="68"/>
    <x v="4"/>
    <s v="TABUAZEIRO"/>
    <d v="2016-05-24T00:00:00"/>
    <d v="2016-05-24T00:00:00"/>
    <x v="4"/>
    <x v="94"/>
    <x v="5"/>
    <n v="1"/>
    <x v="1"/>
    <n v="0"/>
    <n v="0"/>
    <n v="0"/>
    <x v="1"/>
    <x v="0"/>
    <n v="0"/>
  </r>
  <r>
    <n v="44564900000000"/>
    <x v="0"/>
    <x v="67"/>
    <x v="4"/>
    <s v="TABUAZEIRO"/>
    <d v="2016-05-24T00:00:00"/>
    <d v="2016-05-24T00:00:00"/>
    <x v="4"/>
    <x v="94"/>
    <x v="5"/>
    <n v="0"/>
    <x v="1"/>
    <n v="0"/>
    <n v="0"/>
    <n v="0"/>
    <x v="1"/>
    <x v="0"/>
    <n v="0"/>
  </r>
  <r>
    <n v="67585300000000"/>
    <x v="1"/>
    <x v="4"/>
    <x v="2"/>
    <s v="CARATOIRA"/>
    <d v="2016-05-24T00:00:00"/>
    <d v="2016-05-24T00:00:00"/>
    <x v="4"/>
    <x v="94"/>
    <x v="5"/>
    <n v="0"/>
    <x v="1"/>
    <n v="0"/>
    <n v="0"/>
    <n v="0"/>
    <x v="1"/>
    <x v="0"/>
    <n v="0"/>
  </r>
  <r>
    <n v="3243790000000"/>
    <x v="0"/>
    <x v="62"/>
    <x v="3"/>
    <s v="JARDIM DA PENHA"/>
    <d v="2016-05-24T00:00:00"/>
    <d v="2016-05-30T00:00:00"/>
    <x v="2"/>
    <x v="90"/>
    <x v="3"/>
    <n v="0"/>
    <x v="0"/>
    <n v="0"/>
    <n v="0"/>
    <n v="0"/>
    <x v="0"/>
    <x v="0"/>
    <n v="0"/>
  </r>
  <r>
    <n v="118431000000000"/>
    <x v="0"/>
    <x v="71"/>
    <x v="4"/>
    <s v="MARUIPE"/>
    <d v="2016-05-24T00:00:00"/>
    <d v="2016-06-02T00:00:00"/>
    <x v="3"/>
    <x v="85"/>
    <x v="2"/>
    <n v="0"/>
    <x v="1"/>
    <n v="0"/>
    <n v="0"/>
    <n v="0"/>
    <x v="0"/>
    <x v="0"/>
    <n v="0"/>
  </r>
  <r>
    <n v="8688660000000"/>
    <x v="0"/>
    <x v="71"/>
    <x v="4"/>
    <s v="BONFIM"/>
    <d v="2016-05-24T00:00:00"/>
    <d v="2016-05-30T00:00:00"/>
    <x v="2"/>
    <x v="90"/>
    <x v="3"/>
    <n v="1"/>
    <x v="1"/>
    <n v="0"/>
    <n v="0"/>
    <n v="0"/>
    <x v="0"/>
    <x v="0"/>
    <n v="0"/>
  </r>
  <r>
    <n v="89786200000000"/>
    <x v="1"/>
    <x v="46"/>
    <x v="2"/>
    <s v="MARIA ORTIZ"/>
    <d v="2016-05-24T00:00:00"/>
    <d v="2016-05-24T00:00:00"/>
    <x v="4"/>
    <x v="94"/>
    <x v="5"/>
    <n v="0"/>
    <x v="1"/>
    <n v="0"/>
    <n v="0"/>
    <n v="0"/>
    <x v="1"/>
    <x v="0"/>
    <n v="0"/>
  </r>
  <r>
    <n v="299838000000000"/>
    <x v="0"/>
    <x v="47"/>
    <x v="4"/>
    <s v="BARRO VERMELHO"/>
    <d v="2016-05-24T00:00:00"/>
    <d v="2016-05-31T00:00:00"/>
    <x v="4"/>
    <x v="87"/>
    <x v="3"/>
    <n v="0"/>
    <x v="1"/>
    <n v="0"/>
    <n v="0"/>
    <n v="0"/>
    <x v="0"/>
    <x v="0"/>
    <n v="0"/>
  </r>
  <r>
    <n v="4674269217"/>
    <x v="0"/>
    <x v="14"/>
    <x v="3"/>
    <s v="DO QUADRO"/>
    <d v="2016-05-24T00:00:00"/>
    <d v="2016-05-30T00:00:00"/>
    <x v="2"/>
    <x v="90"/>
    <x v="3"/>
    <n v="0"/>
    <x v="1"/>
    <n v="0"/>
    <n v="1"/>
    <n v="0"/>
    <x v="0"/>
    <x v="0"/>
    <n v="0"/>
  </r>
  <r>
    <n v="92357400000000"/>
    <x v="0"/>
    <x v="87"/>
    <x v="1"/>
    <s v="BONFIM"/>
    <d v="2016-05-24T00:00:00"/>
    <d v="2016-05-30T00:00:00"/>
    <x v="2"/>
    <x v="90"/>
    <x v="3"/>
    <n v="0"/>
    <x v="0"/>
    <n v="0"/>
    <n v="0"/>
    <n v="0"/>
    <x v="0"/>
    <x v="0"/>
    <n v="0"/>
  </r>
  <r>
    <n v="7995130000000"/>
    <x v="1"/>
    <x v="74"/>
    <x v="1"/>
    <s v="CARATOIRA"/>
    <d v="2016-05-24T00:00:00"/>
    <d v="2016-05-24T00:00:00"/>
    <x v="4"/>
    <x v="94"/>
    <x v="5"/>
    <n v="0"/>
    <x v="1"/>
    <n v="0"/>
    <n v="0"/>
    <n v="0"/>
    <x v="1"/>
    <x v="0"/>
    <n v="0"/>
  </r>
  <r>
    <n v="49475600000000"/>
    <x v="1"/>
    <x v="75"/>
    <x v="5"/>
    <s v="CARATOIRA"/>
    <d v="2016-05-24T00:00:00"/>
    <d v="2016-05-24T00:00:00"/>
    <x v="4"/>
    <x v="94"/>
    <x v="5"/>
    <n v="0"/>
    <x v="1"/>
    <n v="0"/>
    <n v="0"/>
    <n v="0"/>
    <x v="1"/>
    <x v="0"/>
    <n v="0"/>
  </r>
  <r>
    <n v="7415970000000"/>
    <x v="1"/>
    <x v="4"/>
    <x v="2"/>
    <s v="SANTO ANTONIO"/>
    <d v="2016-05-24T00:00:00"/>
    <d v="2016-05-24T00:00:00"/>
    <x v="4"/>
    <x v="94"/>
    <x v="5"/>
    <n v="0"/>
    <x v="1"/>
    <n v="0"/>
    <n v="0"/>
    <n v="0"/>
    <x v="1"/>
    <x v="0"/>
    <n v="0"/>
  </r>
  <r>
    <n v="736515000000000"/>
    <x v="0"/>
    <x v="17"/>
    <x v="4"/>
    <s v="MONTE BELO"/>
    <d v="2016-05-24T00:00:00"/>
    <d v="2016-05-24T00:00:00"/>
    <x v="4"/>
    <x v="94"/>
    <x v="5"/>
    <n v="0"/>
    <x v="1"/>
    <n v="0"/>
    <n v="0"/>
    <n v="0"/>
    <x v="1"/>
    <x v="0"/>
    <n v="0"/>
  </r>
  <r>
    <n v="794812000000000"/>
    <x v="1"/>
    <x v="69"/>
    <x v="4"/>
    <s v="BELA VISTA"/>
    <d v="2016-05-24T00:00:00"/>
    <d v="2016-06-03T00:00:00"/>
    <x v="0"/>
    <x v="83"/>
    <x v="2"/>
    <n v="0"/>
    <x v="1"/>
    <n v="0"/>
    <n v="0"/>
    <n v="0"/>
    <x v="0"/>
    <x v="0"/>
    <n v="0"/>
  </r>
  <r>
    <n v="8835940000000"/>
    <x v="1"/>
    <x v="14"/>
    <x v="3"/>
    <s v="GOIABEIRAS"/>
    <d v="2016-05-24T00:00:00"/>
    <d v="2016-06-06T00:00:00"/>
    <x v="2"/>
    <x v="82"/>
    <x v="2"/>
    <n v="0"/>
    <x v="1"/>
    <n v="0"/>
    <n v="0"/>
    <n v="0"/>
    <x v="0"/>
    <x v="0"/>
    <n v="0"/>
  </r>
  <r>
    <n v="7145570000000"/>
    <x v="1"/>
    <x v="51"/>
    <x v="2"/>
    <s v="SANTO ANTONIO"/>
    <d v="2016-05-24T00:00:00"/>
    <d v="2016-05-24T00:00:00"/>
    <x v="4"/>
    <x v="94"/>
    <x v="5"/>
    <n v="0"/>
    <x v="1"/>
    <n v="0"/>
    <n v="0"/>
    <n v="0"/>
    <x v="1"/>
    <x v="0"/>
    <n v="0"/>
  </r>
  <r>
    <n v="79238300000000"/>
    <x v="0"/>
    <x v="45"/>
    <x v="1"/>
    <s v="ITARARE"/>
    <d v="2016-05-24T00:00:00"/>
    <d v="2016-05-24T00:00:00"/>
    <x v="4"/>
    <x v="94"/>
    <x v="5"/>
    <n v="0"/>
    <x v="1"/>
    <n v="0"/>
    <n v="0"/>
    <n v="0"/>
    <x v="1"/>
    <x v="1"/>
    <n v="1"/>
  </r>
  <r>
    <n v="83261400000000"/>
    <x v="0"/>
    <x v="23"/>
    <x v="3"/>
    <s v="BELA VISTA"/>
    <d v="2016-05-24T00:00:00"/>
    <d v="2016-06-01T00:00:00"/>
    <x v="1"/>
    <x v="88"/>
    <x v="2"/>
    <n v="0"/>
    <x v="0"/>
    <n v="0"/>
    <n v="1"/>
    <n v="0"/>
    <x v="0"/>
    <x v="1"/>
    <n v="1"/>
  </r>
  <r>
    <n v="928790000000000"/>
    <x v="1"/>
    <x v="59"/>
    <x v="2"/>
    <s v="ILHA DO PRINCIPE"/>
    <d v="2016-05-24T00:00:00"/>
    <d v="2016-06-07T00:00:00"/>
    <x v="4"/>
    <x v="80"/>
    <x v="2"/>
    <n v="1"/>
    <x v="1"/>
    <n v="0"/>
    <n v="0"/>
    <n v="0"/>
    <x v="0"/>
    <x v="0"/>
    <n v="0"/>
  </r>
  <r>
    <n v="499198000000000"/>
    <x v="0"/>
    <x v="71"/>
    <x v="4"/>
    <s v="CARATOIRA"/>
    <d v="2016-05-24T00:00:00"/>
    <d v="2016-05-24T00:00:00"/>
    <x v="4"/>
    <x v="94"/>
    <x v="5"/>
    <n v="0"/>
    <x v="1"/>
    <n v="0"/>
    <n v="0"/>
    <n v="0"/>
    <x v="1"/>
    <x v="0"/>
    <n v="0"/>
  </r>
  <r>
    <n v="262423000000000"/>
    <x v="0"/>
    <x v="71"/>
    <x v="4"/>
    <s v="PRAIA DO SUA"/>
    <d v="2016-05-24T00:00:00"/>
    <d v="2016-05-24T00:00:00"/>
    <x v="4"/>
    <x v="94"/>
    <x v="5"/>
    <n v="0"/>
    <x v="1"/>
    <n v="0"/>
    <n v="0"/>
    <n v="0"/>
    <x v="1"/>
    <x v="0"/>
    <n v="0"/>
  </r>
  <r>
    <n v="94786400000000"/>
    <x v="1"/>
    <x v="90"/>
    <x v="0"/>
    <s v="ROMAO"/>
    <d v="2016-05-24T00:00:00"/>
    <d v="2016-05-25T00:00:00"/>
    <x v="1"/>
    <x v="93"/>
    <x v="4"/>
    <n v="0"/>
    <x v="0"/>
    <n v="1"/>
    <n v="0"/>
    <n v="0"/>
    <x v="1"/>
    <x v="0"/>
    <n v="0"/>
  </r>
  <r>
    <n v="45813600000000"/>
    <x v="0"/>
    <x v="12"/>
    <x v="3"/>
    <s v="JARDIM CAMBURI"/>
    <d v="2016-05-24T00:00:00"/>
    <d v="2016-05-25T00:00:00"/>
    <x v="1"/>
    <x v="93"/>
    <x v="4"/>
    <n v="0"/>
    <x v="1"/>
    <n v="0"/>
    <n v="0"/>
    <n v="0"/>
    <x v="1"/>
    <x v="0"/>
    <n v="0"/>
  </r>
  <r>
    <n v="42645700000000"/>
    <x v="0"/>
    <x v="16"/>
    <x v="1"/>
    <s v="SAO JOSE"/>
    <d v="2016-05-24T00:00:00"/>
    <d v="2016-05-25T00:00:00"/>
    <x v="1"/>
    <x v="93"/>
    <x v="4"/>
    <n v="0"/>
    <x v="1"/>
    <n v="0"/>
    <n v="0"/>
    <n v="0"/>
    <x v="1"/>
    <x v="0"/>
    <n v="0"/>
  </r>
  <r>
    <n v="412128000000"/>
    <x v="0"/>
    <x v="49"/>
    <x v="4"/>
    <s v="MATA DA PRAIA"/>
    <d v="2016-05-24T00:00:00"/>
    <d v="2016-05-25T00:00:00"/>
    <x v="1"/>
    <x v="93"/>
    <x v="4"/>
    <n v="0"/>
    <x v="1"/>
    <n v="1"/>
    <n v="0"/>
    <n v="0"/>
    <x v="1"/>
    <x v="1"/>
    <n v="1"/>
  </r>
  <r>
    <n v="5146670000000"/>
    <x v="0"/>
    <x v="67"/>
    <x v="4"/>
    <s v="BELA VISTA"/>
    <d v="2016-05-24T00:00:00"/>
    <d v="2016-05-24T00:00:00"/>
    <x v="4"/>
    <x v="94"/>
    <x v="5"/>
    <n v="1"/>
    <x v="1"/>
    <n v="0"/>
    <n v="0"/>
    <n v="0"/>
    <x v="1"/>
    <x v="0"/>
    <n v="0"/>
  </r>
  <r>
    <n v="134393000000000"/>
    <x v="0"/>
    <x v="10"/>
    <x v="4"/>
    <s v="JOANA D ARC"/>
    <d v="2016-05-24T00:00:00"/>
    <d v="2016-05-30T00:00:00"/>
    <x v="2"/>
    <x v="90"/>
    <x v="3"/>
    <n v="0"/>
    <x v="1"/>
    <n v="0"/>
    <n v="0"/>
    <n v="0"/>
    <x v="0"/>
    <x v="1"/>
    <n v="1"/>
  </r>
  <r>
    <n v="318375000000000"/>
    <x v="0"/>
    <x v="39"/>
    <x v="4"/>
    <s v="CONQUISTA"/>
    <d v="2016-05-24T00:00:00"/>
    <d v="2016-06-07T00:00:00"/>
    <x v="4"/>
    <x v="80"/>
    <x v="2"/>
    <n v="0"/>
    <x v="1"/>
    <n v="0"/>
    <n v="0"/>
    <n v="0"/>
    <x v="0"/>
    <x v="0"/>
    <n v="0"/>
  </r>
  <r>
    <n v="632669000000000"/>
    <x v="1"/>
    <x v="47"/>
    <x v="4"/>
    <s v="ANDORINHAS"/>
    <d v="2016-05-24T00:00:00"/>
    <d v="2016-06-02T00:00:00"/>
    <x v="3"/>
    <x v="85"/>
    <x v="2"/>
    <n v="1"/>
    <x v="1"/>
    <n v="0"/>
    <n v="0"/>
    <n v="0"/>
    <x v="1"/>
    <x v="1"/>
    <n v="1"/>
  </r>
  <r>
    <n v="836131000000"/>
    <x v="0"/>
    <x v="10"/>
    <x v="4"/>
    <s v="ESTRELINHA"/>
    <d v="2016-05-24T00:00:00"/>
    <d v="2016-06-02T00:00:00"/>
    <x v="3"/>
    <x v="85"/>
    <x v="2"/>
    <n v="0"/>
    <x v="1"/>
    <n v="0"/>
    <n v="0"/>
    <n v="0"/>
    <x v="0"/>
    <x v="0"/>
    <n v="0"/>
  </r>
  <r>
    <n v="46843600000000"/>
    <x v="0"/>
    <x v="50"/>
    <x v="1"/>
    <s v="GURIGICA"/>
    <d v="2016-05-24T00:00:00"/>
    <d v="2016-06-01T00:00:00"/>
    <x v="1"/>
    <x v="88"/>
    <x v="2"/>
    <n v="0"/>
    <x v="1"/>
    <n v="0"/>
    <n v="1"/>
    <n v="0"/>
    <x v="1"/>
    <x v="0"/>
    <n v="0"/>
  </r>
  <r>
    <n v="882650000000000"/>
    <x v="0"/>
    <x v="5"/>
    <x v="1"/>
    <s v="BELA VISTA"/>
    <d v="2016-05-24T00:00:00"/>
    <d v="2016-05-24T00:00:00"/>
    <x v="4"/>
    <x v="94"/>
    <x v="5"/>
    <n v="0"/>
    <x v="1"/>
    <n v="0"/>
    <n v="1"/>
    <n v="0"/>
    <x v="1"/>
    <x v="0"/>
    <n v="0"/>
  </r>
  <r>
    <n v="6973160000000"/>
    <x v="0"/>
    <x v="74"/>
    <x v="1"/>
    <s v="RESISTENCIA"/>
    <d v="2016-05-24T00:00:00"/>
    <d v="2016-05-24T00:00:00"/>
    <x v="4"/>
    <x v="94"/>
    <x v="5"/>
    <n v="0"/>
    <x v="1"/>
    <n v="0"/>
    <n v="0"/>
    <n v="0"/>
    <x v="1"/>
    <x v="0"/>
    <n v="0"/>
  </r>
  <r>
    <n v="465454000000"/>
    <x v="0"/>
    <x v="7"/>
    <x v="3"/>
    <s v="MARUIPE"/>
    <d v="2016-05-24T00:00:00"/>
    <d v="2016-05-31T00:00:00"/>
    <x v="4"/>
    <x v="87"/>
    <x v="3"/>
    <n v="0"/>
    <x v="0"/>
    <n v="0"/>
    <n v="0"/>
    <n v="0"/>
    <x v="0"/>
    <x v="0"/>
    <n v="0"/>
  </r>
  <r>
    <n v="832628000000"/>
    <x v="1"/>
    <x v="74"/>
    <x v="1"/>
    <s v="ITARARE"/>
    <d v="2016-05-24T00:00:00"/>
    <d v="2016-05-25T00:00:00"/>
    <x v="1"/>
    <x v="93"/>
    <x v="4"/>
    <n v="0"/>
    <x v="1"/>
    <n v="0"/>
    <n v="0"/>
    <n v="0"/>
    <x v="1"/>
    <x v="0"/>
    <n v="0"/>
  </r>
  <r>
    <n v="288927000000000"/>
    <x v="1"/>
    <x v="46"/>
    <x v="2"/>
    <s v="MARIA ORTIZ"/>
    <d v="2016-05-24T00:00:00"/>
    <d v="2016-06-07T00:00:00"/>
    <x v="4"/>
    <x v="80"/>
    <x v="2"/>
    <n v="0"/>
    <x v="1"/>
    <n v="0"/>
    <n v="0"/>
    <n v="0"/>
    <x v="0"/>
    <x v="0"/>
    <n v="0"/>
  </r>
  <r>
    <n v="7255560000000"/>
    <x v="0"/>
    <x v="50"/>
    <x v="1"/>
    <s v="JESUS DE NAZARETH"/>
    <d v="2016-05-24T00:00:00"/>
    <d v="2016-05-24T00:00:00"/>
    <x v="4"/>
    <x v="94"/>
    <x v="5"/>
    <n v="0"/>
    <x v="1"/>
    <n v="0"/>
    <n v="0"/>
    <n v="0"/>
    <x v="1"/>
    <x v="0"/>
    <n v="0"/>
  </r>
  <r>
    <n v="65611400000000"/>
    <x v="1"/>
    <x v="77"/>
    <x v="4"/>
    <s v="JARDIM CAMBURI"/>
    <d v="2016-05-24T00:00:00"/>
    <d v="2016-06-03T00:00:00"/>
    <x v="0"/>
    <x v="83"/>
    <x v="2"/>
    <n v="0"/>
    <x v="1"/>
    <n v="0"/>
    <n v="0"/>
    <n v="0"/>
    <x v="0"/>
    <x v="0"/>
    <n v="0"/>
  </r>
  <r>
    <n v="86898145598"/>
    <x v="0"/>
    <x v="4"/>
    <x v="2"/>
    <s v="JARDIM CAMBURI"/>
    <d v="2016-05-24T00:00:00"/>
    <d v="2016-05-24T00:00:00"/>
    <x v="4"/>
    <x v="94"/>
    <x v="5"/>
    <n v="0"/>
    <x v="1"/>
    <n v="0"/>
    <n v="0"/>
    <n v="0"/>
    <x v="1"/>
    <x v="0"/>
    <n v="0"/>
  </r>
  <r>
    <n v="59289400000000"/>
    <x v="0"/>
    <x v="16"/>
    <x v="1"/>
    <s v="ITARARE"/>
    <d v="2016-05-24T00:00:00"/>
    <d v="2016-05-24T00:00:00"/>
    <x v="4"/>
    <x v="94"/>
    <x v="5"/>
    <n v="0"/>
    <x v="1"/>
    <n v="0"/>
    <n v="0"/>
    <n v="0"/>
    <x v="1"/>
    <x v="0"/>
    <n v="0"/>
  </r>
  <r>
    <n v="882564000000"/>
    <x v="1"/>
    <x v="14"/>
    <x v="3"/>
    <s v="FONTE GRANDE"/>
    <d v="2016-05-24T00:00:00"/>
    <d v="2016-05-24T00:00:00"/>
    <x v="4"/>
    <x v="94"/>
    <x v="5"/>
    <n v="0"/>
    <x v="1"/>
    <n v="0"/>
    <n v="0"/>
    <n v="0"/>
    <x v="1"/>
    <x v="0"/>
    <n v="0"/>
  </r>
  <r>
    <n v="38951400000000"/>
    <x v="0"/>
    <x v="89"/>
    <x v="0"/>
    <s v="SANTA MARTHA"/>
    <d v="2016-05-24T00:00:00"/>
    <d v="2016-05-24T00:00:00"/>
    <x v="4"/>
    <x v="94"/>
    <x v="5"/>
    <n v="0"/>
    <x v="0"/>
    <n v="1"/>
    <n v="0"/>
    <n v="0"/>
    <x v="1"/>
    <x v="0"/>
    <n v="0"/>
  </r>
  <r>
    <n v="697928000000000"/>
    <x v="0"/>
    <x v="77"/>
    <x v="4"/>
    <s v="NOVA PALESTINA"/>
    <d v="2016-05-24T00:00:00"/>
    <d v="2016-05-25T00:00:00"/>
    <x v="1"/>
    <x v="93"/>
    <x v="4"/>
    <n v="0"/>
    <x v="1"/>
    <n v="0"/>
    <n v="0"/>
    <n v="0"/>
    <x v="1"/>
    <x v="0"/>
    <n v="0"/>
  </r>
  <r>
    <n v="9624210000000"/>
    <x v="1"/>
    <x v="16"/>
    <x v="1"/>
    <s v="JARDIM CAMBURI"/>
    <d v="2016-05-24T00:00:00"/>
    <d v="2016-06-01T00:00:00"/>
    <x v="1"/>
    <x v="88"/>
    <x v="2"/>
    <n v="0"/>
    <x v="0"/>
    <n v="0"/>
    <n v="0"/>
    <n v="0"/>
    <x v="0"/>
    <x v="0"/>
    <n v="0"/>
  </r>
  <r>
    <n v="239570000000"/>
    <x v="0"/>
    <x v="83"/>
    <x v="0"/>
    <s v="NAZARETH"/>
    <d v="2016-05-24T00:00:00"/>
    <d v="2016-06-07T00:00:00"/>
    <x v="4"/>
    <x v="80"/>
    <x v="2"/>
    <n v="0"/>
    <x v="1"/>
    <n v="0"/>
    <n v="0"/>
    <n v="0"/>
    <x v="1"/>
    <x v="0"/>
    <n v="0"/>
  </r>
  <r>
    <n v="38273400000000"/>
    <x v="0"/>
    <x v="54"/>
    <x v="1"/>
    <s v="ROMAO"/>
    <d v="2016-05-24T00:00:00"/>
    <d v="2016-06-03T00:00:00"/>
    <x v="0"/>
    <x v="83"/>
    <x v="2"/>
    <n v="0"/>
    <x v="0"/>
    <n v="0"/>
    <n v="0"/>
    <n v="0"/>
    <x v="0"/>
    <x v="0"/>
    <n v="0"/>
  </r>
  <r>
    <n v="41283800000000"/>
    <x v="0"/>
    <x v="69"/>
    <x v="4"/>
    <s v="CARATOIRA"/>
    <d v="2016-05-24T00:00:00"/>
    <d v="2016-05-24T00:00:00"/>
    <x v="4"/>
    <x v="94"/>
    <x v="5"/>
    <n v="0"/>
    <x v="1"/>
    <n v="0"/>
    <n v="0"/>
    <n v="0"/>
    <x v="1"/>
    <x v="0"/>
    <n v="0"/>
  </r>
  <r>
    <n v="79699800000000"/>
    <x v="0"/>
    <x v="0"/>
    <x v="0"/>
    <s v="REPUBLICA"/>
    <d v="2016-05-24T00:00:00"/>
    <d v="2016-06-06T00:00:00"/>
    <x v="2"/>
    <x v="82"/>
    <x v="2"/>
    <n v="0"/>
    <x v="1"/>
    <n v="1"/>
    <n v="0"/>
    <n v="0"/>
    <x v="1"/>
    <x v="1"/>
    <n v="1"/>
  </r>
  <r>
    <n v="189920000000000"/>
    <x v="0"/>
    <x v="16"/>
    <x v="1"/>
    <s v="RESISTENCIA"/>
    <d v="2016-05-24T00:00:00"/>
    <d v="2016-06-02T00:00:00"/>
    <x v="3"/>
    <x v="85"/>
    <x v="2"/>
    <n v="0"/>
    <x v="0"/>
    <n v="0"/>
    <n v="0"/>
    <n v="0"/>
    <x v="0"/>
    <x v="0"/>
    <n v="0"/>
  </r>
  <r>
    <n v="833647000000000"/>
    <x v="0"/>
    <x v="23"/>
    <x v="3"/>
    <s v="SAO JOSE"/>
    <d v="2016-05-24T00:00:00"/>
    <d v="2016-06-02T00:00:00"/>
    <x v="3"/>
    <x v="85"/>
    <x v="2"/>
    <n v="0"/>
    <x v="0"/>
    <n v="0"/>
    <n v="0"/>
    <n v="0"/>
    <x v="0"/>
    <x v="0"/>
    <n v="0"/>
  </r>
  <r>
    <n v="188232000000000"/>
    <x v="1"/>
    <x v="45"/>
    <x v="1"/>
    <s v="JABOUR"/>
    <d v="2016-05-24T00:00:00"/>
    <d v="2016-05-24T00:00:00"/>
    <x v="4"/>
    <x v="94"/>
    <x v="5"/>
    <n v="0"/>
    <x v="1"/>
    <n v="0"/>
    <n v="0"/>
    <n v="0"/>
    <x v="1"/>
    <x v="0"/>
    <n v="0"/>
  </r>
  <r>
    <n v="94297700000000"/>
    <x v="0"/>
    <x v="80"/>
    <x v="2"/>
    <s v="GRANDE VITORIA"/>
    <d v="2016-05-24T00:00:00"/>
    <d v="2016-05-24T00:00:00"/>
    <x v="4"/>
    <x v="94"/>
    <x v="5"/>
    <n v="0"/>
    <x v="1"/>
    <n v="0"/>
    <n v="0"/>
    <n v="0"/>
    <x v="1"/>
    <x v="0"/>
    <n v="0"/>
  </r>
  <r>
    <n v="241576000000000"/>
    <x v="0"/>
    <x v="62"/>
    <x v="3"/>
    <s v="CONSOLACAO"/>
    <d v="2016-05-24T00:00:00"/>
    <d v="2016-05-24T00:00:00"/>
    <x v="4"/>
    <x v="94"/>
    <x v="5"/>
    <n v="1"/>
    <x v="1"/>
    <n v="0"/>
    <n v="0"/>
    <n v="0"/>
    <x v="1"/>
    <x v="0"/>
    <n v="0"/>
  </r>
  <r>
    <n v="6583920000000"/>
    <x v="0"/>
    <x v="17"/>
    <x v="4"/>
    <s v="SANTO ANDRE"/>
    <d v="2016-05-24T00:00:00"/>
    <d v="2016-05-24T00:00:00"/>
    <x v="4"/>
    <x v="94"/>
    <x v="5"/>
    <n v="0"/>
    <x v="1"/>
    <n v="0"/>
    <n v="0"/>
    <n v="0"/>
    <x v="1"/>
    <x v="0"/>
    <n v="0"/>
  </r>
  <r>
    <n v="2519710000000"/>
    <x v="0"/>
    <x v="68"/>
    <x v="4"/>
    <s v="BONFIM"/>
    <d v="2016-05-24T00:00:00"/>
    <d v="2016-05-24T00:00:00"/>
    <x v="4"/>
    <x v="94"/>
    <x v="5"/>
    <n v="0"/>
    <x v="1"/>
    <n v="0"/>
    <n v="0"/>
    <n v="0"/>
    <x v="1"/>
    <x v="0"/>
    <n v="0"/>
  </r>
  <r>
    <n v="44419400000000"/>
    <x v="0"/>
    <x v="17"/>
    <x v="4"/>
    <s v="NOVA PALESTINA"/>
    <d v="2016-05-24T00:00:00"/>
    <d v="2016-05-24T00:00:00"/>
    <x v="4"/>
    <x v="94"/>
    <x v="5"/>
    <n v="0"/>
    <x v="0"/>
    <n v="0"/>
    <n v="0"/>
    <n v="0"/>
    <x v="1"/>
    <x v="0"/>
    <n v="0"/>
  </r>
  <r>
    <n v="135969000000000"/>
    <x v="0"/>
    <x v="56"/>
    <x v="1"/>
    <s v="CONQUISTA"/>
    <d v="2016-05-24T00:00:00"/>
    <d v="2016-05-24T00:00:00"/>
    <x v="4"/>
    <x v="94"/>
    <x v="5"/>
    <n v="0"/>
    <x v="1"/>
    <n v="0"/>
    <n v="0"/>
    <n v="0"/>
    <x v="1"/>
    <x v="0"/>
    <n v="0"/>
  </r>
  <r>
    <n v="514863000000000"/>
    <x v="0"/>
    <x v="0"/>
    <x v="0"/>
    <s v="ANDORINHAS"/>
    <d v="2016-05-24T00:00:00"/>
    <d v="2016-05-24T00:00:00"/>
    <x v="4"/>
    <x v="94"/>
    <x v="5"/>
    <n v="0"/>
    <x v="0"/>
    <n v="0"/>
    <n v="0"/>
    <n v="0"/>
    <x v="1"/>
    <x v="0"/>
    <n v="0"/>
  </r>
  <r>
    <n v="23274700000000"/>
    <x v="1"/>
    <x v="33"/>
    <x v="4"/>
    <s v="MONTE BELO"/>
    <d v="2016-05-24T00:00:00"/>
    <d v="2016-05-25T00:00:00"/>
    <x v="1"/>
    <x v="93"/>
    <x v="4"/>
    <n v="0"/>
    <x v="1"/>
    <n v="0"/>
    <n v="0"/>
    <n v="0"/>
    <x v="1"/>
    <x v="1"/>
    <n v="1"/>
  </r>
  <r>
    <n v="1484140000000"/>
    <x v="0"/>
    <x v="15"/>
    <x v="3"/>
    <s v="GRANDE VITORIA"/>
    <d v="2016-05-24T00:00:00"/>
    <d v="2016-05-30T00:00:00"/>
    <x v="2"/>
    <x v="90"/>
    <x v="3"/>
    <n v="0"/>
    <x v="0"/>
    <n v="0"/>
    <n v="0"/>
    <n v="0"/>
    <x v="0"/>
    <x v="0"/>
    <n v="0"/>
  </r>
  <r>
    <n v="692112000000000"/>
    <x v="0"/>
    <x v="89"/>
    <x v="0"/>
    <s v="JARDIM CAMBURI"/>
    <d v="2016-05-24T00:00:00"/>
    <d v="2016-05-24T00:00:00"/>
    <x v="4"/>
    <x v="94"/>
    <x v="5"/>
    <n v="0"/>
    <x v="1"/>
    <n v="0"/>
    <n v="0"/>
    <n v="0"/>
    <x v="1"/>
    <x v="0"/>
    <n v="0"/>
  </r>
  <r>
    <n v="4535320000000"/>
    <x v="0"/>
    <x v="32"/>
    <x v="4"/>
    <s v="JARDIM CAMBURI"/>
    <d v="2016-05-24T00:00:00"/>
    <d v="2016-05-24T00:00:00"/>
    <x v="4"/>
    <x v="94"/>
    <x v="5"/>
    <n v="0"/>
    <x v="1"/>
    <n v="0"/>
    <n v="0"/>
    <n v="0"/>
    <x v="1"/>
    <x v="0"/>
    <n v="0"/>
  </r>
  <r>
    <n v="98212600000000"/>
    <x v="0"/>
    <x v="4"/>
    <x v="2"/>
    <s v="SAO JOSE"/>
    <d v="2016-05-24T00:00:00"/>
    <d v="2016-06-06T00:00:00"/>
    <x v="2"/>
    <x v="82"/>
    <x v="2"/>
    <n v="0"/>
    <x v="1"/>
    <n v="0"/>
    <n v="0"/>
    <n v="0"/>
    <x v="0"/>
    <x v="0"/>
    <n v="0"/>
  </r>
  <r>
    <n v="4166760000000"/>
    <x v="1"/>
    <x v="68"/>
    <x v="4"/>
    <s v="HORTO"/>
    <d v="2016-05-24T00:00:00"/>
    <d v="2016-05-24T00:00:00"/>
    <x v="4"/>
    <x v="94"/>
    <x v="5"/>
    <n v="0"/>
    <x v="1"/>
    <n v="0"/>
    <n v="0"/>
    <n v="0"/>
    <x v="1"/>
    <x v="0"/>
    <n v="0"/>
  </r>
  <r>
    <n v="86417200000000"/>
    <x v="0"/>
    <x v="4"/>
    <x v="2"/>
    <s v="REDENCAO"/>
    <d v="2016-05-24T00:00:00"/>
    <d v="2016-06-06T00:00:00"/>
    <x v="2"/>
    <x v="82"/>
    <x v="2"/>
    <n v="0"/>
    <x v="1"/>
    <n v="0"/>
    <n v="0"/>
    <n v="0"/>
    <x v="0"/>
    <x v="0"/>
    <n v="0"/>
  </r>
  <r>
    <n v="83137600000000"/>
    <x v="0"/>
    <x v="49"/>
    <x v="4"/>
    <s v="BONFIM"/>
    <d v="2016-05-24T00:00:00"/>
    <d v="2016-06-07T00:00:00"/>
    <x v="4"/>
    <x v="80"/>
    <x v="2"/>
    <n v="0"/>
    <x v="1"/>
    <n v="0"/>
    <n v="0"/>
    <n v="0"/>
    <x v="1"/>
    <x v="0"/>
    <n v="0"/>
  </r>
  <r>
    <n v="17579900000000"/>
    <x v="0"/>
    <x v="50"/>
    <x v="1"/>
    <s v="JARDIM DA PENHA"/>
    <d v="2016-05-24T00:00:00"/>
    <d v="2016-05-24T00:00:00"/>
    <x v="4"/>
    <x v="94"/>
    <x v="5"/>
    <n v="0"/>
    <x v="1"/>
    <n v="0"/>
    <n v="0"/>
    <n v="0"/>
    <x v="1"/>
    <x v="0"/>
    <n v="0"/>
  </r>
  <r>
    <n v="1435465416"/>
    <x v="1"/>
    <x v="45"/>
    <x v="1"/>
    <s v="SANTOS DUMONT"/>
    <d v="2016-05-24T00:00:00"/>
    <d v="2016-05-25T00:00:00"/>
    <x v="1"/>
    <x v="93"/>
    <x v="4"/>
    <n v="0"/>
    <x v="0"/>
    <n v="0"/>
    <n v="0"/>
    <n v="0"/>
    <x v="1"/>
    <x v="0"/>
    <n v="0"/>
  </r>
  <r>
    <n v="33534800000000"/>
    <x v="1"/>
    <x v="2"/>
    <x v="1"/>
    <s v="DA PENHA"/>
    <d v="2016-05-24T00:00:00"/>
    <d v="2016-05-24T00:00:00"/>
    <x v="4"/>
    <x v="94"/>
    <x v="5"/>
    <n v="0"/>
    <x v="1"/>
    <n v="0"/>
    <n v="1"/>
    <n v="0"/>
    <x v="1"/>
    <x v="0"/>
    <n v="0"/>
  </r>
  <r>
    <n v="258424000000"/>
    <x v="1"/>
    <x v="21"/>
    <x v="1"/>
    <s v="BONFIM"/>
    <d v="2016-05-24T00:00:00"/>
    <d v="2016-05-24T00:00:00"/>
    <x v="4"/>
    <x v="94"/>
    <x v="5"/>
    <n v="0"/>
    <x v="0"/>
    <n v="0"/>
    <n v="1"/>
    <n v="0"/>
    <x v="1"/>
    <x v="0"/>
    <n v="0"/>
  </r>
  <r>
    <n v="853440000000000"/>
    <x v="0"/>
    <x v="50"/>
    <x v="1"/>
    <s v="ILHA DE SANTA MARIA"/>
    <d v="2016-05-24T00:00:00"/>
    <d v="2016-05-24T00:00:00"/>
    <x v="4"/>
    <x v="94"/>
    <x v="5"/>
    <n v="0"/>
    <x v="1"/>
    <n v="0"/>
    <n v="0"/>
    <n v="0"/>
    <x v="1"/>
    <x v="0"/>
    <n v="0"/>
  </r>
  <r>
    <n v="92848300000000"/>
    <x v="1"/>
    <x v="42"/>
    <x v="3"/>
    <s v="TABUAZEIRO"/>
    <d v="2016-05-24T00:00:00"/>
    <d v="2016-05-25T00:00:00"/>
    <x v="1"/>
    <x v="93"/>
    <x v="4"/>
    <n v="0"/>
    <x v="1"/>
    <n v="0"/>
    <n v="0"/>
    <n v="0"/>
    <x v="1"/>
    <x v="0"/>
    <n v="0"/>
  </r>
  <r>
    <n v="94535400000000"/>
    <x v="0"/>
    <x v="74"/>
    <x v="1"/>
    <s v="JARDIM CAMBURI"/>
    <d v="2016-05-24T00:00:00"/>
    <d v="2016-05-24T00:00:00"/>
    <x v="4"/>
    <x v="94"/>
    <x v="5"/>
    <n v="0"/>
    <x v="1"/>
    <n v="0"/>
    <n v="0"/>
    <n v="0"/>
    <x v="1"/>
    <x v="0"/>
    <n v="0"/>
  </r>
  <r>
    <n v="726973000000"/>
    <x v="0"/>
    <x v="74"/>
    <x v="1"/>
    <s v="SANTA MARTHA"/>
    <d v="2016-05-24T00:00:00"/>
    <d v="2016-05-24T00:00:00"/>
    <x v="4"/>
    <x v="94"/>
    <x v="5"/>
    <n v="0"/>
    <x v="1"/>
    <n v="0"/>
    <n v="1"/>
    <n v="0"/>
    <x v="1"/>
    <x v="0"/>
    <n v="0"/>
  </r>
  <r>
    <n v="87383400000000"/>
    <x v="1"/>
    <x v="64"/>
    <x v="3"/>
    <s v="SANTO ANDRE"/>
    <d v="2016-05-25T00:00:00"/>
    <d v="2016-05-31T00:00:00"/>
    <x v="4"/>
    <x v="90"/>
    <x v="3"/>
    <n v="0"/>
    <x v="0"/>
    <n v="0"/>
    <n v="0"/>
    <n v="0"/>
    <x v="0"/>
    <x v="0"/>
    <n v="0"/>
  </r>
  <r>
    <n v="5113700000000"/>
    <x v="0"/>
    <x v="29"/>
    <x v="3"/>
    <s v="JARDIM CAMBURI"/>
    <d v="2016-05-25T00:00:00"/>
    <d v="2016-05-31T00:00:00"/>
    <x v="4"/>
    <x v="90"/>
    <x v="3"/>
    <n v="0"/>
    <x v="1"/>
    <n v="0"/>
    <n v="0"/>
    <n v="0"/>
    <x v="0"/>
    <x v="0"/>
    <n v="0"/>
  </r>
  <r>
    <n v="8173600000000"/>
    <x v="1"/>
    <x v="74"/>
    <x v="1"/>
    <s v="REDENCAO"/>
    <d v="2016-05-25T00:00:00"/>
    <d v="2016-05-25T00:00:00"/>
    <x v="1"/>
    <x v="94"/>
    <x v="5"/>
    <n v="0"/>
    <x v="0"/>
    <n v="0"/>
    <n v="0"/>
    <n v="0"/>
    <x v="1"/>
    <x v="0"/>
    <n v="0"/>
  </r>
  <r>
    <n v="76899900000000"/>
    <x v="1"/>
    <x v="29"/>
    <x v="3"/>
    <s v="BELA VISTA"/>
    <d v="2016-05-25T00:00:00"/>
    <d v="2016-05-31T00:00:00"/>
    <x v="4"/>
    <x v="90"/>
    <x v="3"/>
    <n v="0"/>
    <x v="0"/>
    <n v="1"/>
    <n v="0"/>
    <n v="0"/>
    <x v="0"/>
    <x v="0"/>
    <n v="0"/>
  </r>
  <r>
    <n v="995197000000000"/>
    <x v="0"/>
    <x v="56"/>
    <x v="1"/>
    <s v="JARDIM DA PENHA"/>
    <d v="2016-05-25T00:00:00"/>
    <d v="2016-05-25T00:00:00"/>
    <x v="1"/>
    <x v="94"/>
    <x v="5"/>
    <n v="0"/>
    <x v="1"/>
    <n v="0"/>
    <n v="0"/>
    <n v="0"/>
    <x v="1"/>
    <x v="0"/>
    <n v="0"/>
  </r>
  <r>
    <n v="7423610000000"/>
    <x v="1"/>
    <x v="92"/>
    <x v="0"/>
    <s v="ITARARE"/>
    <d v="2016-05-25T00:00:00"/>
    <d v="2016-05-25T00:00:00"/>
    <x v="1"/>
    <x v="94"/>
    <x v="5"/>
    <n v="0"/>
    <x v="0"/>
    <n v="0"/>
    <n v="0"/>
    <n v="0"/>
    <x v="1"/>
    <x v="0"/>
    <n v="0"/>
  </r>
  <r>
    <n v="9924260000000"/>
    <x v="0"/>
    <x v="56"/>
    <x v="1"/>
    <s v="CARATOIRA"/>
    <d v="2016-05-25T00:00:00"/>
    <d v="2016-05-31T00:00:00"/>
    <x v="4"/>
    <x v="90"/>
    <x v="3"/>
    <n v="0"/>
    <x v="1"/>
    <n v="0"/>
    <n v="0"/>
    <n v="0"/>
    <x v="0"/>
    <x v="0"/>
    <n v="0"/>
  </r>
  <r>
    <n v="9394490000000"/>
    <x v="1"/>
    <x v="71"/>
    <x v="4"/>
    <s v="RESISTENCIA"/>
    <d v="2016-05-25T00:00:00"/>
    <d v="2016-05-25T00:00:00"/>
    <x v="1"/>
    <x v="94"/>
    <x v="5"/>
    <n v="0"/>
    <x v="1"/>
    <n v="0"/>
    <n v="0"/>
    <n v="0"/>
    <x v="1"/>
    <x v="0"/>
    <n v="0"/>
  </r>
  <r>
    <n v="14491900000000"/>
    <x v="0"/>
    <x v="36"/>
    <x v="3"/>
    <s v="NOVA PALESTINA"/>
    <d v="2016-05-25T00:00:00"/>
    <d v="2016-05-31T00:00:00"/>
    <x v="4"/>
    <x v="90"/>
    <x v="3"/>
    <n v="0"/>
    <x v="0"/>
    <n v="0"/>
    <n v="0"/>
    <n v="0"/>
    <x v="0"/>
    <x v="0"/>
    <n v="0"/>
  </r>
  <r>
    <n v="5926990000000"/>
    <x v="1"/>
    <x v="42"/>
    <x v="3"/>
    <s v="JESUS DE NAZARETH"/>
    <d v="2016-05-25T00:00:00"/>
    <d v="2016-05-25T00:00:00"/>
    <x v="1"/>
    <x v="94"/>
    <x v="5"/>
    <n v="0"/>
    <x v="1"/>
    <n v="0"/>
    <n v="0"/>
    <n v="0"/>
    <x v="1"/>
    <x v="0"/>
    <n v="0"/>
  </r>
  <r>
    <n v="17772500000000"/>
    <x v="1"/>
    <x v="47"/>
    <x v="4"/>
    <s v="SAO BENEDITO"/>
    <d v="2016-05-25T00:00:00"/>
    <d v="2016-06-02T00:00:00"/>
    <x v="3"/>
    <x v="88"/>
    <x v="2"/>
    <n v="0"/>
    <x v="1"/>
    <n v="0"/>
    <n v="0"/>
    <n v="0"/>
    <x v="0"/>
    <x v="0"/>
    <n v="0"/>
  </r>
  <r>
    <n v="33748600000000"/>
    <x v="1"/>
    <x v="70"/>
    <x v="5"/>
    <s v="DA PENHA"/>
    <d v="2016-05-25T00:00:00"/>
    <d v="2016-05-25T00:00:00"/>
    <x v="1"/>
    <x v="94"/>
    <x v="5"/>
    <n v="0"/>
    <x v="1"/>
    <n v="0"/>
    <n v="0"/>
    <n v="0"/>
    <x v="1"/>
    <x v="0"/>
    <n v="0"/>
  </r>
  <r>
    <n v="24231400000000"/>
    <x v="0"/>
    <x v="21"/>
    <x v="1"/>
    <s v="SANTA MARTHA"/>
    <d v="2016-05-25T00:00:00"/>
    <d v="2016-05-25T00:00:00"/>
    <x v="1"/>
    <x v="94"/>
    <x v="5"/>
    <n v="0"/>
    <x v="1"/>
    <n v="0"/>
    <n v="0"/>
    <n v="0"/>
    <x v="1"/>
    <x v="0"/>
    <n v="0"/>
  </r>
  <r>
    <n v="9547880000000"/>
    <x v="0"/>
    <x v="54"/>
    <x v="1"/>
    <s v="DO CABRAL"/>
    <d v="2016-05-25T00:00:00"/>
    <d v="2016-05-25T00:00:00"/>
    <x v="1"/>
    <x v="94"/>
    <x v="5"/>
    <n v="0"/>
    <x v="1"/>
    <n v="0"/>
    <n v="0"/>
    <n v="0"/>
    <x v="1"/>
    <x v="0"/>
    <n v="0"/>
  </r>
  <r>
    <n v="526547000000000"/>
    <x v="0"/>
    <x v="50"/>
    <x v="1"/>
    <s v="CARATOIRA"/>
    <d v="2016-05-25T00:00:00"/>
    <d v="2016-05-25T00:00:00"/>
    <x v="1"/>
    <x v="94"/>
    <x v="5"/>
    <n v="0"/>
    <x v="1"/>
    <n v="0"/>
    <n v="0"/>
    <n v="0"/>
    <x v="1"/>
    <x v="0"/>
    <n v="0"/>
  </r>
  <r>
    <n v="137839000000000"/>
    <x v="0"/>
    <x v="63"/>
    <x v="0"/>
    <s v="SAO CRISTOVAO"/>
    <d v="2016-05-25T00:00:00"/>
    <d v="2016-05-25T00:00:00"/>
    <x v="1"/>
    <x v="94"/>
    <x v="5"/>
    <n v="0"/>
    <x v="0"/>
    <n v="1"/>
    <n v="0"/>
    <n v="0"/>
    <x v="1"/>
    <x v="0"/>
    <n v="0"/>
  </r>
  <r>
    <n v="5899840000000"/>
    <x v="1"/>
    <x v="80"/>
    <x v="2"/>
    <s v="JESUS DE NAZARETH"/>
    <d v="2016-05-25T00:00:00"/>
    <d v="2016-05-30T00:00:00"/>
    <x v="2"/>
    <x v="92"/>
    <x v="3"/>
    <n v="0"/>
    <x v="1"/>
    <n v="0"/>
    <n v="0"/>
    <n v="0"/>
    <x v="0"/>
    <x v="0"/>
    <n v="0"/>
  </r>
  <r>
    <n v="36143500000000"/>
    <x v="0"/>
    <x v="56"/>
    <x v="1"/>
    <s v="GURIGICA"/>
    <d v="2016-05-25T00:00:00"/>
    <d v="2016-05-25T00:00:00"/>
    <x v="1"/>
    <x v="94"/>
    <x v="5"/>
    <n v="0"/>
    <x v="1"/>
    <n v="0"/>
    <n v="0"/>
    <n v="0"/>
    <x v="1"/>
    <x v="0"/>
    <n v="0"/>
  </r>
  <r>
    <n v="11552900000000"/>
    <x v="1"/>
    <x v="59"/>
    <x v="2"/>
    <s v="ITARARE"/>
    <d v="2016-05-25T00:00:00"/>
    <d v="2016-06-06T00:00:00"/>
    <x v="2"/>
    <x v="84"/>
    <x v="2"/>
    <n v="0"/>
    <x v="1"/>
    <n v="0"/>
    <n v="0"/>
    <n v="0"/>
    <x v="0"/>
    <x v="0"/>
    <n v="0"/>
  </r>
  <r>
    <n v="452834000000000"/>
    <x v="0"/>
    <x v="65"/>
    <x v="2"/>
    <s v="CARATOIRA"/>
    <d v="2016-05-25T00:00:00"/>
    <d v="2016-05-25T00:00:00"/>
    <x v="1"/>
    <x v="94"/>
    <x v="5"/>
    <n v="0"/>
    <x v="1"/>
    <n v="0"/>
    <n v="0"/>
    <n v="0"/>
    <x v="1"/>
    <x v="0"/>
    <n v="0"/>
  </r>
  <r>
    <n v="94552100000000"/>
    <x v="0"/>
    <x v="20"/>
    <x v="0"/>
    <s v="CENTRO"/>
    <d v="2016-05-25T00:00:00"/>
    <d v="2016-06-08T00:00:00"/>
    <x v="1"/>
    <x v="80"/>
    <x v="2"/>
    <n v="0"/>
    <x v="1"/>
    <n v="0"/>
    <n v="0"/>
    <n v="0"/>
    <x v="1"/>
    <x v="0"/>
    <n v="0"/>
  </r>
  <r>
    <n v="997248000000000"/>
    <x v="1"/>
    <x v="34"/>
    <x v="0"/>
    <s v="DA PENHA"/>
    <d v="2016-05-25T00:00:00"/>
    <d v="2016-05-25T00:00:00"/>
    <x v="1"/>
    <x v="94"/>
    <x v="5"/>
    <n v="0"/>
    <x v="0"/>
    <n v="0"/>
    <n v="0"/>
    <n v="0"/>
    <x v="1"/>
    <x v="0"/>
    <n v="0"/>
  </r>
  <r>
    <n v="2465290000000"/>
    <x v="0"/>
    <x v="45"/>
    <x v="1"/>
    <s v="RESISTENCIA"/>
    <d v="2016-05-25T00:00:00"/>
    <d v="2016-06-02T00:00:00"/>
    <x v="3"/>
    <x v="88"/>
    <x v="2"/>
    <n v="0"/>
    <x v="1"/>
    <n v="0"/>
    <n v="0"/>
    <n v="0"/>
    <x v="0"/>
    <x v="0"/>
    <n v="0"/>
  </r>
  <r>
    <n v="5679490000000"/>
    <x v="0"/>
    <x v="55"/>
    <x v="2"/>
    <s v="SANTO ANDRE"/>
    <d v="2016-05-25T00:00:00"/>
    <d v="2016-05-25T00:00:00"/>
    <x v="1"/>
    <x v="94"/>
    <x v="5"/>
    <n v="0"/>
    <x v="1"/>
    <n v="0"/>
    <n v="0"/>
    <n v="0"/>
    <x v="1"/>
    <x v="0"/>
    <n v="0"/>
  </r>
  <r>
    <n v="511866000000"/>
    <x v="1"/>
    <x v="46"/>
    <x v="2"/>
    <s v="TABUAZEIRO"/>
    <d v="2016-05-25T00:00:00"/>
    <d v="2016-05-25T00:00:00"/>
    <x v="1"/>
    <x v="94"/>
    <x v="5"/>
    <n v="0"/>
    <x v="1"/>
    <n v="0"/>
    <n v="0"/>
    <n v="0"/>
    <x v="1"/>
    <x v="0"/>
    <n v="0"/>
  </r>
  <r>
    <n v="112113000000"/>
    <x v="0"/>
    <x v="63"/>
    <x v="0"/>
    <s v="BOA VISTA"/>
    <d v="2016-05-25T00:00:00"/>
    <d v="2016-06-07T00:00:00"/>
    <x v="4"/>
    <x v="82"/>
    <x v="2"/>
    <n v="0"/>
    <x v="0"/>
    <n v="0"/>
    <n v="0"/>
    <n v="0"/>
    <x v="0"/>
    <x v="0"/>
    <n v="0"/>
  </r>
  <r>
    <n v="966623000000000"/>
    <x v="0"/>
    <x v="30"/>
    <x v="3"/>
    <s v="BELA VISTA"/>
    <d v="2016-05-25T00:00:00"/>
    <d v="2016-06-07T00:00:00"/>
    <x v="4"/>
    <x v="82"/>
    <x v="2"/>
    <n v="0"/>
    <x v="1"/>
    <n v="1"/>
    <n v="0"/>
    <n v="0"/>
    <x v="0"/>
    <x v="0"/>
    <n v="0"/>
  </r>
  <r>
    <n v="6478110000000"/>
    <x v="0"/>
    <x v="27"/>
    <x v="3"/>
    <s v="MATA DA PRAIA"/>
    <d v="2016-05-25T00:00:00"/>
    <d v="2016-06-08T00:00:00"/>
    <x v="1"/>
    <x v="80"/>
    <x v="2"/>
    <n v="0"/>
    <x v="1"/>
    <n v="0"/>
    <n v="0"/>
    <n v="0"/>
    <x v="0"/>
    <x v="0"/>
    <n v="0"/>
  </r>
  <r>
    <n v="83974600000000"/>
    <x v="1"/>
    <x v="84"/>
    <x v="1"/>
    <s v="JABOUR"/>
    <d v="2016-05-25T00:00:00"/>
    <d v="2016-05-25T00:00:00"/>
    <x v="1"/>
    <x v="94"/>
    <x v="5"/>
    <n v="0"/>
    <x v="1"/>
    <n v="0"/>
    <n v="0"/>
    <n v="0"/>
    <x v="1"/>
    <x v="0"/>
    <n v="0"/>
  </r>
  <r>
    <n v="9526380000000"/>
    <x v="1"/>
    <x v="12"/>
    <x v="3"/>
    <s v="NOVA PALESTINA"/>
    <d v="2016-05-25T00:00:00"/>
    <d v="2016-06-02T00:00:00"/>
    <x v="3"/>
    <x v="88"/>
    <x v="2"/>
    <n v="0"/>
    <x v="1"/>
    <n v="0"/>
    <n v="0"/>
    <n v="0"/>
    <x v="0"/>
    <x v="1"/>
    <n v="1"/>
  </r>
  <r>
    <n v="349772000000000"/>
    <x v="1"/>
    <x v="60"/>
    <x v="2"/>
    <s v="JARDIM DA PENHA"/>
    <d v="2016-05-25T00:00:00"/>
    <d v="2016-05-25T00:00:00"/>
    <x v="1"/>
    <x v="94"/>
    <x v="5"/>
    <n v="0"/>
    <x v="1"/>
    <n v="0"/>
    <n v="0"/>
    <n v="0"/>
    <x v="1"/>
    <x v="0"/>
    <n v="0"/>
  </r>
  <r>
    <n v="69867500000000"/>
    <x v="0"/>
    <x v="78"/>
    <x v="0"/>
    <s v="RESISTENCIA"/>
    <d v="2016-05-25T00:00:00"/>
    <d v="2016-06-01T00:00:00"/>
    <x v="1"/>
    <x v="87"/>
    <x v="3"/>
    <n v="0"/>
    <x v="0"/>
    <n v="1"/>
    <n v="0"/>
    <n v="0"/>
    <x v="0"/>
    <x v="0"/>
    <n v="0"/>
  </r>
  <r>
    <n v="24567200000000"/>
    <x v="1"/>
    <x v="46"/>
    <x v="2"/>
    <s v="JESUS DE NAZARETH"/>
    <d v="2016-05-25T00:00:00"/>
    <d v="2016-05-25T00:00:00"/>
    <x v="1"/>
    <x v="94"/>
    <x v="5"/>
    <n v="0"/>
    <x v="1"/>
    <n v="0"/>
    <n v="0"/>
    <n v="0"/>
    <x v="1"/>
    <x v="0"/>
    <n v="0"/>
  </r>
  <r>
    <n v="784331000000000"/>
    <x v="1"/>
    <x v="12"/>
    <x v="3"/>
    <s v="RESISTENCIA"/>
    <d v="2016-05-25T00:00:00"/>
    <d v="2016-06-03T00:00:00"/>
    <x v="0"/>
    <x v="85"/>
    <x v="2"/>
    <n v="0"/>
    <x v="1"/>
    <n v="0"/>
    <n v="0"/>
    <n v="0"/>
    <x v="0"/>
    <x v="1"/>
    <n v="1"/>
  </r>
  <r>
    <n v="618789000000"/>
    <x v="0"/>
    <x v="68"/>
    <x v="4"/>
    <s v="PARQUE MOSCOSO"/>
    <d v="2016-05-25T00:00:00"/>
    <d v="2016-05-25T00:00:00"/>
    <x v="1"/>
    <x v="94"/>
    <x v="5"/>
    <n v="0"/>
    <x v="1"/>
    <n v="0"/>
    <n v="0"/>
    <n v="0"/>
    <x v="1"/>
    <x v="0"/>
    <n v="0"/>
  </r>
  <r>
    <n v="24492600000000"/>
    <x v="0"/>
    <x v="29"/>
    <x v="3"/>
    <s v="BELA VISTA"/>
    <d v="2016-05-25T00:00:00"/>
    <d v="2016-05-31T00:00:00"/>
    <x v="4"/>
    <x v="90"/>
    <x v="3"/>
    <n v="0"/>
    <x v="0"/>
    <n v="0"/>
    <n v="0"/>
    <n v="0"/>
    <x v="0"/>
    <x v="0"/>
    <n v="0"/>
  </r>
  <r>
    <n v="8564410000000"/>
    <x v="1"/>
    <x v="45"/>
    <x v="1"/>
    <s v="SAO JOSE"/>
    <d v="2016-05-25T00:00:00"/>
    <d v="2016-05-30T00:00:00"/>
    <x v="2"/>
    <x v="92"/>
    <x v="3"/>
    <n v="0"/>
    <x v="0"/>
    <n v="0"/>
    <n v="0"/>
    <n v="0"/>
    <x v="0"/>
    <x v="0"/>
    <n v="0"/>
  </r>
  <r>
    <n v="815458000000000"/>
    <x v="0"/>
    <x v="12"/>
    <x v="3"/>
    <s v="REPUBLICA"/>
    <d v="2016-05-25T00:00:00"/>
    <d v="2016-06-08T00:00:00"/>
    <x v="1"/>
    <x v="80"/>
    <x v="2"/>
    <n v="0"/>
    <x v="1"/>
    <n v="0"/>
    <n v="0"/>
    <n v="0"/>
    <x v="0"/>
    <x v="0"/>
    <n v="0"/>
  </r>
  <r>
    <n v="484182000000"/>
    <x v="1"/>
    <x v="57"/>
    <x v="2"/>
    <s v="RESISTENCIA"/>
    <d v="2016-05-25T00:00:00"/>
    <d v="2016-05-25T00:00:00"/>
    <x v="1"/>
    <x v="94"/>
    <x v="5"/>
    <n v="0"/>
    <x v="1"/>
    <n v="0"/>
    <n v="0"/>
    <n v="0"/>
    <x v="1"/>
    <x v="0"/>
    <n v="0"/>
  </r>
  <r>
    <n v="6677240000000"/>
    <x v="0"/>
    <x v="37"/>
    <x v="3"/>
    <s v="JESUS DE NAZARETH"/>
    <d v="2016-05-25T00:00:00"/>
    <d v="2016-05-25T00:00:00"/>
    <x v="1"/>
    <x v="94"/>
    <x v="5"/>
    <n v="0"/>
    <x v="0"/>
    <n v="0"/>
    <n v="0"/>
    <n v="0"/>
    <x v="1"/>
    <x v="0"/>
    <n v="0"/>
  </r>
  <r>
    <n v="2737660000000"/>
    <x v="0"/>
    <x v="46"/>
    <x v="2"/>
    <s v="SAO BENEDITO"/>
    <d v="2016-05-25T00:00:00"/>
    <d v="2016-05-25T00:00:00"/>
    <x v="1"/>
    <x v="94"/>
    <x v="5"/>
    <n v="0"/>
    <x v="1"/>
    <n v="0"/>
    <n v="0"/>
    <n v="0"/>
    <x v="1"/>
    <x v="0"/>
    <n v="0"/>
  </r>
  <r>
    <n v="868526000000000"/>
    <x v="0"/>
    <x v="21"/>
    <x v="1"/>
    <s v="INHANGUETA"/>
    <d v="2016-05-25T00:00:00"/>
    <d v="2016-05-25T00:00:00"/>
    <x v="1"/>
    <x v="94"/>
    <x v="5"/>
    <n v="0"/>
    <x v="0"/>
    <n v="0"/>
    <n v="0"/>
    <n v="0"/>
    <x v="1"/>
    <x v="0"/>
    <n v="0"/>
  </r>
  <r>
    <n v="76325800000000"/>
    <x v="1"/>
    <x v="44"/>
    <x v="4"/>
    <s v="ESTRELINHA"/>
    <d v="2016-05-25T00:00:00"/>
    <d v="2016-05-31T00:00:00"/>
    <x v="4"/>
    <x v="90"/>
    <x v="3"/>
    <n v="0"/>
    <x v="1"/>
    <n v="0"/>
    <n v="0"/>
    <n v="0"/>
    <x v="0"/>
    <x v="0"/>
    <n v="0"/>
  </r>
  <r>
    <n v="67254200000000"/>
    <x v="1"/>
    <x v="52"/>
    <x v="2"/>
    <s v="SANTA MARTHA"/>
    <d v="2016-05-25T00:00:00"/>
    <d v="2016-05-30T00:00:00"/>
    <x v="2"/>
    <x v="92"/>
    <x v="3"/>
    <n v="0"/>
    <x v="1"/>
    <n v="0"/>
    <n v="0"/>
    <n v="0"/>
    <x v="0"/>
    <x v="1"/>
    <n v="1"/>
  </r>
  <r>
    <n v="949356000000"/>
    <x v="0"/>
    <x v="7"/>
    <x v="3"/>
    <s v="REPUBLICA"/>
    <d v="2016-05-25T00:00:00"/>
    <d v="2016-05-30T00:00:00"/>
    <x v="2"/>
    <x v="92"/>
    <x v="3"/>
    <n v="0"/>
    <x v="0"/>
    <n v="1"/>
    <n v="0"/>
    <n v="0"/>
    <x v="0"/>
    <x v="0"/>
    <n v="0"/>
  </r>
  <r>
    <n v="94878100000000"/>
    <x v="0"/>
    <x v="50"/>
    <x v="1"/>
    <s v="DA PENHA"/>
    <d v="2016-05-25T00:00:00"/>
    <d v="2016-05-30T00:00:00"/>
    <x v="2"/>
    <x v="92"/>
    <x v="3"/>
    <n v="1"/>
    <x v="1"/>
    <n v="0"/>
    <n v="0"/>
    <n v="0"/>
    <x v="0"/>
    <x v="0"/>
    <n v="0"/>
  </r>
  <r>
    <n v="1486710000000"/>
    <x v="1"/>
    <x v="18"/>
    <x v="0"/>
    <s v="JABOUR"/>
    <d v="2016-05-25T00:00:00"/>
    <d v="2016-05-30T00:00:00"/>
    <x v="2"/>
    <x v="92"/>
    <x v="3"/>
    <n v="0"/>
    <x v="1"/>
    <n v="0"/>
    <n v="0"/>
    <n v="0"/>
    <x v="0"/>
    <x v="0"/>
    <n v="0"/>
  </r>
  <r>
    <n v="9898810000000"/>
    <x v="0"/>
    <x v="15"/>
    <x v="3"/>
    <s v="ILHA DE SANTA MARIA"/>
    <d v="2016-05-25T00:00:00"/>
    <d v="2016-05-30T00:00:00"/>
    <x v="2"/>
    <x v="92"/>
    <x v="3"/>
    <n v="0"/>
    <x v="1"/>
    <n v="0"/>
    <n v="0"/>
    <n v="0"/>
    <x v="0"/>
    <x v="0"/>
    <n v="0"/>
  </r>
  <r>
    <n v="87929900000000"/>
    <x v="1"/>
    <x v="60"/>
    <x v="2"/>
    <s v="JOANA D ARC"/>
    <d v="2016-05-25T00:00:00"/>
    <d v="2016-06-08T00:00:00"/>
    <x v="1"/>
    <x v="80"/>
    <x v="2"/>
    <n v="0"/>
    <x v="1"/>
    <n v="0"/>
    <n v="0"/>
    <n v="0"/>
    <x v="0"/>
    <x v="0"/>
    <n v="0"/>
  </r>
  <r>
    <n v="986163000000000"/>
    <x v="0"/>
    <x v="45"/>
    <x v="1"/>
    <s v="SANTA MARTHA"/>
    <d v="2016-05-25T00:00:00"/>
    <d v="2016-05-25T00:00:00"/>
    <x v="1"/>
    <x v="94"/>
    <x v="5"/>
    <n v="0"/>
    <x v="1"/>
    <n v="0"/>
    <n v="1"/>
    <n v="0"/>
    <x v="1"/>
    <x v="0"/>
    <n v="0"/>
  </r>
  <r>
    <n v="341835000000000"/>
    <x v="1"/>
    <x v="87"/>
    <x v="1"/>
    <s v="RESISTENCIA"/>
    <d v="2016-05-25T00:00:00"/>
    <d v="2016-06-07T00:00:00"/>
    <x v="4"/>
    <x v="82"/>
    <x v="2"/>
    <n v="0"/>
    <x v="1"/>
    <n v="0"/>
    <n v="0"/>
    <n v="0"/>
    <x v="0"/>
    <x v="1"/>
    <n v="1"/>
  </r>
  <r>
    <n v="75797500000000"/>
    <x v="1"/>
    <x v="24"/>
    <x v="1"/>
    <s v="JARDIM CAMBURI"/>
    <d v="2016-05-25T00:00:00"/>
    <d v="2016-05-25T00:00:00"/>
    <x v="1"/>
    <x v="94"/>
    <x v="5"/>
    <n v="0"/>
    <x v="1"/>
    <n v="0"/>
    <n v="0"/>
    <n v="0"/>
    <x v="1"/>
    <x v="0"/>
    <n v="0"/>
  </r>
  <r>
    <n v="898662000000000"/>
    <x v="0"/>
    <x v="74"/>
    <x v="1"/>
    <s v="SANTO ANDRE"/>
    <d v="2016-05-25T00:00:00"/>
    <d v="2016-05-31T00:00:00"/>
    <x v="4"/>
    <x v="90"/>
    <x v="3"/>
    <n v="0"/>
    <x v="1"/>
    <n v="0"/>
    <n v="0"/>
    <n v="0"/>
    <x v="0"/>
    <x v="0"/>
    <n v="0"/>
  </r>
  <r>
    <n v="67575300000000"/>
    <x v="1"/>
    <x v="43"/>
    <x v="2"/>
    <s v="ILHA DAS CAIEIRAS"/>
    <d v="2016-05-25T00:00:00"/>
    <d v="2016-05-25T00:00:00"/>
    <x v="1"/>
    <x v="94"/>
    <x v="5"/>
    <n v="0"/>
    <x v="1"/>
    <n v="0"/>
    <n v="0"/>
    <n v="0"/>
    <x v="1"/>
    <x v="0"/>
    <n v="0"/>
  </r>
  <r>
    <n v="88835000000000"/>
    <x v="1"/>
    <x v="16"/>
    <x v="1"/>
    <s v="GRANDE VITORIA"/>
    <d v="2016-05-25T00:00:00"/>
    <d v="2016-05-25T00:00:00"/>
    <x v="1"/>
    <x v="94"/>
    <x v="5"/>
    <n v="0"/>
    <x v="1"/>
    <n v="0"/>
    <n v="0"/>
    <n v="1"/>
    <x v="1"/>
    <x v="0"/>
    <n v="0"/>
  </r>
  <r>
    <n v="871375000000000"/>
    <x v="1"/>
    <x v="7"/>
    <x v="3"/>
    <s v="ROMAO"/>
    <d v="2016-05-25T00:00:00"/>
    <d v="2016-05-25T00:00:00"/>
    <x v="1"/>
    <x v="94"/>
    <x v="5"/>
    <n v="0"/>
    <x v="1"/>
    <n v="0"/>
    <n v="1"/>
    <n v="0"/>
    <x v="1"/>
    <x v="0"/>
    <n v="0"/>
  </r>
  <r>
    <n v="648968000000000"/>
    <x v="0"/>
    <x v="77"/>
    <x v="4"/>
    <s v="ROMAO"/>
    <d v="2016-05-25T00:00:00"/>
    <d v="2016-05-25T00:00:00"/>
    <x v="1"/>
    <x v="94"/>
    <x v="5"/>
    <n v="0"/>
    <x v="1"/>
    <n v="0"/>
    <n v="0"/>
    <n v="0"/>
    <x v="1"/>
    <x v="0"/>
    <n v="0"/>
  </r>
  <r>
    <n v="8717160000000"/>
    <x v="0"/>
    <x v="24"/>
    <x v="1"/>
    <s v="TABUAZEIRO"/>
    <d v="2016-05-25T00:00:00"/>
    <d v="2016-05-30T00:00:00"/>
    <x v="2"/>
    <x v="92"/>
    <x v="3"/>
    <n v="1"/>
    <x v="1"/>
    <n v="0"/>
    <n v="0"/>
    <n v="0"/>
    <x v="0"/>
    <x v="0"/>
    <n v="0"/>
  </r>
  <r>
    <n v="944574000000000"/>
    <x v="0"/>
    <x v="74"/>
    <x v="1"/>
    <s v="CENTRO"/>
    <d v="2016-05-25T00:00:00"/>
    <d v="2016-05-25T00:00:00"/>
    <x v="1"/>
    <x v="94"/>
    <x v="5"/>
    <n v="0"/>
    <x v="1"/>
    <n v="0"/>
    <n v="0"/>
    <n v="0"/>
    <x v="1"/>
    <x v="0"/>
    <n v="0"/>
  </r>
  <r>
    <n v="932318000000"/>
    <x v="0"/>
    <x v="36"/>
    <x v="3"/>
    <s v="JARDIM CAMBURI"/>
    <d v="2016-05-25T00:00:00"/>
    <d v="2016-05-30T00:00:00"/>
    <x v="2"/>
    <x v="92"/>
    <x v="3"/>
    <n v="0"/>
    <x v="1"/>
    <n v="0"/>
    <n v="0"/>
    <n v="0"/>
    <x v="0"/>
    <x v="0"/>
    <n v="0"/>
  </r>
  <r>
    <n v="38865900000000"/>
    <x v="1"/>
    <x v="34"/>
    <x v="0"/>
    <s v="TABUAZEIRO"/>
    <d v="2016-05-25T00:00:00"/>
    <d v="2016-05-25T00:00:00"/>
    <x v="1"/>
    <x v="94"/>
    <x v="5"/>
    <n v="0"/>
    <x v="0"/>
    <n v="0"/>
    <n v="0"/>
    <n v="0"/>
    <x v="1"/>
    <x v="0"/>
    <n v="0"/>
  </r>
  <r>
    <n v="875754000000000"/>
    <x v="0"/>
    <x v="27"/>
    <x v="3"/>
    <s v="PRAIA DO SUA"/>
    <d v="2016-05-25T00:00:00"/>
    <d v="2016-05-25T00:00:00"/>
    <x v="1"/>
    <x v="94"/>
    <x v="5"/>
    <n v="0"/>
    <x v="0"/>
    <n v="0"/>
    <n v="0"/>
    <n v="0"/>
    <x v="1"/>
    <x v="0"/>
    <n v="0"/>
  </r>
  <r>
    <n v="516564000000000"/>
    <x v="0"/>
    <x v="46"/>
    <x v="2"/>
    <s v="SAO BENEDITO"/>
    <d v="2016-05-25T00:00:00"/>
    <d v="2016-05-25T00:00:00"/>
    <x v="1"/>
    <x v="94"/>
    <x v="5"/>
    <n v="0"/>
    <x v="1"/>
    <n v="0"/>
    <n v="0"/>
    <n v="0"/>
    <x v="1"/>
    <x v="0"/>
    <n v="0"/>
  </r>
  <r>
    <n v="59763800000000"/>
    <x v="0"/>
    <x v="18"/>
    <x v="0"/>
    <s v="ITARARE"/>
    <d v="2016-05-25T00:00:00"/>
    <d v="2016-05-25T00:00:00"/>
    <x v="1"/>
    <x v="94"/>
    <x v="5"/>
    <n v="0"/>
    <x v="0"/>
    <n v="1"/>
    <n v="0"/>
    <n v="0"/>
    <x v="1"/>
    <x v="0"/>
    <n v="0"/>
  </r>
  <r>
    <n v="59189900000000"/>
    <x v="1"/>
    <x v="74"/>
    <x v="1"/>
    <s v="ILHA DE SANTA MARIA"/>
    <d v="2016-05-25T00:00:00"/>
    <d v="2016-06-07T00:00:00"/>
    <x v="4"/>
    <x v="82"/>
    <x v="2"/>
    <n v="0"/>
    <x v="1"/>
    <n v="0"/>
    <n v="0"/>
    <n v="0"/>
    <x v="0"/>
    <x v="0"/>
    <n v="0"/>
  </r>
  <r>
    <n v="694247000000"/>
    <x v="0"/>
    <x v="50"/>
    <x v="1"/>
    <s v="CENTRO"/>
    <d v="2016-05-25T00:00:00"/>
    <d v="2016-05-30T00:00:00"/>
    <x v="2"/>
    <x v="92"/>
    <x v="3"/>
    <n v="0"/>
    <x v="1"/>
    <n v="0"/>
    <n v="0"/>
    <n v="0"/>
    <x v="1"/>
    <x v="1"/>
    <n v="1"/>
  </r>
  <r>
    <n v="29632400000000"/>
    <x v="0"/>
    <x v="66"/>
    <x v="2"/>
    <s v="MONTE BELO"/>
    <d v="2016-05-25T00:00:00"/>
    <d v="2016-06-01T00:00:00"/>
    <x v="1"/>
    <x v="87"/>
    <x v="3"/>
    <n v="0"/>
    <x v="1"/>
    <n v="0"/>
    <n v="0"/>
    <n v="0"/>
    <x v="0"/>
    <x v="0"/>
    <n v="0"/>
  </r>
  <r>
    <n v="8457560000000"/>
    <x v="0"/>
    <x v="59"/>
    <x v="2"/>
    <s v="FORTE SAO JOAO"/>
    <d v="2016-05-25T00:00:00"/>
    <d v="2016-06-02T00:00:00"/>
    <x v="3"/>
    <x v="88"/>
    <x v="2"/>
    <n v="0"/>
    <x v="1"/>
    <n v="0"/>
    <n v="0"/>
    <n v="0"/>
    <x v="0"/>
    <x v="1"/>
    <n v="1"/>
  </r>
  <r>
    <n v="84197900000000"/>
    <x v="1"/>
    <x v="83"/>
    <x v="0"/>
    <s v="ROMAO"/>
    <d v="2016-05-25T00:00:00"/>
    <d v="2016-05-31T00:00:00"/>
    <x v="4"/>
    <x v="90"/>
    <x v="3"/>
    <n v="0"/>
    <x v="0"/>
    <n v="0"/>
    <n v="0"/>
    <n v="0"/>
    <x v="1"/>
    <x v="0"/>
    <n v="0"/>
  </r>
  <r>
    <n v="46444300000000"/>
    <x v="1"/>
    <x v="80"/>
    <x v="2"/>
    <s v="BENTO FERREIRA"/>
    <d v="2016-05-25T00:00:00"/>
    <d v="2016-06-01T00:00:00"/>
    <x v="1"/>
    <x v="87"/>
    <x v="3"/>
    <n v="0"/>
    <x v="1"/>
    <n v="0"/>
    <n v="0"/>
    <n v="0"/>
    <x v="0"/>
    <x v="0"/>
    <n v="0"/>
  </r>
  <r>
    <n v="56421500000000"/>
    <x v="0"/>
    <x v="55"/>
    <x v="2"/>
    <s v="RESISTENCIA"/>
    <d v="2016-05-25T00:00:00"/>
    <d v="2016-05-25T00:00:00"/>
    <x v="1"/>
    <x v="94"/>
    <x v="5"/>
    <n v="0"/>
    <x v="1"/>
    <n v="0"/>
    <n v="0"/>
    <n v="0"/>
    <x v="1"/>
    <x v="0"/>
    <n v="0"/>
  </r>
  <r>
    <n v="784784000000000"/>
    <x v="1"/>
    <x v="48"/>
    <x v="3"/>
    <s v="MATA DA PRAIA"/>
    <d v="2016-05-25T00:00:00"/>
    <d v="2016-05-25T00:00:00"/>
    <x v="1"/>
    <x v="94"/>
    <x v="5"/>
    <n v="0"/>
    <x v="1"/>
    <n v="0"/>
    <n v="0"/>
    <n v="0"/>
    <x v="1"/>
    <x v="0"/>
    <n v="0"/>
  </r>
  <r>
    <n v="4258890000000"/>
    <x v="0"/>
    <x v="41"/>
    <x v="4"/>
    <s v="DA PENHA"/>
    <d v="2016-05-25T00:00:00"/>
    <d v="2016-05-25T00:00:00"/>
    <x v="1"/>
    <x v="94"/>
    <x v="5"/>
    <n v="0"/>
    <x v="1"/>
    <n v="0"/>
    <n v="0"/>
    <n v="1"/>
    <x v="1"/>
    <x v="1"/>
    <n v="1"/>
  </r>
  <r>
    <n v="6128880000000"/>
    <x v="0"/>
    <x v="42"/>
    <x v="3"/>
    <s v="PRAIA DO CANTO"/>
    <d v="2016-05-25T00:00:00"/>
    <d v="2016-06-01T00:00:00"/>
    <x v="1"/>
    <x v="87"/>
    <x v="3"/>
    <n v="0"/>
    <x v="1"/>
    <n v="0"/>
    <n v="0"/>
    <n v="0"/>
    <x v="0"/>
    <x v="0"/>
    <n v="0"/>
  </r>
  <r>
    <n v="85994976155"/>
    <x v="0"/>
    <x v="72"/>
    <x v="5"/>
    <s v="CENTRO"/>
    <d v="2016-05-25T00:00:00"/>
    <d v="2016-05-25T00:00:00"/>
    <x v="1"/>
    <x v="94"/>
    <x v="5"/>
    <n v="1"/>
    <x v="1"/>
    <n v="0"/>
    <n v="0"/>
    <n v="0"/>
    <x v="1"/>
    <x v="0"/>
    <n v="0"/>
  </r>
  <r>
    <n v="74576800000000"/>
    <x v="0"/>
    <x v="75"/>
    <x v="5"/>
    <s v="DA PENHA"/>
    <d v="2016-05-25T00:00:00"/>
    <d v="2016-05-25T00:00:00"/>
    <x v="1"/>
    <x v="94"/>
    <x v="5"/>
    <n v="1"/>
    <x v="1"/>
    <n v="0"/>
    <n v="0"/>
    <n v="0"/>
    <x v="1"/>
    <x v="0"/>
    <n v="0"/>
  </r>
  <r>
    <n v="9977160000000"/>
    <x v="0"/>
    <x v="65"/>
    <x v="2"/>
    <s v="SANTO ANDRE"/>
    <d v="2016-05-25T00:00:00"/>
    <d v="2016-05-25T00:00:00"/>
    <x v="1"/>
    <x v="94"/>
    <x v="5"/>
    <n v="0"/>
    <x v="1"/>
    <n v="0"/>
    <n v="0"/>
    <n v="0"/>
    <x v="1"/>
    <x v="0"/>
    <n v="0"/>
  </r>
  <r>
    <n v="47794500000000"/>
    <x v="1"/>
    <x v="83"/>
    <x v="0"/>
    <s v="MATA DA PRAIA"/>
    <d v="2016-05-25T00:00:00"/>
    <d v="2016-05-25T00:00:00"/>
    <x v="1"/>
    <x v="94"/>
    <x v="5"/>
    <n v="0"/>
    <x v="1"/>
    <n v="0"/>
    <n v="0"/>
    <n v="0"/>
    <x v="1"/>
    <x v="0"/>
    <n v="0"/>
  </r>
  <r>
    <n v="139395000000000"/>
    <x v="0"/>
    <x v="15"/>
    <x v="3"/>
    <s v="TABUAZEIRO"/>
    <d v="2016-05-25T00:00:00"/>
    <d v="2016-05-31T00:00:00"/>
    <x v="4"/>
    <x v="90"/>
    <x v="3"/>
    <n v="0"/>
    <x v="0"/>
    <n v="0"/>
    <n v="0"/>
    <n v="0"/>
    <x v="0"/>
    <x v="0"/>
    <n v="0"/>
  </r>
  <r>
    <n v="374295000000"/>
    <x v="1"/>
    <x v="4"/>
    <x v="2"/>
    <s v="RESISTENCIA"/>
    <d v="2016-05-25T00:00:00"/>
    <d v="2016-05-25T00:00:00"/>
    <x v="1"/>
    <x v="94"/>
    <x v="5"/>
    <n v="0"/>
    <x v="1"/>
    <n v="0"/>
    <n v="0"/>
    <n v="0"/>
    <x v="1"/>
    <x v="0"/>
    <n v="0"/>
  </r>
  <r>
    <n v="17467800000000"/>
    <x v="0"/>
    <x v="25"/>
    <x v="4"/>
    <s v="SANTA MARTHA"/>
    <d v="2016-05-25T00:00:00"/>
    <d v="2016-05-25T00:00:00"/>
    <x v="1"/>
    <x v="94"/>
    <x v="5"/>
    <n v="0"/>
    <x v="1"/>
    <n v="0"/>
    <n v="0"/>
    <n v="0"/>
    <x v="1"/>
    <x v="0"/>
    <n v="0"/>
  </r>
  <r>
    <n v="677697000000000"/>
    <x v="1"/>
    <x v="59"/>
    <x v="2"/>
    <s v="ANDORINHAS"/>
    <d v="2016-05-25T00:00:00"/>
    <d v="2016-05-25T00:00:00"/>
    <x v="1"/>
    <x v="94"/>
    <x v="5"/>
    <n v="0"/>
    <x v="1"/>
    <n v="0"/>
    <n v="0"/>
    <n v="0"/>
    <x v="1"/>
    <x v="0"/>
    <n v="0"/>
  </r>
  <r>
    <n v="94576700000000"/>
    <x v="0"/>
    <x v="54"/>
    <x v="1"/>
    <s v="JARDIM DA PENHA"/>
    <d v="2016-05-25T00:00:00"/>
    <d v="2016-06-02T00:00:00"/>
    <x v="3"/>
    <x v="88"/>
    <x v="2"/>
    <n v="0"/>
    <x v="1"/>
    <n v="0"/>
    <n v="0"/>
    <n v="0"/>
    <x v="0"/>
    <x v="0"/>
    <n v="0"/>
  </r>
  <r>
    <n v="33677300000000"/>
    <x v="1"/>
    <x v="68"/>
    <x v="4"/>
    <s v="CONSOLACAO"/>
    <d v="2016-05-25T00:00:00"/>
    <d v="2016-05-30T00:00:00"/>
    <x v="2"/>
    <x v="92"/>
    <x v="3"/>
    <n v="0"/>
    <x v="1"/>
    <n v="0"/>
    <n v="0"/>
    <n v="0"/>
    <x v="1"/>
    <x v="0"/>
    <n v="0"/>
  </r>
  <r>
    <n v="333343000000000"/>
    <x v="0"/>
    <x v="74"/>
    <x v="1"/>
    <s v="REPUBLICA"/>
    <d v="2016-05-25T00:00:00"/>
    <d v="2016-05-30T00:00:00"/>
    <x v="2"/>
    <x v="92"/>
    <x v="3"/>
    <n v="1"/>
    <x v="0"/>
    <n v="0"/>
    <n v="0"/>
    <n v="0"/>
    <x v="0"/>
    <x v="0"/>
    <n v="0"/>
  </r>
  <r>
    <n v="18523800000000"/>
    <x v="0"/>
    <x v="8"/>
    <x v="0"/>
    <s v="SAO CRISTOVAO"/>
    <d v="2016-05-25T00:00:00"/>
    <d v="2016-05-31T00:00:00"/>
    <x v="4"/>
    <x v="90"/>
    <x v="3"/>
    <n v="0"/>
    <x v="0"/>
    <n v="1"/>
    <n v="0"/>
    <n v="0"/>
    <x v="0"/>
    <x v="0"/>
    <n v="0"/>
  </r>
  <r>
    <n v="749334000000000"/>
    <x v="0"/>
    <x v="12"/>
    <x v="3"/>
    <s v="ILHA DAS CAIEIRAS"/>
    <d v="2016-05-25T00:00:00"/>
    <d v="2016-06-01T00:00:00"/>
    <x v="1"/>
    <x v="87"/>
    <x v="3"/>
    <n v="0"/>
    <x v="0"/>
    <n v="0"/>
    <n v="0"/>
    <n v="0"/>
    <x v="1"/>
    <x v="0"/>
    <n v="0"/>
  </r>
  <r>
    <n v="933363000000000"/>
    <x v="1"/>
    <x v="47"/>
    <x v="4"/>
    <s v="SANTA LUCIA"/>
    <d v="2016-05-25T00:00:00"/>
    <d v="2016-05-25T00:00:00"/>
    <x v="1"/>
    <x v="94"/>
    <x v="5"/>
    <n v="0"/>
    <x v="1"/>
    <n v="0"/>
    <n v="0"/>
    <n v="0"/>
    <x v="1"/>
    <x v="0"/>
    <n v="0"/>
  </r>
  <r>
    <n v="58646400000000"/>
    <x v="0"/>
    <x v="81"/>
    <x v="5"/>
    <s v="ILHA DO PRINCIPE"/>
    <d v="2016-05-25T00:00:00"/>
    <d v="2016-06-07T00:00:00"/>
    <x v="4"/>
    <x v="82"/>
    <x v="2"/>
    <n v="1"/>
    <x v="1"/>
    <n v="0"/>
    <n v="0"/>
    <n v="0"/>
    <x v="0"/>
    <x v="1"/>
    <n v="1"/>
  </r>
  <r>
    <n v="229852000000000"/>
    <x v="0"/>
    <x v="37"/>
    <x v="3"/>
    <s v="JUCUTUQUARA"/>
    <d v="2016-05-25T00:00:00"/>
    <d v="2016-05-31T00:00:00"/>
    <x v="4"/>
    <x v="90"/>
    <x v="3"/>
    <n v="0"/>
    <x v="1"/>
    <n v="0"/>
    <n v="0"/>
    <n v="0"/>
    <x v="0"/>
    <x v="0"/>
    <n v="0"/>
  </r>
  <r>
    <n v="9469220000000"/>
    <x v="0"/>
    <x v="17"/>
    <x v="4"/>
    <s v="JOANA D ARC"/>
    <d v="2016-05-25T00:00:00"/>
    <d v="2016-05-25T00:00:00"/>
    <x v="1"/>
    <x v="94"/>
    <x v="5"/>
    <n v="0"/>
    <x v="1"/>
    <n v="0"/>
    <n v="0"/>
    <n v="0"/>
    <x v="1"/>
    <x v="0"/>
    <n v="0"/>
  </r>
  <r>
    <n v="617495000000000"/>
    <x v="1"/>
    <x v="4"/>
    <x v="2"/>
    <s v="NOVA PALESTINA"/>
    <d v="2016-05-25T00:00:00"/>
    <d v="2016-06-01T00:00:00"/>
    <x v="1"/>
    <x v="87"/>
    <x v="3"/>
    <n v="0"/>
    <x v="1"/>
    <n v="0"/>
    <n v="0"/>
    <n v="0"/>
    <x v="0"/>
    <x v="1"/>
    <n v="1"/>
  </r>
  <r>
    <n v="58948200000000"/>
    <x v="0"/>
    <x v="92"/>
    <x v="0"/>
    <s v="DA PENHA"/>
    <d v="2016-05-25T00:00:00"/>
    <d v="2016-06-01T00:00:00"/>
    <x v="1"/>
    <x v="87"/>
    <x v="3"/>
    <n v="0"/>
    <x v="0"/>
    <n v="0"/>
    <n v="0"/>
    <n v="0"/>
    <x v="1"/>
    <x v="1"/>
    <n v="1"/>
  </r>
  <r>
    <n v="6721640000000"/>
    <x v="1"/>
    <x v="46"/>
    <x v="2"/>
    <s v="BONFIM"/>
    <d v="2016-05-25T00:00:00"/>
    <d v="2016-06-01T00:00:00"/>
    <x v="1"/>
    <x v="87"/>
    <x v="3"/>
    <n v="0"/>
    <x v="1"/>
    <n v="0"/>
    <n v="0"/>
    <n v="0"/>
    <x v="1"/>
    <x v="0"/>
    <n v="0"/>
  </r>
  <r>
    <n v="27627400000000"/>
    <x v="0"/>
    <x v="81"/>
    <x v="5"/>
    <s v="SANTO ANTONIO"/>
    <d v="2016-05-25T00:00:00"/>
    <d v="2016-05-25T00:00:00"/>
    <x v="1"/>
    <x v="94"/>
    <x v="5"/>
    <n v="0"/>
    <x v="1"/>
    <n v="0"/>
    <n v="0"/>
    <n v="1"/>
    <x v="1"/>
    <x v="0"/>
    <n v="0"/>
  </r>
  <r>
    <n v="95489700000000"/>
    <x v="0"/>
    <x v="63"/>
    <x v="0"/>
    <s v="JARDIM CAMBURI"/>
    <d v="2016-05-25T00:00:00"/>
    <d v="2016-05-31T00:00:00"/>
    <x v="4"/>
    <x v="90"/>
    <x v="3"/>
    <n v="0"/>
    <x v="1"/>
    <n v="0"/>
    <n v="0"/>
    <n v="0"/>
    <x v="0"/>
    <x v="0"/>
    <n v="0"/>
  </r>
  <r>
    <n v="11423500000000"/>
    <x v="0"/>
    <x v="73"/>
    <x v="4"/>
    <s v="SAO CRISTOVAO"/>
    <d v="2016-05-25T00:00:00"/>
    <d v="2016-05-25T00:00:00"/>
    <x v="1"/>
    <x v="94"/>
    <x v="5"/>
    <n v="0"/>
    <x v="1"/>
    <n v="0"/>
    <n v="0"/>
    <n v="0"/>
    <x v="1"/>
    <x v="0"/>
    <n v="0"/>
  </r>
  <r>
    <n v="2439366725"/>
    <x v="0"/>
    <x v="25"/>
    <x v="4"/>
    <s v="SANTO ANTONIO"/>
    <d v="2016-05-25T00:00:00"/>
    <d v="2016-05-31T00:00:00"/>
    <x v="4"/>
    <x v="90"/>
    <x v="3"/>
    <n v="0"/>
    <x v="1"/>
    <n v="0"/>
    <n v="0"/>
    <n v="0"/>
    <x v="0"/>
    <x v="0"/>
    <n v="0"/>
  </r>
  <r>
    <n v="585313000000"/>
    <x v="0"/>
    <x v="46"/>
    <x v="2"/>
    <s v="ANDORINHAS"/>
    <d v="2016-05-25T00:00:00"/>
    <d v="2016-05-25T00:00:00"/>
    <x v="1"/>
    <x v="94"/>
    <x v="5"/>
    <n v="0"/>
    <x v="1"/>
    <n v="0"/>
    <n v="0"/>
    <n v="0"/>
    <x v="1"/>
    <x v="0"/>
    <n v="0"/>
  </r>
  <r>
    <n v="8665930000000"/>
    <x v="0"/>
    <x v="23"/>
    <x v="3"/>
    <s v="ILHA DE SANTA MARIA"/>
    <d v="2016-05-25T00:00:00"/>
    <d v="2016-05-31T00:00:00"/>
    <x v="4"/>
    <x v="90"/>
    <x v="3"/>
    <n v="0"/>
    <x v="1"/>
    <n v="0"/>
    <n v="0"/>
    <n v="0"/>
    <x v="0"/>
    <x v="0"/>
    <n v="0"/>
  </r>
  <r>
    <n v="78644400000000"/>
    <x v="0"/>
    <x v="59"/>
    <x v="2"/>
    <s v="SAO BENEDITO"/>
    <d v="2016-05-25T00:00:00"/>
    <d v="2016-05-31T00:00:00"/>
    <x v="4"/>
    <x v="90"/>
    <x v="3"/>
    <n v="0"/>
    <x v="1"/>
    <n v="0"/>
    <n v="0"/>
    <n v="0"/>
    <x v="0"/>
    <x v="0"/>
    <n v="0"/>
  </r>
  <r>
    <n v="338490000000"/>
    <x v="1"/>
    <x v="57"/>
    <x v="2"/>
    <s v="MARIA ORTIZ"/>
    <d v="2016-05-25T00:00:00"/>
    <d v="2016-05-31T00:00:00"/>
    <x v="4"/>
    <x v="90"/>
    <x v="3"/>
    <n v="0"/>
    <x v="1"/>
    <n v="0"/>
    <n v="0"/>
    <n v="0"/>
    <x v="0"/>
    <x v="0"/>
    <n v="0"/>
  </r>
  <r>
    <n v="331520000000000"/>
    <x v="1"/>
    <x v="27"/>
    <x v="3"/>
    <s v="BELA VISTA"/>
    <d v="2016-05-25T00:00:00"/>
    <d v="2016-05-31T00:00:00"/>
    <x v="4"/>
    <x v="90"/>
    <x v="3"/>
    <n v="0"/>
    <x v="0"/>
    <n v="1"/>
    <n v="0"/>
    <n v="0"/>
    <x v="0"/>
    <x v="1"/>
    <n v="1"/>
  </r>
  <r>
    <n v="256913000000000"/>
    <x v="1"/>
    <x v="67"/>
    <x v="4"/>
    <s v="CARATOIRA"/>
    <d v="2016-05-25T00:00:00"/>
    <d v="2016-05-31T00:00:00"/>
    <x v="4"/>
    <x v="90"/>
    <x v="3"/>
    <n v="0"/>
    <x v="1"/>
    <n v="0"/>
    <n v="0"/>
    <n v="0"/>
    <x v="0"/>
    <x v="0"/>
    <n v="0"/>
  </r>
  <r>
    <n v="3463540000000"/>
    <x v="0"/>
    <x v="24"/>
    <x v="1"/>
    <s v="ANDORINHAS"/>
    <d v="2016-05-25T00:00:00"/>
    <d v="2016-05-30T00:00:00"/>
    <x v="2"/>
    <x v="92"/>
    <x v="3"/>
    <n v="1"/>
    <x v="1"/>
    <n v="0"/>
    <n v="0"/>
    <n v="0"/>
    <x v="0"/>
    <x v="0"/>
    <n v="0"/>
  </r>
  <r>
    <n v="33573514323"/>
    <x v="0"/>
    <x v="17"/>
    <x v="4"/>
    <s v="BOA VISTA"/>
    <d v="2016-05-25T00:00:00"/>
    <d v="2016-06-06T00:00:00"/>
    <x v="2"/>
    <x v="84"/>
    <x v="2"/>
    <n v="0"/>
    <x v="1"/>
    <n v="0"/>
    <n v="0"/>
    <n v="0"/>
    <x v="0"/>
    <x v="1"/>
    <n v="1"/>
  </r>
  <r>
    <n v="38517643991"/>
    <x v="1"/>
    <x v="64"/>
    <x v="3"/>
    <s v="INHANGUETA"/>
    <d v="2016-05-25T00:00:00"/>
    <d v="2016-05-31T00:00:00"/>
    <x v="4"/>
    <x v="90"/>
    <x v="3"/>
    <n v="0"/>
    <x v="1"/>
    <n v="0"/>
    <n v="0"/>
    <n v="0"/>
    <x v="0"/>
    <x v="1"/>
    <n v="1"/>
  </r>
  <r>
    <n v="774434000000000"/>
    <x v="0"/>
    <x v="79"/>
    <x v="5"/>
    <s v="MARIA ORTIZ"/>
    <d v="2016-05-25T00:00:00"/>
    <d v="2016-05-30T00:00:00"/>
    <x v="2"/>
    <x v="92"/>
    <x v="3"/>
    <n v="0"/>
    <x v="1"/>
    <n v="0"/>
    <n v="0"/>
    <n v="0"/>
    <x v="0"/>
    <x v="0"/>
    <n v="0"/>
  </r>
  <r>
    <n v="11549100000000"/>
    <x v="0"/>
    <x v="68"/>
    <x v="4"/>
    <s v="PRAIA DO CANTO"/>
    <d v="2016-05-25T00:00:00"/>
    <d v="2016-05-25T00:00:00"/>
    <x v="1"/>
    <x v="94"/>
    <x v="5"/>
    <n v="0"/>
    <x v="1"/>
    <n v="0"/>
    <n v="0"/>
    <n v="0"/>
    <x v="1"/>
    <x v="0"/>
    <n v="0"/>
  </r>
  <r>
    <n v="822146000000000"/>
    <x v="1"/>
    <x v="56"/>
    <x v="1"/>
    <s v="REDENCAO"/>
    <d v="2016-05-25T00:00:00"/>
    <d v="2016-05-25T00:00:00"/>
    <x v="1"/>
    <x v="94"/>
    <x v="5"/>
    <n v="0"/>
    <x v="1"/>
    <n v="0"/>
    <n v="0"/>
    <n v="0"/>
    <x v="1"/>
    <x v="0"/>
    <n v="0"/>
  </r>
  <r>
    <n v="79384300000000"/>
    <x v="0"/>
    <x v="38"/>
    <x v="4"/>
    <s v="RESISTENCIA"/>
    <d v="2016-05-25T00:00:00"/>
    <d v="2016-05-25T00:00:00"/>
    <x v="1"/>
    <x v="94"/>
    <x v="5"/>
    <n v="0"/>
    <x v="1"/>
    <n v="0"/>
    <n v="0"/>
    <n v="0"/>
    <x v="1"/>
    <x v="1"/>
    <n v="1"/>
  </r>
  <r>
    <n v="43898900000000"/>
    <x v="0"/>
    <x v="72"/>
    <x v="5"/>
    <s v="RESISTENCIA"/>
    <d v="2016-05-25T00:00:00"/>
    <d v="2016-05-25T00:00:00"/>
    <x v="1"/>
    <x v="94"/>
    <x v="5"/>
    <n v="0"/>
    <x v="1"/>
    <n v="0"/>
    <n v="0"/>
    <n v="0"/>
    <x v="1"/>
    <x v="1"/>
    <n v="1"/>
  </r>
  <r>
    <n v="251678000000"/>
    <x v="1"/>
    <x v="70"/>
    <x v="5"/>
    <s v="JARDIM DA PENHA"/>
    <d v="2016-05-25T00:00:00"/>
    <d v="2016-05-25T00:00:00"/>
    <x v="1"/>
    <x v="94"/>
    <x v="5"/>
    <n v="0"/>
    <x v="1"/>
    <n v="0"/>
    <n v="0"/>
    <n v="0"/>
    <x v="1"/>
    <x v="0"/>
    <n v="0"/>
  </r>
  <r>
    <n v="451586000000000"/>
    <x v="0"/>
    <x v="48"/>
    <x v="3"/>
    <s v="SANTO ANTONIO"/>
    <d v="2016-05-25T00:00:00"/>
    <d v="2016-05-31T00:00:00"/>
    <x v="4"/>
    <x v="90"/>
    <x v="3"/>
    <n v="0"/>
    <x v="1"/>
    <n v="0"/>
    <n v="0"/>
    <n v="0"/>
    <x v="0"/>
    <x v="0"/>
    <n v="0"/>
  </r>
  <r>
    <n v="86469700000000"/>
    <x v="1"/>
    <x v="21"/>
    <x v="1"/>
    <s v="CENTRO"/>
    <d v="2016-05-25T00:00:00"/>
    <d v="2016-05-31T00:00:00"/>
    <x v="4"/>
    <x v="90"/>
    <x v="3"/>
    <n v="0"/>
    <x v="1"/>
    <n v="0"/>
    <n v="0"/>
    <n v="0"/>
    <x v="0"/>
    <x v="0"/>
    <n v="0"/>
  </r>
  <r>
    <n v="977922000000000"/>
    <x v="0"/>
    <x v="45"/>
    <x v="1"/>
    <s v="REPUBLICA"/>
    <d v="2016-05-25T00:00:00"/>
    <d v="2016-05-31T00:00:00"/>
    <x v="4"/>
    <x v="90"/>
    <x v="3"/>
    <n v="0"/>
    <x v="1"/>
    <n v="0"/>
    <n v="0"/>
    <n v="0"/>
    <x v="0"/>
    <x v="0"/>
    <n v="0"/>
  </r>
  <r>
    <n v="6511660000000"/>
    <x v="0"/>
    <x v="49"/>
    <x v="4"/>
    <s v="DA PENHA"/>
    <d v="2016-05-25T00:00:00"/>
    <d v="2016-05-25T00:00:00"/>
    <x v="1"/>
    <x v="94"/>
    <x v="5"/>
    <n v="0"/>
    <x v="1"/>
    <n v="0"/>
    <n v="0"/>
    <n v="0"/>
    <x v="1"/>
    <x v="0"/>
    <n v="0"/>
  </r>
  <r>
    <n v="6483670000000"/>
    <x v="0"/>
    <x v="2"/>
    <x v="1"/>
    <s v="MARIA ORTIZ"/>
    <d v="2016-05-25T00:00:00"/>
    <d v="2016-05-25T00:00:00"/>
    <x v="1"/>
    <x v="94"/>
    <x v="5"/>
    <n v="0"/>
    <x v="1"/>
    <n v="0"/>
    <n v="0"/>
    <n v="0"/>
    <x v="1"/>
    <x v="0"/>
    <n v="0"/>
  </r>
  <r>
    <n v="32757000000000"/>
    <x v="0"/>
    <x v="30"/>
    <x v="3"/>
    <s v="SAO BENEDITO"/>
    <d v="2016-05-25T00:00:00"/>
    <d v="2016-05-30T00:00:00"/>
    <x v="2"/>
    <x v="92"/>
    <x v="3"/>
    <n v="0"/>
    <x v="0"/>
    <n v="0"/>
    <n v="0"/>
    <n v="0"/>
    <x v="1"/>
    <x v="1"/>
    <n v="1"/>
  </r>
  <r>
    <n v="938554000000000"/>
    <x v="1"/>
    <x v="85"/>
    <x v="0"/>
    <s v="MARIA ORTIZ"/>
    <d v="2016-05-25T00:00:00"/>
    <d v="2016-05-31T00:00:00"/>
    <x v="4"/>
    <x v="90"/>
    <x v="3"/>
    <n v="0"/>
    <x v="1"/>
    <n v="0"/>
    <n v="0"/>
    <n v="0"/>
    <x v="1"/>
    <x v="0"/>
    <n v="0"/>
  </r>
  <r>
    <n v="91795200000000"/>
    <x v="1"/>
    <x v="42"/>
    <x v="3"/>
    <s v="SAO PEDRO"/>
    <d v="2016-05-25T00:00:00"/>
    <d v="2016-05-31T00:00:00"/>
    <x v="4"/>
    <x v="90"/>
    <x v="3"/>
    <n v="0"/>
    <x v="1"/>
    <n v="0"/>
    <n v="1"/>
    <n v="0"/>
    <x v="0"/>
    <x v="1"/>
    <n v="1"/>
  </r>
  <r>
    <n v="95592500000000"/>
    <x v="0"/>
    <x v="54"/>
    <x v="1"/>
    <s v="CENTRO"/>
    <d v="2016-05-25T00:00:00"/>
    <d v="2016-05-31T00:00:00"/>
    <x v="4"/>
    <x v="90"/>
    <x v="3"/>
    <n v="0"/>
    <x v="1"/>
    <n v="0"/>
    <n v="0"/>
    <n v="0"/>
    <x v="0"/>
    <x v="0"/>
    <n v="0"/>
  </r>
  <r>
    <n v="1313870000000"/>
    <x v="1"/>
    <x v="37"/>
    <x v="3"/>
    <s v="SANTOS DUMONT"/>
    <d v="2016-05-25T00:00:00"/>
    <d v="2016-05-25T00:00:00"/>
    <x v="1"/>
    <x v="94"/>
    <x v="5"/>
    <n v="0"/>
    <x v="1"/>
    <n v="0"/>
    <n v="0"/>
    <n v="0"/>
    <x v="1"/>
    <x v="0"/>
    <n v="0"/>
  </r>
  <r>
    <n v="325940000000000"/>
    <x v="0"/>
    <x v="29"/>
    <x v="3"/>
    <s v="SANTA CLARA"/>
    <d v="2016-05-25T00:00:00"/>
    <d v="2016-06-06T00:00:00"/>
    <x v="2"/>
    <x v="84"/>
    <x v="2"/>
    <n v="0"/>
    <x v="1"/>
    <n v="1"/>
    <n v="0"/>
    <n v="0"/>
    <x v="0"/>
    <x v="0"/>
    <n v="0"/>
  </r>
  <r>
    <n v="9199370000000"/>
    <x v="0"/>
    <x v="41"/>
    <x v="4"/>
    <s v="JESUS DE NAZARETH"/>
    <d v="2016-05-25T00:00:00"/>
    <d v="2016-05-25T00:00:00"/>
    <x v="1"/>
    <x v="94"/>
    <x v="5"/>
    <n v="0"/>
    <x v="1"/>
    <n v="0"/>
    <n v="0"/>
    <n v="0"/>
    <x v="1"/>
    <x v="0"/>
    <n v="0"/>
  </r>
  <r>
    <n v="38722100000000"/>
    <x v="0"/>
    <x v="39"/>
    <x v="4"/>
    <s v="ILHA DO PRINCIPE"/>
    <d v="2016-05-25T00:00:00"/>
    <d v="2016-05-25T00:00:00"/>
    <x v="1"/>
    <x v="94"/>
    <x v="5"/>
    <n v="0"/>
    <x v="1"/>
    <n v="0"/>
    <n v="0"/>
    <n v="0"/>
    <x v="1"/>
    <x v="0"/>
    <n v="0"/>
  </r>
  <r>
    <n v="292236000000"/>
    <x v="0"/>
    <x v="25"/>
    <x v="4"/>
    <s v="ITARARE"/>
    <d v="2016-05-25T00:00:00"/>
    <d v="2016-05-31T00:00:00"/>
    <x v="4"/>
    <x v="90"/>
    <x v="3"/>
    <n v="0"/>
    <x v="1"/>
    <n v="0"/>
    <n v="0"/>
    <n v="0"/>
    <x v="0"/>
    <x v="1"/>
    <n v="1"/>
  </r>
  <r>
    <n v="6593240000000"/>
    <x v="1"/>
    <x v="60"/>
    <x v="2"/>
    <s v="SANTA MARTHA"/>
    <d v="2016-05-25T00:00:00"/>
    <d v="2016-05-30T00:00:00"/>
    <x v="2"/>
    <x v="92"/>
    <x v="3"/>
    <n v="0"/>
    <x v="1"/>
    <n v="0"/>
    <n v="0"/>
    <n v="0"/>
    <x v="1"/>
    <x v="0"/>
    <n v="0"/>
  </r>
  <r>
    <n v="33341100000000"/>
    <x v="0"/>
    <x v="18"/>
    <x v="0"/>
    <s v="SANTO ANTONIO"/>
    <d v="2016-05-25T00:00:00"/>
    <d v="2016-05-25T00:00:00"/>
    <x v="1"/>
    <x v="94"/>
    <x v="5"/>
    <n v="0"/>
    <x v="1"/>
    <n v="0"/>
    <n v="0"/>
    <n v="0"/>
    <x v="1"/>
    <x v="0"/>
    <n v="0"/>
  </r>
  <r>
    <n v="2649820000000"/>
    <x v="0"/>
    <x v="18"/>
    <x v="0"/>
    <s v="GOIABEIRAS"/>
    <d v="2016-05-25T00:00:00"/>
    <d v="2016-05-25T00:00:00"/>
    <x v="1"/>
    <x v="94"/>
    <x v="5"/>
    <n v="0"/>
    <x v="0"/>
    <n v="1"/>
    <n v="0"/>
    <n v="0"/>
    <x v="1"/>
    <x v="0"/>
    <n v="0"/>
  </r>
  <r>
    <n v="1761390000000"/>
    <x v="0"/>
    <x v="49"/>
    <x v="4"/>
    <s v="ILHA DAS CAIEIRAS"/>
    <d v="2016-05-25T00:00:00"/>
    <d v="2016-05-25T00:00:00"/>
    <x v="1"/>
    <x v="94"/>
    <x v="5"/>
    <n v="0"/>
    <x v="1"/>
    <n v="0"/>
    <n v="0"/>
    <n v="0"/>
    <x v="1"/>
    <x v="0"/>
    <n v="0"/>
  </r>
  <r>
    <n v="797145000000000"/>
    <x v="0"/>
    <x v="2"/>
    <x v="1"/>
    <s v="JABOUR"/>
    <d v="2016-05-25T00:00:00"/>
    <d v="2016-05-25T00:00:00"/>
    <x v="1"/>
    <x v="94"/>
    <x v="5"/>
    <n v="0"/>
    <x v="1"/>
    <n v="0"/>
    <n v="0"/>
    <n v="0"/>
    <x v="1"/>
    <x v="0"/>
    <n v="0"/>
  </r>
  <r>
    <n v="821578000000"/>
    <x v="1"/>
    <x v="85"/>
    <x v="0"/>
    <s v="DE LOURDES"/>
    <d v="2016-05-25T00:00:00"/>
    <d v="2016-05-31T00:00:00"/>
    <x v="4"/>
    <x v="90"/>
    <x v="3"/>
    <n v="0"/>
    <x v="1"/>
    <n v="1"/>
    <n v="0"/>
    <n v="0"/>
    <x v="0"/>
    <x v="0"/>
    <n v="0"/>
  </r>
  <r>
    <n v="658382000000000"/>
    <x v="0"/>
    <x v="28"/>
    <x v="3"/>
    <s v="JARDIM CAMBURI"/>
    <d v="2016-05-25T00:00:00"/>
    <d v="2016-05-31T00:00:00"/>
    <x v="4"/>
    <x v="90"/>
    <x v="3"/>
    <n v="0"/>
    <x v="1"/>
    <n v="0"/>
    <n v="0"/>
    <n v="0"/>
    <x v="0"/>
    <x v="0"/>
    <n v="0"/>
  </r>
  <r>
    <n v="554614000000000"/>
    <x v="0"/>
    <x v="30"/>
    <x v="3"/>
    <s v="JABOUR"/>
    <d v="2016-05-25T00:00:00"/>
    <d v="2016-05-30T00:00:00"/>
    <x v="2"/>
    <x v="92"/>
    <x v="3"/>
    <n v="0"/>
    <x v="1"/>
    <n v="0"/>
    <n v="0"/>
    <n v="0"/>
    <x v="0"/>
    <x v="0"/>
    <n v="0"/>
  </r>
  <r>
    <n v="6193850000000"/>
    <x v="0"/>
    <x v="5"/>
    <x v="1"/>
    <s v="CENTRO"/>
    <d v="2016-05-25T00:00:00"/>
    <d v="2016-05-25T00:00:00"/>
    <x v="1"/>
    <x v="94"/>
    <x v="5"/>
    <n v="0"/>
    <x v="1"/>
    <n v="0"/>
    <n v="0"/>
    <n v="0"/>
    <x v="1"/>
    <x v="0"/>
    <n v="0"/>
  </r>
  <r>
    <n v="831939000000000"/>
    <x v="0"/>
    <x v="32"/>
    <x v="4"/>
    <s v="REDENCAO"/>
    <d v="2016-05-25T00:00:00"/>
    <d v="2016-06-01T00:00:00"/>
    <x v="1"/>
    <x v="87"/>
    <x v="3"/>
    <n v="0"/>
    <x v="1"/>
    <n v="0"/>
    <n v="0"/>
    <n v="0"/>
    <x v="0"/>
    <x v="0"/>
    <n v="0"/>
  </r>
  <r>
    <n v="764526000000000"/>
    <x v="1"/>
    <x v="37"/>
    <x v="3"/>
    <s v="JARDIM DA PENHA"/>
    <d v="2016-05-25T00:00:00"/>
    <d v="2016-05-25T00:00:00"/>
    <x v="1"/>
    <x v="94"/>
    <x v="5"/>
    <n v="0"/>
    <x v="1"/>
    <n v="0"/>
    <n v="0"/>
    <n v="0"/>
    <x v="1"/>
    <x v="0"/>
    <n v="0"/>
  </r>
  <r>
    <n v="7882850000000"/>
    <x v="0"/>
    <x v="22"/>
    <x v="4"/>
    <s v="SAO BENEDITO"/>
    <d v="2016-05-25T00:00:00"/>
    <d v="2016-06-02T00:00:00"/>
    <x v="3"/>
    <x v="88"/>
    <x v="2"/>
    <n v="0"/>
    <x v="1"/>
    <n v="0"/>
    <n v="0"/>
    <n v="0"/>
    <x v="0"/>
    <x v="1"/>
    <n v="1"/>
  </r>
  <r>
    <n v="5847530000000"/>
    <x v="1"/>
    <x v="82"/>
    <x v="0"/>
    <s v="SANTA LUCIA"/>
    <d v="2016-05-25T00:00:00"/>
    <d v="2016-05-31T00:00:00"/>
    <x v="4"/>
    <x v="90"/>
    <x v="3"/>
    <n v="0"/>
    <x v="0"/>
    <n v="0"/>
    <n v="0"/>
    <n v="0"/>
    <x v="0"/>
    <x v="1"/>
    <n v="1"/>
  </r>
  <r>
    <n v="885764000000000"/>
    <x v="1"/>
    <x v="22"/>
    <x v="4"/>
    <s v="JARDIM CAMBURI"/>
    <d v="2016-05-25T00:00:00"/>
    <d v="2016-05-25T00:00:00"/>
    <x v="1"/>
    <x v="94"/>
    <x v="5"/>
    <n v="0"/>
    <x v="1"/>
    <n v="0"/>
    <n v="0"/>
    <n v="0"/>
    <x v="1"/>
    <x v="0"/>
    <n v="0"/>
  </r>
  <r>
    <n v="84736900000000"/>
    <x v="0"/>
    <x v="23"/>
    <x v="3"/>
    <s v="SAO BENEDITO"/>
    <d v="2016-05-25T00:00:00"/>
    <d v="2016-05-31T00:00:00"/>
    <x v="4"/>
    <x v="90"/>
    <x v="3"/>
    <n v="0"/>
    <x v="0"/>
    <n v="0"/>
    <n v="1"/>
    <n v="0"/>
    <x v="0"/>
    <x v="0"/>
    <n v="0"/>
  </r>
  <r>
    <n v="85621800000000"/>
    <x v="1"/>
    <x v="50"/>
    <x v="1"/>
    <s v="DO CABRAL"/>
    <d v="2016-05-25T00:00:00"/>
    <d v="2016-06-01T00:00:00"/>
    <x v="1"/>
    <x v="87"/>
    <x v="3"/>
    <n v="0"/>
    <x v="1"/>
    <n v="0"/>
    <n v="0"/>
    <n v="0"/>
    <x v="0"/>
    <x v="0"/>
    <n v="0"/>
  </r>
  <r>
    <n v="775384000000"/>
    <x v="0"/>
    <x v="71"/>
    <x v="4"/>
    <s v="JOANA D ARC"/>
    <d v="2016-05-25T00:00:00"/>
    <d v="2016-05-25T00:00:00"/>
    <x v="1"/>
    <x v="94"/>
    <x v="5"/>
    <n v="0"/>
    <x v="1"/>
    <n v="0"/>
    <n v="1"/>
    <n v="0"/>
    <x v="1"/>
    <x v="0"/>
    <n v="0"/>
  </r>
  <r>
    <n v="53285700000000"/>
    <x v="0"/>
    <x v="30"/>
    <x v="3"/>
    <s v="SANTO ANTONIO"/>
    <d v="2016-05-25T00:00:00"/>
    <d v="2016-05-25T00:00:00"/>
    <x v="1"/>
    <x v="94"/>
    <x v="5"/>
    <n v="0"/>
    <x v="1"/>
    <n v="0"/>
    <n v="0"/>
    <n v="0"/>
    <x v="1"/>
    <x v="0"/>
    <n v="0"/>
  </r>
  <r>
    <n v="52672300000000"/>
    <x v="0"/>
    <x v="2"/>
    <x v="1"/>
    <s v="DA PENHA"/>
    <d v="2016-05-25T00:00:00"/>
    <d v="2016-06-07T00:00:00"/>
    <x v="4"/>
    <x v="82"/>
    <x v="2"/>
    <n v="0"/>
    <x v="1"/>
    <n v="0"/>
    <n v="0"/>
    <n v="1"/>
    <x v="0"/>
    <x v="0"/>
    <n v="0"/>
  </r>
  <r>
    <n v="4982120000000"/>
    <x v="1"/>
    <x v="59"/>
    <x v="2"/>
    <s v="MARIA ORTIZ"/>
    <d v="2016-05-25T00:00:00"/>
    <d v="2016-05-25T00:00:00"/>
    <x v="1"/>
    <x v="94"/>
    <x v="5"/>
    <n v="0"/>
    <x v="1"/>
    <n v="0"/>
    <n v="0"/>
    <n v="0"/>
    <x v="1"/>
    <x v="0"/>
    <n v="0"/>
  </r>
  <r>
    <n v="56269700000000"/>
    <x v="0"/>
    <x v="25"/>
    <x v="4"/>
    <s v="JARDIM CAMBURI"/>
    <d v="2016-05-25T00:00:00"/>
    <d v="2016-06-01T00:00:00"/>
    <x v="1"/>
    <x v="87"/>
    <x v="3"/>
    <n v="0"/>
    <x v="1"/>
    <n v="0"/>
    <n v="0"/>
    <n v="0"/>
    <x v="0"/>
    <x v="0"/>
    <n v="0"/>
  </r>
  <r>
    <n v="6888260000000"/>
    <x v="0"/>
    <x v="41"/>
    <x v="4"/>
    <s v="FORTE SAO JOAO"/>
    <d v="2016-05-25T00:00:00"/>
    <d v="2016-05-25T00:00:00"/>
    <x v="1"/>
    <x v="94"/>
    <x v="5"/>
    <n v="0"/>
    <x v="1"/>
    <n v="0"/>
    <n v="0"/>
    <n v="0"/>
    <x v="1"/>
    <x v="0"/>
    <n v="0"/>
  </r>
  <r>
    <n v="74748500000000"/>
    <x v="1"/>
    <x v="41"/>
    <x v="4"/>
    <s v="ANDORINHAS"/>
    <d v="2016-05-25T00:00:00"/>
    <d v="2016-05-25T00:00:00"/>
    <x v="1"/>
    <x v="94"/>
    <x v="5"/>
    <n v="0"/>
    <x v="1"/>
    <n v="0"/>
    <n v="0"/>
    <n v="0"/>
    <x v="1"/>
    <x v="0"/>
    <n v="0"/>
  </r>
  <r>
    <n v="39164300000000"/>
    <x v="0"/>
    <x v="33"/>
    <x v="4"/>
    <s v="PARQUE MOSCOSO"/>
    <d v="2016-05-25T00:00:00"/>
    <d v="2016-06-01T00:00:00"/>
    <x v="1"/>
    <x v="87"/>
    <x v="3"/>
    <n v="0"/>
    <x v="1"/>
    <n v="0"/>
    <n v="0"/>
    <n v="0"/>
    <x v="0"/>
    <x v="1"/>
    <n v="1"/>
  </r>
  <r>
    <n v="9496200000000"/>
    <x v="1"/>
    <x v="33"/>
    <x v="4"/>
    <s v="CENTRO"/>
    <d v="2016-05-25T00:00:00"/>
    <d v="2016-05-30T00:00:00"/>
    <x v="2"/>
    <x v="92"/>
    <x v="3"/>
    <n v="0"/>
    <x v="1"/>
    <n v="0"/>
    <n v="0"/>
    <n v="0"/>
    <x v="1"/>
    <x v="0"/>
    <n v="0"/>
  </r>
  <r>
    <n v="34692600000000"/>
    <x v="0"/>
    <x v="15"/>
    <x v="3"/>
    <s v="ANDORINHAS"/>
    <d v="2016-05-25T00:00:00"/>
    <d v="2016-05-30T00:00:00"/>
    <x v="2"/>
    <x v="92"/>
    <x v="3"/>
    <n v="0"/>
    <x v="0"/>
    <n v="0"/>
    <n v="0"/>
    <n v="0"/>
    <x v="1"/>
    <x v="0"/>
    <n v="0"/>
  </r>
  <r>
    <n v="21248900000000"/>
    <x v="1"/>
    <x v="29"/>
    <x v="3"/>
    <s v="DO QUADRO"/>
    <d v="2016-05-25T00:00:00"/>
    <d v="2016-06-01T00:00:00"/>
    <x v="1"/>
    <x v="87"/>
    <x v="3"/>
    <n v="0"/>
    <x v="1"/>
    <n v="0"/>
    <n v="0"/>
    <n v="0"/>
    <x v="0"/>
    <x v="0"/>
    <n v="0"/>
  </r>
  <r>
    <n v="453937000000000"/>
    <x v="1"/>
    <x v="71"/>
    <x v="4"/>
    <s v="INHANGUETA"/>
    <d v="2016-05-25T00:00:00"/>
    <d v="2016-06-02T00:00:00"/>
    <x v="3"/>
    <x v="88"/>
    <x v="2"/>
    <n v="0"/>
    <x v="1"/>
    <n v="0"/>
    <n v="0"/>
    <n v="0"/>
    <x v="0"/>
    <x v="0"/>
    <n v="0"/>
  </r>
  <r>
    <n v="364522000000"/>
    <x v="1"/>
    <x v="66"/>
    <x v="2"/>
    <s v="TABUAZEIRO"/>
    <d v="2016-05-25T00:00:00"/>
    <d v="2016-05-25T00:00:00"/>
    <x v="1"/>
    <x v="94"/>
    <x v="5"/>
    <n v="1"/>
    <x v="1"/>
    <n v="0"/>
    <n v="0"/>
    <n v="0"/>
    <x v="1"/>
    <x v="1"/>
    <n v="1"/>
  </r>
  <r>
    <n v="83235100000000"/>
    <x v="1"/>
    <x v="12"/>
    <x v="3"/>
    <s v="JABOUR"/>
    <d v="2016-05-25T00:00:00"/>
    <d v="2016-05-25T00:00:00"/>
    <x v="1"/>
    <x v="94"/>
    <x v="5"/>
    <n v="0"/>
    <x v="1"/>
    <n v="0"/>
    <n v="0"/>
    <n v="0"/>
    <x v="1"/>
    <x v="0"/>
    <n v="0"/>
  </r>
  <r>
    <n v="8923970000000"/>
    <x v="0"/>
    <x v="37"/>
    <x v="3"/>
    <s v="RESISTENCIA"/>
    <d v="2016-05-25T00:00:00"/>
    <d v="2016-05-25T00:00:00"/>
    <x v="1"/>
    <x v="94"/>
    <x v="5"/>
    <n v="0"/>
    <x v="1"/>
    <n v="1"/>
    <n v="0"/>
    <n v="0"/>
    <x v="1"/>
    <x v="0"/>
    <n v="0"/>
  </r>
  <r>
    <n v="115693000000"/>
    <x v="0"/>
    <x v="14"/>
    <x v="3"/>
    <s v="JARDIM CAMBURI"/>
    <d v="2016-05-25T00:00:00"/>
    <d v="2016-06-03T00:00:00"/>
    <x v="0"/>
    <x v="85"/>
    <x v="2"/>
    <n v="0"/>
    <x v="1"/>
    <n v="0"/>
    <n v="0"/>
    <n v="0"/>
    <x v="0"/>
    <x v="0"/>
    <n v="0"/>
  </r>
  <r>
    <n v="62136700000000"/>
    <x v="0"/>
    <x v="30"/>
    <x v="3"/>
    <s v="PARQUE MOSCOSO"/>
    <d v="2016-05-25T00:00:00"/>
    <d v="2016-05-30T00:00:00"/>
    <x v="2"/>
    <x v="92"/>
    <x v="3"/>
    <n v="0"/>
    <x v="0"/>
    <n v="0"/>
    <n v="0"/>
    <n v="0"/>
    <x v="0"/>
    <x v="0"/>
    <n v="0"/>
  </r>
  <r>
    <n v="179545000000000"/>
    <x v="0"/>
    <x v="42"/>
    <x v="3"/>
    <s v="SANTO ANTONIO"/>
    <d v="2016-05-25T00:00:00"/>
    <d v="2016-06-01T00:00:00"/>
    <x v="1"/>
    <x v="87"/>
    <x v="3"/>
    <n v="0"/>
    <x v="1"/>
    <n v="0"/>
    <n v="0"/>
    <n v="0"/>
    <x v="0"/>
    <x v="0"/>
    <n v="0"/>
  </r>
  <r>
    <n v="13364900000000"/>
    <x v="1"/>
    <x v="36"/>
    <x v="3"/>
    <s v="MARIA ORTIZ"/>
    <d v="2016-05-25T00:00:00"/>
    <d v="2016-05-25T00:00:00"/>
    <x v="1"/>
    <x v="94"/>
    <x v="5"/>
    <n v="0"/>
    <x v="1"/>
    <n v="0"/>
    <n v="0"/>
    <n v="0"/>
    <x v="1"/>
    <x v="0"/>
    <n v="0"/>
  </r>
  <r>
    <n v="779778000000"/>
    <x v="0"/>
    <x v="61"/>
    <x v="1"/>
    <s v="JARDIM CAMBURI"/>
    <d v="2016-05-25T00:00:00"/>
    <d v="2016-05-25T00:00:00"/>
    <x v="1"/>
    <x v="94"/>
    <x v="5"/>
    <n v="0"/>
    <x v="1"/>
    <n v="0"/>
    <n v="0"/>
    <n v="0"/>
    <x v="1"/>
    <x v="0"/>
    <n v="0"/>
  </r>
  <r>
    <n v="97562500000000"/>
    <x v="0"/>
    <x v="47"/>
    <x v="4"/>
    <s v="ROMAO"/>
    <d v="2016-05-25T00:00:00"/>
    <d v="2016-06-02T00:00:00"/>
    <x v="3"/>
    <x v="88"/>
    <x v="2"/>
    <n v="0"/>
    <x v="1"/>
    <n v="0"/>
    <n v="0"/>
    <n v="0"/>
    <x v="0"/>
    <x v="0"/>
    <n v="0"/>
  </r>
  <r>
    <n v="4576970000000"/>
    <x v="1"/>
    <x v="79"/>
    <x v="5"/>
    <s v="CARATOIRA"/>
    <d v="2016-05-25T00:00:00"/>
    <d v="2016-05-25T00:00:00"/>
    <x v="1"/>
    <x v="94"/>
    <x v="5"/>
    <n v="0"/>
    <x v="1"/>
    <n v="0"/>
    <n v="0"/>
    <n v="0"/>
    <x v="1"/>
    <x v="0"/>
    <n v="0"/>
  </r>
  <r>
    <n v="591258000000000"/>
    <x v="0"/>
    <x v="43"/>
    <x v="2"/>
    <s v="BOA VISTA"/>
    <d v="2016-05-25T00:00:00"/>
    <d v="2016-05-30T00:00:00"/>
    <x v="2"/>
    <x v="92"/>
    <x v="3"/>
    <n v="0"/>
    <x v="1"/>
    <n v="0"/>
    <n v="0"/>
    <n v="0"/>
    <x v="0"/>
    <x v="1"/>
    <n v="1"/>
  </r>
  <r>
    <n v="9715140000000"/>
    <x v="0"/>
    <x v="80"/>
    <x v="2"/>
    <s v="ROMAO"/>
    <d v="2016-05-25T00:00:00"/>
    <d v="2016-05-25T00:00:00"/>
    <x v="1"/>
    <x v="94"/>
    <x v="5"/>
    <n v="0"/>
    <x v="1"/>
    <n v="0"/>
    <n v="0"/>
    <n v="0"/>
    <x v="1"/>
    <x v="1"/>
    <n v="1"/>
  </r>
  <r>
    <n v="8621960000000"/>
    <x v="1"/>
    <x v="19"/>
    <x v="2"/>
    <s v="JARDIM CAMBURI"/>
    <d v="2016-05-25T00:00:00"/>
    <d v="2016-05-25T00:00:00"/>
    <x v="1"/>
    <x v="94"/>
    <x v="5"/>
    <n v="0"/>
    <x v="1"/>
    <n v="0"/>
    <n v="0"/>
    <n v="0"/>
    <x v="1"/>
    <x v="0"/>
    <n v="0"/>
  </r>
  <r>
    <n v="1339520000000"/>
    <x v="0"/>
    <x v="16"/>
    <x v="1"/>
    <s v="SANTA TEREZA"/>
    <d v="2016-05-25T00:00:00"/>
    <d v="2016-05-30T00:00:00"/>
    <x v="2"/>
    <x v="92"/>
    <x v="3"/>
    <n v="0"/>
    <x v="1"/>
    <n v="0"/>
    <n v="0"/>
    <n v="0"/>
    <x v="1"/>
    <x v="0"/>
    <n v="0"/>
  </r>
  <r>
    <n v="467456000000000"/>
    <x v="1"/>
    <x v="71"/>
    <x v="4"/>
    <s v="ROMAO"/>
    <d v="2016-05-25T00:00:00"/>
    <d v="2016-05-30T00:00:00"/>
    <x v="2"/>
    <x v="92"/>
    <x v="3"/>
    <n v="0"/>
    <x v="1"/>
    <n v="0"/>
    <n v="0"/>
    <n v="0"/>
    <x v="0"/>
    <x v="0"/>
    <n v="0"/>
  </r>
  <r>
    <n v="5182650000000"/>
    <x v="0"/>
    <x v="7"/>
    <x v="3"/>
    <s v="JARDIM CAMBURI"/>
    <d v="2016-05-25T00:00:00"/>
    <d v="2016-06-06T00:00:00"/>
    <x v="2"/>
    <x v="84"/>
    <x v="2"/>
    <n v="1"/>
    <x v="1"/>
    <n v="0"/>
    <n v="0"/>
    <n v="0"/>
    <x v="0"/>
    <x v="0"/>
    <n v="0"/>
  </r>
  <r>
    <n v="1259980000000"/>
    <x v="1"/>
    <x v="71"/>
    <x v="4"/>
    <s v="MARIA ORTIZ"/>
    <d v="2016-05-25T00:00:00"/>
    <d v="2016-05-25T00:00:00"/>
    <x v="1"/>
    <x v="94"/>
    <x v="5"/>
    <n v="0"/>
    <x v="1"/>
    <n v="0"/>
    <n v="0"/>
    <n v="0"/>
    <x v="1"/>
    <x v="0"/>
    <n v="0"/>
  </r>
  <r>
    <n v="255683000000000"/>
    <x v="0"/>
    <x v="45"/>
    <x v="1"/>
    <s v="PIEDADE"/>
    <d v="2016-05-25T00:00:00"/>
    <d v="2016-05-30T00:00:00"/>
    <x v="2"/>
    <x v="92"/>
    <x v="3"/>
    <n v="0"/>
    <x v="0"/>
    <n v="0"/>
    <n v="0"/>
    <n v="0"/>
    <x v="0"/>
    <x v="0"/>
    <n v="0"/>
  </r>
  <r>
    <n v="658620000000000"/>
    <x v="0"/>
    <x v="10"/>
    <x v="4"/>
    <s v="JARDIM DA PENHA"/>
    <d v="2016-05-25T00:00:00"/>
    <d v="2016-05-25T00:00:00"/>
    <x v="1"/>
    <x v="94"/>
    <x v="5"/>
    <n v="0"/>
    <x v="1"/>
    <n v="0"/>
    <n v="0"/>
    <n v="0"/>
    <x v="1"/>
    <x v="0"/>
    <n v="0"/>
  </r>
  <r>
    <n v="72912800000000"/>
    <x v="0"/>
    <x v="61"/>
    <x v="1"/>
    <s v="TABUAZEIRO"/>
    <d v="2016-05-25T00:00:00"/>
    <d v="2016-06-01T00:00:00"/>
    <x v="1"/>
    <x v="87"/>
    <x v="3"/>
    <n v="0"/>
    <x v="1"/>
    <n v="0"/>
    <n v="0"/>
    <n v="0"/>
    <x v="0"/>
    <x v="0"/>
    <n v="0"/>
  </r>
  <r>
    <n v="16994400000000"/>
    <x v="0"/>
    <x v="62"/>
    <x v="3"/>
    <s v="JOANA D ARC"/>
    <d v="2016-05-30T00:00:00"/>
    <d v="2016-06-01T00:00:00"/>
    <x v="1"/>
    <x v="91"/>
    <x v="4"/>
    <n v="1"/>
    <x v="0"/>
    <n v="0"/>
    <n v="0"/>
    <n v="0"/>
    <x v="1"/>
    <x v="0"/>
    <n v="0"/>
  </r>
  <r>
    <n v="84573800000000"/>
    <x v="1"/>
    <x v="53"/>
    <x v="0"/>
    <s v="FRADINHOS"/>
    <d v="2016-05-30T00:00:00"/>
    <d v="2016-06-01T00:00:00"/>
    <x v="1"/>
    <x v="91"/>
    <x v="4"/>
    <n v="0"/>
    <x v="1"/>
    <n v="0"/>
    <n v="0"/>
    <n v="0"/>
    <x v="1"/>
    <x v="1"/>
    <n v="1"/>
  </r>
  <r>
    <n v="77518900000000"/>
    <x v="0"/>
    <x v="62"/>
    <x v="3"/>
    <s v="ILHA DE SANTA MARIA"/>
    <d v="2016-05-30T00:00:00"/>
    <d v="2016-06-01T00:00:00"/>
    <x v="1"/>
    <x v="91"/>
    <x v="4"/>
    <n v="0"/>
    <x v="1"/>
    <n v="0"/>
    <n v="0"/>
    <n v="0"/>
    <x v="1"/>
    <x v="0"/>
    <n v="0"/>
  </r>
  <r>
    <n v="43871200000000"/>
    <x v="1"/>
    <x v="4"/>
    <x v="2"/>
    <s v="CARATOIRA"/>
    <d v="2016-05-30T00:00:00"/>
    <d v="2016-05-30T00:00:00"/>
    <x v="2"/>
    <x v="94"/>
    <x v="5"/>
    <n v="0"/>
    <x v="1"/>
    <n v="0"/>
    <n v="0"/>
    <n v="0"/>
    <x v="1"/>
    <x v="0"/>
    <n v="0"/>
  </r>
  <r>
    <n v="64695200000000"/>
    <x v="0"/>
    <x v="71"/>
    <x v="4"/>
    <s v="GURIGICA"/>
    <d v="2016-05-30T00:00:00"/>
    <d v="2016-05-30T00:00:00"/>
    <x v="2"/>
    <x v="94"/>
    <x v="5"/>
    <n v="0"/>
    <x v="1"/>
    <n v="0"/>
    <n v="0"/>
    <n v="0"/>
    <x v="1"/>
    <x v="0"/>
    <n v="0"/>
  </r>
  <r>
    <n v="73438300000000"/>
    <x v="1"/>
    <x v="50"/>
    <x v="1"/>
    <s v="CRUZAMENTO"/>
    <d v="2016-05-30T00:00:00"/>
    <d v="2016-05-30T00:00:00"/>
    <x v="2"/>
    <x v="94"/>
    <x v="5"/>
    <n v="0"/>
    <x v="1"/>
    <n v="0"/>
    <n v="0"/>
    <n v="0"/>
    <x v="1"/>
    <x v="0"/>
    <n v="0"/>
  </r>
  <r>
    <n v="196975000000"/>
    <x v="1"/>
    <x v="23"/>
    <x v="3"/>
    <s v="GRANDE VITORIA"/>
    <d v="2016-05-30T00:00:00"/>
    <d v="2016-05-31T00:00:00"/>
    <x v="4"/>
    <x v="93"/>
    <x v="4"/>
    <n v="0"/>
    <x v="1"/>
    <n v="0"/>
    <n v="0"/>
    <n v="0"/>
    <x v="1"/>
    <x v="0"/>
    <n v="0"/>
  </r>
  <r>
    <n v="66273300000000"/>
    <x v="1"/>
    <x v="61"/>
    <x v="1"/>
    <s v="ROMAO"/>
    <d v="2016-05-30T00:00:00"/>
    <d v="2016-05-30T00:00:00"/>
    <x v="2"/>
    <x v="94"/>
    <x v="5"/>
    <n v="0"/>
    <x v="1"/>
    <n v="0"/>
    <n v="0"/>
    <n v="0"/>
    <x v="1"/>
    <x v="0"/>
    <n v="0"/>
  </r>
  <r>
    <n v="196553000000"/>
    <x v="1"/>
    <x v="73"/>
    <x v="4"/>
    <s v="ILHA DO PRINCIPE"/>
    <d v="2016-05-30T00:00:00"/>
    <d v="2016-05-30T00:00:00"/>
    <x v="2"/>
    <x v="94"/>
    <x v="5"/>
    <n v="0"/>
    <x v="1"/>
    <n v="0"/>
    <n v="0"/>
    <n v="0"/>
    <x v="1"/>
    <x v="0"/>
    <n v="0"/>
  </r>
  <r>
    <n v="233659000000000"/>
    <x v="0"/>
    <x v="1"/>
    <x v="0"/>
    <s v="MARUIPE"/>
    <d v="2016-05-30T00:00:00"/>
    <d v="2016-05-30T00:00:00"/>
    <x v="2"/>
    <x v="94"/>
    <x v="5"/>
    <n v="0"/>
    <x v="1"/>
    <n v="0"/>
    <n v="0"/>
    <n v="0"/>
    <x v="1"/>
    <x v="0"/>
    <n v="0"/>
  </r>
  <r>
    <n v="24228300000000"/>
    <x v="1"/>
    <x v="10"/>
    <x v="4"/>
    <s v="ITARARE"/>
    <d v="2016-05-30T00:00:00"/>
    <d v="2016-05-30T00:00:00"/>
    <x v="2"/>
    <x v="94"/>
    <x v="5"/>
    <n v="0"/>
    <x v="1"/>
    <n v="0"/>
    <n v="0"/>
    <n v="0"/>
    <x v="1"/>
    <x v="1"/>
    <n v="1"/>
  </r>
  <r>
    <n v="854125000000"/>
    <x v="0"/>
    <x v="33"/>
    <x v="4"/>
    <s v="PIEDADE"/>
    <d v="2016-05-30T00:00:00"/>
    <d v="2016-05-30T00:00:00"/>
    <x v="2"/>
    <x v="94"/>
    <x v="5"/>
    <n v="0"/>
    <x v="1"/>
    <n v="0"/>
    <n v="0"/>
    <n v="0"/>
    <x v="1"/>
    <x v="0"/>
    <n v="0"/>
  </r>
  <r>
    <n v="159429000000000"/>
    <x v="0"/>
    <x v="76"/>
    <x v="0"/>
    <s v="RESISTENCIA"/>
    <d v="2016-05-30T00:00:00"/>
    <d v="2016-05-30T00:00:00"/>
    <x v="2"/>
    <x v="94"/>
    <x v="5"/>
    <n v="1"/>
    <x v="0"/>
    <n v="0"/>
    <n v="0"/>
    <n v="0"/>
    <x v="1"/>
    <x v="0"/>
    <n v="0"/>
  </r>
  <r>
    <n v="68791600000000"/>
    <x v="1"/>
    <x v="10"/>
    <x v="4"/>
    <s v="RESISTENCIA"/>
    <d v="2016-05-30T00:00:00"/>
    <d v="2016-05-30T00:00:00"/>
    <x v="2"/>
    <x v="94"/>
    <x v="5"/>
    <n v="0"/>
    <x v="1"/>
    <n v="0"/>
    <n v="0"/>
    <n v="0"/>
    <x v="1"/>
    <x v="0"/>
    <n v="0"/>
  </r>
  <r>
    <n v="129743000000"/>
    <x v="0"/>
    <x v="83"/>
    <x v="0"/>
    <s v="CRUZAMENTO"/>
    <d v="2016-05-30T00:00:00"/>
    <d v="2016-05-31T00:00:00"/>
    <x v="4"/>
    <x v="93"/>
    <x v="4"/>
    <n v="0"/>
    <x v="0"/>
    <n v="0"/>
    <n v="0"/>
    <n v="0"/>
    <x v="1"/>
    <x v="0"/>
    <n v="0"/>
  </r>
  <r>
    <n v="89994400000000"/>
    <x v="1"/>
    <x v="78"/>
    <x v="0"/>
    <s v="NOVA PALESTINA"/>
    <d v="2016-05-30T00:00:00"/>
    <d v="2016-05-30T00:00:00"/>
    <x v="2"/>
    <x v="94"/>
    <x v="5"/>
    <n v="0"/>
    <x v="0"/>
    <n v="0"/>
    <n v="0"/>
    <n v="0"/>
    <x v="1"/>
    <x v="0"/>
    <n v="0"/>
  </r>
  <r>
    <n v="8954720000000"/>
    <x v="0"/>
    <x v="17"/>
    <x v="4"/>
    <s v="SANTO ANDRE"/>
    <d v="2016-05-30T00:00:00"/>
    <d v="2016-06-01T00:00:00"/>
    <x v="1"/>
    <x v="91"/>
    <x v="4"/>
    <n v="0"/>
    <x v="1"/>
    <n v="0"/>
    <n v="0"/>
    <n v="0"/>
    <x v="1"/>
    <x v="0"/>
    <n v="0"/>
  </r>
  <r>
    <n v="5591540000000"/>
    <x v="0"/>
    <x v="37"/>
    <x v="3"/>
    <s v="CRUZAMENTO"/>
    <d v="2016-05-30T00:00:00"/>
    <d v="2016-06-02T00:00:00"/>
    <x v="3"/>
    <x v="89"/>
    <x v="4"/>
    <n v="0"/>
    <x v="1"/>
    <n v="0"/>
    <n v="0"/>
    <n v="0"/>
    <x v="0"/>
    <x v="1"/>
    <n v="1"/>
  </r>
  <r>
    <n v="13929200000000"/>
    <x v="1"/>
    <x v="18"/>
    <x v="0"/>
    <s v="SANTOS REIS"/>
    <d v="2016-05-30T00:00:00"/>
    <d v="2016-06-01T00:00:00"/>
    <x v="1"/>
    <x v="91"/>
    <x v="4"/>
    <n v="0"/>
    <x v="0"/>
    <n v="1"/>
    <n v="0"/>
    <n v="0"/>
    <x v="1"/>
    <x v="0"/>
    <n v="0"/>
  </r>
  <r>
    <n v="1293530000000"/>
    <x v="1"/>
    <x v="50"/>
    <x v="1"/>
    <s v="CRUZAMENTO"/>
    <d v="2016-05-30T00:00:00"/>
    <d v="2016-06-03T00:00:00"/>
    <x v="0"/>
    <x v="86"/>
    <x v="3"/>
    <n v="0"/>
    <x v="1"/>
    <n v="0"/>
    <n v="0"/>
    <n v="0"/>
    <x v="0"/>
    <x v="0"/>
    <n v="0"/>
  </r>
  <r>
    <n v="5337190000000"/>
    <x v="1"/>
    <x v="43"/>
    <x v="2"/>
    <s v="SANTA MARTHA"/>
    <d v="2016-05-30T00:00:00"/>
    <d v="2016-05-30T00:00:00"/>
    <x v="2"/>
    <x v="94"/>
    <x v="5"/>
    <n v="0"/>
    <x v="1"/>
    <n v="0"/>
    <n v="0"/>
    <n v="0"/>
    <x v="1"/>
    <x v="0"/>
    <n v="0"/>
  </r>
  <r>
    <n v="436750000000000"/>
    <x v="0"/>
    <x v="56"/>
    <x v="1"/>
    <s v="ILHA DAS CAIEIRAS"/>
    <d v="2016-05-30T00:00:00"/>
    <d v="2016-06-01T00:00:00"/>
    <x v="1"/>
    <x v="91"/>
    <x v="4"/>
    <n v="0"/>
    <x v="1"/>
    <n v="0"/>
    <n v="0"/>
    <n v="0"/>
    <x v="1"/>
    <x v="0"/>
    <n v="0"/>
  </r>
  <r>
    <n v="74981600000000"/>
    <x v="1"/>
    <x v="48"/>
    <x v="3"/>
    <s v="CRUZAMENTO"/>
    <d v="2016-05-30T00:00:00"/>
    <d v="2016-06-01T00:00:00"/>
    <x v="1"/>
    <x v="91"/>
    <x v="4"/>
    <n v="0"/>
    <x v="1"/>
    <n v="0"/>
    <n v="0"/>
    <n v="0"/>
    <x v="1"/>
    <x v="0"/>
    <n v="0"/>
  </r>
  <r>
    <n v="89583400000000"/>
    <x v="0"/>
    <x v="22"/>
    <x v="4"/>
    <s v="ILHA DAS CAIEIRAS"/>
    <d v="2016-05-30T00:00:00"/>
    <d v="2016-06-01T00:00:00"/>
    <x v="1"/>
    <x v="91"/>
    <x v="4"/>
    <n v="0"/>
    <x v="1"/>
    <n v="0"/>
    <n v="0"/>
    <n v="0"/>
    <x v="1"/>
    <x v="0"/>
    <n v="0"/>
  </r>
  <r>
    <n v="99978300000000"/>
    <x v="0"/>
    <x v="39"/>
    <x v="4"/>
    <s v="GRANDE VITORIA"/>
    <d v="2016-05-30T00:00:00"/>
    <d v="2016-05-30T00:00:00"/>
    <x v="2"/>
    <x v="94"/>
    <x v="5"/>
    <n v="0"/>
    <x v="1"/>
    <n v="0"/>
    <n v="0"/>
    <n v="0"/>
    <x v="1"/>
    <x v="0"/>
    <n v="0"/>
  </r>
  <r>
    <n v="31265000000000"/>
    <x v="1"/>
    <x v="77"/>
    <x v="4"/>
    <s v="CRUZAMENTO"/>
    <d v="2016-05-30T00:00:00"/>
    <d v="2016-06-03T00:00:00"/>
    <x v="0"/>
    <x v="86"/>
    <x v="3"/>
    <n v="0"/>
    <x v="1"/>
    <n v="0"/>
    <n v="0"/>
    <n v="0"/>
    <x v="0"/>
    <x v="0"/>
    <n v="0"/>
  </r>
  <r>
    <n v="695445000000000"/>
    <x v="0"/>
    <x v="21"/>
    <x v="1"/>
    <s v="JARDIM CAMBURI"/>
    <d v="2016-05-30T00:00:00"/>
    <d v="2016-06-01T00:00:00"/>
    <x v="1"/>
    <x v="91"/>
    <x v="4"/>
    <n v="0"/>
    <x v="1"/>
    <n v="0"/>
    <n v="0"/>
    <n v="0"/>
    <x v="1"/>
    <x v="0"/>
    <n v="0"/>
  </r>
  <r>
    <n v="94662000000000"/>
    <x v="1"/>
    <x v="46"/>
    <x v="2"/>
    <s v="RESISTENCIA"/>
    <d v="2016-05-30T00:00:00"/>
    <d v="2016-05-30T00:00:00"/>
    <x v="2"/>
    <x v="94"/>
    <x v="5"/>
    <n v="0"/>
    <x v="1"/>
    <n v="0"/>
    <n v="0"/>
    <n v="0"/>
    <x v="1"/>
    <x v="0"/>
    <n v="0"/>
  </r>
  <r>
    <n v="244794000000000"/>
    <x v="0"/>
    <x v="31"/>
    <x v="1"/>
    <s v="PRAIA DO SUA"/>
    <d v="2016-05-30T00:00:00"/>
    <d v="2016-05-30T00:00:00"/>
    <x v="2"/>
    <x v="94"/>
    <x v="5"/>
    <n v="1"/>
    <x v="0"/>
    <n v="0"/>
    <n v="0"/>
    <n v="0"/>
    <x v="1"/>
    <x v="0"/>
    <n v="0"/>
  </r>
  <r>
    <n v="616488000000"/>
    <x v="1"/>
    <x v="22"/>
    <x v="4"/>
    <s v="ILHA DAS CAIEIRAS"/>
    <d v="2016-05-30T00:00:00"/>
    <d v="2016-06-06T00:00:00"/>
    <x v="2"/>
    <x v="87"/>
    <x v="3"/>
    <n v="0"/>
    <x v="1"/>
    <n v="0"/>
    <n v="0"/>
    <n v="0"/>
    <x v="0"/>
    <x v="0"/>
    <n v="0"/>
  </r>
  <r>
    <n v="18976100000000"/>
    <x v="0"/>
    <x v="29"/>
    <x v="3"/>
    <s v="TABUAZEIRO"/>
    <d v="2016-05-30T00:00:00"/>
    <d v="2016-06-01T00:00:00"/>
    <x v="1"/>
    <x v="91"/>
    <x v="4"/>
    <n v="0"/>
    <x v="1"/>
    <n v="0"/>
    <n v="0"/>
    <n v="0"/>
    <x v="1"/>
    <x v="0"/>
    <n v="0"/>
  </r>
  <r>
    <n v="63994700000000"/>
    <x v="0"/>
    <x v="28"/>
    <x v="3"/>
    <s v="JESUS DE NAZARETH"/>
    <d v="2016-05-30T00:00:00"/>
    <d v="2016-05-30T00:00:00"/>
    <x v="2"/>
    <x v="94"/>
    <x v="5"/>
    <n v="1"/>
    <x v="1"/>
    <n v="0"/>
    <n v="1"/>
    <n v="0"/>
    <x v="1"/>
    <x v="0"/>
    <n v="0"/>
  </r>
  <r>
    <n v="749167000000000"/>
    <x v="0"/>
    <x v="75"/>
    <x v="5"/>
    <s v="RESISTENCIA"/>
    <d v="2016-05-30T00:00:00"/>
    <d v="2016-06-01T00:00:00"/>
    <x v="1"/>
    <x v="91"/>
    <x v="4"/>
    <n v="0"/>
    <x v="1"/>
    <n v="0"/>
    <n v="0"/>
    <n v="0"/>
    <x v="1"/>
    <x v="1"/>
    <n v="1"/>
  </r>
  <r>
    <n v="54785600000000"/>
    <x v="0"/>
    <x v="31"/>
    <x v="1"/>
    <s v="ILHA DAS CAIEIRAS"/>
    <d v="2016-05-30T00:00:00"/>
    <d v="2016-06-03T00:00:00"/>
    <x v="0"/>
    <x v="86"/>
    <x v="3"/>
    <n v="1"/>
    <x v="1"/>
    <n v="0"/>
    <n v="0"/>
    <n v="0"/>
    <x v="0"/>
    <x v="0"/>
    <n v="0"/>
  </r>
  <r>
    <n v="12484300000000"/>
    <x v="1"/>
    <x v="40"/>
    <x v="1"/>
    <s v="BONFIM"/>
    <d v="2016-05-30T00:00:00"/>
    <d v="2016-05-30T00:00:00"/>
    <x v="2"/>
    <x v="94"/>
    <x v="5"/>
    <n v="0"/>
    <x v="1"/>
    <n v="0"/>
    <n v="0"/>
    <n v="0"/>
    <x v="1"/>
    <x v="0"/>
    <n v="0"/>
  </r>
  <r>
    <n v="67254200000000"/>
    <x v="1"/>
    <x v="52"/>
    <x v="2"/>
    <s v="SANTA MARTHA"/>
    <d v="2016-05-30T00:00:00"/>
    <d v="2016-05-30T00:00:00"/>
    <x v="2"/>
    <x v="94"/>
    <x v="5"/>
    <n v="0"/>
    <x v="1"/>
    <n v="0"/>
    <n v="0"/>
    <n v="0"/>
    <x v="1"/>
    <x v="0"/>
    <n v="0"/>
  </r>
  <r>
    <n v="448321000000000"/>
    <x v="1"/>
    <x v="78"/>
    <x v="0"/>
    <s v="TABUAZEIRO"/>
    <d v="2016-05-30T00:00:00"/>
    <d v="2016-06-06T00:00:00"/>
    <x v="2"/>
    <x v="87"/>
    <x v="3"/>
    <n v="0"/>
    <x v="0"/>
    <n v="1"/>
    <n v="0"/>
    <n v="0"/>
    <x v="0"/>
    <x v="0"/>
    <n v="0"/>
  </r>
  <r>
    <n v="3685320000000"/>
    <x v="0"/>
    <x v="57"/>
    <x v="2"/>
    <s v="SAO PEDRO"/>
    <d v="2016-05-30T00:00:00"/>
    <d v="2016-06-08T00:00:00"/>
    <x v="1"/>
    <x v="85"/>
    <x v="2"/>
    <n v="0"/>
    <x v="1"/>
    <n v="0"/>
    <n v="0"/>
    <n v="0"/>
    <x v="0"/>
    <x v="0"/>
    <n v="0"/>
  </r>
  <r>
    <n v="9467830000000"/>
    <x v="0"/>
    <x v="41"/>
    <x v="4"/>
    <s v="SANTOS REIS"/>
    <d v="2016-05-30T00:00:00"/>
    <d v="2016-06-01T00:00:00"/>
    <x v="1"/>
    <x v="91"/>
    <x v="4"/>
    <n v="1"/>
    <x v="1"/>
    <n v="1"/>
    <n v="0"/>
    <n v="0"/>
    <x v="1"/>
    <x v="1"/>
    <n v="1"/>
  </r>
  <r>
    <n v="138542000000000"/>
    <x v="0"/>
    <x v="31"/>
    <x v="1"/>
    <s v="CONQUISTA"/>
    <d v="2016-05-30T00:00:00"/>
    <d v="2016-06-01T00:00:00"/>
    <x v="1"/>
    <x v="91"/>
    <x v="4"/>
    <n v="0"/>
    <x v="1"/>
    <n v="0"/>
    <n v="0"/>
    <n v="0"/>
    <x v="1"/>
    <x v="1"/>
    <n v="1"/>
  </r>
  <r>
    <n v="761964000000000"/>
    <x v="0"/>
    <x v="58"/>
    <x v="0"/>
    <s v="DA PENHA"/>
    <d v="2016-05-30T00:00:00"/>
    <d v="2016-05-30T00:00:00"/>
    <x v="2"/>
    <x v="94"/>
    <x v="5"/>
    <n v="0"/>
    <x v="0"/>
    <n v="0"/>
    <n v="0"/>
    <n v="0"/>
    <x v="1"/>
    <x v="0"/>
    <n v="0"/>
  </r>
  <r>
    <n v="648566000000000"/>
    <x v="0"/>
    <x v="37"/>
    <x v="3"/>
    <s v="PARQUE MOSCOSO"/>
    <d v="2016-05-30T00:00:00"/>
    <d v="2016-05-31T00:00:00"/>
    <x v="4"/>
    <x v="93"/>
    <x v="4"/>
    <n v="0"/>
    <x v="1"/>
    <n v="0"/>
    <n v="0"/>
    <n v="0"/>
    <x v="1"/>
    <x v="1"/>
    <n v="1"/>
  </r>
  <r>
    <n v="954995000000000"/>
    <x v="0"/>
    <x v="46"/>
    <x v="2"/>
    <s v="SANTA MARTHA"/>
    <d v="2016-05-30T00:00:00"/>
    <d v="2016-05-30T00:00:00"/>
    <x v="2"/>
    <x v="94"/>
    <x v="5"/>
    <n v="0"/>
    <x v="1"/>
    <n v="0"/>
    <n v="0"/>
    <n v="0"/>
    <x v="1"/>
    <x v="0"/>
    <n v="0"/>
  </r>
  <r>
    <n v="31932700000000"/>
    <x v="0"/>
    <x v="80"/>
    <x v="2"/>
    <s v="NOVA PALESTINA"/>
    <d v="2016-05-30T00:00:00"/>
    <d v="2016-06-01T00:00:00"/>
    <x v="1"/>
    <x v="91"/>
    <x v="4"/>
    <n v="0"/>
    <x v="1"/>
    <n v="0"/>
    <n v="0"/>
    <n v="0"/>
    <x v="1"/>
    <x v="0"/>
    <n v="0"/>
  </r>
  <r>
    <n v="8684200000000"/>
    <x v="0"/>
    <x v="78"/>
    <x v="0"/>
    <s v="ILHA DO PRINCIPE"/>
    <d v="2016-05-30T00:00:00"/>
    <d v="2016-06-01T00:00:00"/>
    <x v="1"/>
    <x v="91"/>
    <x v="4"/>
    <n v="0"/>
    <x v="1"/>
    <n v="0"/>
    <n v="0"/>
    <n v="0"/>
    <x v="1"/>
    <x v="0"/>
    <n v="0"/>
  </r>
  <r>
    <n v="51772700000000"/>
    <x v="0"/>
    <x v="38"/>
    <x v="4"/>
    <s v="DA PENHA"/>
    <d v="2016-05-30T00:00:00"/>
    <d v="2016-05-30T00:00:00"/>
    <x v="2"/>
    <x v="94"/>
    <x v="5"/>
    <n v="1"/>
    <x v="1"/>
    <n v="0"/>
    <n v="0"/>
    <n v="0"/>
    <x v="1"/>
    <x v="0"/>
    <n v="0"/>
  </r>
  <r>
    <n v="75396500000000"/>
    <x v="0"/>
    <x v="53"/>
    <x v="0"/>
    <s v="ITARARE"/>
    <d v="2016-05-30T00:00:00"/>
    <d v="2016-05-30T00:00:00"/>
    <x v="2"/>
    <x v="94"/>
    <x v="5"/>
    <n v="0"/>
    <x v="0"/>
    <n v="0"/>
    <n v="0"/>
    <n v="0"/>
    <x v="1"/>
    <x v="1"/>
    <n v="1"/>
  </r>
  <r>
    <n v="25498800000000"/>
    <x v="0"/>
    <x v="84"/>
    <x v="1"/>
    <s v="MARUIPE"/>
    <d v="2016-05-30T00:00:00"/>
    <d v="2016-06-01T00:00:00"/>
    <x v="1"/>
    <x v="91"/>
    <x v="4"/>
    <n v="1"/>
    <x v="1"/>
    <n v="0"/>
    <n v="0"/>
    <n v="0"/>
    <x v="1"/>
    <x v="0"/>
    <n v="0"/>
  </r>
  <r>
    <n v="84448600000000"/>
    <x v="0"/>
    <x v="25"/>
    <x v="4"/>
    <s v="MARIA ORTIZ"/>
    <d v="2016-05-30T00:00:00"/>
    <d v="2016-06-01T00:00:00"/>
    <x v="1"/>
    <x v="91"/>
    <x v="4"/>
    <n v="0"/>
    <x v="1"/>
    <n v="0"/>
    <n v="0"/>
    <n v="0"/>
    <x v="1"/>
    <x v="0"/>
    <n v="0"/>
  </r>
  <r>
    <n v="311478000000000"/>
    <x v="0"/>
    <x v="31"/>
    <x v="1"/>
    <s v="ROMAO"/>
    <d v="2016-05-30T00:00:00"/>
    <d v="2016-05-30T00:00:00"/>
    <x v="2"/>
    <x v="94"/>
    <x v="5"/>
    <n v="0"/>
    <x v="1"/>
    <n v="0"/>
    <n v="0"/>
    <n v="0"/>
    <x v="1"/>
    <x v="0"/>
    <n v="0"/>
  </r>
  <r>
    <n v="23621800000000"/>
    <x v="0"/>
    <x v="7"/>
    <x v="3"/>
    <s v="SOLON BORGES"/>
    <d v="2016-05-30T00:00:00"/>
    <d v="2016-05-30T00:00:00"/>
    <x v="2"/>
    <x v="94"/>
    <x v="5"/>
    <n v="0"/>
    <x v="1"/>
    <n v="0"/>
    <n v="0"/>
    <n v="0"/>
    <x v="1"/>
    <x v="0"/>
    <n v="0"/>
  </r>
  <r>
    <n v="88521900000000"/>
    <x v="0"/>
    <x v="69"/>
    <x v="4"/>
    <s v="SANTA LUCIA"/>
    <d v="2016-05-30T00:00:00"/>
    <d v="2016-05-30T00:00:00"/>
    <x v="2"/>
    <x v="94"/>
    <x v="5"/>
    <n v="0"/>
    <x v="1"/>
    <n v="0"/>
    <n v="0"/>
    <n v="0"/>
    <x v="1"/>
    <x v="0"/>
    <n v="0"/>
  </r>
  <r>
    <n v="9789160000000"/>
    <x v="1"/>
    <x v="79"/>
    <x v="5"/>
    <s v="BONFIM"/>
    <d v="2016-05-30T00:00:00"/>
    <d v="2016-06-01T00:00:00"/>
    <x v="1"/>
    <x v="91"/>
    <x v="4"/>
    <n v="0"/>
    <x v="1"/>
    <n v="0"/>
    <n v="0"/>
    <n v="0"/>
    <x v="1"/>
    <x v="1"/>
    <n v="1"/>
  </r>
  <r>
    <n v="374497000000000"/>
    <x v="0"/>
    <x v="10"/>
    <x v="4"/>
    <s v="BELA VISTA"/>
    <d v="2016-05-30T00:00:00"/>
    <d v="2016-06-08T00:00:00"/>
    <x v="1"/>
    <x v="85"/>
    <x v="2"/>
    <n v="0"/>
    <x v="1"/>
    <n v="0"/>
    <n v="0"/>
    <n v="0"/>
    <x v="0"/>
    <x v="0"/>
    <n v="0"/>
  </r>
  <r>
    <n v="2711590000000"/>
    <x v="1"/>
    <x v="62"/>
    <x v="3"/>
    <s v="RESISTENCIA"/>
    <d v="2016-05-30T00:00:00"/>
    <d v="2016-05-30T00:00:00"/>
    <x v="2"/>
    <x v="94"/>
    <x v="5"/>
    <n v="0"/>
    <x v="0"/>
    <n v="0"/>
    <n v="1"/>
    <n v="0"/>
    <x v="1"/>
    <x v="0"/>
    <n v="0"/>
  </r>
  <r>
    <n v="86944600000000"/>
    <x v="0"/>
    <x v="17"/>
    <x v="4"/>
    <s v="ANDORINHAS"/>
    <d v="2016-05-30T00:00:00"/>
    <d v="2016-05-30T00:00:00"/>
    <x v="2"/>
    <x v="94"/>
    <x v="5"/>
    <n v="1"/>
    <x v="1"/>
    <n v="0"/>
    <n v="0"/>
    <n v="0"/>
    <x v="1"/>
    <x v="0"/>
    <n v="0"/>
  </r>
  <r>
    <n v="91362700000000"/>
    <x v="0"/>
    <x v="12"/>
    <x v="3"/>
    <s v="SAO JOSE"/>
    <d v="2016-05-30T00:00:00"/>
    <d v="2016-05-30T00:00:00"/>
    <x v="2"/>
    <x v="94"/>
    <x v="5"/>
    <n v="0"/>
    <x v="0"/>
    <n v="0"/>
    <n v="0"/>
    <n v="0"/>
    <x v="1"/>
    <x v="0"/>
    <n v="0"/>
  </r>
  <r>
    <n v="656474000000000"/>
    <x v="0"/>
    <x v="55"/>
    <x v="2"/>
    <s v="ANDORINHAS"/>
    <d v="2016-05-30T00:00:00"/>
    <d v="2016-06-06T00:00:00"/>
    <x v="2"/>
    <x v="87"/>
    <x v="3"/>
    <n v="0"/>
    <x v="1"/>
    <n v="0"/>
    <n v="0"/>
    <n v="0"/>
    <x v="1"/>
    <x v="0"/>
    <n v="0"/>
  </r>
  <r>
    <n v="41294700000000"/>
    <x v="1"/>
    <x v="60"/>
    <x v="2"/>
    <s v="SAO BENEDITO"/>
    <d v="2016-05-30T00:00:00"/>
    <d v="2016-05-30T00:00:00"/>
    <x v="2"/>
    <x v="94"/>
    <x v="5"/>
    <n v="0"/>
    <x v="1"/>
    <n v="0"/>
    <n v="0"/>
    <n v="0"/>
    <x v="1"/>
    <x v="0"/>
    <n v="0"/>
  </r>
  <r>
    <n v="7792790000000"/>
    <x v="1"/>
    <x v="55"/>
    <x v="2"/>
    <s v="VILA RUBIM"/>
    <d v="2016-05-30T00:00:00"/>
    <d v="2016-05-30T00:00:00"/>
    <x v="2"/>
    <x v="94"/>
    <x v="5"/>
    <n v="0"/>
    <x v="1"/>
    <n v="0"/>
    <n v="0"/>
    <n v="0"/>
    <x v="1"/>
    <x v="0"/>
    <n v="0"/>
  </r>
  <r>
    <n v="5475720000000"/>
    <x v="1"/>
    <x v="61"/>
    <x v="1"/>
    <s v="ILHA DO PRINCIPE"/>
    <d v="2016-05-30T00:00:00"/>
    <d v="2016-05-30T00:00:00"/>
    <x v="2"/>
    <x v="94"/>
    <x v="5"/>
    <n v="0"/>
    <x v="1"/>
    <n v="0"/>
    <n v="0"/>
    <n v="0"/>
    <x v="1"/>
    <x v="0"/>
    <n v="0"/>
  </r>
  <r>
    <n v="734674000000000"/>
    <x v="0"/>
    <x v="72"/>
    <x v="5"/>
    <s v="RESISTENCIA"/>
    <d v="2016-05-30T00:00:00"/>
    <d v="2016-05-30T00:00:00"/>
    <x v="2"/>
    <x v="94"/>
    <x v="5"/>
    <n v="1"/>
    <x v="1"/>
    <n v="0"/>
    <n v="0"/>
    <n v="0"/>
    <x v="1"/>
    <x v="0"/>
    <n v="0"/>
  </r>
  <r>
    <n v="489299000000"/>
    <x v="1"/>
    <x v="23"/>
    <x v="3"/>
    <s v="ANDORINHAS"/>
    <d v="2016-05-30T00:00:00"/>
    <d v="2016-05-31T00:00:00"/>
    <x v="4"/>
    <x v="93"/>
    <x v="4"/>
    <n v="0"/>
    <x v="0"/>
    <n v="1"/>
    <n v="0"/>
    <n v="0"/>
    <x v="1"/>
    <x v="0"/>
    <n v="0"/>
  </r>
  <r>
    <n v="24788600000000"/>
    <x v="1"/>
    <x v="43"/>
    <x v="2"/>
    <s v="TABUAZEIRO"/>
    <d v="2016-05-30T00:00:00"/>
    <d v="2016-06-02T00:00:00"/>
    <x v="3"/>
    <x v="89"/>
    <x v="4"/>
    <n v="0"/>
    <x v="1"/>
    <n v="0"/>
    <n v="0"/>
    <n v="0"/>
    <x v="0"/>
    <x v="1"/>
    <n v="1"/>
  </r>
  <r>
    <n v="6851340000000"/>
    <x v="0"/>
    <x v="50"/>
    <x v="1"/>
    <s v="PIEDADE"/>
    <d v="2016-05-30T00:00:00"/>
    <d v="2016-05-30T00:00:00"/>
    <x v="2"/>
    <x v="94"/>
    <x v="5"/>
    <n v="1"/>
    <x v="1"/>
    <n v="0"/>
    <n v="0"/>
    <n v="0"/>
    <x v="1"/>
    <x v="0"/>
    <n v="0"/>
  </r>
  <r>
    <n v="237135000000000"/>
    <x v="0"/>
    <x v="75"/>
    <x v="5"/>
    <s v="MARIA ORTIZ"/>
    <d v="2016-05-30T00:00:00"/>
    <d v="2016-05-30T00:00:00"/>
    <x v="2"/>
    <x v="94"/>
    <x v="5"/>
    <n v="0"/>
    <x v="1"/>
    <n v="0"/>
    <n v="0"/>
    <n v="0"/>
    <x v="1"/>
    <x v="0"/>
    <n v="0"/>
  </r>
  <r>
    <n v="19384100000000"/>
    <x v="1"/>
    <x v="68"/>
    <x v="4"/>
    <s v="ANDORINHAS"/>
    <d v="2016-05-30T00:00:00"/>
    <d v="2016-05-31T00:00:00"/>
    <x v="4"/>
    <x v="93"/>
    <x v="4"/>
    <n v="0"/>
    <x v="1"/>
    <n v="0"/>
    <n v="0"/>
    <n v="0"/>
    <x v="1"/>
    <x v="1"/>
    <n v="1"/>
  </r>
  <r>
    <n v="6456260000000"/>
    <x v="1"/>
    <x v="64"/>
    <x v="3"/>
    <s v="SANTO ANDRE"/>
    <d v="2016-05-30T00:00:00"/>
    <d v="2016-06-01T00:00:00"/>
    <x v="1"/>
    <x v="91"/>
    <x v="4"/>
    <n v="0"/>
    <x v="0"/>
    <n v="0"/>
    <n v="0"/>
    <n v="0"/>
    <x v="1"/>
    <x v="0"/>
    <n v="0"/>
  </r>
  <r>
    <n v="55276200000000"/>
    <x v="0"/>
    <x v="69"/>
    <x v="4"/>
    <s v="NOVA PALESTINA"/>
    <d v="2016-05-30T00:00:00"/>
    <d v="2016-05-30T00:00:00"/>
    <x v="2"/>
    <x v="94"/>
    <x v="5"/>
    <n v="0"/>
    <x v="1"/>
    <n v="0"/>
    <n v="0"/>
    <n v="0"/>
    <x v="1"/>
    <x v="0"/>
    <n v="0"/>
  </r>
  <r>
    <n v="15562400000000"/>
    <x v="0"/>
    <x v="68"/>
    <x v="4"/>
    <s v="TABUAZEIRO"/>
    <d v="2016-05-30T00:00:00"/>
    <d v="2016-06-01T00:00:00"/>
    <x v="1"/>
    <x v="91"/>
    <x v="4"/>
    <n v="0"/>
    <x v="1"/>
    <n v="0"/>
    <n v="0"/>
    <n v="0"/>
    <x v="1"/>
    <x v="1"/>
    <n v="1"/>
  </r>
  <r>
    <n v="555377000000000"/>
    <x v="0"/>
    <x v="92"/>
    <x v="0"/>
    <s v="JABOUR"/>
    <d v="2016-05-30T00:00:00"/>
    <d v="2016-06-01T00:00:00"/>
    <x v="1"/>
    <x v="91"/>
    <x v="4"/>
    <n v="0"/>
    <x v="1"/>
    <n v="0"/>
    <n v="0"/>
    <n v="0"/>
    <x v="1"/>
    <x v="0"/>
    <n v="0"/>
  </r>
  <r>
    <n v="359542000000000"/>
    <x v="0"/>
    <x v="78"/>
    <x v="0"/>
    <s v="JARDIM CAMBURI"/>
    <d v="2016-05-30T00:00:00"/>
    <d v="2016-06-01T00:00:00"/>
    <x v="1"/>
    <x v="91"/>
    <x v="4"/>
    <n v="0"/>
    <x v="1"/>
    <n v="0"/>
    <n v="0"/>
    <n v="0"/>
    <x v="1"/>
    <x v="0"/>
    <n v="0"/>
  </r>
  <r>
    <n v="1323530000000"/>
    <x v="0"/>
    <x v="62"/>
    <x v="3"/>
    <s v="FONTE GRANDE"/>
    <d v="2016-05-30T00:00:00"/>
    <d v="2016-05-30T00:00:00"/>
    <x v="2"/>
    <x v="94"/>
    <x v="5"/>
    <n v="1"/>
    <x v="0"/>
    <n v="1"/>
    <n v="0"/>
    <n v="0"/>
    <x v="1"/>
    <x v="0"/>
    <n v="0"/>
  </r>
  <r>
    <n v="117129000000000"/>
    <x v="0"/>
    <x v="30"/>
    <x v="3"/>
    <s v="REDENCAO"/>
    <d v="2016-05-30T00:00:00"/>
    <d v="2016-06-01T00:00:00"/>
    <x v="1"/>
    <x v="91"/>
    <x v="4"/>
    <n v="0"/>
    <x v="0"/>
    <n v="1"/>
    <n v="0"/>
    <n v="0"/>
    <x v="1"/>
    <x v="1"/>
    <n v="1"/>
  </r>
  <r>
    <n v="712815000000000"/>
    <x v="0"/>
    <x v="16"/>
    <x v="1"/>
    <s v="JARDIM CAMBURI"/>
    <d v="2016-05-30T00:00:00"/>
    <d v="2016-05-30T00:00:00"/>
    <x v="2"/>
    <x v="94"/>
    <x v="5"/>
    <n v="0"/>
    <x v="1"/>
    <n v="0"/>
    <n v="0"/>
    <n v="0"/>
    <x v="1"/>
    <x v="0"/>
    <n v="0"/>
  </r>
  <r>
    <n v="5331930000000"/>
    <x v="0"/>
    <x v="34"/>
    <x v="0"/>
    <s v="CRUZAMENTO"/>
    <d v="2016-05-30T00:00:00"/>
    <d v="2016-05-30T00:00:00"/>
    <x v="2"/>
    <x v="94"/>
    <x v="5"/>
    <n v="0"/>
    <x v="0"/>
    <n v="0"/>
    <n v="0"/>
    <n v="0"/>
    <x v="1"/>
    <x v="0"/>
    <n v="0"/>
  </r>
  <r>
    <n v="621386000000000"/>
    <x v="0"/>
    <x v="81"/>
    <x v="5"/>
    <s v="ESTRELINHA"/>
    <d v="2016-05-30T00:00:00"/>
    <d v="2016-06-06T00:00:00"/>
    <x v="2"/>
    <x v="87"/>
    <x v="3"/>
    <n v="0"/>
    <x v="1"/>
    <n v="0"/>
    <n v="0"/>
    <n v="0"/>
    <x v="0"/>
    <x v="0"/>
    <n v="0"/>
  </r>
  <r>
    <n v="191430000000000"/>
    <x v="1"/>
    <x v="69"/>
    <x v="4"/>
    <s v="BONFIM"/>
    <d v="2016-05-30T00:00:00"/>
    <d v="2016-06-01T00:00:00"/>
    <x v="1"/>
    <x v="91"/>
    <x v="4"/>
    <n v="0"/>
    <x v="1"/>
    <n v="0"/>
    <n v="0"/>
    <n v="0"/>
    <x v="1"/>
    <x v="0"/>
    <n v="0"/>
  </r>
  <r>
    <n v="93486400000000"/>
    <x v="0"/>
    <x v="0"/>
    <x v="0"/>
    <s v="JARDIM CAMBURI"/>
    <d v="2016-05-30T00:00:00"/>
    <d v="2016-06-01T00:00:00"/>
    <x v="1"/>
    <x v="91"/>
    <x v="4"/>
    <n v="0"/>
    <x v="1"/>
    <n v="0"/>
    <n v="0"/>
    <n v="0"/>
    <x v="1"/>
    <x v="0"/>
    <n v="0"/>
  </r>
  <r>
    <n v="87835900000000"/>
    <x v="1"/>
    <x v="89"/>
    <x v="0"/>
    <s v="CARATOIRA"/>
    <d v="2016-05-30T00:00:00"/>
    <d v="2016-05-30T00:00:00"/>
    <x v="2"/>
    <x v="94"/>
    <x v="5"/>
    <n v="0"/>
    <x v="1"/>
    <n v="0"/>
    <n v="0"/>
    <n v="0"/>
    <x v="1"/>
    <x v="0"/>
    <n v="0"/>
  </r>
  <r>
    <n v="841579000000000"/>
    <x v="0"/>
    <x v="84"/>
    <x v="1"/>
    <s v="JARDIM CAMBURI"/>
    <d v="2016-05-30T00:00:00"/>
    <d v="2016-05-30T00:00:00"/>
    <x v="2"/>
    <x v="94"/>
    <x v="5"/>
    <n v="0"/>
    <x v="1"/>
    <n v="0"/>
    <n v="0"/>
    <n v="0"/>
    <x v="1"/>
    <x v="1"/>
    <n v="1"/>
  </r>
  <r>
    <n v="47528700000000"/>
    <x v="0"/>
    <x v="27"/>
    <x v="3"/>
    <s v="JARDIM DA PENHA"/>
    <d v="2016-05-30T00:00:00"/>
    <d v="2016-06-01T00:00:00"/>
    <x v="1"/>
    <x v="91"/>
    <x v="4"/>
    <n v="0"/>
    <x v="1"/>
    <n v="0"/>
    <n v="0"/>
    <n v="0"/>
    <x v="1"/>
    <x v="0"/>
    <n v="0"/>
  </r>
  <r>
    <n v="97952900000000"/>
    <x v="0"/>
    <x v="7"/>
    <x v="3"/>
    <s v="JOANA D ARC"/>
    <d v="2016-05-30T00:00:00"/>
    <d v="2016-05-31T00:00:00"/>
    <x v="4"/>
    <x v="93"/>
    <x v="4"/>
    <n v="0"/>
    <x v="0"/>
    <n v="1"/>
    <n v="0"/>
    <n v="0"/>
    <x v="1"/>
    <x v="1"/>
    <n v="1"/>
  </r>
  <r>
    <n v="7997330000000"/>
    <x v="1"/>
    <x v="66"/>
    <x v="2"/>
    <s v="ILHA DAS CAIEIRAS"/>
    <d v="2016-05-30T00:00:00"/>
    <d v="2016-06-01T00:00:00"/>
    <x v="1"/>
    <x v="91"/>
    <x v="4"/>
    <n v="0"/>
    <x v="1"/>
    <n v="0"/>
    <n v="0"/>
    <n v="0"/>
    <x v="1"/>
    <x v="0"/>
    <n v="0"/>
  </r>
  <r>
    <n v="9411860000000"/>
    <x v="0"/>
    <x v="56"/>
    <x v="1"/>
    <s v="MARIA ORTIZ"/>
    <d v="2016-05-30T00:00:00"/>
    <d v="2016-05-30T00:00:00"/>
    <x v="2"/>
    <x v="94"/>
    <x v="5"/>
    <n v="0"/>
    <x v="1"/>
    <n v="0"/>
    <n v="0"/>
    <n v="0"/>
    <x v="1"/>
    <x v="0"/>
    <n v="0"/>
  </r>
  <r>
    <n v="242678000000"/>
    <x v="1"/>
    <x v="52"/>
    <x v="2"/>
    <s v="PRAIA DO SUA"/>
    <d v="2016-05-30T00:00:00"/>
    <d v="2016-05-30T00:00:00"/>
    <x v="2"/>
    <x v="94"/>
    <x v="5"/>
    <n v="0"/>
    <x v="1"/>
    <n v="0"/>
    <n v="0"/>
    <n v="0"/>
    <x v="1"/>
    <x v="0"/>
    <n v="0"/>
  </r>
  <r>
    <n v="298126000000"/>
    <x v="0"/>
    <x v="37"/>
    <x v="3"/>
    <s v="CARATOIRA"/>
    <d v="2016-05-30T00:00:00"/>
    <d v="2016-05-30T00:00:00"/>
    <x v="2"/>
    <x v="94"/>
    <x v="5"/>
    <n v="0"/>
    <x v="1"/>
    <n v="0"/>
    <n v="0"/>
    <n v="0"/>
    <x v="1"/>
    <x v="0"/>
    <n v="0"/>
  </r>
  <r>
    <n v="31141800000000"/>
    <x v="0"/>
    <x v="67"/>
    <x v="4"/>
    <s v="PRAIA DO CANTO"/>
    <d v="2016-05-30T00:00:00"/>
    <d v="2016-06-03T00:00:00"/>
    <x v="0"/>
    <x v="86"/>
    <x v="3"/>
    <n v="0"/>
    <x v="1"/>
    <n v="0"/>
    <n v="0"/>
    <n v="0"/>
    <x v="0"/>
    <x v="0"/>
    <n v="0"/>
  </r>
  <r>
    <n v="32517600000000"/>
    <x v="0"/>
    <x v="44"/>
    <x v="4"/>
    <s v="MARIA ORTIZ"/>
    <d v="2016-05-30T00:00:00"/>
    <d v="2016-05-30T00:00:00"/>
    <x v="2"/>
    <x v="94"/>
    <x v="5"/>
    <n v="0"/>
    <x v="1"/>
    <n v="0"/>
    <n v="0"/>
    <n v="0"/>
    <x v="1"/>
    <x v="0"/>
    <n v="0"/>
  </r>
  <r>
    <n v="2972800000000"/>
    <x v="0"/>
    <x v="34"/>
    <x v="0"/>
    <s v="BELA VISTA"/>
    <d v="2016-05-30T00:00:00"/>
    <d v="2016-05-30T00:00:00"/>
    <x v="2"/>
    <x v="94"/>
    <x v="5"/>
    <n v="0"/>
    <x v="1"/>
    <n v="0"/>
    <n v="0"/>
    <n v="0"/>
    <x v="1"/>
    <x v="0"/>
    <n v="0"/>
  </r>
  <r>
    <n v="9738470000000"/>
    <x v="0"/>
    <x v="44"/>
    <x v="4"/>
    <s v="GURIGICA"/>
    <d v="2016-05-30T00:00:00"/>
    <d v="2016-05-30T00:00:00"/>
    <x v="2"/>
    <x v="94"/>
    <x v="5"/>
    <n v="1"/>
    <x v="1"/>
    <n v="0"/>
    <n v="0"/>
    <n v="0"/>
    <x v="1"/>
    <x v="0"/>
    <n v="0"/>
  </r>
  <r>
    <n v="39627600000000"/>
    <x v="1"/>
    <x v="41"/>
    <x v="4"/>
    <s v="SANTO ANDRE"/>
    <d v="2016-05-30T00:00:00"/>
    <d v="2016-06-06T00:00:00"/>
    <x v="2"/>
    <x v="87"/>
    <x v="3"/>
    <n v="0"/>
    <x v="1"/>
    <n v="0"/>
    <n v="0"/>
    <n v="0"/>
    <x v="0"/>
    <x v="0"/>
    <n v="0"/>
  </r>
  <r>
    <n v="928954000000"/>
    <x v="1"/>
    <x v="54"/>
    <x v="1"/>
    <s v="COMDUSA"/>
    <d v="2016-05-30T00:00:00"/>
    <d v="2016-06-03T00:00:00"/>
    <x v="0"/>
    <x v="86"/>
    <x v="3"/>
    <n v="0"/>
    <x v="1"/>
    <n v="0"/>
    <n v="0"/>
    <n v="0"/>
    <x v="1"/>
    <x v="1"/>
    <n v="1"/>
  </r>
  <r>
    <n v="37512800000000"/>
    <x v="0"/>
    <x v="65"/>
    <x v="2"/>
    <s v="ITARARE"/>
    <d v="2016-05-30T00:00:00"/>
    <d v="2016-05-30T00:00:00"/>
    <x v="2"/>
    <x v="94"/>
    <x v="5"/>
    <n v="0"/>
    <x v="1"/>
    <n v="0"/>
    <n v="0"/>
    <n v="0"/>
    <x v="1"/>
    <x v="0"/>
    <n v="0"/>
  </r>
  <r>
    <n v="881842000000"/>
    <x v="0"/>
    <x v="24"/>
    <x v="1"/>
    <s v="SAO PEDRO"/>
    <d v="2016-05-30T00:00:00"/>
    <d v="2016-05-30T00:00:00"/>
    <x v="2"/>
    <x v="94"/>
    <x v="5"/>
    <n v="0"/>
    <x v="1"/>
    <n v="0"/>
    <n v="0"/>
    <n v="0"/>
    <x v="1"/>
    <x v="0"/>
    <n v="0"/>
  </r>
  <r>
    <n v="98423100000000"/>
    <x v="0"/>
    <x v="7"/>
    <x v="3"/>
    <s v="INHANGUETA"/>
    <d v="2016-05-30T00:00:00"/>
    <d v="2016-06-01T00:00:00"/>
    <x v="1"/>
    <x v="91"/>
    <x v="4"/>
    <n v="0"/>
    <x v="0"/>
    <n v="0"/>
    <n v="0"/>
    <n v="0"/>
    <x v="1"/>
    <x v="0"/>
    <n v="0"/>
  </r>
  <r>
    <n v="738152000000000"/>
    <x v="0"/>
    <x v="29"/>
    <x v="3"/>
    <s v="MARUIPE"/>
    <d v="2016-05-30T00:00:00"/>
    <d v="2016-05-30T00:00:00"/>
    <x v="2"/>
    <x v="94"/>
    <x v="5"/>
    <n v="0"/>
    <x v="1"/>
    <n v="0"/>
    <n v="0"/>
    <n v="0"/>
    <x v="1"/>
    <x v="0"/>
    <n v="0"/>
  </r>
  <r>
    <n v="27286200000000"/>
    <x v="0"/>
    <x v="4"/>
    <x v="2"/>
    <s v="CRUZAMENTO"/>
    <d v="2016-05-30T00:00:00"/>
    <d v="2016-05-30T00:00:00"/>
    <x v="2"/>
    <x v="94"/>
    <x v="5"/>
    <n v="0"/>
    <x v="1"/>
    <n v="0"/>
    <n v="0"/>
    <n v="0"/>
    <x v="1"/>
    <x v="0"/>
    <n v="0"/>
  </r>
  <r>
    <n v="78298700000000"/>
    <x v="0"/>
    <x v="55"/>
    <x v="2"/>
    <s v="NOVA PALESTINA"/>
    <d v="2016-05-30T00:00:00"/>
    <d v="2016-05-31T00:00:00"/>
    <x v="4"/>
    <x v="93"/>
    <x v="4"/>
    <n v="0"/>
    <x v="1"/>
    <n v="0"/>
    <n v="0"/>
    <n v="0"/>
    <x v="1"/>
    <x v="0"/>
    <n v="0"/>
  </r>
  <r>
    <n v="16595500000000"/>
    <x v="0"/>
    <x v="45"/>
    <x v="1"/>
    <s v="DO CABRAL"/>
    <d v="2016-05-30T00:00:00"/>
    <d v="2016-05-30T00:00:00"/>
    <x v="2"/>
    <x v="94"/>
    <x v="5"/>
    <n v="0"/>
    <x v="1"/>
    <n v="0"/>
    <n v="0"/>
    <n v="0"/>
    <x v="1"/>
    <x v="0"/>
    <n v="0"/>
  </r>
  <r>
    <n v="69178900000000"/>
    <x v="0"/>
    <x v="52"/>
    <x v="2"/>
    <s v="MARIA ORTIZ"/>
    <d v="2016-05-30T00:00:00"/>
    <d v="2016-05-30T00:00:00"/>
    <x v="2"/>
    <x v="94"/>
    <x v="5"/>
    <n v="0"/>
    <x v="1"/>
    <n v="0"/>
    <n v="0"/>
    <n v="0"/>
    <x v="1"/>
    <x v="0"/>
    <n v="0"/>
  </r>
  <r>
    <n v="292698000000"/>
    <x v="0"/>
    <x v="49"/>
    <x v="4"/>
    <s v="SANTO ANDRE"/>
    <d v="2016-05-30T00:00:00"/>
    <d v="2016-05-30T00:00:00"/>
    <x v="2"/>
    <x v="94"/>
    <x v="5"/>
    <n v="0"/>
    <x v="1"/>
    <n v="0"/>
    <n v="0"/>
    <n v="0"/>
    <x v="1"/>
    <x v="0"/>
    <n v="0"/>
  </r>
  <r>
    <n v="132629000000"/>
    <x v="0"/>
    <x v="73"/>
    <x v="4"/>
    <s v="ILHA DE SANTA MARIA"/>
    <d v="2016-05-30T00:00:00"/>
    <d v="2016-06-06T00:00:00"/>
    <x v="2"/>
    <x v="87"/>
    <x v="3"/>
    <n v="0"/>
    <x v="1"/>
    <n v="0"/>
    <n v="0"/>
    <n v="0"/>
    <x v="0"/>
    <x v="0"/>
    <n v="0"/>
  </r>
  <r>
    <n v="28273800000000"/>
    <x v="0"/>
    <x v="29"/>
    <x v="3"/>
    <s v="ITARARE"/>
    <d v="2016-05-30T00:00:00"/>
    <d v="2016-05-30T00:00:00"/>
    <x v="2"/>
    <x v="94"/>
    <x v="5"/>
    <n v="0"/>
    <x v="1"/>
    <n v="0"/>
    <n v="0"/>
    <n v="0"/>
    <x v="1"/>
    <x v="0"/>
    <n v="0"/>
  </r>
  <r>
    <n v="793242000000000"/>
    <x v="0"/>
    <x v="19"/>
    <x v="2"/>
    <s v="ILHA DE SANTA MARIA"/>
    <d v="2016-05-30T00:00:00"/>
    <d v="2016-06-06T00:00:00"/>
    <x v="2"/>
    <x v="87"/>
    <x v="3"/>
    <n v="0"/>
    <x v="1"/>
    <n v="0"/>
    <n v="0"/>
    <n v="0"/>
    <x v="1"/>
    <x v="1"/>
    <n v="1"/>
  </r>
  <r>
    <n v="6138600000000"/>
    <x v="0"/>
    <x v="28"/>
    <x v="3"/>
    <s v="ILHA DE SANTA MARIA"/>
    <d v="2016-05-30T00:00:00"/>
    <d v="2016-06-07T00:00:00"/>
    <x v="4"/>
    <x v="88"/>
    <x v="2"/>
    <n v="0"/>
    <x v="1"/>
    <n v="0"/>
    <n v="0"/>
    <n v="0"/>
    <x v="0"/>
    <x v="0"/>
    <n v="0"/>
  </r>
  <r>
    <n v="75797500000000"/>
    <x v="1"/>
    <x v="24"/>
    <x v="1"/>
    <s v="JARDIM CAMBURI"/>
    <d v="2016-05-30T00:00:00"/>
    <d v="2016-05-30T00:00:00"/>
    <x v="2"/>
    <x v="94"/>
    <x v="5"/>
    <n v="0"/>
    <x v="1"/>
    <n v="0"/>
    <n v="0"/>
    <n v="0"/>
    <x v="1"/>
    <x v="0"/>
    <n v="0"/>
  </r>
  <r>
    <n v="89239700000000"/>
    <x v="0"/>
    <x v="45"/>
    <x v="1"/>
    <s v="CRUZAMENTO"/>
    <d v="2016-05-30T00:00:00"/>
    <d v="2016-05-30T00:00:00"/>
    <x v="2"/>
    <x v="94"/>
    <x v="5"/>
    <n v="1"/>
    <x v="0"/>
    <n v="0"/>
    <n v="1"/>
    <n v="0"/>
    <x v="1"/>
    <x v="0"/>
    <n v="0"/>
  </r>
  <r>
    <n v="22949700000000"/>
    <x v="1"/>
    <x v="79"/>
    <x v="5"/>
    <s v="PRAIA DO SUA"/>
    <d v="2016-05-30T00:00:00"/>
    <d v="2016-06-06T00:00:00"/>
    <x v="2"/>
    <x v="87"/>
    <x v="3"/>
    <n v="0"/>
    <x v="1"/>
    <n v="0"/>
    <n v="0"/>
    <n v="0"/>
    <x v="1"/>
    <x v="0"/>
    <n v="0"/>
  </r>
  <r>
    <n v="27317600000000"/>
    <x v="1"/>
    <x v="60"/>
    <x v="2"/>
    <s v="JESUS DE NAZARETH"/>
    <d v="2016-05-30T00:00:00"/>
    <d v="2016-05-30T00:00:00"/>
    <x v="2"/>
    <x v="94"/>
    <x v="5"/>
    <n v="0"/>
    <x v="1"/>
    <n v="0"/>
    <n v="0"/>
    <n v="0"/>
    <x v="1"/>
    <x v="0"/>
    <n v="0"/>
  </r>
  <r>
    <n v="1565370000000"/>
    <x v="1"/>
    <x v="60"/>
    <x v="2"/>
    <s v="SANTA MARTHA"/>
    <d v="2016-05-30T00:00:00"/>
    <d v="2016-06-02T00:00:00"/>
    <x v="3"/>
    <x v="89"/>
    <x v="4"/>
    <n v="0"/>
    <x v="1"/>
    <n v="0"/>
    <n v="0"/>
    <n v="0"/>
    <x v="0"/>
    <x v="0"/>
    <n v="0"/>
  </r>
  <r>
    <n v="839156000000"/>
    <x v="0"/>
    <x v="37"/>
    <x v="3"/>
    <s v="ITARARE"/>
    <d v="2016-05-30T00:00:00"/>
    <d v="2016-06-03T00:00:00"/>
    <x v="0"/>
    <x v="86"/>
    <x v="3"/>
    <n v="0"/>
    <x v="1"/>
    <n v="0"/>
    <n v="0"/>
    <n v="0"/>
    <x v="0"/>
    <x v="0"/>
    <n v="0"/>
  </r>
  <r>
    <n v="9725980000000"/>
    <x v="0"/>
    <x v="29"/>
    <x v="3"/>
    <s v="RESISTENCIA"/>
    <d v="2016-05-30T00:00:00"/>
    <d v="2016-06-08T00:00:00"/>
    <x v="1"/>
    <x v="85"/>
    <x v="2"/>
    <n v="0"/>
    <x v="0"/>
    <n v="0"/>
    <n v="0"/>
    <n v="0"/>
    <x v="0"/>
    <x v="0"/>
    <n v="0"/>
  </r>
  <r>
    <n v="297249000000000"/>
    <x v="1"/>
    <x v="41"/>
    <x v="4"/>
    <s v="SAO PEDRO"/>
    <d v="2016-05-30T00:00:00"/>
    <d v="2016-06-07T00:00:00"/>
    <x v="4"/>
    <x v="88"/>
    <x v="2"/>
    <n v="0"/>
    <x v="0"/>
    <n v="0"/>
    <n v="0"/>
    <n v="0"/>
    <x v="0"/>
    <x v="0"/>
    <n v="0"/>
  </r>
  <r>
    <n v="4465230000000"/>
    <x v="0"/>
    <x v="80"/>
    <x v="2"/>
    <s v="CONQUISTA"/>
    <d v="2016-05-30T00:00:00"/>
    <d v="2016-05-30T00:00:00"/>
    <x v="2"/>
    <x v="94"/>
    <x v="5"/>
    <n v="1"/>
    <x v="1"/>
    <n v="0"/>
    <n v="0"/>
    <n v="0"/>
    <x v="1"/>
    <x v="0"/>
    <n v="0"/>
  </r>
  <r>
    <n v="4272130000000"/>
    <x v="0"/>
    <x v="39"/>
    <x v="4"/>
    <s v="ROMAO"/>
    <d v="2016-05-30T00:00:00"/>
    <d v="2016-06-06T00:00:00"/>
    <x v="2"/>
    <x v="87"/>
    <x v="3"/>
    <n v="0"/>
    <x v="1"/>
    <n v="0"/>
    <n v="0"/>
    <n v="0"/>
    <x v="0"/>
    <x v="0"/>
    <n v="0"/>
  </r>
  <r>
    <n v="7515390000000"/>
    <x v="0"/>
    <x v="15"/>
    <x v="3"/>
    <s v="JARDIM DA PENHA"/>
    <d v="2016-05-30T00:00:00"/>
    <d v="2016-05-30T00:00:00"/>
    <x v="2"/>
    <x v="94"/>
    <x v="5"/>
    <n v="0"/>
    <x v="1"/>
    <n v="0"/>
    <n v="0"/>
    <n v="0"/>
    <x v="1"/>
    <x v="0"/>
    <n v="0"/>
  </r>
  <r>
    <n v="5794410000000"/>
    <x v="0"/>
    <x v="71"/>
    <x v="4"/>
    <s v="NOVA PALESTINA"/>
    <d v="2016-05-30T00:00:00"/>
    <d v="2016-05-30T00:00:00"/>
    <x v="2"/>
    <x v="94"/>
    <x v="5"/>
    <n v="1"/>
    <x v="1"/>
    <n v="0"/>
    <n v="0"/>
    <n v="0"/>
    <x v="1"/>
    <x v="0"/>
    <n v="0"/>
  </r>
  <r>
    <n v="79185400000000"/>
    <x v="0"/>
    <x v="73"/>
    <x v="4"/>
    <s v="ITARARE"/>
    <d v="2016-05-30T00:00:00"/>
    <d v="2016-05-30T00:00:00"/>
    <x v="2"/>
    <x v="94"/>
    <x v="5"/>
    <n v="0"/>
    <x v="1"/>
    <n v="0"/>
    <n v="0"/>
    <n v="0"/>
    <x v="1"/>
    <x v="0"/>
    <n v="0"/>
  </r>
  <r>
    <n v="2819000000000"/>
    <x v="1"/>
    <x v="73"/>
    <x v="4"/>
    <s v="ENSEADA DO SUA"/>
    <d v="2016-05-30T00:00:00"/>
    <d v="2016-05-30T00:00:00"/>
    <x v="2"/>
    <x v="94"/>
    <x v="5"/>
    <n v="0"/>
    <x v="1"/>
    <n v="0"/>
    <n v="0"/>
    <n v="0"/>
    <x v="1"/>
    <x v="0"/>
    <n v="0"/>
  </r>
  <r>
    <n v="3741690000000"/>
    <x v="1"/>
    <x v="15"/>
    <x v="3"/>
    <s v="JARDIM CAMBURI"/>
    <d v="2016-05-30T00:00:00"/>
    <d v="2016-06-06T00:00:00"/>
    <x v="2"/>
    <x v="87"/>
    <x v="3"/>
    <n v="0"/>
    <x v="0"/>
    <n v="0"/>
    <n v="0"/>
    <n v="0"/>
    <x v="0"/>
    <x v="0"/>
    <n v="0"/>
  </r>
  <r>
    <n v="3816350000000"/>
    <x v="1"/>
    <x v="69"/>
    <x v="4"/>
    <s v="CENTRO"/>
    <d v="2016-05-30T00:00:00"/>
    <d v="2016-06-01T00:00:00"/>
    <x v="1"/>
    <x v="91"/>
    <x v="4"/>
    <n v="0"/>
    <x v="1"/>
    <n v="0"/>
    <n v="0"/>
    <n v="0"/>
    <x v="1"/>
    <x v="0"/>
    <n v="0"/>
  </r>
  <r>
    <n v="46664300000000"/>
    <x v="0"/>
    <x v="12"/>
    <x v="3"/>
    <s v="JARDIM DA PENHA"/>
    <d v="2016-05-30T00:00:00"/>
    <d v="2016-05-30T00:00:00"/>
    <x v="2"/>
    <x v="94"/>
    <x v="5"/>
    <n v="0"/>
    <x v="1"/>
    <n v="0"/>
    <n v="0"/>
    <n v="0"/>
    <x v="1"/>
    <x v="0"/>
    <n v="0"/>
  </r>
  <r>
    <n v="2698500000000"/>
    <x v="0"/>
    <x v="45"/>
    <x v="1"/>
    <s v="CONQUISTA"/>
    <d v="2016-05-30T00:00:00"/>
    <d v="2016-05-30T00:00:00"/>
    <x v="2"/>
    <x v="94"/>
    <x v="5"/>
    <n v="1"/>
    <x v="1"/>
    <n v="0"/>
    <n v="0"/>
    <n v="0"/>
    <x v="1"/>
    <x v="0"/>
    <n v="0"/>
  </r>
  <r>
    <n v="293464000000000"/>
    <x v="0"/>
    <x v="74"/>
    <x v="1"/>
    <s v="CENTRO"/>
    <d v="2016-05-30T00:00:00"/>
    <d v="2016-05-31T00:00:00"/>
    <x v="4"/>
    <x v="93"/>
    <x v="4"/>
    <n v="0"/>
    <x v="1"/>
    <n v="0"/>
    <n v="0"/>
    <n v="0"/>
    <x v="1"/>
    <x v="0"/>
    <n v="0"/>
  </r>
  <r>
    <n v="64364600000000"/>
    <x v="0"/>
    <x v="67"/>
    <x v="4"/>
    <s v="ILHA DO PRINCIPE"/>
    <d v="2016-05-30T00:00:00"/>
    <d v="2016-05-30T00:00:00"/>
    <x v="2"/>
    <x v="94"/>
    <x v="5"/>
    <n v="1"/>
    <x v="1"/>
    <n v="0"/>
    <n v="0"/>
    <n v="0"/>
    <x v="1"/>
    <x v="0"/>
    <n v="0"/>
  </r>
  <r>
    <n v="815787000000"/>
    <x v="1"/>
    <x v="15"/>
    <x v="3"/>
    <s v="SANTO ANDRE"/>
    <d v="2016-05-30T00:00:00"/>
    <d v="2016-05-30T00:00:00"/>
    <x v="2"/>
    <x v="94"/>
    <x v="5"/>
    <n v="0"/>
    <x v="1"/>
    <n v="0"/>
    <n v="0"/>
    <n v="0"/>
    <x v="1"/>
    <x v="0"/>
    <n v="0"/>
  </r>
  <r>
    <n v="73834200000000"/>
    <x v="0"/>
    <x v="68"/>
    <x v="4"/>
    <s v="SANTOS DUMONT"/>
    <d v="2016-05-30T00:00:00"/>
    <d v="2016-06-01T00:00:00"/>
    <x v="1"/>
    <x v="91"/>
    <x v="4"/>
    <n v="1"/>
    <x v="1"/>
    <n v="0"/>
    <n v="0"/>
    <n v="0"/>
    <x v="1"/>
    <x v="0"/>
    <n v="0"/>
  </r>
  <r>
    <n v="5753210000000"/>
    <x v="1"/>
    <x v="48"/>
    <x v="3"/>
    <s v="CARATOIRA"/>
    <d v="2016-05-30T00:00:00"/>
    <d v="2016-06-01T00:00:00"/>
    <x v="1"/>
    <x v="91"/>
    <x v="4"/>
    <n v="0"/>
    <x v="1"/>
    <n v="0"/>
    <n v="0"/>
    <n v="0"/>
    <x v="1"/>
    <x v="0"/>
    <n v="0"/>
  </r>
  <r>
    <n v="78633427355"/>
    <x v="0"/>
    <x v="38"/>
    <x v="4"/>
    <s v="BONFIM"/>
    <d v="2016-05-30T00:00:00"/>
    <d v="2016-05-30T00:00:00"/>
    <x v="2"/>
    <x v="94"/>
    <x v="5"/>
    <n v="0"/>
    <x v="1"/>
    <n v="0"/>
    <n v="0"/>
    <n v="0"/>
    <x v="1"/>
    <x v="0"/>
    <n v="0"/>
  </r>
  <r>
    <n v="5784790000000"/>
    <x v="0"/>
    <x v="87"/>
    <x v="1"/>
    <s v="SANTO ANTONIO"/>
    <d v="2016-05-30T00:00:00"/>
    <d v="2016-05-31T00:00:00"/>
    <x v="4"/>
    <x v="93"/>
    <x v="4"/>
    <n v="0"/>
    <x v="1"/>
    <n v="0"/>
    <n v="0"/>
    <n v="0"/>
    <x v="1"/>
    <x v="1"/>
    <n v="1"/>
  </r>
  <r>
    <n v="865313000000"/>
    <x v="0"/>
    <x v="43"/>
    <x v="2"/>
    <s v="DA PENHA"/>
    <d v="2016-05-30T00:00:00"/>
    <d v="2016-06-02T00:00:00"/>
    <x v="3"/>
    <x v="89"/>
    <x v="4"/>
    <n v="0"/>
    <x v="1"/>
    <n v="0"/>
    <n v="0"/>
    <n v="0"/>
    <x v="1"/>
    <x v="0"/>
    <n v="0"/>
  </r>
  <r>
    <n v="9225400000000"/>
    <x v="1"/>
    <x v="10"/>
    <x v="4"/>
    <s v="GURIGICA"/>
    <d v="2016-05-30T00:00:00"/>
    <d v="2016-06-02T00:00:00"/>
    <x v="3"/>
    <x v="89"/>
    <x v="4"/>
    <n v="0"/>
    <x v="1"/>
    <n v="0"/>
    <n v="0"/>
    <n v="0"/>
    <x v="1"/>
    <x v="0"/>
    <n v="0"/>
  </r>
  <r>
    <n v="733157000000000"/>
    <x v="1"/>
    <x v="53"/>
    <x v="0"/>
    <s v="SANTO ANDRE"/>
    <d v="2016-05-30T00:00:00"/>
    <d v="2016-06-01T00:00:00"/>
    <x v="1"/>
    <x v="91"/>
    <x v="4"/>
    <n v="0"/>
    <x v="0"/>
    <n v="0"/>
    <n v="0"/>
    <n v="1"/>
    <x v="1"/>
    <x v="1"/>
    <n v="1"/>
  </r>
  <r>
    <n v="35594800000000"/>
    <x v="0"/>
    <x v="15"/>
    <x v="3"/>
    <s v="SAO PEDRO"/>
    <d v="2016-05-30T00:00:00"/>
    <d v="2016-06-07T00:00:00"/>
    <x v="4"/>
    <x v="88"/>
    <x v="2"/>
    <n v="0"/>
    <x v="1"/>
    <n v="0"/>
    <n v="0"/>
    <n v="0"/>
    <x v="1"/>
    <x v="0"/>
    <n v="0"/>
  </r>
  <r>
    <n v="853440000000000"/>
    <x v="0"/>
    <x v="50"/>
    <x v="1"/>
    <s v="ILHA DE SANTA MARIA"/>
    <d v="2016-05-30T00:00:00"/>
    <d v="2016-05-30T00:00:00"/>
    <x v="2"/>
    <x v="94"/>
    <x v="5"/>
    <n v="0"/>
    <x v="1"/>
    <n v="0"/>
    <n v="0"/>
    <n v="0"/>
    <x v="1"/>
    <x v="0"/>
    <n v="0"/>
  </r>
  <r>
    <n v="925583000000000"/>
    <x v="1"/>
    <x v="87"/>
    <x v="1"/>
    <s v="FRADINHOS"/>
    <d v="2016-05-30T00:00:00"/>
    <d v="2016-06-06T00:00:00"/>
    <x v="2"/>
    <x v="87"/>
    <x v="3"/>
    <n v="0"/>
    <x v="1"/>
    <n v="0"/>
    <n v="0"/>
    <n v="0"/>
    <x v="0"/>
    <x v="0"/>
    <n v="0"/>
  </r>
  <r>
    <n v="7751920000000"/>
    <x v="1"/>
    <x v="9"/>
    <x v="0"/>
    <s v="MARIA ORTIZ"/>
    <d v="2016-05-30T00:00:00"/>
    <d v="2016-06-01T00:00:00"/>
    <x v="1"/>
    <x v="91"/>
    <x v="4"/>
    <n v="0"/>
    <x v="1"/>
    <n v="0"/>
    <n v="0"/>
    <n v="0"/>
    <x v="1"/>
    <x v="0"/>
    <n v="0"/>
  </r>
  <r>
    <n v="273875000000"/>
    <x v="1"/>
    <x v="88"/>
    <x v="0"/>
    <s v="RESISTENCIA"/>
    <d v="2016-05-30T00:00:00"/>
    <d v="2016-05-30T00:00:00"/>
    <x v="2"/>
    <x v="94"/>
    <x v="5"/>
    <n v="0"/>
    <x v="0"/>
    <n v="0"/>
    <n v="0"/>
    <n v="1"/>
    <x v="1"/>
    <x v="0"/>
    <n v="0"/>
  </r>
  <r>
    <n v="41864900000000"/>
    <x v="1"/>
    <x v="16"/>
    <x v="1"/>
    <s v="JABOUR"/>
    <d v="2016-05-30T00:00:00"/>
    <d v="2016-06-01T00:00:00"/>
    <x v="1"/>
    <x v="91"/>
    <x v="4"/>
    <n v="0"/>
    <x v="1"/>
    <n v="0"/>
    <n v="0"/>
    <n v="0"/>
    <x v="1"/>
    <x v="0"/>
    <n v="0"/>
  </r>
  <r>
    <n v="4523790000000"/>
    <x v="0"/>
    <x v="31"/>
    <x v="1"/>
    <s v="MARIA ORTIZ"/>
    <d v="2016-05-30T00:00:00"/>
    <d v="2016-05-30T00:00:00"/>
    <x v="2"/>
    <x v="94"/>
    <x v="5"/>
    <n v="0"/>
    <x v="1"/>
    <n v="0"/>
    <n v="0"/>
    <n v="0"/>
    <x v="1"/>
    <x v="0"/>
    <n v="0"/>
  </r>
  <r>
    <n v="295675000000000"/>
    <x v="0"/>
    <x v="62"/>
    <x v="3"/>
    <s v="SANTA MARTHA"/>
    <d v="2016-05-30T00:00:00"/>
    <d v="2016-06-01T00:00:00"/>
    <x v="1"/>
    <x v="91"/>
    <x v="4"/>
    <n v="0"/>
    <x v="1"/>
    <n v="0"/>
    <n v="0"/>
    <n v="0"/>
    <x v="1"/>
    <x v="0"/>
    <n v="0"/>
  </r>
  <r>
    <n v="5237440000000"/>
    <x v="0"/>
    <x v="50"/>
    <x v="1"/>
    <s v="ILHA DO PRINCIPE"/>
    <d v="2016-05-30T00:00:00"/>
    <d v="2016-05-30T00:00:00"/>
    <x v="2"/>
    <x v="94"/>
    <x v="5"/>
    <n v="1"/>
    <x v="1"/>
    <n v="0"/>
    <n v="0"/>
    <n v="0"/>
    <x v="1"/>
    <x v="0"/>
    <n v="0"/>
  </r>
  <r>
    <n v="865288000000000"/>
    <x v="1"/>
    <x v="57"/>
    <x v="2"/>
    <s v="JABOUR"/>
    <d v="2016-05-30T00:00:00"/>
    <d v="2016-05-30T00:00:00"/>
    <x v="2"/>
    <x v="94"/>
    <x v="5"/>
    <n v="0"/>
    <x v="1"/>
    <n v="0"/>
    <n v="0"/>
    <n v="0"/>
    <x v="1"/>
    <x v="0"/>
    <n v="0"/>
  </r>
  <r>
    <n v="171992000000"/>
    <x v="0"/>
    <x v="17"/>
    <x v="4"/>
    <s v="RESISTENCIA"/>
    <d v="2016-05-30T00:00:00"/>
    <d v="2016-06-01T00:00:00"/>
    <x v="1"/>
    <x v="91"/>
    <x v="4"/>
    <n v="0"/>
    <x v="1"/>
    <n v="0"/>
    <n v="0"/>
    <n v="0"/>
    <x v="1"/>
    <x v="1"/>
    <n v="1"/>
  </r>
  <r>
    <n v="24819500000000"/>
    <x v="0"/>
    <x v="60"/>
    <x v="2"/>
    <s v="UNIVERSITARIO"/>
    <d v="2016-05-30T00:00:00"/>
    <d v="2016-05-31T00:00:00"/>
    <x v="4"/>
    <x v="93"/>
    <x v="4"/>
    <n v="0"/>
    <x v="1"/>
    <n v="0"/>
    <n v="0"/>
    <n v="0"/>
    <x v="1"/>
    <x v="0"/>
    <n v="0"/>
  </r>
  <r>
    <n v="5386850000000"/>
    <x v="0"/>
    <x v="92"/>
    <x v="0"/>
    <s v="SANTO ANTONIO"/>
    <d v="2016-05-30T00:00:00"/>
    <d v="2016-06-03T00:00:00"/>
    <x v="0"/>
    <x v="86"/>
    <x v="3"/>
    <n v="0"/>
    <x v="0"/>
    <n v="0"/>
    <n v="0"/>
    <n v="0"/>
    <x v="1"/>
    <x v="1"/>
    <n v="1"/>
  </r>
  <r>
    <n v="311846000000000"/>
    <x v="0"/>
    <x v="17"/>
    <x v="4"/>
    <s v="INHANGUETA"/>
    <d v="2016-05-30T00:00:00"/>
    <d v="2016-05-30T00:00:00"/>
    <x v="2"/>
    <x v="94"/>
    <x v="5"/>
    <n v="0"/>
    <x v="1"/>
    <n v="0"/>
    <n v="0"/>
    <n v="0"/>
    <x v="1"/>
    <x v="0"/>
    <n v="0"/>
  </r>
  <r>
    <n v="27492000000000"/>
    <x v="1"/>
    <x v="4"/>
    <x v="2"/>
    <s v="ILHA DO PRINCIPE"/>
    <d v="2016-05-30T00:00:00"/>
    <d v="2016-05-30T00:00:00"/>
    <x v="2"/>
    <x v="94"/>
    <x v="5"/>
    <n v="1"/>
    <x v="1"/>
    <n v="0"/>
    <n v="0"/>
    <n v="0"/>
    <x v="1"/>
    <x v="0"/>
    <n v="0"/>
  </r>
  <r>
    <n v="61675800000000"/>
    <x v="0"/>
    <x v="44"/>
    <x v="4"/>
    <s v="SANTOS REIS"/>
    <d v="2016-05-30T00:00:00"/>
    <d v="2016-05-30T00:00:00"/>
    <x v="2"/>
    <x v="94"/>
    <x v="5"/>
    <n v="0"/>
    <x v="1"/>
    <n v="0"/>
    <n v="0"/>
    <n v="0"/>
    <x v="1"/>
    <x v="0"/>
    <n v="0"/>
  </r>
  <r>
    <n v="73514300000000"/>
    <x v="0"/>
    <x v="55"/>
    <x v="2"/>
    <s v="CONQUISTA"/>
    <d v="2016-05-30T00:00:00"/>
    <d v="2016-06-01T00:00:00"/>
    <x v="1"/>
    <x v="91"/>
    <x v="4"/>
    <n v="0"/>
    <x v="1"/>
    <n v="0"/>
    <n v="0"/>
    <n v="0"/>
    <x v="1"/>
    <x v="1"/>
    <n v="1"/>
  </r>
  <r>
    <n v="336354000000"/>
    <x v="0"/>
    <x v="37"/>
    <x v="3"/>
    <s v="MARIA ORTIZ"/>
    <d v="2016-05-30T00:00:00"/>
    <d v="2016-05-30T00:00:00"/>
    <x v="2"/>
    <x v="94"/>
    <x v="5"/>
    <n v="0"/>
    <x v="1"/>
    <n v="0"/>
    <n v="0"/>
    <n v="0"/>
    <x v="1"/>
    <x v="0"/>
    <n v="0"/>
  </r>
  <r>
    <n v="99268688345"/>
    <x v="0"/>
    <x v="12"/>
    <x v="3"/>
    <s v="CARATOIRA"/>
    <d v="2016-05-30T00:00:00"/>
    <d v="2016-06-01T00:00:00"/>
    <x v="1"/>
    <x v="91"/>
    <x v="4"/>
    <n v="0"/>
    <x v="0"/>
    <n v="0"/>
    <n v="0"/>
    <n v="0"/>
    <x v="1"/>
    <x v="0"/>
    <n v="0"/>
  </r>
  <r>
    <n v="9955900000000"/>
    <x v="0"/>
    <x v="54"/>
    <x v="1"/>
    <s v="SANTO ANDRE"/>
    <d v="2016-05-30T00:00:00"/>
    <d v="2016-05-30T00:00:00"/>
    <x v="2"/>
    <x v="94"/>
    <x v="5"/>
    <n v="1"/>
    <x v="0"/>
    <n v="0"/>
    <n v="0"/>
    <n v="0"/>
    <x v="1"/>
    <x v="0"/>
    <n v="0"/>
  </r>
  <r>
    <n v="9716120000000"/>
    <x v="0"/>
    <x v="71"/>
    <x v="4"/>
    <s v="ILHA DO PRINCIPE"/>
    <d v="2016-05-30T00:00:00"/>
    <d v="2016-05-30T00:00:00"/>
    <x v="2"/>
    <x v="94"/>
    <x v="5"/>
    <n v="0"/>
    <x v="1"/>
    <n v="0"/>
    <n v="0"/>
    <n v="0"/>
    <x v="1"/>
    <x v="0"/>
    <n v="0"/>
  </r>
  <r>
    <n v="98455000000000"/>
    <x v="0"/>
    <x v="46"/>
    <x v="2"/>
    <s v="ILHA DO PRINCIPE"/>
    <d v="2016-05-30T00:00:00"/>
    <d v="2016-05-30T00:00:00"/>
    <x v="2"/>
    <x v="94"/>
    <x v="5"/>
    <n v="0"/>
    <x v="1"/>
    <n v="0"/>
    <n v="0"/>
    <n v="0"/>
    <x v="1"/>
    <x v="0"/>
    <n v="0"/>
  </r>
  <r>
    <n v="9157970000000"/>
    <x v="0"/>
    <x v="75"/>
    <x v="5"/>
    <s v="REDENCAO"/>
    <d v="2016-05-30T00:00:00"/>
    <d v="2016-05-30T00:00:00"/>
    <x v="2"/>
    <x v="94"/>
    <x v="5"/>
    <n v="0"/>
    <x v="1"/>
    <n v="0"/>
    <n v="0"/>
    <n v="0"/>
    <x v="1"/>
    <x v="0"/>
    <n v="0"/>
  </r>
  <r>
    <n v="119563000000000"/>
    <x v="1"/>
    <x v="59"/>
    <x v="2"/>
    <s v="SANTO ANDRE"/>
    <d v="2016-05-30T00:00:00"/>
    <d v="2016-05-30T00:00:00"/>
    <x v="2"/>
    <x v="94"/>
    <x v="5"/>
    <n v="0"/>
    <x v="1"/>
    <n v="0"/>
    <n v="0"/>
    <n v="0"/>
    <x v="1"/>
    <x v="0"/>
    <n v="0"/>
  </r>
  <r>
    <n v="82244700000000"/>
    <x v="1"/>
    <x v="4"/>
    <x v="2"/>
    <s v="ILHA DO PRINCIPE"/>
    <d v="2016-05-30T00:00:00"/>
    <d v="2016-05-30T00:00:00"/>
    <x v="2"/>
    <x v="94"/>
    <x v="5"/>
    <n v="1"/>
    <x v="1"/>
    <n v="0"/>
    <n v="0"/>
    <n v="0"/>
    <x v="1"/>
    <x v="0"/>
    <n v="0"/>
  </r>
  <r>
    <n v="835654000000000"/>
    <x v="1"/>
    <x v="57"/>
    <x v="2"/>
    <s v="SANTA MARTHA"/>
    <d v="2016-05-30T00:00:00"/>
    <d v="2016-05-30T00:00:00"/>
    <x v="2"/>
    <x v="94"/>
    <x v="5"/>
    <n v="0"/>
    <x v="1"/>
    <n v="0"/>
    <n v="0"/>
    <n v="0"/>
    <x v="1"/>
    <x v="0"/>
    <n v="0"/>
  </r>
  <r>
    <n v="35782900000000"/>
    <x v="1"/>
    <x v="19"/>
    <x v="2"/>
    <s v="REDENCAO"/>
    <d v="2016-05-30T00:00:00"/>
    <d v="2016-05-30T00:00:00"/>
    <x v="2"/>
    <x v="94"/>
    <x v="5"/>
    <n v="0"/>
    <x v="1"/>
    <n v="0"/>
    <n v="0"/>
    <n v="0"/>
    <x v="1"/>
    <x v="0"/>
    <n v="0"/>
  </r>
  <r>
    <n v="1313870000000"/>
    <x v="1"/>
    <x v="37"/>
    <x v="3"/>
    <s v="SANTOS DUMONT"/>
    <d v="2016-05-30T00:00:00"/>
    <d v="2016-05-31T00:00:00"/>
    <x v="4"/>
    <x v="93"/>
    <x v="4"/>
    <n v="0"/>
    <x v="1"/>
    <n v="0"/>
    <n v="0"/>
    <n v="0"/>
    <x v="1"/>
    <x v="1"/>
    <n v="1"/>
  </r>
  <r>
    <n v="9223780000000"/>
    <x v="0"/>
    <x v="41"/>
    <x v="4"/>
    <s v="MARIA ORTIZ"/>
    <d v="2016-05-30T00:00:00"/>
    <d v="2016-05-30T00:00:00"/>
    <x v="2"/>
    <x v="94"/>
    <x v="5"/>
    <n v="0"/>
    <x v="1"/>
    <n v="0"/>
    <n v="0"/>
    <n v="0"/>
    <x v="1"/>
    <x v="0"/>
    <n v="0"/>
  </r>
  <r>
    <n v="83493300000000"/>
    <x v="1"/>
    <x v="19"/>
    <x v="2"/>
    <s v="ITARARE"/>
    <d v="2016-05-30T00:00:00"/>
    <d v="2016-06-06T00:00:00"/>
    <x v="2"/>
    <x v="87"/>
    <x v="3"/>
    <n v="0"/>
    <x v="1"/>
    <n v="0"/>
    <n v="0"/>
    <n v="0"/>
    <x v="0"/>
    <x v="1"/>
    <n v="1"/>
  </r>
  <r>
    <n v="7151940000000"/>
    <x v="1"/>
    <x v="66"/>
    <x v="2"/>
    <s v="SANTO ANTONIO"/>
    <d v="2016-05-30T00:00:00"/>
    <d v="2016-06-02T00:00:00"/>
    <x v="3"/>
    <x v="89"/>
    <x v="4"/>
    <n v="0"/>
    <x v="1"/>
    <n v="0"/>
    <n v="0"/>
    <n v="0"/>
    <x v="0"/>
    <x v="0"/>
    <n v="0"/>
  </r>
  <r>
    <n v="51888900000000"/>
    <x v="0"/>
    <x v="44"/>
    <x v="4"/>
    <s v="MARIA ORTIZ"/>
    <d v="2016-05-30T00:00:00"/>
    <d v="2016-05-30T00:00:00"/>
    <x v="2"/>
    <x v="94"/>
    <x v="5"/>
    <n v="0"/>
    <x v="1"/>
    <n v="0"/>
    <n v="0"/>
    <n v="0"/>
    <x v="1"/>
    <x v="0"/>
    <n v="0"/>
  </r>
  <r>
    <n v="77521400000000"/>
    <x v="1"/>
    <x v="67"/>
    <x v="4"/>
    <s v="ITARARE"/>
    <d v="2016-05-30T00:00:00"/>
    <d v="2016-06-01T00:00:00"/>
    <x v="1"/>
    <x v="91"/>
    <x v="4"/>
    <n v="0"/>
    <x v="1"/>
    <n v="0"/>
    <n v="0"/>
    <n v="0"/>
    <x v="1"/>
    <x v="0"/>
    <n v="0"/>
  </r>
  <r>
    <n v="263181000000000"/>
    <x v="1"/>
    <x v="80"/>
    <x v="2"/>
    <s v="SAO PEDRO"/>
    <d v="2016-05-30T00:00:00"/>
    <d v="2016-05-30T00:00:00"/>
    <x v="2"/>
    <x v="94"/>
    <x v="5"/>
    <n v="0"/>
    <x v="1"/>
    <n v="0"/>
    <n v="0"/>
    <n v="0"/>
    <x v="1"/>
    <x v="0"/>
    <n v="0"/>
  </r>
  <r>
    <n v="579448000000"/>
    <x v="0"/>
    <x v="29"/>
    <x v="3"/>
    <s v="MARIA ORTIZ"/>
    <d v="2016-05-30T00:00:00"/>
    <d v="2016-06-03T00:00:00"/>
    <x v="0"/>
    <x v="86"/>
    <x v="3"/>
    <n v="0"/>
    <x v="1"/>
    <n v="0"/>
    <n v="0"/>
    <n v="0"/>
    <x v="0"/>
    <x v="0"/>
    <n v="0"/>
  </r>
  <r>
    <n v="581641000000"/>
    <x v="1"/>
    <x v="46"/>
    <x v="2"/>
    <s v="RESISTENCIA"/>
    <d v="2016-05-30T00:00:00"/>
    <d v="2016-05-30T00:00:00"/>
    <x v="2"/>
    <x v="94"/>
    <x v="5"/>
    <n v="0"/>
    <x v="1"/>
    <n v="0"/>
    <n v="0"/>
    <n v="0"/>
    <x v="1"/>
    <x v="0"/>
    <n v="0"/>
  </r>
  <r>
    <n v="8669810000000"/>
    <x v="0"/>
    <x v="24"/>
    <x v="1"/>
    <s v="SANTA MARTHA"/>
    <d v="2016-05-30T00:00:00"/>
    <d v="2016-06-01T00:00:00"/>
    <x v="1"/>
    <x v="91"/>
    <x v="4"/>
    <n v="0"/>
    <x v="0"/>
    <n v="1"/>
    <n v="0"/>
    <n v="0"/>
    <x v="1"/>
    <x v="0"/>
    <n v="0"/>
  </r>
  <r>
    <n v="292179000000000"/>
    <x v="0"/>
    <x v="45"/>
    <x v="1"/>
    <s v="BONFIM"/>
    <d v="2016-05-30T00:00:00"/>
    <d v="2016-05-30T00:00:00"/>
    <x v="2"/>
    <x v="94"/>
    <x v="5"/>
    <n v="0"/>
    <x v="1"/>
    <n v="0"/>
    <n v="1"/>
    <n v="0"/>
    <x v="1"/>
    <x v="0"/>
    <n v="0"/>
  </r>
  <r>
    <n v="154360000000000"/>
    <x v="0"/>
    <x v="39"/>
    <x v="4"/>
    <s v="TABUAZEIRO"/>
    <d v="2016-05-30T00:00:00"/>
    <d v="2016-06-03T00:00:00"/>
    <x v="0"/>
    <x v="86"/>
    <x v="3"/>
    <n v="0"/>
    <x v="1"/>
    <n v="0"/>
    <n v="0"/>
    <n v="0"/>
    <x v="0"/>
    <x v="0"/>
    <n v="0"/>
  </r>
  <r>
    <n v="13992400000000"/>
    <x v="1"/>
    <x v="43"/>
    <x v="2"/>
    <s v="ITARARE"/>
    <d v="2016-05-30T00:00:00"/>
    <d v="2016-06-06T00:00:00"/>
    <x v="2"/>
    <x v="87"/>
    <x v="3"/>
    <n v="0"/>
    <x v="1"/>
    <n v="0"/>
    <n v="0"/>
    <n v="0"/>
    <x v="0"/>
    <x v="1"/>
    <n v="1"/>
  </r>
  <r>
    <n v="842669000000000"/>
    <x v="1"/>
    <x v="69"/>
    <x v="4"/>
    <s v="CENTRO"/>
    <d v="2016-05-30T00:00:00"/>
    <d v="2016-06-03T00:00:00"/>
    <x v="0"/>
    <x v="86"/>
    <x v="3"/>
    <n v="0"/>
    <x v="0"/>
    <n v="0"/>
    <n v="0"/>
    <n v="0"/>
    <x v="0"/>
    <x v="0"/>
    <n v="0"/>
  </r>
  <r>
    <n v="426859000000000"/>
    <x v="0"/>
    <x v="87"/>
    <x v="1"/>
    <s v="BELA VISTA"/>
    <d v="2016-05-30T00:00:00"/>
    <d v="2016-06-02T00:00:00"/>
    <x v="3"/>
    <x v="89"/>
    <x v="4"/>
    <n v="0"/>
    <x v="1"/>
    <n v="0"/>
    <n v="0"/>
    <n v="0"/>
    <x v="0"/>
    <x v="1"/>
    <n v="1"/>
  </r>
  <r>
    <n v="6834450000000"/>
    <x v="0"/>
    <x v="15"/>
    <x v="3"/>
    <s v="TABUAZEIRO"/>
    <d v="2016-05-30T00:00:00"/>
    <d v="2016-06-01T00:00:00"/>
    <x v="1"/>
    <x v="91"/>
    <x v="4"/>
    <n v="1"/>
    <x v="0"/>
    <n v="0"/>
    <n v="0"/>
    <n v="0"/>
    <x v="1"/>
    <x v="0"/>
    <n v="0"/>
  </r>
  <r>
    <n v="2589660000000"/>
    <x v="1"/>
    <x v="43"/>
    <x v="2"/>
    <s v="ITARARE"/>
    <d v="2016-05-30T00:00:00"/>
    <d v="2016-06-01T00:00:00"/>
    <x v="1"/>
    <x v="91"/>
    <x v="4"/>
    <n v="0"/>
    <x v="1"/>
    <n v="0"/>
    <n v="0"/>
    <n v="0"/>
    <x v="1"/>
    <x v="0"/>
    <n v="0"/>
  </r>
  <r>
    <n v="23872623346"/>
    <x v="0"/>
    <x v="30"/>
    <x v="3"/>
    <s v="JOANA D ARC"/>
    <d v="2016-05-30T00:00:00"/>
    <d v="2016-05-30T00:00:00"/>
    <x v="2"/>
    <x v="94"/>
    <x v="5"/>
    <n v="0"/>
    <x v="1"/>
    <n v="0"/>
    <n v="0"/>
    <n v="0"/>
    <x v="1"/>
    <x v="0"/>
    <n v="0"/>
  </r>
  <r>
    <n v="987239000000"/>
    <x v="0"/>
    <x v="32"/>
    <x v="4"/>
    <s v="TABUAZEIRO"/>
    <d v="2016-05-30T00:00:00"/>
    <d v="2016-06-01T00:00:00"/>
    <x v="1"/>
    <x v="91"/>
    <x v="4"/>
    <n v="0"/>
    <x v="1"/>
    <n v="0"/>
    <n v="0"/>
    <n v="0"/>
    <x v="1"/>
    <x v="1"/>
    <n v="1"/>
  </r>
  <r>
    <n v="4534620000000"/>
    <x v="1"/>
    <x v="43"/>
    <x v="2"/>
    <s v="DA PENHA"/>
    <d v="2016-05-30T00:00:00"/>
    <d v="2016-06-03T00:00:00"/>
    <x v="0"/>
    <x v="86"/>
    <x v="3"/>
    <n v="0"/>
    <x v="1"/>
    <n v="0"/>
    <n v="0"/>
    <n v="0"/>
    <x v="1"/>
    <x v="1"/>
    <n v="1"/>
  </r>
  <r>
    <n v="195772000000"/>
    <x v="0"/>
    <x v="40"/>
    <x v="1"/>
    <s v="MARIA ORTIZ"/>
    <d v="2016-05-30T00:00:00"/>
    <d v="2016-06-01T00:00:00"/>
    <x v="1"/>
    <x v="91"/>
    <x v="4"/>
    <n v="0"/>
    <x v="1"/>
    <n v="0"/>
    <n v="0"/>
    <n v="0"/>
    <x v="1"/>
    <x v="0"/>
    <n v="0"/>
  </r>
  <r>
    <n v="991490000000000"/>
    <x v="0"/>
    <x v="46"/>
    <x v="2"/>
    <s v="JARDIM CAMBURI"/>
    <d v="2016-05-30T00:00:00"/>
    <d v="2016-05-30T00:00:00"/>
    <x v="2"/>
    <x v="94"/>
    <x v="5"/>
    <n v="0"/>
    <x v="1"/>
    <n v="0"/>
    <n v="0"/>
    <n v="0"/>
    <x v="1"/>
    <x v="0"/>
    <n v="0"/>
  </r>
  <r>
    <n v="7861820000000"/>
    <x v="0"/>
    <x v="22"/>
    <x v="4"/>
    <s v="JARDIM DA PENHA"/>
    <d v="2016-05-30T00:00:00"/>
    <d v="2016-05-30T00:00:00"/>
    <x v="2"/>
    <x v="94"/>
    <x v="5"/>
    <n v="0"/>
    <x v="1"/>
    <n v="0"/>
    <n v="0"/>
    <n v="0"/>
    <x v="1"/>
    <x v="0"/>
    <n v="0"/>
  </r>
  <r>
    <n v="17463900000000"/>
    <x v="0"/>
    <x v="54"/>
    <x v="1"/>
    <s v="MARUIPE"/>
    <d v="2016-05-30T00:00:00"/>
    <d v="2016-06-08T00:00:00"/>
    <x v="1"/>
    <x v="85"/>
    <x v="2"/>
    <n v="0"/>
    <x v="1"/>
    <n v="0"/>
    <n v="0"/>
    <n v="0"/>
    <x v="0"/>
    <x v="0"/>
    <n v="0"/>
  </r>
  <r>
    <n v="77714900000000"/>
    <x v="1"/>
    <x v="4"/>
    <x v="2"/>
    <s v="SAO JOSE"/>
    <d v="2016-05-30T00:00:00"/>
    <d v="2016-06-06T00:00:00"/>
    <x v="2"/>
    <x v="87"/>
    <x v="3"/>
    <n v="0"/>
    <x v="1"/>
    <n v="0"/>
    <n v="0"/>
    <n v="0"/>
    <x v="1"/>
    <x v="0"/>
    <n v="0"/>
  </r>
  <r>
    <n v="41738600000000"/>
    <x v="0"/>
    <x v="73"/>
    <x v="4"/>
    <s v="ILHA DO PRINCIPE"/>
    <d v="2016-05-30T00:00:00"/>
    <d v="2016-06-01T00:00:00"/>
    <x v="1"/>
    <x v="91"/>
    <x v="4"/>
    <n v="0"/>
    <x v="1"/>
    <n v="0"/>
    <n v="0"/>
    <n v="0"/>
    <x v="1"/>
    <x v="0"/>
    <n v="0"/>
  </r>
  <r>
    <n v="266667000000000"/>
    <x v="0"/>
    <x v="43"/>
    <x v="2"/>
    <s v="DA PENHA"/>
    <d v="2016-05-30T00:00:00"/>
    <d v="2016-06-06T00:00:00"/>
    <x v="2"/>
    <x v="87"/>
    <x v="3"/>
    <n v="1"/>
    <x v="1"/>
    <n v="0"/>
    <n v="0"/>
    <n v="0"/>
    <x v="1"/>
    <x v="0"/>
    <n v="0"/>
  </r>
  <r>
    <n v="59844400000000"/>
    <x v="1"/>
    <x v="83"/>
    <x v="0"/>
    <s v="DO MOSCOSO"/>
    <d v="2016-05-30T00:00:00"/>
    <d v="2016-06-01T00:00:00"/>
    <x v="1"/>
    <x v="91"/>
    <x v="4"/>
    <n v="0"/>
    <x v="0"/>
    <n v="0"/>
    <n v="0"/>
    <n v="0"/>
    <x v="1"/>
    <x v="0"/>
    <n v="0"/>
  </r>
  <r>
    <n v="4191770000000"/>
    <x v="0"/>
    <x v="7"/>
    <x v="3"/>
    <s v="JARDIM CAMBURI"/>
    <d v="2016-05-30T00:00:00"/>
    <d v="2016-06-02T00:00:00"/>
    <x v="3"/>
    <x v="89"/>
    <x v="4"/>
    <n v="0"/>
    <x v="0"/>
    <n v="0"/>
    <n v="0"/>
    <n v="1"/>
    <x v="1"/>
    <x v="0"/>
    <n v="0"/>
  </r>
  <r>
    <n v="9388790000000"/>
    <x v="1"/>
    <x v="49"/>
    <x v="4"/>
    <s v="SANTA MARTHA"/>
    <d v="2016-05-30T00:00:00"/>
    <d v="2016-05-31T00:00:00"/>
    <x v="4"/>
    <x v="93"/>
    <x v="4"/>
    <n v="0"/>
    <x v="1"/>
    <n v="0"/>
    <n v="0"/>
    <n v="0"/>
    <x v="1"/>
    <x v="0"/>
    <n v="0"/>
  </r>
  <r>
    <n v="444996000000000"/>
    <x v="0"/>
    <x v="51"/>
    <x v="2"/>
    <s v="JOANA D ARC"/>
    <d v="2016-05-30T00:00:00"/>
    <d v="2016-05-30T00:00:00"/>
    <x v="2"/>
    <x v="94"/>
    <x v="5"/>
    <n v="0"/>
    <x v="1"/>
    <n v="1"/>
    <n v="0"/>
    <n v="0"/>
    <x v="1"/>
    <x v="0"/>
    <n v="0"/>
  </r>
  <r>
    <n v="82433948475"/>
    <x v="0"/>
    <x v="60"/>
    <x v="2"/>
    <s v="BELA VISTA"/>
    <d v="2016-05-30T00:00:00"/>
    <d v="2016-05-30T00:00:00"/>
    <x v="2"/>
    <x v="94"/>
    <x v="5"/>
    <n v="1"/>
    <x v="1"/>
    <n v="0"/>
    <n v="0"/>
    <n v="0"/>
    <x v="1"/>
    <x v="0"/>
    <n v="0"/>
  </r>
  <r>
    <n v="27192900000000"/>
    <x v="1"/>
    <x v="4"/>
    <x v="2"/>
    <s v="GRANDE VITORIA"/>
    <d v="2016-05-30T00:00:00"/>
    <d v="2016-06-01T00:00:00"/>
    <x v="1"/>
    <x v="91"/>
    <x v="4"/>
    <n v="0"/>
    <x v="1"/>
    <n v="0"/>
    <n v="0"/>
    <n v="0"/>
    <x v="1"/>
    <x v="0"/>
    <n v="0"/>
  </r>
  <r>
    <n v="32267500000000"/>
    <x v="0"/>
    <x v="71"/>
    <x v="4"/>
    <s v="ILHA DO BOI"/>
    <d v="2016-05-30T00:00:00"/>
    <d v="2016-05-30T00:00:00"/>
    <x v="2"/>
    <x v="94"/>
    <x v="5"/>
    <n v="0"/>
    <x v="1"/>
    <n v="0"/>
    <n v="0"/>
    <n v="0"/>
    <x v="1"/>
    <x v="0"/>
    <n v="0"/>
  </r>
  <r>
    <n v="7126790000000"/>
    <x v="0"/>
    <x v="35"/>
    <x v="0"/>
    <s v="TABUAZEIRO"/>
    <d v="2016-05-30T00:00:00"/>
    <d v="2016-05-31T00:00:00"/>
    <x v="4"/>
    <x v="93"/>
    <x v="4"/>
    <n v="0"/>
    <x v="0"/>
    <n v="0"/>
    <n v="0"/>
    <n v="0"/>
    <x v="1"/>
    <x v="0"/>
    <n v="0"/>
  </r>
  <r>
    <n v="548829000000000"/>
    <x v="0"/>
    <x v="31"/>
    <x v="1"/>
    <s v="NOVA PALESTINA"/>
    <d v="2016-05-30T00:00:00"/>
    <d v="2016-06-03T00:00:00"/>
    <x v="0"/>
    <x v="86"/>
    <x v="3"/>
    <n v="0"/>
    <x v="1"/>
    <n v="0"/>
    <n v="0"/>
    <n v="0"/>
    <x v="0"/>
    <x v="0"/>
    <n v="0"/>
  </r>
  <r>
    <n v="7977160000000"/>
    <x v="0"/>
    <x v="59"/>
    <x v="2"/>
    <s v="INHANGUETA"/>
    <d v="2016-05-30T00:00:00"/>
    <d v="2016-06-03T00:00:00"/>
    <x v="0"/>
    <x v="86"/>
    <x v="3"/>
    <n v="0"/>
    <x v="1"/>
    <n v="0"/>
    <n v="0"/>
    <n v="0"/>
    <x v="0"/>
    <x v="0"/>
    <n v="0"/>
  </r>
  <r>
    <n v="9821950000000"/>
    <x v="0"/>
    <x v="78"/>
    <x v="0"/>
    <s v="JABOUR"/>
    <d v="2016-05-30T00:00:00"/>
    <d v="2016-05-30T00:00:00"/>
    <x v="2"/>
    <x v="94"/>
    <x v="5"/>
    <n v="0"/>
    <x v="0"/>
    <n v="0"/>
    <n v="0"/>
    <n v="0"/>
    <x v="1"/>
    <x v="0"/>
    <n v="0"/>
  </r>
  <r>
    <n v="81362200000000"/>
    <x v="1"/>
    <x v="54"/>
    <x v="1"/>
    <s v="ANDORINHAS"/>
    <d v="2016-05-30T00:00:00"/>
    <d v="2016-05-31T00:00:00"/>
    <x v="4"/>
    <x v="93"/>
    <x v="4"/>
    <n v="0"/>
    <x v="0"/>
    <n v="1"/>
    <n v="0"/>
    <n v="0"/>
    <x v="1"/>
    <x v="0"/>
    <n v="0"/>
  </r>
  <r>
    <n v="527783000000000"/>
    <x v="0"/>
    <x v="21"/>
    <x v="1"/>
    <s v="SAO PEDRO"/>
    <d v="2016-05-30T00:00:00"/>
    <d v="2016-05-31T00:00:00"/>
    <x v="4"/>
    <x v="93"/>
    <x v="4"/>
    <n v="0"/>
    <x v="0"/>
    <n v="0"/>
    <n v="0"/>
    <n v="0"/>
    <x v="1"/>
    <x v="0"/>
    <n v="0"/>
  </r>
  <r>
    <n v="854983000000000"/>
    <x v="1"/>
    <x v="42"/>
    <x v="3"/>
    <s v="NOVA PALESTINA"/>
    <d v="2016-05-30T00:00:00"/>
    <d v="2016-05-30T00:00:00"/>
    <x v="2"/>
    <x v="94"/>
    <x v="5"/>
    <n v="0"/>
    <x v="1"/>
    <n v="0"/>
    <n v="0"/>
    <n v="0"/>
    <x v="1"/>
    <x v="0"/>
    <n v="0"/>
  </r>
  <r>
    <n v="56349696578"/>
    <x v="1"/>
    <x v="62"/>
    <x v="3"/>
    <s v="RESISTENCIA"/>
    <d v="2016-05-30T00:00:00"/>
    <d v="2016-05-31T00:00:00"/>
    <x v="4"/>
    <x v="93"/>
    <x v="4"/>
    <n v="0"/>
    <x v="0"/>
    <n v="0"/>
    <n v="1"/>
    <n v="0"/>
    <x v="1"/>
    <x v="0"/>
    <n v="0"/>
  </r>
  <r>
    <n v="64659000000000"/>
    <x v="0"/>
    <x v="56"/>
    <x v="1"/>
    <s v="BOA VISTA"/>
    <d v="2016-05-30T00:00:00"/>
    <d v="2016-06-06T00:00:00"/>
    <x v="2"/>
    <x v="87"/>
    <x v="3"/>
    <n v="0"/>
    <x v="1"/>
    <n v="0"/>
    <n v="0"/>
    <n v="0"/>
    <x v="0"/>
    <x v="0"/>
    <n v="0"/>
  </r>
  <r>
    <n v="55219900000000"/>
    <x v="1"/>
    <x v="83"/>
    <x v="0"/>
    <s v="JARDIM CAMBURI"/>
    <d v="2016-05-30T00:00:00"/>
    <d v="2016-05-30T00:00:00"/>
    <x v="2"/>
    <x v="94"/>
    <x v="5"/>
    <n v="0"/>
    <x v="1"/>
    <n v="0"/>
    <n v="0"/>
    <n v="0"/>
    <x v="1"/>
    <x v="0"/>
    <n v="0"/>
  </r>
  <r>
    <n v="573465000000"/>
    <x v="0"/>
    <x v="53"/>
    <x v="0"/>
    <s v="ILHA DE SANTA MARIA"/>
    <d v="2016-05-30T00:00:00"/>
    <d v="2016-05-30T00:00:00"/>
    <x v="2"/>
    <x v="94"/>
    <x v="5"/>
    <n v="0"/>
    <x v="1"/>
    <n v="0"/>
    <n v="0"/>
    <n v="0"/>
    <x v="1"/>
    <x v="0"/>
    <n v="0"/>
  </r>
  <r>
    <n v="266589000000000"/>
    <x v="0"/>
    <x v="10"/>
    <x v="4"/>
    <s v="JARDIM CAMBURI"/>
    <d v="2016-05-30T00:00:00"/>
    <d v="2016-05-30T00:00:00"/>
    <x v="2"/>
    <x v="94"/>
    <x v="5"/>
    <n v="0"/>
    <x v="1"/>
    <n v="0"/>
    <n v="0"/>
    <n v="0"/>
    <x v="1"/>
    <x v="0"/>
    <n v="0"/>
  </r>
  <r>
    <n v="5577480000000"/>
    <x v="1"/>
    <x v="2"/>
    <x v="1"/>
    <s v="SANTOS REIS"/>
    <d v="2016-05-30T00:00:00"/>
    <d v="2016-06-06T00:00:00"/>
    <x v="2"/>
    <x v="87"/>
    <x v="3"/>
    <n v="0"/>
    <x v="1"/>
    <n v="0"/>
    <n v="0"/>
    <n v="0"/>
    <x v="1"/>
    <x v="0"/>
    <n v="0"/>
  </r>
  <r>
    <n v="911640000000"/>
    <x v="1"/>
    <x v="15"/>
    <x v="3"/>
    <s v="PARQUE MOSCOSO"/>
    <d v="2016-05-30T00:00:00"/>
    <d v="2016-05-31T00:00:00"/>
    <x v="4"/>
    <x v="93"/>
    <x v="4"/>
    <n v="0"/>
    <x v="0"/>
    <n v="0"/>
    <n v="0"/>
    <n v="0"/>
    <x v="1"/>
    <x v="0"/>
    <n v="0"/>
  </r>
  <r>
    <n v="46148300000000"/>
    <x v="1"/>
    <x v="30"/>
    <x v="3"/>
    <s v="SAO CRISTOVAO"/>
    <d v="2016-05-30T00:00:00"/>
    <d v="2016-05-30T00:00:00"/>
    <x v="2"/>
    <x v="94"/>
    <x v="5"/>
    <n v="0"/>
    <x v="1"/>
    <n v="0"/>
    <n v="0"/>
    <n v="0"/>
    <x v="1"/>
    <x v="0"/>
    <n v="0"/>
  </r>
  <r>
    <n v="32191200000000"/>
    <x v="0"/>
    <x v="15"/>
    <x v="3"/>
    <s v="MATA DA PRAIA"/>
    <d v="2016-05-30T00:00:00"/>
    <d v="2016-06-06T00:00:00"/>
    <x v="2"/>
    <x v="87"/>
    <x v="3"/>
    <n v="0"/>
    <x v="1"/>
    <n v="0"/>
    <n v="0"/>
    <n v="0"/>
    <x v="0"/>
    <x v="0"/>
    <n v="0"/>
  </r>
  <r>
    <n v="97951700000000"/>
    <x v="0"/>
    <x v="29"/>
    <x v="3"/>
    <s v="JARDIM CAMBURI"/>
    <d v="2016-05-30T00:00:00"/>
    <d v="2016-05-31T00:00:00"/>
    <x v="4"/>
    <x v="93"/>
    <x v="4"/>
    <n v="0"/>
    <x v="1"/>
    <n v="0"/>
    <n v="0"/>
    <n v="0"/>
    <x v="1"/>
    <x v="1"/>
    <n v="1"/>
  </r>
  <r>
    <n v="7464190000000"/>
    <x v="0"/>
    <x v="83"/>
    <x v="0"/>
    <s v="SAO CRISTOVAO"/>
    <d v="2016-05-30T00:00:00"/>
    <d v="2016-06-03T00:00:00"/>
    <x v="0"/>
    <x v="86"/>
    <x v="3"/>
    <n v="0"/>
    <x v="0"/>
    <n v="0"/>
    <n v="0"/>
    <n v="1"/>
    <x v="0"/>
    <x v="0"/>
    <n v="0"/>
  </r>
  <r>
    <n v="75641900000000"/>
    <x v="1"/>
    <x v="10"/>
    <x v="4"/>
    <s v="MARIA ORTIZ"/>
    <d v="2016-05-30T00:00:00"/>
    <d v="2016-05-30T00:00:00"/>
    <x v="2"/>
    <x v="94"/>
    <x v="5"/>
    <n v="0"/>
    <x v="1"/>
    <n v="0"/>
    <n v="0"/>
    <n v="0"/>
    <x v="1"/>
    <x v="0"/>
    <n v="0"/>
  </r>
  <r>
    <n v="2661520000000"/>
    <x v="0"/>
    <x v="61"/>
    <x v="1"/>
    <s v="MARUIPE"/>
    <d v="2016-05-30T00:00:00"/>
    <d v="2016-06-02T00:00:00"/>
    <x v="3"/>
    <x v="89"/>
    <x v="4"/>
    <n v="0"/>
    <x v="1"/>
    <n v="0"/>
    <n v="0"/>
    <n v="0"/>
    <x v="1"/>
    <x v="0"/>
    <n v="0"/>
  </r>
  <r>
    <n v="84171919568"/>
    <x v="1"/>
    <x v="87"/>
    <x v="1"/>
    <s v="JARDIM CAMBURI"/>
    <d v="2016-05-30T00:00:00"/>
    <d v="2016-05-31T00:00:00"/>
    <x v="4"/>
    <x v="93"/>
    <x v="4"/>
    <n v="0"/>
    <x v="1"/>
    <n v="0"/>
    <n v="0"/>
    <n v="0"/>
    <x v="1"/>
    <x v="1"/>
    <n v="1"/>
  </r>
  <r>
    <n v="4676280000000"/>
    <x v="0"/>
    <x v="2"/>
    <x v="1"/>
    <s v="JARDIM CAMBURI"/>
    <d v="2016-05-30T00:00:00"/>
    <d v="2016-05-31T00:00:00"/>
    <x v="4"/>
    <x v="93"/>
    <x v="4"/>
    <n v="0"/>
    <x v="1"/>
    <n v="0"/>
    <n v="0"/>
    <n v="0"/>
    <x v="1"/>
    <x v="0"/>
    <n v="0"/>
  </r>
  <r>
    <n v="737877000000000"/>
    <x v="1"/>
    <x v="37"/>
    <x v="3"/>
    <s v="TABUAZEIRO"/>
    <d v="2016-05-30T00:00:00"/>
    <d v="2016-06-07T00:00:00"/>
    <x v="4"/>
    <x v="88"/>
    <x v="2"/>
    <n v="0"/>
    <x v="1"/>
    <n v="0"/>
    <n v="0"/>
    <n v="0"/>
    <x v="1"/>
    <x v="0"/>
    <n v="0"/>
  </r>
  <r>
    <n v="592576000000000"/>
    <x v="0"/>
    <x v="24"/>
    <x v="1"/>
    <s v="NOVA PALESTINA"/>
    <d v="2016-05-30T00:00:00"/>
    <d v="2016-06-01T00:00:00"/>
    <x v="1"/>
    <x v="91"/>
    <x v="4"/>
    <n v="0"/>
    <x v="0"/>
    <n v="0"/>
    <n v="0"/>
    <n v="0"/>
    <x v="1"/>
    <x v="0"/>
    <n v="0"/>
  </r>
  <r>
    <n v="58296200000000"/>
    <x v="0"/>
    <x v="49"/>
    <x v="4"/>
    <s v="SAO PEDRO"/>
    <d v="2016-05-31T00:00:00"/>
    <d v="2016-06-01T00:00:00"/>
    <x v="1"/>
    <x v="93"/>
    <x v="4"/>
    <n v="0"/>
    <x v="1"/>
    <n v="0"/>
    <n v="0"/>
    <n v="0"/>
    <x v="1"/>
    <x v="0"/>
    <n v="0"/>
  </r>
  <r>
    <n v="13528900000000"/>
    <x v="1"/>
    <x v="57"/>
    <x v="2"/>
    <s v="FORTE SAO JOAO"/>
    <d v="2016-05-31T00:00:00"/>
    <d v="2016-05-31T00:00:00"/>
    <x v="4"/>
    <x v="94"/>
    <x v="5"/>
    <n v="0"/>
    <x v="1"/>
    <n v="0"/>
    <n v="0"/>
    <n v="0"/>
    <x v="1"/>
    <x v="0"/>
    <n v="0"/>
  </r>
  <r>
    <n v="84578800000000"/>
    <x v="1"/>
    <x v="68"/>
    <x v="4"/>
    <s v="PRAIA DO SUA"/>
    <d v="2016-05-31T00:00:00"/>
    <d v="2016-05-31T00:00:00"/>
    <x v="4"/>
    <x v="94"/>
    <x v="5"/>
    <n v="0"/>
    <x v="1"/>
    <n v="0"/>
    <n v="0"/>
    <n v="0"/>
    <x v="1"/>
    <x v="0"/>
    <n v="0"/>
  </r>
  <r>
    <n v="9646950000000"/>
    <x v="0"/>
    <x v="58"/>
    <x v="0"/>
    <s v="PRAIA DO CANTO"/>
    <d v="2016-05-31T00:00:00"/>
    <d v="2016-06-02T00:00:00"/>
    <x v="3"/>
    <x v="91"/>
    <x v="4"/>
    <n v="0"/>
    <x v="1"/>
    <n v="0"/>
    <n v="0"/>
    <n v="0"/>
    <x v="1"/>
    <x v="0"/>
    <n v="0"/>
  </r>
  <r>
    <n v="32348200000000"/>
    <x v="1"/>
    <x v="58"/>
    <x v="0"/>
    <s v="CRUZAMENTO"/>
    <d v="2016-05-31T00:00:00"/>
    <d v="2016-05-31T00:00:00"/>
    <x v="4"/>
    <x v="94"/>
    <x v="5"/>
    <n v="0"/>
    <x v="0"/>
    <n v="1"/>
    <n v="0"/>
    <n v="0"/>
    <x v="1"/>
    <x v="0"/>
    <n v="0"/>
  </r>
  <r>
    <n v="62327200000000"/>
    <x v="1"/>
    <x v="66"/>
    <x v="2"/>
    <s v="JARDIM CAMBURI"/>
    <d v="2016-05-31T00:00:00"/>
    <d v="2016-06-08T00:00:00"/>
    <x v="1"/>
    <x v="88"/>
    <x v="2"/>
    <n v="0"/>
    <x v="1"/>
    <n v="0"/>
    <n v="0"/>
    <n v="0"/>
    <x v="0"/>
    <x v="0"/>
    <n v="0"/>
  </r>
  <r>
    <n v="45358600000000"/>
    <x v="0"/>
    <x v="24"/>
    <x v="1"/>
    <s v="ILHA DE SANTA MARIA"/>
    <d v="2016-05-31T00:00:00"/>
    <d v="2016-06-02T00:00:00"/>
    <x v="3"/>
    <x v="91"/>
    <x v="4"/>
    <n v="0"/>
    <x v="1"/>
    <n v="0"/>
    <n v="0"/>
    <n v="0"/>
    <x v="1"/>
    <x v="1"/>
    <n v="1"/>
  </r>
  <r>
    <n v="175167000000"/>
    <x v="0"/>
    <x v="56"/>
    <x v="1"/>
    <s v="SAO PEDRO"/>
    <d v="2016-05-31T00:00:00"/>
    <d v="2016-05-31T00:00:00"/>
    <x v="4"/>
    <x v="94"/>
    <x v="5"/>
    <n v="0"/>
    <x v="1"/>
    <n v="0"/>
    <n v="0"/>
    <n v="0"/>
    <x v="1"/>
    <x v="0"/>
    <n v="0"/>
  </r>
  <r>
    <n v="383225000000"/>
    <x v="1"/>
    <x v="33"/>
    <x v="4"/>
    <s v="SANTO ANTONIO"/>
    <d v="2016-05-31T00:00:00"/>
    <d v="2016-05-31T00:00:00"/>
    <x v="4"/>
    <x v="94"/>
    <x v="5"/>
    <n v="0"/>
    <x v="1"/>
    <n v="0"/>
    <n v="0"/>
    <n v="0"/>
    <x v="1"/>
    <x v="0"/>
    <n v="0"/>
  </r>
  <r>
    <n v="586721000000000"/>
    <x v="0"/>
    <x v="63"/>
    <x v="0"/>
    <s v="PARQUE MOSCOSO"/>
    <d v="2016-05-31T00:00:00"/>
    <d v="2016-06-02T00:00:00"/>
    <x v="3"/>
    <x v="91"/>
    <x v="4"/>
    <n v="0"/>
    <x v="1"/>
    <n v="0"/>
    <n v="0"/>
    <n v="0"/>
    <x v="1"/>
    <x v="0"/>
    <n v="0"/>
  </r>
  <r>
    <n v="386660000000000"/>
    <x v="1"/>
    <x v="25"/>
    <x v="4"/>
    <s v="JESUS DE NAZARETH"/>
    <d v="2016-05-31T00:00:00"/>
    <d v="2016-05-31T00:00:00"/>
    <x v="4"/>
    <x v="94"/>
    <x v="5"/>
    <n v="0"/>
    <x v="1"/>
    <n v="0"/>
    <n v="0"/>
    <n v="0"/>
    <x v="1"/>
    <x v="0"/>
    <n v="0"/>
  </r>
  <r>
    <n v="957185000000"/>
    <x v="0"/>
    <x v="12"/>
    <x v="3"/>
    <s v="JARDIM CAMBURI"/>
    <d v="2016-05-31T00:00:00"/>
    <d v="2016-06-02T00:00:00"/>
    <x v="3"/>
    <x v="91"/>
    <x v="4"/>
    <n v="0"/>
    <x v="1"/>
    <n v="0"/>
    <n v="0"/>
    <n v="0"/>
    <x v="1"/>
    <x v="0"/>
    <n v="0"/>
  </r>
  <r>
    <n v="86498300000000"/>
    <x v="0"/>
    <x v="39"/>
    <x v="4"/>
    <s v="REDENCAO"/>
    <d v="2016-05-31T00:00:00"/>
    <d v="2016-06-07T00:00:00"/>
    <x v="4"/>
    <x v="87"/>
    <x v="3"/>
    <n v="0"/>
    <x v="1"/>
    <n v="0"/>
    <n v="0"/>
    <n v="0"/>
    <x v="0"/>
    <x v="1"/>
    <n v="1"/>
  </r>
  <r>
    <n v="5474630000000"/>
    <x v="1"/>
    <x v="73"/>
    <x v="4"/>
    <s v="JESUS DE NAZARETH"/>
    <d v="2016-05-31T00:00:00"/>
    <d v="2016-05-31T00:00:00"/>
    <x v="4"/>
    <x v="94"/>
    <x v="5"/>
    <n v="0"/>
    <x v="1"/>
    <n v="0"/>
    <n v="0"/>
    <n v="0"/>
    <x v="1"/>
    <x v="0"/>
    <n v="0"/>
  </r>
  <r>
    <n v="862434000000000"/>
    <x v="1"/>
    <x v="71"/>
    <x v="4"/>
    <s v="ILHA DE SANTA MARIA"/>
    <d v="2016-05-31T00:00:00"/>
    <d v="2016-06-06T00:00:00"/>
    <x v="2"/>
    <x v="90"/>
    <x v="3"/>
    <n v="0"/>
    <x v="1"/>
    <n v="0"/>
    <n v="0"/>
    <n v="0"/>
    <x v="1"/>
    <x v="1"/>
    <n v="1"/>
  </r>
  <r>
    <n v="3243720000000"/>
    <x v="0"/>
    <x v="36"/>
    <x v="3"/>
    <s v="REDENCAO"/>
    <d v="2016-05-31T00:00:00"/>
    <d v="2016-06-02T00:00:00"/>
    <x v="3"/>
    <x v="91"/>
    <x v="4"/>
    <n v="1"/>
    <x v="1"/>
    <n v="1"/>
    <n v="0"/>
    <n v="0"/>
    <x v="1"/>
    <x v="0"/>
    <n v="0"/>
  </r>
  <r>
    <n v="463679000000"/>
    <x v="0"/>
    <x v="4"/>
    <x v="2"/>
    <s v="SANTO ANTONIO"/>
    <d v="2016-05-31T00:00:00"/>
    <d v="2016-05-31T00:00:00"/>
    <x v="4"/>
    <x v="94"/>
    <x v="5"/>
    <n v="0"/>
    <x v="1"/>
    <n v="0"/>
    <n v="0"/>
    <n v="0"/>
    <x v="1"/>
    <x v="0"/>
    <n v="0"/>
  </r>
  <r>
    <n v="813540000000"/>
    <x v="0"/>
    <x v="85"/>
    <x v="0"/>
    <s v="SANTO ANDRE"/>
    <d v="2016-05-31T00:00:00"/>
    <d v="2016-06-02T00:00:00"/>
    <x v="3"/>
    <x v="91"/>
    <x v="4"/>
    <n v="0"/>
    <x v="0"/>
    <n v="1"/>
    <n v="0"/>
    <n v="0"/>
    <x v="1"/>
    <x v="0"/>
    <n v="0"/>
  </r>
  <r>
    <n v="6922290000000"/>
    <x v="0"/>
    <x v="70"/>
    <x v="5"/>
    <s v="DA PENHA"/>
    <d v="2016-05-31T00:00:00"/>
    <d v="2016-05-31T00:00:00"/>
    <x v="4"/>
    <x v="94"/>
    <x v="5"/>
    <n v="0"/>
    <x v="1"/>
    <n v="0"/>
    <n v="0"/>
    <n v="0"/>
    <x v="1"/>
    <x v="0"/>
    <n v="0"/>
  </r>
  <r>
    <n v="54196200000000"/>
    <x v="1"/>
    <x v="79"/>
    <x v="5"/>
    <s v="SANTO ANDRE"/>
    <d v="2016-05-31T00:00:00"/>
    <d v="2016-06-08T00:00:00"/>
    <x v="1"/>
    <x v="88"/>
    <x v="2"/>
    <n v="1"/>
    <x v="1"/>
    <n v="0"/>
    <n v="0"/>
    <n v="0"/>
    <x v="1"/>
    <x v="0"/>
    <n v="0"/>
  </r>
  <r>
    <n v="26698500000000"/>
    <x v="0"/>
    <x v="66"/>
    <x v="2"/>
    <s v="BOA VISTA"/>
    <d v="2016-05-31T00:00:00"/>
    <d v="2016-06-07T00:00:00"/>
    <x v="4"/>
    <x v="87"/>
    <x v="3"/>
    <n v="0"/>
    <x v="1"/>
    <n v="0"/>
    <n v="0"/>
    <n v="0"/>
    <x v="0"/>
    <x v="0"/>
    <n v="0"/>
  </r>
  <r>
    <n v="49983800000000"/>
    <x v="1"/>
    <x v="45"/>
    <x v="1"/>
    <s v="TABUAZEIRO"/>
    <d v="2016-05-31T00:00:00"/>
    <d v="2016-05-31T00:00:00"/>
    <x v="4"/>
    <x v="94"/>
    <x v="5"/>
    <n v="0"/>
    <x v="1"/>
    <n v="0"/>
    <n v="0"/>
    <n v="0"/>
    <x v="1"/>
    <x v="0"/>
    <n v="0"/>
  </r>
  <r>
    <n v="64858700000000"/>
    <x v="0"/>
    <x v="49"/>
    <x v="4"/>
    <s v="MARIA ORTIZ"/>
    <d v="2016-05-31T00:00:00"/>
    <d v="2016-06-02T00:00:00"/>
    <x v="3"/>
    <x v="91"/>
    <x v="4"/>
    <n v="0"/>
    <x v="1"/>
    <n v="0"/>
    <n v="0"/>
    <n v="0"/>
    <x v="1"/>
    <x v="0"/>
    <n v="0"/>
  </r>
  <r>
    <n v="692686000000"/>
    <x v="0"/>
    <x v="56"/>
    <x v="1"/>
    <s v="CARATOIRA"/>
    <d v="2016-05-31T00:00:00"/>
    <d v="2016-05-31T00:00:00"/>
    <x v="4"/>
    <x v="94"/>
    <x v="5"/>
    <n v="1"/>
    <x v="1"/>
    <n v="0"/>
    <n v="0"/>
    <n v="0"/>
    <x v="1"/>
    <x v="0"/>
    <n v="0"/>
  </r>
  <r>
    <n v="969332000000000"/>
    <x v="0"/>
    <x v="66"/>
    <x v="2"/>
    <s v="SAO CRISTOVAO"/>
    <d v="2016-05-31T00:00:00"/>
    <d v="2016-06-02T00:00:00"/>
    <x v="3"/>
    <x v="91"/>
    <x v="4"/>
    <n v="0"/>
    <x v="1"/>
    <n v="0"/>
    <n v="0"/>
    <n v="0"/>
    <x v="1"/>
    <x v="0"/>
    <n v="0"/>
  </r>
  <r>
    <n v="352640000000"/>
    <x v="1"/>
    <x v="61"/>
    <x v="1"/>
    <s v="MARIA ORTIZ"/>
    <d v="2016-05-31T00:00:00"/>
    <d v="2016-06-02T00:00:00"/>
    <x v="3"/>
    <x v="91"/>
    <x v="4"/>
    <n v="0"/>
    <x v="1"/>
    <n v="0"/>
    <n v="0"/>
    <n v="0"/>
    <x v="1"/>
    <x v="0"/>
    <n v="0"/>
  </r>
  <r>
    <n v="461434000000000"/>
    <x v="0"/>
    <x v="81"/>
    <x v="5"/>
    <s v="ANDORINHAS"/>
    <d v="2016-05-31T00:00:00"/>
    <d v="2016-06-02T00:00:00"/>
    <x v="3"/>
    <x v="91"/>
    <x v="4"/>
    <n v="0"/>
    <x v="1"/>
    <n v="0"/>
    <n v="0"/>
    <n v="0"/>
    <x v="1"/>
    <x v="0"/>
    <n v="0"/>
  </r>
  <r>
    <n v="6986950000000"/>
    <x v="0"/>
    <x v="74"/>
    <x v="1"/>
    <s v="CONQUISTA"/>
    <d v="2016-05-31T00:00:00"/>
    <d v="2016-06-02T00:00:00"/>
    <x v="3"/>
    <x v="91"/>
    <x v="4"/>
    <n v="0"/>
    <x v="1"/>
    <n v="0"/>
    <n v="0"/>
    <n v="0"/>
    <x v="1"/>
    <x v="0"/>
    <n v="0"/>
  </r>
  <r>
    <n v="987694000000"/>
    <x v="0"/>
    <x v="38"/>
    <x v="4"/>
    <s v="PRAIA DO SUA"/>
    <d v="2016-05-31T00:00:00"/>
    <d v="2016-06-02T00:00:00"/>
    <x v="3"/>
    <x v="91"/>
    <x v="4"/>
    <n v="0"/>
    <x v="0"/>
    <n v="1"/>
    <n v="0"/>
    <n v="0"/>
    <x v="1"/>
    <x v="0"/>
    <n v="0"/>
  </r>
  <r>
    <n v="319715000000000"/>
    <x v="0"/>
    <x v="48"/>
    <x v="3"/>
    <s v="ILHA DO PRINCIPE"/>
    <d v="2016-05-31T00:00:00"/>
    <d v="2016-06-08T00:00:00"/>
    <x v="1"/>
    <x v="88"/>
    <x v="2"/>
    <n v="0"/>
    <x v="0"/>
    <n v="0"/>
    <n v="0"/>
    <n v="0"/>
    <x v="0"/>
    <x v="0"/>
    <n v="0"/>
  </r>
  <r>
    <n v="5996140000000"/>
    <x v="0"/>
    <x v="44"/>
    <x v="4"/>
    <s v="MARIA ORTIZ"/>
    <d v="2016-05-31T00:00:00"/>
    <d v="2016-05-31T00:00:00"/>
    <x v="4"/>
    <x v="94"/>
    <x v="5"/>
    <n v="0"/>
    <x v="1"/>
    <n v="0"/>
    <n v="0"/>
    <n v="0"/>
    <x v="1"/>
    <x v="0"/>
    <n v="0"/>
  </r>
  <r>
    <n v="88883700000000"/>
    <x v="0"/>
    <x v="13"/>
    <x v="0"/>
    <s v="GURIGICA"/>
    <d v="2016-05-31T00:00:00"/>
    <d v="2016-05-31T00:00:00"/>
    <x v="4"/>
    <x v="94"/>
    <x v="5"/>
    <n v="0"/>
    <x v="0"/>
    <n v="0"/>
    <n v="0"/>
    <n v="0"/>
    <x v="1"/>
    <x v="0"/>
    <n v="0"/>
  </r>
  <r>
    <n v="45441900000000"/>
    <x v="0"/>
    <x v="37"/>
    <x v="3"/>
    <s v="JOANA D ARC"/>
    <d v="2016-05-31T00:00:00"/>
    <d v="2016-06-02T00:00:00"/>
    <x v="3"/>
    <x v="91"/>
    <x v="4"/>
    <n v="1"/>
    <x v="0"/>
    <n v="0"/>
    <n v="0"/>
    <n v="0"/>
    <x v="1"/>
    <x v="0"/>
    <n v="0"/>
  </r>
  <r>
    <n v="435449000000000"/>
    <x v="1"/>
    <x v="10"/>
    <x v="4"/>
    <s v="SANTO ANTONIO"/>
    <d v="2016-05-31T00:00:00"/>
    <d v="2016-05-31T00:00:00"/>
    <x v="4"/>
    <x v="94"/>
    <x v="5"/>
    <n v="0"/>
    <x v="1"/>
    <n v="0"/>
    <n v="0"/>
    <n v="0"/>
    <x v="1"/>
    <x v="0"/>
    <n v="0"/>
  </r>
  <r>
    <n v="36344200000000"/>
    <x v="0"/>
    <x v="29"/>
    <x v="3"/>
    <s v="JESUS DE NAZARETH"/>
    <d v="2016-05-31T00:00:00"/>
    <d v="2016-06-02T00:00:00"/>
    <x v="3"/>
    <x v="91"/>
    <x v="4"/>
    <n v="0"/>
    <x v="0"/>
    <n v="0"/>
    <n v="0"/>
    <n v="0"/>
    <x v="1"/>
    <x v="0"/>
    <n v="0"/>
  </r>
  <r>
    <n v="26698500000000"/>
    <x v="0"/>
    <x v="66"/>
    <x v="2"/>
    <s v="BOA VISTA"/>
    <d v="2016-05-31T00:00:00"/>
    <d v="2016-05-31T00:00:00"/>
    <x v="4"/>
    <x v="94"/>
    <x v="5"/>
    <n v="0"/>
    <x v="1"/>
    <n v="0"/>
    <n v="0"/>
    <n v="0"/>
    <x v="1"/>
    <x v="0"/>
    <n v="0"/>
  </r>
  <r>
    <n v="84411700000000"/>
    <x v="0"/>
    <x v="17"/>
    <x v="4"/>
    <s v="ILHA DO PRINCIPE"/>
    <d v="2016-05-31T00:00:00"/>
    <d v="2016-06-07T00:00:00"/>
    <x v="4"/>
    <x v="87"/>
    <x v="3"/>
    <n v="0"/>
    <x v="1"/>
    <n v="0"/>
    <n v="0"/>
    <n v="0"/>
    <x v="0"/>
    <x v="0"/>
    <n v="0"/>
  </r>
  <r>
    <n v="4519240000000"/>
    <x v="1"/>
    <x v="19"/>
    <x v="2"/>
    <s v="JESUS DE NAZARETH"/>
    <d v="2016-05-31T00:00:00"/>
    <d v="2016-05-31T00:00:00"/>
    <x v="4"/>
    <x v="94"/>
    <x v="5"/>
    <n v="0"/>
    <x v="1"/>
    <n v="0"/>
    <n v="0"/>
    <n v="0"/>
    <x v="1"/>
    <x v="0"/>
    <n v="0"/>
  </r>
  <r>
    <n v="7439790000000"/>
    <x v="1"/>
    <x v="66"/>
    <x v="2"/>
    <s v="ROMAO"/>
    <d v="2016-05-31T00:00:00"/>
    <d v="2016-05-31T00:00:00"/>
    <x v="4"/>
    <x v="94"/>
    <x v="5"/>
    <n v="0"/>
    <x v="1"/>
    <n v="0"/>
    <n v="0"/>
    <n v="0"/>
    <x v="1"/>
    <x v="0"/>
    <n v="0"/>
  </r>
  <r>
    <n v="273592000000"/>
    <x v="0"/>
    <x v="61"/>
    <x v="1"/>
    <s v="FONTE GRANDE"/>
    <d v="2016-05-31T00:00:00"/>
    <d v="2016-05-31T00:00:00"/>
    <x v="4"/>
    <x v="94"/>
    <x v="5"/>
    <n v="0"/>
    <x v="1"/>
    <n v="0"/>
    <n v="0"/>
    <n v="0"/>
    <x v="1"/>
    <x v="0"/>
    <n v="0"/>
  </r>
  <r>
    <n v="31399900000000"/>
    <x v="1"/>
    <x v="60"/>
    <x v="2"/>
    <s v="JARDIM DA PENHA"/>
    <d v="2016-05-31T00:00:00"/>
    <d v="2016-06-02T00:00:00"/>
    <x v="3"/>
    <x v="91"/>
    <x v="4"/>
    <n v="0"/>
    <x v="1"/>
    <n v="0"/>
    <n v="0"/>
    <n v="0"/>
    <x v="1"/>
    <x v="1"/>
    <n v="1"/>
  </r>
  <r>
    <n v="34338800000000"/>
    <x v="1"/>
    <x v="55"/>
    <x v="2"/>
    <s v="TABUAZEIRO"/>
    <d v="2016-05-31T00:00:00"/>
    <d v="2016-05-31T00:00:00"/>
    <x v="4"/>
    <x v="94"/>
    <x v="5"/>
    <n v="0"/>
    <x v="1"/>
    <n v="0"/>
    <n v="0"/>
    <n v="0"/>
    <x v="1"/>
    <x v="1"/>
    <n v="1"/>
  </r>
  <r>
    <n v="656634000000000"/>
    <x v="1"/>
    <x v="79"/>
    <x v="5"/>
    <s v="ILHA DO PRINCIPE"/>
    <d v="2016-05-31T00:00:00"/>
    <d v="2016-05-31T00:00:00"/>
    <x v="4"/>
    <x v="94"/>
    <x v="5"/>
    <n v="1"/>
    <x v="1"/>
    <n v="0"/>
    <n v="0"/>
    <n v="0"/>
    <x v="1"/>
    <x v="1"/>
    <n v="1"/>
  </r>
  <r>
    <n v="533924000000000"/>
    <x v="1"/>
    <x v="10"/>
    <x v="4"/>
    <s v="SANTOS REIS"/>
    <d v="2016-05-31T00:00:00"/>
    <d v="2016-06-02T00:00:00"/>
    <x v="3"/>
    <x v="91"/>
    <x v="4"/>
    <n v="0"/>
    <x v="1"/>
    <n v="0"/>
    <n v="0"/>
    <n v="0"/>
    <x v="1"/>
    <x v="0"/>
    <n v="0"/>
  </r>
  <r>
    <n v="5172450000000"/>
    <x v="0"/>
    <x v="15"/>
    <x v="3"/>
    <s v="CARATOIRA"/>
    <d v="2016-05-31T00:00:00"/>
    <d v="2016-05-31T00:00:00"/>
    <x v="4"/>
    <x v="94"/>
    <x v="5"/>
    <n v="0"/>
    <x v="1"/>
    <n v="0"/>
    <n v="0"/>
    <n v="0"/>
    <x v="1"/>
    <x v="0"/>
    <n v="0"/>
  </r>
  <r>
    <n v="567117000000"/>
    <x v="0"/>
    <x v="17"/>
    <x v="4"/>
    <s v="SAO PEDRO"/>
    <d v="2016-05-31T00:00:00"/>
    <d v="2016-06-03T00:00:00"/>
    <x v="0"/>
    <x v="89"/>
    <x v="4"/>
    <n v="0"/>
    <x v="1"/>
    <n v="0"/>
    <n v="0"/>
    <n v="0"/>
    <x v="0"/>
    <x v="0"/>
    <n v="0"/>
  </r>
  <r>
    <n v="253654000000"/>
    <x v="0"/>
    <x v="60"/>
    <x v="2"/>
    <s v="SANTA MARTHA"/>
    <d v="2016-05-31T00:00:00"/>
    <d v="2016-05-31T00:00:00"/>
    <x v="4"/>
    <x v="94"/>
    <x v="5"/>
    <n v="0"/>
    <x v="1"/>
    <n v="0"/>
    <n v="0"/>
    <n v="0"/>
    <x v="1"/>
    <x v="0"/>
    <n v="0"/>
  </r>
  <r>
    <n v="83416100000000"/>
    <x v="0"/>
    <x v="61"/>
    <x v="1"/>
    <s v="GURIGICA"/>
    <d v="2016-05-31T00:00:00"/>
    <d v="2016-05-31T00:00:00"/>
    <x v="4"/>
    <x v="94"/>
    <x v="5"/>
    <n v="0"/>
    <x v="1"/>
    <n v="0"/>
    <n v="0"/>
    <n v="0"/>
    <x v="1"/>
    <x v="0"/>
    <n v="0"/>
  </r>
  <r>
    <n v="2647350000000"/>
    <x v="0"/>
    <x v="8"/>
    <x v="0"/>
    <s v="BONFIM"/>
    <d v="2016-05-31T00:00:00"/>
    <d v="2016-06-02T00:00:00"/>
    <x v="3"/>
    <x v="91"/>
    <x v="4"/>
    <n v="0"/>
    <x v="1"/>
    <n v="0"/>
    <n v="0"/>
    <n v="0"/>
    <x v="1"/>
    <x v="1"/>
    <n v="1"/>
  </r>
  <r>
    <n v="672436000000"/>
    <x v="1"/>
    <x v="46"/>
    <x v="2"/>
    <s v="SAO BENEDITO"/>
    <d v="2016-05-31T00:00:00"/>
    <d v="2016-05-31T00:00:00"/>
    <x v="4"/>
    <x v="94"/>
    <x v="5"/>
    <n v="0"/>
    <x v="1"/>
    <n v="0"/>
    <n v="0"/>
    <n v="0"/>
    <x v="1"/>
    <x v="0"/>
    <n v="0"/>
  </r>
  <r>
    <n v="335818000000"/>
    <x v="0"/>
    <x v="17"/>
    <x v="4"/>
    <s v="MARIA ORTIZ"/>
    <d v="2016-05-31T00:00:00"/>
    <d v="2016-05-31T00:00:00"/>
    <x v="4"/>
    <x v="94"/>
    <x v="5"/>
    <n v="0"/>
    <x v="1"/>
    <n v="0"/>
    <n v="0"/>
    <n v="0"/>
    <x v="1"/>
    <x v="0"/>
    <n v="0"/>
  </r>
  <r>
    <n v="69887400000000"/>
    <x v="0"/>
    <x v="30"/>
    <x v="3"/>
    <s v="RESISTENCIA"/>
    <d v="2016-05-31T00:00:00"/>
    <d v="2016-05-31T00:00:00"/>
    <x v="4"/>
    <x v="94"/>
    <x v="5"/>
    <n v="0"/>
    <x v="0"/>
    <n v="0"/>
    <n v="0"/>
    <n v="0"/>
    <x v="1"/>
    <x v="0"/>
    <n v="0"/>
  </r>
  <r>
    <n v="12723400000000"/>
    <x v="0"/>
    <x v="62"/>
    <x v="3"/>
    <s v="SAO PEDRO"/>
    <d v="2016-05-31T00:00:00"/>
    <d v="2016-05-31T00:00:00"/>
    <x v="4"/>
    <x v="94"/>
    <x v="5"/>
    <n v="0"/>
    <x v="0"/>
    <n v="1"/>
    <n v="0"/>
    <n v="0"/>
    <x v="1"/>
    <x v="0"/>
    <n v="0"/>
  </r>
  <r>
    <n v="3716910000000"/>
    <x v="0"/>
    <x v="17"/>
    <x v="4"/>
    <s v="BELA VISTA"/>
    <d v="2016-05-31T00:00:00"/>
    <d v="2016-05-31T00:00:00"/>
    <x v="4"/>
    <x v="94"/>
    <x v="5"/>
    <n v="1"/>
    <x v="1"/>
    <n v="0"/>
    <n v="0"/>
    <n v="0"/>
    <x v="1"/>
    <x v="0"/>
    <n v="0"/>
  </r>
  <r>
    <n v="84975900000000"/>
    <x v="0"/>
    <x v="4"/>
    <x v="2"/>
    <s v="BOA VISTA"/>
    <d v="2016-05-31T00:00:00"/>
    <d v="2016-05-31T00:00:00"/>
    <x v="4"/>
    <x v="94"/>
    <x v="5"/>
    <n v="0"/>
    <x v="1"/>
    <n v="0"/>
    <n v="0"/>
    <n v="0"/>
    <x v="1"/>
    <x v="0"/>
    <n v="0"/>
  </r>
  <r>
    <n v="492873000000000"/>
    <x v="0"/>
    <x v="84"/>
    <x v="1"/>
    <s v="GURIGICA"/>
    <d v="2016-05-31T00:00:00"/>
    <d v="2016-06-01T00:00:00"/>
    <x v="1"/>
    <x v="93"/>
    <x v="4"/>
    <n v="0"/>
    <x v="1"/>
    <n v="0"/>
    <n v="0"/>
    <n v="0"/>
    <x v="1"/>
    <x v="0"/>
    <n v="0"/>
  </r>
  <r>
    <n v="89443663232"/>
    <x v="1"/>
    <x v="40"/>
    <x v="1"/>
    <s v="CENTRO"/>
    <d v="2016-05-31T00:00:00"/>
    <d v="2016-06-02T00:00:00"/>
    <x v="3"/>
    <x v="91"/>
    <x v="4"/>
    <n v="0"/>
    <x v="1"/>
    <n v="0"/>
    <n v="0"/>
    <n v="0"/>
    <x v="1"/>
    <x v="0"/>
    <n v="0"/>
  </r>
  <r>
    <n v="878988000000"/>
    <x v="0"/>
    <x v="15"/>
    <x v="3"/>
    <s v="ITARARE"/>
    <d v="2016-05-31T00:00:00"/>
    <d v="2016-05-31T00:00:00"/>
    <x v="4"/>
    <x v="94"/>
    <x v="5"/>
    <n v="0"/>
    <x v="0"/>
    <n v="1"/>
    <n v="0"/>
    <n v="0"/>
    <x v="1"/>
    <x v="0"/>
    <n v="0"/>
  </r>
  <r>
    <n v="445593000000000"/>
    <x v="0"/>
    <x v="29"/>
    <x v="3"/>
    <s v="MONTE BELO"/>
    <d v="2016-05-31T00:00:00"/>
    <d v="2016-06-01T00:00:00"/>
    <x v="1"/>
    <x v="93"/>
    <x v="4"/>
    <n v="0"/>
    <x v="1"/>
    <n v="0"/>
    <n v="0"/>
    <n v="0"/>
    <x v="1"/>
    <x v="0"/>
    <n v="0"/>
  </r>
  <r>
    <n v="22351300000000"/>
    <x v="1"/>
    <x v="27"/>
    <x v="3"/>
    <s v="JARDIM CAMBURI"/>
    <d v="2016-05-31T00:00:00"/>
    <d v="2016-05-31T00:00:00"/>
    <x v="4"/>
    <x v="94"/>
    <x v="5"/>
    <n v="0"/>
    <x v="1"/>
    <n v="0"/>
    <n v="0"/>
    <n v="0"/>
    <x v="1"/>
    <x v="0"/>
    <n v="0"/>
  </r>
  <r>
    <n v="83124200000000"/>
    <x v="0"/>
    <x v="52"/>
    <x v="2"/>
    <s v="ESTRELINHA"/>
    <d v="2016-05-31T00:00:00"/>
    <d v="2016-05-31T00:00:00"/>
    <x v="4"/>
    <x v="94"/>
    <x v="5"/>
    <n v="0"/>
    <x v="1"/>
    <n v="0"/>
    <n v="0"/>
    <n v="0"/>
    <x v="1"/>
    <x v="0"/>
    <n v="0"/>
  </r>
  <r>
    <n v="96494600000000"/>
    <x v="1"/>
    <x v="38"/>
    <x v="4"/>
    <s v="TABUAZEIRO"/>
    <d v="2016-05-31T00:00:00"/>
    <d v="2016-06-01T00:00:00"/>
    <x v="1"/>
    <x v="93"/>
    <x v="4"/>
    <n v="0"/>
    <x v="1"/>
    <n v="0"/>
    <n v="0"/>
    <n v="0"/>
    <x v="1"/>
    <x v="0"/>
    <n v="0"/>
  </r>
  <r>
    <n v="682550000000"/>
    <x v="0"/>
    <x v="69"/>
    <x v="4"/>
    <s v="ARIOVALDO FAVALESSA"/>
    <d v="2016-05-31T00:00:00"/>
    <d v="2016-06-01T00:00:00"/>
    <x v="1"/>
    <x v="93"/>
    <x v="4"/>
    <n v="0"/>
    <x v="1"/>
    <n v="0"/>
    <n v="0"/>
    <n v="0"/>
    <x v="1"/>
    <x v="0"/>
    <n v="0"/>
  </r>
  <r>
    <n v="33784800000000"/>
    <x v="0"/>
    <x v="65"/>
    <x v="2"/>
    <s v="REDENCAO"/>
    <d v="2016-05-31T00:00:00"/>
    <d v="2016-05-31T00:00:00"/>
    <x v="4"/>
    <x v="94"/>
    <x v="5"/>
    <n v="0"/>
    <x v="1"/>
    <n v="0"/>
    <n v="0"/>
    <n v="0"/>
    <x v="1"/>
    <x v="1"/>
    <n v="1"/>
  </r>
  <r>
    <n v="69978600000000"/>
    <x v="1"/>
    <x v="49"/>
    <x v="4"/>
    <s v="GRANDE VITORIA"/>
    <d v="2016-05-31T00:00:00"/>
    <d v="2016-06-02T00:00:00"/>
    <x v="3"/>
    <x v="91"/>
    <x v="4"/>
    <n v="0"/>
    <x v="1"/>
    <n v="0"/>
    <n v="0"/>
    <n v="0"/>
    <x v="1"/>
    <x v="0"/>
    <n v="0"/>
  </r>
  <r>
    <n v="72822300000000"/>
    <x v="1"/>
    <x v="73"/>
    <x v="4"/>
    <s v="BELA VISTA"/>
    <d v="2016-05-31T00:00:00"/>
    <d v="2016-06-02T00:00:00"/>
    <x v="3"/>
    <x v="91"/>
    <x v="4"/>
    <n v="0"/>
    <x v="1"/>
    <n v="0"/>
    <n v="0"/>
    <n v="0"/>
    <x v="1"/>
    <x v="0"/>
    <n v="0"/>
  </r>
  <r>
    <n v="39431800000000"/>
    <x v="0"/>
    <x v="79"/>
    <x v="5"/>
    <s v="PIEDADE"/>
    <d v="2016-05-31T00:00:00"/>
    <d v="2016-05-31T00:00:00"/>
    <x v="4"/>
    <x v="94"/>
    <x v="5"/>
    <n v="0"/>
    <x v="1"/>
    <n v="0"/>
    <n v="0"/>
    <n v="0"/>
    <x v="1"/>
    <x v="0"/>
    <n v="0"/>
  </r>
  <r>
    <n v="111368000000000"/>
    <x v="0"/>
    <x v="42"/>
    <x v="3"/>
    <s v="JABOUR"/>
    <d v="2016-05-31T00:00:00"/>
    <d v="2016-06-01T00:00:00"/>
    <x v="1"/>
    <x v="93"/>
    <x v="4"/>
    <n v="0"/>
    <x v="1"/>
    <n v="0"/>
    <n v="0"/>
    <n v="0"/>
    <x v="1"/>
    <x v="0"/>
    <n v="0"/>
  </r>
  <r>
    <n v="437498000000000"/>
    <x v="0"/>
    <x v="18"/>
    <x v="0"/>
    <s v="CONQUISTA"/>
    <d v="2016-05-31T00:00:00"/>
    <d v="2016-05-31T00:00:00"/>
    <x v="4"/>
    <x v="94"/>
    <x v="5"/>
    <n v="0"/>
    <x v="0"/>
    <n v="1"/>
    <n v="0"/>
    <n v="0"/>
    <x v="1"/>
    <x v="0"/>
    <n v="0"/>
  </r>
  <r>
    <n v="649248000000"/>
    <x v="1"/>
    <x v="66"/>
    <x v="2"/>
    <s v="SANTA MARTHA"/>
    <d v="2016-05-31T00:00:00"/>
    <d v="2016-06-07T00:00:00"/>
    <x v="4"/>
    <x v="87"/>
    <x v="3"/>
    <n v="0"/>
    <x v="1"/>
    <n v="0"/>
    <n v="0"/>
    <n v="0"/>
    <x v="0"/>
    <x v="0"/>
    <n v="0"/>
  </r>
  <r>
    <n v="55758800000000"/>
    <x v="1"/>
    <x v="23"/>
    <x v="3"/>
    <s v="MONTE BELO"/>
    <d v="2016-05-31T00:00:00"/>
    <d v="2016-06-01T00:00:00"/>
    <x v="1"/>
    <x v="93"/>
    <x v="4"/>
    <n v="0"/>
    <x v="1"/>
    <n v="0"/>
    <n v="0"/>
    <n v="0"/>
    <x v="1"/>
    <x v="0"/>
    <n v="0"/>
  </r>
  <r>
    <n v="4278860000000"/>
    <x v="1"/>
    <x v="51"/>
    <x v="2"/>
    <s v="MARIA ORTIZ"/>
    <d v="2016-05-31T00:00:00"/>
    <d v="2016-05-31T00:00:00"/>
    <x v="4"/>
    <x v="94"/>
    <x v="5"/>
    <n v="0"/>
    <x v="1"/>
    <n v="0"/>
    <n v="0"/>
    <n v="0"/>
    <x v="1"/>
    <x v="0"/>
    <n v="0"/>
  </r>
  <r>
    <n v="4785460000000"/>
    <x v="0"/>
    <x v="24"/>
    <x v="1"/>
    <s v="PRAIA DO SUA"/>
    <d v="2016-05-31T00:00:00"/>
    <d v="2016-06-07T00:00:00"/>
    <x v="4"/>
    <x v="87"/>
    <x v="3"/>
    <n v="0"/>
    <x v="1"/>
    <n v="0"/>
    <n v="0"/>
    <n v="0"/>
    <x v="0"/>
    <x v="0"/>
    <n v="0"/>
  </r>
  <r>
    <n v="3787380000000"/>
    <x v="0"/>
    <x v="19"/>
    <x v="2"/>
    <s v="JARDIM CAMBURI"/>
    <d v="2016-05-31T00:00:00"/>
    <d v="2016-05-31T00:00:00"/>
    <x v="4"/>
    <x v="94"/>
    <x v="5"/>
    <n v="0"/>
    <x v="1"/>
    <n v="0"/>
    <n v="0"/>
    <n v="0"/>
    <x v="1"/>
    <x v="0"/>
    <n v="0"/>
  </r>
  <r>
    <n v="89457200000000"/>
    <x v="1"/>
    <x v="43"/>
    <x v="2"/>
    <s v="ILHA DAS CAIEIRAS"/>
    <d v="2016-05-31T00:00:00"/>
    <d v="2016-06-06T00:00:00"/>
    <x v="2"/>
    <x v="90"/>
    <x v="3"/>
    <n v="0"/>
    <x v="1"/>
    <n v="0"/>
    <n v="0"/>
    <n v="0"/>
    <x v="0"/>
    <x v="1"/>
    <n v="1"/>
  </r>
  <r>
    <n v="557479000000000"/>
    <x v="0"/>
    <x v="63"/>
    <x v="0"/>
    <s v="MARIA ORTIZ"/>
    <d v="2016-05-31T00:00:00"/>
    <d v="2016-05-31T00:00:00"/>
    <x v="4"/>
    <x v="94"/>
    <x v="5"/>
    <n v="0"/>
    <x v="1"/>
    <n v="0"/>
    <n v="0"/>
    <n v="0"/>
    <x v="1"/>
    <x v="0"/>
    <n v="0"/>
  </r>
  <r>
    <n v="442746000000"/>
    <x v="0"/>
    <x v="64"/>
    <x v="3"/>
    <s v="SAO PEDRO"/>
    <d v="2016-05-31T00:00:00"/>
    <d v="2016-05-31T00:00:00"/>
    <x v="4"/>
    <x v="94"/>
    <x v="5"/>
    <n v="0"/>
    <x v="0"/>
    <n v="0"/>
    <n v="0"/>
    <n v="0"/>
    <x v="1"/>
    <x v="0"/>
    <n v="0"/>
  </r>
  <r>
    <n v="4164540000000"/>
    <x v="1"/>
    <x v="60"/>
    <x v="2"/>
    <s v="JABOUR"/>
    <d v="2016-05-31T00:00:00"/>
    <d v="2016-05-31T00:00:00"/>
    <x v="4"/>
    <x v="94"/>
    <x v="5"/>
    <n v="0"/>
    <x v="1"/>
    <n v="0"/>
    <n v="0"/>
    <n v="0"/>
    <x v="1"/>
    <x v="1"/>
    <n v="1"/>
  </r>
  <r>
    <n v="94156000000000"/>
    <x v="0"/>
    <x v="26"/>
    <x v="0"/>
    <s v="JARDIM DA PENHA"/>
    <d v="2016-05-31T00:00:00"/>
    <d v="2016-06-08T00:00:00"/>
    <x v="1"/>
    <x v="88"/>
    <x v="2"/>
    <n v="0"/>
    <x v="0"/>
    <n v="0"/>
    <n v="0"/>
    <n v="0"/>
    <x v="0"/>
    <x v="1"/>
    <n v="1"/>
  </r>
  <r>
    <n v="86255200000000"/>
    <x v="0"/>
    <x v="84"/>
    <x v="1"/>
    <s v="PARQUE MOSCOSO"/>
    <d v="2016-05-31T00:00:00"/>
    <d v="2016-05-31T00:00:00"/>
    <x v="4"/>
    <x v="94"/>
    <x v="5"/>
    <n v="0"/>
    <x v="0"/>
    <n v="0"/>
    <n v="0"/>
    <n v="0"/>
    <x v="1"/>
    <x v="0"/>
    <n v="0"/>
  </r>
  <r>
    <n v="7931520000000"/>
    <x v="1"/>
    <x v="87"/>
    <x v="1"/>
    <s v="SANTOS REIS"/>
    <d v="2016-05-31T00:00:00"/>
    <d v="2016-06-01T00:00:00"/>
    <x v="1"/>
    <x v="93"/>
    <x v="4"/>
    <n v="0"/>
    <x v="1"/>
    <n v="0"/>
    <n v="0"/>
    <n v="0"/>
    <x v="1"/>
    <x v="0"/>
    <n v="0"/>
  </r>
  <r>
    <n v="7587480000000"/>
    <x v="0"/>
    <x v="41"/>
    <x v="4"/>
    <s v="CONSOLACAO"/>
    <d v="2016-05-31T00:00:00"/>
    <d v="2016-06-02T00:00:00"/>
    <x v="3"/>
    <x v="91"/>
    <x v="4"/>
    <n v="0"/>
    <x v="1"/>
    <n v="0"/>
    <n v="0"/>
    <n v="0"/>
    <x v="1"/>
    <x v="0"/>
    <n v="0"/>
  </r>
  <r>
    <n v="779889000000"/>
    <x v="0"/>
    <x v="34"/>
    <x v="0"/>
    <s v="JARDIM CAMBURI"/>
    <d v="2016-05-31T00:00:00"/>
    <d v="2016-05-31T00:00:00"/>
    <x v="4"/>
    <x v="94"/>
    <x v="5"/>
    <n v="0"/>
    <x v="1"/>
    <n v="0"/>
    <n v="0"/>
    <n v="0"/>
    <x v="1"/>
    <x v="0"/>
    <n v="0"/>
  </r>
  <r>
    <n v="7828520000000"/>
    <x v="0"/>
    <x v="55"/>
    <x v="2"/>
    <s v="SANTA MARTHA"/>
    <d v="2016-05-31T00:00:00"/>
    <d v="2016-05-31T00:00:00"/>
    <x v="4"/>
    <x v="94"/>
    <x v="5"/>
    <n v="1"/>
    <x v="1"/>
    <n v="0"/>
    <n v="0"/>
    <n v="0"/>
    <x v="1"/>
    <x v="0"/>
    <n v="0"/>
  </r>
  <r>
    <n v="64345400000000"/>
    <x v="0"/>
    <x v="42"/>
    <x v="3"/>
    <s v="ITARARE"/>
    <d v="2016-05-31T00:00:00"/>
    <d v="2016-05-31T00:00:00"/>
    <x v="4"/>
    <x v="94"/>
    <x v="5"/>
    <n v="0"/>
    <x v="0"/>
    <n v="0"/>
    <n v="0"/>
    <n v="0"/>
    <x v="1"/>
    <x v="0"/>
    <n v="0"/>
  </r>
  <r>
    <n v="84423200000000"/>
    <x v="0"/>
    <x v="44"/>
    <x v="4"/>
    <s v="CENTRO"/>
    <d v="2016-05-31T00:00:00"/>
    <d v="2016-05-31T00:00:00"/>
    <x v="4"/>
    <x v="94"/>
    <x v="5"/>
    <n v="0"/>
    <x v="1"/>
    <n v="0"/>
    <n v="0"/>
    <n v="0"/>
    <x v="1"/>
    <x v="0"/>
    <n v="0"/>
  </r>
  <r>
    <n v="457596000000"/>
    <x v="0"/>
    <x v="18"/>
    <x v="0"/>
    <s v="REDENCAO"/>
    <d v="2016-05-31T00:00:00"/>
    <d v="2016-06-07T00:00:00"/>
    <x v="4"/>
    <x v="87"/>
    <x v="3"/>
    <n v="0"/>
    <x v="0"/>
    <n v="1"/>
    <n v="0"/>
    <n v="0"/>
    <x v="1"/>
    <x v="0"/>
    <n v="0"/>
  </r>
  <r>
    <n v="1866180000000"/>
    <x v="0"/>
    <x v="88"/>
    <x v="0"/>
    <s v="TABUAZEIRO"/>
    <d v="2016-05-31T00:00:00"/>
    <d v="2016-05-31T00:00:00"/>
    <x v="4"/>
    <x v="94"/>
    <x v="5"/>
    <n v="0"/>
    <x v="0"/>
    <n v="1"/>
    <n v="0"/>
    <n v="0"/>
    <x v="1"/>
    <x v="0"/>
    <n v="0"/>
  </r>
  <r>
    <n v="341513000000"/>
    <x v="0"/>
    <x v="48"/>
    <x v="3"/>
    <s v="SANTO ANDRE"/>
    <d v="2016-05-31T00:00:00"/>
    <d v="2016-05-31T00:00:00"/>
    <x v="4"/>
    <x v="94"/>
    <x v="5"/>
    <n v="1"/>
    <x v="0"/>
    <n v="0"/>
    <n v="0"/>
    <n v="0"/>
    <x v="1"/>
    <x v="0"/>
    <n v="0"/>
  </r>
  <r>
    <n v="7312220000000"/>
    <x v="0"/>
    <x v="64"/>
    <x v="3"/>
    <s v="JARDIM CAMBURI"/>
    <d v="2016-05-31T00:00:00"/>
    <d v="2016-06-08T00:00:00"/>
    <x v="1"/>
    <x v="88"/>
    <x v="2"/>
    <n v="0"/>
    <x v="0"/>
    <n v="0"/>
    <n v="0"/>
    <n v="0"/>
    <x v="0"/>
    <x v="0"/>
    <n v="0"/>
  </r>
  <r>
    <n v="4533380000000"/>
    <x v="1"/>
    <x v="46"/>
    <x v="2"/>
    <s v="CENTRO"/>
    <d v="2016-05-31T00:00:00"/>
    <d v="2016-06-06T00:00:00"/>
    <x v="2"/>
    <x v="90"/>
    <x v="3"/>
    <n v="0"/>
    <x v="1"/>
    <n v="0"/>
    <n v="0"/>
    <n v="0"/>
    <x v="0"/>
    <x v="1"/>
    <n v="1"/>
  </r>
  <r>
    <n v="6635530000000"/>
    <x v="0"/>
    <x v="64"/>
    <x v="3"/>
    <s v="JARDIM CAMBURI"/>
    <d v="2016-05-31T00:00:00"/>
    <d v="2016-05-31T00:00:00"/>
    <x v="4"/>
    <x v="94"/>
    <x v="5"/>
    <n v="0"/>
    <x v="1"/>
    <n v="0"/>
    <n v="0"/>
    <n v="0"/>
    <x v="1"/>
    <x v="0"/>
    <n v="0"/>
  </r>
  <r>
    <n v="682218000000"/>
    <x v="1"/>
    <x v="57"/>
    <x v="2"/>
    <s v="RESISTENCIA"/>
    <d v="2016-05-31T00:00:00"/>
    <d v="2016-06-07T00:00:00"/>
    <x v="4"/>
    <x v="87"/>
    <x v="3"/>
    <n v="0"/>
    <x v="1"/>
    <n v="0"/>
    <n v="0"/>
    <n v="0"/>
    <x v="0"/>
    <x v="0"/>
    <n v="0"/>
  </r>
  <r>
    <n v="326750000000"/>
    <x v="0"/>
    <x v="38"/>
    <x v="4"/>
    <s v="DA PENHA"/>
    <d v="2016-05-31T00:00:00"/>
    <d v="2016-06-07T00:00:00"/>
    <x v="4"/>
    <x v="87"/>
    <x v="3"/>
    <n v="0"/>
    <x v="1"/>
    <n v="0"/>
    <n v="0"/>
    <n v="0"/>
    <x v="0"/>
    <x v="0"/>
    <n v="0"/>
  </r>
  <r>
    <n v="83137600000000"/>
    <x v="1"/>
    <x v="42"/>
    <x v="3"/>
    <s v="BENTO FERREIRA"/>
    <d v="2016-05-31T00:00:00"/>
    <d v="2016-05-31T00:00:00"/>
    <x v="4"/>
    <x v="94"/>
    <x v="5"/>
    <n v="0"/>
    <x v="1"/>
    <n v="0"/>
    <n v="0"/>
    <n v="0"/>
    <x v="1"/>
    <x v="0"/>
    <n v="0"/>
  </r>
  <r>
    <n v="7258680000000"/>
    <x v="0"/>
    <x v="47"/>
    <x v="4"/>
    <s v="CRUZAMENTO"/>
    <d v="2016-05-31T00:00:00"/>
    <d v="2016-06-03T00:00:00"/>
    <x v="0"/>
    <x v="89"/>
    <x v="4"/>
    <n v="0"/>
    <x v="1"/>
    <n v="0"/>
    <n v="0"/>
    <n v="0"/>
    <x v="0"/>
    <x v="0"/>
    <n v="0"/>
  </r>
  <r>
    <n v="1882660000000"/>
    <x v="0"/>
    <x v="5"/>
    <x v="1"/>
    <s v="SAO PEDRO"/>
    <d v="2016-05-31T00:00:00"/>
    <d v="2016-05-31T00:00:00"/>
    <x v="4"/>
    <x v="94"/>
    <x v="5"/>
    <n v="1"/>
    <x v="1"/>
    <n v="0"/>
    <n v="0"/>
    <n v="0"/>
    <x v="1"/>
    <x v="0"/>
    <n v="0"/>
  </r>
  <r>
    <n v="15579500000000"/>
    <x v="0"/>
    <x v="30"/>
    <x v="3"/>
    <s v="MARIA ORTIZ"/>
    <d v="2016-05-31T00:00:00"/>
    <d v="2016-06-01T00:00:00"/>
    <x v="1"/>
    <x v="93"/>
    <x v="4"/>
    <n v="0"/>
    <x v="1"/>
    <n v="0"/>
    <n v="0"/>
    <n v="0"/>
    <x v="1"/>
    <x v="0"/>
    <n v="0"/>
  </r>
  <r>
    <n v="39731400000000"/>
    <x v="1"/>
    <x v="4"/>
    <x v="2"/>
    <s v="DO CABRAL"/>
    <d v="2016-05-31T00:00:00"/>
    <d v="2016-05-31T00:00:00"/>
    <x v="4"/>
    <x v="94"/>
    <x v="5"/>
    <n v="0"/>
    <x v="1"/>
    <n v="0"/>
    <n v="0"/>
    <n v="0"/>
    <x v="1"/>
    <x v="0"/>
    <n v="0"/>
  </r>
  <r>
    <n v="81188700000000"/>
    <x v="0"/>
    <x v="79"/>
    <x v="5"/>
    <s v="DO CABRAL"/>
    <d v="2016-05-31T00:00:00"/>
    <d v="2016-05-31T00:00:00"/>
    <x v="4"/>
    <x v="94"/>
    <x v="5"/>
    <n v="0"/>
    <x v="1"/>
    <n v="0"/>
    <n v="0"/>
    <n v="0"/>
    <x v="1"/>
    <x v="0"/>
    <n v="0"/>
  </r>
  <r>
    <n v="85486100000000"/>
    <x v="1"/>
    <x v="51"/>
    <x v="2"/>
    <s v="SAO JOSE"/>
    <d v="2016-05-31T00:00:00"/>
    <d v="2016-05-31T00:00:00"/>
    <x v="4"/>
    <x v="94"/>
    <x v="5"/>
    <n v="0"/>
    <x v="1"/>
    <n v="0"/>
    <n v="0"/>
    <n v="0"/>
    <x v="1"/>
    <x v="0"/>
    <n v="0"/>
  </r>
  <r>
    <n v="9693831678"/>
    <x v="1"/>
    <x v="25"/>
    <x v="4"/>
    <s v="CARATOIRA"/>
    <d v="2016-05-31T00:00:00"/>
    <d v="2016-05-31T00:00:00"/>
    <x v="4"/>
    <x v="94"/>
    <x v="5"/>
    <n v="1"/>
    <x v="1"/>
    <n v="0"/>
    <n v="0"/>
    <n v="0"/>
    <x v="1"/>
    <x v="0"/>
    <n v="0"/>
  </r>
  <r>
    <n v="2926270000000"/>
    <x v="0"/>
    <x v="24"/>
    <x v="1"/>
    <s v="JARDIM CAMBURI"/>
    <d v="2016-05-31T00:00:00"/>
    <d v="2016-06-02T00:00:00"/>
    <x v="3"/>
    <x v="91"/>
    <x v="4"/>
    <n v="0"/>
    <x v="1"/>
    <n v="0"/>
    <n v="0"/>
    <n v="0"/>
    <x v="1"/>
    <x v="0"/>
    <n v="0"/>
  </r>
  <r>
    <n v="9529520000000"/>
    <x v="0"/>
    <x v="27"/>
    <x v="3"/>
    <s v="MARIA ORTIZ"/>
    <d v="2016-05-31T00:00:00"/>
    <d v="2016-06-08T00:00:00"/>
    <x v="1"/>
    <x v="88"/>
    <x v="2"/>
    <n v="0"/>
    <x v="1"/>
    <n v="0"/>
    <n v="0"/>
    <n v="0"/>
    <x v="0"/>
    <x v="0"/>
    <n v="0"/>
  </r>
  <r>
    <n v="99813573358"/>
    <x v="1"/>
    <x v="49"/>
    <x v="4"/>
    <s v="SANTA MARTHA"/>
    <d v="2016-05-31T00:00:00"/>
    <d v="2016-06-02T00:00:00"/>
    <x v="3"/>
    <x v="91"/>
    <x v="4"/>
    <n v="1"/>
    <x v="1"/>
    <n v="0"/>
    <n v="0"/>
    <n v="0"/>
    <x v="1"/>
    <x v="0"/>
    <n v="0"/>
  </r>
  <r>
    <n v="596360000000000"/>
    <x v="0"/>
    <x v="46"/>
    <x v="2"/>
    <s v="MARIA ORTIZ"/>
    <d v="2016-05-31T00:00:00"/>
    <d v="2016-05-31T00:00:00"/>
    <x v="4"/>
    <x v="94"/>
    <x v="5"/>
    <n v="0"/>
    <x v="1"/>
    <n v="0"/>
    <n v="0"/>
    <n v="0"/>
    <x v="1"/>
    <x v="0"/>
    <n v="0"/>
  </r>
  <r>
    <n v="4437960000000"/>
    <x v="0"/>
    <x v="23"/>
    <x v="3"/>
    <s v="GRANDE VITORIA"/>
    <d v="2016-05-31T00:00:00"/>
    <d v="2016-06-02T00:00:00"/>
    <x v="3"/>
    <x v="91"/>
    <x v="4"/>
    <n v="0"/>
    <x v="1"/>
    <n v="0"/>
    <n v="0"/>
    <n v="0"/>
    <x v="1"/>
    <x v="0"/>
    <n v="0"/>
  </r>
  <r>
    <n v="98396836543"/>
    <x v="0"/>
    <x v="15"/>
    <x v="3"/>
    <s v="CRUZAMENTO"/>
    <d v="2016-05-31T00:00:00"/>
    <d v="2016-06-02T00:00:00"/>
    <x v="3"/>
    <x v="91"/>
    <x v="4"/>
    <n v="0"/>
    <x v="0"/>
    <n v="0"/>
    <n v="0"/>
    <n v="0"/>
    <x v="1"/>
    <x v="0"/>
    <n v="0"/>
  </r>
  <r>
    <n v="4328330000000"/>
    <x v="0"/>
    <x v="3"/>
    <x v="0"/>
    <s v="BENTO FERREIRA"/>
    <d v="2016-05-31T00:00:00"/>
    <d v="2016-06-02T00:00:00"/>
    <x v="3"/>
    <x v="91"/>
    <x v="4"/>
    <n v="0"/>
    <x v="0"/>
    <n v="0"/>
    <n v="0"/>
    <n v="0"/>
    <x v="1"/>
    <x v="0"/>
    <n v="0"/>
  </r>
  <r>
    <n v="656855000000000"/>
    <x v="0"/>
    <x v="60"/>
    <x v="2"/>
    <s v="JABOUR"/>
    <d v="2016-05-31T00:00:00"/>
    <d v="2016-05-31T00:00:00"/>
    <x v="4"/>
    <x v="94"/>
    <x v="5"/>
    <n v="0"/>
    <x v="1"/>
    <n v="0"/>
    <n v="0"/>
    <n v="0"/>
    <x v="1"/>
    <x v="0"/>
    <n v="0"/>
  </r>
  <r>
    <n v="21226800000000"/>
    <x v="0"/>
    <x v="68"/>
    <x v="4"/>
    <s v="SANTA HELENA"/>
    <d v="2016-05-31T00:00:00"/>
    <d v="2016-06-08T00:00:00"/>
    <x v="1"/>
    <x v="88"/>
    <x v="2"/>
    <n v="1"/>
    <x v="1"/>
    <n v="0"/>
    <n v="0"/>
    <n v="0"/>
    <x v="0"/>
    <x v="0"/>
    <n v="0"/>
  </r>
  <r>
    <n v="591390000000000"/>
    <x v="0"/>
    <x v="2"/>
    <x v="1"/>
    <s v="MARIA ORTIZ"/>
    <d v="2016-05-31T00:00:00"/>
    <d v="2016-06-02T00:00:00"/>
    <x v="3"/>
    <x v="91"/>
    <x v="4"/>
    <n v="0"/>
    <x v="1"/>
    <n v="0"/>
    <n v="0"/>
    <n v="0"/>
    <x v="1"/>
    <x v="0"/>
    <n v="0"/>
  </r>
  <r>
    <n v="273747000000"/>
    <x v="1"/>
    <x v="45"/>
    <x v="1"/>
    <s v="JABOUR"/>
    <d v="2016-05-31T00:00:00"/>
    <d v="2016-06-02T00:00:00"/>
    <x v="3"/>
    <x v="91"/>
    <x v="4"/>
    <n v="0"/>
    <x v="1"/>
    <n v="0"/>
    <n v="0"/>
    <n v="0"/>
    <x v="1"/>
    <x v="0"/>
    <n v="0"/>
  </r>
  <r>
    <n v="45722700000000"/>
    <x v="1"/>
    <x v="24"/>
    <x v="1"/>
    <s v="CENTRO"/>
    <d v="2016-05-31T00:00:00"/>
    <d v="2016-05-31T00:00:00"/>
    <x v="4"/>
    <x v="94"/>
    <x v="5"/>
    <n v="1"/>
    <x v="0"/>
    <n v="0"/>
    <n v="1"/>
    <n v="0"/>
    <x v="1"/>
    <x v="0"/>
    <n v="0"/>
  </r>
  <r>
    <n v="6141830000000"/>
    <x v="1"/>
    <x v="39"/>
    <x v="4"/>
    <s v="JARDIM CAMBURI"/>
    <d v="2016-05-31T00:00:00"/>
    <d v="2016-05-31T00:00:00"/>
    <x v="4"/>
    <x v="94"/>
    <x v="5"/>
    <n v="0"/>
    <x v="1"/>
    <n v="0"/>
    <n v="0"/>
    <n v="0"/>
    <x v="1"/>
    <x v="0"/>
    <n v="0"/>
  </r>
  <r>
    <n v="57986500000000"/>
    <x v="0"/>
    <x v="54"/>
    <x v="1"/>
    <s v="JARDIM DA PENHA"/>
    <d v="2016-05-31T00:00:00"/>
    <d v="2016-06-01T00:00:00"/>
    <x v="1"/>
    <x v="93"/>
    <x v="4"/>
    <n v="0"/>
    <x v="1"/>
    <n v="0"/>
    <n v="0"/>
    <n v="0"/>
    <x v="1"/>
    <x v="1"/>
    <n v="1"/>
  </r>
  <r>
    <n v="178919000000000"/>
    <x v="0"/>
    <x v="84"/>
    <x v="1"/>
    <s v="CONQUISTA"/>
    <d v="2016-05-31T00:00:00"/>
    <d v="2016-05-31T00:00:00"/>
    <x v="4"/>
    <x v="94"/>
    <x v="5"/>
    <n v="1"/>
    <x v="0"/>
    <n v="0"/>
    <n v="0"/>
    <n v="0"/>
    <x v="1"/>
    <x v="0"/>
    <n v="0"/>
  </r>
  <r>
    <n v="825547000000000"/>
    <x v="1"/>
    <x v="4"/>
    <x v="2"/>
    <s v="RESISTENCIA"/>
    <d v="2016-05-31T00:00:00"/>
    <d v="2016-05-31T00:00:00"/>
    <x v="4"/>
    <x v="94"/>
    <x v="5"/>
    <n v="0"/>
    <x v="1"/>
    <n v="0"/>
    <n v="0"/>
    <n v="0"/>
    <x v="1"/>
    <x v="0"/>
    <n v="0"/>
  </r>
  <r>
    <n v="88835000000000"/>
    <x v="1"/>
    <x v="16"/>
    <x v="1"/>
    <s v="GRANDE VITORIA"/>
    <d v="2016-05-31T00:00:00"/>
    <d v="2016-05-31T00:00:00"/>
    <x v="4"/>
    <x v="94"/>
    <x v="5"/>
    <n v="0"/>
    <x v="1"/>
    <n v="0"/>
    <n v="0"/>
    <n v="1"/>
    <x v="1"/>
    <x v="0"/>
    <n v="0"/>
  </r>
  <r>
    <n v="289344000000"/>
    <x v="0"/>
    <x v="51"/>
    <x v="2"/>
    <s v="SAO PEDRO"/>
    <d v="2016-05-31T00:00:00"/>
    <d v="2016-06-06T00:00:00"/>
    <x v="2"/>
    <x v="90"/>
    <x v="3"/>
    <n v="0"/>
    <x v="1"/>
    <n v="0"/>
    <n v="0"/>
    <n v="0"/>
    <x v="0"/>
    <x v="0"/>
    <n v="0"/>
  </r>
  <r>
    <n v="86536900000000"/>
    <x v="0"/>
    <x v="60"/>
    <x v="2"/>
    <s v="ANDORINHAS"/>
    <d v="2016-05-31T00:00:00"/>
    <d v="2016-05-31T00:00:00"/>
    <x v="4"/>
    <x v="94"/>
    <x v="5"/>
    <n v="0"/>
    <x v="1"/>
    <n v="0"/>
    <n v="0"/>
    <n v="0"/>
    <x v="1"/>
    <x v="0"/>
    <n v="0"/>
  </r>
  <r>
    <n v="28143200000000"/>
    <x v="0"/>
    <x v="65"/>
    <x v="2"/>
    <s v="JABOUR"/>
    <d v="2016-05-31T00:00:00"/>
    <d v="2016-06-03T00:00:00"/>
    <x v="0"/>
    <x v="89"/>
    <x v="4"/>
    <n v="0"/>
    <x v="1"/>
    <n v="0"/>
    <n v="0"/>
    <n v="0"/>
    <x v="0"/>
    <x v="1"/>
    <n v="1"/>
  </r>
  <r>
    <n v="225691000000000"/>
    <x v="0"/>
    <x v="44"/>
    <x v="4"/>
    <s v="DA PENHA"/>
    <d v="2016-05-31T00:00:00"/>
    <d v="2016-06-03T00:00:00"/>
    <x v="0"/>
    <x v="89"/>
    <x v="4"/>
    <n v="0"/>
    <x v="1"/>
    <n v="0"/>
    <n v="0"/>
    <n v="0"/>
    <x v="0"/>
    <x v="0"/>
    <n v="0"/>
  </r>
  <r>
    <n v="822146000000000"/>
    <x v="1"/>
    <x v="56"/>
    <x v="1"/>
    <s v="REDENCAO"/>
    <d v="2016-05-31T00:00:00"/>
    <d v="2016-05-31T00:00:00"/>
    <x v="4"/>
    <x v="94"/>
    <x v="5"/>
    <n v="0"/>
    <x v="1"/>
    <n v="0"/>
    <n v="0"/>
    <n v="0"/>
    <x v="1"/>
    <x v="0"/>
    <n v="0"/>
  </r>
  <r>
    <n v="85381300000000"/>
    <x v="0"/>
    <x v="83"/>
    <x v="0"/>
    <s v="JARDIM CAMBURI"/>
    <d v="2016-05-31T00:00:00"/>
    <d v="2016-06-01T00:00:00"/>
    <x v="1"/>
    <x v="93"/>
    <x v="4"/>
    <n v="0"/>
    <x v="1"/>
    <n v="0"/>
    <n v="0"/>
    <n v="0"/>
    <x v="1"/>
    <x v="0"/>
    <n v="0"/>
  </r>
  <r>
    <n v="862363000000000"/>
    <x v="0"/>
    <x v="37"/>
    <x v="3"/>
    <s v="RESISTENCIA"/>
    <d v="2016-05-31T00:00:00"/>
    <d v="2016-06-03T00:00:00"/>
    <x v="0"/>
    <x v="89"/>
    <x v="4"/>
    <n v="0"/>
    <x v="0"/>
    <n v="0"/>
    <n v="0"/>
    <n v="0"/>
    <x v="0"/>
    <x v="1"/>
    <n v="1"/>
  </r>
  <r>
    <n v="491528000000000"/>
    <x v="0"/>
    <x v="27"/>
    <x v="3"/>
    <s v="JABOUR"/>
    <d v="2016-05-31T00:00:00"/>
    <d v="2016-05-31T00:00:00"/>
    <x v="4"/>
    <x v="94"/>
    <x v="5"/>
    <n v="0"/>
    <x v="1"/>
    <n v="0"/>
    <n v="0"/>
    <n v="0"/>
    <x v="1"/>
    <x v="0"/>
    <n v="0"/>
  </r>
  <r>
    <n v="76123400000000"/>
    <x v="1"/>
    <x v="48"/>
    <x v="3"/>
    <s v="SANTA LUCIA"/>
    <d v="2016-05-31T00:00:00"/>
    <d v="2016-05-31T00:00:00"/>
    <x v="4"/>
    <x v="94"/>
    <x v="5"/>
    <n v="0"/>
    <x v="1"/>
    <n v="0"/>
    <n v="0"/>
    <n v="0"/>
    <x v="1"/>
    <x v="0"/>
    <n v="0"/>
  </r>
  <r>
    <n v="883343000000000"/>
    <x v="0"/>
    <x v="32"/>
    <x v="4"/>
    <s v="FORTE SAO JOAO"/>
    <d v="2016-05-31T00:00:00"/>
    <d v="2016-06-03T00:00:00"/>
    <x v="0"/>
    <x v="89"/>
    <x v="4"/>
    <n v="0"/>
    <x v="1"/>
    <n v="0"/>
    <n v="0"/>
    <n v="0"/>
    <x v="0"/>
    <x v="0"/>
    <n v="0"/>
  </r>
  <r>
    <n v="653732000000000"/>
    <x v="0"/>
    <x v="34"/>
    <x v="0"/>
    <s v="JARDIM CAMBURI"/>
    <d v="2016-05-31T00:00:00"/>
    <d v="2016-06-01T00:00:00"/>
    <x v="1"/>
    <x v="93"/>
    <x v="4"/>
    <n v="0"/>
    <x v="1"/>
    <n v="0"/>
    <n v="0"/>
    <n v="0"/>
    <x v="1"/>
    <x v="0"/>
    <n v="0"/>
  </r>
  <r>
    <n v="1139340000000"/>
    <x v="0"/>
    <x v="47"/>
    <x v="4"/>
    <s v="SANTO ANTONIO"/>
    <d v="2016-05-31T00:00:00"/>
    <d v="2016-05-31T00:00:00"/>
    <x v="4"/>
    <x v="94"/>
    <x v="5"/>
    <n v="0"/>
    <x v="1"/>
    <n v="0"/>
    <n v="0"/>
    <n v="0"/>
    <x v="1"/>
    <x v="0"/>
    <n v="0"/>
  </r>
  <r>
    <n v="3892230000000"/>
    <x v="0"/>
    <x v="30"/>
    <x v="3"/>
    <s v="PRAIA DO SUA"/>
    <d v="2016-05-31T00:00:00"/>
    <d v="2016-06-07T00:00:00"/>
    <x v="4"/>
    <x v="87"/>
    <x v="3"/>
    <n v="0"/>
    <x v="1"/>
    <n v="0"/>
    <n v="0"/>
    <n v="0"/>
    <x v="0"/>
    <x v="0"/>
    <n v="0"/>
  </r>
  <r>
    <n v="29413100000000"/>
    <x v="1"/>
    <x v="43"/>
    <x v="2"/>
    <s v="JUCUTUQUARA"/>
    <d v="2016-05-31T00:00:00"/>
    <d v="2016-06-06T00:00:00"/>
    <x v="2"/>
    <x v="90"/>
    <x v="3"/>
    <n v="0"/>
    <x v="1"/>
    <n v="0"/>
    <n v="0"/>
    <n v="0"/>
    <x v="0"/>
    <x v="1"/>
    <n v="1"/>
  </r>
  <r>
    <n v="71345154259"/>
    <x v="1"/>
    <x v="29"/>
    <x v="3"/>
    <s v="JABOUR"/>
    <d v="2016-05-31T00:00:00"/>
    <d v="2016-05-31T00:00:00"/>
    <x v="4"/>
    <x v="94"/>
    <x v="5"/>
    <n v="0"/>
    <x v="1"/>
    <n v="0"/>
    <n v="0"/>
    <n v="0"/>
    <x v="1"/>
    <x v="0"/>
    <n v="0"/>
  </r>
  <r>
    <n v="69665900000000"/>
    <x v="1"/>
    <x v="72"/>
    <x v="5"/>
    <s v="CONSOLACAO"/>
    <d v="2016-05-31T00:00:00"/>
    <d v="2016-05-31T00:00:00"/>
    <x v="4"/>
    <x v="94"/>
    <x v="5"/>
    <n v="0"/>
    <x v="1"/>
    <n v="0"/>
    <n v="0"/>
    <n v="0"/>
    <x v="1"/>
    <x v="0"/>
    <n v="0"/>
  </r>
  <r>
    <n v="5546170000000"/>
    <x v="0"/>
    <x v="29"/>
    <x v="3"/>
    <s v="BENTO FERREIRA"/>
    <d v="2016-05-31T00:00:00"/>
    <d v="2016-06-01T00:00:00"/>
    <x v="1"/>
    <x v="93"/>
    <x v="4"/>
    <n v="0"/>
    <x v="0"/>
    <n v="1"/>
    <n v="0"/>
    <n v="0"/>
    <x v="1"/>
    <x v="1"/>
    <n v="1"/>
  </r>
  <r>
    <n v="2256450000000"/>
    <x v="1"/>
    <x v="30"/>
    <x v="3"/>
    <s v="SANTOS DUMONT"/>
    <d v="2016-05-31T00:00:00"/>
    <d v="2016-06-02T00:00:00"/>
    <x v="3"/>
    <x v="91"/>
    <x v="4"/>
    <n v="0"/>
    <x v="1"/>
    <n v="0"/>
    <n v="1"/>
    <n v="0"/>
    <x v="1"/>
    <x v="1"/>
    <n v="1"/>
  </r>
  <r>
    <n v="438887000000000"/>
    <x v="0"/>
    <x v="71"/>
    <x v="4"/>
    <s v="JESUS DE NAZARETH"/>
    <d v="2016-05-31T00:00:00"/>
    <d v="2016-05-31T00:00:00"/>
    <x v="4"/>
    <x v="94"/>
    <x v="5"/>
    <n v="0"/>
    <x v="1"/>
    <n v="0"/>
    <n v="0"/>
    <n v="0"/>
    <x v="1"/>
    <x v="0"/>
    <n v="0"/>
  </r>
  <r>
    <n v="15366900000000"/>
    <x v="0"/>
    <x v="37"/>
    <x v="3"/>
    <s v="MARIA ORTIZ"/>
    <d v="2016-05-31T00:00:00"/>
    <d v="2016-05-31T00:00:00"/>
    <x v="4"/>
    <x v="94"/>
    <x v="5"/>
    <n v="0"/>
    <x v="0"/>
    <n v="0"/>
    <n v="0"/>
    <n v="0"/>
    <x v="1"/>
    <x v="0"/>
    <n v="0"/>
  </r>
  <r>
    <n v="653425000000000"/>
    <x v="1"/>
    <x v="25"/>
    <x v="4"/>
    <s v="SANTO ANTONIO"/>
    <d v="2016-05-31T00:00:00"/>
    <d v="2016-05-31T00:00:00"/>
    <x v="4"/>
    <x v="94"/>
    <x v="5"/>
    <n v="0"/>
    <x v="1"/>
    <n v="0"/>
    <n v="0"/>
    <n v="0"/>
    <x v="1"/>
    <x v="0"/>
    <n v="0"/>
  </r>
  <r>
    <n v="196586000000000"/>
    <x v="1"/>
    <x v="71"/>
    <x v="4"/>
    <s v="JARDIM CAMBURI"/>
    <d v="2016-05-31T00:00:00"/>
    <d v="2016-06-01T00:00:00"/>
    <x v="1"/>
    <x v="93"/>
    <x v="4"/>
    <n v="0"/>
    <x v="1"/>
    <n v="0"/>
    <n v="0"/>
    <n v="0"/>
    <x v="1"/>
    <x v="1"/>
    <n v="1"/>
  </r>
  <r>
    <n v="91153400000000"/>
    <x v="0"/>
    <x v="71"/>
    <x v="4"/>
    <s v="MONTE BELO"/>
    <d v="2016-05-31T00:00:00"/>
    <d v="2016-06-07T00:00:00"/>
    <x v="4"/>
    <x v="87"/>
    <x v="3"/>
    <n v="0"/>
    <x v="1"/>
    <n v="0"/>
    <n v="0"/>
    <n v="0"/>
    <x v="0"/>
    <x v="0"/>
    <n v="0"/>
  </r>
  <r>
    <n v="47782182243"/>
    <x v="0"/>
    <x v="79"/>
    <x v="5"/>
    <s v="ILHA DAS CAIEIRAS"/>
    <d v="2016-05-31T00:00:00"/>
    <d v="2016-06-08T00:00:00"/>
    <x v="1"/>
    <x v="88"/>
    <x v="2"/>
    <n v="0"/>
    <x v="1"/>
    <n v="0"/>
    <n v="0"/>
    <n v="0"/>
    <x v="0"/>
    <x v="0"/>
    <n v="0"/>
  </r>
  <r>
    <n v="86195300000000"/>
    <x v="0"/>
    <x v="41"/>
    <x v="4"/>
    <s v="BELA VISTA"/>
    <d v="2016-05-31T00:00:00"/>
    <d v="2016-06-07T00:00:00"/>
    <x v="4"/>
    <x v="87"/>
    <x v="3"/>
    <n v="0"/>
    <x v="1"/>
    <n v="0"/>
    <n v="0"/>
    <n v="0"/>
    <x v="0"/>
    <x v="0"/>
    <n v="0"/>
  </r>
  <r>
    <n v="631959000000"/>
    <x v="1"/>
    <x v="36"/>
    <x v="3"/>
    <s v="JARDIM CAMBURI"/>
    <d v="2016-05-31T00:00:00"/>
    <d v="2016-06-01T00:00:00"/>
    <x v="1"/>
    <x v="93"/>
    <x v="4"/>
    <n v="0"/>
    <x v="1"/>
    <n v="0"/>
    <n v="0"/>
    <n v="0"/>
    <x v="1"/>
    <x v="0"/>
    <n v="0"/>
  </r>
  <r>
    <n v="4248480000000"/>
    <x v="0"/>
    <x v="22"/>
    <x v="4"/>
    <s v="REDENCAO"/>
    <d v="2016-05-31T00:00:00"/>
    <d v="2016-05-31T00:00:00"/>
    <x v="4"/>
    <x v="94"/>
    <x v="5"/>
    <n v="1"/>
    <x v="1"/>
    <n v="0"/>
    <n v="0"/>
    <n v="0"/>
    <x v="1"/>
    <x v="0"/>
    <n v="0"/>
  </r>
  <r>
    <n v="871375000000000"/>
    <x v="1"/>
    <x v="7"/>
    <x v="3"/>
    <s v="ROMAO"/>
    <d v="2016-05-31T00:00:00"/>
    <d v="2016-06-03T00:00:00"/>
    <x v="0"/>
    <x v="89"/>
    <x v="4"/>
    <n v="0"/>
    <x v="1"/>
    <n v="0"/>
    <n v="1"/>
    <n v="0"/>
    <x v="1"/>
    <x v="0"/>
    <n v="0"/>
  </r>
  <r>
    <n v="465454000000"/>
    <x v="0"/>
    <x v="7"/>
    <x v="3"/>
    <s v="MARUIPE"/>
    <d v="2016-05-31T00:00:00"/>
    <d v="2016-06-01T00:00:00"/>
    <x v="1"/>
    <x v="93"/>
    <x v="4"/>
    <n v="0"/>
    <x v="0"/>
    <n v="0"/>
    <n v="0"/>
    <n v="0"/>
    <x v="1"/>
    <x v="1"/>
    <n v="1"/>
  </r>
  <r>
    <n v="436921000000"/>
    <x v="1"/>
    <x v="58"/>
    <x v="0"/>
    <s v="JARDIM CAMBURI"/>
    <d v="2016-05-31T00:00:00"/>
    <d v="2016-06-03T00:00:00"/>
    <x v="0"/>
    <x v="89"/>
    <x v="4"/>
    <n v="0"/>
    <x v="0"/>
    <n v="0"/>
    <n v="0"/>
    <n v="0"/>
    <x v="0"/>
    <x v="0"/>
    <n v="0"/>
  </r>
  <r>
    <n v="165529000000"/>
    <x v="0"/>
    <x v="76"/>
    <x v="0"/>
    <s v="GURIGICA"/>
    <d v="2016-05-31T00:00:00"/>
    <d v="2016-05-31T00:00:00"/>
    <x v="4"/>
    <x v="94"/>
    <x v="5"/>
    <n v="0"/>
    <x v="0"/>
    <n v="1"/>
    <n v="0"/>
    <n v="0"/>
    <x v="1"/>
    <x v="0"/>
    <n v="0"/>
  </r>
  <r>
    <n v="44637800000000"/>
    <x v="0"/>
    <x v="24"/>
    <x v="1"/>
    <s v="INHANGUETA"/>
    <d v="2016-05-31T00:00:00"/>
    <d v="2016-06-01T00:00:00"/>
    <x v="1"/>
    <x v="93"/>
    <x v="4"/>
    <n v="0"/>
    <x v="1"/>
    <n v="1"/>
    <n v="0"/>
    <n v="0"/>
    <x v="1"/>
    <x v="1"/>
    <n v="1"/>
  </r>
  <r>
    <n v="59356600000000"/>
    <x v="1"/>
    <x v="64"/>
    <x v="3"/>
    <s v="SAO JOSE"/>
    <d v="2016-05-31T00:00:00"/>
    <d v="2016-06-02T00:00:00"/>
    <x v="3"/>
    <x v="91"/>
    <x v="4"/>
    <n v="0"/>
    <x v="0"/>
    <n v="1"/>
    <n v="1"/>
    <n v="0"/>
    <x v="1"/>
    <x v="0"/>
    <n v="0"/>
  </r>
  <r>
    <n v="8174120000000"/>
    <x v="0"/>
    <x v="30"/>
    <x v="3"/>
    <s v="JARDIM DA PENHA"/>
    <d v="2016-05-31T00:00:00"/>
    <d v="2016-05-31T00:00:00"/>
    <x v="4"/>
    <x v="94"/>
    <x v="5"/>
    <n v="0"/>
    <x v="1"/>
    <n v="0"/>
    <n v="0"/>
    <n v="0"/>
    <x v="1"/>
    <x v="0"/>
    <n v="0"/>
  </r>
  <r>
    <n v="76325800000000"/>
    <x v="1"/>
    <x v="44"/>
    <x v="4"/>
    <s v="ESTRELINHA"/>
    <d v="2016-05-31T00:00:00"/>
    <d v="2016-06-08T00:00:00"/>
    <x v="1"/>
    <x v="88"/>
    <x v="2"/>
    <n v="0"/>
    <x v="1"/>
    <n v="0"/>
    <n v="0"/>
    <n v="0"/>
    <x v="0"/>
    <x v="0"/>
    <n v="0"/>
  </r>
  <r>
    <n v="985377000000"/>
    <x v="1"/>
    <x v="30"/>
    <x v="3"/>
    <s v="FRADINHOS"/>
    <d v="2016-05-31T00:00:00"/>
    <d v="2016-06-01T00:00:00"/>
    <x v="1"/>
    <x v="93"/>
    <x v="4"/>
    <n v="0"/>
    <x v="1"/>
    <n v="0"/>
    <n v="0"/>
    <n v="0"/>
    <x v="1"/>
    <x v="0"/>
    <n v="0"/>
  </r>
  <r>
    <n v="573423000000000"/>
    <x v="0"/>
    <x v="32"/>
    <x v="4"/>
    <s v="ESTRELINHA"/>
    <d v="2016-05-31T00:00:00"/>
    <d v="2016-06-01T00:00:00"/>
    <x v="1"/>
    <x v="93"/>
    <x v="4"/>
    <n v="0"/>
    <x v="1"/>
    <n v="0"/>
    <n v="0"/>
    <n v="0"/>
    <x v="1"/>
    <x v="0"/>
    <n v="0"/>
  </r>
  <r>
    <n v="1583260000000"/>
    <x v="0"/>
    <x v="43"/>
    <x v="2"/>
    <s v="JARDIM CAMBURI"/>
    <d v="2016-05-31T00:00:00"/>
    <d v="2016-05-31T00:00:00"/>
    <x v="4"/>
    <x v="94"/>
    <x v="5"/>
    <n v="0"/>
    <x v="1"/>
    <n v="0"/>
    <n v="0"/>
    <n v="0"/>
    <x v="1"/>
    <x v="0"/>
    <n v="0"/>
  </r>
  <r>
    <n v="796572000000000"/>
    <x v="0"/>
    <x v="91"/>
    <x v="0"/>
    <s v="DO QUADRO"/>
    <d v="2016-05-31T00:00:00"/>
    <d v="2016-05-31T00:00:00"/>
    <x v="4"/>
    <x v="94"/>
    <x v="5"/>
    <n v="0"/>
    <x v="1"/>
    <n v="1"/>
    <n v="0"/>
    <n v="0"/>
    <x v="1"/>
    <x v="0"/>
    <n v="0"/>
  </r>
  <r>
    <n v="157194000000000"/>
    <x v="0"/>
    <x v="80"/>
    <x v="2"/>
    <s v="DO QUADRO"/>
    <d v="2016-05-31T00:00:00"/>
    <d v="2016-05-31T00:00:00"/>
    <x v="4"/>
    <x v="94"/>
    <x v="5"/>
    <n v="1"/>
    <x v="1"/>
    <n v="0"/>
    <n v="0"/>
    <n v="0"/>
    <x v="1"/>
    <x v="0"/>
    <n v="0"/>
  </r>
  <r>
    <n v="78484700000000"/>
    <x v="1"/>
    <x v="73"/>
    <x v="4"/>
    <s v="SANTA CECILIA"/>
    <d v="2016-05-31T00:00:00"/>
    <d v="2016-06-08T00:00:00"/>
    <x v="1"/>
    <x v="88"/>
    <x v="2"/>
    <n v="0"/>
    <x v="1"/>
    <n v="0"/>
    <n v="0"/>
    <n v="0"/>
    <x v="1"/>
    <x v="1"/>
    <n v="1"/>
  </r>
  <r>
    <n v="787331000000"/>
    <x v="0"/>
    <x v="74"/>
    <x v="1"/>
    <s v="SANTOS DUMONT"/>
    <d v="2016-05-31T00:00:00"/>
    <d v="2016-06-03T00:00:00"/>
    <x v="0"/>
    <x v="89"/>
    <x v="4"/>
    <n v="0"/>
    <x v="1"/>
    <n v="0"/>
    <n v="0"/>
    <n v="0"/>
    <x v="1"/>
    <x v="1"/>
    <n v="1"/>
  </r>
  <r>
    <n v="9478390000000"/>
    <x v="0"/>
    <x v="34"/>
    <x v="0"/>
    <s v="TABUAZEIRO"/>
    <d v="2016-05-31T00:00:00"/>
    <d v="2016-06-02T00:00:00"/>
    <x v="3"/>
    <x v="91"/>
    <x v="4"/>
    <n v="0"/>
    <x v="0"/>
    <n v="1"/>
    <n v="0"/>
    <n v="0"/>
    <x v="1"/>
    <x v="0"/>
    <n v="0"/>
  </r>
  <r>
    <n v="134687000000000"/>
    <x v="0"/>
    <x v="69"/>
    <x v="4"/>
    <s v="MARIA ORTIZ"/>
    <d v="2016-05-31T00:00:00"/>
    <d v="2016-05-31T00:00:00"/>
    <x v="4"/>
    <x v="94"/>
    <x v="5"/>
    <n v="0"/>
    <x v="1"/>
    <n v="0"/>
    <n v="0"/>
    <n v="0"/>
    <x v="1"/>
    <x v="0"/>
    <n v="0"/>
  </r>
  <r>
    <n v="63146200000000"/>
    <x v="0"/>
    <x v="4"/>
    <x v="2"/>
    <s v="JARDIM CAMBURI"/>
    <d v="2016-05-31T00:00:00"/>
    <d v="2016-06-01T00:00:00"/>
    <x v="1"/>
    <x v="93"/>
    <x v="4"/>
    <n v="0"/>
    <x v="1"/>
    <n v="0"/>
    <n v="0"/>
    <n v="0"/>
    <x v="1"/>
    <x v="0"/>
    <n v="0"/>
  </r>
  <r>
    <n v="47843200000000"/>
    <x v="1"/>
    <x v="10"/>
    <x v="4"/>
    <s v="REPUBLICA"/>
    <d v="2016-05-31T00:00:00"/>
    <d v="2016-06-03T00:00:00"/>
    <x v="0"/>
    <x v="89"/>
    <x v="4"/>
    <n v="0"/>
    <x v="1"/>
    <n v="0"/>
    <n v="0"/>
    <n v="0"/>
    <x v="1"/>
    <x v="0"/>
    <n v="0"/>
  </r>
  <r>
    <n v="75198800000000"/>
    <x v="1"/>
    <x v="68"/>
    <x v="4"/>
    <s v="CENTRO"/>
    <d v="2016-05-31T00:00:00"/>
    <d v="2016-06-01T00:00:00"/>
    <x v="1"/>
    <x v="93"/>
    <x v="4"/>
    <n v="0"/>
    <x v="1"/>
    <n v="0"/>
    <n v="0"/>
    <n v="0"/>
    <x v="1"/>
    <x v="0"/>
    <n v="0"/>
  </r>
  <r>
    <n v="12217900000000"/>
    <x v="1"/>
    <x v="47"/>
    <x v="4"/>
    <s v="JARDIM DA PENHA"/>
    <d v="2016-05-31T00:00:00"/>
    <d v="2016-05-31T00:00:00"/>
    <x v="4"/>
    <x v="94"/>
    <x v="5"/>
    <n v="0"/>
    <x v="1"/>
    <n v="0"/>
    <n v="0"/>
    <n v="0"/>
    <x v="1"/>
    <x v="0"/>
    <n v="0"/>
  </r>
  <r>
    <n v="784515000000000"/>
    <x v="0"/>
    <x v="39"/>
    <x v="4"/>
    <s v="MARIA ORTIZ"/>
    <d v="2016-05-31T00:00:00"/>
    <d v="2016-05-31T00:00:00"/>
    <x v="4"/>
    <x v="94"/>
    <x v="5"/>
    <n v="0"/>
    <x v="1"/>
    <n v="0"/>
    <n v="0"/>
    <n v="0"/>
    <x v="1"/>
    <x v="0"/>
    <n v="0"/>
  </r>
  <r>
    <n v="149150000000"/>
    <x v="0"/>
    <x v="68"/>
    <x v="4"/>
    <s v="TABUAZEIRO"/>
    <d v="2016-05-31T00:00:00"/>
    <d v="2016-06-08T00:00:00"/>
    <x v="1"/>
    <x v="88"/>
    <x v="2"/>
    <n v="0"/>
    <x v="1"/>
    <n v="0"/>
    <n v="0"/>
    <n v="0"/>
    <x v="1"/>
    <x v="0"/>
    <n v="0"/>
  </r>
  <r>
    <n v="17385944962"/>
    <x v="0"/>
    <x v="39"/>
    <x v="4"/>
    <s v="JARDIM DA PENHA"/>
    <d v="2016-06-01T00:00:00"/>
    <d v="2016-06-03T00:00:00"/>
    <x v="0"/>
    <x v="91"/>
    <x v="4"/>
    <n v="0"/>
    <x v="1"/>
    <n v="0"/>
    <n v="0"/>
    <n v="0"/>
    <x v="1"/>
    <x v="1"/>
    <n v="1"/>
  </r>
  <r>
    <n v="4373660000000"/>
    <x v="1"/>
    <x v="25"/>
    <x v="4"/>
    <s v="JARDIM CAMBURI"/>
    <d v="2016-06-01T00:00:00"/>
    <d v="2016-06-01T00:00:00"/>
    <x v="1"/>
    <x v="94"/>
    <x v="5"/>
    <n v="0"/>
    <x v="1"/>
    <n v="0"/>
    <n v="0"/>
    <n v="0"/>
    <x v="1"/>
    <x v="0"/>
    <n v="0"/>
  </r>
  <r>
    <n v="3571440000000"/>
    <x v="0"/>
    <x v="26"/>
    <x v="0"/>
    <s v="REDENCAO"/>
    <d v="2016-06-01T00:00:00"/>
    <d v="2016-06-06T00:00:00"/>
    <x v="2"/>
    <x v="92"/>
    <x v="3"/>
    <n v="0"/>
    <x v="0"/>
    <n v="0"/>
    <n v="0"/>
    <n v="0"/>
    <x v="0"/>
    <x v="0"/>
    <n v="0"/>
  </r>
  <r>
    <n v="168726000000000"/>
    <x v="1"/>
    <x v="22"/>
    <x v="4"/>
    <s v="DA PENHA"/>
    <d v="2016-06-01T00:00:00"/>
    <d v="2016-06-01T00:00:00"/>
    <x v="1"/>
    <x v="94"/>
    <x v="5"/>
    <n v="0"/>
    <x v="1"/>
    <n v="0"/>
    <n v="0"/>
    <n v="0"/>
    <x v="1"/>
    <x v="0"/>
    <n v="0"/>
  </r>
  <r>
    <n v="53761900000000"/>
    <x v="0"/>
    <x v="24"/>
    <x v="1"/>
    <s v="BELA VISTA"/>
    <d v="2016-06-01T00:00:00"/>
    <d v="2016-06-01T00:00:00"/>
    <x v="1"/>
    <x v="94"/>
    <x v="5"/>
    <n v="0"/>
    <x v="0"/>
    <n v="0"/>
    <n v="0"/>
    <n v="0"/>
    <x v="1"/>
    <x v="1"/>
    <n v="1"/>
  </r>
  <r>
    <n v="161167000000"/>
    <x v="0"/>
    <x v="81"/>
    <x v="5"/>
    <s v="ILHA DAS CAIEIRAS"/>
    <d v="2016-06-01T00:00:00"/>
    <d v="2016-06-08T00:00:00"/>
    <x v="1"/>
    <x v="87"/>
    <x v="3"/>
    <n v="0"/>
    <x v="1"/>
    <n v="0"/>
    <n v="0"/>
    <n v="0"/>
    <x v="0"/>
    <x v="0"/>
    <n v="0"/>
  </r>
  <r>
    <n v="7592950000000"/>
    <x v="0"/>
    <x v="9"/>
    <x v="0"/>
    <s v="RESISTENCIA"/>
    <d v="2016-06-01T00:00:00"/>
    <d v="2016-06-01T00:00:00"/>
    <x v="1"/>
    <x v="94"/>
    <x v="5"/>
    <n v="0"/>
    <x v="0"/>
    <n v="0"/>
    <n v="0"/>
    <n v="0"/>
    <x v="1"/>
    <x v="0"/>
    <n v="0"/>
  </r>
  <r>
    <n v="99428600000000"/>
    <x v="0"/>
    <x v="29"/>
    <x v="3"/>
    <s v="SAO BENEDITO"/>
    <d v="2016-06-01T00:00:00"/>
    <d v="2016-06-01T00:00:00"/>
    <x v="1"/>
    <x v="94"/>
    <x v="5"/>
    <n v="0"/>
    <x v="0"/>
    <n v="0"/>
    <n v="0"/>
    <n v="0"/>
    <x v="1"/>
    <x v="0"/>
    <n v="0"/>
  </r>
  <r>
    <n v="58527900000000"/>
    <x v="0"/>
    <x v="61"/>
    <x v="1"/>
    <s v="CONSOLACAO"/>
    <d v="2016-06-01T00:00:00"/>
    <d v="2016-06-03T00:00:00"/>
    <x v="0"/>
    <x v="91"/>
    <x v="4"/>
    <n v="0"/>
    <x v="1"/>
    <n v="0"/>
    <n v="0"/>
    <n v="0"/>
    <x v="1"/>
    <x v="0"/>
    <n v="0"/>
  </r>
  <r>
    <n v="617493000000000"/>
    <x v="1"/>
    <x v="45"/>
    <x v="1"/>
    <s v="BELA VISTA"/>
    <d v="2016-06-01T00:00:00"/>
    <d v="2016-06-01T00:00:00"/>
    <x v="1"/>
    <x v="94"/>
    <x v="5"/>
    <n v="0"/>
    <x v="1"/>
    <n v="0"/>
    <n v="0"/>
    <n v="0"/>
    <x v="1"/>
    <x v="0"/>
    <n v="0"/>
  </r>
  <r>
    <n v="5637230000000"/>
    <x v="0"/>
    <x v="29"/>
    <x v="3"/>
    <s v="MORADA DE CAMBURI"/>
    <d v="2016-06-01T00:00:00"/>
    <d v="2016-06-01T00:00:00"/>
    <x v="1"/>
    <x v="94"/>
    <x v="5"/>
    <n v="0"/>
    <x v="0"/>
    <n v="0"/>
    <n v="0"/>
    <n v="0"/>
    <x v="1"/>
    <x v="0"/>
    <n v="0"/>
  </r>
  <r>
    <n v="951290000000000"/>
    <x v="0"/>
    <x v="42"/>
    <x v="3"/>
    <s v="ITARARE"/>
    <d v="2016-06-01T00:00:00"/>
    <d v="2016-06-03T00:00:00"/>
    <x v="0"/>
    <x v="91"/>
    <x v="4"/>
    <n v="0"/>
    <x v="1"/>
    <n v="0"/>
    <n v="0"/>
    <n v="0"/>
    <x v="1"/>
    <x v="1"/>
    <n v="1"/>
  </r>
  <r>
    <n v="7825550000000"/>
    <x v="1"/>
    <x v="65"/>
    <x v="2"/>
    <s v="CONSOLACAO"/>
    <d v="2016-06-01T00:00:00"/>
    <d v="2016-06-06T00:00:00"/>
    <x v="2"/>
    <x v="92"/>
    <x v="3"/>
    <n v="0"/>
    <x v="1"/>
    <n v="0"/>
    <n v="0"/>
    <n v="0"/>
    <x v="0"/>
    <x v="0"/>
    <n v="0"/>
  </r>
  <r>
    <n v="7122380000000"/>
    <x v="1"/>
    <x v="15"/>
    <x v="3"/>
    <s v="SAO JOSE"/>
    <d v="2016-06-01T00:00:00"/>
    <d v="2016-06-03T00:00:00"/>
    <x v="0"/>
    <x v="91"/>
    <x v="4"/>
    <n v="0"/>
    <x v="0"/>
    <n v="0"/>
    <n v="0"/>
    <n v="0"/>
    <x v="1"/>
    <x v="1"/>
    <n v="1"/>
  </r>
  <r>
    <n v="9556210000000"/>
    <x v="1"/>
    <x v="57"/>
    <x v="2"/>
    <s v="SANTA CLARA"/>
    <d v="2016-06-01T00:00:00"/>
    <d v="2016-06-01T00:00:00"/>
    <x v="1"/>
    <x v="94"/>
    <x v="5"/>
    <n v="0"/>
    <x v="1"/>
    <n v="0"/>
    <n v="0"/>
    <n v="1"/>
    <x v="1"/>
    <x v="0"/>
    <n v="0"/>
  </r>
  <r>
    <n v="36519800000000"/>
    <x v="0"/>
    <x v="52"/>
    <x v="2"/>
    <s v="REDENCAO"/>
    <d v="2016-06-01T00:00:00"/>
    <d v="2016-06-01T00:00:00"/>
    <x v="1"/>
    <x v="94"/>
    <x v="5"/>
    <n v="0"/>
    <x v="1"/>
    <n v="0"/>
    <n v="0"/>
    <n v="0"/>
    <x v="1"/>
    <x v="0"/>
    <n v="0"/>
  </r>
  <r>
    <n v="4488200000000"/>
    <x v="0"/>
    <x v="33"/>
    <x v="4"/>
    <s v="JARDIM CAMBURI"/>
    <d v="2016-06-01T00:00:00"/>
    <d v="2016-06-03T00:00:00"/>
    <x v="0"/>
    <x v="91"/>
    <x v="4"/>
    <n v="0"/>
    <x v="1"/>
    <n v="0"/>
    <n v="0"/>
    <n v="0"/>
    <x v="1"/>
    <x v="0"/>
    <n v="0"/>
  </r>
  <r>
    <n v="9687660000000"/>
    <x v="0"/>
    <x v="5"/>
    <x v="1"/>
    <s v="SAO JOSE"/>
    <d v="2016-06-01T00:00:00"/>
    <d v="2016-06-03T00:00:00"/>
    <x v="0"/>
    <x v="91"/>
    <x v="4"/>
    <n v="0"/>
    <x v="0"/>
    <n v="0"/>
    <n v="0"/>
    <n v="1"/>
    <x v="1"/>
    <x v="0"/>
    <n v="0"/>
  </r>
  <r>
    <n v="791777000000"/>
    <x v="0"/>
    <x v="46"/>
    <x v="2"/>
    <s v="DA PENHA"/>
    <d v="2016-06-01T00:00:00"/>
    <d v="2016-06-01T00:00:00"/>
    <x v="1"/>
    <x v="94"/>
    <x v="5"/>
    <n v="0"/>
    <x v="1"/>
    <n v="0"/>
    <n v="0"/>
    <n v="0"/>
    <x v="1"/>
    <x v="0"/>
    <n v="0"/>
  </r>
  <r>
    <n v="7628190000000"/>
    <x v="0"/>
    <x v="75"/>
    <x v="5"/>
    <s v="JESUS DE NAZARETH"/>
    <d v="2016-06-01T00:00:00"/>
    <d v="2016-06-01T00:00:00"/>
    <x v="1"/>
    <x v="94"/>
    <x v="5"/>
    <n v="0"/>
    <x v="1"/>
    <n v="0"/>
    <n v="0"/>
    <n v="0"/>
    <x v="1"/>
    <x v="0"/>
    <n v="0"/>
  </r>
  <r>
    <n v="852772000000"/>
    <x v="0"/>
    <x v="77"/>
    <x v="4"/>
    <s v="CRUZAMENTO"/>
    <d v="2016-06-01T00:00:00"/>
    <d v="2016-06-08T00:00:00"/>
    <x v="1"/>
    <x v="87"/>
    <x v="3"/>
    <n v="0"/>
    <x v="1"/>
    <n v="0"/>
    <n v="0"/>
    <n v="0"/>
    <x v="0"/>
    <x v="0"/>
    <n v="0"/>
  </r>
  <r>
    <n v="62577400000000"/>
    <x v="1"/>
    <x v="50"/>
    <x v="1"/>
    <s v="RESISTENCIA"/>
    <d v="2016-06-01T00:00:00"/>
    <d v="2016-06-06T00:00:00"/>
    <x v="2"/>
    <x v="92"/>
    <x v="3"/>
    <n v="0"/>
    <x v="1"/>
    <n v="0"/>
    <n v="0"/>
    <n v="0"/>
    <x v="1"/>
    <x v="0"/>
    <n v="0"/>
  </r>
  <r>
    <n v="544813000000000"/>
    <x v="0"/>
    <x v="41"/>
    <x v="4"/>
    <s v="SANTA MARTHA"/>
    <d v="2016-06-01T00:00:00"/>
    <d v="2016-06-01T00:00:00"/>
    <x v="1"/>
    <x v="94"/>
    <x v="5"/>
    <n v="0"/>
    <x v="1"/>
    <n v="0"/>
    <n v="0"/>
    <n v="0"/>
    <x v="1"/>
    <x v="0"/>
    <n v="0"/>
  </r>
  <r>
    <n v="77248900000000"/>
    <x v="0"/>
    <x v="41"/>
    <x v="4"/>
    <s v="SAO JOSE"/>
    <d v="2016-06-01T00:00:00"/>
    <d v="2016-06-01T00:00:00"/>
    <x v="1"/>
    <x v="94"/>
    <x v="5"/>
    <n v="0"/>
    <x v="0"/>
    <n v="0"/>
    <n v="0"/>
    <n v="0"/>
    <x v="1"/>
    <x v="0"/>
    <n v="0"/>
  </r>
  <r>
    <n v="651982000000"/>
    <x v="0"/>
    <x v="5"/>
    <x v="1"/>
    <s v="SANTA MARTHA"/>
    <d v="2016-06-01T00:00:00"/>
    <d v="2016-06-03T00:00:00"/>
    <x v="0"/>
    <x v="91"/>
    <x v="4"/>
    <n v="0"/>
    <x v="1"/>
    <n v="0"/>
    <n v="0"/>
    <n v="0"/>
    <x v="1"/>
    <x v="0"/>
    <n v="0"/>
  </r>
  <r>
    <n v="71747600000000"/>
    <x v="1"/>
    <x v="11"/>
    <x v="0"/>
    <s v="ITARARE"/>
    <d v="2016-06-01T00:00:00"/>
    <d v="2016-06-01T00:00:00"/>
    <x v="1"/>
    <x v="94"/>
    <x v="5"/>
    <n v="0"/>
    <x v="1"/>
    <n v="0"/>
    <n v="0"/>
    <n v="0"/>
    <x v="1"/>
    <x v="0"/>
    <n v="0"/>
  </r>
  <r>
    <n v="95853900000000"/>
    <x v="0"/>
    <x v="87"/>
    <x v="1"/>
    <s v="SANTA LUIZA"/>
    <d v="2016-06-01T00:00:00"/>
    <d v="2016-06-01T00:00:00"/>
    <x v="1"/>
    <x v="94"/>
    <x v="5"/>
    <n v="0"/>
    <x v="1"/>
    <n v="0"/>
    <n v="0"/>
    <n v="0"/>
    <x v="1"/>
    <x v="0"/>
    <n v="0"/>
  </r>
  <r>
    <n v="4353730000000"/>
    <x v="0"/>
    <x v="12"/>
    <x v="3"/>
    <s v="RESISTENCIA"/>
    <d v="2016-06-01T00:00:00"/>
    <d v="2016-06-07T00:00:00"/>
    <x v="4"/>
    <x v="90"/>
    <x v="3"/>
    <n v="0"/>
    <x v="1"/>
    <n v="0"/>
    <n v="0"/>
    <n v="0"/>
    <x v="0"/>
    <x v="0"/>
    <n v="0"/>
  </r>
  <r>
    <n v="5927350000000"/>
    <x v="1"/>
    <x v="79"/>
    <x v="5"/>
    <s v="SAO PEDRO"/>
    <d v="2016-06-01T00:00:00"/>
    <d v="2016-06-01T00:00:00"/>
    <x v="1"/>
    <x v="94"/>
    <x v="5"/>
    <n v="0"/>
    <x v="1"/>
    <n v="0"/>
    <n v="0"/>
    <n v="0"/>
    <x v="1"/>
    <x v="0"/>
    <n v="0"/>
  </r>
  <r>
    <n v="59323700000000"/>
    <x v="1"/>
    <x v="6"/>
    <x v="0"/>
    <s v="JARDIM CAMBURI"/>
    <d v="2016-06-01T00:00:00"/>
    <d v="2016-06-03T00:00:00"/>
    <x v="0"/>
    <x v="91"/>
    <x v="4"/>
    <n v="0"/>
    <x v="1"/>
    <n v="0"/>
    <n v="0"/>
    <n v="0"/>
    <x v="1"/>
    <x v="0"/>
    <n v="0"/>
  </r>
  <r>
    <n v="315837000000000"/>
    <x v="1"/>
    <x v="49"/>
    <x v="4"/>
    <s v="SAO PEDRO"/>
    <d v="2016-06-01T00:00:00"/>
    <d v="2016-06-01T00:00:00"/>
    <x v="1"/>
    <x v="94"/>
    <x v="5"/>
    <n v="0"/>
    <x v="1"/>
    <n v="0"/>
    <n v="0"/>
    <n v="0"/>
    <x v="1"/>
    <x v="0"/>
    <n v="0"/>
  </r>
  <r>
    <n v="4741180000000"/>
    <x v="1"/>
    <x v="7"/>
    <x v="3"/>
    <s v="NOVA PALESTINA"/>
    <d v="2016-06-01T00:00:00"/>
    <d v="2016-06-01T00:00:00"/>
    <x v="1"/>
    <x v="94"/>
    <x v="5"/>
    <n v="0"/>
    <x v="1"/>
    <n v="0"/>
    <n v="0"/>
    <n v="0"/>
    <x v="1"/>
    <x v="0"/>
    <n v="0"/>
  </r>
  <r>
    <n v="28532500000000"/>
    <x v="0"/>
    <x v="27"/>
    <x v="3"/>
    <s v="ROMAO"/>
    <d v="2016-06-01T00:00:00"/>
    <d v="2016-06-03T00:00:00"/>
    <x v="0"/>
    <x v="91"/>
    <x v="4"/>
    <n v="0"/>
    <x v="0"/>
    <n v="0"/>
    <n v="0"/>
    <n v="0"/>
    <x v="1"/>
    <x v="0"/>
    <n v="0"/>
  </r>
  <r>
    <n v="21469900000000"/>
    <x v="0"/>
    <x v="32"/>
    <x v="4"/>
    <s v="MARIA ORTIZ"/>
    <d v="2016-06-01T00:00:00"/>
    <d v="2016-06-01T00:00:00"/>
    <x v="1"/>
    <x v="94"/>
    <x v="5"/>
    <n v="0"/>
    <x v="1"/>
    <n v="0"/>
    <n v="0"/>
    <n v="0"/>
    <x v="1"/>
    <x v="0"/>
    <n v="0"/>
  </r>
  <r>
    <n v="16444300000000"/>
    <x v="0"/>
    <x v="72"/>
    <x v="5"/>
    <s v="SAO JOSE"/>
    <d v="2016-06-01T00:00:00"/>
    <d v="2016-06-01T00:00:00"/>
    <x v="1"/>
    <x v="94"/>
    <x v="5"/>
    <n v="0"/>
    <x v="1"/>
    <n v="0"/>
    <n v="0"/>
    <n v="0"/>
    <x v="1"/>
    <x v="0"/>
    <n v="0"/>
  </r>
  <r>
    <n v="863267000000000"/>
    <x v="0"/>
    <x v="62"/>
    <x v="3"/>
    <s v="SANTO ANDRE"/>
    <d v="2016-06-01T00:00:00"/>
    <d v="2016-06-03T00:00:00"/>
    <x v="0"/>
    <x v="91"/>
    <x v="4"/>
    <n v="0"/>
    <x v="1"/>
    <n v="0"/>
    <n v="0"/>
    <n v="0"/>
    <x v="1"/>
    <x v="0"/>
    <n v="0"/>
  </r>
  <r>
    <n v="61732100000000"/>
    <x v="0"/>
    <x v="72"/>
    <x v="5"/>
    <s v="SANTA HELENA"/>
    <d v="2016-06-01T00:00:00"/>
    <d v="2016-06-01T00:00:00"/>
    <x v="1"/>
    <x v="94"/>
    <x v="5"/>
    <n v="1"/>
    <x v="1"/>
    <n v="0"/>
    <n v="0"/>
    <n v="0"/>
    <x v="1"/>
    <x v="0"/>
    <n v="0"/>
  </r>
  <r>
    <n v="495557000000"/>
    <x v="0"/>
    <x v="18"/>
    <x v="0"/>
    <s v="JARDIM CAMBURI"/>
    <d v="2016-06-01T00:00:00"/>
    <d v="2016-06-03T00:00:00"/>
    <x v="0"/>
    <x v="91"/>
    <x v="4"/>
    <n v="0"/>
    <x v="1"/>
    <n v="0"/>
    <n v="0"/>
    <n v="0"/>
    <x v="1"/>
    <x v="0"/>
    <n v="0"/>
  </r>
  <r>
    <n v="5254190000000"/>
    <x v="1"/>
    <x v="55"/>
    <x v="2"/>
    <s v="TABUAZEIRO"/>
    <d v="2016-06-01T00:00:00"/>
    <d v="2016-06-03T00:00:00"/>
    <x v="0"/>
    <x v="91"/>
    <x v="4"/>
    <n v="0"/>
    <x v="1"/>
    <n v="0"/>
    <n v="0"/>
    <n v="0"/>
    <x v="1"/>
    <x v="0"/>
    <n v="0"/>
  </r>
  <r>
    <n v="585762000000000"/>
    <x v="0"/>
    <x v="42"/>
    <x v="3"/>
    <s v="PRAIA DO CANTO"/>
    <d v="2016-06-01T00:00:00"/>
    <d v="2016-06-03T00:00:00"/>
    <x v="0"/>
    <x v="91"/>
    <x v="4"/>
    <n v="0"/>
    <x v="0"/>
    <n v="0"/>
    <n v="0"/>
    <n v="0"/>
    <x v="1"/>
    <x v="1"/>
    <n v="1"/>
  </r>
  <r>
    <n v="4486580000000"/>
    <x v="0"/>
    <x v="65"/>
    <x v="2"/>
    <s v="MARIO CYPRESTE"/>
    <d v="2016-06-01T00:00:00"/>
    <d v="2016-06-03T00:00:00"/>
    <x v="0"/>
    <x v="91"/>
    <x v="4"/>
    <n v="0"/>
    <x v="1"/>
    <n v="0"/>
    <n v="0"/>
    <n v="0"/>
    <x v="1"/>
    <x v="0"/>
    <n v="0"/>
  </r>
  <r>
    <n v="677874000000000"/>
    <x v="0"/>
    <x v="48"/>
    <x v="3"/>
    <s v="SANTO ANTONIO"/>
    <d v="2016-06-01T00:00:00"/>
    <d v="2016-06-03T00:00:00"/>
    <x v="0"/>
    <x v="91"/>
    <x v="4"/>
    <n v="0"/>
    <x v="0"/>
    <n v="0"/>
    <n v="0"/>
    <n v="0"/>
    <x v="1"/>
    <x v="0"/>
    <n v="0"/>
  </r>
  <r>
    <n v="51775200000000"/>
    <x v="0"/>
    <x v="29"/>
    <x v="3"/>
    <s v="DA PENHA"/>
    <d v="2016-06-01T00:00:00"/>
    <d v="2016-06-03T00:00:00"/>
    <x v="0"/>
    <x v="91"/>
    <x v="4"/>
    <n v="0"/>
    <x v="0"/>
    <n v="0"/>
    <n v="0"/>
    <n v="0"/>
    <x v="1"/>
    <x v="0"/>
    <n v="0"/>
  </r>
  <r>
    <n v="678412000000000"/>
    <x v="0"/>
    <x v="26"/>
    <x v="0"/>
    <s v="SAO JOSE"/>
    <d v="2016-06-01T00:00:00"/>
    <d v="2016-06-03T00:00:00"/>
    <x v="0"/>
    <x v="91"/>
    <x v="4"/>
    <n v="0"/>
    <x v="0"/>
    <n v="1"/>
    <n v="0"/>
    <n v="0"/>
    <x v="1"/>
    <x v="0"/>
    <n v="0"/>
  </r>
  <r>
    <n v="85512124252"/>
    <x v="0"/>
    <x v="70"/>
    <x v="5"/>
    <s v="SAO CRISTOVAO"/>
    <d v="2016-06-01T00:00:00"/>
    <d v="2016-06-01T00:00:00"/>
    <x v="1"/>
    <x v="94"/>
    <x v="5"/>
    <n v="1"/>
    <x v="1"/>
    <n v="0"/>
    <n v="0"/>
    <n v="0"/>
    <x v="1"/>
    <x v="0"/>
    <n v="0"/>
  </r>
  <r>
    <n v="9756930000000"/>
    <x v="0"/>
    <x v="41"/>
    <x v="4"/>
    <s v="SANTA MARTHA"/>
    <d v="2016-06-01T00:00:00"/>
    <d v="2016-06-01T00:00:00"/>
    <x v="1"/>
    <x v="94"/>
    <x v="5"/>
    <n v="0"/>
    <x v="1"/>
    <n v="0"/>
    <n v="0"/>
    <n v="0"/>
    <x v="1"/>
    <x v="0"/>
    <n v="0"/>
  </r>
  <r>
    <n v="269619000000"/>
    <x v="0"/>
    <x v="65"/>
    <x v="2"/>
    <s v="SAO CRISTOVAO"/>
    <d v="2016-06-01T00:00:00"/>
    <d v="2016-06-01T00:00:00"/>
    <x v="1"/>
    <x v="94"/>
    <x v="5"/>
    <n v="0"/>
    <x v="1"/>
    <n v="0"/>
    <n v="0"/>
    <n v="0"/>
    <x v="1"/>
    <x v="0"/>
    <n v="0"/>
  </r>
  <r>
    <n v="878316000000000"/>
    <x v="0"/>
    <x v="56"/>
    <x v="1"/>
    <s v="ARIOVALDO FAVALESSA"/>
    <d v="2016-06-01T00:00:00"/>
    <d v="2016-06-01T00:00:00"/>
    <x v="1"/>
    <x v="94"/>
    <x v="5"/>
    <n v="1"/>
    <x v="1"/>
    <n v="1"/>
    <n v="0"/>
    <n v="0"/>
    <x v="1"/>
    <x v="0"/>
    <n v="0"/>
  </r>
  <r>
    <n v="727255000000000"/>
    <x v="0"/>
    <x v="60"/>
    <x v="2"/>
    <s v="PIEDADE"/>
    <d v="2016-06-01T00:00:00"/>
    <d v="2016-06-01T00:00:00"/>
    <x v="1"/>
    <x v="94"/>
    <x v="5"/>
    <n v="1"/>
    <x v="1"/>
    <n v="0"/>
    <n v="0"/>
    <n v="0"/>
    <x v="1"/>
    <x v="0"/>
    <n v="0"/>
  </r>
  <r>
    <n v="27595700000000"/>
    <x v="0"/>
    <x v="68"/>
    <x v="4"/>
    <s v="ILHA DAS CAIEIRAS"/>
    <d v="2016-06-01T00:00:00"/>
    <d v="2016-06-01T00:00:00"/>
    <x v="1"/>
    <x v="94"/>
    <x v="5"/>
    <n v="0"/>
    <x v="1"/>
    <n v="0"/>
    <n v="0"/>
    <n v="0"/>
    <x v="1"/>
    <x v="0"/>
    <n v="0"/>
  </r>
  <r>
    <n v="61387322596"/>
    <x v="0"/>
    <x v="84"/>
    <x v="1"/>
    <s v="CARATOIRA"/>
    <d v="2016-06-01T00:00:00"/>
    <d v="2016-06-01T00:00:00"/>
    <x v="1"/>
    <x v="94"/>
    <x v="5"/>
    <n v="0"/>
    <x v="0"/>
    <n v="0"/>
    <n v="0"/>
    <n v="0"/>
    <x v="1"/>
    <x v="0"/>
    <n v="0"/>
  </r>
  <r>
    <n v="23295300000000"/>
    <x v="0"/>
    <x v="27"/>
    <x v="3"/>
    <s v="INHANGUETA"/>
    <d v="2016-06-01T00:00:00"/>
    <d v="2016-06-02T00:00:00"/>
    <x v="3"/>
    <x v="93"/>
    <x v="4"/>
    <n v="0"/>
    <x v="0"/>
    <n v="0"/>
    <n v="0"/>
    <n v="0"/>
    <x v="1"/>
    <x v="0"/>
    <n v="0"/>
  </r>
  <r>
    <n v="1375870000000"/>
    <x v="1"/>
    <x v="27"/>
    <x v="3"/>
    <s v="ANDORINHAS"/>
    <d v="2016-06-01T00:00:00"/>
    <d v="2016-06-01T00:00:00"/>
    <x v="1"/>
    <x v="94"/>
    <x v="5"/>
    <n v="0"/>
    <x v="0"/>
    <n v="0"/>
    <n v="0"/>
    <n v="1"/>
    <x v="1"/>
    <x v="0"/>
    <n v="0"/>
  </r>
  <r>
    <n v="2594180000000"/>
    <x v="1"/>
    <x v="19"/>
    <x v="2"/>
    <s v="PIEDADE"/>
    <d v="2016-06-01T00:00:00"/>
    <d v="2016-06-01T00:00:00"/>
    <x v="1"/>
    <x v="94"/>
    <x v="5"/>
    <n v="0"/>
    <x v="1"/>
    <n v="0"/>
    <n v="0"/>
    <n v="0"/>
    <x v="1"/>
    <x v="0"/>
    <n v="0"/>
  </r>
  <r>
    <n v="9568630000000"/>
    <x v="1"/>
    <x v="46"/>
    <x v="2"/>
    <s v="REPUBLICA"/>
    <d v="2016-06-01T00:00:00"/>
    <d v="2016-06-01T00:00:00"/>
    <x v="1"/>
    <x v="94"/>
    <x v="5"/>
    <n v="0"/>
    <x v="1"/>
    <n v="0"/>
    <n v="0"/>
    <n v="0"/>
    <x v="1"/>
    <x v="0"/>
    <n v="0"/>
  </r>
  <r>
    <n v="28998200000000"/>
    <x v="0"/>
    <x v="88"/>
    <x v="0"/>
    <s v="ROMAO"/>
    <d v="2016-06-01T00:00:00"/>
    <d v="2016-06-01T00:00:00"/>
    <x v="1"/>
    <x v="94"/>
    <x v="5"/>
    <n v="0"/>
    <x v="0"/>
    <n v="1"/>
    <n v="0"/>
    <n v="0"/>
    <x v="1"/>
    <x v="0"/>
    <n v="0"/>
  </r>
  <r>
    <n v="387964000000000"/>
    <x v="0"/>
    <x v="20"/>
    <x v="0"/>
    <s v="RESISTENCIA"/>
    <d v="2016-06-01T00:00:00"/>
    <d v="2016-06-01T00:00:00"/>
    <x v="1"/>
    <x v="94"/>
    <x v="5"/>
    <n v="0"/>
    <x v="0"/>
    <n v="1"/>
    <n v="0"/>
    <n v="0"/>
    <x v="1"/>
    <x v="0"/>
    <n v="0"/>
  </r>
  <r>
    <n v="532393000000"/>
    <x v="1"/>
    <x v="4"/>
    <x v="2"/>
    <s v="SANTOS REIS"/>
    <d v="2016-06-01T00:00:00"/>
    <d v="2016-06-01T00:00:00"/>
    <x v="1"/>
    <x v="94"/>
    <x v="5"/>
    <n v="0"/>
    <x v="1"/>
    <n v="0"/>
    <n v="0"/>
    <n v="0"/>
    <x v="1"/>
    <x v="0"/>
    <n v="0"/>
  </r>
  <r>
    <n v="71196900000000"/>
    <x v="0"/>
    <x v="81"/>
    <x v="5"/>
    <s v="CENTRO"/>
    <d v="2016-06-01T00:00:00"/>
    <d v="2016-06-01T00:00:00"/>
    <x v="1"/>
    <x v="94"/>
    <x v="5"/>
    <n v="0"/>
    <x v="1"/>
    <n v="0"/>
    <n v="0"/>
    <n v="0"/>
    <x v="1"/>
    <x v="0"/>
    <n v="0"/>
  </r>
  <r>
    <n v="56416424429"/>
    <x v="0"/>
    <x v="26"/>
    <x v="0"/>
    <s v="ILHA DO PRINCIPE"/>
    <d v="2016-06-01T00:00:00"/>
    <d v="2016-06-08T00:00:00"/>
    <x v="1"/>
    <x v="87"/>
    <x v="3"/>
    <n v="0"/>
    <x v="1"/>
    <n v="0"/>
    <n v="0"/>
    <n v="0"/>
    <x v="0"/>
    <x v="0"/>
    <n v="0"/>
  </r>
  <r>
    <n v="155421000000000"/>
    <x v="0"/>
    <x v="70"/>
    <x v="5"/>
    <s v="TABUAZEIRO"/>
    <d v="2016-06-01T00:00:00"/>
    <d v="2016-06-01T00:00:00"/>
    <x v="1"/>
    <x v="94"/>
    <x v="5"/>
    <n v="0"/>
    <x v="1"/>
    <n v="0"/>
    <n v="0"/>
    <n v="0"/>
    <x v="1"/>
    <x v="0"/>
    <n v="0"/>
  </r>
  <r>
    <n v="912662000000"/>
    <x v="1"/>
    <x v="50"/>
    <x v="1"/>
    <s v="ILHA DE SANTA MARIA"/>
    <d v="2016-06-01T00:00:00"/>
    <d v="2016-06-01T00:00:00"/>
    <x v="1"/>
    <x v="94"/>
    <x v="5"/>
    <n v="0"/>
    <x v="1"/>
    <n v="0"/>
    <n v="0"/>
    <n v="0"/>
    <x v="1"/>
    <x v="0"/>
    <n v="0"/>
  </r>
  <r>
    <n v="7824580000000"/>
    <x v="1"/>
    <x v="41"/>
    <x v="4"/>
    <s v="DA PENHA"/>
    <d v="2016-06-01T00:00:00"/>
    <d v="2016-06-01T00:00:00"/>
    <x v="1"/>
    <x v="94"/>
    <x v="5"/>
    <n v="0"/>
    <x v="1"/>
    <n v="0"/>
    <n v="0"/>
    <n v="0"/>
    <x v="1"/>
    <x v="0"/>
    <n v="0"/>
  </r>
  <r>
    <n v="288199000000000"/>
    <x v="0"/>
    <x v="11"/>
    <x v="0"/>
    <s v="CONSOLACAO"/>
    <d v="2016-06-01T00:00:00"/>
    <d v="2016-06-03T00:00:00"/>
    <x v="0"/>
    <x v="91"/>
    <x v="4"/>
    <n v="0"/>
    <x v="0"/>
    <n v="1"/>
    <n v="0"/>
    <n v="0"/>
    <x v="1"/>
    <x v="0"/>
    <n v="0"/>
  </r>
  <r>
    <n v="927597000000"/>
    <x v="0"/>
    <x v="33"/>
    <x v="4"/>
    <s v="JARDIM DA PENHA"/>
    <d v="2016-06-01T00:00:00"/>
    <d v="2016-06-01T00:00:00"/>
    <x v="1"/>
    <x v="94"/>
    <x v="5"/>
    <n v="0"/>
    <x v="1"/>
    <n v="0"/>
    <n v="0"/>
    <n v="0"/>
    <x v="1"/>
    <x v="0"/>
    <n v="0"/>
  </r>
  <r>
    <n v="853440000000000"/>
    <x v="0"/>
    <x v="50"/>
    <x v="1"/>
    <s v="ILHA DE SANTA MARIA"/>
    <d v="2016-06-01T00:00:00"/>
    <d v="2016-06-01T00:00:00"/>
    <x v="1"/>
    <x v="94"/>
    <x v="5"/>
    <n v="0"/>
    <x v="1"/>
    <n v="0"/>
    <n v="0"/>
    <n v="0"/>
    <x v="1"/>
    <x v="0"/>
    <n v="0"/>
  </r>
  <r>
    <n v="258424000000"/>
    <x v="1"/>
    <x v="21"/>
    <x v="1"/>
    <s v="BONFIM"/>
    <d v="2016-06-01T00:00:00"/>
    <d v="2016-06-01T00:00:00"/>
    <x v="1"/>
    <x v="94"/>
    <x v="5"/>
    <n v="0"/>
    <x v="0"/>
    <n v="0"/>
    <n v="1"/>
    <n v="0"/>
    <x v="1"/>
    <x v="0"/>
    <n v="0"/>
  </r>
  <r>
    <n v="43465300000000"/>
    <x v="0"/>
    <x v="6"/>
    <x v="0"/>
    <s v="COMDUSA"/>
    <d v="2016-06-01T00:00:00"/>
    <d v="2016-06-02T00:00:00"/>
    <x v="3"/>
    <x v="93"/>
    <x v="4"/>
    <n v="0"/>
    <x v="0"/>
    <n v="0"/>
    <n v="0"/>
    <n v="0"/>
    <x v="1"/>
    <x v="0"/>
    <n v="0"/>
  </r>
  <r>
    <n v="31849200000000"/>
    <x v="0"/>
    <x v="53"/>
    <x v="0"/>
    <s v="ITARARE"/>
    <d v="2016-06-01T00:00:00"/>
    <d v="2016-06-01T00:00:00"/>
    <x v="1"/>
    <x v="94"/>
    <x v="5"/>
    <n v="0"/>
    <x v="0"/>
    <n v="0"/>
    <n v="0"/>
    <n v="1"/>
    <x v="1"/>
    <x v="0"/>
    <n v="0"/>
  </r>
  <r>
    <n v="2847260000000"/>
    <x v="0"/>
    <x v="80"/>
    <x v="2"/>
    <s v="SANTA MARTHA"/>
    <d v="2016-06-01T00:00:00"/>
    <d v="2016-06-01T00:00:00"/>
    <x v="1"/>
    <x v="94"/>
    <x v="5"/>
    <n v="1"/>
    <x v="1"/>
    <n v="0"/>
    <n v="0"/>
    <n v="0"/>
    <x v="1"/>
    <x v="0"/>
    <n v="0"/>
  </r>
  <r>
    <n v="714731000000"/>
    <x v="0"/>
    <x v="12"/>
    <x v="3"/>
    <s v="NOVA PALESTINA"/>
    <d v="2016-06-01T00:00:00"/>
    <d v="2016-06-02T00:00:00"/>
    <x v="3"/>
    <x v="93"/>
    <x v="4"/>
    <n v="0"/>
    <x v="0"/>
    <n v="1"/>
    <n v="0"/>
    <n v="0"/>
    <x v="1"/>
    <x v="0"/>
    <n v="0"/>
  </r>
  <r>
    <n v="52292300000000"/>
    <x v="1"/>
    <x v="52"/>
    <x v="2"/>
    <s v="MARIA ORTIZ"/>
    <d v="2016-06-01T00:00:00"/>
    <d v="2016-06-01T00:00:00"/>
    <x v="1"/>
    <x v="94"/>
    <x v="5"/>
    <n v="0"/>
    <x v="1"/>
    <n v="0"/>
    <n v="0"/>
    <n v="0"/>
    <x v="1"/>
    <x v="0"/>
    <n v="0"/>
  </r>
  <r>
    <n v="456582000000"/>
    <x v="0"/>
    <x v="36"/>
    <x v="3"/>
    <s v="ITARARE"/>
    <d v="2016-06-01T00:00:00"/>
    <d v="2016-06-01T00:00:00"/>
    <x v="1"/>
    <x v="94"/>
    <x v="5"/>
    <n v="0"/>
    <x v="1"/>
    <n v="0"/>
    <n v="0"/>
    <n v="0"/>
    <x v="1"/>
    <x v="0"/>
    <n v="0"/>
  </r>
  <r>
    <n v="4932330000000"/>
    <x v="0"/>
    <x v="60"/>
    <x v="2"/>
    <s v="TABUAZEIRO"/>
    <d v="2016-06-01T00:00:00"/>
    <d v="2016-06-03T00:00:00"/>
    <x v="0"/>
    <x v="91"/>
    <x v="4"/>
    <n v="0"/>
    <x v="1"/>
    <n v="0"/>
    <n v="0"/>
    <n v="0"/>
    <x v="1"/>
    <x v="1"/>
    <n v="1"/>
  </r>
  <r>
    <n v="677472000000000"/>
    <x v="1"/>
    <x v="11"/>
    <x v="0"/>
    <s v="BONFIM"/>
    <d v="2016-06-01T00:00:00"/>
    <d v="2016-06-01T00:00:00"/>
    <x v="1"/>
    <x v="94"/>
    <x v="5"/>
    <n v="0"/>
    <x v="0"/>
    <n v="1"/>
    <n v="0"/>
    <n v="1"/>
    <x v="1"/>
    <x v="0"/>
    <n v="0"/>
  </r>
  <r>
    <n v="39811600000000"/>
    <x v="0"/>
    <x v="64"/>
    <x v="3"/>
    <s v="RESISTENCIA"/>
    <d v="2016-06-01T00:00:00"/>
    <d v="2016-06-07T00:00:00"/>
    <x v="4"/>
    <x v="90"/>
    <x v="3"/>
    <n v="0"/>
    <x v="0"/>
    <n v="0"/>
    <n v="0"/>
    <n v="0"/>
    <x v="0"/>
    <x v="0"/>
    <n v="0"/>
  </r>
  <r>
    <n v="31633000000000"/>
    <x v="0"/>
    <x v="19"/>
    <x v="2"/>
    <s v="ILHA DO PRINCIPE"/>
    <d v="2016-06-01T00:00:00"/>
    <d v="2016-06-07T00:00:00"/>
    <x v="4"/>
    <x v="90"/>
    <x v="3"/>
    <n v="0"/>
    <x v="1"/>
    <n v="0"/>
    <n v="0"/>
    <n v="0"/>
    <x v="1"/>
    <x v="0"/>
    <n v="0"/>
  </r>
  <r>
    <n v="26459200000000"/>
    <x v="0"/>
    <x v="48"/>
    <x v="3"/>
    <s v="MARUIPE"/>
    <d v="2016-06-01T00:00:00"/>
    <d v="2016-06-01T00:00:00"/>
    <x v="1"/>
    <x v="94"/>
    <x v="5"/>
    <n v="0"/>
    <x v="0"/>
    <n v="0"/>
    <n v="0"/>
    <n v="0"/>
    <x v="1"/>
    <x v="0"/>
    <n v="0"/>
  </r>
  <r>
    <n v="88344500000000"/>
    <x v="0"/>
    <x v="11"/>
    <x v="0"/>
    <s v="BENTO FERREIRA"/>
    <d v="2016-06-01T00:00:00"/>
    <d v="2016-06-06T00:00:00"/>
    <x v="2"/>
    <x v="92"/>
    <x v="3"/>
    <n v="0"/>
    <x v="0"/>
    <n v="1"/>
    <n v="0"/>
    <n v="0"/>
    <x v="0"/>
    <x v="0"/>
    <n v="0"/>
  </r>
  <r>
    <n v="6119230000000"/>
    <x v="1"/>
    <x v="88"/>
    <x v="0"/>
    <s v="JARDIM DA PENHA"/>
    <d v="2016-06-01T00:00:00"/>
    <d v="2016-06-01T00:00:00"/>
    <x v="1"/>
    <x v="94"/>
    <x v="5"/>
    <n v="0"/>
    <x v="1"/>
    <n v="0"/>
    <n v="0"/>
    <n v="0"/>
    <x v="1"/>
    <x v="0"/>
    <n v="0"/>
  </r>
  <r>
    <n v="6349671815"/>
    <x v="1"/>
    <x v="52"/>
    <x v="2"/>
    <s v="TABUAZEIRO"/>
    <d v="2016-06-01T00:00:00"/>
    <d v="2016-06-02T00:00:00"/>
    <x v="3"/>
    <x v="93"/>
    <x v="4"/>
    <n v="0"/>
    <x v="1"/>
    <n v="0"/>
    <n v="0"/>
    <n v="0"/>
    <x v="1"/>
    <x v="1"/>
    <n v="1"/>
  </r>
  <r>
    <n v="2571230000000"/>
    <x v="1"/>
    <x v="48"/>
    <x v="3"/>
    <s v="ITARARE"/>
    <d v="2016-06-01T00:00:00"/>
    <d v="2016-06-01T00:00:00"/>
    <x v="1"/>
    <x v="94"/>
    <x v="5"/>
    <n v="0"/>
    <x v="0"/>
    <n v="1"/>
    <n v="0"/>
    <n v="0"/>
    <x v="1"/>
    <x v="0"/>
    <n v="0"/>
  </r>
  <r>
    <n v="1238980000000"/>
    <x v="0"/>
    <x v="90"/>
    <x v="0"/>
    <s v="ITARARE"/>
    <d v="2016-06-01T00:00:00"/>
    <d v="2016-06-01T00:00:00"/>
    <x v="1"/>
    <x v="94"/>
    <x v="5"/>
    <n v="0"/>
    <x v="0"/>
    <n v="0"/>
    <n v="0"/>
    <n v="0"/>
    <x v="1"/>
    <x v="0"/>
    <n v="0"/>
  </r>
  <r>
    <n v="31478375542"/>
    <x v="0"/>
    <x v="27"/>
    <x v="3"/>
    <s v="JABOUR"/>
    <d v="2016-06-01T00:00:00"/>
    <d v="2016-06-01T00:00:00"/>
    <x v="1"/>
    <x v="94"/>
    <x v="5"/>
    <n v="0"/>
    <x v="1"/>
    <n v="0"/>
    <n v="0"/>
    <n v="0"/>
    <x v="1"/>
    <x v="0"/>
    <n v="0"/>
  </r>
  <r>
    <n v="2488840000000"/>
    <x v="0"/>
    <x v="84"/>
    <x v="1"/>
    <s v="JARDIM CAMBURI"/>
    <d v="2016-06-01T00:00:00"/>
    <d v="2016-06-01T00:00:00"/>
    <x v="1"/>
    <x v="94"/>
    <x v="5"/>
    <n v="0"/>
    <x v="1"/>
    <n v="0"/>
    <n v="0"/>
    <n v="0"/>
    <x v="1"/>
    <x v="0"/>
    <n v="0"/>
  </r>
  <r>
    <n v="252548000000000"/>
    <x v="0"/>
    <x v="2"/>
    <x v="1"/>
    <s v="JOANA D ARC"/>
    <d v="2016-06-01T00:00:00"/>
    <d v="2016-06-01T00:00:00"/>
    <x v="1"/>
    <x v="94"/>
    <x v="5"/>
    <n v="0"/>
    <x v="1"/>
    <n v="0"/>
    <n v="0"/>
    <n v="0"/>
    <x v="1"/>
    <x v="0"/>
    <n v="0"/>
  </r>
  <r>
    <n v="77575000000000"/>
    <x v="1"/>
    <x v="39"/>
    <x v="4"/>
    <s v="SANTA CLARA"/>
    <d v="2016-06-01T00:00:00"/>
    <d v="2016-06-01T00:00:00"/>
    <x v="1"/>
    <x v="94"/>
    <x v="5"/>
    <n v="0"/>
    <x v="1"/>
    <n v="0"/>
    <n v="0"/>
    <n v="0"/>
    <x v="1"/>
    <x v="0"/>
    <n v="0"/>
  </r>
  <r>
    <n v="94959900000000"/>
    <x v="0"/>
    <x v="14"/>
    <x v="3"/>
    <s v="CONSOLACAO"/>
    <d v="2016-06-01T00:00:00"/>
    <d v="2016-06-03T00:00:00"/>
    <x v="0"/>
    <x v="91"/>
    <x v="4"/>
    <n v="0"/>
    <x v="0"/>
    <n v="1"/>
    <n v="0"/>
    <n v="1"/>
    <x v="1"/>
    <x v="0"/>
    <n v="0"/>
  </r>
  <r>
    <n v="34778400000000"/>
    <x v="0"/>
    <x v="49"/>
    <x v="4"/>
    <s v="CARATOIRA"/>
    <d v="2016-06-01T00:00:00"/>
    <d v="2016-06-03T00:00:00"/>
    <x v="0"/>
    <x v="91"/>
    <x v="4"/>
    <n v="0"/>
    <x v="1"/>
    <n v="0"/>
    <n v="0"/>
    <n v="0"/>
    <x v="1"/>
    <x v="0"/>
    <n v="0"/>
  </r>
  <r>
    <n v="631622000000000"/>
    <x v="1"/>
    <x v="79"/>
    <x v="5"/>
    <s v="ILHA DE SANTA MARIA"/>
    <d v="2016-06-01T00:00:00"/>
    <d v="2016-06-03T00:00:00"/>
    <x v="0"/>
    <x v="91"/>
    <x v="4"/>
    <n v="0"/>
    <x v="1"/>
    <n v="0"/>
    <n v="0"/>
    <n v="0"/>
    <x v="1"/>
    <x v="0"/>
    <n v="0"/>
  </r>
  <r>
    <n v="826388000000000"/>
    <x v="1"/>
    <x v="5"/>
    <x v="1"/>
    <s v="DA PENHA"/>
    <d v="2016-06-01T00:00:00"/>
    <d v="2016-06-01T00:00:00"/>
    <x v="1"/>
    <x v="94"/>
    <x v="5"/>
    <n v="0"/>
    <x v="1"/>
    <n v="0"/>
    <n v="1"/>
    <n v="0"/>
    <x v="1"/>
    <x v="0"/>
    <n v="0"/>
  </r>
  <r>
    <n v="7978940000000"/>
    <x v="0"/>
    <x v="61"/>
    <x v="1"/>
    <s v="ITARARE"/>
    <d v="2016-06-01T00:00:00"/>
    <d v="2016-06-01T00:00:00"/>
    <x v="1"/>
    <x v="94"/>
    <x v="5"/>
    <n v="0"/>
    <x v="1"/>
    <n v="0"/>
    <n v="0"/>
    <n v="0"/>
    <x v="1"/>
    <x v="0"/>
    <n v="0"/>
  </r>
  <r>
    <n v="54799400000000"/>
    <x v="1"/>
    <x v="80"/>
    <x v="2"/>
    <s v="SANTA MARTHA"/>
    <d v="2016-06-01T00:00:00"/>
    <d v="2016-06-01T00:00:00"/>
    <x v="1"/>
    <x v="94"/>
    <x v="5"/>
    <n v="0"/>
    <x v="1"/>
    <n v="0"/>
    <n v="0"/>
    <n v="0"/>
    <x v="1"/>
    <x v="0"/>
    <n v="0"/>
  </r>
  <r>
    <n v="27452000000000"/>
    <x v="1"/>
    <x v="18"/>
    <x v="0"/>
    <s v="CENTRO"/>
    <d v="2016-06-01T00:00:00"/>
    <d v="2016-06-01T00:00:00"/>
    <x v="1"/>
    <x v="94"/>
    <x v="5"/>
    <n v="0"/>
    <x v="1"/>
    <n v="0"/>
    <n v="0"/>
    <n v="0"/>
    <x v="1"/>
    <x v="0"/>
    <n v="0"/>
  </r>
  <r>
    <n v="9733470000000"/>
    <x v="0"/>
    <x v="41"/>
    <x v="4"/>
    <s v="ITARARE"/>
    <d v="2016-06-01T00:00:00"/>
    <d v="2016-06-02T00:00:00"/>
    <x v="3"/>
    <x v="93"/>
    <x v="4"/>
    <n v="0"/>
    <x v="1"/>
    <n v="0"/>
    <n v="0"/>
    <n v="0"/>
    <x v="1"/>
    <x v="0"/>
    <n v="0"/>
  </r>
  <r>
    <n v="226285000000000"/>
    <x v="1"/>
    <x v="20"/>
    <x v="0"/>
    <s v="JUCUTUQUARA"/>
    <d v="2016-06-01T00:00:00"/>
    <d v="2016-06-06T00:00:00"/>
    <x v="2"/>
    <x v="92"/>
    <x v="3"/>
    <n v="0"/>
    <x v="1"/>
    <n v="0"/>
    <n v="0"/>
    <n v="0"/>
    <x v="0"/>
    <x v="0"/>
    <n v="0"/>
  </r>
  <r>
    <n v="7629960000000"/>
    <x v="1"/>
    <x v="44"/>
    <x v="4"/>
    <s v="RESISTENCIA"/>
    <d v="2016-06-01T00:00:00"/>
    <d v="2016-06-01T00:00:00"/>
    <x v="1"/>
    <x v="94"/>
    <x v="5"/>
    <n v="0"/>
    <x v="1"/>
    <n v="0"/>
    <n v="0"/>
    <n v="0"/>
    <x v="1"/>
    <x v="0"/>
    <n v="0"/>
  </r>
  <r>
    <n v="297859000000000"/>
    <x v="0"/>
    <x v="62"/>
    <x v="3"/>
    <s v="BONFIM"/>
    <d v="2016-06-01T00:00:00"/>
    <d v="2016-06-06T00:00:00"/>
    <x v="2"/>
    <x v="92"/>
    <x v="3"/>
    <n v="0"/>
    <x v="1"/>
    <n v="0"/>
    <n v="0"/>
    <n v="0"/>
    <x v="0"/>
    <x v="0"/>
    <n v="0"/>
  </r>
  <r>
    <n v="61174200000000"/>
    <x v="0"/>
    <x v="67"/>
    <x v="4"/>
    <s v="ILHA DO PRINCIPE"/>
    <d v="2016-06-01T00:00:00"/>
    <d v="2016-06-07T00:00:00"/>
    <x v="4"/>
    <x v="90"/>
    <x v="3"/>
    <n v="0"/>
    <x v="1"/>
    <n v="0"/>
    <n v="0"/>
    <n v="0"/>
    <x v="0"/>
    <x v="0"/>
    <n v="0"/>
  </r>
  <r>
    <n v="64948100000000"/>
    <x v="0"/>
    <x v="33"/>
    <x v="4"/>
    <s v="MATA DA PRAIA"/>
    <d v="2016-06-01T00:00:00"/>
    <d v="2016-06-01T00:00:00"/>
    <x v="1"/>
    <x v="94"/>
    <x v="5"/>
    <n v="0"/>
    <x v="1"/>
    <n v="0"/>
    <n v="0"/>
    <n v="0"/>
    <x v="1"/>
    <x v="0"/>
    <n v="0"/>
  </r>
  <r>
    <n v="68937600000000"/>
    <x v="1"/>
    <x v="38"/>
    <x v="4"/>
    <s v="VILA RUBIM"/>
    <d v="2016-06-01T00:00:00"/>
    <d v="2016-06-02T00:00:00"/>
    <x v="3"/>
    <x v="93"/>
    <x v="4"/>
    <n v="0"/>
    <x v="1"/>
    <n v="0"/>
    <n v="0"/>
    <n v="0"/>
    <x v="1"/>
    <x v="1"/>
    <n v="1"/>
  </r>
  <r>
    <n v="85686000000000"/>
    <x v="1"/>
    <x v="74"/>
    <x v="1"/>
    <s v="MARIA ORTIZ"/>
    <d v="2016-06-01T00:00:00"/>
    <d v="2016-06-02T00:00:00"/>
    <x v="3"/>
    <x v="93"/>
    <x v="4"/>
    <n v="0"/>
    <x v="1"/>
    <n v="0"/>
    <n v="0"/>
    <n v="0"/>
    <x v="1"/>
    <x v="0"/>
    <n v="0"/>
  </r>
  <r>
    <n v="445237000000"/>
    <x v="1"/>
    <x v="40"/>
    <x v="1"/>
    <s v="JUCUTUQUARA"/>
    <d v="2016-06-01T00:00:00"/>
    <d v="2016-06-08T00:00:00"/>
    <x v="1"/>
    <x v="87"/>
    <x v="3"/>
    <n v="0"/>
    <x v="1"/>
    <n v="0"/>
    <n v="0"/>
    <n v="0"/>
    <x v="0"/>
    <x v="1"/>
    <n v="1"/>
  </r>
  <r>
    <n v="1198160000000"/>
    <x v="1"/>
    <x v="19"/>
    <x v="2"/>
    <s v="NOVA PALESTINA"/>
    <d v="2016-06-01T00:00:00"/>
    <d v="2016-06-01T00:00:00"/>
    <x v="1"/>
    <x v="94"/>
    <x v="5"/>
    <n v="1"/>
    <x v="1"/>
    <n v="0"/>
    <n v="0"/>
    <n v="0"/>
    <x v="1"/>
    <x v="0"/>
    <n v="0"/>
  </r>
  <r>
    <n v="94411900000000"/>
    <x v="0"/>
    <x v="91"/>
    <x v="0"/>
    <s v="CONQUISTA"/>
    <d v="2016-06-01T00:00:00"/>
    <d v="2016-06-08T00:00:00"/>
    <x v="1"/>
    <x v="87"/>
    <x v="3"/>
    <n v="0"/>
    <x v="0"/>
    <n v="0"/>
    <n v="0"/>
    <n v="0"/>
    <x v="0"/>
    <x v="0"/>
    <n v="0"/>
  </r>
  <r>
    <n v="37141300000000"/>
    <x v="0"/>
    <x v="62"/>
    <x v="3"/>
    <s v="JOANA D ARC"/>
    <d v="2016-06-01T00:00:00"/>
    <d v="2016-06-08T00:00:00"/>
    <x v="1"/>
    <x v="87"/>
    <x v="3"/>
    <n v="0"/>
    <x v="1"/>
    <n v="0"/>
    <n v="0"/>
    <n v="0"/>
    <x v="0"/>
    <x v="0"/>
    <n v="0"/>
  </r>
  <r>
    <n v="52257800000000"/>
    <x v="0"/>
    <x v="25"/>
    <x v="4"/>
    <s v="JOANA D ARC"/>
    <d v="2016-06-01T00:00:00"/>
    <d v="2016-06-08T00:00:00"/>
    <x v="1"/>
    <x v="87"/>
    <x v="3"/>
    <n v="0"/>
    <x v="1"/>
    <n v="0"/>
    <n v="0"/>
    <n v="0"/>
    <x v="0"/>
    <x v="0"/>
    <n v="0"/>
  </r>
  <r>
    <n v="4454580000000"/>
    <x v="1"/>
    <x v="43"/>
    <x v="2"/>
    <s v="SANTO ANDRE"/>
    <d v="2016-06-01T00:00:00"/>
    <d v="2016-06-02T00:00:00"/>
    <x v="3"/>
    <x v="93"/>
    <x v="4"/>
    <n v="0"/>
    <x v="1"/>
    <n v="0"/>
    <n v="0"/>
    <n v="0"/>
    <x v="1"/>
    <x v="0"/>
    <n v="0"/>
  </r>
  <r>
    <n v="169952000000000"/>
    <x v="0"/>
    <x v="79"/>
    <x v="5"/>
    <s v="TABUAZEIRO"/>
    <d v="2016-06-01T00:00:00"/>
    <d v="2016-06-06T00:00:00"/>
    <x v="2"/>
    <x v="92"/>
    <x v="3"/>
    <n v="1"/>
    <x v="1"/>
    <n v="0"/>
    <n v="0"/>
    <n v="0"/>
    <x v="0"/>
    <x v="0"/>
    <n v="0"/>
  </r>
  <r>
    <n v="82145700000000"/>
    <x v="1"/>
    <x v="15"/>
    <x v="3"/>
    <s v="SAO PEDRO"/>
    <d v="2016-06-01T00:00:00"/>
    <d v="2016-06-06T00:00:00"/>
    <x v="2"/>
    <x v="92"/>
    <x v="3"/>
    <n v="1"/>
    <x v="0"/>
    <n v="0"/>
    <n v="0"/>
    <n v="0"/>
    <x v="1"/>
    <x v="0"/>
    <n v="0"/>
  </r>
  <r>
    <n v="51888900000000"/>
    <x v="0"/>
    <x v="44"/>
    <x v="4"/>
    <s v="MARIA ORTIZ"/>
    <d v="2016-06-01T00:00:00"/>
    <d v="2016-06-01T00:00:00"/>
    <x v="1"/>
    <x v="94"/>
    <x v="5"/>
    <n v="0"/>
    <x v="1"/>
    <n v="0"/>
    <n v="0"/>
    <n v="0"/>
    <x v="1"/>
    <x v="0"/>
    <n v="0"/>
  </r>
  <r>
    <n v="59174300000000"/>
    <x v="1"/>
    <x v="57"/>
    <x v="2"/>
    <s v="RESISTENCIA"/>
    <d v="2016-06-01T00:00:00"/>
    <d v="2016-06-03T00:00:00"/>
    <x v="0"/>
    <x v="91"/>
    <x v="4"/>
    <n v="0"/>
    <x v="1"/>
    <n v="0"/>
    <n v="0"/>
    <n v="0"/>
    <x v="1"/>
    <x v="0"/>
    <n v="0"/>
  </r>
  <r>
    <n v="83552800000000"/>
    <x v="0"/>
    <x v="80"/>
    <x v="2"/>
    <s v="SANTO ANDRE"/>
    <d v="2016-06-01T00:00:00"/>
    <d v="2016-06-01T00:00:00"/>
    <x v="1"/>
    <x v="94"/>
    <x v="5"/>
    <n v="0"/>
    <x v="1"/>
    <n v="0"/>
    <n v="0"/>
    <n v="0"/>
    <x v="1"/>
    <x v="0"/>
    <n v="0"/>
  </r>
  <r>
    <n v="78398900000000"/>
    <x v="1"/>
    <x v="51"/>
    <x v="2"/>
    <s v="ITARARE"/>
    <d v="2016-06-01T00:00:00"/>
    <d v="2016-06-01T00:00:00"/>
    <x v="1"/>
    <x v="94"/>
    <x v="5"/>
    <n v="0"/>
    <x v="1"/>
    <n v="0"/>
    <n v="0"/>
    <n v="0"/>
    <x v="1"/>
    <x v="1"/>
    <n v="1"/>
  </r>
  <r>
    <n v="2529760000000"/>
    <x v="0"/>
    <x v="4"/>
    <x v="2"/>
    <s v="JESUS DE NAZARETH"/>
    <d v="2016-06-01T00:00:00"/>
    <d v="2016-06-01T00:00:00"/>
    <x v="1"/>
    <x v="94"/>
    <x v="5"/>
    <n v="0"/>
    <x v="1"/>
    <n v="0"/>
    <n v="0"/>
    <n v="0"/>
    <x v="1"/>
    <x v="0"/>
    <n v="0"/>
  </r>
  <r>
    <n v="751782000000000"/>
    <x v="0"/>
    <x v="59"/>
    <x v="2"/>
    <s v="ROMAO"/>
    <d v="2016-06-01T00:00:00"/>
    <d v="2016-06-01T00:00:00"/>
    <x v="1"/>
    <x v="94"/>
    <x v="5"/>
    <n v="0"/>
    <x v="1"/>
    <n v="0"/>
    <n v="0"/>
    <n v="0"/>
    <x v="1"/>
    <x v="0"/>
    <n v="0"/>
  </r>
  <r>
    <n v="228432000000"/>
    <x v="1"/>
    <x v="46"/>
    <x v="2"/>
    <s v="ITARARE"/>
    <d v="2016-06-01T00:00:00"/>
    <d v="2016-06-01T00:00:00"/>
    <x v="1"/>
    <x v="94"/>
    <x v="5"/>
    <n v="0"/>
    <x v="1"/>
    <n v="0"/>
    <n v="0"/>
    <n v="0"/>
    <x v="1"/>
    <x v="0"/>
    <n v="0"/>
  </r>
  <r>
    <n v="63717700000000"/>
    <x v="1"/>
    <x v="43"/>
    <x v="2"/>
    <s v="JARDIM CAMBURI"/>
    <d v="2016-06-01T00:00:00"/>
    <d v="2016-06-06T00:00:00"/>
    <x v="2"/>
    <x v="92"/>
    <x v="3"/>
    <n v="0"/>
    <x v="1"/>
    <n v="0"/>
    <n v="0"/>
    <n v="0"/>
    <x v="0"/>
    <x v="0"/>
    <n v="0"/>
  </r>
  <r>
    <n v="5999440000000"/>
    <x v="0"/>
    <x v="64"/>
    <x v="3"/>
    <s v="SANTA HELENA"/>
    <d v="2016-06-01T00:00:00"/>
    <d v="2016-06-01T00:00:00"/>
    <x v="1"/>
    <x v="94"/>
    <x v="5"/>
    <n v="0"/>
    <x v="1"/>
    <n v="0"/>
    <n v="0"/>
    <n v="0"/>
    <x v="1"/>
    <x v="0"/>
    <n v="0"/>
  </r>
  <r>
    <n v="59294300000000"/>
    <x v="1"/>
    <x v="73"/>
    <x v="4"/>
    <s v="RESISTENCIA"/>
    <d v="2016-06-01T00:00:00"/>
    <d v="2016-06-07T00:00:00"/>
    <x v="4"/>
    <x v="90"/>
    <x v="3"/>
    <n v="0"/>
    <x v="1"/>
    <n v="0"/>
    <n v="0"/>
    <n v="0"/>
    <x v="0"/>
    <x v="0"/>
    <n v="0"/>
  </r>
  <r>
    <n v="59251300000000"/>
    <x v="0"/>
    <x v="25"/>
    <x v="4"/>
    <s v="BONFIM"/>
    <d v="2016-06-01T00:00:00"/>
    <d v="2016-06-06T00:00:00"/>
    <x v="2"/>
    <x v="92"/>
    <x v="3"/>
    <n v="1"/>
    <x v="0"/>
    <n v="0"/>
    <n v="0"/>
    <n v="0"/>
    <x v="0"/>
    <x v="0"/>
    <n v="0"/>
  </r>
  <r>
    <n v="75516200000000"/>
    <x v="1"/>
    <x v="52"/>
    <x v="2"/>
    <s v="JARDIM CAMBURI"/>
    <d v="2016-06-01T00:00:00"/>
    <d v="2016-06-01T00:00:00"/>
    <x v="1"/>
    <x v="94"/>
    <x v="5"/>
    <n v="0"/>
    <x v="1"/>
    <n v="0"/>
    <n v="0"/>
    <n v="0"/>
    <x v="1"/>
    <x v="0"/>
    <n v="0"/>
  </r>
  <r>
    <n v="8434620000000"/>
    <x v="0"/>
    <x v="66"/>
    <x v="2"/>
    <s v="CENTRO"/>
    <d v="2016-06-01T00:00:00"/>
    <d v="2016-06-01T00:00:00"/>
    <x v="1"/>
    <x v="94"/>
    <x v="5"/>
    <n v="0"/>
    <x v="1"/>
    <n v="0"/>
    <n v="0"/>
    <n v="0"/>
    <x v="1"/>
    <x v="0"/>
    <n v="0"/>
  </r>
  <r>
    <n v="197567000000"/>
    <x v="0"/>
    <x v="25"/>
    <x v="4"/>
    <s v="ANDORINHAS"/>
    <d v="2016-06-01T00:00:00"/>
    <d v="2016-06-01T00:00:00"/>
    <x v="1"/>
    <x v="94"/>
    <x v="5"/>
    <n v="1"/>
    <x v="1"/>
    <n v="0"/>
    <n v="0"/>
    <n v="0"/>
    <x v="1"/>
    <x v="0"/>
    <n v="0"/>
  </r>
  <r>
    <n v="925816000000000"/>
    <x v="1"/>
    <x v="51"/>
    <x v="2"/>
    <s v="RESISTENCIA"/>
    <d v="2016-06-01T00:00:00"/>
    <d v="2016-06-01T00:00:00"/>
    <x v="1"/>
    <x v="94"/>
    <x v="5"/>
    <n v="0"/>
    <x v="1"/>
    <n v="0"/>
    <n v="0"/>
    <n v="0"/>
    <x v="1"/>
    <x v="0"/>
    <n v="0"/>
  </r>
  <r>
    <n v="489418000000"/>
    <x v="1"/>
    <x v="21"/>
    <x v="1"/>
    <s v="SANTO ANTONIO"/>
    <d v="2016-06-01T00:00:00"/>
    <d v="2016-06-03T00:00:00"/>
    <x v="0"/>
    <x v="91"/>
    <x v="4"/>
    <n v="1"/>
    <x v="1"/>
    <n v="1"/>
    <n v="0"/>
    <n v="0"/>
    <x v="1"/>
    <x v="0"/>
    <n v="0"/>
  </r>
  <r>
    <n v="8191190000000"/>
    <x v="0"/>
    <x v="32"/>
    <x v="4"/>
    <s v="SANTA TEREZA"/>
    <d v="2016-06-01T00:00:00"/>
    <d v="2016-06-01T00:00:00"/>
    <x v="1"/>
    <x v="94"/>
    <x v="5"/>
    <n v="1"/>
    <x v="1"/>
    <n v="0"/>
    <n v="0"/>
    <n v="0"/>
    <x v="1"/>
    <x v="0"/>
    <n v="0"/>
  </r>
  <r>
    <n v="155170000000000"/>
    <x v="0"/>
    <x v="52"/>
    <x v="2"/>
    <s v="SAO JOSE"/>
    <d v="2016-06-01T00:00:00"/>
    <d v="2016-06-01T00:00:00"/>
    <x v="1"/>
    <x v="94"/>
    <x v="5"/>
    <n v="0"/>
    <x v="1"/>
    <n v="0"/>
    <n v="0"/>
    <n v="0"/>
    <x v="1"/>
    <x v="0"/>
    <n v="0"/>
  </r>
  <r>
    <n v="62121700000000"/>
    <x v="0"/>
    <x v="28"/>
    <x v="3"/>
    <s v="ANDORINHAS"/>
    <d v="2016-06-01T00:00:00"/>
    <d v="2016-06-08T00:00:00"/>
    <x v="1"/>
    <x v="87"/>
    <x v="3"/>
    <n v="0"/>
    <x v="0"/>
    <n v="0"/>
    <n v="0"/>
    <n v="0"/>
    <x v="0"/>
    <x v="0"/>
    <n v="0"/>
  </r>
  <r>
    <n v="317318000000"/>
    <x v="0"/>
    <x v="71"/>
    <x v="4"/>
    <s v="ILHA DO PRINCIPE"/>
    <d v="2016-06-01T00:00:00"/>
    <d v="2016-06-01T00:00:00"/>
    <x v="1"/>
    <x v="94"/>
    <x v="5"/>
    <n v="0"/>
    <x v="1"/>
    <n v="0"/>
    <n v="0"/>
    <n v="0"/>
    <x v="1"/>
    <x v="0"/>
    <n v="0"/>
  </r>
  <r>
    <n v="853440000000000"/>
    <x v="0"/>
    <x v="50"/>
    <x v="1"/>
    <s v="ILHA DE SANTA MARIA"/>
    <d v="2016-06-01T00:00:00"/>
    <d v="2016-06-01T00:00:00"/>
    <x v="1"/>
    <x v="94"/>
    <x v="5"/>
    <n v="0"/>
    <x v="1"/>
    <n v="0"/>
    <n v="0"/>
    <n v="0"/>
    <x v="1"/>
    <x v="0"/>
    <n v="0"/>
  </r>
  <r>
    <n v="75613600000000"/>
    <x v="0"/>
    <x v="21"/>
    <x v="1"/>
    <s v="TABUAZEIRO"/>
    <d v="2016-06-01T00:00:00"/>
    <d v="2016-06-02T00:00:00"/>
    <x v="3"/>
    <x v="93"/>
    <x v="4"/>
    <n v="0"/>
    <x v="1"/>
    <n v="1"/>
    <n v="0"/>
    <n v="0"/>
    <x v="1"/>
    <x v="0"/>
    <n v="0"/>
  </r>
  <r>
    <n v="7328460000000"/>
    <x v="1"/>
    <x v="10"/>
    <x v="4"/>
    <s v="CONQUISTA"/>
    <d v="2016-06-01T00:00:00"/>
    <d v="2016-06-02T00:00:00"/>
    <x v="3"/>
    <x v="93"/>
    <x v="4"/>
    <n v="0"/>
    <x v="1"/>
    <n v="0"/>
    <n v="0"/>
    <n v="0"/>
    <x v="1"/>
    <x v="0"/>
    <n v="0"/>
  </r>
  <r>
    <n v="872279000000"/>
    <x v="1"/>
    <x v="87"/>
    <x v="1"/>
    <s v="REPUBLICA"/>
    <d v="2016-06-01T00:00:00"/>
    <d v="2016-06-01T00:00:00"/>
    <x v="1"/>
    <x v="94"/>
    <x v="5"/>
    <n v="0"/>
    <x v="1"/>
    <n v="0"/>
    <n v="0"/>
    <n v="0"/>
    <x v="1"/>
    <x v="0"/>
    <n v="0"/>
  </r>
  <r>
    <n v="9658250000000"/>
    <x v="0"/>
    <x v="16"/>
    <x v="1"/>
    <s v="RESISTENCIA"/>
    <d v="2016-06-01T00:00:00"/>
    <d v="2016-06-01T00:00:00"/>
    <x v="1"/>
    <x v="94"/>
    <x v="5"/>
    <n v="0"/>
    <x v="1"/>
    <n v="0"/>
    <n v="0"/>
    <n v="0"/>
    <x v="1"/>
    <x v="0"/>
    <n v="0"/>
  </r>
  <r>
    <n v="4512870000000"/>
    <x v="0"/>
    <x v="2"/>
    <x v="1"/>
    <s v="ANDORINHAS"/>
    <d v="2016-06-01T00:00:00"/>
    <d v="2016-06-06T00:00:00"/>
    <x v="2"/>
    <x v="92"/>
    <x v="3"/>
    <n v="0"/>
    <x v="0"/>
    <n v="0"/>
    <n v="0"/>
    <n v="0"/>
    <x v="1"/>
    <x v="0"/>
    <n v="0"/>
  </r>
  <r>
    <n v="71559100000000"/>
    <x v="0"/>
    <x v="39"/>
    <x v="4"/>
    <s v="JARDIM DA PENHA"/>
    <d v="2016-06-01T00:00:00"/>
    <d v="2016-06-01T00:00:00"/>
    <x v="1"/>
    <x v="94"/>
    <x v="5"/>
    <n v="0"/>
    <x v="1"/>
    <n v="0"/>
    <n v="0"/>
    <n v="0"/>
    <x v="1"/>
    <x v="0"/>
    <n v="0"/>
  </r>
  <r>
    <n v="9643390000000"/>
    <x v="0"/>
    <x v="63"/>
    <x v="0"/>
    <s v="CRUZAMENTO"/>
    <d v="2016-06-01T00:00:00"/>
    <d v="2016-06-02T00:00:00"/>
    <x v="3"/>
    <x v="93"/>
    <x v="4"/>
    <n v="0"/>
    <x v="0"/>
    <n v="0"/>
    <n v="0"/>
    <n v="0"/>
    <x v="1"/>
    <x v="0"/>
    <n v="0"/>
  </r>
  <r>
    <n v="822146000000000"/>
    <x v="1"/>
    <x v="56"/>
    <x v="1"/>
    <s v="REDENCAO"/>
    <d v="2016-06-01T00:00:00"/>
    <d v="2016-06-01T00:00:00"/>
    <x v="1"/>
    <x v="94"/>
    <x v="5"/>
    <n v="0"/>
    <x v="1"/>
    <n v="0"/>
    <n v="0"/>
    <n v="0"/>
    <x v="1"/>
    <x v="0"/>
    <n v="0"/>
  </r>
  <r>
    <n v="54164800000000"/>
    <x v="0"/>
    <x v="47"/>
    <x v="4"/>
    <s v="MARIA ORTIZ"/>
    <d v="2016-06-01T00:00:00"/>
    <d v="2016-06-01T00:00:00"/>
    <x v="1"/>
    <x v="94"/>
    <x v="5"/>
    <n v="0"/>
    <x v="1"/>
    <n v="0"/>
    <n v="0"/>
    <n v="0"/>
    <x v="1"/>
    <x v="0"/>
    <n v="0"/>
  </r>
  <r>
    <n v="27865200000000"/>
    <x v="1"/>
    <x v="31"/>
    <x v="1"/>
    <s v="MATA DA PRAIA"/>
    <d v="2016-06-01T00:00:00"/>
    <d v="2016-06-06T00:00:00"/>
    <x v="2"/>
    <x v="92"/>
    <x v="3"/>
    <n v="0"/>
    <x v="1"/>
    <n v="0"/>
    <n v="0"/>
    <n v="0"/>
    <x v="0"/>
    <x v="0"/>
    <n v="0"/>
  </r>
  <r>
    <n v="9959300000000"/>
    <x v="0"/>
    <x v="80"/>
    <x v="2"/>
    <s v="MONTE BELO"/>
    <d v="2016-06-01T00:00:00"/>
    <d v="2016-06-07T00:00:00"/>
    <x v="4"/>
    <x v="90"/>
    <x v="3"/>
    <n v="0"/>
    <x v="1"/>
    <n v="0"/>
    <n v="0"/>
    <n v="0"/>
    <x v="0"/>
    <x v="0"/>
    <n v="0"/>
  </r>
  <r>
    <n v="62554300000000"/>
    <x v="1"/>
    <x v="57"/>
    <x v="2"/>
    <s v="SANTO ANTONIO"/>
    <d v="2016-06-01T00:00:00"/>
    <d v="2016-06-01T00:00:00"/>
    <x v="1"/>
    <x v="94"/>
    <x v="5"/>
    <n v="0"/>
    <x v="1"/>
    <n v="0"/>
    <n v="0"/>
    <n v="0"/>
    <x v="1"/>
    <x v="0"/>
    <n v="0"/>
  </r>
  <r>
    <n v="14335400000000"/>
    <x v="1"/>
    <x v="4"/>
    <x v="2"/>
    <s v="PRAIA DO SUA"/>
    <d v="2016-06-01T00:00:00"/>
    <d v="2016-06-01T00:00:00"/>
    <x v="1"/>
    <x v="94"/>
    <x v="5"/>
    <n v="0"/>
    <x v="1"/>
    <n v="0"/>
    <n v="0"/>
    <n v="0"/>
    <x v="1"/>
    <x v="0"/>
    <n v="0"/>
  </r>
  <r>
    <n v="31148000000000"/>
    <x v="0"/>
    <x v="47"/>
    <x v="4"/>
    <s v="JARDIM DA PENHA"/>
    <d v="2016-06-01T00:00:00"/>
    <d v="2016-06-01T00:00:00"/>
    <x v="1"/>
    <x v="94"/>
    <x v="5"/>
    <n v="0"/>
    <x v="1"/>
    <n v="0"/>
    <n v="0"/>
    <n v="0"/>
    <x v="1"/>
    <x v="0"/>
    <n v="0"/>
  </r>
  <r>
    <n v="66197353628"/>
    <x v="1"/>
    <x v="10"/>
    <x v="4"/>
    <s v="GOIABEIRAS"/>
    <d v="2016-06-01T00:00:00"/>
    <d v="2016-06-03T00:00:00"/>
    <x v="0"/>
    <x v="91"/>
    <x v="4"/>
    <n v="0"/>
    <x v="1"/>
    <n v="0"/>
    <n v="0"/>
    <n v="0"/>
    <x v="1"/>
    <x v="1"/>
    <n v="1"/>
  </r>
  <r>
    <n v="58519400000000"/>
    <x v="0"/>
    <x v="77"/>
    <x v="4"/>
    <s v="JESUS DE NAZARETH"/>
    <d v="2016-06-01T00:00:00"/>
    <d v="2016-06-03T00:00:00"/>
    <x v="0"/>
    <x v="91"/>
    <x v="4"/>
    <n v="0"/>
    <x v="1"/>
    <n v="0"/>
    <n v="0"/>
    <n v="0"/>
    <x v="1"/>
    <x v="0"/>
    <n v="0"/>
  </r>
  <r>
    <n v="6159290000000"/>
    <x v="1"/>
    <x v="52"/>
    <x v="2"/>
    <s v="ILHA DAS CAIEIRAS"/>
    <d v="2016-06-01T00:00:00"/>
    <d v="2016-06-01T00:00:00"/>
    <x v="1"/>
    <x v="94"/>
    <x v="5"/>
    <n v="0"/>
    <x v="1"/>
    <n v="0"/>
    <n v="0"/>
    <n v="0"/>
    <x v="1"/>
    <x v="0"/>
    <n v="0"/>
  </r>
  <r>
    <n v="89646400000000"/>
    <x v="1"/>
    <x v="9"/>
    <x v="0"/>
    <s v="DA PENHA"/>
    <d v="2016-06-01T00:00:00"/>
    <d v="2016-06-03T00:00:00"/>
    <x v="0"/>
    <x v="91"/>
    <x v="4"/>
    <n v="0"/>
    <x v="0"/>
    <n v="0"/>
    <n v="0"/>
    <n v="1"/>
    <x v="1"/>
    <x v="0"/>
    <n v="0"/>
  </r>
  <r>
    <n v="86711600000000"/>
    <x v="0"/>
    <x v="2"/>
    <x v="1"/>
    <s v="MARIA ORTIZ"/>
    <d v="2016-06-01T00:00:00"/>
    <d v="2016-06-01T00:00:00"/>
    <x v="1"/>
    <x v="94"/>
    <x v="5"/>
    <n v="0"/>
    <x v="1"/>
    <n v="0"/>
    <n v="0"/>
    <n v="0"/>
    <x v="1"/>
    <x v="0"/>
    <n v="0"/>
  </r>
  <r>
    <n v="45318100000000"/>
    <x v="1"/>
    <x v="63"/>
    <x v="0"/>
    <s v="CONSOLACAO"/>
    <d v="2016-06-01T00:00:00"/>
    <d v="2016-06-01T00:00:00"/>
    <x v="1"/>
    <x v="94"/>
    <x v="5"/>
    <n v="0"/>
    <x v="0"/>
    <n v="1"/>
    <n v="0"/>
    <n v="0"/>
    <x v="1"/>
    <x v="0"/>
    <n v="0"/>
  </r>
  <r>
    <n v="28797100000000"/>
    <x v="0"/>
    <x v="68"/>
    <x v="4"/>
    <s v="JARDIM DA PENHA"/>
    <d v="2016-06-01T00:00:00"/>
    <d v="2016-06-01T00:00:00"/>
    <x v="1"/>
    <x v="94"/>
    <x v="5"/>
    <n v="0"/>
    <x v="1"/>
    <n v="0"/>
    <n v="0"/>
    <n v="0"/>
    <x v="1"/>
    <x v="0"/>
    <n v="0"/>
  </r>
  <r>
    <n v="9842172587"/>
    <x v="0"/>
    <x v="67"/>
    <x v="4"/>
    <s v="BENTO FERREIRA"/>
    <d v="2016-06-01T00:00:00"/>
    <d v="2016-06-01T00:00:00"/>
    <x v="1"/>
    <x v="94"/>
    <x v="5"/>
    <n v="0"/>
    <x v="1"/>
    <n v="0"/>
    <n v="0"/>
    <n v="0"/>
    <x v="1"/>
    <x v="1"/>
    <n v="1"/>
  </r>
  <r>
    <n v="63268900000000"/>
    <x v="0"/>
    <x v="5"/>
    <x v="1"/>
    <s v="BONFIM"/>
    <d v="2016-06-01T00:00:00"/>
    <d v="2016-06-01T00:00:00"/>
    <x v="1"/>
    <x v="94"/>
    <x v="5"/>
    <n v="0"/>
    <x v="0"/>
    <n v="0"/>
    <n v="0"/>
    <n v="0"/>
    <x v="1"/>
    <x v="0"/>
    <n v="0"/>
  </r>
  <r>
    <n v="816986000000000"/>
    <x v="0"/>
    <x v="88"/>
    <x v="0"/>
    <s v="ILHA DO PRINCIPE"/>
    <d v="2016-06-01T00:00:00"/>
    <d v="2016-06-02T00:00:00"/>
    <x v="3"/>
    <x v="93"/>
    <x v="4"/>
    <n v="0"/>
    <x v="0"/>
    <n v="0"/>
    <n v="0"/>
    <n v="0"/>
    <x v="1"/>
    <x v="0"/>
    <n v="0"/>
  </r>
  <r>
    <n v="3933980000000"/>
    <x v="0"/>
    <x v="7"/>
    <x v="3"/>
    <s v="SAO JOSE"/>
    <d v="2016-06-01T00:00:00"/>
    <d v="2016-06-06T00:00:00"/>
    <x v="2"/>
    <x v="92"/>
    <x v="3"/>
    <n v="0"/>
    <x v="0"/>
    <n v="1"/>
    <n v="0"/>
    <n v="0"/>
    <x v="1"/>
    <x v="1"/>
    <n v="1"/>
  </r>
  <r>
    <n v="334125000000000"/>
    <x v="0"/>
    <x v="15"/>
    <x v="3"/>
    <s v="FORTE SAO JOAO"/>
    <d v="2016-06-01T00:00:00"/>
    <d v="2016-06-03T00:00:00"/>
    <x v="0"/>
    <x v="91"/>
    <x v="4"/>
    <n v="0"/>
    <x v="1"/>
    <n v="0"/>
    <n v="0"/>
    <n v="0"/>
    <x v="1"/>
    <x v="0"/>
    <n v="0"/>
  </r>
  <r>
    <n v="353649000000000"/>
    <x v="0"/>
    <x v="7"/>
    <x v="3"/>
    <s v="BOA VISTA"/>
    <d v="2016-06-01T00:00:00"/>
    <d v="2016-06-03T00:00:00"/>
    <x v="0"/>
    <x v="91"/>
    <x v="4"/>
    <n v="0"/>
    <x v="0"/>
    <n v="1"/>
    <n v="0"/>
    <n v="0"/>
    <x v="1"/>
    <x v="0"/>
    <n v="0"/>
  </r>
  <r>
    <n v="729459000000000"/>
    <x v="0"/>
    <x v="7"/>
    <x v="3"/>
    <s v="ROMAO"/>
    <d v="2016-06-01T00:00:00"/>
    <d v="2016-06-01T00:00:00"/>
    <x v="1"/>
    <x v="94"/>
    <x v="5"/>
    <n v="0"/>
    <x v="0"/>
    <n v="1"/>
    <n v="0"/>
    <n v="0"/>
    <x v="1"/>
    <x v="0"/>
    <n v="0"/>
  </r>
  <r>
    <n v="54567900000000"/>
    <x v="1"/>
    <x v="46"/>
    <x v="2"/>
    <s v="SAO JOSE"/>
    <d v="2016-06-01T00:00:00"/>
    <d v="2016-06-01T00:00:00"/>
    <x v="1"/>
    <x v="94"/>
    <x v="5"/>
    <n v="0"/>
    <x v="1"/>
    <n v="0"/>
    <n v="0"/>
    <n v="0"/>
    <x v="1"/>
    <x v="0"/>
    <n v="0"/>
  </r>
  <r>
    <n v="81237600000000"/>
    <x v="1"/>
    <x v="62"/>
    <x v="3"/>
    <s v="CARATOIRA"/>
    <d v="2016-06-01T00:00:00"/>
    <d v="2016-06-01T00:00:00"/>
    <x v="1"/>
    <x v="94"/>
    <x v="5"/>
    <n v="0"/>
    <x v="0"/>
    <n v="0"/>
    <n v="1"/>
    <n v="0"/>
    <x v="1"/>
    <x v="0"/>
    <n v="0"/>
  </r>
  <r>
    <n v="433263000000000"/>
    <x v="1"/>
    <x v="64"/>
    <x v="3"/>
    <s v="ROMAO"/>
    <d v="2016-06-01T00:00:00"/>
    <d v="2016-06-01T00:00:00"/>
    <x v="1"/>
    <x v="94"/>
    <x v="5"/>
    <n v="0"/>
    <x v="0"/>
    <n v="0"/>
    <n v="0"/>
    <n v="0"/>
    <x v="1"/>
    <x v="0"/>
    <n v="0"/>
  </r>
  <r>
    <n v="488493000000"/>
    <x v="0"/>
    <x v="2"/>
    <x v="1"/>
    <s v="JESUS DE NAZARETH"/>
    <d v="2016-06-01T00:00:00"/>
    <d v="2016-06-03T00:00:00"/>
    <x v="0"/>
    <x v="91"/>
    <x v="4"/>
    <n v="0"/>
    <x v="1"/>
    <n v="0"/>
    <n v="0"/>
    <n v="0"/>
    <x v="1"/>
    <x v="0"/>
    <n v="0"/>
  </r>
  <r>
    <n v="59346500000000"/>
    <x v="0"/>
    <x v="87"/>
    <x v="1"/>
    <s v="JARDIM CAMBURI"/>
    <d v="2016-06-01T00:00:00"/>
    <d v="2016-06-01T00:00:00"/>
    <x v="1"/>
    <x v="94"/>
    <x v="5"/>
    <n v="0"/>
    <x v="1"/>
    <n v="0"/>
    <n v="0"/>
    <n v="0"/>
    <x v="1"/>
    <x v="0"/>
    <n v="0"/>
  </r>
  <r>
    <n v="78572100000000"/>
    <x v="1"/>
    <x v="31"/>
    <x v="1"/>
    <s v="RESISTENCIA"/>
    <d v="2016-06-01T00:00:00"/>
    <d v="2016-06-01T00:00:00"/>
    <x v="1"/>
    <x v="94"/>
    <x v="5"/>
    <n v="0"/>
    <x v="1"/>
    <n v="0"/>
    <n v="0"/>
    <n v="1"/>
    <x v="1"/>
    <x v="0"/>
    <n v="0"/>
  </r>
  <r>
    <n v="3685320000000"/>
    <x v="0"/>
    <x v="57"/>
    <x v="2"/>
    <s v="SAO PEDRO"/>
    <d v="2016-06-01T00:00:00"/>
    <d v="2016-06-02T00:00:00"/>
    <x v="3"/>
    <x v="93"/>
    <x v="4"/>
    <n v="0"/>
    <x v="1"/>
    <n v="0"/>
    <n v="0"/>
    <n v="0"/>
    <x v="1"/>
    <x v="0"/>
    <n v="0"/>
  </r>
  <r>
    <n v="161542000000"/>
    <x v="0"/>
    <x v="0"/>
    <x v="0"/>
    <s v="VILA RUBIM"/>
    <d v="2016-06-01T00:00:00"/>
    <d v="2016-06-01T00:00:00"/>
    <x v="1"/>
    <x v="94"/>
    <x v="5"/>
    <n v="0"/>
    <x v="0"/>
    <n v="0"/>
    <n v="0"/>
    <n v="0"/>
    <x v="1"/>
    <x v="0"/>
    <n v="0"/>
  </r>
  <r>
    <n v="866121000000000"/>
    <x v="0"/>
    <x v="43"/>
    <x v="2"/>
    <s v="RESISTENCIA"/>
    <d v="2016-06-01T00:00:00"/>
    <d v="2016-06-01T00:00:00"/>
    <x v="1"/>
    <x v="94"/>
    <x v="5"/>
    <n v="0"/>
    <x v="1"/>
    <n v="0"/>
    <n v="0"/>
    <n v="0"/>
    <x v="1"/>
    <x v="0"/>
    <n v="0"/>
  </r>
  <r>
    <n v="41171600000000"/>
    <x v="0"/>
    <x v="69"/>
    <x v="4"/>
    <s v="GOIABEIRAS"/>
    <d v="2016-06-01T00:00:00"/>
    <d v="2016-06-06T00:00:00"/>
    <x v="2"/>
    <x v="92"/>
    <x v="3"/>
    <n v="0"/>
    <x v="1"/>
    <n v="0"/>
    <n v="0"/>
    <n v="0"/>
    <x v="0"/>
    <x v="0"/>
    <n v="0"/>
  </r>
  <r>
    <n v="1399750000000"/>
    <x v="1"/>
    <x v="75"/>
    <x v="5"/>
    <s v="MONTE BELO"/>
    <d v="2016-06-01T00:00:00"/>
    <d v="2016-06-01T00:00:00"/>
    <x v="1"/>
    <x v="94"/>
    <x v="5"/>
    <n v="0"/>
    <x v="1"/>
    <n v="0"/>
    <n v="0"/>
    <n v="0"/>
    <x v="1"/>
    <x v="0"/>
    <n v="0"/>
  </r>
  <r>
    <n v="13594900000000"/>
    <x v="0"/>
    <x v="0"/>
    <x v="0"/>
    <s v="MARIA ORTIZ"/>
    <d v="2016-06-01T00:00:00"/>
    <d v="2016-06-01T00:00:00"/>
    <x v="1"/>
    <x v="94"/>
    <x v="5"/>
    <n v="0"/>
    <x v="1"/>
    <n v="0"/>
    <n v="0"/>
    <n v="0"/>
    <x v="1"/>
    <x v="0"/>
    <n v="0"/>
  </r>
  <r>
    <n v="37926700000000"/>
    <x v="0"/>
    <x v="65"/>
    <x v="2"/>
    <s v="BONFIM"/>
    <d v="2016-06-01T00:00:00"/>
    <d v="2016-06-01T00:00:00"/>
    <x v="1"/>
    <x v="94"/>
    <x v="5"/>
    <n v="0"/>
    <x v="1"/>
    <n v="0"/>
    <n v="0"/>
    <n v="0"/>
    <x v="1"/>
    <x v="0"/>
    <n v="0"/>
  </r>
  <r>
    <n v="6162420000000"/>
    <x v="1"/>
    <x v="52"/>
    <x v="2"/>
    <s v="DA PENHA"/>
    <d v="2016-06-01T00:00:00"/>
    <d v="2016-06-02T00:00:00"/>
    <x v="3"/>
    <x v="93"/>
    <x v="4"/>
    <n v="0"/>
    <x v="1"/>
    <n v="0"/>
    <n v="0"/>
    <n v="0"/>
    <x v="1"/>
    <x v="0"/>
    <n v="0"/>
  </r>
  <r>
    <n v="58488800000000"/>
    <x v="0"/>
    <x v="65"/>
    <x v="2"/>
    <s v="REDENCAO"/>
    <d v="2016-06-01T00:00:00"/>
    <d v="2016-06-01T00:00:00"/>
    <x v="1"/>
    <x v="94"/>
    <x v="5"/>
    <n v="0"/>
    <x v="1"/>
    <n v="0"/>
    <n v="0"/>
    <n v="0"/>
    <x v="1"/>
    <x v="0"/>
    <n v="0"/>
  </r>
  <r>
    <n v="41631427582"/>
    <x v="1"/>
    <x v="46"/>
    <x v="2"/>
    <s v="ILHA DAS CAIEIRAS"/>
    <d v="2016-06-01T00:00:00"/>
    <d v="2016-06-01T00:00:00"/>
    <x v="1"/>
    <x v="94"/>
    <x v="5"/>
    <n v="0"/>
    <x v="1"/>
    <n v="0"/>
    <n v="0"/>
    <n v="0"/>
    <x v="1"/>
    <x v="0"/>
    <n v="0"/>
  </r>
  <r>
    <n v="61965400000000"/>
    <x v="0"/>
    <x v="44"/>
    <x v="4"/>
    <s v="NOVA PALESTINA"/>
    <d v="2016-06-01T00:00:00"/>
    <d v="2016-06-08T00:00:00"/>
    <x v="1"/>
    <x v="87"/>
    <x v="3"/>
    <n v="0"/>
    <x v="1"/>
    <n v="0"/>
    <n v="0"/>
    <n v="0"/>
    <x v="0"/>
    <x v="0"/>
    <n v="0"/>
  </r>
  <r>
    <n v="129278000000"/>
    <x v="0"/>
    <x v="28"/>
    <x v="3"/>
    <s v="ILHA DO PRINCIPE"/>
    <d v="2016-06-01T00:00:00"/>
    <d v="2016-06-03T00:00:00"/>
    <x v="0"/>
    <x v="91"/>
    <x v="4"/>
    <n v="0"/>
    <x v="0"/>
    <n v="0"/>
    <n v="0"/>
    <n v="0"/>
    <x v="1"/>
    <x v="0"/>
    <n v="0"/>
  </r>
  <r>
    <n v="88979500000000"/>
    <x v="0"/>
    <x v="18"/>
    <x v="0"/>
    <s v="CONSOLACAO"/>
    <d v="2016-06-01T00:00:00"/>
    <d v="2016-06-02T00:00:00"/>
    <x v="3"/>
    <x v="93"/>
    <x v="4"/>
    <n v="0"/>
    <x v="1"/>
    <n v="0"/>
    <n v="0"/>
    <n v="0"/>
    <x v="1"/>
    <x v="1"/>
    <n v="1"/>
  </r>
  <r>
    <n v="78355800000000"/>
    <x v="0"/>
    <x v="54"/>
    <x v="1"/>
    <s v="GRANDE VITORIA"/>
    <d v="2016-06-02T00:00:00"/>
    <d v="2016-06-06T00:00:00"/>
    <x v="2"/>
    <x v="86"/>
    <x v="3"/>
    <n v="0"/>
    <x v="1"/>
    <n v="0"/>
    <n v="0"/>
    <n v="0"/>
    <x v="0"/>
    <x v="0"/>
    <n v="0"/>
  </r>
  <r>
    <n v="7336720000000"/>
    <x v="0"/>
    <x v="51"/>
    <x v="2"/>
    <s v="RESISTENCIA"/>
    <d v="2016-06-02T00:00:00"/>
    <d v="2016-06-06T00:00:00"/>
    <x v="2"/>
    <x v="86"/>
    <x v="3"/>
    <n v="0"/>
    <x v="1"/>
    <n v="0"/>
    <n v="0"/>
    <n v="0"/>
    <x v="0"/>
    <x v="1"/>
    <n v="1"/>
  </r>
  <r>
    <n v="932347000000000"/>
    <x v="0"/>
    <x v="54"/>
    <x v="1"/>
    <s v="CRUZAMENTO"/>
    <d v="2016-06-02T00:00:00"/>
    <d v="2016-06-02T00:00:00"/>
    <x v="3"/>
    <x v="94"/>
    <x v="5"/>
    <n v="0"/>
    <x v="1"/>
    <n v="0"/>
    <n v="0"/>
    <n v="0"/>
    <x v="1"/>
    <x v="0"/>
    <n v="0"/>
  </r>
  <r>
    <n v="59323700000000"/>
    <x v="1"/>
    <x v="6"/>
    <x v="0"/>
    <s v="JARDIM CAMBURI"/>
    <d v="2016-06-02T00:00:00"/>
    <d v="2016-06-06T00:00:00"/>
    <x v="2"/>
    <x v="86"/>
    <x v="3"/>
    <n v="0"/>
    <x v="1"/>
    <n v="0"/>
    <n v="0"/>
    <n v="0"/>
    <x v="0"/>
    <x v="0"/>
    <n v="0"/>
  </r>
  <r>
    <n v="742778000000"/>
    <x v="0"/>
    <x v="67"/>
    <x v="4"/>
    <s v="JARDIM DA PENHA"/>
    <d v="2016-06-02T00:00:00"/>
    <d v="2016-06-06T00:00:00"/>
    <x v="2"/>
    <x v="86"/>
    <x v="3"/>
    <n v="0"/>
    <x v="1"/>
    <n v="0"/>
    <n v="0"/>
    <n v="0"/>
    <x v="0"/>
    <x v="0"/>
    <n v="0"/>
  </r>
  <r>
    <n v="9374560000000"/>
    <x v="0"/>
    <x v="24"/>
    <x v="1"/>
    <s v="TABUAZEIRO"/>
    <d v="2016-06-02T00:00:00"/>
    <d v="2016-06-02T00:00:00"/>
    <x v="3"/>
    <x v="94"/>
    <x v="5"/>
    <n v="1"/>
    <x v="1"/>
    <n v="0"/>
    <n v="0"/>
    <n v="0"/>
    <x v="1"/>
    <x v="0"/>
    <n v="0"/>
  </r>
  <r>
    <n v="627976000000"/>
    <x v="0"/>
    <x v="25"/>
    <x v="4"/>
    <s v="SANTO ANDRE"/>
    <d v="2016-06-02T00:00:00"/>
    <d v="2016-06-07T00:00:00"/>
    <x v="4"/>
    <x v="92"/>
    <x v="3"/>
    <n v="0"/>
    <x v="1"/>
    <n v="0"/>
    <n v="0"/>
    <n v="0"/>
    <x v="0"/>
    <x v="1"/>
    <n v="1"/>
  </r>
  <r>
    <n v="49725300000000"/>
    <x v="1"/>
    <x v="16"/>
    <x v="1"/>
    <s v="JOANA D ARC"/>
    <d v="2016-06-02T00:00:00"/>
    <d v="2016-06-02T00:00:00"/>
    <x v="3"/>
    <x v="94"/>
    <x v="5"/>
    <n v="0"/>
    <x v="0"/>
    <n v="0"/>
    <n v="1"/>
    <n v="0"/>
    <x v="1"/>
    <x v="0"/>
    <n v="0"/>
  </r>
  <r>
    <n v="3419640000000"/>
    <x v="1"/>
    <x v="53"/>
    <x v="0"/>
    <s v="SANTOS REIS"/>
    <d v="2016-06-02T00:00:00"/>
    <d v="2016-06-08T00:00:00"/>
    <x v="1"/>
    <x v="90"/>
    <x v="3"/>
    <n v="0"/>
    <x v="1"/>
    <n v="0"/>
    <n v="0"/>
    <n v="0"/>
    <x v="1"/>
    <x v="0"/>
    <n v="0"/>
  </r>
  <r>
    <n v="4134840000000"/>
    <x v="0"/>
    <x v="32"/>
    <x v="4"/>
    <s v="BONFIM"/>
    <d v="2016-06-02T00:00:00"/>
    <d v="2016-06-06T00:00:00"/>
    <x v="2"/>
    <x v="86"/>
    <x v="3"/>
    <n v="0"/>
    <x v="1"/>
    <n v="0"/>
    <n v="0"/>
    <n v="0"/>
    <x v="0"/>
    <x v="0"/>
    <n v="0"/>
  </r>
  <r>
    <n v="5445650000000"/>
    <x v="0"/>
    <x v="34"/>
    <x v="0"/>
    <s v="GOIABEIRAS"/>
    <d v="2016-06-02T00:00:00"/>
    <d v="2016-06-06T00:00:00"/>
    <x v="2"/>
    <x v="86"/>
    <x v="3"/>
    <n v="0"/>
    <x v="1"/>
    <n v="0"/>
    <n v="0"/>
    <n v="0"/>
    <x v="1"/>
    <x v="0"/>
    <n v="0"/>
  </r>
  <r>
    <n v="36932400000000"/>
    <x v="0"/>
    <x v="68"/>
    <x v="4"/>
    <s v="INHANGUETA"/>
    <d v="2016-06-02T00:00:00"/>
    <d v="2016-06-06T00:00:00"/>
    <x v="2"/>
    <x v="86"/>
    <x v="3"/>
    <n v="1"/>
    <x v="1"/>
    <n v="0"/>
    <n v="0"/>
    <n v="0"/>
    <x v="0"/>
    <x v="1"/>
    <n v="1"/>
  </r>
  <r>
    <n v="566165000000000"/>
    <x v="1"/>
    <x v="66"/>
    <x v="2"/>
    <s v="CARATOIRA"/>
    <d v="2016-06-02T00:00:00"/>
    <d v="2016-06-02T00:00:00"/>
    <x v="3"/>
    <x v="94"/>
    <x v="5"/>
    <n v="1"/>
    <x v="1"/>
    <n v="0"/>
    <n v="0"/>
    <n v="0"/>
    <x v="1"/>
    <x v="0"/>
    <n v="0"/>
  </r>
  <r>
    <n v="81649900000000"/>
    <x v="1"/>
    <x v="72"/>
    <x v="5"/>
    <s v="CARATOIRA"/>
    <d v="2016-06-02T00:00:00"/>
    <d v="2016-06-02T00:00:00"/>
    <x v="3"/>
    <x v="94"/>
    <x v="5"/>
    <n v="1"/>
    <x v="1"/>
    <n v="0"/>
    <n v="0"/>
    <n v="0"/>
    <x v="1"/>
    <x v="0"/>
    <n v="0"/>
  </r>
  <r>
    <n v="49959300000000"/>
    <x v="0"/>
    <x v="9"/>
    <x v="0"/>
    <s v="DA PENHA"/>
    <d v="2016-06-02T00:00:00"/>
    <d v="2016-06-07T00:00:00"/>
    <x v="4"/>
    <x v="92"/>
    <x v="3"/>
    <n v="0"/>
    <x v="0"/>
    <n v="0"/>
    <n v="0"/>
    <n v="0"/>
    <x v="0"/>
    <x v="0"/>
    <n v="0"/>
  </r>
  <r>
    <n v="96677500000000"/>
    <x v="1"/>
    <x v="59"/>
    <x v="2"/>
    <s v="CARATOIRA"/>
    <d v="2016-06-02T00:00:00"/>
    <d v="2016-06-02T00:00:00"/>
    <x v="3"/>
    <x v="94"/>
    <x v="5"/>
    <n v="0"/>
    <x v="1"/>
    <n v="0"/>
    <n v="0"/>
    <n v="0"/>
    <x v="1"/>
    <x v="0"/>
    <n v="0"/>
  </r>
  <r>
    <n v="63443800000000"/>
    <x v="0"/>
    <x v="12"/>
    <x v="3"/>
    <s v="ESTRELINHA"/>
    <d v="2016-06-02T00:00:00"/>
    <d v="2016-06-02T00:00:00"/>
    <x v="3"/>
    <x v="94"/>
    <x v="5"/>
    <n v="0"/>
    <x v="0"/>
    <n v="0"/>
    <n v="0"/>
    <n v="0"/>
    <x v="1"/>
    <x v="0"/>
    <n v="0"/>
  </r>
  <r>
    <n v="37769400000000"/>
    <x v="0"/>
    <x v="6"/>
    <x v="0"/>
    <s v="ESTRELINHA"/>
    <d v="2016-06-02T00:00:00"/>
    <d v="2016-06-02T00:00:00"/>
    <x v="3"/>
    <x v="94"/>
    <x v="5"/>
    <n v="0"/>
    <x v="1"/>
    <n v="0"/>
    <n v="0"/>
    <n v="0"/>
    <x v="1"/>
    <x v="0"/>
    <n v="0"/>
  </r>
  <r>
    <n v="211124677"/>
    <x v="1"/>
    <x v="15"/>
    <x v="3"/>
    <s v="SANTOS REIS"/>
    <d v="2016-06-02T00:00:00"/>
    <d v="2016-06-08T00:00:00"/>
    <x v="1"/>
    <x v="90"/>
    <x v="3"/>
    <n v="0"/>
    <x v="1"/>
    <n v="0"/>
    <n v="0"/>
    <n v="0"/>
    <x v="0"/>
    <x v="0"/>
    <n v="0"/>
  </r>
  <r>
    <n v="9743880000000"/>
    <x v="0"/>
    <x v="68"/>
    <x v="4"/>
    <s v="SAO JOSE"/>
    <d v="2016-06-02T00:00:00"/>
    <d v="2016-06-08T00:00:00"/>
    <x v="1"/>
    <x v="90"/>
    <x v="3"/>
    <n v="0"/>
    <x v="1"/>
    <n v="0"/>
    <n v="0"/>
    <n v="0"/>
    <x v="0"/>
    <x v="1"/>
    <n v="1"/>
  </r>
  <r>
    <n v="7112270000000"/>
    <x v="1"/>
    <x v="69"/>
    <x v="4"/>
    <s v="ROMAO"/>
    <d v="2016-06-02T00:00:00"/>
    <d v="2016-06-06T00:00:00"/>
    <x v="2"/>
    <x v="86"/>
    <x v="3"/>
    <n v="0"/>
    <x v="1"/>
    <n v="0"/>
    <n v="1"/>
    <n v="0"/>
    <x v="0"/>
    <x v="0"/>
    <n v="0"/>
  </r>
  <r>
    <n v="754347000000"/>
    <x v="0"/>
    <x v="83"/>
    <x v="0"/>
    <s v="NOVA PALESTINA"/>
    <d v="2016-06-02T00:00:00"/>
    <d v="2016-06-02T00:00:00"/>
    <x v="3"/>
    <x v="94"/>
    <x v="5"/>
    <n v="0"/>
    <x v="1"/>
    <n v="0"/>
    <n v="0"/>
    <n v="0"/>
    <x v="1"/>
    <x v="0"/>
    <n v="0"/>
  </r>
  <r>
    <n v="54357600000000"/>
    <x v="1"/>
    <x v="72"/>
    <x v="5"/>
    <s v="SANTOS REIS"/>
    <d v="2016-06-02T00:00:00"/>
    <d v="2016-06-06T00:00:00"/>
    <x v="2"/>
    <x v="86"/>
    <x v="3"/>
    <n v="0"/>
    <x v="1"/>
    <n v="0"/>
    <n v="0"/>
    <n v="0"/>
    <x v="0"/>
    <x v="0"/>
    <n v="0"/>
  </r>
  <r>
    <n v="745517000000000"/>
    <x v="0"/>
    <x v="5"/>
    <x v="1"/>
    <s v="SANTO ANTONIO"/>
    <d v="2016-06-02T00:00:00"/>
    <d v="2016-06-02T00:00:00"/>
    <x v="3"/>
    <x v="94"/>
    <x v="5"/>
    <n v="1"/>
    <x v="0"/>
    <n v="0"/>
    <n v="0"/>
    <n v="0"/>
    <x v="1"/>
    <x v="0"/>
    <n v="0"/>
  </r>
  <r>
    <n v="2217650000000"/>
    <x v="0"/>
    <x v="15"/>
    <x v="3"/>
    <s v="ILHA DO PRINCIPE"/>
    <d v="2016-06-02T00:00:00"/>
    <d v="2016-06-02T00:00:00"/>
    <x v="3"/>
    <x v="94"/>
    <x v="5"/>
    <n v="0"/>
    <x v="1"/>
    <n v="0"/>
    <n v="0"/>
    <n v="0"/>
    <x v="1"/>
    <x v="0"/>
    <n v="0"/>
  </r>
  <r>
    <n v="81595400000000"/>
    <x v="0"/>
    <x v="64"/>
    <x v="3"/>
    <s v="DA PENHA"/>
    <d v="2016-06-02T00:00:00"/>
    <d v="2016-06-02T00:00:00"/>
    <x v="3"/>
    <x v="94"/>
    <x v="5"/>
    <n v="0"/>
    <x v="0"/>
    <n v="1"/>
    <n v="0"/>
    <n v="0"/>
    <x v="1"/>
    <x v="0"/>
    <n v="0"/>
  </r>
  <r>
    <n v="386654000000000"/>
    <x v="0"/>
    <x v="5"/>
    <x v="1"/>
    <s v="SAO PEDRO"/>
    <d v="2016-06-02T00:00:00"/>
    <d v="2016-06-06T00:00:00"/>
    <x v="2"/>
    <x v="86"/>
    <x v="3"/>
    <n v="0"/>
    <x v="1"/>
    <n v="0"/>
    <n v="0"/>
    <n v="0"/>
    <x v="0"/>
    <x v="1"/>
    <n v="1"/>
  </r>
  <r>
    <n v="4336640000000"/>
    <x v="1"/>
    <x v="84"/>
    <x v="1"/>
    <s v="JESUS DE NAZARETH"/>
    <d v="2016-06-02T00:00:00"/>
    <d v="2016-06-02T00:00:00"/>
    <x v="3"/>
    <x v="94"/>
    <x v="5"/>
    <n v="0"/>
    <x v="0"/>
    <n v="0"/>
    <n v="0"/>
    <n v="0"/>
    <x v="1"/>
    <x v="0"/>
    <n v="0"/>
  </r>
  <r>
    <n v="18249900000000"/>
    <x v="0"/>
    <x v="81"/>
    <x v="5"/>
    <s v="JESUS DE NAZARETH"/>
    <d v="2016-06-02T00:00:00"/>
    <d v="2016-06-07T00:00:00"/>
    <x v="4"/>
    <x v="92"/>
    <x v="3"/>
    <n v="0"/>
    <x v="1"/>
    <n v="0"/>
    <n v="0"/>
    <n v="0"/>
    <x v="1"/>
    <x v="0"/>
    <n v="0"/>
  </r>
  <r>
    <n v="56598000000000"/>
    <x v="0"/>
    <x v="67"/>
    <x v="4"/>
    <s v="ROMAO"/>
    <d v="2016-06-02T00:00:00"/>
    <d v="2016-06-08T00:00:00"/>
    <x v="1"/>
    <x v="90"/>
    <x v="3"/>
    <n v="0"/>
    <x v="1"/>
    <n v="0"/>
    <n v="0"/>
    <n v="0"/>
    <x v="0"/>
    <x v="0"/>
    <n v="0"/>
  </r>
  <r>
    <n v="882345000000"/>
    <x v="1"/>
    <x v="75"/>
    <x v="5"/>
    <s v="JARDIM DA PENHA"/>
    <d v="2016-06-02T00:00:00"/>
    <d v="2016-06-07T00:00:00"/>
    <x v="4"/>
    <x v="92"/>
    <x v="3"/>
    <n v="0"/>
    <x v="1"/>
    <n v="0"/>
    <n v="0"/>
    <n v="0"/>
    <x v="0"/>
    <x v="1"/>
    <n v="1"/>
  </r>
  <r>
    <n v="3312480000000"/>
    <x v="0"/>
    <x v="55"/>
    <x v="2"/>
    <s v="SAO CRISTOVAO"/>
    <d v="2016-06-02T00:00:00"/>
    <d v="2016-06-02T00:00:00"/>
    <x v="3"/>
    <x v="94"/>
    <x v="5"/>
    <n v="0"/>
    <x v="1"/>
    <n v="0"/>
    <n v="0"/>
    <n v="0"/>
    <x v="1"/>
    <x v="0"/>
    <n v="0"/>
  </r>
  <r>
    <n v="6882840000000"/>
    <x v="0"/>
    <x v="56"/>
    <x v="1"/>
    <s v="JESUS DE NAZARETH"/>
    <d v="2016-06-02T00:00:00"/>
    <d v="2016-06-02T00:00:00"/>
    <x v="3"/>
    <x v="94"/>
    <x v="5"/>
    <n v="0"/>
    <x v="0"/>
    <n v="0"/>
    <n v="0"/>
    <n v="0"/>
    <x v="1"/>
    <x v="0"/>
    <n v="0"/>
  </r>
  <r>
    <n v="3824720000000"/>
    <x v="1"/>
    <x v="52"/>
    <x v="2"/>
    <s v="RESISTENCIA"/>
    <d v="2016-06-02T00:00:00"/>
    <d v="2016-06-02T00:00:00"/>
    <x v="3"/>
    <x v="94"/>
    <x v="5"/>
    <n v="0"/>
    <x v="1"/>
    <n v="0"/>
    <n v="0"/>
    <n v="0"/>
    <x v="1"/>
    <x v="0"/>
    <n v="0"/>
  </r>
  <r>
    <n v="63617200000000"/>
    <x v="0"/>
    <x v="59"/>
    <x v="2"/>
    <s v="RESISTENCIA"/>
    <d v="2016-06-02T00:00:00"/>
    <d v="2016-06-03T00:00:00"/>
    <x v="0"/>
    <x v="93"/>
    <x v="4"/>
    <n v="0"/>
    <x v="1"/>
    <n v="0"/>
    <n v="0"/>
    <n v="0"/>
    <x v="1"/>
    <x v="0"/>
    <n v="0"/>
  </r>
  <r>
    <n v="415224000000000"/>
    <x v="0"/>
    <x v="59"/>
    <x v="2"/>
    <s v="JUCUTUQUARA"/>
    <d v="2016-06-02T00:00:00"/>
    <d v="2016-06-03T00:00:00"/>
    <x v="0"/>
    <x v="93"/>
    <x v="4"/>
    <n v="0"/>
    <x v="1"/>
    <n v="0"/>
    <n v="0"/>
    <n v="0"/>
    <x v="1"/>
    <x v="1"/>
    <n v="1"/>
  </r>
  <r>
    <n v="6287940000000"/>
    <x v="0"/>
    <x v="25"/>
    <x v="4"/>
    <s v="JARDIM CAMBURI"/>
    <d v="2016-06-02T00:00:00"/>
    <d v="2016-06-02T00:00:00"/>
    <x v="3"/>
    <x v="94"/>
    <x v="5"/>
    <n v="0"/>
    <x v="1"/>
    <n v="0"/>
    <n v="0"/>
    <n v="0"/>
    <x v="1"/>
    <x v="0"/>
    <n v="0"/>
  </r>
  <r>
    <n v="484916000000"/>
    <x v="0"/>
    <x v="14"/>
    <x v="3"/>
    <s v="SAO JOSE"/>
    <d v="2016-06-02T00:00:00"/>
    <d v="2016-06-03T00:00:00"/>
    <x v="0"/>
    <x v="93"/>
    <x v="4"/>
    <n v="0"/>
    <x v="0"/>
    <n v="0"/>
    <n v="1"/>
    <n v="0"/>
    <x v="1"/>
    <x v="0"/>
    <n v="0"/>
  </r>
  <r>
    <n v="3462350000000"/>
    <x v="1"/>
    <x v="30"/>
    <x v="3"/>
    <s v="CARATOIRA"/>
    <d v="2016-06-02T00:00:00"/>
    <d v="2016-06-06T00:00:00"/>
    <x v="2"/>
    <x v="86"/>
    <x v="3"/>
    <n v="1"/>
    <x v="0"/>
    <n v="1"/>
    <n v="0"/>
    <n v="0"/>
    <x v="0"/>
    <x v="0"/>
    <n v="0"/>
  </r>
  <r>
    <n v="3884668671"/>
    <x v="0"/>
    <x v="6"/>
    <x v="0"/>
    <s v="CARATOIRA"/>
    <d v="2016-06-02T00:00:00"/>
    <d v="2016-06-06T00:00:00"/>
    <x v="2"/>
    <x v="86"/>
    <x v="3"/>
    <n v="0"/>
    <x v="1"/>
    <n v="0"/>
    <n v="0"/>
    <n v="0"/>
    <x v="0"/>
    <x v="0"/>
    <n v="0"/>
  </r>
  <r>
    <n v="2455290000000"/>
    <x v="1"/>
    <x v="32"/>
    <x v="4"/>
    <s v="GURIGICA"/>
    <d v="2016-06-02T00:00:00"/>
    <d v="2016-06-02T00:00:00"/>
    <x v="3"/>
    <x v="94"/>
    <x v="5"/>
    <n v="0"/>
    <x v="1"/>
    <n v="0"/>
    <n v="0"/>
    <n v="0"/>
    <x v="1"/>
    <x v="0"/>
    <n v="0"/>
  </r>
  <r>
    <n v="19388200000000"/>
    <x v="0"/>
    <x v="5"/>
    <x v="1"/>
    <s v="CARATOIRA"/>
    <d v="2016-06-02T00:00:00"/>
    <d v="2016-06-02T00:00:00"/>
    <x v="3"/>
    <x v="94"/>
    <x v="5"/>
    <n v="1"/>
    <x v="1"/>
    <n v="0"/>
    <n v="0"/>
    <n v="0"/>
    <x v="1"/>
    <x v="0"/>
    <n v="0"/>
  </r>
  <r>
    <n v="193361000000000"/>
    <x v="0"/>
    <x v="56"/>
    <x v="1"/>
    <s v="PRAIA DO SUA"/>
    <d v="2016-06-02T00:00:00"/>
    <d v="2016-06-02T00:00:00"/>
    <x v="3"/>
    <x v="94"/>
    <x v="5"/>
    <n v="0"/>
    <x v="1"/>
    <n v="0"/>
    <n v="1"/>
    <n v="0"/>
    <x v="1"/>
    <x v="0"/>
    <n v="0"/>
  </r>
  <r>
    <n v="2594180000000"/>
    <x v="1"/>
    <x v="19"/>
    <x v="2"/>
    <s v="PIEDADE"/>
    <d v="2016-06-02T00:00:00"/>
    <d v="2016-06-02T00:00:00"/>
    <x v="3"/>
    <x v="94"/>
    <x v="5"/>
    <n v="0"/>
    <x v="1"/>
    <n v="0"/>
    <n v="0"/>
    <n v="0"/>
    <x v="1"/>
    <x v="0"/>
    <n v="0"/>
  </r>
  <r>
    <n v="37624200000000"/>
    <x v="1"/>
    <x v="65"/>
    <x v="2"/>
    <s v="MARIA ORTIZ"/>
    <d v="2016-06-02T00:00:00"/>
    <d v="2016-06-02T00:00:00"/>
    <x v="3"/>
    <x v="94"/>
    <x v="5"/>
    <n v="0"/>
    <x v="1"/>
    <n v="0"/>
    <n v="0"/>
    <n v="0"/>
    <x v="1"/>
    <x v="0"/>
    <n v="0"/>
  </r>
  <r>
    <n v="19763100000000"/>
    <x v="0"/>
    <x v="69"/>
    <x v="4"/>
    <s v="BONFIM"/>
    <d v="2016-06-02T00:00:00"/>
    <d v="2016-06-02T00:00:00"/>
    <x v="3"/>
    <x v="94"/>
    <x v="5"/>
    <n v="1"/>
    <x v="1"/>
    <n v="0"/>
    <n v="0"/>
    <n v="0"/>
    <x v="1"/>
    <x v="0"/>
    <n v="0"/>
  </r>
  <r>
    <n v="98276800000000"/>
    <x v="0"/>
    <x v="43"/>
    <x v="2"/>
    <s v="ITARARE"/>
    <d v="2016-06-02T00:00:00"/>
    <d v="2016-06-06T00:00:00"/>
    <x v="2"/>
    <x v="86"/>
    <x v="3"/>
    <n v="0"/>
    <x v="1"/>
    <n v="0"/>
    <n v="0"/>
    <n v="0"/>
    <x v="0"/>
    <x v="0"/>
    <n v="0"/>
  </r>
  <r>
    <n v="33575884379"/>
    <x v="0"/>
    <x v="16"/>
    <x v="1"/>
    <s v="SANTA MARTHA"/>
    <d v="2016-06-02T00:00:00"/>
    <d v="2016-06-06T00:00:00"/>
    <x v="2"/>
    <x v="86"/>
    <x v="3"/>
    <n v="0"/>
    <x v="1"/>
    <n v="0"/>
    <n v="0"/>
    <n v="0"/>
    <x v="0"/>
    <x v="0"/>
    <n v="0"/>
  </r>
  <r>
    <n v="58238549421"/>
    <x v="0"/>
    <x v="15"/>
    <x v="3"/>
    <s v="MARIA ORTIZ"/>
    <d v="2016-06-02T00:00:00"/>
    <d v="2016-06-02T00:00:00"/>
    <x v="3"/>
    <x v="94"/>
    <x v="5"/>
    <n v="0"/>
    <x v="1"/>
    <n v="0"/>
    <n v="0"/>
    <n v="0"/>
    <x v="1"/>
    <x v="0"/>
    <n v="0"/>
  </r>
  <r>
    <n v="4996260000000"/>
    <x v="0"/>
    <x v="81"/>
    <x v="5"/>
    <s v="SANTA CLARA"/>
    <d v="2016-06-02T00:00:00"/>
    <d v="2016-06-06T00:00:00"/>
    <x v="2"/>
    <x v="86"/>
    <x v="3"/>
    <n v="0"/>
    <x v="1"/>
    <n v="0"/>
    <n v="0"/>
    <n v="0"/>
    <x v="0"/>
    <x v="1"/>
    <n v="1"/>
  </r>
  <r>
    <n v="138498000000000"/>
    <x v="1"/>
    <x v="5"/>
    <x v="1"/>
    <s v="JABOUR"/>
    <d v="2016-06-02T00:00:00"/>
    <d v="2016-06-03T00:00:00"/>
    <x v="0"/>
    <x v="93"/>
    <x v="4"/>
    <n v="0"/>
    <x v="1"/>
    <n v="0"/>
    <n v="0"/>
    <n v="0"/>
    <x v="1"/>
    <x v="1"/>
    <n v="1"/>
  </r>
  <r>
    <n v="79369400000000"/>
    <x v="1"/>
    <x v="54"/>
    <x v="1"/>
    <s v="CONQUISTA"/>
    <d v="2016-06-02T00:00:00"/>
    <d v="2016-06-02T00:00:00"/>
    <x v="3"/>
    <x v="94"/>
    <x v="5"/>
    <n v="0"/>
    <x v="1"/>
    <n v="0"/>
    <n v="0"/>
    <n v="0"/>
    <x v="1"/>
    <x v="0"/>
    <n v="0"/>
  </r>
  <r>
    <n v="2863390000000"/>
    <x v="0"/>
    <x v="50"/>
    <x v="1"/>
    <s v="SAO BENEDITO"/>
    <d v="2016-06-02T00:00:00"/>
    <d v="2016-06-02T00:00:00"/>
    <x v="3"/>
    <x v="94"/>
    <x v="5"/>
    <n v="1"/>
    <x v="1"/>
    <n v="0"/>
    <n v="0"/>
    <n v="0"/>
    <x v="1"/>
    <x v="0"/>
    <n v="0"/>
  </r>
  <r>
    <n v="13293800000000"/>
    <x v="1"/>
    <x v="65"/>
    <x v="2"/>
    <s v="SAO CRISTOVAO"/>
    <d v="2016-06-02T00:00:00"/>
    <d v="2016-06-02T00:00:00"/>
    <x v="3"/>
    <x v="94"/>
    <x v="5"/>
    <n v="0"/>
    <x v="1"/>
    <n v="0"/>
    <n v="0"/>
    <n v="0"/>
    <x v="1"/>
    <x v="0"/>
    <n v="0"/>
  </r>
  <r>
    <n v="342977000000000"/>
    <x v="0"/>
    <x v="25"/>
    <x v="4"/>
    <s v="NOVA PALESTINA"/>
    <d v="2016-06-02T00:00:00"/>
    <d v="2016-06-02T00:00:00"/>
    <x v="3"/>
    <x v="94"/>
    <x v="5"/>
    <n v="1"/>
    <x v="1"/>
    <n v="0"/>
    <n v="0"/>
    <n v="0"/>
    <x v="1"/>
    <x v="0"/>
    <n v="0"/>
  </r>
  <r>
    <n v="45798600000000"/>
    <x v="0"/>
    <x v="6"/>
    <x v="0"/>
    <s v="SANTO ANDRE"/>
    <d v="2016-06-02T00:00:00"/>
    <d v="2016-06-02T00:00:00"/>
    <x v="3"/>
    <x v="94"/>
    <x v="5"/>
    <n v="0"/>
    <x v="0"/>
    <n v="0"/>
    <n v="0"/>
    <n v="0"/>
    <x v="1"/>
    <x v="0"/>
    <n v="0"/>
  </r>
  <r>
    <n v="49286000000000"/>
    <x v="1"/>
    <x v="47"/>
    <x v="4"/>
    <s v="ESTRELINHA"/>
    <d v="2016-06-02T00:00:00"/>
    <d v="2016-06-02T00:00:00"/>
    <x v="3"/>
    <x v="94"/>
    <x v="5"/>
    <n v="0"/>
    <x v="1"/>
    <n v="0"/>
    <n v="0"/>
    <n v="0"/>
    <x v="1"/>
    <x v="0"/>
    <n v="0"/>
  </r>
  <r>
    <n v="19453471721"/>
    <x v="0"/>
    <x v="36"/>
    <x v="3"/>
    <s v="NOVA PALESTINA"/>
    <d v="2016-06-02T00:00:00"/>
    <d v="2016-06-02T00:00:00"/>
    <x v="3"/>
    <x v="94"/>
    <x v="5"/>
    <n v="0"/>
    <x v="1"/>
    <n v="0"/>
    <n v="0"/>
    <n v="0"/>
    <x v="1"/>
    <x v="0"/>
    <n v="0"/>
  </r>
  <r>
    <n v="272354000000000"/>
    <x v="1"/>
    <x v="70"/>
    <x v="5"/>
    <s v="ILHA DE SANTA MARIA"/>
    <d v="2016-06-02T00:00:00"/>
    <d v="2016-06-02T00:00:00"/>
    <x v="3"/>
    <x v="94"/>
    <x v="5"/>
    <n v="0"/>
    <x v="1"/>
    <n v="0"/>
    <n v="0"/>
    <n v="0"/>
    <x v="1"/>
    <x v="0"/>
    <n v="0"/>
  </r>
  <r>
    <n v="861618000000"/>
    <x v="1"/>
    <x v="80"/>
    <x v="2"/>
    <s v="NOVA PALESTINA"/>
    <d v="2016-06-02T00:00:00"/>
    <d v="2016-06-02T00:00:00"/>
    <x v="3"/>
    <x v="94"/>
    <x v="5"/>
    <n v="0"/>
    <x v="1"/>
    <n v="0"/>
    <n v="0"/>
    <n v="0"/>
    <x v="1"/>
    <x v="0"/>
    <n v="0"/>
  </r>
  <r>
    <n v="329787000000"/>
    <x v="1"/>
    <x v="4"/>
    <x v="2"/>
    <s v="BONFIM"/>
    <d v="2016-06-02T00:00:00"/>
    <d v="2016-06-02T00:00:00"/>
    <x v="3"/>
    <x v="94"/>
    <x v="5"/>
    <n v="0"/>
    <x v="1"/>
    <n v="0"/>
    <n v="0"/>
    <n v="0"/>
    <x v="1"/>
    <x v="0"/>
    <n v="0"/>
  </r>
  <r>
    <n v="77467400000000"/>
    <x v="0"/>
    <x v="73"/>
    <x v="4"/>
    <s v="GURIGICA"/>
    <d v="2016-06-02T00:00:00"/>
    <d v="2016-06-02T00:00:00"/>
    <x v="3"/>
    <x v="94"/>
    <x v="5"/>
    <n v="1"/>
    <x v="1"/>
    <n v="0"/>
    <n v="0"/>
    <n v="0"/>
    <x v="1"/>
    <x v="0"/>
    <n v="0"/>
  </r>
  <r>
    <n v="329884000000000"/>
    <x v="0"/>
    <x v="69"/>
    <x v="4"/>
    <s v="RESISTENCIA"/>
    <d v="2016-06-02T00:00:00"/>
    <d v="2016-06-02T00:00:00"/>
    <x v="3"/>
    <x v="94"/>
    <x v="5"/>
    <n v="0"/>
    <x v="1"/>
    <n v="0"/>
    <n v="0"/>
    <n v="0"/>
    <x v="1"/>
    <x v="0"/>
    <n v="0"/>
  </r>
  <r>
    <n v="916747000000"/>
    <x v="0"/>
    <x v="37"/>
    <x v="3"/>
    <s v="ITARARE"/>
    <d v="2016-06-02T00:00:00"/>
    <d v="2016-06-02T00:00:00"/>
    <x v="3"/>
    <x v="94"/>
    <x v="5"/>
    <n v="0"/>
    <x v="1"/>
    <n v="0"/>
    <n v="0"/>
    <n v="0"/>
    <x v="1"/>
    <x v="0"/>
    <n v="0"/>
  </r>
  <r>
    <n v="41293400000000"/>
    <x v="0"/>
    <x v="4"/>
    <x v="2"/>
    <s v="SANTOS REIS"/>
    <d v="2016-06-02T00:00:00"/>
    <d v="2016-06-02T00:00:00"/>
    <x v="3"/>
    <x v="94"/>
    <x v="5"/>
    <n v="0"/>
    <x v="1"/>
    <n v="0"/>
    <n v="0"/>
    <n v="0"/>
    <x v="1"/>
    <x v="0"/>
    <n v="0"/>
  </r>
  <r>
    <n v="559266000000"/>
    <x v="1"/>
    <x v="93"/>
    <x v="0"/>
    <s v="CONSOLACAO"/>
    <d v="2016-06-02T00:00:00"/>
    <d v="2016-06-02T00:00:00"/>
    <x v="3"/>
    <x v="94"/>
    <x v="5"/>
    <n v="0"/>
    <x v="0"/>
    <n v="0"/>
    <n v="0"/>
    <n v="0"/>
    <x v="1"/>
    <x v="0"/>
    <n v="0"/>
  </r>
  <r>
    <n v="26642300000000"/>
    <x v="1"/>
    <x v="47"/>
    <x v="4"/>
    <s v="MARIA ORTIZ"/>
    <d v="2016-06-02T00:00:00"/>
    <d v="2016-06-02T00:00:00"/>
    <x v="3"/>
    <x v="94"/>
    <x v="5"/>
    <n v="0"/>
    <x v="1"/>
    <n v="0"/>
    <n v="0"/>
    <n v="0"/>
    <x v="1"/>
    <x v="0"/>
    <n v="0"/>
  </r>
  <r>
    <n v="6962760000000"/>
    <x v="1"/>
    <x v="29"/>
    <x v="3"/>
    <s v="CENTRO"/>
    <d v="2016-06-02T00:00:00"/>
    <d v="2016-06-03T00:00:00"/>
    <x v="0"/>
    <x v="93"/>
    <x v="4"/>
    <n v="0"/>
    <x v="1"/>
    <n v="0"/>
    <n v="0"/>
    <n v="0"/>
    <x v="1"/>
    <x v="0"/>
    <n v="0"/>
  </r>
  <r>
    <n v="8838180000000"/>
    <x v="1"/>
    <x v="40"/>
    <x v="1"/>
    <s v="SANTA MARTHA"/>
    <d v="2016-06-02T00:00:00"/>
    <d v="2016-06-02T00:00:00"/>
    <x v="3"/>
    <x v="94"/>
    <x v="5"/>
    <n v="0"/>
    <x v="1"/>
    <n v="0"/>
    <n v="0"/>
    <n v="0"/>
    <x v="1"/>
    <x v="0"/>
    <n v="0"/>
  </r>
  <r>
    <n v="333343000000000"/>
    <x v="0"/>
    <x v="74"/>
    <x v="1"/>
    <s v="REPUBLICA"/>
    <d v="2016-06-02T00:00:00"/>
    <d v="2016-06-07T00:00:00"/>
    <x v="4"/>
    <x v="92"/>
    <x v="3"/>
    <n v="1"/>
    <x v="0"/>
    <n v="0"/>
    <n v="0"/>
    <n v="0"/>
    <x v="0"/>
    <x v="0"/>
    <n v="0"/>
  </r>
  <r>
    <n v="68975300000000"/>
    <x v="0"/>
    <x v="44"/>
    <x v="4"/>
    <s v="MARIA ORTIZ"/>
    <d v="2016-06-02T00:00:00"/>
    <d v="2016-06-02T00:00:00"/>
    <x v="3"/>
    <x v="94"/>
    <x v="5"/>
    <n v="0"/>
    <x v="1"/>
    <n v="0"/>
    <n v="0"/>
    <n v="0"/>
    <x v="1"/>
    <x v="0"/>
    <n v="0"/>
  </r>
  <r>
    <n v="86833400000000"/>
    <x v="0"/>
    <x v="41"/>
    <x v="4"/>
    <s v="ILHA DAS CAIEIRAS"/>
    <d v="2016-06-02T00:00:00"/>
    <d v="2016-06-06T00:00:00"/>
    <x v="2"/>
    <x v="86"/>
    <x v="3"/>
    <n v="1"/>
    <x v="1"/>
    <n v="0"/>
    <n v="0"/>
    <n v="0"/>
    <x v="0"/>
    <x v="1"/>
    <n v="1"/>
  </r>
  <r>
    <n v="45295500000000"/>
    <x v="0"/>
    <x v="31"/>
    <x v="1"/>
    <s v="REDENCAO"/>
    <d v="2016-06-02T00:00:00"/>
    <d v="2016-06-02T00:00:00"/>
    <x v="3"/>
    <x v="94"/>
    <x v="5"/>
    <n v="0"/>
    <x v="1"/>
    <n v="0"/>
    <n v="0"/>
    <n v="0"/>
    <x v="1"/>
    <x v="0"/>
    <n v="0"/>
  </r>
  <r>
    <n v="356386000000000"/>
    <x v="0"/>
    <x v="37"/>
    <x v="3"/>
    <s v="GURIGICA"/>
    <d v="2016-06-02T00:00:00"/>
    <d v="2016-06-06T00:00:00"/>
    <x v="2"/>
    <x v="86"/>
    <x v="3"/>
    <n v="0"/>
    <x v="1"/>
    <n v="1"/>
    <n v="0"/>
    <n v="0"/>
    <x v="0"/>
    <x v="0"/>
    <n v="0"/>
  </r>
  <r>
    <n v="56517600000000"/>
    <x v="1"/>
    <x v="37"/>
    <x v="3"/>
    <s v="MARIA ORTIZ"/>
    <d v="2016-06-02T00:00:00"/>
    <d v="2016-06-06T00:00:00"/>
    <x v="2"/>
    <x v="86"/>
    <x v="3"/>
    <n v="0"/>
    <x v="1"/>
    <n v="0"/>
    <n v="0"/>
    <n v="0"/>
    <x v="0"/>
    <x v="0"/>
    <n v="0"/>
  </r>
  <r>
    <n v="8923120000000"/>
    <x v="0"/>
    <x v="75"/>
    <x v="5"/>
    <s v="ANDORINHAS"/>
    <d v="2016-06-02T00:00:00"/>
    <d v="2016-06-08T00:00:00"/>
    <x v="1"/>
    <x v="90"/>
    <x v="3"/>
    <n v="0"/>
    <x v="1"/>
    <n v="0"/>
    <n v="0"/>
    <n v="0"/>
    <x v="0"/>
    <x v="1"/>
    <n v="1"/>
  </r>
  <r>
    <n v="74222300000000"/>
    <x v="0"/>
    <x v="83"/>
    <x v="0"/>
    <s v="PARQUE MOSCOSO"/>
    <d v="2016-06-02T00:00:00"/>
    <d v="2016-06-02T00:00:00"/>
    <x v="3"/>
    <x v="94"/>
    <x v="5"/>
    <n v="0"/>
    <x v="0"/>
    <n v="0"/>
    <n v="0"/>
    <n v="0"/>
    <x v="1"/>
    <x v="1"/>
    <n v="1"/>
  </r>
  <r>
    <n v="87514700000000"/>
    <x v="0"/>
    <x v="17"/>
    <x v="4"/>
    <s v="SAO JOSE"/>
    <d v="2016-06-02T00:00:00"/>
    <d v="2016-06-02T00:00:00"/>
    <x v="3"/>
    <x v="94"/>
    <x v="5"/>
    <n v="0"/>
    <x v="1"/>
    <n v="0"/>
    <n v="0"/>
    <n v="0"/>
    <x v="1"/>
    <x v="0"/>
    <n v="0"/>
  </r>
  <r>
    <n v="24393400000000"/>
    <x v="0"/>
    <x v="32"/>
    <x v="4"/>
    <s v="JARDIM DA PENHA"/>
    <d v="2016-06-02T00:00:00"/>
    <d v="2016-06-02T00:00:00"/>
    <x v="3"/>
    <x v="94"/>
    <x v="5"/>
    <n v="0"/>
    <x v="1"/>
    <n v="0"/>
    <n v="0"/>
    <n v="0"/>
    <x v="1"/>
    <x v="0"/>
    <n v="0"/>
  </r>
  <r>
    <n v="744219000000000"/>
    <x v="0"/>
    <x v="18"/>
    <x v="0"/>
    <s v="JARDIM DA PENHA"/>
    <d v="2016-06-02T00:00:00"/>
    <d v="2016-06-02T00:00:00"/>
    <x v="3"/>
    <x v="94"/>
    <x v="5"/>
    <n v="0"/>
    <x v="0"/>
    <n v="1"/>
    <n v="0"/>
    <n v="0"/>
    <x v="1"/>
    <x v="0"/>
    <n v="0"/>
  </r>
  <r>
    <n v="151632000000"/>
    <x v="1"/>
    <x v="15"/>
    <x v="3"/>
    <s v="SANTA MARTHA"/>
    <d v="2016-06-02T00:00:00"/>
    <d v="2016-06-02T00:00:00"/>
    <x v="3"/>
    <x v="94"/>
    <x v="5"/>
    <n v="0"/>
    <x v="1"/>
    <n v="0"/>
    <n v="0"/>
    <n v="0"/>
    <x v="1"/>
    <x v="0"/>
    <n v="0"/>
  </r>
  <r>
    <n v="94488300000000"/>
    <x v="1"/>
    <x v="40"/>
    <x v="1"/>
    <s v="CENTRO"/>
    <d v="2016-06-02T00:00:00"/>
    <d v="2016-06-02T00:00:00"/>
    <x v="3"/>
    <x v="94"/>
    <x v="5"/>
    <n v="0"/>
    <x v="1"/>
    <n v="0"/>
    <n v="0"/>
    <n v="0"/>
    <x v="1"/>
    <x v="0"/>
    <n v="0"/>
  </r>
  <r>
    <n v="36573186766"/>
    <x v="0"/>
    <x v="50"/>
    <x v="1"/>
    <s v="DA PENHA"/>
    <d v="2016-06-02T00:00:00"/>
    <d v="2016-06-02T00:00:00"/>
    <x v="3"/>
    <x v="94"/>
    <x v="5"/>
    <n v="1"/>
    <x v="0"/>
    <n v="1"/>
    <n v="0"/>
    <n v="0"/>
    <x v="1"/>
    <x v="0"/>
    <n v="0"/>
  </r>
  <r>
    <n v="655485000000000"/>
    <x v="0"/>
    <x v="11"/>
    <x v="0"/>
    <s v="TABUAZEIRO"/>
    <d v="2016-06-02T00:00:00"/>
    <d v="2016-06-07T00:00:00"/>
    <x v="4"/>
    <x v="92"/>
    <x v="3"/>
    <n v="0"/>
    <x v="0"/>
    <n v="0"/>
    <n v="0"/>
    <n v="0"/>
    <x v="1"/>
    <x v="1"/>
    <n v="1"/>
  </r>
  <r>
    <n v="937320000000"/>
    <x v="0"/>
    <x v="58"/>
    <x v="0"/>
    <s v="REDENCAO"/>
    <d v="2016-06-02T00:00:00"/>
    <d v="2016-06-02T00:00:00"/>
    <x v="3"/>
    <x v="94"/>
    <x v="5"/>
    <n v="0"/>
    <x v="0"/>
    <n v="1"/>
    <n v="0"/>
    <n v="1"/>
    <x v="1"/>
    <x v="0"/>
    <n v="0"/>
  </r>
  <r>
    <n v="3486420000000"/>
    <x v="1"/>
    <x v="15"/>
    <x v="3"/>
    <s v="ITARARE"/>
    <d v="2016-06-02T00:00:00"/>
    <d v="2016-06-02T00:00:00"/>
    <x v="3"/>
    <x v="94"/>
    <x v="5"/>
    <n v="0"/>
    <x v="0"/>
    <n v="0"/>
    <n v="0"/>
    <n v="0"/>
    <x v="1"/>
    <x v="0"/>
    <n v="0"/>
  </r>
  <r>
    <n v="21526200000000"/>
    <x v="1"/>
    <x v="12"/>
    <x v="3"/>
    <s v="ILHA DE SANTA MARIA"/>
    <d v="2016-06-02T00:00:00"/>
    <d v="2016-06-03T00:00:00"/>
    <x v="0"/>
    <x v="93"/>
    <x v="4"/>
    <n v="0"/>
    <x v="1"/>
    <n v="0"/>
    <n v="0"/>
    <n v="0"/>
    <x v="1"/>
    <x v="0"/>
    <n v="0"/>
  </r>
  <r>
    <n v="221358000000000"/>
    <x v="1"/>
    <x v="80"/>
    <x v="2"/>
    <s v="SAO BENEDITO"/>
    <d v="2016-06-02T00:00:00"/>
    <d v="2016-06-02T00:00:00"/>
    <x v="3"/>
    <x v="94"/>
    <x v="5"/>
    <n v="0"/>
    <x v="1"/>
    <n v="0"/>
    <n v="0"/>
    <n v="0"/>
    <x v="1"/>
    <x v="0"/>
    <n v="0"/>
  </r>
  <r>
    <n v="5592920000000"/>
    <x v="1"/>
    <x v="69"/>
    <x v="4"/>
    <s v="ILHA DE SANTA MARIA"/>
    <d v="2016-06-02T00:00:00"/>
    <d v="2016-06-02T00:00:00"/>
    <x v="3"/>
    <x v="94"/>
    <x v="5"/>
    <n v="0"/>
    <x v="1"/>
    <n v="0"/>
    <n v="0"/>
    <n v="0"/>
    <x v="1"/>
    <x v="0"/>
    <n v="0"/>
  </r>
  <r>
    <n v="8875880000000"/>
    <x v="0"/>
    <x v="47"/>
    <x v="4"/>
    <s v="DA PENHA"/>
    <d v="2016-06-02T00:00:00"/>
    <d v="2016-06-02T00:00:00"/>
    <x v="3"/>
    <x v="94"/>
    <x v="5"/>
    <n v="0"/>
    <x v="1"/>
    <n v="0"/>
    <n v="0"/>
    <n v="0"/>
    <x v="1"/>
    <x v="0"/>
    <n v="0"/>
  </r>
  <r>
    <n v="61898729283"/>
    <x v="0"/>
    <x v="7"/>
    <x v="3"/>
    <s v="JARDIM DA PENHA"/>
    <d v="2016-06-02T00:00:00"/>
    <d v="2016-06-06T00:00:00"/>
    <x v="2"/>
    <x v="86"/>
    <x v="3"/>
    <n v="0"/>
    <x v="0"/>
    <n v="0"/>
    <n v="0"/>
    <n v="0"/>
    <x v="1"/>
    <x v="0"/>
    <n v="0"/>
  </r>
  <r>
    <n v="29688485855"/>
    <x v="0"/>
    <x v="80"/>
    <x v="2"/>
    <s v="ILHA DE SANTA MARIA"/>
    <d v="2016-06-02T00:00:00"/>
    <d v="2016-06-08T00:00:00"/>
    <x v="1"/>
    <x v="90"/>
    <x v="3"/>
    <n v="0"/>
    <x v="1"/>
    <n v="0"/>
    <n v="0"/>
    <n v="0"/>
    <x v="0"/>
    <x v="0"/>
    <n v="0"/>
  </r>
  <r>
    <n v="329518000000000"/>
    <x v="0"/>
    <x v="32"/>
    <x v="4"/>
    <s v="NOVA PALESTINA"/>
    <d v="2016-06-02T00:00:00"/>
    <d v="2016-06-02T00:00:00"/>
    <x v="3"/>
    <x v="94"/>
    <x v="5"/>
    <n v="0"/>
    <x v="1"/>
    <n v="0"/>
    <n v="0"/>
    <n v="0"/>
    <x v="1"/>
    <x v="0"/>
    <n v="0"/>
  </r>
  <r>
    <n v="66172700000000"/>
    <x v="0"/>
    <x v="84"/>
    <x v="1"/>
    <s v="JARDIM CAMBURI"/>
    <d v="2016-06-02T00:00:00"/>
    <d v="2016-06-02T00:00:00"/>
    <x v="3"/>
    <x v="94"/>
    <x v="5"/>
    <n v="0"/>
    <x v="1"/>
    <n v="0"/>
    <n v="0"/>
    <n v="0"/>
    <x v="1"/>
    <x v="0"/>
    <n v="0"/>
  </r>
  <r>
    <n v="89854900000000"/>
    <x v="1"/>
    <x v="72"/>
    <x v="5"/>
    <s v="NOVA PALESTINA"/>
    <d v="2016-06-02T00:00:00"/>
    <d v="2016-06-02T00:00:00"/>
    <x v="3"/>
    <x v="94"/>
    <x v="5"/>
    <n v="0"/>
    <x v="1"/>
    <n v="0"/>
    <n v="0"/>
    <n v="0"/>
    <x v="1"/>
    <x v="0"/>
    <n v="0"/>
  </r>
  <r>
    <n v="244138000000000"/>
    <x v="0"/>
    <x v="44"/>
    <x v="4"/>
    <s v="JARDIM DA PENHA"/>
    <d v="2016-06-02T00:00:00"/>
    <d v="2016-06-02T00:00:00"/>
    <x v="3"/>
    <x v="94"/>
    <x v="5"/>
    <n v="0"/>
    <x v="1"/>
    <n v="0"/>
    <n v="0"/>
    <n v="0"/>
    <x v="1"/>
    <x v="0"/>
    <n v="0"/>
  </r>
  <r>
    <n v="86848800000000"/>
    <x v="1"/>
    <x v="6"/>
    <x v="0"/>
    <s v="PRAIA DO CANTO"/>
    <d v="2016-06-02T00:00:00"/>
    <d v="2016-06-02T00:00:00"/>
    <x v="3"/>
    <x v="94"/>
    <x v="5"/>
    <n v="0"/>
    <x v="1"/>
    <n v="0"/>
    <n v="0"/>
    <n v="0"/>
    <x v="1"/>
    <x v="0"/>
    <n v="0"/>
  </r>
  <r>
    <n v="6341790000000"/>
    <x v="0"/>
    <x v="74"/>
    <x v="1"/>
    <s v="ITARARE"/>
    <d v="2016-06-02T00:00:00"/>
    <d v="2016-06-02T00:00:00"/>
    <x v="3"/>
    <x v="94"/>
    <x v="5"/>
    <n v="0"/>
    <x v="0"/>
    <n v="1"/>
    <n v="0"/>
    <n v="0"/>
    <x v="1"/>
    <x v="0"/>
    <n v="0"/>
  </r>
  <r>
    <n v="472745000000"/>
    <x v="0"/>
    <x v="74"/>
    <x v="1"/>
    <s v="MARIA ORTIZ"/>
    <d v="2016-06-02T00:00:00"/>
    <d v="2016-06-02T00:00:00"/>
    <x v="3"/>
    <x v="94"/>
    <x v="5"/>
    <n v="0"/>
    <x v="1"/>
    <n v="0"/>
    <n v="0"/>
    <n v="0"/>
    <x v="1"/>
    <x v="0"/>
    <n v="0"/>
  </r>
  <r>
    <n v="94232100000000"/>
    <x v="0"/>
    <x v="41"/>
    <x v="4"/>
    <s v="SANTA TEREZA"/>
    <d v="2016-06-02T00:00:00"/>
    <d v="2016-06-02T00:00:00"/>
    <x v="3"/>
    <x v="94"/>
    <x v="5"/>
    <n v="0"/>
    <x v="1"/>
    <n v="0"/>
    <n v="0"/>
    <n v="0"/>
    <x v="1"/>
    <x v="0"/>
    <n v="0"/>
  </r>
  <r>
    <n v="461592000000000"/>
    <x v="0"/>
    <x v="65"/>
    <x v="2"/>
    <s v="SAO JOSE"/>
    <d v="2016-06-02T00:00:00"/>
    <d v="2016-06-02T00:00:00"/>
    <x v="3"/>
    <x v="94"/>
    <x v="5"/>
    <n v="0"/>
    <x v="1"/>
    <n v="0"/>
    <n v="0"/>
    <n v="0"/>
    <x v="1"/>
    <x v="0"/>
    <n v="0"/>
  </r>
  <r>
    <n v="297339000000000"/>
    <x v="0"/>
    <x v="51"/>
    <x v="2"/>
    <s v="BONFIM"/>
    <d v="2016-06-02T00:00:00"/>
    <d v="2016-06-08T00:00:00"/>
    <x v="1"/>
    <x v="90"/>
    <x v="3"/>
    <n v="0"/>
    <x v="1"/>
    <n v="0"/>
    <n v="0"/>
    <n v="0"/>
    <x v="0"/>
    <x v="1"/>
    <n v="1"/>
  </r>
  <r>
    <n v="76329700000000"/>
    <x v="0"/>
    <x v="70"/>
    <x v="5"/>
    <s v="SANTO ANDRE"/>
    <d v="2016-06-02T00:00:00"/>
    <d v="2016-06-02T00:00:00"/>
    <x v="3"/>
    <x v="94"/>
    <x v="5"/>
    <n v="0"/>
    <x v="1"/>
    <n v="0"/>
    <n v="0"/>
    <n v="0"/>
    <x v="1"/>
    <x v="0"/>
    <n v="0"/>
  </r>
  <r>
    <n v="4934440000000"/>
    <x v="1"/>
    <x v="45"/>
    <x v="1"/>
    <s v="CONSOLACAO"/>
    <d v="2016-06-02T00:00:00"/>
    <d v="2016-06-06T00:00:00"/>
    <x v="2"/>
    <x v="86"/>
    <x v="3"/>
    <n v="0"/>
    <x v="1"/>
    <n v="0"/>
    <n v="0"/>
    <n v="0"/>
    <x v="0"/>
    <x v="0"/>
    <n v="0"/>
  </r>
  <r>
    <n v="59616600000000"/>
    <x v="0"/>
    <x v="81"/>
    <x v="5"/>
    <s v="SANTOS DUMONT"/>
    <d v="2016-06-02T00:00:00"/>
    <d v="2016-06-03T00:00:00"/>
    <x v="0"/>
    <x v="93"/>
    <x v="4"/>
    <n v="0"/>
    <x v="1"/>
    <n v="0"/>
    <n v="0"/>
    <n v="0"/>
    <x v="1"/>
    <x v="0"/>
    <n v="0"/>
  </r>
  <r>
    <n v="75382400000000"/>
    <x v="0"/>
    <x v="70"/>
    <x v="5"/>
    <s v="BELA VISTA"/>
    <d v="2016-06-02T00:00:00"/>
    <d v="2016-06-02T00:00:00"/>
    <x v="3"/>
    <x v="94"/>
    <x v="5"/>
    <n v="1"/>
    <x v="1"/>
    <n v="0"/>
    <n v="0"/>
    <n v="0"/>
    <x v="1"/>
    <x v="0"/>
    <n v="0"/>
  </r>
  <r>
    <n v="811459000000000"/>
    <x v="1"/>
    <x v="28"/>
    <x v="3"/>
    <s v="RESISTENCIA"/>
    <d v="2016-06-02T00:00:00"/>
    <d v="2016-06-08T00:00:00"/>
    <x v="1"/>
    <x v="90"/>
    <x v="3"/>
    <n v="0"/>
    <x v="1"/>
    <n v="1"/>
    <n v="0"/>
    <n v="0"/>
    <x v="1"/>
    <x v="0"/>
    <n v="0"/>
  </r>
  <r>
    <n v="237854000000"/>
    <x v="1"/>
    <x v="84"/>
    <x v="1"/>
    <s v="ILHA DE SANTA MARIA"/>
    <d v="2016-06-02T00:00:00"/>
    <d v="2016-06-08T00:00:00"/>
    <x v="1"/>
    <x v="90"/>
    <x v="3"/>
    <n v="0"/>
    <x v="1"/>
    <n v="0"/>
    <n v="0"/>
    <n v="0"/>
    <x v="1"/>
    <x v="0"/>
    <n v="0"/>
  </r>
  <r>
    <n v="93712500000000"/>
    <x v="0"/>
    <x v="11"/>
    <x v="0"/>
    <s v="SAO JOSE"/>
    <d v="2016-06-02T00:00:00"/>
    <d v="2016-06-02T00:00:00"/>
    <x v="3"/>
    <x v="94"/>
    <x v="5"/>
    <n v="0"/>
    <x v="0"/>
    <n v="0"/>
    <n v="0"/>
    <n v="0"/>
    <x v="1"/>
    <x v="0"/>
    <n v="0"/>
  </r>
  <r>
    <n v="2143390000000"/>
    <x v="1"/>
    <x v="14"/>
    <x v="3"/>
    <s v="BARRO VERMELHO"/>
    <d v="2016-06-02T00:00:00"/>
    <d v="2016-06-02T00:00:00"/>
    <x v="3"/>
    <x v="94"/>
    <x v="5"/>
    <n v="0"/>
    <x v="1"/>
    <n v="0"/>
    <n v="0"/>
    <n v="0"/>
    <x v="1"/>
    <x v="0"/>
    <n v="0"/>
  </r>
  <r>
    <n v="496892000000000"/>
    <x v="0"/>
    <x v="28"/>
    <x v="3"/>
    <s v="JARDIM CAMBURI"/>
    <d v="2016-06-02T00:00:00"/>
    <d v="2016-06-06T00:00:00"/>
    <x v="2"/>
    <x v="86"/>
    <x v="3"/>
    <n v="0"/>
    <x v="1"/>
    <n v="0"/>
    <n v="0"/>
    <n v="0"/>
    <x v="0"/>
    <x v="1"/>
    <n v="1"/>
  </r>
  <r>
    <n v="115519000000000"/>
    <x v="0"/>
    <x v="41"/>
    <x v="4"/>
    <s v="SANTO ANDRE"/>
    <d v="2016-06-02T00:00:00"/>
    <d v="2016-06-02T00:00:00"/>
    <x v="3"/>
    <x v="94"/>
    <x v="5"/>
    <n v="0"/>
    <x v="1"/>
    <n v="0"/>
    <n v="0"/>
    <n v="0"/>
    <x v="1"/>
    <x v="0"/>
    <n v="0"/>
  </r>
  <r>
    <n v="76896900000000"/>
    <x v="1"/>
    <x v="23"/>
    <x v="3"/>
    <s v="BELA VISTA"/>
    <d v="2016-06-02T00:00:00"/>
    <d v="2016-06-03T00:00:00"/>
    <x v="0"/>
    <x v="93"/>
    <x v="4"/>
    <n v="0"/>
    <x v="0"/>
    <n v="0"/>
    <n v="0"/>
    <n v="1"/>
    <x v="1"/>
    <x v="0"/>
    <n v="0"/>
  </r>
  <r>
    <n v="65912400000000"/>
    <x v="1"/>
    <x v="2"/>
    <x v="1"/>
    <s v="JOANA D ARC"/>
    <d v="2016-06-02T00:00:00"/>
    <d v="2016-06-02T00:00:00"/>
    <x v="3"/>
    <x v="94"/>
    <x v="5"/>
    <n v="0"/>
    <x v="0"/>
    <n v="0"/>
    <n v="0"/>
    <n v="0"/>
    <x v="1"/>
    <x v="0"/>
    <n v="0"/>
  </r>
  <r>
    <n v="72514100000000"/>
    <x v="1"/>
    <x v="33"/>
    <x v="4"/>
    <s v="SAO JOSE"/>
    <d v="2016-06-02T00:00:00"/>
    <d v="2016-06-02T00:00:00"/>
    <x v="3"/>
    <x v="94"/>
    <x v="5"/>
    <n v="1"/>
    <x v="1"/>
    <n v="0"/>
    <n v="0"/>
    <n v="0"/>
    <x v="1"/>
    <x v="0"/>
    <n v="0"/>
  </r>
  <r>
    <n v="41239800000000"/>
    <x v="0"/>
    <x v="43"/>
    <x v="2"/>
    <s v="SANTO ANDRE"/>
    <d v="2016-06-02T00:00:00"/>
    <d v="2016-06-02T00:00:00"/>
    <x v="3"/>
    <x v="94"/>
    <x v="5"/>
    <n v="0"/>
    <x v="1"/>
    <n v="0"/>
    <n v="0"/>
    <n v="0"/>
    <x v="1"/>
    <x v="0"/>
    <n v="0"/>
  </r>
  <r>
    <n v="1537430000000"/>
    <x v="0"/>
    <x v="73"/>
    <x v="4"/>
    <s v="SANTO ANDRE"/>
    <d v="2016-06-02T00:00:00"/>
    <d v="2016-06-02T00:00:00"/>
    <x v="3"/>
    <x v="94"/>
    <x v="5"/>
    <n v="1"/>
    <x v="1"/>
    <n v="0"/>
    <n v="0"/>
    <n v="0"/>
    <x v="1"/>
    <x v="0"/>
    <n v="0"/>
  </r>
  <r>
    <n v="32984600000000"/>
    <x v="0"/>
    <x v="36"/>
    <x v="3"/>
    <s v="ITARARE"/>
    <d v="2016-06-02T00:00:00"/>
    <d v="2016-06-02T00:00:00"/>
    <x v="3"/>
    <x v="94"/>
    <x v="5"/>
    <n v="0"/>
    <x v="0"/>
    <n v="0"/>
    <n v="0"/>
    <n v="0"/>
    <x v="1"/>
    <x v="0"/>
    <n v="0"/>
  </r>
  <r>
    <n v="65652000000000"/>
    <x v="0"/>
    <x v="78"/>
    <x v="0"/>
    <s v="BOA VISTA"/>
    <d v="2016-06-02T00:00:00"/>
    <d v="2016-06-02T00:00:00"/>
    <x v="3"/>
    <x v="94"/>
    <x v="5"/>
    <n v="0"/>
    <x v="1"/>
    <n v="0"/>
    <n v="0"/>
    <n v="0"/>
    <x v="1"/>
    <x v="0"/>
    <n v="0"/>
  </r>
  <r>
    <n v="986163000000000"/>
    <x v="0"/>
    <x v="45"/>
    <x v="1"/>
    <s v="SANTA MARTHA"/>
    <d v="2016-06-02T00:00:00"/>
    <d v="2016-06-02T00:00:00"/>
    <x v="3"/>
    <x v="94"/>
    <x v="5"/>
    <n v="0"/>
    <x v="1"/>
    <n v="0"/>
    <n v="1"/>
    <n v="0"/>
    <x v="1"/>
    <x v="0"/>
    <n v="0"/>
  </r>
  <r>
    <n v="913558000000"/>
    <x v="0"/>
    <x v="55"/>
    <x v="2"/>
    <s v="MARIA ORTIZ"/>
    <d v="2016-06-02T00:00:00"/>
    <d v="2016-06-02T00:00:00"/>
    <x v="3"/>
    <x v="94"/>
    <x v="5"/>
    <n v="0"/>
    <x v="1"/>
    <n v="0"/>
    <n v="0"/>
    <n v="0"/>
    <x v="1"/>
    <x v="0"/>
    <n v="0"/>
  </r>
  <r>
    <n v="912886000000000"/>
    <x v="0"/>
    <x v="81"/>
    <x v="5"/>
    <s v="PRAIA DO CANTO"/>
    <d v="2016-06-02T00:00:00"/>
    <d v="2016-06-02T00:00:00"/>
    <x v="3"/>
    <x v="94"/>
    <x v="5"/>
    <n v="0"/>
    <x v="1"/>
    <n v="0"/>
    <n v="0"/>
    <n v="0"/>
    <x v="1"/>
    <x v="0"/>
    <n v="0"/>
  </r>
  <r>
    <n v="5186220000000"/>
    <x v="0"/>
    <x v="59"/>
    <x v="2"/>
    <s v="JUCUTUQUARA"/>
    <d v="2016-06-02T00:00:00"/>
    <d v="2016-06-08T00:00:00"/>
    <x v="1"/>
    <x v="90"/>
    <x v="3"/>
    <n v="0"/>
    <x v="1"/>
    <n v="0"/>
    <n v="0"/>
    <n v="0"/>
    <x v="0"/>
    <x v="1"/>
    <n v="1"/>
  </r>
  <r>
    <n v="483584000000000"/>
    <x v="0"/>
    <x v="19"/>
    <x v="2"/>
    <s v="NOVA PALESTINA"/>
    <d v="2016-06-02T00:00:00"/>
    <d v="2016-06-02T00:00:00"/>
    <x v="3"/>
    <x v="94"/>
    <x v="5"/>
    <n v="0"/>
    <x v="1"/>
    <n v="0"/>
    <n v="0"/>
    <n v="0"/>
    <x v="1"/>
    <x v="0"/>
    <n v="0"/>
  </r>
  <r>
    <n v="9554970000000"/>
    <x v="0"/>
    <x v="59"/>
    <x v="2"/>
    <s v="MARIO CYPRESTE"/>
    <d v="2016-06-02T00:00:00"/>
    <d v="2016-06-02T00:00:00"/>
    <x v="3"/>
    <x v="94"/>
    <x v="5"/>
    <n v="0"/>
    <x v="1"/>
    <n v="0"/>
    <n v="0"/>
    <n v="0"/>
    <x v="1"/>
    <x v="0"/>
    <n v="0"/>
  </r>
  <r>
    <n v="1743530000000"/>
    <x v="1"/>
    <x v="10"/>
    <x v="4"/>
    <s v="MONTE BELO"/>
    <d v="2016-06-02T00:00:00"/>
    <d v="2016-06-06T00:00:00"/>
    <x v="2"/>
    <x v="86"/>
    <x v="3"/>
    <n v="0"/>
    <x v="1"/>
    <n v="0"/>
    <n v="0"/>
    <n v="0"/>
    <x v="0"/>
    <x v="0"/>
    <n v="0"/>
  </r>
  <r>
    <n v="4592300000000"/>
    <x v="0"/>
    <x v="69"/>
    <x v="4"/>
    <s v="JARDIM DA PENHA"/>
    <d v="2016-06-02T00:00:00"/>
    <d v="2016-06-07T00:00:00"/>
    <x v="4"/>
    <x v="92"/>
    <x v="3"/>
    <n v="0"/>
    <x v="1"/>
    <n v="0"/>
    <n v="0"/>
    <n v="0"/>
    <x v="0"/>
    <x v="1"/>
    <n v="1"/>
  </r>
  <r>
    <n v="62581900000000"/>
    <x v="0"/>
    <x v="36"/>
    <x v="3"/>
    <s v="BOA VISTA"/>
    <d v="2016-06-02T00:00:00"/>
    <d v="2016-06-02T00:00:00"/>
    <x v="3"/>
    <x v="94"/>
    <x v="5"/>
    <n v="0"/>
    <x v="1"/>
    <n v="0"/>
    <n v="0"/>
    <n v="0"/>
    <x v="1"/>
    <x v="0"/>
    <n v="0"/>
  </r>
  <r>
    <n v="624788000000000"/>
    <x v="1"/>
    <x v="80"/>
    <x v="2"/>
    <s v="GURIGICA"/>
    <d v="2016-06-02T00:00:00"/>
    <d v="2016-06-06T00:00:00"/>
    <x v="2"/>
    <x v="86"/>
    <x v="3"/>
    <n v="0"/>
    <x v="1"/>
    <n v="0"/>
    <n v="0"/>
    <n v="0"/>
    <x v="0"/>
    <x v="1"/>
    <n v="1"/>
  </r>
  <r>
    <n v="36349100000000"/>
    <x v="0"/>
    <x v="30"/>
    <x v="3"/>
    <s v="BENTO FERREIRA"/>
    <d v="2016-06-02T00:00:00"/>
    <d v="2016-06-08T00:00:00"/>
    <x v="1"/>
    <x v="90"/>
    <x v="3"/>
    <n v="0"/>
    <x v="1"/>
    <n v="0"/>
    <n v="0"/>
    <n v="0"/>
    <x v="0"/>
    <x v="0"/>
    <n v="0"/>
  </r>
  <r>
    <n v="252315000000000"/>
    <x v="0"/>
    <x v="70"/>
    <x v="5"/>
    <s v="RESISTENCIA"/>
    <d v="2016-06-02T00:00:00"/>
    <d v="2016-06-02T00:00:00"/>
    <x v="3"/>
    <x v="94"/>
    <x v="5"/>
    <n v="1"/>
    <x v="1"/>
    <n v="0"/>
    <n v="0"/>
    <n v="0"/>
    <x v="1"/>
    <x v="0"/>
    <n v="0"/>
  </r>
  <r>
    <n v="25179700000000"/>
    <x v="0"/>
    <x v="49"/>
    <x v="4"/>
    <s v="ILHA DE SANTA MARIA"/>
    <d v="2016-06-02T00:00:00"/>
    <d v="2016-06-02T00:00:00"/>
    <x v="3"/>
    <x v="94"/>
    <x v="5"/>
    <n v="0"/>
    <x v="1"/>
    <n v="0"/>
    <n v="0"/>
    <n v="0"/>
    <x v="1"/>
    <x v="0"/>
    <n v="0"/>
  </r>
  <r>
    <n v="48738700000000"/>
    <x v="0"/>
    <x v="36"/>
    <x v="3"/>
    <s v="PRAIA DO CANTO"/>
    <d v="2016-06-02T00:00:00"/>
    <d v="2016-06-02T00:00:00"/>
    <x v="3"/>
    <x v="94"/>
    <x v="5"/>
    <n v="0"/>
    <x v="1"/>
    <n v="0"/>
    <n v="0"/>
    <n v="0"/>
    <x v="1"/>
    <x v="0"/>
    <n v="0"/>
  </r>
  <r>
    <n v="74981200000000"/>
    <x v="0"/>
    <x v="6"/>
    <x v="0"/>
    <s v="SANTA LUCIA"/>
    <d v="2016-06-02T00:00:00"/>
    <d v="2016-06-02T00:00:00"/>
    <x v="3"/>
    <x v="94"/>
    <x v="5"/>
    <n v="0"/>
    <x v="1"/>
    <n v="0"/>
    <n v="0"/>
    <n v="0"/>
    <x v="1"/>
    <x v="1"/>
    <n v="1"/>
  </r>
  <r>
    <n v="63137100000000"/>
    <x v="0"/>
    <x v="22"/>
    <x v="4"/>
    <s v="BONFIM"/>
    <d v="2016-06-02T00:00:00"/>
    <d v="2016-06-02T00:00:00"/>
    <x v="3"/>
    <x v="94"/>
    <x v="5"/>
    <n v="0"/>
    <x v="1"/>
    <n v="0"/>
    <n v="0"/>
    <n v="0"/>
    <x v="1"/>
    <x v="0"/>
    <n v="0"/>
  </r>
  <r>
    <n v="9311670000000"/>
    <x v="1"/>
    <x v="46"/>
    <x v="2"/>
    <s v="PRAIA DO SUA"/>
    <d v="2016-06-02T00:00:00"/>
    <d v="2016-06-02T00:00:00"/>
    <x v="3"/>
    <x v="94"/>
    <x v="5"/>
    <n v="0"/>
    <x v="1"/>
    <n v="0"/>
    <n v="0"/>
    <n v="0"/>
    <x v="1"/>
    <x v="0"/>
    <n v="0"/>
  </r>
  <r>
    <n v="3381570000000"/>
    <x v="0"/>
    <x v="6"/>
    <x v="0"/>
    <s v="SANTO ANTONIO"/>
    <d v="2016-06-02T00:00:00"/>
    <d v="2016-06-02T00:00:00"/>
    <x v="3"/>
    <x v="94"/>
    <x v="5"/>
    <n v="0"/>
    <x v="1"/>
    <n v="0"/>
    <n v="0"/>
    <n v="0"/>
    <x v="1"/>
    <x v="0"/>
    <n v="0"/>
  </r>
  <r>
    <n v="89121300000000"/>
    <x v="0"/>
    <x v="63"/>
    <x v="0"/>
    <s v="PRAIA DO CANTO"/>
    <d v="2016-06-02T00:00:00"/>
    <d v="2016-06-02T00:00:00"/>
    <x v="3"/>
    <x v="94"/>
    <x v="5"/>
    <n v="0"/>
    <x v="1"/>
    <n v="0"/>
    <n v="0"/>
    <n v="0"/>
    <x v="1"/>
    <x v="0"/>
    <n v="0"/>
  </r>
  <r>
    <n v="518124000000"/>
    <x v="0"/>
    <x v="46"/>
    <x v="2"/>
    <s v="SANTO ANTONIO"/>
    <d v="2016-06-02T00:00:00"/>
    <d v="2016-06-02T00:00:00"/>
    <x v="3"/>
    <x v="94"/>
    <x v="5"/>
    <n v="0"/>
    <x v="1"/>
    <n v="0"/>
    <n v="0"/>
    <n v="0"/>
    <x v="1"/>
    <x v="0"/>
    <n v="0"/>
  </r>
  <r>
    <n v="79151968748"/>
    <x v="1"/>
    <x v="73"/>
    <x v="4"/>
    <s v="MARIA ORTIZ"/>
    <d v="2016-06-02T00:00:00"/>
    <d v="2016-06-02T00:00:00"/>
    <x v="3"/>
    <x v="94"/>
    <x v="5"/>
    <n v="0"/>
    <x v="1"/>
    <n v="0"/>
    <n v="0"/>
    <n v="0"/>
    <x v="1"/>
    <x v="0"/>
    <n v="0"/>
  </r>
  <r>
    <n v="477638000000"/>
    <x v="0"/>
    <x v="53"/>
    <x v="0"/>
    <s v="ILHA DE SANTA MARIA"/>
    <d v="2016-06-02T00:00:00"/>
    <d v="2016-06-02T00:00:00"/>
    <x v="3"/>
    <x v="94"/>
    <x v="5"/>
    <n v="0"/>
    <x v="1"/>
    <n v="0"/>
    <n v="0"/>
    <n v="0"/>
    <x v="1"/>
    <x v="0"/>
    <n v="0"/>
  </r>
  <r>
    <n v="98346200000000"/>
    <x v="0"/>
    <x v="25"/>
    <x v="4"/>
    <s v="RESISTENCIA"/>
    <d v="2016-06-02T00:00:00"/>
    <d v="2016-06-02T00:00:00"/>
    <x v="3"/>
    <x v="94"/>
    <x v="5"/>
    <n v="0"/>
    <x v="1"/>
    <n v="0"/>
    <n v="0"/>
    <n v="0"/>
    <x v="1"/>
    <x v="0"/>
    <n v="0"/>
  </r>
  <r>
    <n v="985347000000"/>
    <x v="0"/>
    <x v="74"/>
    <x v="1"/>
    <s v="VILA RUBIM"/>
    <d v="2016-06-02T00:00:00"/>
    <d v="2016-06-02T00:00:00"/>
    <x v="3"/>
    <x v="94"/>
    <x v="5"/>
    <n v="0"/>
    <x v="0"/>
    <n v="0"/>
    <n v="0"/>
    <n v="0"/>
    <x v="1"/>
    <x v="0"/>
    <n v="0"/>
  </r>
  <r>
    <n v="957545000000"/>
    <x v="1"/>
    <x v="87"/>
    <x v="1"/>
    <s v="SAO PEDRO"/>
    <d v="2016-06-02T00:00:00"/>
    <d v="2016-06-02T00:00:00"/>
    <x v="3"/>
    <x v="94"/>
    <x v="5"/>
    <n v="0"/>
    <x v="1"/>
    <n v="0"/>
    <n v="0"/>
    <n v="0"/>
    <x v="1"/>
    <x v="0"/>
    <n v="0"/>
  </r>
  <r>
    <n v="25422500000000"/>
    <x v="1"/>
    <x v="57"/>
    <x v="2"/>
    <s v="RESISTENCIA"/>
    <d v="2016-06-02T00:00:00"/>
    <d v="2016-06-06T00:00:00"/>
    <x v="2"/>
    <x v="86"/>
    <x v="3"/>
    <n v="0"/>
    <x v="1"/>
    <n v="0"/>
    <n v="0"/>
    <n v="0"/>
    <x v="0"/>
    <x v="0"/>
    <n v="0"/>
  </r>
  <r>
    <n v="972567000000000"/>
    <x v="0"/>
    <x v="29"/>
    <x v="3"/>
    <s v="TABUAZEIRO"/>
    <d v="2016-06-02T00:00:00"/>
    <d v="2016-06-06T00:00:00"/>
    <x v="2"/>
    <x v="86"/>
    <x v="3"/>
    <n v="0"/>
    <x v="1"/>
    <n v="0"/>
    <n v="0"/>
    <n v="0"/>
    <x v="0"/>
    <x v="0"/>
    <n v="0"/>
  </r>
  <r>
    <n v="53515827671"/>
    <x v="0"/>
    <x v="38"/>
    <x v="4"/>
    <s v="SANTO ANTONIO"/>
    <d v="2016-06-02T00:00:00"/>
    <d v="2016-06-06T00:00:00"/>
    <x v="2"/>
    <x v="86"/>
    <x v="3"/>
    <n v="0"/>
    <x v="1"/>
    <n v="0"/>
    <n v="0"/>
    <n v="0"/>
    <x v="0"/>
    <x v="0"/>
    <n v="0"/>
  </r>
  <r>
    <n v="3568850000000"/>
    <x v="0"/>
    <x v="68"/>
    <x v="4"/>
    <s v="FORTE SAO JOAO"/>
    <d v="2016-06-02T00:00:00"/>
    <d v="2016-06-06T00:00:00"/>
    <x v="2"/>
    <x v="86"/>
    <x v="3"/>
    <n v="0"/>
    <x v="1"/>
    <n v="0"/>
    <n v="0"/>
    <n v="0"/>
    <x v="0"/>
    <x v="1"/>
    <n v="1"/>
  </r>
  <r>
    <n v="1774750000000"/>
    <x v="1"/>
    <x v="26"/>
    <x v="0"/>
    <s v="JARDIM CAMBURI"/>
    <d v="2016-06-02T00:00:00"/>
    <d v="2016-06-06T00:00:00"/>
    <x v="2"/>
    <x v="86"/>
    <x v="3"/>
    <n v="0"/>
    <x v="1"/>
    <n v="0"/>
    <n v="0"/>
    <n v="0"/>
    <x v="0"/>
    <x v="0"/>
    <n v="0"/>
  </r>
  <r>
    <n v="6134840000000"/>
    <x v="0"/>
    <x v="91"/>
    <x v="0"/>
    <s v="SAO JOSE"/>
    <d v="2016-06-02T00:00:00"/>
    <d v="2016-06-06T00:00:00"/>
    <x v="2"/>
    <x v="86"/>
    <x v="3"/>
    <n v="0"/>
    <x v="0"/>
    <n v="1"/>
    <n v="0"/>
    <n v="1"/>
    <x v="0"/>
    <x v="0"/>
    <n v="0"/>
  </r>
  <r>
    <n v="46122200000000"/>
    <x v="1"/>
    <x v="6"/>
    <x v="0"/>
    <s v="BONFIM"/>
    <d v="2016-06-02T00:00:00"/>
    <d v="2016-06-03T00:00:00"/>
    <x v="0"/>
    <x v="93"/>
    <x v="4"/>
    <n v="0"/>
    <x v="0"/>
    <n v="1"/>
    <n v="0"/>
    <n v="0"/>
    <x v="1"/>
    <x v="1"/>
    <n v="1"/>
  </r>
  <r>
    <n v="1766180000000"/>
    <x v="0"/>
    <x v="50"/>
    <x v="1"/>
    <s v="ITARARE"/>
    <d v="2016-06-02T00:00:00"/>
    <d v="2016-06-08T00:00:00"/>
    <x v="1"/>
    <x v="90"/>
    <x v="3"/>
    <n v="1"/>
    <x v="1"/>
    <n v="0"/>
    <n v="0"/>
    <n v="0"/>
    <x v="0"/>
    <x v="0"/>
    <n v="0"/>
  </r>
  <r>
    <n v="71971200000000"/>
    <x v="0"/>
    <x v="40"/>
    <x v="1"/>
    <s v="DO QUADRO"/>
    <d v="2016-06-02T00:00:00"/>
    <d v="2016-06-08T00:00:00"/>
    <x v="1"/>
    <x v="90"/>
    <x v="3"/>
    <n v="0"/>
    <x v="1"/>
    <n v="0"/>
    <n v="0"/>
    <n v="0"/>
    <x v="0"/>
    <x v="0"/>
    <n v="0"/>
  </r>
  <r>
    <n v="181183000000000"/>
    <x v="1"/>
    <x v="26"/>
    <x v="0"/>
    <s v="CENTRO"/>
    <d v="2016-06-02T00:00:00"/>
    <d v="2016-06-03T00:00:00"/>
    <x v="0"/>
    <x v="93"/>
    <x v="4"/>
    <n v="0"/>
    <x v="0"/>
    <n v="0"/>
    <n v="0"/>
    <n v="0"/>
    <x v="1"/>
    <x v="0"/>
    <n v="0"/>
  </r>
  <r>
    <n v="99679785292"/>
    <x v="1"/>
    <x v="52"/>
    <x v="2"/>
    <s v="SANTO ANDRE"/>
    <d v="2016-06-02T00:00:00"/>
    <d v="2016-06-03T00:00:00"/>
    <x v="0"/>
    <x v="93"/>
    <x v="4"/>
    <n v="0"/>
    <x v="1"/>
    <n v="0"/>
    <n v="0"/>
    <n v="0"/>
    <x v="1"/>
    <x v="1"/>
    <n v="1"/>
  </r>
  <r>
    <n v="75451400000000"/>
    <x v="0"/>
    <x v="5"/>
    <x v="1"/>
    <s v="SAO JOSE"/>
    <d v="2016-06-02T00:00:00"/>
    <d v="2016-06-02T00:00:00"/>
    <x v="3"/>
    <x v="94"/>
    <x v="5"/>
    <n v="0"/>
    <x v="1"/>
    <n v="0"/>
    <n v="0"/>
    <n v="0"/>
    <x v="1"/>
    <x v="0"/>
    <n v="0"/>
  </r>
  <r>
    <n v="97185900000000"/>
    <x v="0"/>
    <x v="42"/>
    <x v="3"/>
    <s v="ILHA DO PRINCIPE"/>
    <d v="2016-06-02T00:00:00"/>
    <d v="2016-06-08T00:00:00"/>
    <x v="1"/>
    <x v="90"/>
    <x v="3"/>
    <n v="0"/>
    <x v="0"/>
    <n v="1"/>
    <n v="0"/>
    <n v="0"/>
    <x v="1"/>
    <x v="1"/>
    <n v="1"/>
  </r>
  <r>
    <n v="65365400000000"/>
    <x v="0"/>
    <x v="65"/>
    <x v="2"/>
    <s v="ITARARE"/>
    <d v="2016-06-02T00:00:00"/>
    <d v="2016-06-06T00:00:00"/>
    <x v="2"/>
    <x v="86"/>
    <x v="3"/>
    <n v="0"/>
    <x v="1"/>
    <n v="0"/>
    <n v="0"/>
    <n v="0"/>
    <x v="0"/>
    <x v="0"/>
    <n v="0"/>
  </r>
  <r>
    <n v="67724600000000"/>
    <x v="0"/>
    <x v="44"/>
    <x v="4"/>
    <s v="FORTE SAO JOAO"/>
    <d v="2016-06-02T00:00:00"/>
    <d v="2016-06-07T00:00:00"/>
    <x v="4"/>
    <x v="92"/>
    <x v="3"/>
    <n v="0"/>
    <x v="1"/>
    <n v="0"/>
    <n v="0"/>
    <n v="0"/>
    <x v="0"/>
    <x v="0"/>
    <n v="0"/>
  </r>
  <r>
    <n v="34793200000000"/>
    <x v="0"/>
    <x v="22"/>
    <x v="4"/>
    <s v="ITARARE"/>
    <d v="2016-06-02T00:00:00"/>
    <d v="2016-06-07T00:00:00"/>
    <x v="4"/>
    <x v="92"/>
    <x v="3"/>
    <n v="0"/>
    <x v="1"/>
    <n v="0"/>
    <n v="0"/>
    <n v="0"/>
    <x v="0"/>
    <x v="1"/>
    <n v="1"/>
  </r>
  <r>
    <n v="94586661272"/>
    <x v="0"/>
    <x v="49"/>
    <x v="4"/>
    <s v="SAO BENEDITO"/>
    <d v="2016-06-02T00:00:00"/>
    <d v="2016-06-02T00:00:00"/>
    <x v="3"/>
    <x v="94"/>
    <x v="5"/>
    <n v="0"/>
    <x v="1"/>
    <n v="0"/>
    <n v="0"/>
    <n v="0"/>
    <x v="1"/>
    <x v="0"/>
    <n v="0"/>
  </r>
  <r>
    <n v="841397000000000"/>
    <x v="0"/>
    <x v="87"/>
    <x v="1"/>
    <s v="INHANGUETA"/>
    <d v="2016-06-02T00:00:00"/>
    <d v="2016-06-08T00:00:00"/>
    <x v="1"/>
    <x v="90"/>
    <x v="3"/>
    <n v="0"/>
    <x v="1"/>
    <n v="1"/>
    <n v="0"/>
    <n v="0"/>
    <x v="0"/>
    <x v="0"/>
    <n v="0"/>
  </r>
  <r>
    <n v="9381880000000"/>
    <x v="1"/>
    <x v="51"/>
    <x v="2"/>
    <s v="SAO JOSE"/>
    <d v="2016-06-02T00:00:00"/>
    <d v="2016-06-08T00:00:00"/>
    <x v="1"/>
    <x v="90"/>
    <x v="3"/>
    <n v="0"/>
    <x v="1"/>
    <n v="0"/>
    <n v="0"/>
    <n v="0"/>
    <x v="0"/>
    <x v="0"/>
    <n v="0"/>
  </r>
  <r>
    <n v="75224000000000"/>
    <x v="0"/>
    <x v="61"/>
    <x v="1"/>
    <s v="JESUS DE NAZARETH"/>
    <d v="2016-06-02T00:00:00"/>
    <d v="2016-06-02T00:00:00"/>
    <x v="3"/>
    <x v="94"/>
    <x v="5"/>
    <n v="1"/>
    <x v="0"/>
    <n v="0"/>
    <n v="0"/>
    <n v="0"/>
    <x v="1"/>
    <x v="1"/>
    <n v="1"/>
  </r>
  <r>
    <n v="375659000000000"/>
    <x v="0"/>
    <x v="79"/>
    <x v="5"/>
    <s v="MARIA ORTIZ"/>
    <d v="2016-06-02T00:00:00"/>
    <d v="2016-06-02T00:00:00"/>
    <x v="3"/>
    <x v="94"/>
    <x v="5"/>
    <n v="0"/>
    <x v="1"/>
    <n v="0"/>
    <n v="0"/>
    <n v="0"/>
    <x v="1"/>
    <x v="0"/>
    <n v="0"/>
  </r>
  <r>
    <n v="1897260000000"/>
    <x v="1"/>
    <x v="27"/>
    <x v="3"/>
    <s v="JARDIM CAMBURI"/>
    <d v="2016-06-02T00:00:00"/>
    <d v="2016-06-03T00:00:00"/>
    <x v="0"/>
    <x v="93"/>
    <x v="4"/>
    <n v="0"/>
    <x v="1"/>
    <n v="0"/>
    <n v="0"/>
    <n v="0"/>
    <x v="1"/>
    <x v="0"/>
    <n v="0"/>
  </r>
  <r>
    <n v="19314223565"/>
    <x v="0"/>
    <x v="12"/>
    <x v="3"/>
    <s v="JARDIM CAMBURI"/>
    <d v="2016-06-02T00:00:00"/>
    <d v="2016-06-07T00:00:00"/>
    <x v="4"/>
    <x v="92"/>
    <x v="3"/>
    <n v="0"/>
    <x v="1"/>
    <n v="0"/>
    <n v="0"/>
    <n v="0"/>
    <x v="0"/>
    <x v="0"/>
    <n v="0"/>
  </r>
  <r>
    <n v="629693000000000"/>
    <x v="0"/>
    <x v="36"/>
    <x v="3"/>
    <s v="JARDIM CAMBURI"/>
    <d v="2016-06-02T00:00:00"/>
    <d v="2016-06-07T00:00:00"/>
    <x v="4"/>
    <x v="92"/>
    <x v="3"/>
    <n v="0"/>
    <x v="1"/>
    <n v="0"/>
    <n v="0"/>
    <n v="0"/>
    <x v="0"/>
    <x v="0"/>
    <n v="0"/>
  </r>
  <r>
    <n v="2125170000000"/>
    <x v="1"/>
    <x v="30"/>
    <x v="3"/>
    <s v="JARDIM DA PENHA"/>
    <d v="2016-06-02T00:00:00"/>
    <d v="2016-06-06T00:00:00"/>
    <x v="2"/>
    <x v="86"/>
    <x v="3"/>
    <n v="0"/>
    <x v="1"/>
    <n v="0"/>
    <n v="0"/>
    <n v="0"/>
    <x v="0"/>
    <x v="1"/>
    <n v="1"/>
  </r>
  <r>
    <n v="3182560000000"/>
    <x v="0"/>
    <x v="48"/>
    <x v="3"/>
    <s v="JARDIM CAMBURI"/>
    <d v="2016-06-02T00:00:00"/>
    <d v="2016-06-07T00:00:00"/>
    <x v="4"/>
    <x v="92"/>
    <x v="3"/>
    <n v="0"/>
    <x v="1"/>
    <n v="0"/>
    <n v="0"/>
    <n v="0"/>
    <x v="0"/>
    <x v="0"/>
    <n v="0"/>
  </r>
  <r>
    <n v="39979500000000"/>
    <x v="1"/>
    <x v="92"/>
    <x v="0"/>
    <s v="JARDIM CAMBURI"/>
    <d v="2016-06-02T00:00:00"/>
    <d v="2016-06-02T00:00:00"/>
    <x v="3"/>
    <x v="94"/>
    <x v="5"/>
    <n v="0"/>
    <x v="1"/>
    <n v="0"/>
    <n v="0"/>
    <n v="0"/>
    <x v="1"/>
    <x v="0"/>
    <n v="0"/>
  </r>
  <r>
    <n v="7694250000000"/>
    <x v="1"/>
    <x v="38"/>
    <x v="4"/>
    <s v="MARIO CYPRESTE"/>
    <d v="2016-06-02T00:00:00"/>
    <d v="2016-06-08T00:00:00"/>
    <x v="1"/>
    <x v="90"/>
    <x v="3"/>
    <n v="0"/>
    <x v="1"/>
    <n v="0"/>
    <n v="0"/>
    <n v="0"/>
    <x v="0"/>
    <x v="1"/>
    <n v="1"/>
  </r>
  <r>
    <n v="6455360000000"/>
    <x v="0"/>
    <x v="71"/>
    <x v="4"/>
    <s v="SANTO ANTONIO"/>
    <d v="2016-06-02T00:00:00"/>
    <d v="2016-06-08T00:00:00"/>
    <x v="1"/>
    <x v="90"/>
    <x v="3"/>
    <n v="1"/>
    <x v="1"/>
    <n v="0"/>
    <n v="0"/>
    <n v="0"/>
    <x v="0"/>
    <x v="0"/>
    <n v="0"/>
  </r>
  <r>
    <n v="42174800000000"/>
    <x v="0"/>
    <x v="40"/>
    <x v="1"/>
    <s v="BONFIM"/>
    <d v="2016-06-02T00:00:00"/>
    <d v="2016-06-07T00:00:00"/>
    <x v="4"/>
    <x v="92"/>
    <x v="3"/>
    <n v="0"/>
    <x v="1"/>
    <n v="0"/>
    <n v="0"/>
    <n v="0"/>
    <x v="0"/>
    <x v="0"/>
    <n v="0"/>
  </r>
  <r>
    <n v="951924000000000"/>
    <x v="0"/>
    <x v="65"/>
    <x v="2"/>
    <s v="MARIA ORTIZ"/>
    <d v="2016-06-02T00:00:00"/>
    <d v="2016-06-06T00:00:00"/>
    <x v="2"/>
    <x v="86"/>
    <x v="3"/>
    <n v="0"/>
    <x v="1"/>
    <n v="0"/>
    <n v="0"/>
    <n v="0"/>
    <x v="0"/>
    <x v="0"/>
    <n v="0"/>
  </r>
  <r>
    <n v="7914470000000"/>
    <x v="0"/>
    <x v="19"/>
    <x v="2"/>
    <s v="MARIA ORTIZ"/>
    <d v="2016-06-02T00:00:00"/>
    <d v="2016-06-06T00:00:00"/>
    <x v="2"/>
    <x v="86"/>
    <x v="3"/>
    <n v="0"/>
    <x v="1"/>
    <n v="0"/>
    <n v="0"/>
    <n v="0"/>
    <x v="0"/>
    <x v="0"/>
    <n v="0"/>
  </r>
  <r>
    <n v="2488180000000"/>
    <x v="1"/>
    <x v="81"/>
    <x v="5"/>
    <s v="DA PENHA"/>
    <d v="2016-06-02T00:00:00"/>
    <d v="2016-06-02T00:00:00"/>
    <x v="3"/>
    <x v="94"/>
    <x v="5"/>
    <n v="0"/>
    <x v="1"/>
    <n v="0"/>
    <n v="0"/>
    <n v="0"/>
    <x v="1"/>
    <x v="0"/>
    <n v="0"/>
  </r>
  <r>
    <n v="18499500000000"/>
    <x v="0"/>
    <x v="83"/>
    <x v="0"/>
    <s v="JARDIM CAMBURI"/>
    <d v="2016-06-02T00:00:00"/>
    <d v="2016-06-07T00:00:00"/>
    <x v="4"/>
    <x v="92"/>
    <x v="3"/>
    <n v="0"/>
    <x v="1"/>
    <n v="0"/>
    <n v="0"/>
    <n v="0"/>
    <x v="0"/>
    <x v="0"/>
    <n v="0"/>
  </r>
  <r>
    <n v="47316100000000"/>
    <x v="0"/>
    <x v="29"/>
    <x v="3"/>
    <s v="RESISTENCIA"/>
    <d v="2016-06-02T00:00:00"/>
    <d v="2016-06-06T00:00:00"/>
    <x v="2"/>
    <x v="86"/>
    <x v="3"/>
    <n v="0"/>
    <x v="1"/>
    <n v="0"/>
    <n v="0"/>
    <n v="0"/>
    <x v="0"/>
    <x v="0"/>
    <n v="0"/>
  </r>
  <r>
    <n v="26588200000000"/>
    <x v="1"/>
    <x v="18"/>
    <x v="0"/>
    <s v="DO MOSCOSO"/>
    <d v="2016-06-02T00:00:00"/>
    <d v="2016-06-06T00:00:00"/>
    <x v="2"/>
    <x v="86"/>
    <x v="3"/>
    <n v="0"/>
    <x v="0"/>
    <n v="0"/>
    <n v="0"/>
    <n v="0"/>
    <x v="0"/>
    <x v="0"/>
    <n v="0"/>
  </r>
  <r>
    <n v="3223760000000"/>
    <x v="1"/>
    <x v="45"/>
    <x v="1"/>
    <s v="JARDIM CAMBURI"/>
    <d v="2016-06-02T00:00:00"/>
    <d v="2016-06-07T00:00:00"/>
    <x v="4"/>
    <x v="92"/>
    <x v="3"/>
    <n v="0"/>
    <x v="0"/>
    <n v="0"/>
    <n v="0"/>
    <n v="0"/>
    <x v="0"/>
    <x v="1"/>
    <n v="1"/>
  </r>
  <r>
    <n v="76899900000000"/>
    <x v="1"/>
    <x v="29"/>
    <x v="3"/>
    <s v="BELA VISTA"/>
    <d v="2016-06-03T00:00:00"/>
    <d v="2016-06-07T00:00:00"/>
    <x v="4"/>
    <x v="86"/>
    <x v="3"/>
    <n v="0"/>
    <x v="0"/>
    <n v="1"/>
    <n v="0"/>
    <n v="0"/>
    <x v="0"/>
    <x v="0"/>
    <n v="0"/>
  </r>
  <r>
    <n v="91755500000000"/>
    <x v="0"/>
    <x v="6"/>
    <x v="0"/>
    <s v="SANTO ANDRE"/>
    <d v="2016-06-03T00:00:00"/>
    <d v="2016-06-07T00:00:00"/>
    <x v="4"/>
    <x v="86"/>
    <x v="3"/>
    <n v="0"/>
    <x v="1"/>
    <n v="0"/>
    <n v="0"/>
    <n v="0"/>
    <x v="0"/>
    <x v="1"/>
    <n v="1"/>
  </r>
  <r>
    <n v="5843850000000"/>
    <x v="0"/>
    <x v="62"/>
    <x v="3"/>
    <s v="ILHA DE SANTA MARIA"/>
    <d v="2016-06-03T00:00:00"/>
    <d v="2016-06-07T00:00:00"/>
    <x v="4"/>
    <x v="86"/>
    <x v="3"/>
    <n v="0"/>
    <x v="1"/>
    <n v="0"/>
    <n v="0"/>
    <n v="0"/>
    <x v="0"/>
    <x v="0"/>
    <n v="0"/>
  </r>
  <r>
    <n v="32622346252"/>
    <x v="0"/>
    <x v="19"/>
    <x v="2"/>
    <s v="CONQUISTA"/>
    <d v="2016-06-03T00:00:00"/>
    <d v="2016-06-07T00:00:00"/>
    <x v="4"/>
    <x v="86"/>
    <x v="3"/>
    <n v="1"/>
    <x v="1"/>
    <n v="0"/>
    <n v="0"/>
    <n v="0"/>
    <x v="0"/>
    <x v="0"/>
    <n v="0"/>
  </r>
  <r>
    <n v="68444700000000"/>
    <x v="1"/>
    <x v="18"/>
    <x v="0"/>
    <s v="ROMAO"/>
    <d v="2016-06-03T00:00:00"/>
    <d v="2016-06-08T00:00:00"/>
    <x v="1"/>
    <x v="92"/>
    <x v="3"/>
    <n v="0"/>
    <x v="1"/>
    <n v="0"/>
    <n v="0"/>
    <n v="0"/>
    <x v="0"/>
    <x v="0"/>
    <n v="0"/>
  </r>
  <r>
    <n v="3881650000000"/>
    <x v="1"/>
    <x v="51"/>
    <x v="2"/>
    <s v="BONFIM"/>
    <d v="2016-06-03T00:00:00"/>
    <d v="2016-06-08T00:00:00"/>
    <x v="1"/>
    <x v="92"/>
    <x v="3"/>
    <n v="0"/>
    <x v="1"/>
    <n v="0"/>
    <n v="0"/>
    <n v="0"/>
    <x v="0"/>
    <x v="0"/>
    <n v="0"/>
  </r>
  <r>
    <n v="2522530000000"/>
    <x v="0"/>
    <x v="12"/>
    <x v="3"/>
    <s v="FONTE GRANDE"/>
    <d v="2016-06-03T00:00:00"/>
    <d v="2016-06-03T00:00:00"/>
    <x v="0"/>
    <x v="94"/>
    <x v="5"/>
    <n v="0"/>
    <x v="1"/>
    <n v="0"/>
    <n v="0"/>
    <n v="0"/>
    <x v="1"/>
    <x v="0"/>
    <n v="0"/>
  </r>
  <r>
    <n v="311452000000"/>
    <x v="1"/>
    <x v="23"/>
    <x v="3"/>
    <s v="SANTO ANDRE"/>
    <d v="2016-06-03T00:00:00"/>
    <d v="2016-06-07T00:00:00"/>
    <x v="4"/>
    <x v="86"/>
    <x v="3"/>
    <n v="0"/>
    <x v="1"/>
    <n v="0"/>
    <n v="0"/>
    <n v="0"/>
    <x v="0"/>
    <x v="0"/>
    <n v="0"/>
  </r>
  <r>
    <n v="291298000000"/>
    <x v="0"/>
    <x v="14"/>
    <x v="3"/>
    <s v="SANTO ANDRE"/>
    <d v="2016-06-03T00:00:00"/>
    <d v="2016-06-06T00:00:00"/>
    <x v="2"/>
    <x v="89"/>
    <x v="4"/>
    <n v="1"/>
    <x v="1"/>
    <n v="0"/>
    <n v="0"/>
    <n v="0"/>
    <x v="0"/>
    <x v="0"/>
    <n v="0"/>
  </r>
  <r>
    <n v="871284000000000"/>
    <x v="1"/>
    <x v="81"/>
    <x v="5"/>
    <s v="ROMAO"/>
    <d v="2016-06-03T00:00:00"/>
    <d v="2016-06-03T00:00:00"/>
    <x v="0"/>
    <x v="94"/>
    <x v="5"/>
    <n v="0"/>
    <x v="1"/>
    <n v="0"/>
    <n v="0"/>
    <n v="0"/>
    <x v="1"/>
    <x v="0"/>
    <n v="0"/>
  </r>
  <r>
    <n v="85877400000000"/>
    <x v="1"/>
    <x v="6"/>
    <x v="0"/>
    <s v="SAO JOSE"/>
    <d v="2016-06-03T00:00:00"/>
    <d v="2016-06-06T00:00:00"/>
    <x v="2"/>
    <x v="89"/>
    <x v="4"/>
    <n v="0"/>
    <x v="1"/>
    <n v="0"/>
    <n v="0"/>
    <n v="0"/>
    <x v="0"/>
    <x v="0"/>
    <n v="0"/>
  </r>
  <r>
    <n v="83537800000000"/>
    <x v="1"/>
    <x v="54"/>
    <x v="1"/>
    <s v="ROMAO"/>
    <d v="2016-06-03T00:00:00"/>
    <d v="2016-06-03T00:00:00"/>
    <x v="0"/>
    <x v="94"/>
    <x v="5"/>
    <n v="0"/>
    <x v="1"/>
    <n v="0"/>
    <n v="0"/>
    <n v="0"/>
    <x v="1"/>
    <x v="0"/>
    <n v="0"/>
  </r>
  <r>
    <n v="78859000000000"/>
    <x v="0"/>
    <x v="51"/>
    <x v="2"/>
    <s v="ILHA DE SANTA MARIA"/>
    <d v="2016-06-03T00:00:00"/>
    <d v="2016-06-03T00:00:00"/>
    <x v="0"/>
    <x v="94"/>
    <x v="5"/>
    <n v="0"/>
    <x v="1"/>
    <n v="0"/>
    <n v="0"/>
    <n v="0"/>
    <x v="1"/>
    <x v="0"/>
    <n v="0"/>
  </r>
  <r>
    <n v="57157600000000"/>
    <x v="0"/>
    <x v="14"/>
    <x v="3"/>
    <s v="SAO JOSE"/>
    <d v="2016-06-03T00:00:00"/>
    <d v="2016-06-07T00:00:00"/>
    <x v="4"/>
    <x v="86"/>
    <x v="3"/>
    <n v="0"/>
    <x v="0"/>
    <n v="1"/>
    <n v="0"/>
    <n v="0"/>
    <x v="0"/>
    <x v="0"/>
    <n v="0"/>
  </r>
  <r>
    <n v="9124430000000"/>
    <x v="0"/>
    <x v="42"/>
    <x v="3"/>
    <s v="TABUAZEIRO"/>
    <d v="2016-06-03T00:00:00"/>
    <d v="2016-06-03T00:00:00"/>
    <x v="0"/>
    <x v="94"/>
    <x v="5"/>
    <n v="0"/>
    <x v="0"/>
    <n v="0"/>
    <n v="0"/>
    <n v="0"/>
    <x v="1"/>
    <x v="0"/>
    <n v="0"/>
  </r>
  <r>
    <n v="23177800000000"/>
    <x v="1"/>
    <x v="65"/>
    <x v="2"/>
    <s v="BELA VISTA"/>
    <d v="2016-06-03T00:00:00"/>
    <d v="2016-06-03T00:00:00"/>
    <x v="0"/>
    <x v="94"/>
    <x v="5"/>
    <n v="0"/>
    <x v="1"/>
    <n v="0"/>
    <n v="0"/>
    <n v="0"/>
    <x v="1"/>
    <x v="1"/>
    <n v="1"/>
  </r>
  <r>
    <n v="869587000000000"/>
    <x v="0"/>
    <x v="12"/>
    <x v="3"/>
    <s v="JARDIM CAMBURI"/>
    <d v="2016-06-03T00:00:00"/>
    <d v="2016-06-03T00:00:00"/>
    <x v="0"/>
    <x v="94"/>
    <x v="5"/>
    <n v="0"/>
    <x v="1"/>
    <n v="0"/>
    <n v="0"/>
    <n v="0"/>
    <x v="1"/>
    <x v="0"/>
    <n v="0"/>
  </r>
  <r>
    <n v="5963410000000"/>
    <x v="1"/>
    <x v="66"/>
    <x v="2"/>
    <s v="SANTA MARTHA"/>
    <d v="2016-06-03T00:00:00"/>
    <d v="2016-06-03T00:00:00"/>
    <x v="0"/>
    <x v="94"/>
    <x v="5"/>
    <n v="0"/>
    <x v="1"/>
    <n v="0"/>
    <n v="0"/>
    <n v="0"/>
    <x v="1"/>
    <x v="0"/>
    <n v="0"/>
  </r>
  <r>
    <n v="81427500000000"/>
    <x v="0"/>
    <x v="56"/>
    <x v="1"/>
    <s v="RESISTENCIA"/>
    <d v="2016-06-03T00:00:00"/>
    <d v="2016-06-03T00:00:00"/>
    <x v="0"/>
    <x v="94"/>
    <x v="5"/>
    <n v="0"/>
    <x v="1"/>
    <n v="0"/>
    <n v="0"/>
    <n v="0"/>
    <x v="1"/>
    <x v="0"/>
    <n v="0"/>
  </r>
  <r>
    <n v="422365000000000"/>
    <x v="1"/>
    <x v="40"/>
    <x v="1"/>
    <s v="INHANGUETA"/>
    <d v="2016-06-03T00:00:00"/>
    <d v="2016-06-03T00:00:00"/>
    <x v="0"/>
    <x v="94"/>
    <x v="5"/>
    <n v="0"/>
    <x v="1"/>
    <n v="0"/>
    <n v="0"/>
    <n v="0"/>
    <x v="1"/>
    <x v="0"/>
    <n v="0"/>
  </r>
  <r>
    <n v="7462770000000"/>
    <x v="1"/>
    <x v="66"/>
    <x v="2"/>
    <s v="FORTE SAO JOAO"/>
    <d v="2016-06-03T00:00:00"/>
    <d v="2016-06-07T00:00:00"/>
    <x v="4"/>
    <x v="86"/>
    <x v="3"/>
    <n v="0"/>
    <x v="1"/>
    <n v="0"/>
    <n v="0"/>
    <n v="0"/>
    <x v="1"/>
    <x v="0"/>
    <n v="0"/>
  </r>
  <r>
    <n v="63832600000000"/>
    <x v="1"/>
    <x v="9"/>
    <x v="0"/>
    <s v="SANTO ANDRE"/>
    <d v="2016-06-03T00:00:00"/>
    <d v="2016-06-07T00:00:00"/>
    <x v="4"/>
    <x v="86"/>
    <x v="3"/>
    <n v="0"/>
    <x v="0"/>
    <n v="1"/>
    <n v="0"/>
    <n v="0"/>
    <x v="0"/>
    <x v="0"/>
    <n v="0"/>
  </r>
  <r>
    <n v="994872000000000"/>
    <x v="1"/>
    <x v="55"/>
    <x v="2"/>
    <s v="ESTRELINHA"/>
    <d v="2016-06-03T00:00:00"/>
    <d v="2016-06-07T00:00:00"/>
    <x v="4"/>
    <x v="86"/>
    <x v="3"/>
    <n v="0"/>
    <x v="1"/>
    <n v="0"/>
    <n v="0"/>
    <n v="0"/>
    <x v="0"/>
    <x v="0"/>
    <n v="0"/>
  </r>
  <r>
    <n v="83847900000000"/>
    <x v="0"/>
    <x v="4"/>
    <x v="2"/>
    <s v="CONSOLACAO"/>
    <d v="2016-06-03T00:00:00"/>
    <d v="2016-06-03T00:00:00"/>
    <x v="0"/>
    <x v="94"/>
    <x v="5"/>
    <n v="0"/>
    <x v="1"/>
    <n v="0"/>
    <n v="0"/>
    <n v="0"/>
    <x v="1"/>
    <x v="0"/>
    <n v="0"/>
  </r>
  <r>
    <n v="17346400000000"/>
    <x v="1"/>
    <x v="87"/>
    <x v="1"/>
    <s v="SAO JOSE"/>
    <d v="2016-06-03T00:00:00"/>
    <d v="2016-06-07T00:00:00"/>
    <x v="4"/>
    <x v="86"/>
    <x v="3"/>
    <n v="0"/>
    <x v="1"/>
    <n v="0"/>
    <n v="0"/>
    <n v="0"/>
    <x v="0"/>
    <x v="0"/>
    <n v="0"/>
  </r>
  <r>
    <n v="4468880000000"/>
    <x v="0"/>
    <x v="60"/>
    <x v="2"/>
    <s v="JUCUTUQUARA"/>
    <d v="2016-06-03T00:00:00"/>
    <d v="2016-06-08T00:00:00"/>
    <x v="1"/>
    <x v="92"/>
    <x v="3"/>
    <n v="0"/>
    <x v="1"/>
    <n v="0"/>
    <n v="0"/>
    <n v="0"/>
    <x v="0"/>
    <x v="0"/>
    <n v="0"/>
  </r>
  <r>
    <n v="51163700000000"/>
    <x v="0"/>
    <x v="84"/>
    <x v="1"/>
    <s v="REPUBLICA"/>
    <d v="2016-06-03T00:00:00"/>
    <d v="2016-06-07T00:00:00"/>
    <x v="4"/>
    <x v="86"/>
    <x v="3"/>
    <n v="0"/>
    <x v="1"/>
    <n v="0"/>
    <n v="0"/>
    <n v="0"/>
    <x v="0"/>
    <x v="0"/>
    <n v="0"/>
  </r>
  <r>
    <n v="168832000000000"/>
    <x v="0"/>
    <x v="72"/>
    <x v="5"/>
    <s v="ROMAO"/>
    <d v="2016-06-03T00:00:00"/>
    <d v="2016-06-07T00:00:00"/>
    <x v="4"/>
    <x v="86"/>
    <x v="3"/>
    <n v="0"/>
    <x v="1"/>
    <n v="0"/>
    <n v="0"/>
    <n v="0"/>
    <x v="0"/>
    <x v="0"/>
    <n v="0"/>
  </r>
  <r>
    <n v="431618000000"/>
    <x v="0"/>
    <x v="88"/>
    <x v="0"/>
    <s v="ILHA DO PRINCIPE"/>
    <d v="2016-06-03T00:00:00"/>
    <d v="2016-06-06T00:00:00"/>
    <x v="2"/>
    <x v="89"/>
    <x v="4"/>
    <n v="0"/>
    <x v="0"/>
    <n v="0"/>
    <n v="0"/>
    <n v="0"/>
    <x v="0"/>
    <x v="0"/>
    <n v="0"/>
  </r>
  <r>
    <n v="43483500000000"/>
    <x v="0"/>
    <x v="45"/>
    <x v="1"/>
    <s v="SOLON BORGES"/>
    <d v="2016-06-03T00:00:00"/>
    <d v="2016-06-07T00:00:00"/>
    <x v="4"/>
    <x v="86"/>
    <x v="3"/>
    <n v="1"/>
    <x v="1"/>
    <n v="0"/>
    <n v="0"/>
    <n v="0"/>
    <x v="0"/>
    <x v="0"/>
    <n v="0"/>
  </r>
  <r>
    <n v="8764660000000"/>
    <x v="0"/>
    <x v="76"/>
    <x v="0"/>
    <s v="SAO CRISTOVAO"/>
    <d v="2016-06-03T00:00:00"/>
    <d v="2016-06-03T00:00:00"/>
    <x v="0"/>
    <x v="94"/>
    <x v="5"/>
    <n v="0"/>
    <x v="0"/>
    <n v="1"/>
    <n v="0"/>
    <n v="0"/>
    <x v="1"/>
    <x v="0"/>
    <n v="0"/>
  </r>
  <r>
    <n v="626347000000000"/>
    <x v="1"/>
    <x v="54"/>
    <x v="1"/>
    <s v="JOANA D ARC"/>
    <d v="2016-06-03T00:00:00"/>
    <d v="2016-06-08T00:00:00"/>
    <x v="1"/>
    <x v="92"/>
    <x v="3"/>
    <n v="0"/>
    <x v="1"/>
    <n v="0"/>
    <n v="1"/>
    <n v="0"/>
    <x v="0"/>
    <x v="0"/>
    <n v="0"/>
  </r>
  <r>
    <n v="54591800000000"/>
    <x v="1"/>
    <x v="41"/>
    <x v="4"/>
    <s v="JESUS DE NAZARETH"/>
    <d v="2016-06-03T00:00:00"/>
    <d v="2016-06-03T00:00:00"/>
    <x v="0"/>
    <x v="94"/>
    <x v="5"/>
    <n v="0"/>
    <x v="1"/>
    <n v="0"/>
    <n v="0"/>
    <n v="0"/>
    <x v="1"/>
    <x v="0"/>
    <n v="0"/>
  </r>
  <r>
    <n v="86241700000000"/>
    <x v="0"/>
    <x v="21"/>
    <x v="1"/>
    <s v="RESISTENCIA"/>
    <d v="2016-06-03T00:00:00"/>
    <d v="2016-06-08T00:00:00"/>
    <x v="1"/>
    <x v="92"/>
    <x v="3"/>
    <n v="0"/>
    <x v="1"/>
    <n v="0"/>
    <n v="0"/>
    <n v="0"/>
    <x v="0"/>
    <x v="0"/>
    <n v="0"/>
  </r>
  <r>
    <n v="969229000000000"/>
    <x v="0"/>
    <x v="6"/>
    <x v="0"/>
    <s v="RESISTENCIA"/>
    <d v="2016-06-03T00:00:00"/>
    <d v="2016-06-06T00:00:00"/>
    <x v="2"/>
    <x v="89"/>
    <x v="4"/>
    <n v="0"/>
    <x v="0"/>
    <n v="0"/>
    <n v="0"/>
    <n v="0"/>
    <x v="0"/>
    <x v="0"/>
    <n v="0"/>
  </r>
  <r>
    <n v="4267930000000"/>
    <x v="0"/>
    <x v="25"/>
    <x v="4"/>
    <s v="MARIA ORTIZ"/>
    <d v="2016-06-03T00:00:00"/>
    <d v="2016-06-03T00:00:00"/>
    <x v="0"/>
    <x v="94"/>
    <x v="5"/>
    <n v="0"/>
    <x v="1"/>
    <n v="0"/>
    <n v="0"/>
    <n v="0"/>
    <x v="1"/>
    <x v="0"/>
    <n v="0"/>
  </r>
  <r>
    <n v="1974230000000"/>
    <x v="0"/>
    <x v="28"/>
    <x v="3"/>
    <s v="ILHA DE SANTA MARIA"/>
    <d v="2016-06-03T00:00:00"/>
    <d v="2016-06-03T00:00:00"/>
    <x v="0"/>
    <x v="94"/>
    <x v="5"/>
    <n v="0"/>
    <x v="0"/>
    <n v="0"/>
    <n v="0"/>
    <n v="0"/>
    <x v="1"/>
    <x v="0"/>
    <n v="0"/>
  </r>
  <r>
    <n v="43529200000000"/>
    <x v="0"/>
    <x v="37"/>
    <x v="3"/>
    <s v="ILHA DE SANTA MARIA"/>
    <d v="2016-06-03T00:00:00"/>
    <d v="2016-06-03T00:00:00"/>
    <x v="0"/>
    <x v="94"/>
    <x v="5"/>
    <n v="0"/>
    <x v="1"/>
    <n v="0"/>
    <n v="0"/>
    <n v="0"/>
    <x v="1"/>
    <x v="0"/>
    <n v="0"/>
  </r>
  <r>
    <n v="8335980000000"/>
    <x v="0"/>
    <x v="21"/>
    <x v="1"/>
    <s v="RESISTENCIA"/>
    <d v="2016-06-03T00:00:00"/>
    <d v="2016-06-07T00:00:00"/>
    <x v="4"/>
    <x v="86"/>
    <x v="3"/>
    <n v="1"/>
    <x v="0"/>
    <n v="0"/>
    <n v="1"/>
    <n v="0"/>
    <x v="0"/>
    <x v="0"/>
    <n v="0"/>
  </r>
  <r>
    <n v="22212200000000"/>
    <x v="1"/>
    <x v="75"/>
    <x v="5"/>
    <s v="GURIGICA"/>
    <d v="2016-06-03T00:00:00"/>
    <d v="2016-06-07T00:00:00"/>
    <x v="4"/>
    <x v="86"/>
    <x v="3"/>
    <n v="1"/>
    <x v="1"/>
    <n v="0"/>
    <n v="0"/>
    <n v="0"/>
    <x v="0"/>
    <x v="1"/>
    <n v="1"/>
  </r>
  <r>
    <n v="78147400000000"/>
    <x v="0"/>
    <x v="14"/>
    <x v="3"/>
    <s v="BENTO FERREIRA"/>
    <d v="2016-06-03T00:00:00"/>
    <d v="2016-06-03T00:00:00"/>
    <x v="0"/>
    <x v="94"/>
    <x v="5"/>
    <n v="0"/>
    <x v="1"/>
    <n v="0"/>
    <n v="0"/>
    <n v="0"/>
    <x v="1"/>
    <x v="0"/>
    <n v="0"/>
  </r>
  <r>
    <n v="3542510000000"/>
    <x v="0"/>
    <x v="24"/>
    <x v="1"/>
    <s v="CARATOIRA"/>
    <d v="2016-06-03T00:00:00"/>
    <d v="2016-06-03T00:00:00"/>
    <x v="0"/>
    <x v="94"/>
    <x v="5"/>
    <n v="1"/>
    <x v="1"/>
    <n v="0"/>
    <n v="0"/>
    <n v="0"/>
    <x v="1"/>
    <x v="0"/>
    <n v="0"/>
  </r>
  <r>
    <n v="566182000000"/>
    <x v="0"/>
    <x v="74"/>
    <x v="1"/>
    <s v="RESISTENCIA"/>
    <d v="2016-06-03T00:00:00"/>
    <d v="2016-06-06T00:00:00"/>
    <x v="2"/>
    <x v="89"/>
    <x v="4"/>
    <n v="0"/>
    <x v="1"/>
    <n v="0"/>
    <n v="0"/>
    <n v="0"/>
    <x v="1"/>
    <x v="0"/>
    <n v="0"/>
  </r>
  <r>
    <n v="1166650000000"/>
    <x v="0"/>
    <x v="5"/>
    <x v="1"/>
    <s v="GURIGICA"/>
    <d v="2016-06-03T00:00:00"/>
    <d v="2016-06-03T00:00:00"/>
    <x v="0"/>
    <x v="94"/>
    <x v="5"/>
    <n v="0"/>
    <x v="0"/>
    <n v="0"/>
    <n v="0"/>
    <n v="0"/>
    <x v="1"/>
    <x v="0"/>
    <n v="0"/>
  </r>
  <r>
    <n v="6229160000000"/>
    <x v="0"/>
    <x v="45"/>
    <x v="1"/>
    <s v="RESISTENCIA"/>
    <d v="2016-06-03T00:00:00"/>
    <d v="2016-06-08T00:00:00"/>
    <x v="1"/>
    <x v="92"/>
    <x v="3"/>
    <n v="0"/>
    <x v="1"/>
    <n v="0"/>
    <n v="0"/>
    <n v="0"/>
    <x v="0"/>
    <x v="0"/>
    <n v="0"/>
  </r>
  <r>
    <n v="564615000000000"/>
    <x v="1"/>
    <x v="79"/>
    <x v="5"/>
    <s v="SANTOS DUMONT"/>
    <d v="2016-06-03T00:00:00"/>
    <d v="2016-06-03T00:00:00"/>
    <x v="0"/>
    <x v="94"/>
    <x v="5"/>
    <n v="1"/>
    <x v="1"/>
    <n v="0"/>
    <n v="0"/>
    <n v="0"/>
    <x v="1"/>
    <x v="0"/>
    <n v="0"/>
  </r>
  <r>
    <n v="86887600000000"/>
    <x v="1"/>
    <x v="50"/>
    <x v="1"/>
    <s v="CARATOIRA"/>
    <d v="2016-06-03T00:00:00"/>
    <d v="2016-06-03T00:00:00"/>
    <x v="0"/>
    <x v="94"/>
    <x v="5"/>
    <n v="1"/>
    <x v="1"/>
    <n v="0"/>
    <n v="0"/>
    <n v="0"/>
    <x v="1"/>
    <x v="0"/>
    <n v="0"/>
  </r>
  <r>
    <n v="1513670000000"/>
    <x v="0"/>
    <x v="16"/>
    <x v="1"/>
    <s v="SANTOS DUMONT"/>
    <d v="2016-06-03T00:00:00"/>
    <d v="2016-06-03T00:00:00"/>
    <x v="0"/>
    <x v="94"/>
    <x v="5"/>
    <n v="0"/>
    <x v="0"/>
    <n v="0"/>
    <n v="0"/>
    <n v="0"/>
    <x v="1"/>
    <x v="0"/>
    <n v="0"/>
  </r>
  <r>
    <n v="425426000000000"/>
    <x v="0"/>
    <x v="71"/>
    <x v="4"/>
    <s v="PRAIA DO SUA"/>
    <d v="2016-06-03T00:00:00"/>
    <d v="2016-06-03T00:00:00"/>
    <x v="0"/>
    <x v="94"/>
    <x v="5"/>
    <n v="0"/>
    <x v="1"/>
    <n v="0"/>
    <n v="0"/>
    <n v="0"/>
    <x v="1"/>
    <x v="0"/>
    <n v="0"/>
  </r>
  <r>
    <n v="346994000000000"/>
    <x v="0"/>
    <x v="68"/>
    <x v="4"/>
    <s v="GURIGICA"/>
    <d v="2016-06-03T00:00:00"/>
    <d v="2016-06-03T00:00:00"/>
    <x v="0"/>
    <x v="94"/>
    <x v="5"/>
    <n v="0"/>
    <x v="1"/>
    <n v="0"/>
    <n v="0"/>
    <n v="0"/>
    <x v="1"/>
    <x v="0"/>
    <n v="0"/>
  </r>
  <r>
    <n v="983416000000"/>
    <x v="0"/>
    <x v="22"/>
    <x v="4"/>
    <s v="SAO JOSE"/>
    <d v="2016-06-03T00:00:00"/>
    <d v="2016-06-07T00:00:00"/>
    <x v="4"/>
    <x v="86"/>
    <x v="3"/>
    <n v="0"/>
    <x v="1"/>
    <n v="0"/>
    <n v="0"/>
    <n v="0"/>
    <x v="0"/>
    <x v="1"/>
    <n v="1"/>
  </r>
  <r>
    <n v="5254730000000"/>
    <x v="0"/>
    <x v="2"/>
    <x v="1"/>
    <s v="RESISTENCIA"/>
    <d v="2016-06-03T00:00:00"/>
    <d v="2016-06-07T00:00:00"/>
    <x v="4"/>
    <x v="86"/>
    <x v="3"/>
    <n v="0"/>
    <x v="0"/>
    <n v="0"/>
    <n v="0"/>
    <n v="0"/>
    <x v="0"/>
    <x v="0"/>
    <n v="0"/>
  </r>
  <r>
    <n v="7948500000000"/>
    <x v="1"/>
    <x v="76"/>
    <x v="0"/>
    <s v="JARDIM CAMBURI"/>
    <d v="2016-06-03T00:00:00"/>
    <d v="2016-06-03T00:00:00"/>
    <x v="0"/>
    <x v="94"/>
    <x v="5"/>
    <n v="0"/>
    <x v="1"/>
    <n v="0"/>
    <n v="0"/>
    <n v="0"/>
    <x v="1"/>
    <x v="0"/>
    <n v="0"/>
  </r>
  <r>
    <n v="324285000000000"/>
    <x v="1"/>
    <x v="60"/>
    <x v="2"/>
    <s v="SANTOS REIS"/>
    <d v="2016-06-03T00:00:00"/>
    <d v="2016-06-03T00:00:00"/>
    <x v="0"/>
    <x v="94"/>
    <x v="5"/>
    <n v="0"/>
    <x v="1"/>
    <n v="0"/>
    <n v="0"/>
    <n v="0"/>
    <x v="1"/>
    <x v="0"/>
    <n v="0"/>
  </r>
  <r>
    <n v="683629000000000"/>
    <x v="0"/>
    <x v="49"/>
    <x v="4"/>
    <s v="FONTE GRANDE"/>
    <d v="2016-06-03T00:00:00"/>
    <d v="2016-06-03T00:00:00"/>
    <x v="0"/>
    <x v="94"/>
    <x v="5"/>
    <n v="0"/>
    <x v="1"/>
    <n v="0"/>
    <n v="0"/>
    <n v="0"/>
    <x v="1"/>
    <x v="0"/>
    <n v="0"/>
  </r>
  <r>
    <n v="376123000000"/>
    <x v="0"/>
    <x v="74"/>
    <x v="1"/>
    <s v="REDENCAO"/>
    <d v="2016-06-03T00:00:00"/>
    <d v="2016-06-03T00:00:00"/>
    <x v="0"/>
    <x v="94"/>
    <x v="5"/>
    <n v="0"/>
    <x v="1"/>
    <n v="0"/>
    <n v="0"/>
    <n v="0"/>
    <x v="1"/>
    <x v="0"/>
    <n v="0"/>
  </r>
  <r>
    <n v="71855500000000"/>
    <x v="0"/>
    <x v="49"/>
    <x v="4"/>
    <s v="ITARARE"/>
    <d v="2016-06-03T00:00:00"/>
    <d v="2016-06-03T00:00:00"/>
    <x v="0"/>
    <x v="94"/>
    <x v="5"/>
    <n v="0"/>
    <x v="1"/>
    <n v="0"/>
    <n v="0"/>
    <n v="0"/>
    <x v="1"/>
    <x v="0"/>
    <n v="0"/>
  </r>
  <r>
    <n v="1411300000000"/>
    <x v="0"/>
    <x v="70"/>
    <x v="5"/>
    <s v="SANTA MARTHA"/>
    <d v="2016-06-03T00:00:00"/>
    <d v="2016-06-03T00:00:00"/>
    <x v="0"/>
    <x v="94"/>
    <x v="5"/>
    <n v="0"/>
    <x v="1"/>
    <n v="0"/>
    <n v="0"/>
    <n v="0"/>
    <x v="1"/>
    <x v="0"/>
    <n v="0"/>
  </r>
  <r>
    <n v="28844500000000"/>
    <x v="1"/>
    <x v="28"/>
    <x v="3"/>
    <s v="GURIGICA"/>
    <d v="2016-06-03T00:00:00"/>
    <d v="2016-06-03T00:00:00"/>
    <x v="0"/>
    <x v="94"/>
    <x v="5"/>
    <n v="0"/>
    <x v="0"/>
    <n v="0"/>
    <n v="0"/>
    <n v="0"/>
    <x v="1"/>
    <x v="0"/>
    <n v="0"/>
  </r>
  <r>
    <n v="8779660000000"/>
    <x v="0"/>
    <x v="31"/>
    <x v="1"/>
    <s v="SANTOS REIS"/>
    <d v="2016-06-03T00:00:00"/>
    <d v="2016-06-06T00:00:00"/>
    <x v="2"/>
    <x v="89"/>
    <x v="4"/>
    <n v="0"/>
    <x v="1"/>
    <n v="0"/>
    <n v="0"/>
    <n v="0"/>
    <x v="1"/>
    <x v="1"/>
    <n v="1"/>
  </r>
  <r>
    <n v="58289200000000"/>
    <x v="1"/>
    <x v="22"/>
    <x v="4"/>
    <s v="FORTE SAO JOAO"/>
    <d v="2016-06-03T00:00:00"/>
    <d v="2016-06-03T00:00:00"/>
    <x v="0"/>
    <x v="94"/>
    <x v="5"/>
    <n v="0"/>
    <x v="1"/>
    <n v="0"/>
    <n v="0"/>
    <n v="0"/>
    <x v="1"/>
    <x v="1"/>
    <n v="1"/>
  </r>
  <r>
    <n v="34316000000000"/>
    <x v="0"/>
    <x v="58"/>
    <x v="0"/>
    <s v="JARDIM DA PENHA"/>
    <d v="2016-06-03T00:00:00"/>
    <d v="2016-06-03T00:00:00"/>
    <x v="0"/>
    <x v="94"/>
    <x v="5"/>
    <n v="0"/>
    <x v="1"/>
    <n v="0"/>
    <n v="0"/>
    <n v="0"/>
    <x v="1"/>
    <x v="0"/>
    <n v="0"/>
  </r>
  <r>
    <n v="13364900000000"/>
    <x v="1"/>
    <x v="36"/>
    <x v="3"/>
    <s v="MARIA ORTIZ"/>
    <d v="2016-06-03T00:00:00"/>
    <d v="2016-06-03T00:00:00"/>
    <x v="0"/>
    <x v="94"/>
    <x v="5"/>
    <n v="0"/>
    <x v="1"/>
    <n v="0"/>
    <n v="0"/>
    <n v="0"/>
    <x v="1"/>
    <x v="0"/>
    <n v="0"/>
  </r>
  <r>
    <n v="4716910000000"/>
    <x v="0"/>
    <x v="65"/>
    <x v="2"/>
    <s v="ANDORINHAS"/>
    <d v="2016-06-03T00:00:00"/>
    <d v="2016-06-07T00:00:00"/>
    <x v="4"/>
    <x v="86"/>
    <x v="3"/>
    <n v="0"/>
    <x v="1"/>
    <n v="0"/>
    <n v="0"/>
    <n v="0"/>
    <x v="0"/>
    <x v="0"/>
    <n v="0"/>
  </r>
  <r>
    <n v="9169270000000"/>
    <x v="1"/>
    <x v="19"/>
    <x v="2"/>
    <s v="REPUBLICA"/>
    <d v="2016-06-03T00:00:00"/>
    <d v="2016-06-07T00:00:00"/>
    <x v="4"/>
    <x v="86"/>
    <x v="3"/>
    <n v="0"/>
    <x v="1"/>
    <n v="0"/>
    <n v="0"/>
    <n v="0"/>
    <x v="1"/>
    <x v="0"/>
    <n v="0"/>
  </r>
  <r>
    <n v="865313000000"/>
    <x v="0"/>
    <x v="43"/>
    <x v="2"/>
    <s v="DA PENHA"/>
    <d v="2016-06-03T00:00:00"/>
    <d v="2016-06-06T00:00:00"/>
    <x v="2"/>
    <x v="89"/>
    <x v="4"/>
    <n v="0"/>
    <x v="1"/>
    <n v="0"/>
    <n v="0"/>
    <n v="0"/>
    <x v="1"/>
    <x v="0"/>
    <n v="0"/>
  </r>
  <r>
    <n v="2277370000000"/>
    <x v="0"/>
    <x v="79"/>
    <x v="5"/>
    <s v="SANTO ANDRE"/>
    <d v="2016-06-03T00:00:00"/>
    <d v="2016-06-03T00:00:00"/>
    <x v="0"/>
    <x v="94"/>
    <x v="5"/>
    <n v="0"/>
    <x v="1"/>
    <n v="0"/>
    <n v="0"/>
    <n v="0"/>
    <x v="1"/>
    <x v="0"/>
    <n v="0"/>
  </r>
  <r>
    <n v="842270000000000"/>
    <x v="1"/>
    <x v="51"/>
    <x v="2"/>
    <s v="JARDIM DA PENHA"/>
    <d v="2016-06-03T00:00:00"/>
    <d v="2016-06-03T00:00:00"/>
    <x v="0"/>
    <x v="94"/>
    <x v="5"/>
    <n v="0"/>
    <x v="1"/>
    <n v="0"/>
    <n v="0"/>
    <n v="0"/>
    <x v="1"/>
    <x v="0"/>
    <n v="0"/>
  </r>
  <r>
    <n v="622924000000000"/>
    <x v="0"/>
    <x v="36"/>
    <x v="3"/>
    <s v="CENTRO"/>
    <d v="2016-06-03T00:00:00"/>
    <d v="2016-06-03T00:00:00"/>
    <x v="0"/>
    <x v="94"/>
    <x v="5"/>
    <n v="0"/>
    <x v="0"/>
    <n v="1"/>
    <n v="0"/>
    <n v="0"/>
    <x v="1"/>
    <x v="0"/>
    <n v="0"/>
  </r>
  <r>
    <n v="28718838678"/>
    <x v="0"/>
    <x v="36"/>
    <x v="3"/>
    <s v="NOVA PALESTINA"/>
    <d v="2016-06-03T00:00:00"/>
    <d v="2016-06-03T00:00:00"/>
    <x v="0"/>
    <x v="94"/>
    <x v="5"/>
    <n v="0"/>
    <x v="0"/>
    <n v="0"/>
    <n v="1"/>
    <n v="0"/>
    <x v="1"/>
    <x v="0"/>
    <n v="0"/>
  </r>
  <r>
    <n v="7466290000000"/>
    <x v="1"/>
    <x v="60"/>
    <x v="2"/>
    <s v="TABUAZEIRO"/>
    <d v="2016-06-03T00:00:00"/>
    <d v="2016-06-03T00:00:00"/>
    <x v="0"/>
    <x v="94"/>
    <x v="5"/>
    <n v="0"/>
    <x v="1"/>
    <n v="0"/>
    <n v="0"/>
    <n v="0"/>
    <x v="1"/>
    <x v="0"/>
    <n v="0"/>
  </r>
  <r>
    <n v="247639000000000"/>
    <x v="0"/>
    <x v="41"/>
    <x v="4"/>
    <s v="SAO JOSE"/>
    <d v="2016-06-03T00:00:00"/>
    <d v="2016-06-03T00:00:00"/>
    <x v="0"/>
    <x v="94"/>
    <x v="5"/>
    <n v="0"/>
    <x v="1"/>
    <n v="0"/>
    <n v="0"/>
    <n v="0"/>
    <x v="1"/>
    <x v="0"/>
    <n v="0"/>
  </r>
  <r>
    <n v="386920000000000"/>
    <x v="0"/>
    <x v="24"/>
    <x v="1"/>
    <s v="MARIA ORTIZ"/>
    <d v="2016-06-03T00:00:00"/>
    <d v="2016-06-03T00:00:00"/>
    <x v="0"/>
    <x v="94"/>
    <x v="5"/>
    <n v="0"/>
    <x v="1"/>
    <n v="0"/>
    <n v="0"/>
    <n v="0"/>
    <x v="1"/>
    <x v="0"/>
    <n v="0"/>
  </r>
  <r>
    <n v="74158100000000"/>
    <x v="1"/>
    <x v="65"/>
    <x v="2"/>
    <s v="SANTO ANDRE"/>
    <d v="2016-06-03T00:00:00"/>
    <d v="2016-06-07T00:00:00"/>
    <x v="4"/>
    <x v="86"/>
    <x v="3"/>
    <n v="0"/>
    <x v="1"/>
    <n v="0"/>
    <n v="0"/>
    <n v="0"/>
    <x v="1"/>
    <x v="0"/>
    <n v="0"/>
  </r>
  <r>
    <n v="424239000000"/>
    <x v="1"/>
    <x v="46"/>
    <x v="2"/>
    <s v="MARIA ORTIZ"/>
    <d v="2016-06-03T00:00:00"/>
    <d v="2016-06-08T00:00:00"/>
    <x v="1"/>
    <x v="92"/>
    <x v="3"/>
    <n v="0"/>
    <x v="1"/>
    <n v="0"/>
    <n v="0"/>
    <n v="0"/>
    <x v="0"/>
    <x v="0"/>
    <n v="0"/>
  </r>
  <r>
    <n v="29254600000000"/>
    <x v="0"/>
    <x v="51"/>
    <x v="2"/>
    <s v="TABUAZEIRO"/>
    <d v="2016-06-03T00:00:00"/>
    <d v="2016-06-06T00:00:00"/>
    <x v="2"/>
    <x v="89"/>
    <x v="4"/>
    <n v="0"/>
    <x v="1"/>
    <n v="0"/>
    <n v="0"/>
    <n v="0"/>
    <x v="0"/>
    <x v="0"/>
    <n v="0"/>
  </r>
  <r>
    <n v="91677657172"/>
    <x v="0"/>
    <x v="64"/>
    <x v="3"/>
    <s v="GRANDE VITORIA"/>
    <d v="2016-06-03T00:00:00"/>
    <d v="2016-06-03T00:00:00"/>
    <x v="0"/>
    <x v="94"/>
    <x v="5"/>
    <n v="0"/>
    <x v="0"/>
    <n v="1"/>
    <n v="0"/>
    <n v="0"/>
    <x v="1"/>
    <x v="0"/>
    <n v="0"/>
  </r>
  <r>
    <n v="398244000000000"/>
    <x v="0"/>
    <x v="73"/>
    <x v="4"/>
    <s v="JARDIM DA PENHA"/>
    <d v="2016-06-03T00:00:00"/>
    <d v="2016-06-03T00:00:00"/>
    <x v="0"/>
    <x v="94"/>
    <x v="5"/>
    <n v="0"/>
    <x v="1"/>
    <n v="0"/>
    <n v="0"/>
    <n v="0"/>
    <x v="1"/>
    <x v="0"/>
    <n v="0"/>
  </r>
  <r>
    <n v="646357000000"/>
    <x v="1"/>
    <x v="70"/>
    <x v="5"/>
    <s v="FORTE SAO JOAO"/>
    <d v="2016-06-03T00:00:00"/>
    <d v="2016-06-03T00:00:00"/>
    <x v="0"/>
    <x v="94"/>
    <x v="5"/>
    <n v="0"/>
    <x v="1"/>
    <n v="0"/>
    <n v="0"/>
    <n v="0"/>
    <x v="1"/>
    <x v="0"/>
    <n v="0"/>
  </r>
  <r>
    <n v="5344130000000"/>
    <x v="0"/>
    <x v="88"/>
    <x v="0"/>
    <s v="NAZARETH"/>
    <d v="2016-06-03T00:00:00"/>
    <d v="2016-06-06T00:00:00"/>
    <x v="2"/>
    <x v="89"/>
    <x v="4"/>
    <n v="0"/>
    <x v="1"/>
    <n v="0"/>
    <n v="0"/>
    <n v="0"/>
    <x v="1"/>
    <x v="0"/>
    <n v="0"/>
  </r>
  <r>
    <n v="93119400000000"/>
    <x v="1"/>
    <x v="46"/>
    <x v="2"/>
    <s v="SAO JOSE"/>
    <d v="2016-06-03T00:00:00"/>
    <d v="2016-06-03T00:00:00"/>
    <x v="0"/>
    <x v="94"/>
    <x v="5"/>
    <n v="0"/>
    <x v="1"/>
    <n v="0"/>
    <n v="0"/>
    <n v="0"/>
    <x v="1"/>
    <x v="1"/>
    <n v="1"/>
  </r>
  <r>
    <n v="3231600000000"/>
    <x v="1"/>
    <x v="67"/>
    <x v="4"/>
    <s v="SAO CRISTOVAO"/>
    <d v="2016-06-03T00:00:00"/>
    <d v="2016-06-03T00:00:00"/>
    <x v="0"/>
    <x v="94"/>
    <x v="5"/>
    <n v="0"/>
    <x v="1"/>
    <n v="0"/>
    <n v="0"/>
    <n v="0"/>
    <x v="1"/>
    <x v="0"/>
    <n v="0"/>
  </r>
  <r>
    <n v="869462000000000"/>
    <x v="0"/>
    <x v="70"/>
    <x v="5"/>
    <s v="SANTO ANDRE"/>
    <d v="2016-06-03T00:00:00"/>
    <d v="2016-06-03T00:00:00"/>
    <x v="0"/>
    <x v="94"/>
    <x v="5"/>
    <n v="0"/>
    <x v="1"/>
    <n v="0"/>
    <n v="0"/>
    <n v="0"/>
    <x v="1"/>
    <x v="0"/>
    <n v="0"/>
  </r>
  <r>
    <n v="585347000000000"/>
    <x v="1"/>
    <x v="65"/>
    <x v="2"/>
    <s v="ILHA DO PRINCIPE"/>
    <d v="2016-06-03T00:00:00"/>
    <d v="2016-06-03T00:00:00"/>
    <x v="0"/>
    <x v="94"/>
    <x v="5"/>
    <n v="1"/>
    <x v="1"/>
    <n v="0"/>
    <n v="0"/>
    <n v="0"/>
    <x v="1"/>
    <x v="0"/>
    <n v="0"/>
  </r>
  <r>
    <n v="742231000000000"/>
    <x v="0"/>
    <x v="41"/>
    <x v="4"/>
    <s v="JARDIM DA PENHA"/>
    <d v="2016-06-03T00:00:00"/>
    <d v="2016-06-03T00:00:00"/>
    <x v="0"/>
    <x v="94"/>
    <x v="5"/>
    <n v="0"/>
    <x v="1"/>
    <n v="0"/>
    <n v="0"/>
    <n v="0"/>
    <x v="1"/>
    <x v="0"/>
    <n v="0"/>
  </r>
  <r>
    <n v="3973310000000"/>
    <x v="1"/>
    <x v="62"/>
    <x v="3"/>
    <s v="PRAIA DO SUA"/>
    <d v="2016-06-03T00:00:00"/>
    <d v="2016-06-07T00:00:00"/>
    <x v="4"/>
    <x v="86"/>
    <x v="3"/>
    <n v="0"/>
    <x v="1"/>
    <n v="0"/>
    <n v="0"/>
    <n v="0"/>
    <x v="0"/>
    <x v="0"/>
    <n v="0"/>
  </r>
  <r>
    <n v="6141830000000"/>
    <x v="1"/>
    <x v="39"/>
    <x v="4"/>
    <s v="JARDIM CAMBURI"/>
    <d v="2016-06-03T00:00:00"/>
    <d v="2016-06-03T00:00:00"/>
    <x v="0"/>
    <x v="94"/>
    <x v="5"/>
    <n v="0"/>
    <x v="1"/>
    <n v="0"/>
    <n v="0"/>
    <n v="0"/>
    <x v="1"/>
    <x v="1"/>
    <n v="1"/>
  </r>
  <r>
    <n v="46986300000000"/>
    <x v="0"/>
    <x v="26"/>
    <x v="0"/>
    <s v="GRANDE VITORIA"/>
    <d v="2016-06-03T00:00:00"/>
    <d v="2016-06-03T00:00:00"/>
    <x v="0"/>
    <x v="94"/>
    <x v="5"/>
    <n v="0"/>
    <x v="0"/>
    <n v="1"/>
    <n v="0"/>
    <n v="0"/>
    <x v="1"/>
    <x v="0"/>
    <n v="0"/>
  </r>
  <r>
    <n v="349523000000"/>
    <x v="1"/>
    <x v="40"/>
    <x v="1"/>
    <s v="SANTA LUCIA"/>
    <d v="2016-06-03T00:00:00"/>
    <d v="2016-06-03T00:00:00"/>
    <x v="0"/>
    <x v="94"/>
    <x v="5"/>
    <n v="0"/>
    <x v="1"/>
    <n v="0"/>
    <n v="1"/>
    <n v="0"/>
    <x v="1"/>
    <x v="0"/>
    <n v="0"/>
  </r>
  <r>
    <n v="725739000000000"/>
    <x v="0"/>
    <x v="12"/>
    <x v="3"/>
    <s v="ANDORINHAS"/>
    <d v="2016-06-03T00:00:00"/>
    <d v="2016-06-03T00:00:00"/>
    <x v="0"/>
    <x v="94"/>
    <x v="5"/>
    <n v="0"/>
    <x v="0"/>
    <n v="0"/>
    <n v="0"/>
    <n v="0"/>
    <x v="1"/>
    <x v="0"/>
    <n v="0"/>
  </r>
  <r>
    <n v="55973500000000"/>
    <x v="0"/>
    <x v="62"/>
    <x v="3"/>
    <s v="SANTA MARTHA"/>
    <d v="2016-06-03T00:00:00"/>
    <d v="2016-06-03T00:00:00"/>
    <x v="0"/>
    <x v="94"/>
    <x v="5"/>
    <n v="0"/>
    <x v="1"/>
    <n v="0"/>
    <n v="0"/>
    <n v="0"/>
    <x v="1"/>
    <x v="0"/>
    <n v="0"/>
  </r>
  <r>
    <n v="35544000000000"/>
    <x v="0"/>
    <x v="40"/>
    <x v="1"/>
    <s v="NOVA PALESTINA"/>
    <d v="2016-06-03T00:00:00"/>
    <d v="2016-06-06T00:00:00"/>
    <x v="2"/>
    <x v="89"/>
    <x v="4"/>
    <n v="0"/>
    <x v="1"/>
    <n v="0"/>
    <n v="0"/>
    <n v="0"/>
    <x v="1"/>
    <x v="1"/>
    <n v="1"/>
  </r>
  <r>
    <n v="3922880000000"/>
    <x v="1"/>
    <x v="7"/>
    <x v="3"/>
    <s v="PARQUE MOSCOSO"/>
    <d v="2016-06-03T00:00:00"/>
    <d v="2016-06-03T00:00:00"/>
    <x v="0"/>
    <x v="94"/>
    <x v="5"/>
    <n v="0"/>
    <x v="0"/>
    <n v="1"/>
    <n v="0"/>
    <n v="0"/>
    <x v="1"/>
    <x v="0"/>
    <n v="0"/>
  </r>
  <r>
    <n v="94416800000000"/>
    <x v="1"/>
    <x v="57"/>
    <x v="2"/>
    <s v="MARIA ORTIZ"/>
    <d v="2016-06-03T00:00:00"/>
    <d v="2016-06-03T00:00:00"/>
    <x v="0"/>
    <x v="94"/>
    <x v="5"/>
    <n v="0"/>
    <x v="1"/>
    <n v="0"/>
    <n v="0"/>
    <n v="0"/>
    <x v="1"/>
    <x v="0"/>
    <n v="0"/>
  </r>
  <r>
    <n v="9316750000000"/>
    <x v="0"/>
    <x v="17"/>
    <x v="4"/>
    <s v="SAO JOSE"/>
    <d v="2016-06-03T00:00:00"/>
    <d v="2016-06-03T00:00:00"/>
    <x v="0"/>
    <x v="94"/>
    <x v="5"/>
    <n v="1"/>
    <x v="1"/>
    <n v="0"/>
    <n v="0"/>
    <n v="0"/>
    <x v="1"/>
    <x v="0"/>
    <n v="0"/>
  </r>
  <r>
    <n v="8433770000000"/>
    <x v="0"/>
    <x v="64"/>
    <x v="3"/>
    <s v="JARDIM CAMBURI"/>
    <d v="2016-06-03T00:00:00"/>
    <d v="2016-06-03T00:00:00"/>
    <x v="0"/>
    <x v="94"/>
    <x v="5"/>
    <n v="0"/>
    <x v="1"/>
    <n v="0"/>
    <n v="0"/>
    <n v="0"/>
    <x v="1"/>
    <x v="0"/>
    <n v="0"/>
  </r>
  <r>
    <n v="426114000000"/>
    <x v="0"/>
    <x v="1"/>
    <x v="0"/>
    <s v="JARDIM CAMBURI"/>
    <d v="2016-06-03T00:00:00"/>
    <d v="2016-06-07T00:00:00"/>
    <x v="4"/>
    <x v="86"/>
    <x v="3"/>
    <n v="0"/>
    <x v="1"/>
    <n v="0"/>
    <n v="0"/>
    <n v="0"/>
    <x v="0"/>
    <x v="1"/>
    <n v="1"/>
  </r>
  <r>
    <n v="2318390000000"/>
    <x v="0"/>
    <x v="26"/>
    <x v="0"/>
    <s v="PRAIA DO CANTO"/>
    <d v="2016-06-03T00:00:00"/>
    <d v="2016-06-03T00:00:00"/>
    <x v="0"/>
    <x v="94"/>
    <x v="5"/>
    <n v="0"/>
    <x v="0"/>
    <n v="1"/>
    <n v="0"/>
    <n v="0"/>
    <x v="1"/>
    <x v="0"/>
    <n v="0"/>
  </r>
  <r>
    <n v="627719000000"/>
    <x v="1"/>
    <x v="50"/>
    <x v="1"/>
    <s v="SAO PEDRO"/>
    <d v="2016-06-03T00:00:00"/>
    <d v="2016-06-03T00:00:00"/>
    <x v="0"/>
    <x v="94"/>
    <x v="5"/>
    <n v="0"/>
    <x v="1"/>
    <n v="0"/>
    <n v="0"/>
    <n v="0"/>
    <x v="1"/>
    <x v="0"/>
    <n v="0"/>
  </r>
  <r>
    <n v="22752800000000"/>
    <x v="1"/>
    <x v="55"/>
    <x v="2"/>
    <s v="DA PENHA"/>
    <d v="2016-06-03T00:00:00"/>
    <d v="2016-06-03T00:00:00"/>
    <x v="0"/>
    <x v="94"/>
    <x v="5"/>
    <n v="0"/>
    <x v="1"/>
    <n v="0"/>
    <n v="0"/>
    <n v="0"/>
    <x v="1"/>
    <x v="0"/>
    <n v="0"/>
  </r>
  <r>
    <n v="45872600000000"/>
    <x v="0"/>
    <x v="54"/>
    <x v="1"/>
    <s v="COMDUSA"/>
    <d v="2016-06-03T00:00:00"/>
    <d v="2016-06-08T00:00:00"/>
    <x v="1"/>
    <x v="92"/>
    <x v="3"/>
    <n v="0"/>
    <x v="1"/>
    <n v="0"/>
    <n v="0"/>
    <n v="0"/>
    <x v="0"/>
    <x v="0"/>
    <n v="0"/>
  </r>
  <r>
    <n v="516422000000000"/>
    <x v="1"/>
    <x v="61"/>
    <x v="1"/>
    <s v="CONQUISTA"/>
    <d v="2016-06-03T00:00:00"/>
    <d v="2016-06-08T00:00:00"/>
    <x v="1"/>
    <x v="92"/>
    <x v="3"/>
    <n v="0"/>
    <x v="1"/>
    <n v="0"/>
    <n v="0"/>
    <n v="0"/>
    <x v="0"/>
    <x v="0"/>
    <n v="0"/>
  </r>
  <r>
    <n v="7887880000000"/>
    <x v="0"/>
    <x v="40"/>
    <x v="1"/>
    <s v="DA PENHA"/>
    <d v="2016-06-03T00:00:00"/>
    <d v="2016-06-06T00:00:00"/>
    <x v="2"/>
    <x v="89"/>
    <x v="4"/>
    <n v="0"/>
    <x v="1"/>
    <n v="0"/>
    <n v="0"/>
    <n v="0"/>
    <x v="1"/>
    <x v="0"/>
    <n v="0"/>
  </r>
  <r>
    <n v="68954500000000"/>
    <x v="0"/>
    <x v="61"/>
    <x v="1"/>
    <s v="BELA VISTA"/>
    <d v="2016-06-03T00:00:00"/>
    <d v="2016-06-06T00:00:00"/>
    <x v="2"/>
    <x v="89"/>
    <x v="4"/>
    <n v="0"/>
    <x v="1"/>
    <n v="0"/>
    <n v="0"/>
    <n v="0"/>
    <x v="1"/>
    <x v="1"/>
    <n v="1"/>
  </r>
  <r>
    <n v="79236700000000"/>
    <x v="0"/>
    <x v="62"/>
    <x v="3"/>
    <s v="BOA VISTA"/>
    <d v="2016-06-03T00:00:00"/>
    <d v="2016-06-07T00:00:00"/>
    <x v="4"/>
    <x v="86"/>
    <x v="3"/>
    <n v="0"/>
    <x v="1"/>
    <n v="0"/>
    <n v="0"/>
    <n v="0"/>
    <x v="0"/>
    <x v="0"/>
    <n v="0"/>
  </r>
  <r>
    <n v="998178000000000"/>
    <x v="0"/>
    <x v="20"/>
    <x v="0"/>
    <s v="SAO CRISTOVAO"/>
    <d v="2016-06-03T00:00:00"/>
    <d v="2016-06-07T00:00:00"/>
    <x v="4"/>
    <x v="86"/>
    <x v="3"/>
    <n v="0"/>
    <x v="1"/>
    <n v="0"/>
    <n v="0"/>
    <n v="0"/>
    <x v="0"/>
    <x v="0"/>
    <n v="0"/>
  </r>
  <r>
    <n v="12169600000000"/>
    <x v="1"/>
    <x v="50"/>
    <x v="1"/>
    <s v="PRAIA DO SUA"/>
    <d v="2016-06-03T00:00:00"/>
    <d v="2016-06-08T00:00:00"/>
    <x v="1"/>
    <x v="92"/>
    <x v="3"/>
    <n v="0"/>
    <x v="1"/>
    <n v="0"/>
    <n v="0"/>
    <n v="0"/>
    <x v="0"/>
    <x v="0"/>
    <n v="0"/>
  </r>
  <r>
    <n v="9735330000000"/>
    <x v="0"/>
    <x v="49"/>
    <x v="4"/>
    <s v="ROMAO"/>
    <d v="2016-06-03T00:00:00"/>
    <d v="2016-06-08T00:00:00"/>
    <x v="1"/>
    <x v="92"/>
    <x v="3"/>
    <n v="1"/>
    <x v="1"/>
    <n v="0"/>
    <n v="0"/>
    <n v="0"/>
    <x v="0"/>
    <x v="0"/>
    <n v="0"/>
  </r>
  <r>
    <n v="4821730000000"/>
    <x v="1"/>
    <x v="66"/>
    <x v="2"/>
    <s v="ESTRELINHA"/>
    <d v="2016-06-03T00:00:00"/>
    <d v="2016-06-07T00:00:00"/>
    <x v="4"/>
    <x v="86"/>
    <x v="3"/>
    <n v="1"/>
    <x v="1"/>
    <n v="0"/>
    <n v="0"/>
    <n v="0"/>
    <x v="0"/>
    <x v="1"/>
    <n v="1"/>
  </r>
  <r>
    <n v="62812800000000"/>
    <x v="0"/>
    <x v="31"/>
    <x v="1"/>
    <s v="CENTRO"/>
    <d v="2016-06-03T00:00:00"/>
    <d v="2016-06-03T00:00:00"/>
    <x v="0"/>
    <x v="94"/>
    <x v="5"/>
    <n v="0"/>
    <x v="1"/>
    <n v="0"/>
    <n v="0"/>
    <n v="0"/>
    <x v="1"/>
    <x v="0"/>
    <n v="0"/>
  </r>
  <r>
    <n v="765249000000000"/>
    <x v="0"/>
    <x v="52"/>
    <x v="2"/>
    <s v="FORTE SAO JOAO"/>
    <d v="2016-06-03T00:00:00"/>
    <d v="2016-06-07T00:00:00"/>
    <x v="4"/>
    <x v="86"/>
    <x v="3"/>
    <n v="0"/>
    <x v="1"/>
    <n v="0"/>
    <n v="0"/>
    <n v="0"/>
    <x v="0"/>
    <x v="0"/>
    <n v="0"/>
  </r>
  <r>
    <n v="428475000000000"/>
    <x v="0"/>
    <x v="18"/>
    <x v="0"/>
    <s v="JARDIM CAMBURI"/>
    <d v="2016-06-03T00:00:00"/>
    <d v="2016-06-07T00:00:00"/>
    <x v="4"/>
    <x v="86"/>
    <x v="3"/>
    <n v="0"/>
    <x v="0"/>
    <n v="1"/>
    <n v="0"/>
    <n v="0"/>
    <x v="0"/>
    <x v="0"/>
    <n v="0"/>
  </r>
  <r>
    <n v="26749100000000"/>
    <x v="1"/>
    <x v="83"/>
    <x v="0"/>
    <s v="CARATOIRA"/>
    <d v="2016-06-03T00:00:00"/>
    <d v="2016-06-06T00:00:00"/>
    <x v="2"/>
    <x v="89"/>
    <x v="4"/>
    <n v="0"/>
    <x v="0"/>
    <n v="0"/>
    <n v="0"/>
    <n v="0"/>
    <x v="0"/>
    <x v="0"/>
    <n v="0"/>
  </r>
  <r>
    <n v="32943477221"/>
    <x v="1"/>
    <x v="50"/>
    <x v="1"/>
    <s v="JARDIM CAMBURI"/>
    <d v="2016-06-03T00:00:00"/>
    <d v="2016-06-06T00:00:00"/>
    <x v="2"/>
    <x v="89"/>
    <x v="4"/>
    <n v="0"/>
    <x v="1"/>
    <n v="0"/>
    <n v="0"/>
    <n v="0"/>
    <x v="1"/>
    <x v="0"/>
    <n v="0"/>
  </r>
  <r>
    <n v="4951110000000"/>
    <x v="0"/>
    <x v="18"/>
    <x v="0"/>
    <s v="MARIA ORTIZ"/>
    <d v="2016-06-03T00:00:00"/>
    <d v="2016-06-07T00:00:00"/>
    <x v="4"/>
    <x v="86"/>
    <x v="3"/>
    <n v="0"/>
    <x v="1"/>
    <n v="0"/>
    <n v="0"/>
    <n v="0"/>
    <x v="1"/>
    <x v="1"/>
    <n v="1"/>
  </r>
  <r>
    <n v="74374000000000"/>
    <x v="1"/>
    <x v="66"/>
    <x v="2"/>
    <s v="SAO JOSE"/>
    <d v="2016-06-03T00:00:00"/>
    <d v="2016-06-03T00:00:00"/>
    <x v="0"/>
    <x v="94"/>
    <x v="5"/>
    <n v="0"/>
    <x v="1"/>
    <n v="0"/>
    <n v="0"/>
    <n v="0"/>
    <x v="1"/>
    <x v="0"/>
    <n v="0"/>
  </r>
  <r>
    <n v="34393200000000"/>
    <x v="0"/>
    <x v="24"/>
    <x v="1"/>
    <s v="CARATOIRA"/>
    <d v="2016-06-03T00:00:00"/>
    <d v="2016-06-03T00:00:00"/>
    <x v="0"/>
    <x v="94"/>
    <x v="5"/>
    <n v="0"/>
    <x v="1"/>
    <n v="0"/>
    <n v="0"/>
    <n v="0"/>
    <x v="1"/>
    <x v="0"/>
    <n v="0"/>
  </r>
  <r>
    <n v="3943450000000"/>
    <x v="0"/>
    <x v="17"/>
    <x v="4"/>
    <s v="SANTA MARTHA"/>
    <d v="2016-06-03T00:00:00"/>
    <d v="2016-06-03T00:00:00"/>
    <x v="0"/>
    <x v="94"/>
    <x v="5"/>
    <n v="0"/>
    <x v="1"/>
    <n v="0"/>
    <n v="0"/>
    <n v="0"/>
    <x v="1"/>
    <x v="0"/>
    <n v="0"/>
  </r>
  <r>
    <n v="42418600000000"/>
    <x v="0"/>
    <x v="43"/>
    <x v="2"/>
    <s v="DO QUADRO"/>
    <d v="2016-06-03T00:00:00"/>
    <d v="2016-06-03T00:00:00"/>
    <x v="0"/>
    <x v="94"/>
    <x v="5"/>
    <n v="0"/>
    <x v="1"/>
    <n v="0"/>
    <n v="0"/>
    <n v="1"/>
    <x v="1"/>
    <x v="0"/>
    <n v="0"/>
  </r>
  <r>
    <n v="61485696469"/>
    <x v="0"/>
    <x v="55"/>
    <x v="2"/>
    <s v="JESUS DE NAZARETH"/>
    <d v="2016-06-03T00:00:00"/>
    <d v="2016-06-06T00:00:00"/>
    <x v="2"/>
    <x v="89"/>
    <x v="4"/>
    <n v="0"/>
    <x v="1"/>
    <n v="0"/>
    <n v="0"/>
    <n v="0"/>
    <x v="0"/>
    <x v="0"/>
    <n v="0"/>
  </r>
  <r>
    <n v="3554350000000"/>
    <x v="1"/>
    <x v="46"/>
    <x v="2"/>
    <s v="TABUAZEIRO"/>
    <d v="2016-06-03T00:00:00"/>
    <d v="2016-06-08T00:00:00"/>
    <x v="1"/>
    <x v="92"/>
    <x v="3"/>
    <n v="0"/>
    <x v="1"/>
    <n v="0"/>
    <n v="0"/>
    <n v="0"/>
    <x v="1"/>
    <x v="0"/>
    <n v="0"/>
  </r>
  <r>
    <n v="98266800000000"/>
    <x v="0"/>
    <x v="72"/>
    <x v="5"/>
    <s v="MARUIPE"/>
    <d v="2016-06-03T00:00:00"/>
    <d v="2016-06-06T00:00:00"/>
    <x v="2"/>
    <x v="89"/>
    <x v="4"/>
    <n v="0"/>
    <x v="1"/>
    <n v="0"/>
    <n v="0"/>
    <n v="0"/>
    <x v="1"/>
    <x v="0"/>
    <n v="0"/>
  </r>
  <r>
    <n v="32348600000000"/>
    <x v="0"/>
    <x v="56"/>
    <x v="1"/>
    <s v="SANTO ANTONIO"/>
    <d v="2016-06-03T00:00:00"/>
    <d v="2016-06-03T00:00:00"/>
    <x v="0"/>
    <x v="94"/>
    <x v="5"/>
    <n v="0"/>
    <x v="1"/>
    <n v="0"/>
    <n v="0"/>
    <n v="0"/>
    <x v="1"/>
    <x v="0"/>
    <n v="0"/>
  </r>
  <r>
    <n v="3878740000000"/>
    <x v="0"/>
    <x v="20"/>
    <x v="0"/>
    <s v="RESISTENCIA"/>
    <d v="2016-06-03T00:00:00"/>
    <d v="2016-06-03T00:00:00"/>
    <x v="0"/>
    <x v="94"/>
    <x v="5"/>
    <n v="0"/>
    <x v="0"/>
    <n v="1"/>
    <n v="0"/>
    <n v="0"/>
    <x v="1"/>
    <x v="0"/>
    <n v="0"/>
  </r>
  <r>
    <n v="716625000000"/>
    <x v="0"/>
    <x v="4"/>
    <x v="2"/>
    <s v="INHANGUETA"/>
    <d v="2016-06-03T00:00:00"/>
    <d v="2016-06-06T00:00:00"/>
    <x v="2"/>
    <x v="89"/>
    <x v="4"/>
    <n v="0"/>
    <x v="1"/>
    <n v="0"/>
    <n v="0"/>
    <n v="0"/>
    <x v="1"/>
    <x v="0"/>
    <n v="0"/>
  </r>
  <r>
    <n v="41694500000000"/>
    <x v="0"/>
    <x v="65"/>
    <x v="2"/>
    <s v="RESISTENCIA"/>
    <d v="2016-06-03T00:00:00"/>
    <d v="2016-06-03T00:00:00"/>
    <x v="0"/>
    <x v="94"/>
    <x v="5"/>
    <n v="0"/>
    <x v="1"/>
    <n v="0"/>
    <n v="0"/>
    <n v="0"/>
    <x v="1"/>
    <x v="0"/>
    <n v="0"/>
  </r>
  <r>
    <n v="915190000000"/>
    <x v="1"/>
    <x v="48"/>
    <x v="3"/>
    <s v="MARIA ORTIZ"/>
    <d v="2016-06-03T00:00:00"/>
    <d v="2016-06-03T00:00:00"/>
    <x v="0"/>
    <x v="94"/>
    <x v="5"/>
    <n v="0"/>
    <x v="1"/>
    <n v="0"/>
    <n v="0"/>
    <n v="0"/>
    <x v="1"/>
    <x v="0"/>
    <n v="0"/>
  </r>
  <r>
    <n v="8299660000000"/>
    <x v="1"/>
    <x v="88"/>
    <x v="0"/>
    <s v="MARIA ORTIZ"/>
    <d v="2016-06-03T00:00:00"/>
    <d v="2016-06-03T00:00:00"/>
    <x v="0"/>
    <x v="94"/>
    <x v="5"/>
    <n v="0"/>
    <x v="1"/>
    <n v="0"/>
    <n v="0"/>
    <n v="0"/>
    <x v="1"/>
    <x v="0"/>
    <n v="0"/>
  </r>
  <r>
    <n v="44635600000000"/>
    <x v="1"/>
    <x v="42"/>
    <x v="3"/>
    <s v="SANTA MARTHA"/>
    <d v="2016-06-03T00:00:00"/>
    <d v="2016-06-03T00:00:00"/>
    <x v="0"/>
    <x v="94"/>
    <x v="5"/>
    <n v="0"/>
    <x v="1"/>
    <n v="0"/>
    <n v="0"/>
    <n v="0"/>
    <x v="1"/>
    <x v="0"/>
    <n v="0"/>
  </r>
  <r>
    <n v="631833000000000"/>
    <x v="0"/>
    <x v="32"/>
    <x v="4"/>
    <s v="MARIA ORTIZ"/>
    <d v="2016-06-03T00:00:00"/>
    <d v="2016-06-03T00:00:00"/>
    <x v="0"/>
    <x v="94"/>
    <x v="5"/>
    <n v="0"/>
    <x v="1"/>
    <n v="0"/>
    <n v="0"/>
    <n v="0"/>
    <x v="1"/>
    <x v="0"/>
    <n v="0"/>
  </r>
  <r>
    <n v="14226223512"/>
    <x v="1"/>
    <x v="79"/>
    <x v="5"/>
    <s v="BELA VISTA"/>
    <d v="2016-06-03T00:00:00"/>
    <d v="2016-06-03T00:00:00"/>
    <x v="0"/>
    <x v="94"/>
    <x v="5"/>
    <n v="0"/>
    <x v="1"/>
    <n v="0"/>
    <n v="0"/>
    <n v="0"/>
    <x v="1"/>
    <x v="1"/>
    <n v="1"/>
  </r>
  <r>
    <n v="4914460000000"/>
    <x v="0"/>
    <x v="32"/>
    <x v="4"/>
    <s v="DA PENHA"/>
    <d v="2016-06-03T00:00:00"/>
    <d v="2016-06-03T00:00:00"/>
    <x v="0"/>
    <x v="94"/>
    <x v="5"/>
    <n v="0"/>
    <x v="1"/>
    <n v="0"/>
    <n v="0"/>
    <n v="0"/>
    <x v="1"/>
    <x v="0"/>
    <n v="0"/>
  </r>
  <r>
    <n v="38247915222"/>
    <x v="0"/>
    <x v="49"/>
    <x v="4"/>
    <s v="UNIVERSITARIO"/>
    <d v="2016-06-03T00:00:00"/>
    <d v="2016-06-08T00:00:00"/>
    <x v="1"/>
    <x v="92"/>
    <x v="3"/>
    <n v="0"/>
    <x v="1"/>
    <n v="0"/>
    <n v="0"/>
    <n v="0"/>
    <x v="0"/>
    <x v="0"/>
    <n v="0"/>
  </r>
  <r>
    <n v="96149200000000"/>
    <x v="0"/>
    <x v="16"/>
    <x v="1"/>
    <s v="JABOUR"/>
    <d v="2016-06-03T00:00:00"/>
    <d v="2016-06-03T00:00:00"/>
    <x v="0"/>
    <x v="94"/>
    <x v="5"/>
    <n v="0"/>
    <x v="1"/>
    <n v="0"/>
    <n v="0"/>
    <n v="0"/>
    <x v="1"/>
    <x v="0"/>
    <n v="0"/>
  </r>
  <r>
    <n v="839574000000000"/>
    <x v="0"/>
    <x v="14"/>
    <x v="3"/>
    <s v="BONFIM"/>
    <d v="2016-06-03T00:00:00"/>
    <d v="2016-06-03T00:00:00"/>
    <x v="0"/>
    <x v="94"/>
    <x v="5"/>
    <n v="0"/>
    <x v="1"/>
    <n v="0"/>
    <n v="0"/>
    <n v="0"/>
    <x v="1"/>
    <x v="0"/>
    <n v="0"/>
  </r>
  <r>
    <n v="9716120000000"/>
    <x v="0"/>
    <x v="71"/>
    <x v="4"/>
    <s v="ILHA DO PRINCIPE"/>
    <d v="2016-06-03T00:00:00"/>
    <d v="2016-06-03T00:00:00"/>
    <x v="0"/>
    <x v="94"/>
    <x v="5"/>
    <n v="0"/>
    <x v="1"/>
    <n v="0"/>
    <n v="0"/>
    <n v="0"/>
    <x v="1"/>
    <x v="0"/>
    <n v="0"/>
  </r>
  <r>
    <n v="4852740000000"/>
    <x v="0"/>
    <x v="60"/>
    <x v="2"/>
    <s v="JABOUR"/>
    <d v="2016-06-03T00:00:00"/>
    <d v="2016-06-03T00:00:00"/>
    <x v="0"/>
    <x v="94"/>
    <x v="5"/>
    <n v="0"/>
    <x v="1"/>
    <n v="0"/>
    <n v="0"/>
    <n v="0"/>
    <x v="1"/>
    <x v="0"/>
    <n v="0"/>
  </r>
  <r>
    <n v="8498180000000"/>
    <x v="0"/>
    <x v="25"/>
    <x v="4"/>
    <s v="SANTA MARTHA"/>
    <d v="2016-06-03T00:00:00"/>
    <d v="2016-06-07T00:00:00"/>
    <x v="4"/>
    <x v="86"/>
    <x v="3"/>
    <n v="1"/>
    <x v="1"/>
    <n v="0"/>
    <n v="0"/>
    <n v="0"/>
    <x v="0"/>
    <x v="0"/>
    <n v="0"/>
  </r>
  <r>
    <n v="91371300000000"/>
    <x v="0"/>
    <x v="70"/>
    <x v="5"/>
    <s v="JESUS DE NAZARETH"/>
    <d v="2016-06-03T00:00:00"/>
    <d v="2016-06-07T00:00:00"/>
    <x v="4"/>
    <x v="86"/>
    <x v="3"/>
    <n v="0"/>
    <x v="1"/>
    <n v="0"/>
    <n v="0"/>
    <n v="0"/>
    <x v="0"/>
    <x v="0"/>
    <n v="0"/>
  </r>
  <r>
    <n v="26269300000000"/>
    <x v="0"/>
    <x v="91"/>
    <x v="0"/>
    <s v="CENTRO"/>
    <d v="2016-06-03T00:00:00"/>
    <d v="2016-06-03T00:00:00"/>
    <x v="0"/>
    <x v="94"/>
    <x v="5"/>
    <n v="0"/>
    <x v="1"/>
    <n v="1"/>
    <n v="0"/>
    <n v="0"/>
    <x v="1"/>
    <x v="0"/>
    <n v="0"/>
  </r>
  <r>
    <n v="3189140000000"/>
    <x v="1"/>
    <x v="29"/>
    <x v="3"/>
    <s v="BOA VISTA"/>
    <d v="2016-06-03T00:00:00"/>
    <d v="2016-06-07T00:00:00"/>
    <x v="4"/>
    <x v="86"/>
    <x v="3"/>
    <n v="0"/>
    <x v="1"/>
    <n v="0"/>
    <n v="0"/>
    <n v="0"/>
    <x v="0"/>
    <x v="0"/>
    <n v="0"/>
  </r>
  <r>
    <n v="44567900000000"/>
    <x v="0"/>
    <x v="76"/>
    <x v="0"/>
    <s v="SAO JOSE"/>
    <d v="2016-06-03T00:00:00"/>
    <d v="2016-06-07T00:00:00"/>
    <x v="4"/>
    <x v="86"/>
    <x v="3"/>
    <n v="0"/>
    <x v="0"/>
    <n v="0"/>
    <n v="0"/>
    <n v="0"/>
    <x v="1"/>
    <x v="0"/>
    <n v="0"/>
  </r>
  <r>
    <n v="545136000000000"/>
    <x v="0"/>
    <x v="62"/>
    <x v="3"/>
    <s v="JARDIM CAMBURI"/>
    <d v="2016-06-03T00:00:00"/>
    <d v="2016-06-08T00:00:00"/>
    <x v="1"/>
    <x v="92"/>
    <x v="3"/>
    <n v="0"/>
    <x v="1"/>
    <n v="0"/>
    <n v="0"/>
    <n v="0"/>
    <x v="1"/>
    <x v="0"/>
    <n v="0"/>
  </r>
  <r>
    <n v="7582520000000"/>
    <x v="1"/>
    <x v="37"/>
    <x v="3"/>
    <s v="COMDUSA"/>
    <d v="2016-06-03T00:00:00"/>
    <d v="2016-06-07T00:00:00"/>
    <x v="4"/>
    <x v="86"/>
    <x v="3"/>
    <n v="0"/>
    <x v="1"/>
    <n v="1"/>
    <n v="0"/>
    <n v="0"/>
    <x v="1"/>
    <x v="0"/>
    <n v="0"/>
  </r>
  <r>
    <n v="46232700000000"/>
    <x v="0"/>
    <x v="89"/>
    <x v="0"/>
    <s v="RESISTENCIA"/>
    <d v="2016-06-03T00:00:00"/>
    <d v="2016-06-03T00:00:00"/>
    <x v="0"/>
    <x v="94"/>
    <x v="5"/>
    <n v="0"/>
    <x v="0"/>
    <n v="0"/>
    <n v="0"/>
    <n v="0"/>
    <x v="1"/>
    <x v="0"/>
    <n v="0"/>
  </r>
  <r>
    <n v="3834870000000"/>
    <x v="0"/>
    <x v="50"/>
    <x v="1"/>
    <s v="ROMAO"/>
    <d v="2016-06-03T00:00:00"/>
    <d v="2016-06-03T00:00:00"/>
    <x v="0"/>
    <x v="94"/>
    <x v="5"/>
    <n v="1"/>
    <x v="0"/>
    <n v="0"/>
    <n v="0"/>
    <n v="0"/>
    <x v="1"/>
    <x v="0"/>
    <n v="0"/>
  </r>
  <r>
    <n v="454134000000"/>
    <x v="1"/>
    <x v="26"/>
    <x v="0"/>
    <s v="VILA RUBIM"/>
    <d v="2016-06-03T00:00:00"/>
    <d v="2016-06-03T00:00:00"/>
    <x v="0"/>
    <x v="94"/>
    <x v="5"/>
    <n v="0"/>
    <x v="0"/>
    <n v="0"/>
    <n v="0"/>
    <n v="0"/>
    <x v="1"/>
    <x v="0"/>
    <n v="0"/>
  </r>
  <r>
    <n v="37533500000000"/>
    <x v="0"/>
    <x v="87"/>
    <x v="1"/>
    <s v="SAO JOSE"/>
    <d v="2016-06-03T00:00:00"/>
    <d v="2016-06-07T00:00:00"/>
    <x v="4"/>
    <x v="86"/>
    <x v="3"/>
    <n v="0"/>
    <x v="0"/>
    <n v="0"/>
    <n v="0"/>
    <n v="0"/>
    <x v="0"/>
    <x v="1"/>
    <n v="1"/>
  </r>
  <r>
    <n v="5375120000000"/>
    <x v="1"/>
    <x v="54"/>
    <x v="1"/>
    <s v="BENTO FERREIRA"/>
    <d v="2016-06-03T00:00:00"/>
    <d v="2016-06-07T00:00:00"/>
    <x v="4"/>
    <x v="86"/>
    <x v="3"/>
    <n v="0"/>
    <x v="1"/>
    <n v="0"/>
    <n v="0"/>
    <n v="0"/>
    <x v="0"/>
    <x v="0"/>
    <n v="0"/>
  </r>
  <r>
    <n v="134322000000000"/>
    <x v="0"/>
    <x v="1"/>
    <x v="0"/>
    <s v="JESUS DE NAZARETH"/>
    <d v="2016-06-03T00:00:00"/>
    <d v="2016-06-03T00:00:00"/>
    <x v="0"/>
    <x v="94"/>
    <x v="5"/>
    <n v="0"/>
    <x v="0"/>
    <n v="1"/>
    <n v="0"/>
    <n v="0"/>
    <x v="1"/>
    <x v="0"/>
    <n v="0"/>
  </r>
  <r>
    <n v="95488300000000"/>
    <x v="1"/>
    <x v="46"/>
    <x v="2"/>
    <s v="BELA VISTA"/>
    <d v="2016-06-03T00:00:00"/>
    <d v="2016-06-03T00:00:00"/>
    <x v="0"/>
    <x v="94"/>
    <x v="5"/>
    <n v="0"/>
    <x v="1"/>
    <n v="0"/>
    <n v="0"/>
    <n v="0"/>
    <x v="1"/>
    <x v="0"/>
    <n v="0"/>
  </r>
  <r>
    <n v="17823600000000"/>
    <x v="1"/>
    <x v="69"/>
    <x v="4"/>
    <s v="MATA DA PRAIA"/>
    <d v="2016-06-03T00:00:00"/>
    <d v="2016-06-07T00:00:00"/>
    <x v="4"/>
    <x v="86"/>
    <x v="3"/>
    <n v="0"/>
    <x v="1"/>
    <n v="0"/>
    <n v="0"/>
    <n v="1"/>
    <x v="0"/>
    <x v="0"/>
    <n v="0"/>
  </r>
  <r>
    <n v="573423000000000"/>
    <x v="0"/>
    <x v="32"/>
    <x v="4"/>
    <s v="ESTRELINHA"/>
    <d v="2016-06-03T00:00:00"/>
    <d v="2016-06-06T00:00:00"/>
    <x v="2"/>
    <x v="89"/>
    <x v="4"/>
    <n v="0"/>
    <x v="1"/>
    <n v="0"/>
    <n v="0"/>
    <n v="0"/>
    <x v="1"/>
    <x v="0"/>
    <n v="0"/>
  </r>
  <r>
    <n v="44397900000000"/>
    <x v="0"/>
    <x v="79"/>
    <x v="5"/>
    <s v="NOVA PALESTINA"/>
    <d v="2016-06-03T00:00:00"/>
    <d v="2016-06-06T00:00:00"/>
    <x v="2"/>
    <x v="89"/>
    <x v="4"/>
    <n v="0"/>
    <x v="1"/>
    <n v="0"/>
    <n v="0"/>
    <n v="0"/>
    <x v="1"/>
    <x v="0"/>
    <n v="0"/>
  </r>
  <r>
    <n v="33316800000000"/>
    <x v="1"/>
    <x v="30"/>
    <x v="3"/>
    <s v="JARDIM DA PENHA"/>
    <d v="2016-06-03T00:00:00"/>
    <d v="2016-06-07T00:00:00"/>
    <x v="4"/>
    <x v="86"/>
    <x v="3"/>
    <n v="0"/>
    <x v="0"/>
    <n v="0"/>
    <n v="0"/>
    <n v="0"/>
    <x v="0"/>
    <x v="0"/>
    <n v="0"/>
  </r>
  <r>
    <n v="4656370000000"/>
    <x v="0"/>
    <x v="40"/>
    <x v="1"/>
    <s v="GURIGICA"/>
    <d v="2016-06-04T00:00:00"/>
    <d v="2016-06-07T00:00:00"/>
    <x v="4"/>
    <x v="89"/>
    <x v="4"/>
    <n v="0"/>
    <x v="1"/>
    <n v="0"/>
    <n v="0"/>
    <n v="0"/>
    <x v="0"/>
    <x v="0"/>
    <n v="0"/>
  </r>
  <r>
    <n v="72665400000000"/>
    <x v="0"/>
    <x v="89"/>
    <x v="0"/>
    <s v="SANTO ANTONIO"/>
    <d v="2016-06-06T00:00:00"/>
    <d v="2016-06-08T00:00:00"/>
    <x v="1"/>
    <x v="91"/>
    <x v="4"/>
    <n v="0"/>
    <x v="0"/>
    <n v="0"/>
    <n v="0"/>
    <n v="0"/>
    <x v="1"/>
    <x v="1"/>
    <n v="1"/>
  </r>
  <r>
    <n v="3733700000000"/>
    <x v="1"/>
    <x v="34"/>
    <x v="0"/>
    <s v="PARQUE MOSCOSO"/>
    <d v="2016-06-06T00:00:00"/>
    <d v="2016-06-06T00:00:00"/>
    <x v="2"/>
    <x v="94"/>
    <x v="5"/>
    <n v="0"/>
    <x v="0"/>
    <n v="1"/>
    <n v="0"/>
    <n v="0"/>
    <x v="1"/>
    <x v="0"/>
    <n v="0"/>
  </r>
  <r>
    <n v="979674000000000"/>
    <x v="0"/>
    <x v="20"/>
    <x v="0"/>
    <s v="SANTA TEREZA"/>
    <d v="2016-06-06T00:00:00"/>
    <d v="2016-06-08T00:00:00"/>
    <x v="1"/>
    <x v="91"/>
    <x v="4"/>
    <n v="0"/>
    <x v="0"/>
    <n v="1"/>
    <n v="0"/>
    <n v="0"/>
    <x v="1"/>
    <x v="0"/>
    <n v="0"/>
  </r>
  <r>
    <n v="36156700000000"/>
    <x v="0"/>
    <x v="61"/>
    <x v="1"/>
    <s v="RESISTENCIA"/>
    <d v="2016-06-06T00:00:00"/>
    <d v="2016-06-08T00:00:00"/>
    <x v="1"/>
    <x v="91"/>
    <x v="4"/>
    <n v="0"/>
    <x v="1"/>
    <n v="0"/>
    <n v="0"/>
    <n v="0"/>
    <x v="1"/>
    <x v="1"/>
    <n v="1"/>
  </r>
  <r>
    <n v="21716700000000"/>
    <x v="0"/>
    <x v="36"/>
    <x v="3"/>
    <s v="GURIGICA"/>
    <d v="2016-06-06T00:00:00"/>
    <d v="2016-06-08T00:00:00"/>
    <x v="1"/>
    <x v="91"/>
    <x v="4"/>
    <n v="0"/>
    <x v="0"/>
    <n v="1"/>
    <n v="0"/>
    <n v="0"/>
    <x v="1"/>
    <x v="0"/>
    <n v="0"/>
  </r>
  <r>
    <n v="376324000000000"/>
    <x v="1"/>
    <x v="19"/>
    <x v="2"/>
    <s v="PIEDADE"/>
    <d v="2016-06-06T00:00:00"/>
    <d v="2016-06-06T00:00:00"/>
    <x v="2"/>
    <x v="94"/>
    <x v="5"/>
    <n v="0"/>
    <x v="1"/>
    <n v="0"/>
    <n v="0"/>
    <n v="0"/>
    <x v="1"/>
    <x v="0"/>
    <n v="0"/>
  </r>
  <r>
    <n v="7722990000000"/>
    <x v="0"/>
    <x v="62"/>
    <x v="3"/>
    <s v="SANTOS DUMONT"/>
    <d v="2016-06-06T00:00:00"/>
    <d v="2016-06-08T00:00:00"/>
    <x v="1"/>
    <x v="91"/>
    <x v="4"/>
    <n v="0"/>
    <x v="1"/>
    <n v="1"/>
    <n v="0"/>
    <n v="0"/>
    <x v="1"/>
    <x v="0"/>
    <n v="0"/>
  </r>
  <r>
    <n v="56535400000000"/>
    <x v="0"/>
    <x v="42"/>
    <x v="3"/>
    <s v="JARDIM CAMBURI"/>
    <d v="2016-06-06T00:00:00"/>
    <d v="2016-06-08T00:00:00"/>
    <x v="1"/>
    <x v="91"/>
    <x v="4"/>
    <n v="0"/>
    <x v="1"/>
    <n v="0"/>
    <n v="0"/>
    <n v="0"/>
    <x v="1"/>
    <x v="0"/>
    <n v="0"/>
  </r>
  <r>
    <n v="678617000000000"/>
    <x v="0"/>
    <x v="6"/>
    <x v="0"/>
    <s v="PARQUE MOSCOSO"/>
    <d v="2016-06-06T00:00:00"/>
    <d v="2016-06-08T00:00:00"/>
    <x v="1"/>
    <x v="91"/>
    <x v="4"/>
    <n v="0"/>
    <x v="0"/>
    <n v="1"/>
    <n v="0"/>
    <n v="0"/>
    <x v="1"/>
    <x v="0"/>
    <n v="0"/>
  </r>
  <r>
    <n v="83248100000000"/>
    <x v="0"/>
    <x v="29"/>
    <x v="3"/>
    <s v="SANTA MARTHA"/>
    <d v="2016-06-06T00:00:00"/>
    <d v="2016-06-06T00:00:00"/>
    <x v="2"/>
    <x v="94"/>
    <x v="5"/>
    <n v="0"/>
    <x v="0"/>
    <n v="1"/>
    <n v="0"/>
    <n v="1"/>
    <x v="1"/>
    <x v="0"/>
    <n v="0"/>
  </r>
  <r>
    <n v="516863000000000"/>
    <x v="1"/>
    <x v="59"/>
    <x v="2"/>
    <s v="TABUAZEIRO"/>
    <d v="2016-06-06T00:00:00"/>
    <d v="2016-06-06T00:00:00"/>
    <x v="2"/>
    <x v="94"/>
    <x v="5"/>
    <n v="1"/>
    <x v="1"/>
    <n v="0"/>
    <n v="0"/>
    <n v="0"/>
    <x v="1"/>
    <x v="0"/>
    <n v="0"/>
  </r>
  <r>
    <n v="22737400000000"/>
    <x v="1"/>
    <x v="48"/>
    <x v="3"/>
    <s v="JARDIM CAMBURI"/>
    <d v="2016-06-06T00:00:00"/>
    <d v="2016-06-06T00:00:00"/>
    <x v="2"/>
    <x v="94"/>
    <x v="5"/>
    <n v="0"/>
    <x v="1"/>
    <n v="0"/>
    <n v="0"/>
    <n v="0"/>
    <x v="1"/>
    <x v="0"/>
    <n v="0"/>
  </r>
  <r>
    <n v="5937370000000"/>
    <x v="0"/>
    <x v="48"/>
    <x v="3"/>
    <s v="BELA VISTA"/>
    <d v="2016-06-06T00:00:00"/>
    <d v="2016-06-06T00:00:00"/>
    <x v="2"/>
    <x v="94"/>
    <x v="5"/>
    <n v="0"/>
    <x v="0"/>
    <n v="1"/>
    <n v="0"/>
    <n v="0"/>
    <x v="1"/>
    <x v="0"/>
    <n v="0"/>
  </r>
  <r>
    <n v="2768870000000"/>
    <x v="0"/>
    <x v="56"/>
    <x v="1"/>
    <s v="JESUS DE NAZARETH"/>
    <d v="2016-06-06T00:00:00"/>
    <d v="2016-06-06T00:00:00"/>
    <x v="2"/>
    <x v="94"/>
    <x v="5"/>
    <n v="0"/>
    <x v="1"/>
    <n v="0"/>
    <n v="0"/>
    <n v="0"/>
    <x v="1"/>
    <x v="0"/>
    <n v="0"/>
  </r>
  <r>
    <n v="91834300000000"/>
    <x v="1"/>
    <x v="63"/>
    <x v="0"/>
    <s v="BONFIM"/>
    <d v="2016-06-06T00:00:00"/>
    <d v="2016-06-06T00:00:00"/>
    <x v="2"/>
    <x v="94"/>
    <x v="5"/>
    <n v="0"/>
    <x v="0"/>
    <n v="0"/>
    <n v="0"/>
    <n v="1"/>
    <x v="1"/>
    <x v="0"/>
    <n v="0"/>
  </r>
  <r>
    <n v="4726760000000"/>
    <x v="0"/>
    <x v="71"/>
    <x v="4"/>
    <s v="PARQUE MOSCOSO"/>
    <d v="2016-06-06T00:00:00"/>
    <d v="2016-06-08T00:00:00"/>
    <x v="1"/>
    <x v="91"/>
    <x v="4"/>
    <n v="0"/>
    <x v="1"/>
    <n v="0"/>
    <n v="0"/>
    <n v="0"/>
    <x v="1"/>
    <x v="0"/>
    <n v="0"/>
  </r>
  <r>
    <n v="68996500000000"/>
    <x v="1"/>
    <x v="46"/>
    <x v="2"/>
    <s v="BONFIM"/>
    <d v="2016-06-06T00:00:00"/>
    <d v="2016-06-06T00:00:00"/>
    <x v="2"/>
    <x v="94"/>
    <x v="5"/>
    <n v="1"/>
    <x v="1"/>
    <n v="0"/>
    <n v="0"/>
    <n v="0"/>
    <x v="1"/>
    <x v="0"/>
    <n v="0"/>
  </r>
  <r>
    <n v="2848650000000"/>
    <x v="1"/>
    <x v="4"/>
    <x v="2"/>
    <s v="BOA VISTA"/>
    <d v="2016-06-06T00:00:00"/>
    <d v="2016-06-06T00:00:00"/>
    <x v="2"/>
    <x v="94"/>
    <x v="5"/>
    <n v="0"/>
    <x v="1"/>
    <n v="0"/>
    <n v="0"/>
    <n v="0"/>
    <x v="1"/>
    <x v="0"/>
    <n v="0"/>
  </r>
  <r>
    <n v="616654000000000"/>
    <x v="0"/>
    <x v="1"/>
    <x v="0"/>
    <s v="JARDIM CAMBURI"/>
    <d v="2016-06-06T00:00:00"/>
    <d v="2016-06-06T00:00:00"/>
    <x v="2"/>
    <x v="94"/>
    <x v="5"/>
    <n v="0"/>
    <x v="1"/>
    <n v="0"/>
    <n v="0"/>
    <n v="0"/>
    <x v="1"/>
    <x v="0"/>
    <n v="0"/>
  </r>
  <r>
    <n v="421536000000000"/>
    <x v="0"/>
    <x v="74"/>
    <x v="1"/>
    <s v="SANTA TEREZA"/>
    <d v="2016-06-06T00:00:00"/>
    <d v="2016-06-06T00:00:00"/>
    <x v="2"/>
    <x v="94"/>
    <x v="5"/>
    <n v="0"/>
    <x v="1"/>
    <n v="0"/>
    <n v="0"/>
    <n v="0"/>
    <x v="1"/>
    <x v="0"/>
    <n v="0"/>
  </r>
  <r>
    <n v="397121000000000"/>
    <x v="0"/>
    <x v="87"/>
    <x v="1"/>
    <s v="BELA VISTA"/>
    <d v="2016-06-06T00:00:00"/>
    <d v="2016-06-06T00:00:00"/>
    <x v="2"/>
    <x v="94"/>
    <x v="5"/>
    <n v="0"/>
    <x v="1"/>
    <n v="0"/>
    <n v="0"/>
    <n v="0"/>
    <x v="1"/>
    <x v="0"/>
    <n v="0"/>
  </r>
  <r>
    <n v="98991300000000"/>
    <x v="0"/>
    <x v="14"/>
    <x v="3"/>
    <s v="VILA RUBIM"/>
    <d v="2016-06-06T00:00:00"/>
    <d v="2016-06-08T00:00:00"/>
    <x v="1"/>
    <x v="91"/>
    <x v="4"/>
    <n v="0"/>
    <x v="0"/>
    <n v="1"/>
    <n v="0"/>
    <n v="0"/>
    <x v="1"/>
    <x v="0"/>
    <n v="0"/>
  </r>
  <r>
    <n v="11952669811"/>
    <x v="0"/>
    <x v="32"/>
    <x v="4"/>
    <s v="SANTA TEREZA"/>
    <d v="2016-06-06T00:00:00"/>
    <d v="2016-06-08T00:00:00"/>
    <x v="1"/>
    <x v="91"/>
    <x v="4"/>
    <n v="0"/>
    <x v="1"/>
    <n v="0"/>
    <n v="0"/>
    <n v="0"/>
    <x v="1"/>
    <x v="0"/>
    <n v="0"/>
  </r>
  <r>
    <n v="55684174459"/>
    <x v="0"/>
    <x v="30"/>
    <x v="3"/>
    <s v="JARDIM DA PENHA"/>
    <d v="2016-06-06T00:00:00"/>
    <d v="2016-06-06T00:00:00"/>
    <x v="2"/>
    <x v="94"/>
    <x v="5"/>
    <n v="0"/>
    <x v="1"/>
    <n v="0"/>
    <n v="0"/>
    <n v="0"/>
    <x v="1"/>
    <x v="0"/>
    <n v="0"/>
  </r>
  <r>
    <n v="64168600000000"/>
    <x v="1"/>
    <x v="31"/>
    <x v="1"/>
    <s v="MATA DA PRAIA"/>
    <d v="2016-06-06T00:00:00"/>
    <d v="2016-06-06T00:00:00"/>
    <x v="2"/>
    <x v="94"/>
    <x v="5"/>
    <n v="0"/>
    <x v="1"/>
    <n v="0"/>
    <n v="0"/>
    <n v="1"/>
    <x v="1"/>
    <x v="0"/>
    <n v="0"/>
  </r>
  <r>
    <n v="43679400000000"/>
    <x v="1"/>
    <x v="46"/>
    <x v="2"/>
    <s v="SAO PEDRO"/>
    <d v="2016-06-06T00:00:00"/>
    <d v="2016-06-06T00:00:00"/>
    <x v="2"/>
    <x v="94"/>
    <x v="5"/>
    <n v="0"/>
    <x v="1"/>
    <n v="0"/>
    <n v="0"/>
    <n v="0"/>
    <x v="1"/>
    <x v="0"/>
    <n v="0"/>
  </r>
  <r>
    <n v="1486870000000"/>
    <x v="1"/>
    <x v="16"/>
    <x v="1"/>
    <s v="BONFIM"/>
    <d v="2016-06-06T00:00:00"/>
    <d v="2016-06-07T00:00:00"/>
    <x v="4"/>
    <x v="93"/>
    <x v="4"/>
    <n v="0"/>
    <x v="1"/>
    <n v="0"/>
    <n v="0"/>
    <n v="1"/>
    <x v="1"/>
    <x v="0"/>
    <n v="0"/>
  </r>
  <r>
    <n v="55749700000000"/>
    <x v="0"/>
    <x v="52"/>
    <x v="2"/>
    <s v="SANTA MARTHA"/>
    <d v="2016-06-06T00:00:00"/>
    <d v="2016-06-06T00:00:00"/>
    <x v="2"/>
    <x v="94"/>
    <x v="5"/>
    <n v="0"/>
    <x v="1"/>
    <n v="0"/>
    <n v="0"/>
    <n v="0"/>
    <x v="1"/>
    <x v="0"/>
    <n v="0"/>
  </r>
  <r>
    <n v="855868000000000"/>
    <x v="1"/>
    <x v="52"/>
    <x v="2"/>
    <s v="ANDORINHAS"/>
    <d v="2016-06-06T00:00:00"/>
    <d v="2016-06-06T00:00:00"/>
    <x v="2"/>
    <x v="94"/>
    <x v="5"/>
    <n v="1"/>
    <x v="1"/>
    <n v="0"/>
    <n v="0"/>
    <n v="0"/>
    <x v="1"/>
    <x v="0"/>
    <n v="0"/>
  </r>
  <r>
    <n v="7998276278"/>
    <x v="0"/>
    <x v="29"/>
    <x v="3"/>
    <s v="SANTA MARTHA"/>
    <d v="2016-06-06T00:00:00"/>
    <d v="2016-06-06T00:00:00"/>
    <x v="2"/>
    <x v="94"/>
    <x v="5"/>
    <n v="0"/>
    <x v="0"/>
    <n v="1"/>
    <n v="0"/>
    <n v="0"/>
    <x v="1"/>
    <x v="0"/>
    <n v="0"/>
  </r>
  <r>
    <n v="4443120000000"/>
    <x v="1"/>
    <x v="46"/>
    <x v="2"/>
    <s v="INHANGUETA"/>
    <d v="2016-06-06T00:00:00"/>
    <d v="2016-06-06T00:00:00"/>
    <x v="2"/>
    <x v="94"/>
    <x v="5"/>
    <n v="0"/>
    <x v="1"/>
    <n v="0"/>
    <n v="0"/>
    <n v="0"/>
    <x v="1"/>
    <x v="0"/>
    <n v="0"/>
  </r>
  <r>
    <n v="43272800000000"/>
    <x v="0"/>
    <x v="46"/>
    <x v="2"/>
    <s v="SAO BENEDITO"/>
    <d v="2016-06-06T00:00:00"/>
    <d v="2016-06-06T00:00:00"/>
    <x v="2"/>
    <x v="94"/>
    <x v="5"/>
    <n v="0"/>
    <x v="1"/>
    <n v="0"/>
    <n v="0"/>
    <n v="0"/>
    <x v="1"/>
    <x v="0"/>
    <n v="0"/>
  </r>
  <r>
    <n v="862670000000000"/>
    <x v="1"/>
    <x v="61"/>
    <x v="1"/>
    <s v="RESISTENCIA"/>
    <d v="2016-06-06T00:00:00"/>
    <d v="2016-06-07T00:00:00"/>
    <x v="4"/>
    <x v="93"/>
    <x v="4"/>
    <n v="0"/>
    <x v="1"/>
    <n v="0"/>
    <n v="0"/>
    <n v="0"/>
    <x v="1"/>
    <x v="0"/>
    <n v="0"/>
  </r>
  <r>
    <n v="88631100000000"/>
    <x v="0"/>
    <x v="10"/>
    <x v="4"/>
    <s v="ITARARE"/>
    <d v="2016-06-06T00:00:00"/>
    <d v="2016-06-06T00:00:00"/>
    <x v="2"/>
    <x v="94"/>
    <x v="5"/>
    <n v="0"/>
    <x v="1"/>
    <n v="0"/>
    <n v="0"/>
    <n v="0"/>
    <x v="1"/>
    <x v="0"/>
    <n v="0"/>
  </r>
  <r>
    <n v="82334736979"/>
    <x v="0"/>
    <x v="25"/>
    <x v="4"/>
    <s v="CENTRO"/>
    <d v="2016-06-06T00:00:00"/>
    <d v="2016-06-06T00:00:00"/>
    <x v="2"/>
    <x v="94"/>
    <x v="5"/>
    <n v="0"/>
    <x v="1"/>
    <n v="0"/>
    <n v="0"/>
    <n v="0"/>
    <x v="1"/>
    <x v="0"/>
    <n v="0"/>
  </r>
  <r>
    <n v="23399200000000"/>
    <x v="0"/>
    <x v="41"/>
    <x v="4"/>
    <s v="JARDIM CAMBURI"/>
    <d v="2016-06-06T00:00:00"/>
    <d v="2016-06-06T00:00:00"/>
    <x v="2"/>
    <x v="94"/>
    <x v="5"/>
    <n v="0"/>
    <x v="1"/>
    <n v="0"/>
    <n v="0"/>
    <n v="0"/>
    <x v="1"/>
    <x v="0"/>
    <n v="0"/>
  </r>
  <r>
    <n v="7179800000000"/>
    <x v="0"/>
    <x v="20"/>
    <x v="0"/>
    <s v="JARDIM CAMBURI"/>
    <d v="2016-06-06T00:00:00"/>
    <d v="2016-06-06T00:00:00"/>
    <x v="2"/>
    <x v="94"/>
    <x v="5"/>
    <n v="0"/>
    <x v="1"/>
    <n v="0"/>
    <n v="0"/>
    <n v="0"/>
    <x v="1"/>
    <x v="0"/>
    <n v="0"/>
  </r>
  <r>
    <n v="955771000000000"/>
    <x v="0"/>
    <x v="24"/>
    <x v="1"/>
    <s v="MARUIPE"/>
    <d v="2016-06-06T00:00:00"/>
    <d v="2016-06-06T00:00:00"/>
    <x v="2"/>
    <x v="94"/>
    <x v="5"/>
    <n v="0"/>
    <x v="1"/>
    <n v="0"/>
    <n v="0"/>
    <n v="0"/>
    <x v="1"/>
    <x v="0"/>
    <n v="0"/>
  </r>
  <r>
    <n v="57396400000000"/>
    <x v="0"/>
    <x v="61"/>
    <x v="1"/>
    <s v="ANDORINHAS"/>
    <d v="2016-06-06T00:00:00"/>
    <d v="2016-06-06T00:00:00"/>
    <x v="2"/>
    <x v="94"/>
    <x v="5"/>
    <n v="1"/>
    <x v="0"/>
    <n v="0"/>
    <n v="0"/>
    <n v="0"/>
    <x v="1"/>
    <x v="0"/>
    <n v="0"/>
  </r>
  <r>
    <n v="5498250000000"/>
    <x v="1"/>
    <x v="61"/>
    <x v="1"/>
    <s v="FORTE SAO JOAO"/>
    <d v="2016-06-06T00:00:00"/>
    <d v="2016-06-06T00:00:00"/>
    <x v="2"/>
    <x v="94"/>
    <x v="5"/>
    <n v="0"/>
    <x v="1"/>
    <n v="0"/>
    <n v="1"/>
    <n v="0"/>
    <x v="1"/>
    <x v="0"/>
    <n v="0"/>
  </r>
  <r>
    <n v="8413500000000"/>
    <x v="0"/>
    <x v="12"/>
    <x v="3"/>
    <s v="SAO JOSE"/>
    <d v="2016-06-06T00:00:00"/>
    <d v="2016-06-08T00:00:00"/>
    <x v="1"/>
    <x v="91"/>
    <x v="4"/>
    <n v="0"/>
    <x v="0"/>
    <n v="1"/>
    <n v="0"/>
    <n v="0"/>
    <x v="1"/>
    <x v="0"/>
    <n v="0"/>
  </r>
  <r>
    <n v="28346500000000"/>
    <x v="0"/>
    <x v="84"/>
    <x v="1"/>
    <s v="ILHA DAS CAIEIRAS"/>
    <d v="2016-06-06T00:00:00"/>
    <d v="2016-06-08T00:00:00"/>
    <x v="1"/>
    <x v="91"/>
    <x v="4"/>
    <n v="0"/>
    <x v="0"/>
    <n v="0"/>
    <n v="0"/>
    <n v="0"/>
    <x v="1"/>
    <x v="0"/>
    <n v="0"/>
  </r>
  <r>
    <n v="66671500000000"/>
    <x v="1"/>
    <x v="5"/>
    <x v="1"/>
    <s v="SANTO ANDRE"/>
    <d v="2016-06-06T00:00:00"/>
    <d v="2016-06-08T00:00:00"/>
    <x v="1"/>
    <x v="91"/>
    <x v="4"/>
    <n v="0"/>
    <x v="0"/>
    <n v="1"/>
    <n v="0"/>
    <n v="0"/>
    <x v="1"/>
    <x v="0"/>
    <n v="0"/>
  </r>
  <r>
    <n v="643994000000000"/>
    <x v="1"/>
    <x v="52"/>
    <x v="2"/>
    <s v="CENTRO"/>
    <d v="2016-06-06T00:00:00"/>
    <d v="2016-06-06T00:00:00"/>
    <x v="2"/>
    <x v="94"/>
    <x v="5"/>
    <n v="0"/>
    <x v="1"/>
    <n v="0"/>
    <n v="0"/>
    <n v="0"/>
    <x v="1"/>
    <x v="0"/>
    <n v="0"/>
  </r>
  <r>
    <n v="257115000000000"/>
    <x v="0"/>
    <x v="31"/>
    <x v="1"/>
    <s v="BELA VISTA"/>
    <d v="2016-06-06T00:00:00"/>
    <d v="2016-06-06T00:00:00"/>
    <x v="2"/>
    <x v="94"/>
    <x v="5"/>
    <n v="0"/>
    <x v="1"/>
    <n v="0"/>
    <n v="0"/>
    <n v="0"/>
    <x v="1"/>
    <x v="0"/>
    <n v="0"/>
  </r>
  <r>
    <n v="54976800000000"/>
    <x v="1"/>
    <x v="22"/>
    <x v="4"/>
    <s v="ANDORINHAS"/>
    <d v="2016-06-06T00:00:00"/>
    <d v="2016-06-06T00:00:00"/>
    <x v="2"/>
    <x v="94"/>
    <x v="5"/>
    <n v="0"/>
    <x v="1"/>
    <n v="0"/>
    <n v="0"/>
    <n v="0"/>
    <x v="1"/>
    <x v="0"/>
    <n v="0"/>
  </r>
  <r>
    <n v="13595900000000"/>
    <x v="0"/>
    <x v="59"/>
    <x v="2"/>
    <s v="JESUS DE NAZARETH"/>
    <d v="2016-06-06T00:00:00"/>
    <d v="2016-06-07T00:00:00"/>
    <x v="4"/>
    <x v="93"/>
    <x v="4"/>
    <n v="0"/>
    <x v="1"/>
    <n v="0"/>
    <n v="0"/>
    <n v="0"/>
    <x v="1"/>
    <x v="0"/>
    <n v="0"/>
  </r>
  <r>
    <n v="92117600000000"/>
    <x v="0"/>
    <x v="77"/>
    <x v="4"/>
    <s v="JESUS DE NAZARETH"/>
    <d v="2016-06-06T00:00:00"/>
    <d v="2016-06-08T00:00:00"/>
    <x v="1"/>
    <x v="91"/>
    <x v="4"/>
    <n v="0"/>
    <x v="1"/>
    <n v="0"/>
    <n v="0"/>
    <n v="0"/>
    <x v="1"/>
    <x v="1"/>
    <n v="1"/>
  </r>
  <r>
    <n v="81478000000000"/>
    <x v="1"/>
    <x v="57"/>
    <x v="2"/>
    <s v="BELA VISTA"/>
    <d v="2016-06-06T00:00:00"/>
    <d v="2016-06-07T00:00:00"/>
    <x v="4"/>
    <x v="93"/>
    <x v="4"/>
    <n v="0"/>
    <x v="1"/>
    <n v="0"/>
    <n v="0"/>
    <n v="0"/>
    <x v="1"/>
    <x v="0"/>
    <n v="0"/>
  </r>
  <r>
    <n v="67878900000000"/>
    <x v="0"/>
    <x v="44"/>
    <x v="4"/>
    <s v="TABUAZEIRO"/>
    <d v="2016-06-06T00:00:00"/>
    <d v="2016-06-06T00:00:00"/>
    <x v="2"/>
    <x v="94"/>
    <x v="5"/>
    <n v="0"/>
    <x v="1"/>
    <n v="0"/>
    <n v="0"/>
    <n v="0"/>
    <x v="1"/>
    <x v="0"/>
    <n v="0"/>
  </r>
  <r>
    <n v="22524200000000"/>
    <x v="0"/>
    <x v="73"/>
    <x v="4"/>
    <s v="JESUS DE NAZARETH"/>
    <d v="2016-06-06T00:00:00"/>
    <d v="2016-06-06T00:00:00"/>
    <x v="2"/>
    <x v="94"/>
    <x v="5"/>
    <n v="0"/>
    <x v="1"/>
    <n v="0"/>
    <n v="0"/>
    <n v="0"/>
    <x v="1"/>
    <x v="0"/>
    <n v="0"/>
  </r>
  <r>
    <n v="69898500000000"/>
    <x v="0"/>
    <x v="81"/>
    <x v="5"/>
    <s v="SANTOS REIS"/>
    <d v="2016-06-06T00:00:00"/>
    <d v="2016-06-06T00:00:00"/>
    <x v="2"/>
    <x v="94"/>
    <x v="5"/>
    <n v="1"/>
    <x v="1"/>
    <n v="0"/>
    <n v="0"/>
    <n v="0"/>
    <x v="1"/>
    <x v="0"/>
    <n v="0"/>
  </r>
  <r>
    <n v="461466000000000"/>
    <x v="0"/>
    <x v="1"/>
    <x v="0"/>
    <s v="CARATOIRA"/>
    <d v="2016-06-06T00:00:00"/>
    <d v="2016-06-07T00:00:00"/>
    <x v="4"/>
    <x v="93"/>
    <x v="4"/>
    <n v="0"/>
    <x v="0"/>
    <n v="1"/>
    <n v="0"/>
    <n v="0"/>
    <x v="1"/>
    <x v="0"/>
    <n v="0"/>
  </r>
  <r>
    <n v="814991000000000"/>
    <x v="0"/>
    <x v="46"/>
    <x v="2"/>
    <s v="JOANA D ARC"/>
    <d v="2016-06-06T00:00:00"/>
    <d v="2016-06-06T00:00:00"/>
    <x v="2"/>
    <x v="94"/>
    <x v="5"/>
    <n v="0"/>
    <x v="1"/>
    <n v="0"/>
    <n v="0"/>
    <n v="0"/>
    <x v="1"/>
    <x v="0"/>
    <n v="0"/>
  </r>
  <r>
    <n v="17798900000000"/>
    <x v="0"/>
    <x v="31"/>
    <x v="1"/>
    <s v="ILHA DO PRINCIPE"/>
    <d v="2016-06-06T00:00:00"/>
    <d v="2016-06-08T00:00:00"/>
    <x v="1"/>
    <x v="91"/>
    <x v="4"/>
    <n v="0"/>
    <x v="1"/>
    <n v="0"/>
    <n v="0"/>
    <n v="0"/>
    <x v="1"/>
    <x v="0"/>
    <n v="0"/>
  </r>
  <r>
    <n v="2572930000000"/>
    <x v="0"/>
    <x v="63"/>
    <x v="0"/>
    <s v="TABUAZEIRO"/>
    <d v="2016-06-06T00:00:00"/>
    <d v="2016-06-07T00:00:00"/>
    <x v="4"/>
    <x v="93"/>
    <x v="4"/>
    <n v="1"/>
    <x v="0"/>
    <n v="0"/>
    <n v="0"/>
    <n v="0"/>
    <x v="1"/>
    <x v="0"/>
    <n v="0"/>
  </r>
  <r>
    <n v="863267000000000"/>
    <x v="0"/>
    <x v="62"/>
    <x v="3"/>
    <s v="SANTO ANDRE"/>
    <d v="2016-06-06T00:00:00"/>
    <d v="2016-06-08T00:00:00"/>
    <x v="1"/>
    <x v="91"/>
    <x v="4"/>
    <n v="0"/>
    <x v="1"/>
    <n v="0"/>
    <n v="0"/>
    <n v="0"/>
    <x v="1"/>
    <x v="0"/>
    <n v="0"/>
  </r>
  <r>
    <n v="647579000000000"/>
    <x v="0"/>
    <x v="42"/>
    <x v="3"/>
    <s v="MATA DA PRAIA"/>
    <d v="2016-06-06T00:00:00"/>
    <d v="2016-06-06T00:00:00"/>
    <x v="2"/>
    <x v="94"/>
    <x v="5"/>
    <n v="0"/>
    <x v="0"/>
    <n v="0"/>
    <n v="0"/>
    <n v="0"/>
    <x v="1"/>
    <x v="0"/>
    <n v="0"/>
  </r>
  <r>
    <n v="226435000000000"/>
    <x v="0"/>
    <x v="37"/>
    <x v="3"/>
    <s v="NOVA PALESTINA"/>
    <d v="2016-06-06T00:00:00"/>
    <d v="2016-06-07T00:00:00"/>
    <x v="4"/>
    <x v="93"/>
    <x v="4"/>
    <n v="0"/>
    <x v="1"/>
    <n v="0"/>
    <n v="0"/>
    <n v="0"/>
    <x v="1"/>
    <x v="0"/>
    <n v="0"/>
  </r>
  <r>
    <n v="58132800000000"/>
    <x v="0"/>
    <x v="79"/>
    <x v="5"/>
    <s v="NOVA PALESTINA"/>
    <d v="2016-06-06T00:00:00"/>
    <d v="2016-06-06T00:00:00"/>
    <x v="2"/>
    <x v="94"/>
    <x v="5"/>
    <n v="0"/>
    <x v="1"/>
    <n v="0"/>
    <n v="0"/>
    <n v="0"/>
    <x v="1"/>
    <x v="0"/>
    <n v="0"/>
  </r>
  <r>
    <n v="3712220000000"/>
    <x v="0"/>
    <x v="56"/>
    <x v="1"/>
    <s v="REPUBLICA"/>
    <d v="2016-06-06T00:00:00"/>
    <d v="2016-06-08T00:00:00"/>
    <x v="1"/>
    <x v="91"/>
    <x v="4"/>
    <n v="0"/>
    <x v="1"/>
    <n v="0"/>
    <n v="0"/>
    <n v="0"/>
    <x v="1"/>
    <x v="0"/>
    <n v="0"/>
  </r>
  <r>
    <n v="63129800000000"/>
    <x v="0"/>
    <x v="44"/>
    <x v="4"/>
    <s v="JOANA D ARC"/>
    <d v="2016-06-06T00:00:00"/>
    <d v="2016-06-08T00:00:00"/>
    <x v="1"/>
    <x v="91"/>
    <x v="4"/>
    <n v="1"/>
    <x v="1"/>
    <n v="0"/>
    <n v="0"/>
    <n v="0"/>
    <x v="1"/>
    <x v="0"/>
    <n v="0"/>
  </r>
  <r>
    <n v="9942330000000"/>
    <x v="0"/>
    <x v="16"/>
    <x v="1"/>
    <s v="NOVA PALESTINA"/>
    <d v="2016-06-06T00:00:00"/>
    <d v="2016-06-06T00:00:00"/>
    <x v="2"/>
    <x v="94"/>
    <x v="5"/>
    <n v="0"/>
    <x v="0"/>
    <n v="0"/>
    <n v="0"/>
    <n v="0"/>
    <x v="1"/>
    <x v="0"/>
    <n v="0"/>
  </r>
  <r>
    <n v="74693500000000"/>
    <x v="1"/>
    <x v="57"/>
    <x v="2"/>
    <s v="BONFIM"/>
    <d v="2016-06-06T00:00:00"/>
    <d v="2016-06-06T00:00:00"/>
    <x v="2"/>
    <x v="94"/>
    <x v="5"/>
    <n v="0"/>
    <x v="1"/>
    <n v="0"/>
    <n v="0"/>
    <n v="0"/>
    <x v="1"/>
    <x v="0"/>
    <n v="0"/>
  </r>
  <r>
    <n v="14328800000000"/>
    <x v="0"/>
    <x v="47"/>
    <x v="4"/>
    <s v="RESISTENCIA"/>
    <d v="2016-06-06T00:00:00"/>
    <d v="2016-06-06T00:00:00"/>
    <x v="2"/>
    <x v="94"/>
    <x v="5"/>
    <n v="0"/>
    <x v="1"/>
    <n v="0"/>
    <n v="0"/>
    <n v="0"/>
    <x v="1"/>
    <x v="0"/>
    <n v="0"/>
  </r>
  <r>
    <n v="9111440000000"/>
    <x v="0"/>
    <x v="33"/>
    <x v="4"/>
    <s v="ITARARE"/>
    <d v="2016-06-06T00:00:00"/>
    <d v="2016-06-06T00:00:00"/>
    <x v="2"/>
    <x v="94"/>
    <x v="5"/>
    <n v="0"/>
    <x v="1"/>
    <n v="0"/>
    <n v="0"/>
    <n v="0"/>
    <x v="1"/>
    <x v="0"/>
    <n v="0"/>
  </r>
  <r>
    <n v="878482000000000"/>
    <x v="1"/>
    <x v="4"/>
    <x v="2"/>
    <s v="ITARARE"/>
    <d v="2016-06-06T00:00:00"/>
    <d v="2016-06-06T00:00:00"/>
    <x v="2"/>
    <x v="94"/>
    <x v="5"/>
    <n v="0"/>
    <x v="1"/>
    <n v="0"/>
    <n v="0"/>
    <n v="0"/>
    <x v="1"/>
    <x v="0"/>
    <n v="0"/>
  </r>
  <r>
    <n v="7672180000000"/>
    <x v="0"/>
    <x v="61"/>
    <x v="1"/>
    <s v="ITARARE"/>
    <d v="2016-06-06T00:00:00"/>
    <d v="2016-06-06T00:00:00"/>
    <x v="2"/>
    <x v="94"/>
    <x v="5"/>
    <n v="0"/>
    <x v="1"/>
    <n v="0"/>
    <n v="0"/>
    <n v="0"/>
    <x v="1"/>
    <x v="0"/>
    <n v="0"/>
  </r>
  <r>
    <n v="19984400000000"/>
    <x v="0"/>
    <x v="60"/>
    <x v="2"/>
    <s v="ENSEADA DO SUA"/>
    <d v="2016-06-06T00:00:00"/>
    <d v="2016-06-06T00:00:00"/>
    <x v="2"/>
    <x v="94"/>
    <x v="5"/>
    <n v="0"/>
    <x v="1"/>
    <n v="0"/>
    <n v="0"/>
    <n v="0"/>
    <x v="1"/>
    <x v="0"/>
    <n v="0"/>
  </r>
  <r>
    <n v="126286000000"/>
    <x v="0"/>
    <x v="46"/>
    <x v="2"/>
    <s v="SANTOS REIS"/>
    <d v="2016-06-06T00:00:00"/>
    <d v="2016-06-06T00:00:00"/>
    <x v="2"/>
    <x v="94"/>
    <x v="5"/>
    <n v="0"/>
    <x v="1"/>
    <n v="0"/>
    <n v="0"/>
    <n v="0"/>
    <x v="1"/>
    <x v="0"/>
    <n v="0"/>
  </r>
  <r>
    <n v="499729000000"/>
    <x v="0"/>
    <x v="48"/>
    <x v="3"/>
    <s v="CENTRO"/>
    <d v="2016-06-06T00:00:00"/>
    <d v="2016-06-06T00:00:00"/>
    <x v="2"/>
    <x v="94"/>
    <x v="5"/>
    <n v="0"/>
    <x v="1"/>
    <n v="0"/>
    <n v="0"/>
    <n v="0"/>
    <x v="1"/>
    <x v="0"/>
    <n v="0"/>
  </r>
  <r>
    <n v="17346400000000"/>
    <x v="1"/>
    <x v="87"/>
    <x v="1"/>
    <s v="SAO JOSE"/>
    <d v="2016-06-06T00:00:00"/>
    <d v="2016-06-08T00:00:00"/>
    <x v="1"/>
    <x v="91"/>
    <x v="4"/>
    <n v="0"/>
    <x v="1"/>
    <n v="0"/>
    <n v="0"/>
    <n v="0"/>
    <x v="1"/>
    <x v="0"/>
    <n v="0"/>
  </r>
  <r>
    <n v="61598900000000"/>
    <x v="0"/>
    <x v="27"/>
    <x v="3"/>
    <s v="BARRO VERMELHO"/>
    <d v="2016-06-06T00:00:00"/>
    <d v="2016-06-06T00:00:00"/>
    <x v="2"/>
    <x v="94"/>
    <x v="5"/>
    <n v="0"/>
    <x v="1"/>
    <n v="0"/>
    <n v="0"/>
    <n v="0"/>
    <x v="1"/>
    <x v="0"/>
    <n v="0"/>
  </r>
  <r>
    <n v="532955000000"/>
    <x v="0"/>
    <x v="49"/>
    <x v="4"/>
    <s v="RESISTENCIA"/>
    <d v="2016-06-06T00:00:00"/>
    <d v="2016-06-06T00:00:00"/>
    <x v="2"/>
    <x v="94"/>
    <x v="5"/>
    <n v="0"/>
    <x v="1"/>
    <n v="0"/>
    <n v="1"/>
    <n v="1"/>
    <x v="1"/>
    <x v="0"/>
    <n v="0"/>
  </r>
  <r>
    <n v="98166900000000"/>
    <x v="0"/>
    <x v="40"/>
    <x v="1"/>
    <s v="SANTO ANDRE"/>
    <d v="2016-06-06T00:00:00"/>
    <d v="2016-06-06T00:00:00"/>
    <x v="2"/>
    <x v="94"/>
    <x v="5"/>
    <n v="1"/>
    <x v="1"/>
    <n v="0"/>
    <n v="0"/>
    <n v="0"/>
    <x v="1"/>
    <x v="0"/>
    <n v="0"/>
  </r>
  <r>
    <n v="988653000000000"/>
    <x v="0"/>
    <x v="17"/>
    <x v="4"/>
    <s v="SANTO ANDRE"/>
    <d v="2016-06-06T00:00:00"/>
    <d v="2016-06-06T00:00:00"/>
    <x v="2"/>
    <x v="94"/>
    <x v="5"/>
    <n v="1"/>
    <x v="1"/>
    <n v="0"/>
    <n v="0"/>
    <n v="0"/>
    <x v="1"/>
    <x v="0"/>
    <n v="0"/>
  </r>
  <r>
    <n v="366854000000"/>
    <x v="1"/>
    <x v="57"/>
    <x v="2"/>
    <s v="ANDORINHAS"/>
    <d v="2016-06-06T00:00:00"/>
    <d v="2016-06-07T00:00:00"/>
    <x v="4"/>
    <x v="93"/>
    <x v="4"/>
    <n v="0"/>
    <x v="1"/>
    <n v="0"/>
    <n v="0"/>
    <n v="0"/>
    <x v="1"/>
    <x v="1"/>
    <n v="1"/>
  </r>
  <r>
    <n v="57625200000000"/>
    <x v="0"/>
    <x v="62"/>
    <x v="3"/>
    <s v="MARIA ORTIZ"/>
    <d v="2016-06-06T00:00:00"/>
    <d v="2016-06-06T00:00:00"/>
    <x v="2"/>
    <x v="94"/>
    <x v="5"/>
    <n v="0"/>
    <x v="0"/>
    <n v="0"/>
    <n v="0"/>
    <n v="0"/>
    <x v="1"/>
    <x v="0"/>
    <n v="0"/>
  </r>
  <r>
    <n v="11474200000000"/>
    <x v="1"/>
    <x v="2"/>
    <x v="1"/>
    <s v="CENTRO"/>
    <d v="2016-06-06T00:00:00"/>
    <d v="2016-06-06T00:00:00"/>
    <x v="2"/>
    <x v="94"/>
    <x v="5"/>
    <n v="0"/>
    <x v="1"/>
    <n v="0"/>
    <n v="0"/>
    <n v="0"/>
    <x v="1"/>
    <x v="0"/>
    <n v="0"/>
  </r>
  <r>
    <n v="91936500000000"/>
    <x v="1"/>
    <x v="55"/>
    <x v="2"/>
    <s v="SAO PEDRO"/>
    <d v="2016-06-06T00:00:00"/>
    <d v="2016-06-08T00:00:00"/>
    <x v="1"/>
    <x v="91"/>
    <x v="4"/>
    <n v="1"/>
    <x v="1"/>
    <n v="0"/>
    <n v="0"/>
    <n v="0"/>
    <x v="1"/>
    <x v="0"/>
    <n v="0"/>
  </r>
  <r>
    <n v="93686200000000"/>
    <x v="1"/>
    <x v="62"/>
    <x v="3"/>
    <s v="ROMAO"/>
    <d v="2016-06-06T00:00:00"/>
    <d v="2016-06-06T00:00:00"/>
    <x v="2"/>
    <x v="94"/>
    <x v="5"/>
    <n v="0"/>
    <x v="0"/>
    <n v="0"/>
    <n v="0"/>
    <n v="0"/>
    <x v="1"/>
    <x v="0"/>
    <n v="0"/>
  </r>
  <r>
    <n v="4397170000000"/>
    <x v="1"/>
    <x v="6"/>
    <x v="0"/>
    <s v="PRAIA DO CANTO"/>
    <d v="2016-06-06T00:00:00"/>
    <d v="2016-06-06T00:00:00"/>
    <x v="2"/>
    <x v="94"/>
    <x v="5"/>
    <n v="0"/>
    <x v="1"/>
    <n v="0"/>
    <n v="0"/>
    <n v="0"/>
    <x v="1"/>
    <x v="0"/>
    <n v="0"/>
  </r>
  <r>
    <n v="771190000000000"/>
    <x v="1"/>
    <x v="68"/>
    <x v="4"/>
    <s v="SANTA TEREZA"/>
    <d v="2016-06-06T00:00:00"/>
    <d v="2016-06-06T00:00:00"/>
    <x v="2"/>
    <x v="94"/>
    <x v="5"/>
    <n v="0"/>
    <x v="1"/>
    <n v="0"/>
    <n v="0"/>
    <n v="0"/>
    <x v="1"/>
    <x v="0"/>
    <n v="0"/>
  </r>
  <r>
    <n v="47772700000000"/>
    <x v="0"/>
    <x v="70"/>
    <x v="5"/>
    <s v="JOANA D ARC"/>
    <d v="2016-06-06T00:00:00"/>
    <d v="2016-06-06T00:00:00"/>
    <x v="2"/>
    <x v="94"/>
    <x v="5"/>
    <n v="1"/>
    <x v="1"/>
    <n v="0"/>
    <n v="0"/>
    <n v="1"/>
    <x v="1"/>
    <x v="0"/>
    <n v="0"/>
  </r>
  <r>
    <n v="636130000000000"/>
    <x v="0"/>
    <x v="55"/>
    <x v="2"/>
    <s v="GOIABEIRAS"/>
    <d v="2016-06-06T00:00:00"/>
    <d v="2016-06-06T00:00:00"/>
    <x v="2"/>
    <x v="94"/>
    <x v="5"/>
    <n v="0"/>
    <x v="1"/>
    <n v="0"/>
    <n v="0"/>
    <n v="0"/>
    <x v="1"/>
    <x v="0"/>
    <n v="0"/>
  </r>
  <r>
    <n v="691644000000000"/>
    <x v="0"/>
    <x v="89"/>
    <x v="0"/>
    <s v="COMDUSA"/>
    <d v="2016-06-06T00:00:00"/>
    <d v="2016-06-06T00:00:00"/>
    <x v="2"/>
    <x v="94"/>
    <x v="5"/>
    <n v="0"/>
    <x v="0"/>
    <n v="0"/>
    <n v="0"/>
    <n v="0"/>
    <x v="1"/>
    <x v="0"/>
    <n v="0"/>
  </r>
  <r>
    <n v="6999240000000"/>
    <x v="1"/>
    <x v="56"/>
    <x v="1"/>
    <s v="ANDORINHAS"/>
    <d v="2016-06-06T00:00:00"/>
    <d v="2016-06-06T00:00:00"/>
    <x v="2"/>
    <x v="94"/>
    <x v="5"/>
    <n v="0"/>
    <x v="1"/>
    <n v="0"/>
    <n v="0"/>
    <n v="0"/>
    <x v="1"/>
    <x v="0"/>
    <n v="0"/>
  </r>
  <r>
    <n v="66687900000000"/>
    <x v="0"/>
    <x v="79"/>
    <x v="5"/>
    <s v="MARUIPE"/>
    <d v="2016-06-06T00:00:00"/>
    <d v="2016-06-06T00:00:00"/>
    <x v="2"/>
    <x v="94"/>
    <x v="5"/>
    <n v="0"/>
    <x v="1"/>
    <n v="0"/>
    <n v="0"/>
    <n v="0"/>
    <x v="1"/>
    <x v="0"/>
    <n v="0"/>
  </r>
  <r>
    <n v="6972620000000"/>
    <x v="0"/>
    <x v="33"/>
    <x v="4"/>
    <s v="BONFIM"/>
    <d v="2016-06-06T00:00:00"/>
    <d v="2016-06-06T00:00:00"/>
    <x v="2"/>
    <x v="94"/>
    <x v="5"/>
    <n v="0"/>
    <x v="0"/>
    <n v="1"/>
    <n v="1"/>
    <n v="0"/>
    <x v="1"/>
    <x v="0"/>
    <n v="0"/>
  </r>
  <r>
    <n v="354198000000"/>
    <x v="1"/>
    <x v="46"/>
    <x v="2"/>
    <s v="SANTO ANDRE"/>
    <d v="2016-06-06T00:00:00"/>
    <d v="2016-06-06T00:00:00"/>
    <x v="2"/>
    <x v="94"/>
    <x v="5"/>
    <n v="0"/>
    <x v="1"/>
    <n v="0"/>
    <n v="0"/>
    <n v="0"/>
    <x v="1"/>
    <x v="0"/>
    <n v="0"/>
  </r>
  <r>
    <n v="6195920000000"/>
    <x v="1"/>
    <x v="17"/>
    <x v="4"/>
    <s v="SANTOS REIS"/>
    <d v="2016-06-06T00:00:00"/>
    <d v="2016-06-08T00:00:00"/>
    <x v="1"/>
    <x v="91"/>
    <x v="4"/>
    <n v="0"/>
    <x v="1"/>
    <n v="0"/>
    <n v="0"/>
    <n v="0"/>
    <x v="1"/>
    <x v="0"/>
    <n v="0"/>
  </r>
  <r>
    <n v="66197353628"/>
    <x v="1"/>
    <x v="10"/>
    <x v="4"/>
    <s v="GOIABEIRAS"/>
    <d v="2016-06-06T00:00:00"/>
    <d v="2016-06-08T00:00:00"/>
    <x v="1"/>
    <x v="91"/>
    <x v="4"/>
    <n v="0"/>
    <x v="1"/>
    <n v="0"/>
    <n v="0"/>
    <n v="0"/>
    <x v="1"/>
    <x v="1"/>
    <n v="1"/>
  </r>
  <r>
    <n v="686656000000"/>
    <x v="0"/>
    <x v="61"/>
    <x v="1"/>
    <s v="GRANDE VITORIA"/>
    <d v="2016-06-06T00:00:00"/>
    <d v="2016-06-08T00:00:00"/>
    <x v="1"/>
    <x v="91"/>
    <x v="4"/>
    <n v="0"/>
    <x v="0"/>
    <n v="0"/>
    <n v="0"/>
    <n v="0"/>
    <x v="1"/>
    <x v="0"/>
    <n v="0"/>
  </r>
  <r>
    <n v="627455000000000"/>
    <x v="0"/>
    <x v="72"/>
    <x v="5"/>
    <s v="CARATOIRA"/>
    <d v="2016-06-06T00:00:00"/>
    <d v="2016-06-06T00:00:00"/>
    <x v="2"/>
    <x v="94"/>
    <x v="5"/>
    <n v="0"/>
    <x v="1"/>
    <n v="0"/>
    <n v="0"/>
    <n v="0"/>
    <x v="1"/>
    <x v="0"/>
    <n v="0"/>
  </r>
  <r>
    <n v="45582300000000"/>
    <x v="0"/>
    <x v="1"/>
    <x v="0"/>
    <s v="JARDIM DA PENHA"/>
    <d v="2016-06-06T00:00:00"/>
    <d v="2016-06-08T00:00:00"/>
    <x v="1"/>
    <x v="91"/>
    <x v="4"/>
    <n v="0"/>
    <x v="0"/>
    <n v="0"/>
    <n v="0"/>
    <n v="0"/>
    <x v="1"/>
    <x v="0"/>
    <n v="0"/>
  </r>
  <r>
    <n v="2511170000000"/>
    <x v="0"/>
    <x v="79"/>
    <x v="5"/>
    <s v="RESISTENCIA"/>
    <d v="2016-06-06T00:00:00"/>
    <d v="2016-06-06T00:00:00"/>
    <x v="2"/>
    <x v="94"/>
    <x v="5"/>
    <n v="0"/>
    <x v="1"/>
    <n v="0"/>
    <n v="0"/>
    <n v="0"/>
    <x v="1"/>
    <x v="0"/>
    <n v="0"/>
  </r>
  <r>
    <n v="8986500000000"/>
    <x v="0"/>
    <x v="33"/>
    <x v="4"/>
    <s v="REPUBLICA"/>
    <d v="2016-06-06T00:00:00"/>
    <d v="2016-06-06T00:00:00"/>
    <x v="2"/>
    <x v="94"/>
    <x v="5"/>
    <n v="0"/>
    <x v="1"/>
    <n v="0"/>
    <n v="0"/>
    <n v="0"/>
    <x v="1"/>
    <x v="0"/>
    <n v="0"/>
  </r>
  <r>
    <n v="2326450000000"/>
    <x v="0"/>
    <x v="54"/>
    <x v="1"/>
    <s v="SANTA LUIZA"/>
    <d v="2016-06-06T00:00:00"/>
    <d v="2016-06-06T00:00:00"/>
    <x v="2"/>
    <x v="94"/>
    <x v="5"/>
    <n v="0"/>
    <x v="1"/>
    <n v="0"/>
    <n v="0"/>
    <n v="0"/>
    <x v="1"/>
    <x v="0"/>
    <n v="0"/>
  </r>
  <r>
    <n v="9615300000000"/>
    <x v="0"/>
    <x v="24"/>
    <x v="1"/>
    <s v="ITARARE"/>
    <d v="2016-06-06T00:00:00"/>
    <d v="2016-06-06T00:00:00"/>
    <x v="2"/>
    <x v="94"/>
    <x v="5"/>
    <n v="1"/>
    <x v="0"/>
    <n v="0"/>
    <n v="0"/>
    <n v="0"/>
    <x v="1"/>
    <x v="0"/>
    <n v="0"/>
  </r>
  <r>
    <n v="281768000000"/>
    <x v="0"/>
    <x v="23"/>
    <x v="3"/>
    <s v="JARDIM CAMBURI"/>
    <d v="2016-06-06T00:00:00"/>
    <d v="2016-06-06T00:00:00"/>
    <x v="2"/>
    <x v="94"/>
    <x v="5"/>
    <n v="0"/>
    <x v="1"/>
    <n v="0"/>
    <n v="0"/>
    <n v="0"/>
    <x v="1"/>
    <x v="0"/>
    <n v="0"/>
  </r>
  <r>
    <n v="7979450000000"/>
    <x v="0"/>
    <x v="38"/>
    <x v="4"/>
    <s v="GURIGICA"/>
    <d v="2016-06-06T00:00:00"/>
    <d v="2016-06-06T00:00:00"/>
    <x v="2"/>
    <x v="94"/>
    <x v="5"/>
    <n v="1"/>
    <x v="1"/>
    <n v="0"/>
    <n v="0"/>
    <n v="0"/>
    <x v="1"/>
    <x v="0"/>
    <n v="0"/>
  </r>
  <r>
    <n v="532955000000"/>
    <x v="0"/>
    <x v="49"/>
    <x v="4"/>
    <s v="RESISTENCIA"/>
    <d v="2016-06-06T00:00:00"/>
    <d v="2016-06-06T00:00:00"/>
    <x v="2"/>
    <x v="94"/>
    <x v="5"/>
    <n v="0"/>
    <x v="1"/>
    <n v="0"/>
    <n v="1"/>
    <n v="1"/>
    <x v="1"/>
    <x v="0"/>
    <n v="0"/>
  </r>
  <r>
    <n v="8179670000000"/>
    <x v="1"/>
    <x v="29"/>
    <x v="3"/>
    <s v="JABOUR"/>
    <d v="2016-06-06T00:00:00"/>
    <d v="2016-06-06T00:00:00"/>
    <x v="2"/>
    <x v="94"/>
    <x v="5"/>
    <n v="0"/>
    <x v="1"/>
    <n v="0"/>
    <n v="0"/>
    <n v="0"/>
    <x v="1"/>
    <x v="0"/>
    <n v="0"/>
  </r>
  <r>
    <n v="3723740000000"/>
    <x v="1"/>
    <x v="84"/>
    <x v="1"/>
    <s v="MARUIPE"/>
    <d v="2016-06-06T00:00:00"/>
    <d v="2016-06-06T00:00:00"/>
    <x v="2"/>
    <x v="94"/>
    <x v="5"/>
    <n v="0"/>
    <x v="1"/>
    <n v="0"/>
    <n v="0"/>
    <n v="0"/>
    <x v="1"/>
    <x v="1"/>
    <n v="1"/>
  </r>
  <r>
    <n v="78413200000000"/>
    <x v="0"/>
    <x v="64"/>
    <x v="3"/>
    <s v="MARIA ORTIZ"/>
    <d v="2016-06-06T00:00:00"/>
    <d v="2016-06-07T00:00:00"/>
    <x v="4"/>
    <x v="93"/>
    <x v="4"/>
    <n v="0"/>
    <x v="1"/>
    <n v="0"/>
    <n v="0"/>
    <n v="0"/>
    <x v="1"/>
    <x v="0"/>
    <n v="0"/>
  </r>
  <r>
    <n v="23729000000000"/>
    <x v="0"/>
    <x v="71"/>
    <x v="4"/>
    <s v="MARIA ORTIZ"/>
    <d v="2016-06-06T00:00:00"/>
    <d v="2016-06-07T00:00:00"/>
    <x v="4"/>
    <x v="93"/>
    <x v="4"/>
    <n v="0"/>
    <x v="1"/>
    <n v="0"/>
    <n v="0"/>
    <n v="0"/>
    <x v="1"/>
    <x v="0"/>
    <n v="0"/>
  </r>
  <r>
    <n v="6871350000000"/>
    <x v="0"/>
    <x v="79"/>
    <x v="5"/>
    <s v="ILHA DE SANTA MARIA"/>
    <d v="2016-06-06T00:00:00"/>
    <d v="2016-06-06T00:00:00"/>
    <x v="2"/>
    <x v="94"/>
    <x v="5"/>
    <n v="0"/>
    <x v="1"/>
    <n v="0"/>
    <n v="0"/>
    <n v="0"/>
    <x v="1"/>
    <x v="0"/>
    <n v="0"/>
  </r>
  <r>
    <n v="36933400000000"/>
    <x v="0"/>
    <x v="32"/>
    <x v="4"/>
    <s v="MARIA ORTIZ"/>
    <d v="2016-06-06T00:00:00"/>
    <d v="2016-06-07T00:00:00"/>
    <x v="4"/>
    <x v="93"/>
    <x v="4"/>
    <n v="0"/>
    <x v="1"/>
    <n v="0"/>
    <n v="0"/>
    <n v="0"/>
    <x v="1"/>
    <x v="0"/>
    <n v="0"/>
  </r>
  <r>
    <n v="94786600000000"/>
    <x v="1"/>
    <x v="60"/>
    <x v="2"/>
    <s v="ESTRELINHA"/>
    <d v="2016-06-06T00:00:00"/>
    <d v="2016-06-06T00:00:00"/>
    <x v="2"/>
    <x v="94"/>
    <x v="5"/>
    <n v="0"/>
    <x v="1"/>
    <n v="0"/>
    <n v="0"/>
    <n v="0"/>
    <x v="1"/>
    <x v="0"/>
    <n v="0"/>
  </r>
  <r>
    <n v="9447710000000"/>
    <x v="0"/>
    <x v="56"/>
    <x v="1"/>
    <s v="SEGURANCA DO LAR"/>
    <d v="2016-06-06T00:00:00"/>
    <d v="2016-06-06T00:00:00"/>
    <x v="2"/>
    <x v="94"/>
    <x v="5"/>
    <n v="0"/>
    <x v="1"/>
    <n v="0"/>
    <n v="0"/>
    <n v="0"/>
    <x v="1"/>
    <x v="0"/>
    <n v="0"/>
  </r>
  <r>
    <n v="53629700000000"/>
    <x v="1"/>
    <x v="6"/>
    <x v="0"/>
    <s v="SOLON BORGES"/>
    <d v="2016-06-06T00:00:00"/>
    <d v="2016-06-06T00:00:00"/>
    <x v="2"/>
    <x v="94"/>
    <x v="5"/>
    <n v="0"/>
    <x v="1"/>
    <n v="0"/>
    <n v="0"/>
    <n v="0"/>
    <x v="1"/>
    <x v="0"/>
    <n v="0"/>
  </r>
  <r>
    <n v="74536900000000"/>
    <x v="0"/>
    <x v="54"/>
    <x v="1"/>
    <s v="SAO BENEDITO"/>
    <d v="2016-06-06T00:00:00"/>
    <d v="2016-06-06T00:00:00"/>
    <x v="2"/>
    <x v="94"/>
    <x v="5"/>
    <n v="0"/>
    <x v="0"/>
    <n v="0"/>
    <n v="0"/>
    <n v="0"/>
    <x v="1"/>
    <x v="0"/>
    <n v="0"/>
  </r>
  <r>
    <n v="769912000000"/>
    <x v="1"/>
    <x v="45"/>
    <x v="1"/>
    <s v="SAO PEDRO"/>
    <d v="2016-06-06T00:00:00"/>
    <d v="2016-06-06T00:00:00"/>
    <x v="2"/>
    <x v="94"/>
    <x v="5"/>
    <n v="0"/>
    <x v="0"/>
    <n v="0"/>
    <n v="0"/>
    <n v="0"/>
    <x v="1"/>
    <x v="0"/>
    <n v="0"/>
  </r>
  <r>
    <n v="296834000000000"/>
    <x v="0"/>
    <x v="60"/>
    <x v="2"/>
    <s v="DE LOURDES"/>
    <d v="2016-06-06T00:00:00"/>
    <d v="2016-06-07T00:00:00"/>
    <x v="4"/>
    <x v="93"/>
    <x v="4"/>
    <n v="0"/>
    <x v="1"/>
    <n v="0"/>
    <n v="0"/>
    <n v="0"/>
    <x v="1"/>
    <x v="0"/>
    <n v="0"/>
  </r>
  <r>
    <n v="81647400000000"/>
    <x v="0"/>
    <x v="22"/>
    <x v="4"/>
    <s v="CARATOIRA"/>
    <d v="2016-06-06T00:00:00"/>
    <d v="2016-06-07T00:00:00"/>
    <x v="4"/>
    <x v="93"/>
    <x v="4"/>
    <n v="0"/>
    <x v="1"/>
    <n v="0"/>
    <n v="0"/>
    <n v="0"/>
    <x v="1"/>
    <x v="0"/>
    <n v="0"/>
  </r>
  <r>
    <n v="522832000000000"/>
    <x v="0"/>
    <x v="68"/>
    <x v="4"/>
    <s v="SANTA LUIZA"/>
    <d v="2016-06-06T00:00:00"/>
    <d v="2016-06-06T00:00:00"/>
    <x v="2"/>
    <x v="94"/>
    <x v="5"/>
    <n v="0"/>
    <x v="1"/>
    <n v="0"/>
    <n v="0"/>
    <n v="0"/>
    <x v="1"/>
    <x v="0"/>
    <n v="0"/>
  </r>
  <r>
    <n v="4649720000000"/>
    <x v="0"/>
    <x v="44"/>
    <x v="4"/>
    <s v="BELA VISTA"/>
    <d v="2016-06-06T00:00:00"/>
    <d v="2016-06-06T00:00:00"/>
    <x v="2"/>
    <x v="94"/>
    <x v="5"/>
    <n v="0"/>
    <x v="1"/>
    <n v="0"/>
    <n v="0"/>
    <n v="0"/>
    <x v="1"/>
    <x v="0"/>
    <n v="0"/>
  </r>
  <r>
    <n v="8621820000000"/>
    <x v="0"/>
    <x v="19"/>
    <x v="2"/>
    <s v="SANTO ANTONIO"/>
    <d v="2016-06-06T00:00:00"/>
    <d v="2016-06-06T00:00:00"/>
    <x v="2"/>
    <x v="94"/>
    <x v="5"/>
    <n v="0"/>
    <x v="1"/>
    <n v="0"/>
    <n v="0"/>
    <n v="0"/>
    <x v="1"/>
    <x v="0"/>
    <n v="0"/>
  </r>
  <r>
    <n v="384677000000"/>
    <x v="0"/>
    <x v="38"/>
    <x v="4"/>
    <s v="BONFIM"/>
    <d v="2016-06-06T00:00:00"/>
    <d v="2016-06-08T00:00:00"/>
    <x v="1"/>
    <x v="91"/>
    <x v="4"/>
    <n v="0"/>
    <x v="1"/>
    <n v="0"/>
    <n v="0"/>
    <n v="0"/>
    <x v="1"/>
    <x v="0"/>
    <n v="0"/>
  </r>
  <r>
    <n v="839519000000000"/>
    <x v="1"/>
    <x v="52"/>
    <x v="2"/>
    <s v="BONFIM"/>
    <d v="2016-06-06T00:00:00"/>
    <d v="2016-06-06T00:00:00"/>
    <x v="2"/>
    <x v="94"/>
    <x v="5"/>
    <n v="0"/>
    <x v="1"/>
    <n v="0"/>
    <n v="0"/>
    <n v="0"/>
    <x v="1"/>
    <x v="0"/>
    <n v="0"/>
  </r>
  <r>
    <n v="8168110000000"/>
    <x v="0"/>
    <x v="62"/>
    <x v="3"/>
    <s v="NAZARETH"/>
    <d v="2016-06-06T00:00:00"/>
    <d v="2016-06-06T00:00:00"/>
    <x v="2"/>
    <x v="94"/>
    <x v="5"/>
    <n v="0"/>
    <x v="1"/>
    <n v="0"/>
    <n v="0"/>
    <n v="0"/>
    <x v="1"/>
    <x v="0"/>
    <n v="0"/>
  </r>
  <r>
    <n v="688834000000"/>
    <x v="1"/>
    <x v="56"/>
    <x v="1"/>
    <s v="CARATOIRA"/>
    <d v="2016-06-06T00:00:00"/>
    <d v="2016-06-08T00:00:00"/>
    <x v="1"/>
    <x v="91"/>
    <x v="4"/>
    <n v="0"/>
    <x v="1"/>
    <n v="0"/>
    <n v="0"/>
    <n v="0"/>
    <x v="1"/>
    <x v="1"/>
    <n v="1"/>
  </r>
  <r>
    <n v="78621900000000"/>
    <x v="0"/>
    <x v="69"/>
    <x v="4"/>
    <s v="CENTRO"/>
    <d v="2016-06-06T00:00:00"/>
    <d v="2016-06-06T00:00:00"/>
    <x v="2"/>
    <x v="94"/>
    <x v="5"/>
    <n v="1"/>
    <x v="1"/>
    <n v="0"/>
    <n v="0"/>
    <n v="0"/>
    <x v="1"/>
    <x v="0"/>
    <n v="0"/>
  </r>
  <r>
    <n v="35566700000000"/>
    <x v="1"/>
    <x v="70"/>
    <x v="5"/>
    <s v="DO MOSCOSO"/>
    <d v="2016-06-06T00:00:00"/>
    <d v="2016-06-06T00:00:00"/>
    <x v="2"/>
    <x v="94"/>
    <x v="5"/>
    <n v="1"/>
    <x v="1"/>
    <n v="0"/>
    <n v="0"/>
    <n v="0"/>
    <x v="1"/>
    <x v="0"/>
    <n v="0"/>
  </r>
  <r>
    <n v="111927000000000"/>
    <x v="0"/>
    <x v="26"/>
    <x v="0"/>
    <s v="JARDIM CAMBURI"/>
    <d v="2016-06-06T00:00:00"/>
    <d v="2016-06-06T00:00:00"/>
    <x v="2"/>
    <x v="94"/>
    <x v="5"/>
    <n v="0"/>
    <x v="0"/>
    <n v="1"/>
    <n v="0"/>
    <n v="0"/>
    <x v="1"/>
    <x v="0"/>
    <n v="0"/>
  </r>
  <r>
    <n v="514620000000000"/>
    <x v="1"/>
    <x v="17"/>
    <x v="4"/>
    <s v="MARUIPE"/>
    <d v="2016-06-06T00:00:00"/>
    <d v="2016-06-06T00:00:00"/>
    <x v="2"/>
    <x v="94"/>
    <x v="5"/>
    <n v="0"/>
    <x v="1"/>
    <n v="0"/>
    <n v="0"/>
    <n v="0"/>
    <x v="1"/>
    <x v="0"/>
    <n v="0"/>
  </r>
  <r>
    <n v="87114800000000"/>
    <x v="0"/>
    <x v="10"/>
    <x v="4"/>
    <s v="JARDIM CAMBURI"/>
    <d v="2016-06-06T00:00:00"/>
    <d v="2016-06-08T00:00:00"/>
    <x v="1"/>
    <x v="91"/>
    <x v="4"/>
    <n v="0"/>
    <x v="1"/>
    <n v="0"/>
    <n v="0"/>
    <n v="0"/>
    <x v="1"/>
    <x v="0"/>
    <n v="0"/>
  </r>
  <r>
    <n v="77139300000000"/>
    <x v="0"/>
    <x v="50"/>
    <x v="1"/>
    <s v="MARIA ORTIZ"/>
    <d v="2016-06-06T00:00:00"/>
    <d v="2016-06-06T00:00:00"/>
    <x v="2"/>
    <x v="94"/>
    <x v="5"/>
    <n v="0"/>
    <x v="1"/>
    <n v="0"/>
    <n v="0"/>
    <n v="0"/>
    <x v="1"/>
    <x v="0"/>
    <n v="0"/>
  </r>
  <r>
    <n v="574543000000000"/>
    <x v="0"/>
    <x v="33"/>
    <x v="4"/>
    <s v="ARIOVALDO FAVALESSA"/>
    <d v="2016-06-06T00:00:00"/>
    <d v="2016-06-07T00:00:00"/>
    <x v="4"/>
    <x v="93"/>
    <x v="4"/>
    <n v="0"/>
    <x v="1"/>
    <n v="0"/>
    <n v="0"/>
    <n v="0"/>
    <x v="1"/>
    <x v="0"/>
    <n v="0"/>
  </r>
  <r>
    <n v="854625000000000"/>
    <x v="0"/>
    <x v="69"/>
    <x v="4"/>
    <s v="SAO CRISTOVAO"/>
    <d v="2016-06-06T00:00:00"/>
    <d v="2016-06-08T00:00:00"/>
    <x v="1"/>
    <x v="91"/>
    <x v="4"/>
    <n v="0"/>
    <x v="0"/>
    <n v="0"/>
    <n v="0"/>
    <n v="0"/>
    <x v="1"/>
    <x v="0"/>
    <n v="0"/>
  </r>
  <r>
    <n v="2917940000000"/>
    <x v="0"/>
    <x v="29"/>
    <x v="3"/>
    <s v="SAO PEDRO"/>
    <d v="2016-06-06T00:00:00"/>
    <d v="2016-06-07T00:00:00"/>
    <x v="4"/>
    <x v="93"/>
    <x v="4"/>
    <n v="0"/>
    <x v="1"/>
    <n v="0"/>
    <n v="0"/>
    <n v="0"/>
    <x v="1"/>
    <x v="0"/>
    <n v="0"/>
  </r>
  <r>
    <n v="656391000000000"/>
    <x v="0"/>
    <x v="4"/>
    <x v="2"/>
    <s v="ITARARE"/>
    <d v="2016-06-06T00:00:00"/>
    <d v="2016-06-06T00:00:00"/>
    <x v="2"/>
    <x v="94"/>
    <x v="5"/>
    <n v="0"/>
    <x v="1"/>
    <n v="0"/>
    <n v="0"/>
    <n v="0"/>
    <x v="1"/>
    <x v="0"/>
    <n v="0"/>
  </r>
  <r>
    <n v="81894500000000"/>
    <x v="1"/>
    <x v="33"/>
    <x v="4"/>
    <s v="ROMAO"/>
    <d v="2016-06-06T00:00:00"/>
    <d v="2016-06-06T00:00:00"/>
    <x v="2"/>
    <x v="94"/>
    <x v="5"/>
    <n v="0"/>
    <x v="1"/>
    <n v="0"/>
    <n v="0"/>
    <n v="0"/>
    <x v="1"/>
    <x v="0"/>
    <n v="0"/>
  </r>
  <r>
    <n v="826516000000000"/>
    <x v="1"/>
    <x v="52"/>
    <x v="2"/>
    <s v="MARIA ORTIZ"/>
    <d v="2016-06-06T00:00:00"/>
    <d v="2016-06-06T00:00:00"/>
    <x v="2"/>
    <x v="94"/>
    <x v="5"/>
    <n v="0"/>
    <x v="1"/>
    <n v="0"/>
    <n v="0"/>
    <n v="0"/>
    <x v="1"/>
    <x v="0"/>
    <n v="0"/>
  </r>
  <r>
    <n v="5159760000000"/>
    <x v="0"/>
    <x v="83"/>
    <x v="0"/>
    <s v="JARDIM CAMBURI"/>
    <d v="2016-06-06T00:00:00"/>
    <d v="2016-06-07T00:00:00"/>
    <x v="4"/>
    <x v="93"/>
    <x v="4"/>
    <n v="0"/>
    <x v="0"/>
    <n v="0"/>
    <n v="0"/>
    <n v="0"/>
    <x v="1"/>
    <x v="1"/>
    <n v="1"/>
  </r>
  <r>
    <n v="17737300000000"/>
    <x v="0"/>
    <x v="32"/>
    <x v="4"/>
    <s v="SANTO ANDRE"/>
    <d v="2016-06-06T00:00:00"/>
    <d v="2016-06-07T00:00:00"/>
    <x v="4"/>
    <x v="93"/>
    <x v="4"/>
    <n v="0"/>
    <x v="1"/>
    <n v="0"/>
    <n v="0"/>
    <n v="0"/>
    <x v="1"/>
    <x v="0"/>
    <n v="0"/>
  </r>
  <r>
    <n v="826516000000000"/>
    <x v="1"/>
    <x v="52"/>
    <x v="2"/>
    <s v="MARIA ORTIZ"/>
    <d v="2016-06-06T00:00:00"/>
    <d v="2016-06-08T00:00:00"/>
    <x v="1"/>
    <x v="91"/>
    <x v="4"/>
    <n v="0"/>
    <x v="1"/>
    <n v="0"/>
    <n v="0"/>
    <n v="0"/>
    <x v="1"/>
    <x v="0"/>
    <n v="0"/>
  </r>
  <r>
    <n v="5793960000000"/>
    <x v="0"/>
    <x v="31"/>
    <x v="1"/>
    <s v="JOANA D ARC"/>
    <d v="2016-06-06T00:00:00"/>
    <d v="2016-06-08T00:00:00"/>
    <x v="1"/>
    <x v="91"/>
    <x v="4"/>
    <n v="1"/>
    <x v="1"/>
    <n v="0"/>
    <n v="0"/>
    <n v="0"/>
    <x v="1"/>
    <x v="0"/>
    <n v="0"/>
  </r>
  <r>
    <n v="13586000000000"/>
    <x v="0"/>
    <x v="77"/>
    <x v="4"/>
    <s v="MARUIPE"/>
    <d v="2016-06-06T00:00:00"/>
    <d v="2016-06-08T00:00:00"/>
    <x v="1"/>
    <x v="91"/>
    <x v="4"/>
    <n v="0"/>
    <x v="1"/>
    <n v="0"/>
    <n v="0"/>
    <n v="0"/>
    <x v="1"/>
    <x v="1"/>
    <n v="1"/>
  </r>
  <r>
    <n v="289582000000000"/>
    <x v="0"/>
    <x v="56"/>
    <x v="1"/>
    <s v="MARIA ORTIZ"/>
    <d v="2016-06-06T00:00:00"/>
    <d v="2016-06-08T00:00:00"/>
    <x v="1"/>
    <x v="91"/>
    <x v="4"/>
    <n v="0"/>
    <x v="1"/>
    <n v="0"/>
    <n v="0"/>
    <n v="0"/>
    <x v="1"/>
    <x v="0"/>
    <n v="0"/>
  </r>
  <r>
    <n v="411485000000"/>
    <x v="1"/>
    <x v="23"/>
    <x v="3"/>
    <s v="JABOUR"/>
    <d v="2016-06-06T00:00:00"/>
    <d v="2016-06-08T00:00:00"/>
    <x v="1"/>
    <x v="91"/>
    <x v="4"/>
    <n v="0"/>
    <x v="1"/>
    <n v="0"/>
    <n v="0"/>
    <n v="0"/>
    <x v="1"/>
    <x v="1"/>
    <n v="1"/>
  </r>
  <r>
    <n v="861495000000000"/>
    <x v="0"/>
    <x v="16"/>
    <x v="1"/>
    <s v="BELA VISTA"/>
    <d v="2016-06-06T00:00:00"/>
    <d v="2016-06-08T00:00:00"/>
    <x v="1"/>
    <x v="91"/>
    <x v="4"/>
    <n v="0"/>
    <x v="0"/>
    <n v="1"/>
    <n v="0"/>
    <n v="0"/>
    <x v="1"/>
    <x v="0"/>
    <n v="0"/>
  </r>
  <r>
    <n v="19768000000000"/>
    <x v="0"/>
    <x v="24"/>
    <x v="1"/>
    <s v="JABOUR"/>
    <d v="2016-06-06T00:00:00"/>
    <d v="2016-06-08T00:00:00"/>
    <x v="1"/>
    <x v="91"/>
    <x v="4"/>
    <n v="0"/>
    <x v="1"/>
    <n v="0"/>
    <n v="0"/>
    <n v="0"/>
    <x v="1"/>
    <x v="0"/>
    <n v="0"/>
  </r>
  <r>
    <n v="9411530000000"/>
    <x v="1"/>
    <x v="20"/>
    <x v="0"/>
    <s v="JARDIM DA PENHA"/>
    <d v="2016-06-06T00:00:00"/>
    <d v="2016-06-08T00:00:00"/>
    <x v="1"/>
    <x v="91"/>
    <x v="4"/>
    <n v="0"/>
    <x v="0"/>
    <n v="0"/>
    <n v="0"/>
    <n v="0"/>
    <x v="1"/>
    <x v="0"/>
    <n v="0"/>
  </r>
  <r>
    <n v="91521400000000"/>
    <x v="0"/>
    <x v="64"/>
    <x v="3"/>
    <s v="JARDIM CAMBURI"/>
    <d v="2016-06-06T00:00:00"/>
    <d v="2016-06-07T00:00:00"/>
    <x v="4"/>
    <x v="93"/>
    <x v="4"/>
    <n v="0"/>
    <x v="1"/>
    <n v="0"/>
    <n v="0"/>
    <n v="0"/>
    <x v="1"/>
    <x v="0"/>
    <n v="0"/>
  </r>
  <r>
    <n v="78839349359"/>
    <x v="0"/>
    <x v="41"/>
    <x v="4"/>
    <s v="SAO CRISTOVAO"/>
    <d v="2016-06-06T00:00:00"/>
    <d v="2016-06-08T00:00:00"/>
    <x v="1"/>
    <x v="91"/>
    <x v="4"/>
    <n v="1"/>
    <x v="1"/>
    <n v="0"/>
    <n v="0"/>
    <n v="0"/>
    <x v="1"/>
    <x v="0"/>
    <n v="0"/>
  </r>
  <r>
    <n v="91537600000000"/>
    <x v="1"/>
    <x v="12"/>
    <x v="3"/>
    <s v="SAO BENEDITO"/>
    <d v="2016-06-07T00:00:00"/>
    <d v="2016-06-07T00:00:00"/>
    <x v="4"/>
    <x v="94"/>
    <x v="5"/>
    <n v="0"/>
    <x v="1"/>
    <n v="0"/>
    <n v="0"/>
    <n v="0"/>
    <x v="1"/>
    <x v="0"/>
    <n v="0"/>
  </r>
  <r>
    <n v="987788000000"/>
    <x v="1"/>
    <x v="74"/>
    <x v="1"/>
    <s v="MONTE BELO"/>
    <d v="2016-06-07T00:00:00"/>
    <d v="2016-06-07T00:00:00"/>
    <x v="4"/>
    <x v="94"/>
    <x v="5"/>
    <n v="0"/>
    <x v="1"/>
    <n v="0"/>
    <n v="0"/>
    <n v="0"/>
    <x v="1"/>
    <x v="0"/>
    <n v="0"/>
  </r>
  <r>
    <n v="23223200000000"/>
    <x v="1"/>
    <x v="81"/>
    <x v="5"/>
    <s v="SANTA MARTHA"/>
    <d v="2016-06-07T00:00:00"/>
    <d v="2016-06-07T00:00:00"/>
    <x v="4"/>
    <x v="94"/>
    <x v="5"/>
    <n v="0"/>
    <x v="1"/>
    <n v="0"/>
    <n v="0"/>
    <n v="0"/>
    <x v="1"/>
    <x v="0"/>
    <n v="0"/>
  </r>
  <r>
    <n v="94147978161"/>
    <x v="0"/>
    <x v="62"/>
    <x v="3"/>
    <s v="ROMAO"/>
    <d v="2016-06-07T00:00:00"/>
    <d v="2016-06-07T00:00:00"/>
    <x v="4"/>
    <x v="94"/>
    <x v="5"/>
    <n v="1"/>
    <x v="0"/>
    <n v="1"/>
    <n v="0"/>
    <n v="0"/>
    <x v="1"/>
    <x v="0"/>
    <n v="0"/>
  </r>
  <r>
    <n v="98388617733"/>
    <x v="0"/>
    <x v="49"/>
    <x v="4"/>
    <s v="JESUS DE NAZARETH"/>
    <d v="2016-06-07T00:00:00"/>
    <d v="2016-06-07T00:00:00"/>
    <x v="4"/>
    <x v="94"/>
    <x v="5"/>
    <n v="0"/>
    <x v="1"/>
    <n v="0"/>
    <n v="0"/>
    <n v="0"/>
    <x v="1"/>
    <x v="0"/>
    <n v="0"/>
  </r>
  <r>
    <n v="34998800000000"/>
    <x v="1"/>
    <x v="43"/>
    <x v="2"/>
    <s v="CARATOIRA"/>
    <d v="2016-06-07T00:00:00"/>
    <d v="2016-06-07T00:00:00"/>
    <x v="4"/>
    <x v="94"/>
    <x v="5"/>
    <n v="0"/>
    <x v="1"/>
    <n v="0"/>
    <n v="0"/>
    <n v="0"/>
    <x v="1"/>
    <x v="0"/>
    <n v="0"/>
  </r>
  <r>
    <n v="638126000000000"/>
    <x v="0"/>
    <x v="14"/>
    <x v="3"/>
    <s v="RESISTENCIA"/>
    <d v="2016-06-07T00:00:00"/>
    <d v="2016-06-07T00:00:00"/>
    <x v="4"/>
    <x v="94"/>
    <x v="5"/>
    <n v="0"/>
    <x v="1"/>
    <n v="0"/>
    <n v="0"/>
    <n v="0"/>
    <x v="1"/>
    <x v="0"/>
    <n v="0"/>
  </r>
  <r>
    <n v="156661000000"/>
    <x v="0"/>
    <x v="16"/>
    <x v="1"/>
    <s v="MATA DA PRAIA"/>
    <d v="2016-06-07T00:00:00"/>
    <d v="2016-06-07T00:00:00"/>
    <x v="4"/>
    <x v="94"/>
    <x v="5"/>
    <n v="0"/>
    <x v="1"/>
    <n v="0"/>
    <n v="0"/>
    <n v="0"/>
    <x v="1"/>
    <x v="0"/>
    <n v="0"/>
  </r>
  <r>
    <n v="54216400000000"/>
    <x v="1"/>
    <x v="65"/>
    <x v="2"/>
    <s v="RESISTENCIA"/>
    <d v="2016-06-07T00:00:00"/>
    <d v="2016-06-07T00:00:00"/>
    <x v="4"/>
    <x v="94"/>
    <x v="5"/>
    <n v="0"/>
    <x v="1"/>
    <n v="0"/>
    <n v="0"/>
    <n v="0"/>
    <x v="1"/>
    <x v="0"/>
    <n v="0"/>
  </r>
  <r>
    <n v="81613500000000"/>
    <x v="0"/>
    <x v="23"/>
    <x v="3"/>
    <s v="DA PENHA"/>
    <d v="2016-06-07T00:00:00"/>
    <d v="2016-06-07T00:00:00"/>
    <x v="4"/>
    <x v="94"/>
    <x v="5"/>
    <n v="0"/>
    <x v="1"/>
    <n v="0"/>
    <n v="0"/>
    <n v="0"/>
    <x v="1"/>
    <x v="0"/>
    <n v="0"/>
  </r>
  <r>
    <n v="385566000000"/>
    <x v="0"/>
    <x v="23"/>
    <x v="3"/>
    <s v="SAO BENEDITO"/>
    <d v="2016-06-07T00:00:00"/>
    <d v="2016-06-07T00:00:00"/>
    <x v="4"/>
    <x v="94"/>
    <x v="5"/>
    <n v="0"/>
    <x v="0"/>
    <n v="0"/>
    <n v="0"/>
    <n v="0"/>
    <x v="1"/>
    <x v="0"/>
    <n v="0"/>
  </r>
  <r>
    <n v="49183400000000"/>
    <x v="0"/>
    <x v="17"/>
    <x v="4"/>
    <s v="CRUZAMENTO"/>
    <d v="2016-06-07T00:00:00"/>
    <d v="2016-06-07T00:00:00"/>
    <x v="4"/>
    <x v="94"/>
    <x v="5"/>
    <n v="1"/>
    <x v="1"/>
    <n v="0"/>
    <n v="0"/>
    <n v="0"/>
    <x v="1"/>
    <x v="0"/>
    <n v="0"/>
  </r>
  <r>
    <n v="32561300000000"/>
    <x v="1"/>
    <x v="28"/>
    <x v="3"/>
    <s v="JARDIM DA PENHA"/>
    <d v="2016-06-07T00:00:00"/>
    <d v="2016-06-07T00:00:00"/>
    <x v="4"/>
    <x v="94"/>
    <x v="5"/>
    <n v="0"/>
    <x v="1"/>
    <n v="0"/>
    <n v="0"/>
    <n v="0"/>
    <x v="1"/>
    <x v="0"/>
    <n v="0"/>
  </r>
  <r>
    <n v="45277700000000"/>
    <x v="1"/>
    <x v="7"/>
    <x v="3"/>
    <s v="BONFIM"/>
    <d v="2016-06-07T00:00:00"/>
    <d v="2016-06-07T00:00:00"/>
    <x v="4"/>
    <x v="94"/>
    <x v="5"/>
    <n v="0"/>
    <x v="0"/>
    <n v="1"/>
    <n v="0"/>
    <n v="0"/>
    <x v="1"/>
    <x v="0"/>
    <n v="0"/>
  </r>
  <r>
    <n v="974784000000000"/>
    <x v="0"/>
    <x v="60"/>
    <x v="2"/>
    <s v="SANTA MARTHA"/>
    <d v="2016-06-07T00:00:00"/>
    <d v="2016-06-07T00:00:00"/>
    <x v="4"/>
    <x v="94"/>
    <x v="5"/>
    <n v="0"/>
    <x v="1"/>
    <n v="0"/>
    <n v="0"/>
    <n v="0"/>
    <x v="1"/>
    <x v="0"/>
    <n v="0"/>
  </r>
  <r>
    <n v="96492500000000"/>
    <x v="0"/>
    <x v="4"/>
    <x v="2"/>
    <s v="DA PENHA"/>
    <d v="2016-06-07T00:00:00"/>
    <d v="2016-06-07T00:00:00"/>
    <x v="4"/>
    <x v="94"/>
    <x v="5"/>
    <n v="0"/>
    <x v="1"/>
    <n v="0"/>
    <n v="0"/>
    <n v="0"/>
    <x v="1"/>
    <x v="0"/>
    <n v="0"/>
  </r>
  <r>
    <n v="2721730000000"/>
    <x v="0"/>
    <x v="44"/>
    <x v="4"/>
    <s v="JESUS DE NAZARETH"/>
    <d v="2016-06-07T00:00:00"/>
    <d v="2016-06-07T00:00:00"/>
    <x v="4"/>
    <x v="94"/>
    <x v="5"/>
    <n v="0"/>
    <x v="1"/>
    <n v="0"/>
    <n v="0"/>
    <n v="0"/>
    <x v="1"/>
    <x v="0"/>
    <n v="0"/>
  </r>
  <r>
    <n v="84761500000000"/>
    <x v="0"/>
    <x v="32"/>
    <x v="4"/>
    <s v="SAO BENEDITO"/>
    <d v="2016-06-07T00:00:00"/>
    <d v="2016-06-07T00:00:00"/>
    <x v="4"/>
    <x v="94"/>
    <x v="5"/>
    <n v="0"/>
    <x v="1"/>
    <n v="0"/>
    <n v="0"/>
    <n v="0"/>
    <x v="1"/>
    <x v="0"/>
    <n v="0"/>
  </r>
  <r>
    <n v="44563200000000"/>
    <x v="1"/>
    <x v="20"/>
    <x v="0"/>
    <s v="MARIA ORTIZ"/>
    <d v="2016-06-07T00:00:00"/>
    <d v="2016-06-07T00:00:00"/>
    <x v="4"/>
    <x v="94"/>
    <x v="5"/>
    <n v="0"/>
    <x v="1"/>
    <n v="0"/>
    <n v="0"/>
    <n v="0"/>
    <x v="1"/>
    <x v="0"/>
    <n v="0"/>
  </r>
  <r>
    <n v="87751600000000"/>
    <x v="1"/>
    <x v="55"/>
    <x v="2"/>
    <s v="JOANA D ARC"/>
    <d v="2016-06-07T00:00:00"/>
    <d v="2016-06-07T00:00:00"/>
    <x v="4"/>
    <x v="94"/>
    <x v="5"/>
    <n v="0"/>
    <x v="1"/>
    <n v="0"/>
    <n v="0"/>
    <n v="0"/>
    <x v="1"/>
    <x v="0"/>
    <n v="0"/>
  </r>
  <r>
    <n v="137952000000000"/>
    <x v="0"/>
    <x v="43"/>
    <x v="2"/>
    <s v="BONFIM"/>
    <d v="2016-06-07T00:00:00"/>
    <d v="2016-06-07T00:00:00"/>
    <x v="4"/>
    <x v="94"/>
    <x v="5"/>
    <n v="0"/>
    <x v="1"/>
    <n v="0"/>
    <n v="0"/>
    <n v="0"/>
    <x v="1"/>
    <x v="0"/>
    <n v="0"/>
  </r>
  <r>
    <n v="16871900000000"/>
    <x v="0"/>
    <x v="67"/>
    <x v="4"/>
    <s v="GURIGICA"/>
    <d v="2016-06-07T00:00:00"/>
    <d v="2016-06-07T00:00:00"/>
    <x v="4"/>
    <x v="94"/>
    <x v="5"/>
    <n v="1"/>
    <x v="1"/>
    <n v="0"/>
    <n v="0"/>
    <n v="0"/>
    <x v="1"/>
    <x v="0"/>
    <n v="0"/>
  </r>
  <r>
    <n v="6223980000000"/>
    <x v="0"/>
    <x v="49"/>
    <x v="4"/>
    <s v="ANDORINHAS"/>
    <d v="2016-06-07T00:00:00"/>
    <d v="2016-06-07T00:00:00"/>
    <x v="4"/>
    <x v="94"/>
    <x v="5"/>
    <n v="0"/>
    <x v="1"/>
    <n v="0"/>
    <n v="0"/>
    <n v="0"/>
    <x v="1"/>
    <x v="0"/>
    <n v="0"/>
  </r>
  <r>
    <n v="4551140000000"/>
    <x v="0"/>
    <x v="5"/>
    <x v="1"/>
    <s v="JESUS DE NAZARETH"/>
    <d v="2016-06-07T00:00:00"/>
    <d v="2016-06-07T00:00:00"/>
    <x v="4"/>
    <x v="94"/>
    <x v="5"/>
    <n v="0"/>
    <x v="1"/>
    <n v="0"/>
    <n v="0"/>
    <n v="0"/>
    <x v="1"/>
    <x v="0"/>
    <n v="0"/>
  </r>
  <r>
    <n v="852557000000000"/>
    <x v="0"/>
    <x v="16"/>
    <x v="1"/>
    <s v="CONSOLACAO"/>
    <d v="2016-06-07T00:00:00"/>
    <d v="2016-06-07T00:00:00"/>
    <x v="4"/>
    <x v="94"/>
    <x v="5"/>
    <n v="0"/>
    <x v="1"/>
    <n v="0"/>
    <n v="0"/>
    <n v="0"/>
    <x v="1"/>
    <x v="0"/>
    <n v="0"/>
  </r>
  <r>
    <n v="9119650000000"/>
    <x v="0"/>
    <x v="46"/>
    <x v="2"/>
    <s v="SANTA MARTHA"/>
    <d v="2016-06-07T00:00:00"/>
    <d v="2016-06-07T00:00:00"/>
    <x v="4"/>
    <x v="94"/>
    <x v="5"/>
    <n v="0"/>
    <x v="1"/>
    <n v="0"/>
    <n v="0"/>
    <n v="0"/>
    <x v="1"/>
    <x v="0"/>
    <n v="0"/>
  </r>
  <r>
    <n v="22893000000000"/>
    <x v="0"/>
    <x v="5"/>
    <x v="1"/>
    <s v="SANTO ANTONIO"/>
    <d v="2016-06-07T00:00:00"/>
    <d v="2016-06-07T00:00:00"/>
    <x v="4"/>
    <x v="94"/>
    <x v="5"/>
    <n v="0"/>
    <x v="0"/>
    <n v="1"/>
    <n v="0"/>
    <n v="0"/>
    <x v="1"/>
    <x v="0"/>
    <n v="0"/>
  </r>
  <r>
    <n v="58341900000000"/>
    <x v="1"/>
    <x v="56"/>
    <x v="1"/>
    <s v="CONSOLACAO"/>
    <d v="2016-06-07T00:00:00"/>
    <d v="2016-06-07T00:00:00"/>
    <x v="4"/>
    <x v="94"/>
    <x v="5"/>
    <n v="0"/>
    <x v="1"/>
    <n v="0"/>
    <n v="0"/>
    <n v="0"/>
    <x v="1"/>
    <x v="0"/>
    <n v="0"/>
  </r>
  <r>
    <n v="3753600000000"/>
    <x v="0"/>
    <x v="71"/>
    <x v="4"/>
    <s v="NOVA PALESTINA"/>
    <d v="2016-06-07T00:00:00"/>
    <d v="2016-06-07T00:00:00"/>
    <x v="4"/>
    <x v="94"/>
    <x v="5"/>
    <n v="0"/>
    <x v="1"/>
    <n v="0"/>
    <n v="0"/>
    <n v="0"/>
    <x v="1"/>
    <x v="0"/>
    <n v="0"/>
  </r>
  <r>
    <n v="44732600000000"/>
    <x v="0"/>
    <x v="45"/>
    <x v="1"/>
    <s v="JOANA D ARC"/>
    <d v="2016-06-07T00:00:00"/>
    <d v="2016-06-07T00:00:00"/>
    <x v="4"/>
    <x v="94"/>
    <x v="5"/>
    <n v="1"/>
    <x v="1"/>
    <n v="0"/>
    <n v="0"/>
    <n v="0"/>
    <x v="1"/>
    <x v="0"/>
    <n v="0"/>
  </r>
  <r>
    <n v="92644700000000"/>
    <x v="0"/>
    <x v="21"/>
    <x v="1"/>
    <s v="SANTA MARTHA"/>
    <d v="2016-06-07T00:00:00"/>
    <d v="2016-06-08T00:00:00"/>
    <x v="1"/>
    <x v="93"/>
    <x v="4"/>
    <n v="0"/>
    <x v="0"/>
    <n v="0"/>
    <n v="0"/>
    <n v="0"/>
    <x v="1"/>
    <x v="0"/>
    <n v="0"/>
  </r>
  <r>
    <n v="4168480000000"/>
    <x v="1"/>
    <x v="15"/>
    <x v="3"/>
    <s v="MARIA ORTIZ"/>
    <d v="2016-06-07T00:00:00"/>
    <d v="2016-06-07T00:00:00"/>
    <x v="4"/>
    <x v="94"/>
    <x v="5"/>
    <n v="0"/>
    <x v="1"/>
    <n v="0"/>
    <n v="0"/>
    <n v="0"/>
    <x v="1"/>
    <x v="0"/>
    <n v="0"/>
  </r>
  <r>
    <n v="75999600000000"/>
    <x v="0"/>
    <x v="14"/>
    <x v="3"/>
    <s v="JARDIM CAMBURI"/>
    <d v="2016-06-07T00:00:00"/>
    <d v="2016-06-07T00:00:00"/>
    <x v="4"/>
    <x v="94"/>
    <x v="5"/>
    <n v="0"/>
    <x v="1"/>
    <n v="0"/>
    <n v="0"/>
    <n v="0"/>
    <x v="1"/>
    <x v="0"/>
    <n v="0"/>
  </r>
  <r>
    <n v="18979700000000"/>
    <x v="0"/>
    <x v="29"/>
    <x v="3"/>
    <s v="JUCUTUQUARA"/>
    <d v="2016-06-07T00:00:00"/>
    <d v="2016-06-07T00:00:00"/>
    <x v="4"/>
    <x v="94"/>
    <x v="5"/>
    <n v="0"/>
    <x v="1"/>
    <n v="0"/>
    <n v="0"/>
    <n v="0"/>
    <x v="1"/>
    <x v="0"/>
    <n v="0"/>
  </r>
  <r>
    <n v="453825000000000"/>
    <x v="0"/>
    <x v="31"/>
    <x v="1"/>
    <s v="MARUIPE"/>
    <d v="2016-06-07T00:00:00"/>
    <d v="2016-06-07T00:00:00"/>
    <x v="4"/>
    <x v="94"/>
    <x v="5"/>
    <n v="0"/>
    <x v="1"/>
    <n v="0"/>
    <n v="0"/>
    <n v="0"/>
    <x v="1"/>
    <x v="0"/>
    <n v="0"/>
  </r>
  <r>
    <n v="27782400000000"/>
    <x v="1"/>
    <x v="41"/>
    <x v="4"/>
    <s v="GRANDE VITORIA"/>
    <d v="2016-06-07T00:00:00"/>
    <d v="2016-06-07T00:00:00"/>
    <x v="4"/>
    <x v="94"/>
    <x v="5"/>
    <n v="0"/>
    <x v="1"/>
    <n v="0"/>
    <n v="0"/>
    <n v="0"/>
    <x v="1"/>
    <x v="0"/>
    <n v="0"/>
  </r>
  <r>
    <n v="6344450000000"/>
    <x v="0"/>
    <x v="4"/>
    <x v="2"/>
    <s v="BELA VISTA"/>
    <d v="2016-06-07T00:00:00"/>
    <d v="2016-06-07T00:00:00"/>
    <x v="4"/>
    <x v="94"/>
    <x v="5"/>
    <n v="0"/>
    <x v="1"/>
    <n v="0"/>
    <n v="0"/>
    <n v="0"/>
    <x v="1"/>
    <x v="0"/>
    <n v="0"/>
  </r>
  <r>
    <n v="2477790000000"/>
    <x v="0"/>
    <x v="7"/>
    <x v="3"/>
    <s v="NOVA PALESTINA"/>
    <d v="2016-06-07T00:00:00"/>
    <d v="2016-06-07T00:00:00"/>
    <x v="4"/>
    <x v="94"/>
    <x v="5"/>
    <n v="0"/>
    <x v="0"/>
    <n v="0"/>
    <n v="0"/>
    <n v="0"/>
    <x v="1"/>
    <x v="0"/>
    <n v="0"/>
  </r>
  <r>
    <n v="36229314812"/>
    <x v="0"/>
    <x v="47"/>
    <x v="4"/>
    <s v="NOVA PALESTINA"/>
    <d v="2016-06-07T00:00:00"/>
    <d v="2016-06-07T00:00:00"/>
    <x v="4"/>
    <x v="94"/>
    <x v="5"/>
    <n v="0"/>
    <x v="1"/>
    <n v="0"/>
    <n v="0"/>
    <n v="0"/>
    <x v="1"/>
    <x v="0"/>
    <n v="0"/>
  </r>
  <r>
    <n v="81852800000000"/>
    <x v="1"/>
    <x v="26"/>
    <x v="0"/>
    <s v="MARIA ORTIZ"/>
    <d v="2016-06-07T00:00:00"/>
    <d v="2016-06-07T00:00:00"/>
    <x v="4"/>
    <x v="94"/>
    <x v="5"/>
    <n v="0"/>
    <x v="1"/>
    <n v="0"/>
    <n v="0"/>
    <n v="0"/>
    <x v="1"/>
    <x v="0"/>
    <n v="0"/>
  </r>
  <r>
    <n v="947888000000000"/>
    <x v="0"/>
    <x v="47"/>
    <x v="4"/>
    <s v="ILHA DAS CAIEIRAS"/>
    <d v="2016-06-07T00:00:00"/>
    <d v="2016-06-08T00:00:00"/>
    <x v="1"/>
    <x v="93"/>
    <x v="4"/>
    <n v="1"/>
    <x v="1"/>
    <n v="0"/>
    <n v="0"/>
    <n v="0"/>
    <x v="1"/>
    <x v="0"/>
    <n v="0"/>
  </r>
  <r>
    <n v="28416300000000"/>
    <x v="0"/>
    <x v="25"/>
    <x v="4"/>
    <s v="NOVA PALESTINA"/>
    <d v="2016-06-07T00:00:00"/>
    <d v="2016-06-07T00:00:00"/>
    <x v="4"/>
    <x v="94"/>
    <x v="5"/>
    <n v="0"/>
    <x v="1"/>
    <n v="0"/>
    <n v="0"/>
    <n v="0"/>
    <x v="1"/>
    <x v="0"/>
    <n v="0"/>
  </r>
  <r>
    <n v="94653900000000"/>
    <x v="0"/>
    <x v="69"/>
    <x v="4"/>
    <s v="JARDIM CAMBURI"/>
    <d v="2016-06-07T00:00:00"/>
    <d v="2016-06-07T00:00:00"/>
    <x v="4"/>
    <x v="94"/>
    <x v="5"/>
    <n v="0"/>
    <x v="1"/>
    <n v="0"/>
    <n v="0"/>
    <n v="0"/>
    <x v="1"/>
    <x v="0"/>
    <n v="0"/>
  </r>
  <r>
    <n v="554616000000000"/>
    <x v="0"/>
    <x v="71"/>
    <x v="4"/>
    <s v="SANTA TEREZA"/>
    <d v="2016-06-07T00:00:00"/>
    <d v="2016-06-07T00:00:00"/>
    <x v="4"/>
    <x v="94"/>
    <x v="5"/>
    <n v="0"/>
    <x v="1"/>
    <n v="0"/>
    <n v="0"/>
    <n v="0"/>
    <x v="1"/>
    <x v="0"/>
    <n v="0"/>
  </r>
  <r>
    <n v="47151300000000"/>
    <x v="0"/>
    <x v="22"/>
    <x v="4"/>
    <s v="ITARARE"/>
    <d v="2016-06-07T00:00:00"/>
    <d v="2016-06-08T00:00:00"/>
    <x v="1"/>
    <x v="93"/>
    <x v="4"/>
    <n v="0"/>
    <x v="1"/>
    <n v="0"/>
    <n v="0"/>
    <n v="0"/>
    <x v="1"/>
    <x v="0"/>
    <n v="0"/>
  </r>
  <r>
    <n v="22781800000000"/>
    <x v="1"/>
    <x v="46"/>
    <x v="2"/>
    <s v="PRAIA DO SUA"/>
    <d v="2016-06-07T00:00:00"/>
    <d v="2016-06-07T00:00:00"/>
    <x v="4"/>
    <x v="94"/>
    <x v="5"/>
    <n v="0"/>
    <x v="1"/>
    <n v="0"/>
    <n v="0"/>
    <n v="0"/>
    <x v="1"/>
    <x v="0"/>
    <n v="0"/>
  </r>
  <r>
    <n v="5881650000000"/>
    <x v="1"/>
    <x v="46"/>
    <x v="2"/>
    <s v="JARDIM CAMBURI"/>
    <d v="2016-06-07T00:00:00"/>
    <d v="2016-06-07T00:00:00"/>
    <x v="4"/>
    <x v="94"/>
    <x v="5"/>
    <n v="0"/>
    <x v="1"/>
    <n v="0"/>
    <n v="0"/>
    <n v="0"/>
    <x v="1"/>
    <x v="0"/>
    <n v="0"/>
  </r>
  <r>
    <n v="17264900000000"/>
    <x v="1"/>
    <x v="32"/>
    <x v="4"/>
    <s v="SAO JOSE"/>
    <d v="2016-06-07T00:00:00"/>
    <d v="2016-06-07T00:00:00"/>
    <x v="4"/>
    <x v="94"/>
    <x v="5"/>
    <n v="0"/>
    <x v="1"/>
    <n v="0"/>
    <n v="0"/>
    <n v="0"/>
    <x v="1"/>
    <x v="1"/>
    <n v="1"/>
  </r>
  <r>
    <n v="17146200000000"/>
    <x v="0"/>
    <x v="83"/>
    <x v="0"/>
    <s v="TABUAZEIRO"/>
    <d v="2016-06-07T00:00:00"/>
    <d v="2016-06-07T00:00:00"/>
    <x v="4"/>
    <x v="94"/>
    <x v="5"/>
    <n v="0"/>
    <x v="0"/>
    <n v="1"/>
    <n v="0"/>
    <n v="0"/>
    <x v="1"/>
    <x v="0"/>
    <n v="0"/>
  </r>
  <r>
    <n v="745123000000000"/>
    <x v="1"/>
    <x v="12"/>
    <x v="3"/>
    <s v="PRAIA DO CANTO"/>
    <d v="2016-06-07T00:00:00"/>
    <d v="2016-06-07T00:00:00"/>
    <x v="4"/>
    <x v="94"/>
    <x v="5"/>
    <n v="0"/>
    <x v="1"/>
    <n v="0"/>
    <n v="0"/>
    <n v="0"/>
    <x v="1"/>
    <x v="0"/>
    <n v="0"/>
  </r>
  <r>
    <n v="745123000000000"/>
    <x v="1"/>
    <x v="12"/>
    <x v="3"/>
    <s v="PRAIA DO CANTO"/>
    <d v="2016-06-07T00:00:00"/>
    <d v="2016-06-08T00:00:00"/>
    <x v="1"/>
    <x v="93"/>
    <x v="4"/>
    <n v="0"/>
    <x v="1"/>
    <n v="0"/>
    <n v="0"/>
    <n v="0"/>
    <x v="1"/>
    <x v="0"/>
    <n v="0"/>
  </r>
  <r>
    <n v="672622000000000"/>
    <x v="0"/>
    <x v="84"/>
    <x v="1"/>
    <s v="BONFIM"/>
    <d v="2016-06-07T00:00:00"/>
    <d v="2016-06-07T00:00:00"/>
    <x v="4"/>
    <x v="94"/>
    <x v="5"/>
    <n v="0"/>
    <x v="1"/>
    <n v="0"/>
    <n v="0"/>
    <n v="0"/>
    <x v="1"/>
    <x v="0"/>
    <n v="0"/>
  </r>
  <r>
    <n v="9813290000000"/>
    <x v="0"/>
    <x v="44"/>
    <x v="4"/>
    <s v="PARQUE MOSCOSO"/>
    <d v="2016-06-07T00:00:00"/>
    <d v="2016-06-07T00:00:00"/>
    <x v="4"/>
    <x v="94"/>
    <x v="5"/>
    <n v="0"/>
    <x v="1"/>
    <n v="0"/>
    <n v="0"/>
    <n v="0"/>
    <x v="1"/>
    <x v="0"/>
    <n v="0"/>
  </r>
  <r>
    <n v="166418000000000"/>
    <x v="0"/>
    <x v="2"/>
    <x v="1"/>
    <s v="RESISTENCIA"/>
    <d v="2016-06-07T00:00:00"/>
    <d v="2016-06-08T00:00:00"/>
    <x v="1"/>
    <x v="93"/>
    <x v="4"/>
    <n v="0"/>
    <x v="1"/>
    <n v="0"/>
    <n v="0"/>
    <n v="0"/>
    <x v="1"/>
    <x v="1"/>
    <n v="1"/>
  </r>
  <r>
    <n v="46739700000000"/>
    <x v="1"/>
    <x v="18"/>
    <x v="0"/>
    <s v="NOVA PALESTINA"/>
    <d v="2016-06-07T00:00:00"/>
    <d v="2016-06-07T00:00:00"/>
    <x v="4"/>
    <x v="94"/>
    <x v="5"/>
    <n v="0"/>
    <x v="0"/>
    <n v="1"/>
    <n v="0"/>
    <n v="1"/>
    <x v="1"/>
    <x v="0"/>
    <n v="0"/>
  </r>
  <r>
    <n v="48332300000000"/>
    <x v="0"/>
    <x v="63"/>
    <x v="0"/>
    <s v="SANTA MARTHA"/>
    <d v="2016-06-07T00:00:00"/>
    <d v="2016-06-07T00:00:00"/>
    <x v="4"/>
    <x v="94"/>
    <x v="5"/>
    <n v="0"/>
    <x v="0"/>
    <n v="0"/>
    <n v="0"/>
    <n v="0"/>
    <x v="1"/>
    <x v="0"/>
    <n v="0"/>
  </r>
  <r>
    <n v="61286900000000"/>
    <x v="0"/>
    <x v="20"/>
    <x v="0"/>
    <s v="MARIO CYPRESTE"/>
    <d v="2016-06-07T00:00:00"/>
    <d v="2016-06-07T00:00:00"/>
    <x v="4"/>
    <x v="94"/>
    <x v="5"/>
    <n v="0"/>
    <x v="0"/>
    <n v="0"/>
    <n v="0"/>
    <n v="0"/>
    <x v="1"/>
    <x v="0"/>
    <n v="0"/>
  </r>
  <r>
    <n v="1534530000000"/>
    <x v="1"/>
    <x v="91"/>
    <x v="0"/>
    <s v="GURIGICA"/>
    <d v="2016-06-07T00:00:00"/>
    <d v="2016-06-07T00:00:00"/>
    <x v="4"/>
    <x v="94"/>
    <x v="5"/>
    <n v="0"/>
    <x v="0"/>
    <n v="0"/>
    <n v="0"/>
    <n v="0"/>
    <x v="1"/>
    <x v="0"/>
    <n v="0"/>
  </r>
  <r>
    <n v="89499996932"/>
    <x v="1"/>
    <x v="62"/>
    <x v="3"/>
    <s v="SANTA MARTHA"/>
    <d v="2016-06-07T00:00:00"/>
    <d v="2016-06-07T00:00:00"/>
    <x v="4"/>
    <x v="94"/>
    <x v="5"/>
    <n v="0"/>
    <x v="0"/>
    <n v="0"/>
    <n v="0"/>
    <n v="0"/>
    <x v="1"/>
    <x v="0"/>
    <n v="0"/>
  </r>
  <r>
    <n v="57461600000000"/>
    <x v="0"/>
    <x v="1"/>
    <x v="0"/>
    <s v="PRAIA DO SUA"/>
    <d v="2016-06-07T00:00:00"/>
    <d v="2016-06-07T00:00:00"/>
    <x v="4"/>
    <x v="94"/>
    <x v="5"/>
    <n v="0"/>
    <x v="1"/>
    <n v="1"/>
    <n v="0"/>
    <n v="0"/>
    <x v="1"/>
    <x v="0"/>
    <n v="0"/>
  </r>
  <r>
    <n v="2487660000000"/>
    <x v="0"/>
    <x v="33"/>
    <x v="4"/>
    <s v="RESISTENCIA"/>
    <d v="2016-06-07T00:00:00"/>
    <d v="2016-06-07T00:00:00"/>
    <x v="4"/>
    <x v="94"/>
    <x v="5"/>
    <n v="0"/>
    <x v="1"/>
    <n v="0"/>
    <n v="0"/>
    <n v="0"/>
    <x v="1"/>
    <x v="0"/>
    <n v="0"/>
  </r>
  <r>
    <n v="86371200000000"/>
    <x v="0"/>
    <x v="60"/>
    <x v="2"/>
    <s v="RESISTENCIA"/>
    <d v="2016-06-07T00:00:00"/>
    <d v="2016-06-07T00:00:00"/>
    <x v="4"/>
    <x v="94"/>
    <x v="5"/>
    <n v="0"/>
    <x v="1"/>
    <n v="0"/>
    <n v="0"/>
    <n v="0"/>
    <x v="1"/>
    <x v="0"/>
    <n v="0"/>
  </r>
  <r>
    <n v="313927000000000"/>
    <x v="1"/>
    <x v="52"/>
    <x v="2"/>
    <s v="BELA VISTA"/>
    <d v="2016-06-07T00:00:00"/>
    <d v="2016-06-07T00:00:00"/>
    <x v="4"/>
    <x v="94"/>
    <x v="5"/>
    <n v="0"/>
    <x v="1"/>
    <n v="0"/>
    <n v="0"/>
    <n v="0"/>
    <x v="1"/>
    <x v="1"/>
    <n v="1"/>
  </r>
  <r>
    <n v="725984000000"/>
    <x v="0"/>
    <x v="22"/>
    <x v="4"/>
    <s v="GURIGICA"/>
    <d v="2016-06-07T00:00:00"/>
    <d v="2016-06-07T00:00:00"/>
    <x v="4"/>
    <x v="94"/>
    <x v="5"/>
    <n v="0"/>
    <x v="1"/>
    <n v="0"/>
    <n v="0"/>
    <n v="0"/>
    <x v="1"/>
    <x v="0"/>
    <n v="0"/>
  </r>
  <r>
    <n v="217774000000000"/>
    <x v="1"/>
    <x v="43"/>
    <x v="2"/>
    <s v="RESISTENCIA"/>
    <d v="2016-06-07T00:00:00"/>
    <d v="2016-06-07T00:00:00"/>
    <x v="4"/>
    <x v="94"/>
    <x v="5"/>
    <n v="0"/>
    <x v="1"/>
    <n v="0"/>
    <n v="0"/>
    <n v="0"/>
    <x v="1"/>
    <x v="0"/>
    <n v="0"/>
  </r>
  <r>
    <n v="5128700000000"/>
    <x v="1"/>
    <x v="59"/>
    <x v="2"/>
    <s v="CARATOIRA"/>
    <d v="2016-06-07T00:00:00"/>
    <d v="2016-06-08T00:00:00"/>
    <x v="1"/>
    <x v="93"/>
    <x v="4"/>
    <n v="1"/>
    <x v="1"/>
    <n v="0"/>
    <n v="0"/>
    <n v="0"/>
    <x v="1"/>
    <x v="1"/>
    <n v="1"/>
  </r>
  <r>
    <n v="674648000000000"/>
    <x v="1"/>
    <x v="46"/>
    <x v="2"/>
    <s v="SAO JOSE"/>
    <d v="2016-06-07T00:00:00"/>
    <d v="2016-06-07T00:00:00"/>
    <x v="4"/>
    <x v="94"/>
    <x v="5"/>
    <n v="0"/>
    <x v="1"/>
    <n v="0"/>
    <n v="0"/>
    <n v="0"/>
    <x v="1"/>
    <x v="0"/>
    <n v="0"/>
  </r>
  <r>
    <n v="22462900000000"/>
    <x v="1"/>
    <x v="25"/>
    <x v="4"/>
    <s v="CENTRO"/>
    <d v="2016-06-07T00:00:00"/>
    <d v="2016-06-07T00:00:00"/>
    <x v="4"/>
    <x v="94"/>
    <x v="5"/>
    <n v="0"/>
    <x v="1"/>
    <n v="0"/>
    <n v="0"/>
    <n v="0"/>
    <x v="1"/>
    <x v="0"/>
    <n v="0"/>
  </r>
  <r>
    <n v="99671900000000"/>
    <x v="0"/>
    <x v="62"/>
    <x v="3"/>
    <s v="ITARARE"/>
    <d v="2016-06-07T00:00:00"/>
    <d v="2016-06-07T00:00:00"/>
    <x v="4"/>
    <x v="94"/>
    <x v="5"/>
    <n v="0"/>
    <x v="1"/>
    <n v="0"/>
    <n v="0"/>
    <n v="0"/>
    <x v="1"/>
    <x v="0"/>
    <n v="0"/>
  </r>
  <r>
    <n v="182214000000000"/>
    <x v="0"/>
    <x v="90"/>
    <x v="0"/>
    <s v="SAO PEDRO"/>
    <d v="2016-06-07T00:00:00"/>
    <d v="2016-06-07T00:00:00"/>
    <x v="4"/>
    <x v="94"/>
    <x v="5"/>
    <n v="0"/>
    <x v="1"/>
    <n v="0"/>
    <n v="0"/>
    <n v="0"/>
    <x v="1"/>
    <x v="0"/>
    <n v="0"/>
  </r>
  <r>
    <n v="36848500000000"/>
    <x v="0"/>
    <x v="25"/>
    <x v="4"/>
    <s v="DE LOURDES"/>
    <d v="2016-06-07T00:00:00"/>
    <d v="2016-06-07T00:00:00"/>
    <x v="4"/>
    <x v="94"/>
    <x v="5"/>
    <n v="0"/>
    <x v="1"/>
    <n v="0"/>
    <n v="0"/>
    <n v="0"/>
    <x v="1"/>
    <x v="0"/>
    <n v="0"/>
  </r>
  <r>
    <n v="785592000000000"/>
    <x v="1"/>
    <x v="71"/>
    <x v="4"/>
    <s v="NOVA PALESTINA"/>
    <d v="2016-06-07T00:00:00"/>
    <d v="2016-06-07T00:00:00"/>
    <x v="4"/>
    <x v="94"/>
    <x v="5"/>
    <n v="0"/>
    <x v="1"/>
    <n v="0"/>
    <n v="0"/>
    <n v="0"/>
    <x v="1"/>
    <x v="0"/>
    <n v="0"/>
  </r>
  <r>
    <n v="22532000000000"/>
    <x v="0"/>
    <x v="71"/>
    <x v="4"/>
    <s v="FORTE SAO JOAO"/>
    <d v="2016-06-07T00:00:00"/>
    <d v="2016-06-07T00:00:00"/>
    <x v="4"/>
    <x v="94"/>
    <x v="5"/>
    <n v="1"/>
    <x v="0"/>
    <n v="0"/>
    <n v="0"/>
    <n v="0"/>
    <x v="1"/>
    <x v="1"/>
    <n v="1"/>
  </r>
  <r>
    <n v="63247400000000"/>
    <x v="0"/>
    <x v="79"/>
    <x v="5"/>
    <s v="SANTA CLARA"/>
    <d v="2016-06-07T00:00:00"/>
    <d v="2016-06-08T00:00:00"/>
    <x v="1"/>
    <x v="93"/>
    <x v="4"/>
    <n v="0"/>
    <x v="1"/>
    <n v="0"/>
    <n v="0"/>
    <n v="0"/>
    <x v="1"/>
    <x v="1"/>
    <n v="1"/>
  </r>
  <r>
    <n v="65253900000000"/>
    <x v="1"/>
    <x v="15"/>
    <x v="3"/>
    <s v="FORTE SAO JOAO"/>
    <d v="2016-06-07T00:00:00"/>
    <d v="2016-06-07T00:00:00"/>
    <x v="4"/>
    <x v="94"/>
    <x v="5"/>
    <n v="0"/>
    <x v="1"/>
    <n v="0"/>
    <n v="0"/>
    <n v="0"/>
    <x v="1"/>
    <x v="1"/>
    <n v="1"/>
  </r>
  <r>
    <n v="23196800000000"/>
    <x v="1"/>
    <x v="74"/>
    <x v="1"/>
    <s v="RESISTENCIA"/>
    <d v="2016-06-07T00:00:00"/>
    <d v="2016-06-07T00:00:00"/>
    <x v="4"/>
    <x v="94"/>
    <x v="5"/>
    <n v="0"/>
    <x v="0"/>
    <n v="0"/>
    <n v="0"/>
    <n v="0"/>
    <x v="1"/>
    <x v="0"/>
    <n v="0"/>
  </r>
  <r>
    <n v="224466000000000"/>
    <x v="0"/>
    <x v="49"/>
    <x v="4"/>
    <s v="CONSOLACAO"/>
    <d v="2016-06-07T00:00:00"/>
    <d v="2016-06-07T00:00:00"/>
    <x v="4"/>
    <x v="94"/>
    <x v="5"/>
    <n v="0"/>
    <x v="1"/>
    <n v="0"/>
    <n v="0"/>
    <n v="0"/>
    <x v="1"/>
    <x v="0"/>
    <n v="0"/>
  </r>
  <r>
    <n v="2585680000000"/>
    <x v="1"/>
    <x v="56"/>
    <x v="1"/>
    <s v="JABOUR"/>
    <d v="2016-06-07T00:00:00"/>
    <d v="2016-06-07T00:00:00"/>
    <x v="4"/>
    <x v="94"/>
    <x v="5"/>
    <n v="0"/>
    <x v="1"/>
    <n v="0"/>
    <n v="0"/>
    <n v="0"/>
    <x v="1"/>
    <x v="0"/>
    <n v="0"/>
  </r>
  <r>
    <n v="77479600000000"/>
    <x v="0"/>
    <x v="73"/>
    <x v="4"/>
    <s v="SANTA LUCIA"/>
    <d v="2016-06-07T00:00:00"/>
    <d v="2016-06-07T00:00:00"/>
    <x v="4"/>
    <x v="94"/>
    <x v="5"/>
    <n v="0"/>
    <x v="1"/>
    <n v="0"/>
    <n v="0"/>
    <n v="0"/>
    <x v="1"/>
    <x v="0"/>
    <n v="0"/>
  </r>
  <r>
    <n v="1894640000000"/>
    <x v="1"/>
    <x v="84"/>
    <x v="1"/>
    <s v="ILHA DAS CAIEIRAS"/>
    <d v="2016-06-07T00:00:00"/>
    <d v="2016-06-07T00:00:00"/>
    <x v="4"/>
    <x v="94"/>
    <x v="5"/>
    <n v="0"/>
    <x v="0"/>
    <n v="1"/>
    <n v="0"/>
    <n v="0"/>
    <x v="1"/>
    <x v="1"/>
    <n v="1"/>
  </r>
  <r>
    <n v="89194500000000"/>
    <x v="0"/>
    <x v="20"/>
    <x v="0"/>
    <s v="RESISTENCIA"/>
    <d v="2016-06-07T00:00:00"/>
    <d v="2016-06-07T00:00:00"/>
    <x v="4"/>
    <x v="94"/>
    <x v="5"/>
    <n v="0"/>
    <x v="0"/>
    <n v="1"/>
    <n v="0"/>
    <n v="0"/>
    <x v="1"/>
    <x v="0"/>
    <n v="0"/>
  </r>
  <r>
    <n v="33924700000000"/>
    <x v="0"/>
    <x v="77"/>
    <x v="4"/>
    <s v="SANTA LUIZA"/>
    <d v="2016-06-07T00:00:00"/>
    <d v="2016-06-07T00:00:00"/>
    <x v="4"/>
    <x v="94"/>
    <x v="5"/>
    <n v="0"/>
    <x v="1"/>
    <n v="0"/>
    <n v="0"/>
    <n v="0"/>
    <x v="1"/>
    <x v="0"/>
    <n v="0"/>
  </r>
  <r>
    <n v="392665000000000"/>
    <x v="1"/>
    <x v="49"/>
    <x v="4"/>
    <s v="ROMAO"/>
    <d v="2016-06-07T00:00:00"/>
    <d v="2016-06-07T00:00:00"/>
    <x v="4"/>
    <x v="94"/>
    <x v="5"/>
    <n v="0"/>
    <x v="1"/>
    <n v="0"/>
    <n v="0"/>
    <n v="0"/>
    <x v="1"/>
    <x v="0"/>
    <n v="0"/>
  </r>
  <r>
    <n v="26829200000000"/>
    <x v="1"/>
    <x v="17"/>
    <x v="4"/>
    <s v="JABOUR"/>
    <d v="2016-06-07T00:00:00"/>
    <d v="2016-06-08T00:00:00"/>
    <x v="1"/>
    <x v="93"/>
    <x v="4"/>
    <n v="0"/>
    <x v="1"/>
    <n v="0"/>
    <n v="0"/>
    <n v="0"/>
    <x v="1"/>
    <x v="1"/>
    <n v="1"/>
  </r>
  <r>
    <n v="91871500000000"/>
    <x v="0"/>
    <x v="91"/>
    <x v="0"/>
    <s v="JARDIM CAMBURI"/>
    <d v="2016-06-07T00:00:00"/>
    <d v="2016-06-07T00:00:00"/>
    <x v="4"/>
    <x v="94"/>
    <x v="5"/>
    <n v="0"/>
    <x v="1"/>
    <n v="0"/>
    <n v="0"/>
    <n v="0"/>
    <x v="1"/>
    <x v="0"/>
    <n v="0"/>
  </r>
  <r>
    <n v="73321600000000"/>
    <x v="0"/>
    <x v="63"/>
    <x v="0"/>
    <s v="ANTONIO HONORIO"/>
    <d v="2016-06-07T00:00:00"/>
    <d v="2016-06-07T00:00:00"/>
    <x v="4"/>
    <x v="94"/>
    <x v="5"/>
    <n v="0"/>
    <x v="1"/>
    <n v="0"/>
    <n v="0"/>
    <n v="0"/>
    <x v="1"/>
    <x v="0"/>
    <n v="0"/>
  </r>
  <r>
    <n v="5159740000000"/>
    <x v="0"/>
    <x v="19"/>
    <x v="2"/>
    <s v="SANTO ANDRE"/>
    <d v="2016-06-07T00:00:00"/>
    <d v="2016-06-07T00:00:00"/>
    <x v="4"/>
    <x v="94"/>
    <x v="5"/>
    <n v="0"/>
    <x v="1"/>
    <n v="0"/>
    <n v="0"/>
    <n v="0"/>
    <x v="1"/>
    <x v="0"/>
    <n v="0"/>
  </r>
  <r>
    <n v="83782200000000"/>
    <x v="0"/>
    <x v="25"/>
    <x v="4"/>
    <s v="GURIGICA"/>
    <d v="2016-06-07T00:00:00"/>
    <d v="2016-06-08T00:00:00"/>
    <x v="1"/>
    <x v="93"/>
    <x v="4"/>
    <n v="1"/>
    <x v="1"/>
    <n v="0"/>
    <n v="0"/>
    <n v="0"/>
    <x v="1"/>
    <x v="1"/>
    <n v="1"/>
  </r>
  <r>
    <n v="11861700000000"/>
    <x v="0"/>
    <x v="5"/>
    <x v="1"/>
    <s v="SANTA CLARA"/>
    <d v="2016-06-07T00:00:00"/>
    <d v="2016-06-07T00:00:00"/>
    <x v="4"/>
    <x v="94"/>
    <x v="5"/>
    <n v="0"/>
    <x v="1"/>
    <n v="0"/>
    <n v="0"/>
    <n v="0"/>
    <x v="1"/>
    <x v="0"/>
    <n v="0"/>
  </r>
  <r>
    <n v="8876280000000"/>
    <x v="1"/>
    <x v="59"/>
    <x v="2"/>
    <s v="RESISTENCIA"/>
    <d v="2016-06-07T00:00:00"/>
    <d v="2016-06-07T00:00:00"/>
    <x v="4"/>
    <x v="94"/>
    <x v="5"/>
    <n v="0"/>
    <x v="1"/>
    <n v="0"/>
    <n v="0"/>
    <n v="0"/>
    <x v="1"/>
    <x v="0"/>
    <n v="0"/>
  </r>
  <r>
    <n v="283765000000"/>
    <x v="0"/>
    <x v="55"/>
    <x v="2"/>
    <s v="REDENCAO"/>
    <d v="2016-06-07T00:00:00"/>
    <d v="2016-06-07T00:00:00"/>
    <x v="4"/>
    <x v="94"/>
    <x v="5"/>
    <n v="0"/>
    <x v="1"/>
    <n v="0"/>
    <n v="0"/>
    <n v="0"/>
    <x v="1"/>
    <x v="0"/>
    <n v="0"/>
  </r>
  <r>
    <n v="3153620000000"/>
    <x v="1"/>
    <x v="59"/>
    <x v="2"/>
    <s v="REDENCAO"/>
    <d v="2016-06-07T00:00:00"/>
    <d v="2016-06-07T00:00:00"/>
    <x v="4"/>
    <x v="94"/>
    <x v="5"/>
    <n v="0"/>
    <x v="1"/>
    <n v="0"/>
    <n v="0"/>
    <n v="0"/>
    <x v="1"/>
    <x v="0"/>
    <n v="0"/>
  </r>
  <r>
    <n v="713233000000000"/>
    <x v="0"/>
    <x v="10"/>
    <x v="4"/>
    <s v="SANTA MARTHA"/>
    <d v="2016-06-07T00:00:00"/>
    <d v="2016-06-08T00:00:00"/>
    <x v="1"/>
    <x v="93"/>
    <x v="4"/>
    <n v="0"/>
    <x v="1"/>
    <n v="0"/>
    <n v="0"/>
    <n v="0"/>
    <x v="1"/>
    <x v="0"/>
    <n v="0"/>
  </r>
  <r>
    <n v="9119650000000"/>
    <x v="0"/>
    <x v="46"/>
    <x v="2"/>
    <s v="SANTA MARTHA"/>
    <d v="2016-06-07T00:00:00"/>
    <d v="2016-06-08T00:00:00"/>
    <x v="1"/>
    <x v="93"/>
    <x v="4"/>
    <n v="0"/>
    <x v="1"/>
    <n v="0"/>
    <n v="0"/>
    <n v="0"/>
    <x v="1"/>
    <x v="0"/>
    <n v="0"/>
  </r>
  <r>
    <n v="63315100000000"/>
    <x v="0"/>
    <x v="73"/>
    <x v="4"/>
    <s v="REDENCAO"/>
    <d v="2016-06-07T00:00:00"/>
    <d v="2016-06-07T00:00:00"/>
    <x v="4"/>
    <x v="94"/>
    <x v="5"/>
    <n v="0"/>
    <x v="1"/>
    <n v="0"/>
    <n v="0"/>
    <n v="0"/>
    <x v="1"/>
    <x v="0"/>
    <n v="0"/>
  </r>
  <r>
    <n v="7335800000000"/>
    <x v="1"/>
    <x v="57"/>
    <x v="2"/>
    <s v="GURIGICA"/>
    <d v="2016-06-07T00:00:00"/>
    <d v="2016-06-08T00:00:00"/>
    <x v="1"/>
    <x v="93"/>
    <x v="4"/>
    <n v="0"/>
    <x v="1"/>
    <n v="0"/>
    <n v="0"/>
    <n v="0"/>
    <x v="1"/>
    <x v="0"/>
    <n v="0"/>
  </r>
  <r>
    <n v="61714300000000"/>
    <x v="0"/>
    <x v="5"/>
    <x v="1"/>
    <s v="CENTRO"/>
    <d v="2016-06-07T00:00:00"/>
    <d v="2016-06-07T00:00:00"/>
    <x v="4"/>
    <x v="94"/>
    <x v="5"/>
    <n v="0"/>
    <x v="1"/>
    <n v="0"/>
    <n v="0"/>
    <n v="0"/>
    <x v="1"/>
    <x v="0"/>
    <n v="0"/>
  </r>
  <r>
    <n v="59191600000000"/>
    <x v="0"/>
    <x v="68"/>
    <x v="4"/>
    <s v="SANTA MARTHA"/>
    <d v="2016-06-07T00:00:00"/>
    <d v="2016-06-07T00:00:00"/>
    <x v="4"/>
    <x v="94"/>
    <x v="5"/>
    <n v="1"/>
    <x v="1"/>
    <n v="0"/>
    <n v="0"/>
    <n v="0"/>
    <x v="1"/>
    <x v="0"/>
    <n v="0"/>
  </r>
  <r>
    <n v="1577980000000"/>
    <x v="0"/>
    <x v="77"/>
    <x v="4"/>
    <s v="JARDIM DA PENHA"/>
    <d v="2016-06-07T00:00:00"/>
    <d v="2016-06-07T00:00:00"/>
    <x v="4"/>
    <x v="94"/>
    <x v="5"/>
    <n v="0"/>
    <x v="1"/>
    <n v="0"/>
    <n v="0"/>
    <n v="0"/>
    <x v="1"/>
    <x v="0"/>
    <n v="0"/>
  </r>
  <r>
    <n v="31758300000000"/>
    <x v="0"/>
    <x v="20"/>
    <x v="0"/>
    <s v="RESISTENCIA"/>
    <d v="2016-06-07T00:00:00"/>
    <d v="2016-06-07T00:00:00"/>
    <x v="4"/>
    <x v="94"/>
    <x v="5"/>
    <n v="0"/>
    <x v="0"/>
    <n v="0"/>
    <n v="0"/>
    <n v="0"/>
    <x v="1"/>
    <x v="0"/>
    <n v="0"/>
  </r>
  <r>
    <n v="146284000000000"/>
    <x v="0"/>
    <x v="12"/>
    <x v="3"/>
    <s v="REDENCAO"/>
    <d v="2016-06-07T00:00:00"/>
    <d v="2016-06-07T00:00:00"/>
    <x v="4"/>
    <x v="94"/>
    <x v="5"/>
    <n v="1"/>
    <x v="0"/>
    <n v="1"/>
    <n v="0"/>
    <n v="0"/>
    <x v="1"/>
    <x v="0"/>
    <n v="0"/>
  </r>
  <r>
    <n v="749918000000000"/>
    <x v="0"/>
    <x v="19"/>
    <x v="2"/>
    <s v="REDENCAO"/>
    <d v="2016-06-07T00:00:00"/>
    <d v="2016-06-07T00:00:00"/>
    <x v="4"/>
    <x v="94"/>
    <x v="5"/>
    <n v="0"/>
    <x v="1"/>
    <n v="0"/>
    <n v="0"/>
    <n v="0"/>
    <x v="1"/>
    <x v="0"/>
    <n v="0"/>
  </r>
  <r>
    <n v="1512650000000"/>
    <x v="0"/>
    <x v="36"/>
    <x v="3"/>
    <s v="BOA VISTA"/>
    <d v="2016-06-07T00:00:00"/>
    <d v="2016-06-07T00:00:00"/>
    <x v="4"/>
    <x v="94"/>
    <x v="5"/>
    <n v="0"/>
    <x v="1"/>
    <n v="0"/>
    <n v="0"/>
    <n v="0"/>
    <x v="1"/>
    <x v="0"/>
    <n v="0"/>
  </r>
  <r>
    <n v="44116300000000"/>
    <x v="0"/>
    <x v="92"/>
    <x v="0"/>
    <s v="SANTO ANTONIO"/>
    <d v="2016-06-07T00:00:00"/>
    <d v="2016-06-08T00:00:00"/>
    <x v="1"/>
    <x v="93"/>
    <x v="4"/>
    <n v="0"/>
    <x v="0"/>
    <n v="0"/>
    <n v="0"/>
    <n v="0"/>
    <x v="1"/>
    <x v="0"/>
    <n v="0"/>
  </r>
  <r>
    <n v="483227000000000"/>
    <x v="0"/>
    <x v="70"/>
    <x v="5"/>
    <s v="SANTO ANDRE"/>
    <d v="2016-06-07T00:00:00"/>
    <d v="2016-06-07T00:00:00"/>
    <x v="4"/>
    <x v="94"/>
    <x v="5"/>
    <n v="0"/>
    <x v="1"/>
    <n v="0"/>
    <n v="0"/>
    <n v="0"/>
    <x v="1"/>
    <x v="0"/>
    <n v="0"/>
  </r>
  <r>
    <n v="5717580000000"/>
    <x v="0"/>
    <x v="45"/>
    <x v="1"/>
    <s v="CONQUISTA"/>
    <d v="2016-06-07T00:00:00"/>
    <d v="2016-06-07T00:00:00"/>
    <x v="4"/>
    <x v="94"/>
    <x v="5"/>
    <n v="0"/>
    <x v="1"/>
    <n v="0"/>
    <n v="0"/>
    <n v="0"/>
    <x v="1"/>
    <x v="0"/>
    <n v="0"/>
  </r>
  <r>
    <n v="4865240000000"/>
    <x v="1"/>
    <x v="47"/>
    <x v="4"/>
    <s v="CENTRO"/>
    <d v="2016-06-07T00:00:00"/>
    <d v="2016-06-07T00:00:00"/>
    <x v="4"/>
    <x v="94"/>
    <x v="5"/>
    <n v="0"/>
    <x v="1"/>
    <n v="0"/>
    <n v="0"/>
    <n v="0"/>
    <x v="1"/>
    <x v="0"/>
    <n v="0"/>
  </r>
  <r>
    <n v="785579000000"/>
    <x v="0"/>
    <x v="40"/>
    <x v="1"/>
    <s v="SANTA MARTHA"/>
    <d v="2016-06-07T00:00:00"/>
    <d v="2016-06-07T00:00:00"/>
    <x v="4"/>
    <x v="94"/>
    <x v="5"/>
    <n v="0"/>
    <x v="1"/>
    <n v="0"/>
    <n v="0"/>
    <n v="0"/>
    <x v="1"/>
    <x v="0"/>
    <n v="0"/>
  </r>
  <r>
    <n v="51881300000000"/>
    <x v="0"/>
    <x v="47"/>
    <x v="4"/>
    <s v="ANDORINHAS"/>
    <d v="2016-06-07T00:00:00"/>
    <d v="2016-06-07T00:00:00"/>
    <x v="4"/>
    <x v="94"/>
    <x v="5"/>
    <n v="0"/>
    <x v="1"/>
    <n v="0"/>
    <n v="0"/>
    <n v="0"/>
    <x v="1"/>
    <x v="0"/>
    <n v="0"/>
  </r>
  <r>
    <n v="741424000000"/>
    <x v="0"/>
    <x v="32"/>
    <x v="4"/>
    <s v="JARDIM CAMBURI"/>
    <d v="2016-06-07T00:00:00"/>
    <d v="2016-06-07T00:00:00"/>
    <x v="4"/>
    <x v="94"/>
    <x v="5"/>
    <n v="0"/>
    <x v="1"/>
    <n v="0"/>
    <n v="0"/>
    <n v="0"/>
    <x v="1"/>
    <x v="0"/>
    <n v="0"/>
  </r>
  <r>
    <n v="56785000000000"/>
    <x v="0"/>
    <x v="31"/>
    <x v="1"/>
    <s v="JARDIM CAMBURI"/>
    <d v="2016-06-08T00:00:00"/>
    <d v="2016-06-08T00:00:00"/>
    <x v="1"/>
    <x v="94"/>
    <x v="5"/>
    <n v="0"/>
    <x v="1"/>
    <n v="0"/>
    <n v="0"/>
    <n v="0"/>
    <x v="1"/>
    <x v="0"/>
    <n v="0"/>
  </r>
  <r>
    <n v="57768700000000"/>
    <x v="0"/>
    <x v="90"/>
    <x v="0"/>
    <s v="NOVA PALESTINA"/>
    <d v="2016-06-08T00:00:00"/>
    <d v="2016-06-08T00:00:00"/>
    <x v="1"/>
    <x v="94"/>
    <x v="5"/>
    <n v="0"/>
    <x v="0"/>
    <n v="1"/>
    <n v="0"/>
    <n v="0"/>
    <x v="1"/>
    <x v="0"/>
    <n v="0"/>
  </r>
  <r>
    <n v="935378000000000"/>
    <x v="0"/>
    <x v="38"/>
    <x v="4"/>
    <s v="MARUIPE"/>
    <d v="2016-06-08T00:00:00"/>
    <d v="2016-06-08T00:00:00"/>
    <x v="1"/>
    <x v="94"/>
    <x v="5"/>
    <n v="1"/>
    <x v="0"/>
    <n v="0"/>
    <n v="1"/>
    <n v="0"/>
    <x v="1"/>
    <x v="0"/>
    <n v="0"/>
  </r>
  <r>
    <n v="1783670000000"/>
    <x v="1"/>
    <x v="4"/>
    <x v="2"/>
    <s v="JUCUTUQUARA"/>
    <d v="2016-06-08T00:00:00"/>
    <d v="2016-06-08T00:00:00"/>
    <x v="1"/>
    <x v="94"/>
    <x v="5"/>
    <n v="0"/>
    <x v="1"/>
    <n v="0"/>
    <n v="0"/>
    <n v="0"/>
    <x v="1"/>
    <x v="0"/>
    <n v="0"/>
  </r>
  <r>
    <n v="725878000000000"/>
    <x v="0"/>
    <x v="49"/>
    <x v="4"/>
    <s v="REPUBLICA"/>
    <d v="2016-06-08T00:00:00"/>
    <d v="2016-06-08T00:00:00"/>
    <x v="1"/>
    <x v="94"/>
    <x v="5"/>
    <n v="0"/>
    <x v="1"/>
    <n v="1"/>
    <n v="0"/>
    <n v="0"/>
    <x v="1"/>
    <x v="0"/>
    <n v="0"/>
  </r>
  <r>
    <n v="32526900000000"/>
    <x v="0"/>
    <x v="74"/>
    <x v="1"/>
    <s v="DA PENHA"/>
    <d v="2016-06-08T00:00:00"/>
    <d v="2016-06-08T00:00:00"/>
    <x v="1"/>
    <x v="94"/>
    <x v="5"/>
    <n v="0"/>
    <x v="1"/>
    <n v="0"/>
    <n v="1"/>
    <n v="0"/>
    <x v="1"/>
    <x v="0"/>
    <n v="0"/>
  </r>
  <r>
    <n v="9157970000000"/>
    <x v="0"/>
    <x v="75"/>
    <x v="5"/>
    <s v="REDENCAO"/>
    <d v="2016-06-08T00:00:00"/>
    <d v="2016-06-08T00:00:00"/>
    <x v="1"/>
    <x v="94"/>
    <x v="5"/>
    <n v="0"/>
    <x v="1"/>
    <n v="0"/>
    <n v="0"/>
    <n v="0"/>
    <x v="1"/>
    <x v="0"/>
    <n v="0"/>
  </r>
  <r>
    <n v="8857760000000"/>
    <x v="0"/>
    <x v="10"/>
    <x v="4"/>
    <s v="CENTRO"/>
    <d v="2016-06-08T00:00:00"/>
    <d v="2016-06-08T00:00:00"/>
    <x v="1"/>
    <x v="94"/>
    <x v="5"/>
    <n v="0"/>
    <x v="1"/>
    <n v="0"/>
    <n v="0"/>
    <n v="0"/>
    <x v="1"/>
    <x v="0"/>
    <n v="0"/>
  </r>
  <r>
    <n v="7196470000000"/>
    <x v="0"/>
    <x v="65"/>
    <x v="2"/>
    <s v="BOA VISTA"/>
    <d v="2016-06-08T00:00:00"/>
    <d v="2016-06-08T00:00:00"/>
    <x v="1"/>
    <x v="94"/>
    <x v="5"/>
    <n v="0"/>
    <x v="1"/>
    <n v="0"/>
    <n v="0"/>
    <n v="0"/>
    <x v="1"/>
    <x v="0"/>
    <n v="0"/>
  </r>
  <r>
    <n v="5696180000000"/>
    <x v="0"/>
    <x v="39"/>
    <x v="4"/>
    <s v="CENTRO"/>
    <d v="2016-06-08T00:00:00"/>
    <d v="2016-06-08T00:00:00"/>
    <x v="1"/>
    <x v="94"/>
    <x v="5"/>
    <n v="0"/>
    <x v="1"/>
    <n v="0"/>
    <n v="0"/>
    <n v="0"/>
    <x v="1"/>
    <x v="0"/>
    <n v="0"/>
  </r>
  <r>
    <n v="833666000000000"/>
    <x v="1"/>
    <x v="54"/>
    <x v="1"/>
    <s v="SAO PEDRO"/>
    <d v="2016-06-08T00:00:00"/>
    <d v="2016-06-08T00:00:00"/>
    <x v="1"/>
    <x v="94"/>
    <x v="5"/>
    <n v="0"/>
    <x v="1"/>
    <n v="0"/>
    <n v="1"/>
    <n v="0"/>
    <x v="1"/>
    <x v="0"/>
    <n v="0"/>
  </r>
  <r>
    <n v="23758200000000"/>
    <x v="1"/>
    <x v="12"/>
    <x v="3"/>
    <s v="SANTA MARTHA"/>
    <d v="2016-06-08T00:00:00"/>
    <d v="2016-06-08T00:00:00"/>
    <x v="1"/>
    <x v="94"/>
    <x v="5"/>
    <n v="0"/>
    <x v="1"/>
    <n v="0"/>
    <n v="0"/>
    <n v="0"/>
    <x v="1"/>
    <x v="0"/>
    <n v="0"/>
  </r>
  <r>
    <n v="4951320000000"/>
    <x v="0"/>
    <x v="12"/>
    <x v="3"/>
    <s v="NOVA PALESTINA"/>
    <d v="2016-06-08T00:00:00"/>
    <d v="2016-06-08T00:00:00"/>
    <x v="1"/>
    <x v="94"/>
    <x v="5"/>
    <n v="0"/>
    <x v="0"/>
    <n v="1"/>
    <n v="0"/>
    <n v="0"/>
    <x v="1"/>
    <x v="0"/>
    <n v="0"/>
  </r>
  <r>
    <n v="591734000000000"/>
    <x v="1"/>
    <x v="4"/>
    <x v="2"/>
    <s v="MARIA ORTIZ"/>
    <d v="2016-06-08T00:00:00"/>
    <d v="2016-06-08T00:00:00"/>
    <x v="1"/>
    <x v="94"/>
    <x v="5"/>
    <n v="0"/>
    <x v="1"/>
    <n v="0"/>
    <n v="0"/>
    <n v="0"/>
    <x v="1"/>
    <x v="0"/>
    <n v="0"/>
  </r>
  <r>
    <n v="772147000000000"/>
    <x v="0"/>
    <x v="65"/>
    <x v="2"/>
    <s v="DA PENHA"/>
    <d v="2016-06-08T00:00:00"/>
    <d v="2016-06-08T00:00:00"/>
    <x v="1"/>
    <x v="94"/>
    <x v="5"/>
    <n v="0"/>
    <x v="1"/>
    <n v="0"/>
    <n v="0"/>
    <n v="0"/>
    <x v="1"/>
    <x v="0"/>
    <n v="0"/>
  </r>
  <r>
    <n v="224352000000000"/>
    <x v="1"/>
    <x v="59"/>
    <x v="2"/>
    <s v="DO MOSCOSO"/>
    <d v="2016-06-08T00:00:00"/>
    <d v="2016-06-08T00:00:00"/>
    <x v="1"/>
    <x v="94"/>
    <x v="5"/>
    <n v="0"/>
    <x v="1"/>
    <n v="0"/>
    <n v="0"/>
    <n v="0"/>
    <x v="1"/>
    <x v="0"/>
    <n v="0"/>
  </r>
  <r>
    <n v="52812300000000"/>
    <x v="1"/>
    <x v="55"/>
    <x v="2"/>
    <s v="JARDIM CAMBURI"/>
    <d v="2016-06-08T00:00:00"/>
    <d v="2016-06-08T00:00:00"/>
    <x v="1"/>
    <x v="94"/>
    <x v="5"/>
    <n v="0"/>
    <x v="1"/>
    <n v="0"/>
    <n v="0"/>
    <n v="0"/>
    <x v="1"/>
    <x v="1"/>
    <n v="1"/>
  </r>
  <r>
    <n v="817232000000000"/>
    <x v="0"/>
    <x v="5"/>
    <x v="1"/>
    <s v="JABOUR"/>
    <d v="2016-06-08T00:00:00"/>
    <d v="2016-06-08T00:00:00"/>
    <x v="1"/>
    <x v="94"/>
    <x v="5"/>
    <n v="0"/>
    <x v="1"/>
    <n v="0"/>
    <n v="0"/>
    <n v="0"/>
    <x v="1"/>
    <x v="0"/>
    <n v="0"/>
  </r>
  <r>
    <n v="356926000000"/>
    <x v="0"/>
    <x v="50"/>
    <x v="1"/>
    <s v="CRUZAMENTO"/>
    <d v="2016-06-08T00:00:00"/>
    <d v="2016-06-08T00:00:00"/>
    <x v="1"/>
    <x v="94"/>
    <x v="5"/>
    <n v="1"/>
    <x v="1"/>
    <n v="0"/>
    <n v="0"/>
    <n v="0"/>
    <x v="1"/>
    <x v="0"/>
    <n v="0"/>
  </r>
  <r>
    <n v="8586620000000"/>
    <x v="1"/>
    <x v="59"/>
    <x v="2"/>
    <s v="RESISTENCIA"/>
    <d v="2016-06-08T00:00:00"/>
    <d v="2016-06-08T00:00:00"/>
    <x v="1"/>
    <x v="94"/>
    <x v="5"/>
    <n v="0"/>
    <x v="1"/>
    <n v="0"/>
    <n v="0"/>
    <n v="0"/>
    <x v="1"/>
    <x v="0"/>
    <n v="0"/>
  </r>
  <r>
    <n v="9449450000000"/>
    <x v="0"/>
    <x v="38"/>
    <x v="4"/>
    <s v="CONSOLACAO"/>
    <d v="2016-06-08T00:00:00"/>
    <d v="2016-06-08T00:00:00"/>
    <x v="1"/>
    <x v="94"/>
    <x v="5"/>
    <n v="1"/>
    <x v="1"/>
    <n v="0"/>
    <n v="0"/>
    <n v="0"/>
    <x v="1"/>
    <x v="0"/>
    <n v="0"/>
  </r>
  <r>
    <n v="46784200000000"/>
    <x v="1"/>
    <x v="70"/>
    <x v="5"/>
    <s v="MARUIPE"/>
    <d v="2016-06-08T00:00:00"/>
    <d v="2016-06-08T00:00:00"/>
    <x v="1"/>
    <x v="94"/>
    <x v="5"/>
    <n v="0"/>
    <x v="1"/>
    <n v="0"/>
    <n v="0"/>
    <n v="0"/>
    <x v="1"/>
    <x v="1"/>
    <n v="1"/>
  </r>
  <r>
    <n v="994470000000000"/>
    <x v="1"/>
    <x v="87"/>
    <x v="1"/>
    <s v="BOA VISTA"/>
    <d v="2016-06-08T00:00:00"/>
    <d v="2016-06-08T00:00:00"/>
    <x v="1"/>
    <x v="94"/>
    <x v="5"/>
    <n v="0"/>
    <x v="1"/>
    <n v="0"/>
    <n v="0"/>
    <n v="0"/>
    <x v="1"/>
    <x v="0"/>
    <n v="0"/>
  </r>
  <r>
    <n v="866121000000000"/>
    <x v="0"/>
    <x v="43"/>
    <x v="2"/>
    <s v="RESISTENCIA"/>
    <d v="2016-06-08T00:00:00"/>
    <d v="2016-06-08T00:00:00"/>
    <x v="1"/>
    <x v="94"/>
    <x v="5"/>
    <n v="0"/>
    <x v="1"/>
    <n v="0"/>
    <n v="0"/>
    <n v="0"/>
    <x v="1"/>
    <x v="0"/>
    <n v="0"/>
  </r>
  <r>
    <n v="76969400000000"/>
    <x v="1"/>
    <x v="81"/>
    <x v="5"/>
    <s v="CARATOIRA"/>
    <d v="2016-06-08T00:00:00"/>
    <d v="2016-06-08T00:00:00"/>
    <x v="1"/>
    <x v="94"/>
    <x v="5"/>
    <n v="0"/>
    <x v="1"/>
    <n v="0"/>
    <n v="0"/>
    <n v="0"/>
    <x v="1"/>
    <x v="0"/>
    <n v="0"/>
  </r>
  <r>
    <n v="514249000000"/>
    <x v="1"/>
    <x v="77"/>
    <x v="4"/>
    <s v="MARIA ORTIZ"/>
    <d v="2016-06-08T00:00:00"/>
    <d v="2016-06-08T00:00:00"/>
    <x v="1"/>
    <x v="94"/>
    <x v="5"/>
    <n v="0"/>
    <x v="1"/>
    <n v="0"/>
    <n v="0"/>
    <n v="0"/>
    <x v="1"/>
    <x v="0"/>
    <n v="0"/>
  </r>
  <r>
    <n v="81972300000000"/>
    <x v="1"/>
    <x v="47"/>
    <x v="4"/>
    <s v="DA PENHA"/>
    <d v="2016-06-08T00:00:00"/>
    <d v="2016-06-08T00:00:00"/>
    <x v="1"/>
    <x v="94"/>
    <x v="5"/>
    <n v="0"/>
    <x v="1"/>
    <n v="0"/>
    <n v="0"/>
    <n v="0"/>
    <x v="1"/>
    <x v="0"/>
    <n v="0"/>
  </r>
  <r>
    <n v="7413570000000"/>
    <x v="1"/>
    <x v="43"/>
    <x v="2"/>
    <s v="SANTO ANDRE"/>
    <d v="2016-06-08T00:00:00"/>
    <d v="2016-06-08T00:00:00"/>
    <x v="1"/>
    <x v="94"/>
    <x v="5"/>
    <n v="0"/>
    <x v="1"/>
    <n v="0"/>
    <n v="0"/>
    <n v="0"/>
    <x v="1"/>
    <x v="0"/>
    <n v="0"/>
  </r>
  <r>
    <n v="921717000000000"/>
    <x v="1"/>
    <x v="66"/>
    <x v="2"/>
    <s v="BONFIM"/>
    <d v="2016-06-08T00:00:00"/>
    <d v="2016-06-08T00:00:00"/>
    <x v="1"/>
    <x v="94"/>
    <x v="5"/>
    <n v="0"/>
    <x v="1"/>
    <n v="0"/>
    <n v="0"/>
    <n v="0"/>
    <x v="1"/>
    <x v="0"/>
    <n v="0"/>
  </r>
  <r>
    <n v="8621960000000"/>
    <x v="1"/>
    <x v="19"/>
    <x v="2"/>
    <s v="JARDIM CAMBURI"/>
    <d v="2016-06-08T00:00:00"/>
    <d v="2016-06-08T00:00:00"/>
    <x v="1"/>
    <x v="94"/>
    <x v="5"/>
    <n v="0"/>
    <x v="1"/>
    <n v="0"/>
    <n v="0"/>
    <n v="0"/>
    <x v="1"/>
    <x v="1"/>
    <n v="1"/>
  </r>
  <r>
    <n v="23851200000000"/>
    <x v="0"/>
    <x v="16"/>
    <x v="1"/>
    <s v="JESUS DE NAZARETH"/>
    <d v="2016-06-08T00:00:00"/>
    <d v="2016-06-08T00:00:00"/>
    <x v="1"/>
    <x v="94"/>
    <x v="5"/>
    <n v="0"/>
    <x v="0"/>
    <n v="0"/>
    <n v="0"/>
    <n v="0"/>
    <x v="1"/>
    <x v="0"/>
    <n v="0"/>
  </r>
  <r>
    <n v="69621700000000"/>
    <x v="1"/>
    <x v="41"/>
    <x v="4"/>
    <s v="CONQUISTA"/>
    <d v="2016-06-08T00:00:00"/>
    <d v="2016-06-08T00:00:00"/>
    <x v="1"/>
    <x v="94"/>
    <x v="5"/>
    <n v="0"/>
    <x v="1"/>
    <n v="0"/>
    <n v="0"/>
    <n v="0"/>
    <x v="1"/>
    <x v="0"/>
    <n v="0"/>
  </r>
  <r>
    <n v="145798000000000"/>
    <x v="0"/>
    <x v="80"/>
    <x v="2"/>
    <s v="PRAIA DO SUA"/>
    <d v="2016-06-08T00:00:00"/>
    <d v="2016-06-08T00:00:00"/>
    <x v="1"/>
    <x v="94"/>
    <x v="5"/>
    <n v="1"/>
    <x v="1"/>
    <n v="0"/>
    <n v="0"/>
    <n v="0"/>
    <x v="1"/>
    <x v="0"/>
    <n v="0"/>
  </r>
  <r>
    <n v="9735330000000"/>
    <x v="0"/>
    <x v="49"/>
    <x v="4"/>
    <s v="ROMAO"/>
    <d v="2016-06-08T00:00:00"/>
    <d v="2016-06-08T00:00:00"/>
    <x v="1"/>
    <x v="94"/>
    <x v="5"/>
    <n v="1"/>
    <x v="1"/>
    <n v="0"/>
    <n v="0"/>
    <n v="0"/>
    <x v="1"/>
    <x v="0"/>
    <n v="0"/>
  </r>
  <r>
    <n v="669255000000000"/>
    <x v="0"/>
    <x v="41"/>
    <x v="4"/>
    <s v="ITARARE"/>
    <d v="2016-06-08T00:00:00"/>
    <d v="2016-06-08T00:00:00"/>
    <x v="1"/>
    <x v="94"/>
    <x v="5"/>
    <n v="0"/>
    <x v="1"/>
    <n v="0"/>
    <n v="0"/>
    <n v="0"/>
    <x v="1"/>
    <x v="0"/>
    <n v="0"/>
  </r>
  <r>
    <n v="655642000000000"/>
    <x v="0"/>
    <x v="74"/>
    <x v="1"/>
    <s v="SAO BENEDITO"/>
    <d v="2016-06-08T00:00:00"/>
    <d v="2016-06-08T00:00:00"/>
    <x v="1"/>
    <x v="94"/>
    <x v="5"/>
    <n v="1"/>
    <x v="1"/>
    <n v="0"/>
    <n v="0"/>
    <n v="0"/>
    <x v="1"/>
    <x v="0"/>
    <n v="0"/>
  </r>
  <r>
    <n v="99637671331"/>
    <x v="1"/>
    <x v="84"/>
    <x v="1"/>
    <s v="JABOUR"/>
    <d v="2016-06-08T00:00:00"/>
    <d v="2016-06-08T00:00:00"/>
    <x v="1"/>
    <x v="94"/>
    <x v="5"/>
    <n v="0"/>
    <x v="1"/>
    <n v="0"/>
    <n v="0"/>
    <n v="0"/>
    <x v="1"/>
    <x v="0"/>
    <n v="0"/>
  </r>
  <r>
    <n v="532864000000"/>
    <x v="0"/>
    <x v="66"/>
    <x v="2"/>
    <s v="JARDIM DA PENHA"/>
    <d v="2016-06-08T00:00:00"/>
    <d v="2016-06-08T00:00:00"/>
    <x v="1"/>
    <x v="94"/>
    <x v="5"/>
    <n v="0"/>
    <x v="1"/>
    <n v="0"/>
    <n v="0"/>
    <n v="0"/>
    <x v="1"/>
    <x v="0"/>
    <n v="0"/>
  </r>
  <r>
    <n v="8527990000000"/>
    <x v="0"/>
    <x v="28"/>
    <x v="3"/>
    <s v="REDENCAO"/>
    <d v="2016-06-08T00:00:00"/>
    <d v="2016-06-08T00:00:00"/>
    <x v="1"/>
    <x v="94"/>
    <x v="5"/>
    <n v="0"/>
    <x v="0"/>
    <n v="1"/>
    <n v="0"/>
    <n v="0"/>
    <x v="1"/>
    <x v="0"/>
    <n v="0"/>
  </r>
  <r>
    <n v="689167000000000"/>
    <x v="0"/>
    <x v="25"/>
    <x v="4"/>
    <s v="REDENCAO"/>
    <d v="2016-06-08T00:00:00"/>
    <d v="2016-06-08T00:00:00"/>
    <x v="1"/>
    <x v="94"/>
    <x v="5"/>
    <n v="0"/>
    <x v="1"/>
    <n v="0"/>
    <n v="0"/>
    <n v="0"/>
    <x v="1"/>
    <x v="0"/>
    <n v="0"/>
  </r>
  <r>
    <n v="55155900000000"/>
    <x v="1"/>
    <x v="77"/>
    <x v="4"/>
    <s v="JARDIM DA PENHA"/>
    <d v="2016-06-08T00:00:00"/>
    <d v="2016-06-08T00:00:00"/>
    <x v="1"/>
    <x v="94"/>
    <x v="5"/>
    <n v="0"/>
    <x v="1"/>
    <n v="0"/>
    <n v="0"/>
    <n v="0"/>
    <x v="1"/>
    <x v="0"/>
    <n v="0"/>
  </r>
  <r>
    <n v="87781828847"/>
    <x v="1"/>
    <x v="19"/>
    <x v="2"/>
    <s v="HORTO"/>
    <d v="2016-06-08T00:00:00"/>
    <d v="2016-06-08T00:00:00"/>
    <x v="1"/>
    <x v="94"/>
    <x v="5"/>
    <n v="0"/>
    <x v="1"/>
    <n v="0"/>
    <n v="0"/>
    <n v="0"/>
    <x v="1"/>
    <x v="0"/>
    <n v="0"/>
  </r>
  <r>
    <n v="495297000000000"/>
    <x v="1"/>
    <x v="25"/>
    <x v="4"/>
    <s v="MARIA ORTIZ"/>
    <d v="2016-06-08T00:00:00"/>
    <d v="2016-06-08T00:00:00"/>
    <x v="1"/>
    <x v="94"/>
    <x v="5"/>
    <n v="0"/>
    <x v="1"/>
    <n v="0"/>
    <n v="0"/>
    <n v="0"/>
    <x v="1"/>
    <x v="0"/>
    <n v="0"/>
  </r>
  <r>
    <n v="145553000000000"/>
    <x v="1"/>
    <x v="16"/>
    <x v="1"/>
    <s v="JARDIM DA PENHA"/>
    <d v="2016-06-08T00:00:00"/>
    <d v="2016-06-08T00:00:00"/>
    <x v="1"/>
    <x v="94"/>
    <x v="5"/>
    <n v="0"/>
    <x v="1"/>
    <n v="0"/>
    <n v="0"/>
    <n v="0"/>
    <x v="1"/>
    <x v="0"/>
    <n v="0"/>
  </r>
  <r>
    <n v="355689000000"/>
    <x v="0"/>
    <x v="42"/>
    <x v="3"/>
    <s v="JABOUR"/>
    <d v="2016-06-08T00:00:00"/>
    <d v="2016-06-08T00:00:00"/>
    <x v="1"/>
    <x v="94"/>
    <x v="5"/>
    <n v="0"/>
    <x v="0"/>
    <n v="0"/>
    <n v="0"/>
    <n v="0"/>
    <x v="1"/>
    <x v="0"/>
    <n v="0"/>
  </r>
  <r>
    <n v="151548000000000"/>
    <x v="1"/>
    <x v="57"/>
    <x v="2"/>
    <s v="ITARARE"/>
    <d v="2016-06-08T00:00:00"/>
    <d v="2016-06-08T00:00:00"/>
    <x v="1"/>
    <x v="94"/>
    <x v="5"/>
    <n v="0"/>
    <x v="1"/>
    <n v="0"/>
    <n v="0"/>
    <n v="0"/>
    <x v="1"/>
    <x v="0"/>
    <n v="0"/>
  </r>
  <r>
    <n v="523976000000000"/>
    <x v="0"/>
    <x v="77"/>
    <x v="4"/>
    <s v="BONFIM"/>
    <d v="2016-06-08T00:00:00"/>
    <d v="2016-06-08T00:00:00"/>
    <x v="1"/>
    <x v="94"/>
    <x v="5"/>
    <n v="0"/>
    <x v="1"/>
    <n v="0"/>
    <n v="0"/>
    <n v="0"/>
    <x v="1"/>
    <x v="0"/>
    <n v="0"/>
  </r>
  <r>
    <n v="58164700000000"/>
    <x v="0"/>
    <x v="46"/>
    <x v="2"/>
    <s v="FORTE SAO JOAO"/>
    <d v="2016-06-08T00:00:00"/>
    <d v="2016-06-08T00:00:00"/>
    <x v="1"/>
    <x v="94"/>
    <x v="5"/>
    <n v="0"/>
    <x v="1"/>
    <n v="0"/>
    <n v="0"/>
    <n v="0"/>
    <x v="1"/>
    <x v="0"/>
    <n v="0"/>
  </r>
  <r>
    <n v="631833000000000"/>
    <x v="0"/>
    <x v="32"/>
    <x v="4"/>
    <s v="MARIA ORTIZ"/>
    <d v="2016-06-08T00:00:00"/>
    <d v="2016-06-08T00:00:00"/>
    <x v="1"/>
    <x v="94"/>
    <x v="5"/>
    <n v="0"/>
    <x v="1"/>
    <n v="0"/>
    <n v="0"/>
    <n v="0"/>
    <x v="1"/>
    <x v="0"/>
    <n v="0"/>
  </r>
  <r>
    <n v="134917000000"/>
    <x v="0"/>
    <x v="52"/>
    <x v="2"/>
    <s v="MARIA ORTIZ"/>
    <d v="2016-06-08T00:00:00"/>
    <d v="2016-06-08T00:00:00"/>
    <x v="1"/>
    <x v="94"/>
    <x v="5"/>
    <n v="0"/>
    <x v="1"/>
    <n v="0"/>
    <n v="0"/>
    <n v="0"/>
    <x v="1"/>
    <x v="0"/>
    <n v="0"/>
  </r>
  <r>
    <n v="891543000000000"/>
    <x v="1"/>
    <x v="2"/>
    <x v="1"/>
    <s v="JARDIM DA PENHA"/>
    <d v="2016-06-08T00:00:00"/>
    <d v="2016-06-08T00:00:00"/>
    <x v="1"/>
    <x v="94"/>
    <x v="5"/>
    <n v="0"/>
    <x v="1"/>
    <n v="0"/>
    <n v="0"/>
    <n v="0"/>
    <x v="1"/>
    <x v="0"/>
    <n v="0"/>
  </r>
  <r>
    <n v="235676000000000"/>
    <x v="0"/>
    <x v="63"/>
    <x v="0"/>
    <s v="SOLON BORGES"/>
    <d v="2016-06-08T00:00:00"/>
    <d v="2016-06-08T00:00:00"/>
    <x v="1"/>
    <x v="94"/>
    <x v="5"/>
    <n v="0"/>
    <x v="1"/>
    <n v="0"/>
    <n v="0"/>
    <n v="0"/>
    <x v="1"/>
    <x v="0"/>
    <n v="0"/>
  </r>
  <r>
    <n v="964399000000000"/>
    <x v="1"/>
    <x v="75"/>
    <x v="5"/>
    <s v="JARDIM CAMBURI"/>
    <d v="2016-06-08T00:00:00"/>
    <d v="2016-06-08T00:00:00"/>
    <x v="1"/>
    <x v="94"/>
    <x v="5"/>
    <n v="0"/>
    <x v="1"/>
    <n v="0"/>
    <n v="0"/>
    <n v="0"/>
    <x v="1"/>
    <x v="0"/>
    <n v="0"/>
  </r>
  <r>
    <n v="191422000000000"/>
    <x v="0"/>
    <x v="68"/>
    <x v="4"/>
    <s v="REDENCAO"/>
    <d v="2016-06-08T00:00:00"/>
    <d v="2016-06-08T00:00:00"/>
    <x v="1"/>
    <x v="94"/>
    <x v="5"/>
    <n v="0"/>
    <x v="1"/>
    <n v="0"/>
    <n v="0"/>
    <n v="0"/>
    <x v="1"/>
    <x v="0"/>
    <n v="0"/>
  </r>
  <r>
    <n v="68885600000000"/>
    <x v="0"/>
    <x v="45"/>
    <x v="1"/>
    <s v="MARUIPE"/>
    <d v="2016-06-08T00:00:00"/>
    <d v="2016-06-08T00:00:00"/>
    <x v="1"/>
    <x v="94"/>
    <x v="5"/>
    <n v="0"/>
    <x v="1"/>
    <n v="0"/>
    <n v="0"/>
    <n v="0"/>
    <x v="1"/>
    <x v="0"/>
    <n v="0"/>
  </r>
  <r>
    <n v="871883000000000"/>
    <x v="0"/>
    <x v="24"/>
    <x v="1"/>
    <s v="JARDIM DA PENHA"/>
    <d v="2016-06-08T00:00:00"/>
    <d v="2016-06-08T00:00:00"/>
    <x v="1"/>
    <x v="94"/>
    <x v="5"/>
    <n v="0"/>
    <x v="1"/>
    <n v="0"/>
    <n v="0"/>
    <n v="0"/>
    <x v="1"/>
    <x v="0"/>
    <n v="0"/>
  </r>
  <r>
    <n v="88575812353"/>
    <x v="1"/>
    <x v="43"/>
    <x v="2"/>
    <s v="MARIA ORTIZ"/>
    <d v="2016-06-08T00:00:00"/>
    <d v="2016-06-08T00:00:00"/>
    <x v="1"/>
    <x v="94"/>
    <x v="5"/>
    <n v="0"/>
    <x v="1"/>
    <n v="0"/>
    <n v="0"/>
    <n v="0"/>
    <x v="1"/>
    <x v="0"/>
    <n v="0"/>
  </r>
  <r>
    <n v="57635800000000"/>
    <x v="0"/>
    <x v="16"/>
    <x v="1"/>
    <s v="JOANA D ARC"/>
    <d v="2016-06-08T00:00:00"/>
    <d v="2016-06-08T00:00:00"/>
    <x v="1"/>
    <x v="94"/>
    <x v="5"/>
    <n v="0"/>
    <x v="0"/>
    <n v="0"/>
    <n v="0"/>
    <n v="0"/>
    <x v="1"/>
    <x v="0"/>
    <n v="0"/>
  </r>
  <r>
    <n v="887441000000000"/>
    <x v="0"/>
    <x v="68"/>
    <x v="4"/>
    <s v="CARATOIRA"/>
    <d v="2016-06-08T00:00:00"/>
    <d v="2016-06-08T00:00:00"/>
    <x v="1"/>
    <x v="94"/>
    <x v="5"/>
    <n v="0"/>
    <x v="1"/>
    <n v="0"/>
    <n v="0"/>
    <n v="0"/>
    <x v="1"/>
    <x v="0"/>
    <n v="0"/>
  </r>
  <r>
    <n v="9258420000000"/>
    <x v="0"/>
    <x v="20"/>
    <x v="0"/>
    <s v="RESISTENCIA"/>
    <d v="2016-06-08T00:00:00"/>
    <d v="2016-06-08T00:00:00"/>
    <x v="1"/>
    <x v="94"/>
    <x v="5"/>
    <n v="0"/>
    <x v="0"/>
    <n v="0"/>
    <n v="0"/>
    <n v="0"/>
    <x v="1"/>
    <x v="0"/>
    <n v="0"/>
  </r>
  <r>
    <n v="89993200000000"/>
    <x v="0"/>
    <x v="4"/>
    <x v="2"/>
    <s v="ILHA DO PRINCIPE"/>
    <d v="2016-06-08T00:00:00"/>
    <d v="2016-06-08T00:00:00"/>
    <x v="1"/>
    <x v="94"/>
    <x v="5"/>
    <n v="0"/>
    <x v="1"/>
    <n v="0"/>
    <n v="0"/>
    <n v="0"/>
    <x v="1"/>
    <x v="0"/>
    <n v="0"/>
  </r>
  <r>
    <n v="72239200000000"/>
    <x v="0"/>
    <x v="68"/>
    <x v="4"/>
    <s v="ANDORINHAS"/>
    <d v="2016-06-08T00:00:00"/>
    <d v="2016-06-08T00:00:00"/>
    <x v="1"/>
    <x v="94"/>
    <x v="5"/>
    <n v="0"/>
    <x v="1"/>
    <n v="0"/>
    <n v="0"/>
    <n v="0"/>
    <x v="1"/>
    <x v="0"/>
    <n v="0"/>
  </r>
  <r>
    <n v="88287300000000"/>
    <x v="0"/>
    <x v="76"/>
    <x v="0"/>
    <s v="JARDIM DA PENHA"/>
    <d v="2016-06-08T00:00:00"/>
    <d v="2016-06-08T00:00:00"/>
    <x v="1"/>
    <x v="94"/>
    <x v="5"/>
    <n v="0"/>
    <x v="0"/>
    <n v="1"/>
    <n v="0"/>
    <n v="0"/>
    <x v="1"/>
    <x v="0"/>
    <n v="0"/>
  </r>
  <r>
    <n v="38313200000000"/>
    <x v="1"/>
    <x v="68"/>
    <x v="4"/>
    <s v="DO MOSCOSO"/>
    <d v="2016-06-08T00:00:00"/>
    <d v="2016-06-08T00:00:00"/>
    <x v="1"/>
    <x v="94"/>
    <x v="5"/>
    <n v="0"/>
    <x v="1"/>
    <n v="0"/>
    <n v="0"/>
    <n v="0"/>
    <x v="1"/>
    <x v="0"/>
    <n v="0"/>
  </r>
  <r>
    <n v="159927000000000"/>
    <x v="0"/>
    <x v="46"/>
    <x v="2"/>
    <s v="MARUIPE"/>
    <d v="2016-06-08T00:00:00"/>
    <d v="2016-06-08T00:00:00"/>
    <x v="1"/>
    <x v="94"/>
    <x v="5"/>
    <n v="0"/>
    <x v="1"/>
    <n v="0"/>
    <n v="0"/>
    <n v="0"/>
    <x v="1"/>
    <x v="0"/>
    <n v="0"/>
  </r>
  <r>
    <n v="8115850000000"/>
    <x v="1"/>
    <x v="21"/>
    <x v="1"/>
    <s v="BONFIM"/>
    <d v="2016-06-08T00:00:00"/>
    <d v="2016-06-08T00:00:00"/>
    <x v="1"/>
    <x v="94"/>
    <x v="5"/>
    <n v="0"/>
    <x v="1"/>
    <n v="0"/>
    <n v="0"/>
    <n v="0"/>
    <x v="1"/>
    <x v="1"/>
    <n v="1"/>
  </r>
  <r>
    <n v="656198000000"/>
    <x v="0"/>
    <x v="63"/>
    <x v="0"/>
    <s v="JOANA D ARC"/>
    <d v="2016-06-08T00:00:00"/>
    <d v="2016-06-08T00:00:00"/>
    <x v="1"/>
    <x v="94"/>
    <x v="5"/>
    <n v="0"/>
    <x v="0"/>
    <n v="0"/>
    <n v="0"/>
    <n v="0"/>
    <x v="1"/>
    <x v="0"/>
    <n v="0"/>
  </r>
  <r>
    <n v="978426000000"/>
    <x v="0"/>
    <x v="30"/>
    <x v="3"/>
    <s v="JARDIM CAMBURI"/>
    <d v="2016-06-08T00:00:00"/>
    <d v="2016-06-08T00:00:00"/>
    <x v="1"/>
    <x v="94"/>
    <x v="5"/>
    <n v="0"/>
    <x v="1"/>
    <n v="0"/>
    <n v="0"/>
    <n v="0"/>
    <x v="1"/>
    <x v="0"/>
    <n v="0"/>
  </r>
  <r>
    <n v="325262000000000"/>
    <x v="1"/>
    <x v="42"/>
    <x v="3"/>
    <s v="MARIA ORTIZ"/>
    <d v="2016-06-08T00:00:00"/>
    <d v="2016-06-08T00:00:00"/>
    <x v="1"/>
    <x v="94"/>
    <x v="5"/>
    <n v="0"/>
    <x v="1"/>
    <n v="0"/>
    <n v="0"/>
    <n v="0"/>
    <x v="1"/>
    <x v="0"/>
    <n v="0"/>
  </r>
  <r>
    <n v="295341000000000"/>
    <x v="0"/>
    <x v="40"/>
    <x v="1"/>
    <s v="ROMAO"/>
    <d v="2016-06-08T00:00:00"/>
    <d v="2016-06-08T00:00:00"/>
    <x v="1"/>
    <x v="94"/>
    <x v="5"/>
    <n v="0"/>
    <x v="1"/>
    <n v="0"/>
    <n v="1"/>
    <n v="0"/>
    <x v="1"/>
    <x v="0"/>
    <n v="0"/>
  </r>
  <r>
    <n v="226774000000"/>
    <x v="1"/>
    <x v="28"/>
    <x v="3"/>
    <s v="DO QUADRO"/>
    <d v="2016-06-08T00:00:00"/>
    <d v="2016-06-08T00:00:00"/>
    <x v="1"/>
    <x v="94"/>
    <x v="5"/>
    <n v="0"/>
    <x v="0"/>
    <n v="0"/>
    <n v="0"/>
    <n v="0"/>
    <x v="1"/>
    <x v="0"/>
    <n v="0"/>
  </r>
  <r>
    <n v="754178000000"/>
    <x v="1"/>
    <x v="32"/>
    <x v="4"/>
    <s v="RESISTENCIA"/>
    <d v="2016-06-08T00:00:00"/>
    <d v="2016-06-08T00:00:00"/>
    <x v="1"/>
    <x v="94"/>
    <x v="5"/>
    <n v="0"/>
    <x v="1"/>
    <n v="0"/>
    <n v="0"/>
    <n v="0"/>
    <x v="1"/>
    <x v="0"/>
    <n v="0"/>
  </r>
  <r>
    <n v="13364900000000"/>
    <x v="1"/>
    <x v="36"/>
    <x v="3"/>
    <s v="MARIA ORTIZ"/>
    <d v="2016-06-08T00:00:00"/>
    <d v="2016-06-08T00:00:00"/>
    <x v="1"/>
    <x v="94"/>
    <x v="5"/>
    <n v="0"/>
    <x v="1"/>
    <n v="0"/>
    <n v="0"/>
    <n v="0"/>
    <x v="1"/>
    <x v="0"/>
    <n v="0"/>
  </r>
  <r>
    <n v="986163000000000"/>
    <x v="0"/>
    <x v="45"/>
    <x v="1"/>
    <s v="SANTA MARTHA"/>
    <d v="2016-06-08T00:00:00"/>
    <d v="2016-06-08T00:00:00"/>
    <x v="1"/>
    <x v="94"/>
    <x v="5"/>
    <n v="0"/>
    <x v="1"/>
    <n v="0"/>
    <n v="1"/>
    <n v="0"/>
    <x v="1"/>
    <x v="0"/>
    <n v="0"/>
  </r>
  <r>
    <n v="7379820000000"/>
    <x v="0"/>
    <x v="71"/>
    <x v="4"/>
    <s v="SANTA MARTHA"/>
    <d v="2016-06-08T00:00:00"/>
    <d v="2016-06-08T00:00:00"/>
    <x v="1"/>
    <x v="94"/>
    <x v="5"/>
    <n v="0"/>
    <x v="1"/>
    <n v="0"/>
    <n v="1"/>
    <n v="0"/>
    <x v="1"/>
    <x v="0"/>
    <n v="0"/>
  </r>
  <r>
    <n v="257172000000"/>
    <x v="1"/>
    <x v="66"/>
    <x v="2"/>
    <s v="JARDIM DA PENHA"/>
    <d v="2016-06-08T00:00:00"/>
    <d v="2016-06-08T00:00:00"/>
    <x v="1"/>
    <x v="94"/>
    <x v="5"/>
    <n v="0"/>
    <x v="1"/>
    <n v="0"/>
    <n v="0"/>
    <n v="0"/>
    <x v="1"/>
    <x v="0"/>
    <n v="0"/>
  </r>
  <r>
    <n v="8714390000000"/>
    <x v="0"/>
    <x v="16"/>
    <x v="1"/>
    <s v="ANTONIO HONORIO"/>
    <d v="2016-06-08T00:00:00"/>
    <d v="2016-06-08T00:00:00"/>
    <x v="1"/>
    <x v="94"/>
    <x v="5"/>
    <n v="0"/>
    <x v="1"/>
    <n v="0"/>
    <n v="0"/>
    <n v="0"/>
    <x v="1"/>
    <x v="0"/>
    <n v="0"/>
  </r>
  <r>
    <n v="92244400000000"/>
    <x v="1"/>
    <x v="87"/>
    <x v="1"/>
    <s v="GRANDE VITORIA"/>
    <d v="2016-06-08T00:00:00"/>
    <d v="2016-06-08T00:00:00"/>
    <x v="1"/>
    <x v="94"/>
    <x v="5"/>
    <n v="0"/>
    <x v="1"/>
    <n v="0"/>
    <n v="0"/>
    <n v="0"/>
    <x v="1"/>
    <x v="0"/>
    <n v="0"/>
  </r>
  <r>
    <n v="3352570000000"/>
    <x v="0"/>
    <x v="71"/>
    <x v="4"/>
    <s v="ITARARE"/>
    <d v="2016-06-08T00:00:00"/>
    <d v="2016-06-08T00:00:00"/>
    <x v="1"/>
    <x v="94"/>
    <x v="5"/>
    <n v="0"/>
    <x v="1"/>
    <n v="0"/>
    <n v="0"/>
    <n v="0"/>
    <x v="1"/>
    <x v="0"/>
    <n v="0"/>
  </r>
  <r>
    <n v="4346760000000"/>
    <x v="1"/>
    <x v="70"/>
    <x v="5"/>
    <s v="PRAIA DO SUA"/>
    <d v="2016-06-08T00:00:00"/>
    <d v="2016-06-08T00:00:00"/>
    <x v="1"/>
    <x v="94"/>
    <x v="5"/>
    <n v="0"/>
    <x v="1"/>
    <n v="0"/>
    <n v="0"/>
    <n v="0"/>
    <x v="1"/>
    <x v="0"/>
    <n v="0"/>
  </r>
  <r>
    <n v="6555230000000"/>
    <x v="1"/>
    <x v="19"/>
    <x v="2"/>
    <s v="BELA VISTA"/>
    <d v="2016-06-08T00:00:00"/>
    <d v="2016-06-08T00:00:00"/>
    <x v="1"/>
    <x v="94"/>
    <x v="5"/>
    <n v="0"/>
    <x v="1"/>
    <n v="0"/>
    <n v="0"/>
    <n v="0"/>
    <x v="1"/>
    <x v="0"/>
    <n v="0"/>
  </r>
  <r>
    <n v="66388600000000"/>
    <x v="0"/>
    <x v="79"/>
    <x v="5"/>
    <s v="RESISTENCIA"/>
    <d v="2016-06-08T00:00:00"/>
    <d v="2016-06-08T00:00:00"/>
    <x v="1"/>
    <x v="94"/>
    <x v="5"/>
    <n v="0"/>
    <x v="1"/>
    <n v="0"/>
    <n v="0"/>
    <n v="0"/>
    <x v="1"/>
    <x v="0"/>
    <n v="0"/>
  </r>
  <r>
    <n v="23792400000000"/>
    <x v="0"/>
    <x v="46"/>
    <x v="2"/>
    <s v="JARDIM CAMBURI"/>
    <d v="2016-06-08T00:00:00"/>
    <d v="2016-06-08T00:00:00"/>
    <x v="1"/>
    <x v="94"/>
    <x v="5"/>
    <n v="0"/>
    <x v="1"/>
    <n v="0"/>
    <n v="0"/>
    <n v="0"/>
    <x v="1"/>
    <x v="0"/>
    <n v="0"/>
  </r>
  <r>
    <n v="979654000000"/>
    <x v="0"/>
    <x v="79"/>
    <x v="5"/>
    <s v="ANDORINHAS"/>
    <d v="2016-06-08T00:00:00"/>
    <d v="2016-06-08T00:00:00"/>
    <x v="1"/>
    <x v="94"/>
    <x v="5"/>
    <n v="0"/>
    <x v="1"/>
    <n v="0"/>
    <n v="0"/>
    <n v="0"/>
    <x v="1"/>
    <x v="0"/>
    <n v="0"/>
  </r>
  <r>
    <n v="9253480000000"/>
    <x v="0"/>
    <x v="79"/>
    <x v="5"/>
    <s v="ILHA DO PRINCIPE"/>
    <d v="2016-06-08T00:00:00"/>
    <d v="2016-06-08T00:00:00"/>
    <x v="1"/>
    <x v="94"/>
    <x v="5"/>
    <n v="1"/>
    <x v="1"/>
    <n v="0"/>
    <n v="0"/>
    <n v="0"/>
    <x v="1"/>
    <x v="0"/>
    <n v="0"/>
  </r>
  <r>
    <n v="784324000000000"/>
    <x v="0"/>
    <x v="81"/>
    <x v="5"/>
    <s v="SAO PEDRO"/>
    <d v="2016-06-08T00:00:00"/>
    <d v="2016-06-08T00:00:00"/>
    <x v="1"/>
    <x v="94"/>
    <x v="5"/>
    <n v="0"/>
    <x v="1"/>
    <n v="0"/>
    <n v="0"/>
    <n v="0"/>
    <x v="1"/>
    <x v="0"/>
    <n v="0"/>
  </r>
  <r>
    <n v="638126000000000"/>
    <x v="0"/>
    <x v="14"/>
    <x v="3"/>
    <s v="RESISTENCIA"/>
    <d v="2016-06-08T00:00:00"/>
    <d v="2016-06-08T00:00:00"/>
    <x v="1"/>
    <x v="94"/>
    <x v="5"/>
    <n v="0"/>
    <x v="1"/>
    <n v="0"/>
    <n v="0"/>
    <n v="0"/>
    <x v="1"/>
    <x v="0"/>
    <n v="0"/>
  </r>
  <r>
    <n v="56927200000000"/>
    <x v="0"/>
    <x v="61"/>
    <x v="1"/>
    <s v="FONTE GRANDE"/>
    <d v="2016-06-08T00:00:00"/>
    <d v="2016-06-08T00:00:00"/>
    <x v="1"/>
    <x v="94"/>
    <x v="5"/>
    <n v="0"/>
    <x v="1"/>
    <n v="0"/>
    <n v="0"/>
    <n v="1"/>
    <x v="1"/>
    <x v="0"/>
    <n v="0"/>
  </r>
  <r>
    <n v="44852900000000"/>
    <x v="0"/>
    <x v="44"/>
    <x v="4"/>
    <s v="SANTA TEREZA"/>
    <d v="2016-06-08T00:00:00"/>
    <d v="2016-06-08T00:00:00"/>
    <x v="1"/>
    <x v="94"/>
    <x v="5"/>
    <n v="0"/>
    <x v="1"/>
    <n v="0"/>
    <n v="0"/>
    <n v="0"/>
    <x v="1"/>
    <x v="0"/>
    <n v="0"/>
  </r>
  <r>
    <n v="13364900000000"/>
    <x v="1"/>
    <x v="36"/>
    <x v="3"/>
    <s v="MARIA ORTIZ"/>
    <d v="2016-06-08T00:00:00"/>
    <d v="2016-06-08T00:00:00"/>
    <x v="1"/>
    <x v="94"/>
    <x v="5"/>
    <n v="0"/>
    <x v="1"/>
    <n v="0"/>
    <n v="0"/>
    <n v="0"/>
    <x v="1"/>
    <x v="0"/>
    <n v="0"/>
  </r>
  <r>
    <n v="1483460000000"/>
    <x v="0"/>
    <x v="31"/>
    <x v="1"/>
    <s v="MARIA ORTIZ"/>
    <d v="2016-06-08T00:00:00"/>
    <d v="2016-06-08T00:00:00"/>
    <x v="1"/>
    <x v="94"/>
    <x v="5"/>
    <n v="0"/>
    <x v="1"/>
    <n v="0"/>
    <n v="0"/>
    <n v="0"/>
    <x v="1"/>
    <x v="0"/>
    <n v="0"/>
  </r>
  <r>
    <n v="43836500000000"/>
    <x v="0"/>
    <x v="68"/>
    <x v="4"/>
    <s v="DO CABRAL"/>
    <d v="2016-06-08T00:00:00"/>
    <d v="2016-06-08T00:00:00"/>
    <x v="1"/>
    <x v="94"/>
    <x v="5"/>
    <n v="0"/>
    <x v="1"/>
    <n v="0"/>
    <n v="0"/>
    <n v="0"/>
    <x v="1"/>
    <x v="0"/>
    <n v="0"/>
  </r>
  <r>
    <n v="6688980000000"/>
    <x v="0"/>
    <x v="89"/>
    <x v="0"/>
    <s v="SANTA CLARA"/>
    <d v="2016-06-08T00:00:00"/>
    <d v="2016-06-08T00:00:00"/>
    <x v="1"/>
    <x v="94"/>
    <x v="5"/>
    <n v="0"/>
    <x v="0"/>
    <n v="0"/>
    <n v="0"/>
    <n v="0"/>
    <x v="1"/>
    <x v="0"/>
    <n v="0"/>
  </r>
  <r>
    <n v="12295925299"/>
    <x v="1"/>
    <x v="72"/>
    <x v="5"/>
    <s v="SANTOS REIS"/>
    <d v="2016-06-08T00:00:00"/>
    <d v="2016-06-08T00:00:00"/>
    <x v="1"/>
    <x v="94"/>
    <x v="5"/>
    <n v="1"/>
    <x v="1"/>
    <n v="0"/>
    <n v="0"/>
    <n v="0"/>
    <x v="1"/>
    <x v="0"/>
    <n v="0"/>
  </r>
  <r>
    <n v="99572600000000"/>
    <x v="1"/>
    <x v="25"/>
    <x v="4"/>
    <s v="SAO PEDRO"/>
    <d v="2016-06-08T00:00:00"/>
    <d v="2016-06-08T00:00:00"/>
    <x v="1"/>
    <x v="94"/>
    <x v="5"/>
    <n v="0"/>
    <x v="1"/>
    <n v="0"/>
    <n v="0"/>
    <n v="0"/>
    <x v="1"/>
    <x v="0"/>
    <n v="0"/>
  </r>
  <r>
    <n v="449367000000"/>
    <x v="1"/>
    <x v="41"/>
    <x v="4"/>
    <s v="ENSEADA DO SUA"/>
    <d v="2016-06-08T00:00:00"/>
    <d v="2016-06-08T00:00:00"/>
    <x v="1"/>
    <x v="94"/>
    <x v="5"/>
    <n v="0"/>
    <x v="1"/>
    <n v="0"/>
    <n v="0"/>
    <n v="0"/>
    <x v="1"/>
    <x v="0"/>
    <n v="0"/>
  </r>
  <r>
    <n v="64654300000000"/>
    <x v="1"/>
    <x v="50"/>
    <x v="1"/>
    <s v="GURIGICA"/>
    <d v="2016-06-08T00:00:00"/>
    <d v="2016-06-08T00:00:00"/>
    <x v="1"/>
    <x v="94"/>
    <x v="5"/>
    <n v="0"/>
    <x v="1"/>
    <n v="0"/>
    <n v="0"/>
    <n v="0"/>
    <x v="1"/>
    <x v="0"/>
    <n v="0"/>
  </r>
  <r>
    <n v="88258400000000"/>
    <x v="1"/>
    <x v="42"/>
    <x v="3"/>
    <s v="SANTO ANDRE"/>
    <d v="2016-06-08T00:00:00"/>
    <d v="2016-06-08T00:00:00"/>
    <x v="1"/>
    <x v="94"/>
    <x v="5"/>
    <n v="0"/>
    <x v="0"/>
    <n v="0"/>
    <n v="1"/>
    <n v="0"/>
    <x v="1"/>
    <x v="0"/>
    <n v="0"/>
  </r>
  <r>
    <n v="88685100000000"/>
    <x v="0"/>
    <x v="64"/>
    <x v="3"/>
    <s v="JARDIM CAMBURI"/>
    <d v="2016-06-08T00:00:00"/>
    <d v="2016-06-08T00:00:00"/>
    <x v="1"/>
    <x v="94"/>
    <x v="5"/>
    <n v="0"/>
    <x v="1"/>
    <n v="1"/>
    <n v="0"/>
    <n v="0"/>
    <x v="1"/>
    <x v="0"/>
    <n v="0"/>
  </r>
  <r>
    <n v="33564500000000"/>
    <x v="0"/>
    <x v="69"/>
    <x v="4"/>
    <s v="BONFIM"/>
    <d v="2016-06-08T00:00:00"/>
    <d v="2016-06-08T00:00:00"/>
    <x v="1"/>
    <x v="94"/>
    <x v="5"/>
    <n v="0"/>
    <x v="1"/>
    <n v="0"/>
    <n v="0"/>
    <n v="0"/>
    <x v="1"/>
    <x v="0"/>
    <n v="0"/>
  </r>
  <r>
    <n v="37756400000000"/>
    <x v="0"/>
    <x v="64"/>
    <x v="3"/>
    <s v="TABUAZEIRO"/>
    <d v="2016-06-08T00:00:00"/>
    <d v="2016-06-08T00:00:00"/>
    <x v="1"/>
    <x v="94"/>
    <x v="5"/>
    <n v="0"/>
    <x v="0"/>
    <n v="0"/>
    <n v="0"/>
    <n v="0"/>
    <x v="1"/>
    <x v="0"/>
    <n v="0"/>
  </r>
  <r>
    <n v="75797500000000"/>
    <x v="1"/>
    <x v="24"/>
    <x v="1"/>
    <s v="JARDIM CAMBURI"/>
    <d v="2016-06-08T00:00:00"/>
    <d v="2016-06-08T00:00:00"/>
    <x v="1"/>
    <x v="94"/>
    <x v="5"/>
    <n v="0"/>
    <x v="1"/>
    <n v="0"/>
    <n v="0"/>
    <n v="0"/>
    <x v="1"/>
    <x v="0"/>
    <n v="0"/>
  </r>
  <r>
    <n v="958585000000"/>
    <x v="1"/>
    <x v="17"/>
    <x v="4"/>
    <s v="MARIA ORTIZ"/>
    <d v="2016-06-08T00:00:00"/>
    <d v="2016-06-08T00:00:00"/>
    <x v="1"/>
    <x v="94"/>
    <x v="5"/>
    <n v="0"/>
    <x v="1"/>
    <n v="0"/>
    <n v="0"/>
    <n v="0"/>
    <x v="1"/>
    <x v="0"/>
    <n v="0"/>
  </r>
  <r>
    <n v="5237160000000"/>
    <x v="0"/>
    <x v="73"/>
    <x v="4"/>
    <s v="JARDIM CAMBURI"/>
    <d v="2016-06-08T00:00:00"/>
    <d v="2016-06-08T00:00:00"/>
    <x v="1"/>
    <x v="94"/>
    <x v="5"/>
    <n v="0"/>
    <x v="1"/>
    <n v="0"/>
    <n v="0"/>
    <n v="0"/>
    <x v="1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3730B-5A23-49FB-A9EE-EAB09DAA4A5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I22" firstHeaderRow="0" firstDataRow="1" firstDataCol="2" rowPageCount="1" colPageCount="1"/>
  <pivotFields count="18">
    <pivotField compact="0" numFmtId="1" outline="0" showAll="0"/>
    <pivotField axis="axisRow" compact="0" outline="0" showAll="0">
      <items count="3">
        <item x="0"/>
        <item x="1"/>
        <item t="default"/>
      </items>
    </pivotField>
    <pivotField axis="axisPage" compact="0" outline="0" multipleItemSelectionAllowed="1" showAll="0">
      <items count="97">
        <item x="46"/>
        <item x="4"/>
        <item x="52"/>
        <item x="65"/>
        <item x="60"/>
        <item x="59"/>
        <item x="57"/>
        <item x="55"/>
        <item x="43"/>
        <item x="66"/>
        <item x="51"/>
        <item x="19"/>
        <item x="80"/>
        <item x="75"/>
        <item x="72"/>
        <item x="70"/>
        <item x="81"/>
        <item x="79"/>
        <item x="47"/>
        <item x="22"/>
        <item x="68"/>
        <item x="32"/>
        <item x="44"/>
        <item x="77"/>
        <item x="10"/>
        <item x="67"/>
        <item x="38"/>
        <item x="73"/>
        <item x="39"/>
        <item x="49"/>
        <item x="41"/>
        <item x="71"/>
        <item x="17"/>
        <item x="25"/>
        <item x="69"/>
        <item x="33"/>
        <item x="40"/>
        <item x="50"/>
        <item x="56"/>
        <item x="31"/>
        <item x="87"/>
        <item x="5"/>
        <item x="61"/>
        <item x="54"/>
        <item x="2"/>
        <item x="45"/>
        <item x="84"/>
        <item x="74"/>
        <item x="16"/>
        <item x="24"/>
        <item x="21"/>
        <item x="42"/>
        <item x="37"/>
        <item x="62"/>
        <item x="29"/>
        <item x="12"/>
        <item x="15"/>
        <item x="30"/>
        <item x="23"/>
        <item x="36"/>
        <item x="14"/>
        <item x="48"/>
        <item x="27"/>
        <item x="28"/>
        <item x="7"/>
        <item x="64"/>
        <item x="6"/>
        <item x="20"/>
        <item x="18"/>
        <item x="83"/>
        <item x="26"/>
        <item x="76"/>
        <item x="63"/>
        <item x="34"/>
        <item x="78"/>
        <item x="8"/>
        <item x="1"/>
        <item x="9"/>
        <item x="58"/>
        <item x="11"/>
        <item x="0"/>
        <item x="53"/>
        <item x="92"/>
        <item x="3"/>
        <item x="88"/>
        <item x="85"/>
        <item x="89"/>
        <item x="90"/>
        <item x="91"/>
        <item x="35"/>
        <item x="13"/>
        <item x="82"/>
        <item x="93"/>
        <item x="95"/>
        <item x="86"/>
        <item x="94"/>
        <item t="default"/>
      </items>
    </pivotField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numFmtId="14" outline="0" showAll="0"/>
    <pivotField compact="0" numFmtId="14" outline="0" showAll="0"/>
    <pivotField compact="0" outline="0" showAll="0"/>
    <pivotField dataField="1" compact="0" outline="0" showAll="0">
      <items count="96">
        <item x="94"/>
        <item x="93"/>
        <item x="91"/>
        <item x="89"/>
        <item x="86"/>
        <item x="92"/>
        <item x="90"/>
        <item x="87"/>
        <item x="88"/>
        <item x="85"/>
        <item x="83"/>
        <item x="81"/>
        <item x="84"/>
        <item x="82"/>
        <item x="80"/>
        <item x="79"/>
        <item x="78"/>
        <item x="75"/>
        <item x="74"/>
        <item x="77"/>
        <item x="76"/>
        <item x="73"/>
        <item x="71"/>
        <item x="67"/>
        <item x="66"/>
        <item x="70"/>
        <item x="68"/>
        <item x="65"/>
        <item x="64"/>
        <item x="63"/>
        <item x="60"/>
        <item x="57"/>
        <item x="54"/>
        <item x="62"/>
        <item x="58"/>
        <item x="59"/>
        <item x="55"/>
        <item x="53"/>
        <item x="52"/>
        <item x="50"/>
        <item x="69"/>
        <item x="51"/>
        <item x="49"/>
        <item x="47"/>
        <item x="45"/>
        <item x="56"/>
        <item x="42"/>
        <item x="61"/>
        <item x="46"/>
        <item x="43"/>
        <item x="41"/>
        <item x="39"/>
        <item x="72"/>
        <item x="40"/>
        <item x="48"/>
        <item x="44"/>
        <item x="36"/>
        <item x="34"/>
        <item x="37"/>
        <item x="31"/>
        <item x="18"/>
        <item x="30"/>
        <item x="19"/>
        <item x="16"/>
        <item x="23"/>
        <item x="24"/>
        <item x="25"/>
        <item x="10"/>
        <item x="14"/>
        <item x="22"/>
        <item x="20"/>
        <item x="27"/>
        <item x="29"/>
        <item x="28"/>
        <item x="33"/>
        <item x="13"/>
        <item x="26"/>
        <item x="32"/>
        <item x="9"/>
        <item x="11"/>
        <item x="12"/>
        <item x="35"/>
        <item x="38"/>
        <item x="17"/>
        <item x="15"/>
        <item x="21"/>
        <item x="5"/>
        <item x="6"/>
        <item x="7"/>
        <item x="4"/>
        <item x="8"/>
        <item x="3"/>
        <item x="1"/>
        <item x="2"/>
        <item x="0"/>
        <item t="default"/>
      </items>
    </pivotField>
    <pivotField compact="0" outline="0" showAll="0">
      <items count="7">
        <item x="4"/>
        <item x="1"/>
        <item x="0"/>
        <item x="3"/>
        <item x="2"/>
        <item x="5"/>
        <item t="default"/>
      </items>
    </pivotField>
    <pivotField compact="0" outline="0" showAll="0"/>
    <pivotField dataField="1" compact="0" outline="0" showAll="0">
      <items count="3">
        <item x="1"/>
        <item x="0"/>
        <item t="default"/>
      </items>
    </pivotField>
    <pivotField dataField="1" compact="0" outline="0" showAll="0"/>
    <pivotField dataField="1" compact="0" outline="0" showAll="0"/>
    <pivotField compact="0" outline="0" showAll="0"/>
    <pivotField dataField="1" compact="0" outline="0" showAll="0">
      <items count="3">
        <item x="1"/>
        <item x="0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3"/>
    <field x="1"/>
  </rowFields>
  <rowItems count="1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2" hier="-1"/>
  </pageFields>
  <dataFields count="7">
    <dataField name="Average_wait_days" fld="8" subtotal="average" baseField="1" baseItem="0" numFmtId="164"/>
    <dataField name="Average_alcoholism" fld="13" subtotal="average" baseField="1" baseItem="0" numFmtId="165"/>
    <dataField name="Average_hypertension" fld="11" subtotal="average" baseField="1" baseItem="0" numFmtId="165"/>
    <dataField name="Average_diabetes" fld="12" subtotal="average" baseField="1" baseItem="0" numFmtId="165"/>
    <dataField name="total_appointments" fld="16" subtotal="count" baseField="3" baseItem="4"/>
    <dataField name=" no_show_flag" fld="17" subtotal="average" baseField="1" baseItem="0"/>
    <dataField name="Average_sms_received" fld="15" subtotal="average" baseField="1" baseItem="0" numFmtId="165"/>
  </dataFields>
  <formats count="7"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0">
      <pivotArea dataOnly="0" outline="0" fieldPosition="0">
        <references count="1">
          <reference field="4294967294" count="1">
            <x v="5"/>
          </reference>
        </references>
      </pivotArea>
    </format>
    <format dxfId="9">
      <pivotArea outline="0" fieldPosition="0">
        <references count="1">
          <reference field="4294967294" count="1" selected="0">
            <x v="6"/>
          </reference>
        </references>
      </pivotArea>
    </format>
    <format dxfId="8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D65AC-94BC-4E0E-AFD5-3932FEBA0626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D10" firstHeaderRow="0" firstDataRow="1" firstDataCol="1"/>
  <pivotFields count="18">
    <pivotField numFmtId="1" showAll="0"/>
    <pivotField showAll="0"/>
    <pivotField showAll="0"/>
    <pivotField showAll="0"/>
    <pivotField showAll="0"/>
    <pivotField numFmtId="14" showAll="0"/>
    <pivotField numFmtId="14" showAll="0"/>
    <pivotField axis="axisRow" showAll="0">
      <items count="7">
        <item x="2"/>
        <item x="4"/>
        <item x="1"/>
        <item x="3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dataField="1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o_show_flag" fld="17" baseField="0" baseItem="0"/>
    <dataField name="Count of no_show" fld="16" subtotal="count" baseField="0" baseItem="0"/>
    <dataField name="Average of no_show_flag" fld="17" subtotal="average" baseField="7" baseItem="0" numFmtId="9"/>
  </dataFields>
  <formats count="5">
    <format dxfId="7">
      <pivotArea collapsedLevelsAreSubtotals="1" fieldPosition="0">
        <references count="2">
          <reference field="4294967294" count="1" selected="0">
            <x v="2"/>
          </reference>
          <reference field="7" count="0"/>
        </references>
      </pivotArea>
    </format>
    <format dxfId="6">
      <pivotArea field="7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5">
      <pivotArea outline="0" collapsedLevelsAreSubtotals="1" fieldPosition="0"/>
    </format>
    <format dxfId="4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23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84DCE2-A700-4C5F-AAD6-80CE17299C26}" name="Table2" displayName="Table2" ref="A3:R1616" totalsRowShown="0">
  <autoFilter ref="A3:R1616" xr:uid="{D984DCE2-A700-4C5F-AAD6-80CE17299C26}"/>
  <tableColumns count="18">
    <tableColumn id="1" xr3:uid="{CC5B6DFB-8464-4074-AA77-D9D52E882734}" name="patient_id"/>
    <tableColumn id="2" xr3:uid="{55DFD2E6-74A5-4641-9FF7-5F59BAD00F74}" name="gender"/>
    <tableColumn id="3" xr3:uid="{06121CC9-B896-4A61-A5C0-974A693B0945}" name="age"/>
    <tableColumn id="4" xr3:uid="{4B6E4CAE-FA7A-43F5-A7DC-E14FC17271B0}" name="age_group"/>
    <tableColumn id="5" xr3:uid="{F6A8A12C-61D3-409E-84BF-5B531CEB4646}" name="neighbourhood"/>
    <tableColumn id="6" xr3:uid="{7F2ABD21-410B-4EC1-A146-421B362AB0D9}" name="scheduled_date" dataDxfId="16"/>
    <tableColumn id="7" xr3:uid="{05781F37-94F6-4966-BE10-5DBB6B8B52DD}" name="appointment_date" dataDxfId="15"/>
    <tableColumn id="8" xr3:uid="{44EE5B15-E6BE-4220-8CDE-1A8974D58E2D}" name="appt_weekday"/>
    <tableColumn id="9" xr3:uid="{76C42983-0491-41D6-9DA3-AC4BC34E2C5E}" name="wait_days"/>
    <tableColumn id="10" xr3:uid="{E21E2857-0002-47C7-B492-72D4E4450B3E}" name="wait_bucket"/>
    <tableColumn id="11" xr3:uid="{1CC6422F-13FA-4026-A347-BF0E762C15EF}" name="scholarship"/>
    <tableColumn id="12" xr3:uid="{90AF8A68-FC54-466D-AD50-69A53F643943}" name="hypertension"/>
    <tableColumn id="13" xr3:uid="{90E20ECE-35C6-4718-AF60-E3164C1C8901}" name="diabetes"/>
    <tableColumn id="14" xr3:uid="{31847C3C-B883-48BD-80CF-1FC3787A676E}" name="alcoholism"/>
    <tableColumn id="15" xr3:uid="{2BE3BC7A-80FA-425E-8ADE-C4F46D3796E4}" name="handicap_flag"/>
    <tableColumn id="16" xr3:uid="{F7E0D590-B6D9-4520-901C-301EEF3DE275}" name="sms_received"/>
    <tableColumn id="17" xr3:uid="{A042828F-845F-4E7E-8E07-D6019EAC2777}" name="no_show"/>
    <tableColumn id="18" xr3:uid="{F8B10900-92A6-437E-ACD3-FC0DDE908384}" name="no_show_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710F3E-51E5-43BE-9554-A547D5ADDE1C}" name="appointments" displayName="appointments" ref="A1:R7001" totalsRowShown="0">
  <autoFilter ref="A1:R7001" xr:uid="{AD710F3E-51E5-43BE-9554-A547D5ADDE1C}"/>
  <tableColumns count="18">
    <tableColumn id="2" xr3:uid="{4C64D616-B0A5-4F32-90EF-4B57151165A8}" name="patient_id" dataDxfId="2"/>
    <tableColumn id="3" xr3:uid="{707E83D8-D88A-47CA-B886-5CF477A4600E}" name="gender"/>
    <tableColumn id="4" xr3:uid="{02C139FE-BEC7-4856-9328-FEDC3363A77C}" name="age"/>
    <tableColumn id="5" xr3:uid="{71997517-B62C-4E66-93EC-7596D5239EF4}" name="age_group"/>
    <tableColumn id="6" xr3:uid="{60BAD368-99A3-47CD-A22E-CE853567C999}" name="neighbourhood"/>
    <tableColumn id="7" xr3:uid="{C4281C7B-F9A6-4754-92AD-82D5FB8B14A5}" name="scheduled_date" dataDxfId="1"/>
    <tableColumn id="8" xr3:uid="{AE9DA47E-7444-430A-9432-4F08096BE3F3}" name="appointment_date" dataDxfId="0"/>
    <tableColumn id="9" xr3:uid="{64654B5F-4902-4951-A0C4-BC516ED30C60}" name="appt_weekday"/>
    <tableColumn id="10" xr3:uid="{9246F9AB-5FC3-4A72-914F-7EDF2DA99A27}" name="wait_days"/>
    <tableColumn id="11" xr3:uid="{7590D806-795A-46E5-83B0-E3AA7189B2E1}" name="wait_bucket"/>
    <tableColumn id="12" xr3:uid="{0C62B0B5-BC77-4CEE-9121-80972F0A1E0C}" name="scholarship"/>
    <tableColumn id="13" xr3:uid="{56384AF2-7C3B-47CF-BE2A-0031790D6CAC}" name="hypertension"/>
    <tableColumn id="14" xr3:uid="{4216106D-5890-44A2-AD00-5951881CEED6}" name="diabetes"/>
    <tableColumn id="15" xr3:uid="{5411AD8F-3862-41F4-865F-B8FF4AC5B10D}" name="alcoholism"/>
    <tableColumn id="16" xr3:uid="{500A881C-0B4B-4C1D-9853-1F4EAE8B0DDD}" name="handicap_flag"/>
    <tableColumn id="17" xr3:uid="{8E3CB0F7-7E63-42CC-9D5E-232AC69264D8}" name="sms_received"/>
    <tableColumn id="18" xr3:uid="{D69288E5-9C5A-463B-91A8-2CA0A6530393}" name="no_show"/>
    <tableColumn id="19" xr3:uid="{82AAAB8F-0CF4-4D37-BFC5-1233D865B1AB}" name="no_show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60B1B-D945-4BDD-896E-AEEAE740434F}">
  <dimension ref="A1:R1616"/>
  <sheetViews>
    <sheetView workbookViewId="0">
      <selection activeCell="A3" sqref="A3:R1616"/>
    </sheetView>
  </sheetViews>
  <sheetFormatPr defaultRowHeight="14.4"/>
  <cols>
    <col min="1" max="1" width="12" bestFit="1" customWidth="1"/>
    <col min="2" max="2" width="9.109375" bestFit="1" customWidth="1"/>
    <col min="3" max="3" width="9" bestFit="1" customWidth="1"/>
    <col min="4" max="4" width="15.88671875" bestFit="1" customWidth="1"/>
    <col min="5" max="5" width="20.44140625" bestFit="1" customWidth="1"/>
    <col min="6" max="6" width="16.6640625" bestFit="1" customWidth="1"/>
    <col min="7" max="7" width="19.109375" bestFit="1" customWidth="1"/>
    <col min="8" max="8" width="15.77734375" bestFit="1" customWidth="1"/>
    <col min="9" max="9" width="11.6640625" bestFit="1" customWidth="1"/>
    <col min="10" max="10" width="13.5546875" bestFit="1" customWidth="1"/>
    <col min="11" max="11" width="12.6640625" bestFit="1" customWidth="1"/>
    <col min="12" max="12" width="14.33203125" bestFit="1" customWidth="1"/>
    <col min="13" max="13" width="10.33203125" bestFit="1" customWidth="1"/>
    <col min="14" max="14" width="12.21875" bestFit="1" customWidth="1"/>
    <col min="15" max="15" width="15.109375" bestFit="1" customWidth="1"/>
    <col min="16" max="16" width="14.5546875" bestFit="1" customWidth="1"/>
    <col min="17" max="17" width="10.88671875" bestFit="1" customWidth="1"/>
    <col min="18" max="18" width="15" bestFit="1" customWidth="1"/>
  </cols>
  <sheetData>
    <row r="1" spans="1:18">
      <c r="A1" s="12" t="s">
        <v>127</v>
      </c>
    </row>
    <row r="3" spans="1:18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</row>
    <row r="4" spans="1:18">
      <c r="A4">
        <v>5237160000000</v>
      </c>
      <c r="B4" t="s">
        <v>18</v>
      </c>
      <c r="C4">
        <v>27</v>
      </c>
      <c r="D4" t="s">
        <v>37</v>
      </c>
      <c r="E4" t="s">
        <v>39</v>
      </c>
      <c r="F4" s="1">
        <v>42529</v>
      </c>
      <c r="G4" s="1">
        <v>42529</v>
      </c>
      <c r="H4" t="s">
        <v>25</v>
      </c>
      <c r="I4">
        <v>0</v>
      </c>
      <c r="J4" t="s">
        <v>111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23</v>
      </c>
      <c r="R4">
        <v>0</v>
      </c>
    </row>
    <row r="5" spans="1:18">
      <c r="A5">
        <v>958585000000</v>
      </c>
      <c r="B5" t="s">
        <v>28</v>
      </c>
      <c r="C5">
        <v>32</v>
      </c>
      <c r="D5" t="s">
        <v>37</v>
      </c>
      <c r="E5" t="s">
        <v>72</v>
      </c>
      <c r="F5" s="1">
        <v>42529</v>
      </c>
      <c r="G5" s="1">
        <v>42529</v>
      </c>
      <c r="H5" t="s">
        <v>25</v>
      </c>
      <c r="I5">
        <v>0</v>
      </c>
      <c r="J5" t="s">
        <v>111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23</v>
      </c>
      <c r="R5">
        <v>0</v>
      </c>
    </row>
    <row r="6" spans="1:18">
      <c r="A6">
        <v>33564500000000</v>
      </c>
      <c r="B6" t="s">
        <v>18</v>
      </c>
      <c r="C6">
        <v>34</v>
      </c>
      <c r="D6" t="s">
        <v>37</v>
      </c>
      <c r="E6" t="s">
        <v>68</v>
      </c>
      <c r="F6" s="1">
        <v>42529</v>
      </c>
      <c r="G6" s="1">
        <v>42529</v>
      </c>
      <c r="H6" t="s">
        <v>25</v>
      </c>
      <c r="I6">
        <v>0</v>
      </c>
      <c r="J6" t="s">
        <v>111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23</v>
      </c>
      <c r="R6">
        <v>0</v>
      </c>
    </row>
    <row r="7" spans="1:18">
      <c r="A7">
        <v>449367000000</v>
      </c>
      <c r="B7" t="s">
        <v>28</v>
      </c>
      <c r="C7">
        <v>30</v>
      </c>
      <c r="D7" t="s">
        <v>37</v>
      </c>
      <c r="E7" t="s">
        <v>98</v>
      </c>
      <c r="F7" s="1">
        <v>42529</v>
      </c>
      <c r="G7" s="1">
        <v>42529</v>
      </c>
      <c r="H7" t="s">
        <v>25</v>
      </c>
      <c r="I7">
        <v>0</v>
      </c>
      <c r="J7" t="s">
        <v>111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23</v>
      </c>
      <c r="R7">
        <v>0</v>
      </c>
    </row>
    <row r="8" spans="1:18">
      <c r="A8">
        <v>99572600000000</v>
      </c>
      <c r="B8" t="s">
        <v>28</v>
      </c>
      <c r="C8">
        <v>33</v>
      </c>
      <c r="D8" t="s">
        <v>37</v>
      </c>
      <c r="E8" t="s">
        <v>66</v>
      </c>
      <c r="F8" s="1">
        <v>42529</v>
      </c>
      <c r="G8" s="1">
        <v>42529</v>
      </c>
      <c r="H8" t="s">
        <v>25</v>
      </c>
      <c r="I8">
        <v>0</v>
      </c>
      <c r="J8" t="s">
        <v>111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23</v>
      </c>
      <c r="R8">
        <v>0</v>
      </c>
    </row>
    <row r="9" spans="1:18">
      <c r="A9">
        <v>43836500000000</v>
      </c>
      <c r="B9" t="s">
        <v>18</v>
      </c>
      <c r="C9">
        <v>20</v>
      </c>
      <c r="D9" t="s">
        <v>37</v>
      </c>
      <c r="E9" t="s">
        <v>80</v>
      </c>
      <c r="F9" s="1">
        <v>42529</v>
      </c>
      <c r="G9" s="1">
        <v>42529</v>
      </c>
      <c r="H9" t="s">
        <v>25</v>
      </c>
      <c r="I9">
        <v>0</v>
      </c>
      <c r="J9" t="s">
        <v>111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23</v>
      </c>
      <c r="R9">
        <v>0</v>
      </c>
    </row>
    <row r="10" spans="1:18">
      <c r="A10">
        <v>44852900000000</v>
      </c>
      <c r="B10" t="s">
        <v>18</v>
      </c>
      <c r="C10">
        <v>22</v>
      </c>
      <c r="D10" t="s">
        <v>37</v>
      </c>
      <c r="E10" t="s">
        <v>51</v>
      </c>
      <c r="F10" s="1">
        <v>42529</v>
      </c>
      <c r="G10" s="1">
        <v>42529</v>
      </c>
      <c r="H10" t="s">
        <v>25</v>
      </c>
      <c r="I10">
        <v>0</v>
      </c>
      <c r="J10" t="s">
        <v>111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23</v>
      </c>
      <c r="R10">
        <v>0</v>
      </c>
    </row>
    <row r="11" spans="1:18">
      <c r="A11">
        <v>3352570000000</v>
      </c>
      <c r="B11" t="s">
        <v>18</v>
      </c>
      <c r="C11">
        <v>31</v>
      </c>
      <c r="D11" t="s">
        <v>37</v>
      </c>
      <c r="E11" t="s">
        <v>50</v>
      </c>
      <c r="F11" s="1">
        <v>42529</v>
      </c>
      <c r="G11" s="1">
        <v>42529</v>
      </c>
      <c r="H11" t="s">
        <v>25</v>
      </c>
      <c r="I11">
        <v>0</v>
      </c>
      <c r="J11" t="s">
        <v>111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23</v>
      </c>
      <c r="R11">
        <v>0</v>
      </c>
    </row>
    <row r="12" spans="1:18">
      <c r="A12">
        <v>7379820000000</v>
      </c>
      <c r="B12" t="s">
        <v>18</v>
      </c>
      <c r="C12">
        <v>31</v>
      </c>
      <c r="D12" t="s">
        <v>37</v>
      </c>
      <c r="E12" t="s">
        <v>57</v>
      </c>
      <c r="F12" s="1">
        <v>42529</v>
      </c>
      <c r="G12" s="1">
        <v>42529</v>
      </c>
      <c r="H12" t="s">
        <v>25</v>
      </c>
      <c r="I12">
        <v>0</v>
      </c>
      <c r="J12" t="s">
        <v>111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 t="s">
        <v>23</v>
      </c>
      <c r="R12">
        <v>0</v>
      </c>
    </row>
    <row r="13" spans="1:18">
      <c r="A13">
        <v>754178000000</v>
      </c>
      <c r="B13" t="s">
        <v>28</v>
      </c>
      <c r="C13">
        <v>21</v>
      </c>
      <c r="D13" t="s">
        <v>37</v>
      </c>
      <c r="E13" t="s">
        <v>32</v>
      </c>
      <c r="F13" s="1">
        <v>42529</v>
      </c>
      <c r="G13" s="1">
        <v>42529</v>
      </c>
      <c r="H13" t="s">
        <v>25</v>
      </c>
      <c r="I13">
        <v>0</v>
      </c>
      <c r="J13" t="s">
        <v>111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23</v>
      </c>
      <c r="R13">
        <v>0</v>
      </c>
    </row>
    <row r="14" spans="1:18">
      <c r="A14">
        <v>38313200000000</v>
      </c>
      <c r="B14" t="s">
        <v>28</v>
      </c>
      <c r="C14">
        <v>20</v>
      </c>
      <c r="D14" t="s">
        <v>37</v>
      </c>
      <c r="E14" t="s">
        <v>99</v>
      </c>
      <c r="F14" s="1">
        <v>42529</v>
      </c>
      <c r="G14" s="1">
        <v>42529</v>
      </c>
      <c r="H14" t="s">
        <v>25</v>
      </c>
      <c r="I14">
        <v>0</v>
      </c>
      <c r="J14" t="s">
        <v>111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23</v>
      </c>
      <c r="R14">
        <v>0</v>
      </c>
    </row>
    <row r="15" spans="1:18">
      <c r="A15">
        <v>558799000000000</v>
      </c>
      <c r="B15" t="s">
        <v>28</v>
      </c>
      <c r="C15">
        <v>24</v>
      </c>
      <c r="D15" t="s">
        <v>37</v>
      </c>
      <c r="E15" t="s">
        <v>38</v>
      </c>
      <c r="F15" s="1">
        <v>42422</v>
      </c>
      <c r="G15" s="1">
        <v>42489</v>
      </c>
      <c r="H15" t="s">
        <v>21</v>
      </c>
      <c r="I15">
        <v>67</v>
      </c>
      <c r="J15" t="s">
        <v>22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 t="s">
        <v>23</v>
      </c>
      <c r="R15">
        <v>0</v>
      </c>
    </row>
    <row r="16" spans="1:18">
      <c r="A16">
        <v>47385300000000</v>
      </c>
      <c r="B16" t="s">
        <v>18</v>
      </c>
      <c r="C16">
        <v>24</v>
      </c>
      <c r="D16" t="s">
        <v>37</v>
      </c>
      <c r="E16" t="s">
        <v>32</v>
      </c>
      <c r="F16" s="1">
        <v>42424</v>
      </c>
      <c r="G16" s="1">
        <v>42503</v>
      </c>
      <c r="H16" t="s">
        <v>21</v>
      </c>
      <c r="I16">
        <v>79</v>
      </c>
      <c r="J16" t="s">
        <v>22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23</v>
      </c>
      <c r="R16">
        <v>0</v>
      </c>
    </row>
    <row r="17" spans="1:18">
      <c r="A17">
        <v>72239200000000</v>
      </c>
      <c r="B17" t="s">
        <v>18</v>
      </c>
      <c r="C17">
        <v>20</v>
      </c>
      <c r="D17" t="s">
        <v>37</v>
      </c>
      <c r="E17" t="s">
        <v>38</v>
      </c>
      <c r="F17" s="1">
        <v>42529</v>
      </c>
      <c r="G17" s="1">
        <v>42529</v>
      </c>
      <c r="H17" t="s">
        <v>25</v>
      </c>
      <c r="I17">
        <v>0</v>
      </c>
      <c r="J17" t="s">
        <v>111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23</v>
      </c>
      <c r="R17">
        <v>0</v>
      </c>
    </row>
    <row r="18" spans="1:18">
      <c r="A18">
        <v>887441000000000</v>
      </c>
      <c r="B18" t="s">
        <v>18</v>
      </c>
      <c r="C18">
        <v>20</v>
      </c>
      <c r="D18" t="s">
        <v>37</v>
      </c>
      <c r="E18" t="s">
        <v>58</v>
      </c>
      <c r="F18" s="1">
        <v>42529</v>
      </c>
      <c r="G18" s="1">
        <v>42529</v>
      </c>
      <c r="H18" t="s">
        <v>25</v>
      </c>
      <c r="I18">
        <v>0</v>
      </c>
      <c r="J18" t="s">
        <v>111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23</v>
      </c>
      <c r="R18">
        <v>0</v>
      </c>
    </row>
    <row r="19" spans="1:18">
      <c r="A19">
        <v>191422000000000</v>
      </c>
      <c r="B19" t="s">
        <v>18</v>
      </c>
      <c r="C19">
        <v>20</v>
      </c>
      <c r="D19" t="s">
        <v>37</v>
      </c>
      <c r="E19" t="s">
        <v>64</v>
      </c>
      <c r="F19" s="1">
        <v>42529</v>
      </c>
      <c r="G19" s="1">
        <v>42529</v>
      </c>
      <c r="H19" t="s">
        <v>25</v>
      </c>
      <c r="I19">
        <v>0</v>
      </c>
      <c r="J19" t="s">
        <v>111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23</v>
      </c>
      <c r="R19">
        <v>0</v>
      </c>
    </row>
    <row r="20" spans="1:18">
      <c r="A20">
        <v>631833000000000</v>
      </c>
      <c r="B20" t="s">
        <v>18</v>
      </c>
      <c r="C20">
        <v>21</v>
      </c>
      <c r="D20" t="s">
        <v>37</v>
      </c>
      <c r="E20" t="s">
        <v>72</v>
      </c>
      <c r="F20" s="1">
        <v>42529</v>
      </c>
      <c r="G20" s="1">
        <v>42529</v>
      </c>
      <c r="H20" t="s">
        <v>25</v>
      </c>
      <c r="I20">
        <v>0</v>
      </c>
      <c r="J20" t="s">
        <v>111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23</v>
      </c>
      <c r="R20">
        <v>0</v>
      </c>
    </row>
    <row r="21" spans="1:18">
      <c r="A21">
        <v>523976000000000</v>
      </c>
      <c r="B21" t="s">
        <v>18</v>
      </c>
      <c r="C21">
        <v>23</v>
      </c>
      <c r="D21" t="s">
        <v>37</v>
      </c>
      <c r="E21" t="s">
        <v>68</v>
      </c>
      <c r="F21" s="1">
        <v>42529</v>
      </c>
      <c r="G21" s="1">
        <v>42529</v>
      </c>
      <c r="H21" t="s">
        <v>25</v>
      </c>
      <c r="I21">
        <v>0</v>
      </c>
      <c r="J21" t="s">
        <v>111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23</v>
      </c>
      <c r="R21">
        <v>0</v>
      </c>
    </row>
    <row r="22" spans="1:18">
      <c r="A22">
        <v>495297000000000</v>
      </c>
      <c r="B22" t="s">
        <v>28</v>
      </c>
      <c r="C22">
        <v>33</v>
      </c>
      <c r="D22" t="s">
        <v>37</v>
      </c>
      <c r="E22" t="s">
        <v>72</v>
      </c>
      <c r="F22" s="1">
        <v>42529</v>
      </c>
      <c r="G22" s="1">
        <v>42529</v>
      </c>
      <c r="H22" t="s">
        <v>25</v>
      </c>
      <c r="I22">
        <v>0</v>
      </c>
      <c r="J22" t="s">
        <v>111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23</v>
      </c>
      <c r="R22">
        <v>0</v>
      </c>
    </row>
    <row r="23" spans="1:18">
      <c r="A23">
        <v>55155900000000</v>
      </c>
      <c r="B23" t="s">
        <v>28</v>
      </c>
      <c r="C23">
        <v>23</v>
      </c>
      <c r="D23" t="s">
        <v>37</v>
      </c>
      <c r="E23" t="s">
        <v>29</v>
      </c>
      <c r="F23" s="1">
        <v>42529</v>
      </c>
      <c r="G23" s="1">
        <v>42529</v>
      </c>
      <c r="H23" t="s">
        <v>25</v>
      </c>
      <c r="I23">
        <v>0</v>
      </c>
      <c r="J23" t="s">
        <v>111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23</v>
      </c>
      <c r="R23">
        <v>0</v>
      </c>
    </row>
    <row r="24" spans="1:18">
      <c r="A24">
        <v>44148300000000</v>
      </c>
      <c r="B24" t="s">
        <v>18</v>
      </c>
      <c r="C24">
        <v>32</v>
      </c>
      <c r="D24" t="s">
        <v>37</v>
      </c>
      <c r="E24" t="s">
        <v>44</v>
      </c>
      <c r="F24" s="1">
        <v>42429</v>
      </c>
      <c r="G24" s="1">
        <v>42489</v>
      </c>
      <c r="H24" t="s">
        <v>21</v>
      </c>
      <c r="I24">
        <v>60</v>
      </c>
      <c r="J24" t="s">
        <v>22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 t="s">
        <v>26</v>
      </c>
      <c r="R24">
        <v>1</v>
      </c>
    </row>
    <row r="25" spans="1:18">
      <c r="A25">
        <v>689167000000000</v>
      </c>
      <c r="B25" t="s">
        <v>18</v>
      </c>
      <c r="C25">
        <v>33</v>
      </c>
      <c r="D25" t="s">
        <v>37</v>
      </c>
      <c r="E25" t="s">
        <v>64</v>
      </c>
      <c r="F25" s="1">
        <v>42529</v>
      </c>
      <c r="G25" s="1">
        <v>42529</v>
      </c>
      <c r="H25" t="s">
        <v>25</v>
      </c>
      <c r="I25">
        <v>0</v>
      </c>
      <c r="J25" t="s">
        <v>111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23</v>
      </c>
      <c r="R25">
        <v>0</v>
      </c>
    </row>
    <row r="26" spans="1:18">
      <c r="A26">
        <v>669255000000000</v>
      </c>
      <c r="B26" t="s">
        <v>18</v>
      </c>
      <c r="C26">
        <v>30</v>
      </c>
      <c r="D26" t="s">
        <v>37</v>
      </c>
      <c r="E26" t="s">
        <v>50</v>
      </c>
      <c r="F26" s="1">
        <v>42529</v>
      </c>
      <c r="G26" s="1">
        <v>42529</v>
      </c>
      <c r="H26" t="s">
        <v>25</v>
      </c>
      <c r="I26">
        <v>0</v>
      </c>
      <c r="J26" t="s">
        <v>111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23</v>
      </c>
      <c r="R26">
        <v>0</v>
      </c>
    </row>
    <row r="27" spans="1:18">
      <c r="A27">
        <v>9735330000000</v>
      </c>
      <c r="B27" t="s">
        <v>18</v>
      </c>
      <c r="C27">
        <v>29</v>
      </c>
      <c r="D27" t="s">
        <v>37</v>
      </c>
      <c r="E27" t="s">
        <v>54</v>
      </c>
      <c r="F27" s="1">
        <v>42529</v>
      </c>
      <c r="G27" s="1">
        <v>42529</v>
      </c>
      <c r="H27" t="s">
        <v>25</v>
      </c>
      <c r="I27">
        <v>0</v>
      </c>
      <c r="J27" t="s">
        <v>111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23</v>
      </c>
      <c r="R27">
        <v>0</v>
      </c>
    </row>
    <row r="28" spans="1:18">
      <c r="A28">
        <v>69621700000000</v>
      </c>
      <c r="B28" t="s">
        <v>28</v>
      </c>
      <c r="C28">
        <v>30</v>
      </c>
      <c r="D28" t="s">
        <v>37</v>
      </c>
      <c r="E28" t="s">
        <v>106</v>
      </c>
      <c r="F28" s="1">
        <v>42529</v>
      </c>
      <c r="G28" s="1">
        <v>42529</v>
      </c>
      <c r="H28" t="s">
        <v>25</v>
      </c>
      <c r="I28">
        <v>0</v>
      </c>
      <c r="J28" t="s">
        <v>111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23</v>
      </c>
      <c r="R28">
        <v>0</v>
      </c>
    </row>
    <row r="29" spans="1:18">
      <c r="A29">
        <v>81972300000000</v>
      </c>
      <c r="B29" t="s">
        <v>28</v>
      </c>
      <c r="C29">
        <v>18</v>
      </c>
      <c r="D29" t="s">
        <v>37</v>
      </c>
      <c r="E29" t="s">
        <v>75</v>
      </c>
      <c r="F29" s="1">
        <v>42529</v>
      </c>
      <c r="G29" s="1">
        <v>42529</v>
      </c>
      <c r="H29" t="s">
        <v>25</v>
      </c>
      <c r="I29">
        <v>0</v>
      </c>
      <c r="J29" t="s">
        <v>111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23</v>
      </c>
      <c r="R29">
        <v>0</v>
      </c>
    </row>
    <row r="30" spans="1:18">
      <c r="A30">
        <v>514249000000</v>
      </c>
      <c r="B30" t="s">
        <v>28</v>
      </c>
      <c r="C30">
        <v>23</v>
      </c>
      <c r="D30" t="s">
        <v>37</v>
      </c>
      <c r="E30" t="s">
        <v>72</v>
      </c>
      <c r="F30" s="1">
        <v>42529</v>
      </c>
      <c r="G30" s="1">
        <v>42529</v>
      </c>
      <c r="H30" t="s">
        <v>25</v>
      </c>
      <c r="I30">
        <v>0</v>
      </c>
      <c r="J30" t="s">
        <v>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23</v>
      </c>
      <c r="R30">
        <v>0</v>
      </c>
    </row>
    <row r="31" spans="1:18">
      <c r="A31">
        <v>9449450000000</v>
      </c>
      <c r="B31" t="s">
        <v>18</v>
      </c>
      <c r="C31">
        <v>26</v>
      </c>
      <c r="D31" t="s">
        <v>37</v>
      </c>
      <c r="E31" t="s">
        <v>63</v>
      </c>
      <c r="F31" s="1">
        <v>42529</v>
      </c>
      <c r="G31" s="1">
        <v>42529</v>
      </c>
      <c r="H31" t="s">
        <v>25</v>
      </c>
      <c r="I31">
        <v>0</v>
      </c>
      <c r="J31" t="s">
        <v>111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23</v>
      </c>
      <c r="R31">
        <v>0</v>
      </c>
    </row>
    <row r="32" spans="1:18">
      <c r="A32">
        <v>1525990000000</v>
      </c>
      <c r="B32" t="s">
        <v>18</v>
      </c>
      <c r="C32">
        <v>19</v>
      </c>
      <c r="D32" t="s">
        <v>37</v>
      </c>
      <c r="E32" t="s">
        <v>39</v>
      </c>
      <c r="F32" s="1">
        <v>42430</v>
      </c>
      <c r="G32" s="1">
        <v>42492</v>
      </c>
      <c r="H32" t="s">
        <v>30</v>
      </c>
      <c r="I32">
        <v>62</v>
      </c>
      <c r="J32" t="s">
        <v>22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 t="s">
        <v>23</v>
      </c>
      <c r="R32">
        <v>0</v>
      </c>
    </row>
    <row r="33" spans="1:18">
      <c r="A33">
        <v>5696180000000</v>
      </c>
      <c r="B33" t="s">
        <v>18</v>
      </c>
      <c r="C33">
        <v>28</v>
      </c>
      <c r="D33" t="s">
        <v>37</v>
      </c>
      <c r="E33" t="s">
        <v>40</v>
      </c>
      <c r="F33" s="1">
        <v>42529</v>
      </c>
      <c r="G33" s="1">
        <v>42529</v>
      </c>
      <c r="H33" t="s">
        <v>25</v>
      </c>
      <c r="I33">
        <v>0</v>
      </c>
      <c r="J33" t="s">
        <v>111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23</v>
      </c>
      <c r="R33">
        <v>0</v>
      </c>
    </row>
    <row r="34" spans="1:18">
      <c r="A34">
        <v>8857760000000</v>
      </c>
      <c r="B34" t="s">
        <v>18</v>
      </c>
      <c r="C34">
        <v>24</v>
      </c>
      <c r="D34" t="s">
        <v>37</v>
      </c>
      <c r="E34" t="s">
        <v>40</v>
      </c>
      <c r="F34" s="1">
        <v>42529</v>
      </c>
      <c r="G34" s="1">
        <v>42529</v>
      </c>
      <c r="H34" t="s">
        <v>25</v>
      </c>
      <c r="I34">
        <v>0</v>
      </c>
      <c r="J34" t="s">
        <v>111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23</v>
      </c>
      <c r="R34">
        <v>0</v>
      </c>
    </row>
    <row r="35" spans="1:18">
      <c r="A35">
        <v>725878000000000</v>
      </c>
      <c r="B35" t="s">
        <v>18</v>
      </c>
      <c r="C35">
        <v>29</v>
      </c>
      <c r="D35" t="s">
        <v>37</v>
      </c>
      <c r="E35" t="s">
        <v>82</v>
      </c>
      <c r="F35" s="1">
        <v>42529</v>
      </c>
      <c r="G35" s="1">
        <v>42529</v>
      </c>
      <c r="H35" t="s">
        <v>25</v>
      </c>
      <c r="I35">
        <v>0</v>
      </c>
      <c r="J35" t="s">
        <v>111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 t="s">
        <v>23</v>
      </c>
      <c r="R35">
        <v>0</v>
      </c>
    </row>
    <row r="36" spans="1:18">
      <c r="A36">
        <v>48685300000000</v>
      </c>
      <c r="B36" t="s">
        <v>18</v>
      </c>
      <c r="C36">
        <v>33</v>
      </c>
      <c r="D36" t="s">
        <v>37</v>
      </c>
      <c r="E36" t="s">
        <v>39</v>
      </c>
      <c r="F36" s="1">
        <v>42430</v>
      </c>
      <c r="G36" s="1">
        <v>42492</v>
      </c>
      <c r="H36" t="s">
        <v>30</v>
      </c>
      <c r="I36">
        <v>62</v>
      </c>
      <c r="J36" t="s">
        <v>22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 t="s">
        <v>23</v>
      </c>
      <c r="R36">
        <v>0</v>
      </c>
    </row>
    <row r="37" spans="1:18">
      <c r="A37">
        <v>935378000000000</v>
      </c>
      <c r="B37" t="s">
        <v>18</v>
      </c>
      <c r="C37">
        <v>26</v>
      </c>
      <c r="D37" t="s">
        <v>37</v>
      </c>
      <c r="E37" t="s">
        <v>36</v>
      </c>
      <c r="F37" s="1">
        <v>42529</v>
      </c>
      <c r="G37" s="1">
        <v>42529</v>
      </c>
      <c r="H37" t="s">
        <v>25</v>
      </c>
      <c r="I37">
        <v>0</v>
      </c>
      <c r="J37" t="s">
        <v>111</v>
      </c>
      <c r="K37">
        <v>1</v>
      </c>
      <c r="L37">
        <v>1</v>
      </c>
      <c r="M37">
        <v>0</v>
      </c>
      <c r="N37">
        <v>1</v>
      </c>
      <c r="O37">
        <v>0</v>
      </c>
      <c r="P37">
        <v>0</v>
      </c>
      <c r="Q37" t="s">
        <v>23</v>
      </c>
      <c r="R37">
        <v>0</v>
      </c>
    </row>
    <row r="38" spans="1:18">
      <c r="A38">
        <v>741424000000</v>
      </c>
      <c r="B38" t="s">
        <v>18</v>
      </c>
      <c r="C38">
        <v>21</v>
      </c>
      <c r="D38" t="s">
        <v>37</v>
      </c>
      <c r="E38" t="s">
        <v>39</v>
      </c>
      <c r="F38" s="1">
        <v>42528</v>
      </c>
      <c r="G38" s="1">
        <v>42528</v>
      </c>
      <c r="H38" t="s">
        <v>41</v>
      </c>
      <c r="I38">
        <v>0</v>
      </c>
      <c r="J38" t="s">
        <v>111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23</v>
      </c>
      <c r="R38">
        <v>0</v>
      </c>
    </row>
    <row r="39" spans="1:18">
      <c r="A39">
        <v>51881300000000</v>
      </c>
      <c r="B39" t="s">
        <v>18</v>
      </c>
      <c r="C39">
        <v>18</v>
      </c>
      <c r="D39" t="s">
        <v>37</v>
      </c>
      <c r="E39" t="s">
        <v>38</v>
      </c>
      <c r="F39" s="1">
        <v>42528</v>
      </c>
      <c r="G39" s="1">
        <v>42528</v>
      </c>
      <c r="H39" t="s">
        <v>41</v>
      </c>
      <c r="I39">
        <v>0</v>
      </c>
      <c r="J39" t="s">
        <v>111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23</v>
      </c>
      <c r="R39">
        <v>0</v>
      </c>
    </row>
    <row r="40" spans="1:18">
      <c r="A40">
        <v>4865240000000</v>
      </c>
      <c r="B40" t="s">
        <v>28</v>
      </c>
      <c r="C40">
        <v>18</v>
      </c>
      <c r="D40" t="s">
        <v>37</v>
      </c>
      <c r="E40" t="s">
        <v>40</v>
      </c>
      <c r="F40" s="1">
        <v>42528</v>
      </c>
      <c r="G40" s="1">
        <v>42528</v>
      </c>
      <c r="H40" t="s">
        <v>41</v>
      </c>
      <c r="I40">
        <v>0</v>
      </c>
      <c r="J40" t="s">
        <v>111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23</v>
      </c>
      <c r="R40">
        <v>0</v>
      </c>
    </row>
    <row r="41" spans="1:18">
      <c r="A41">
        <v>1577980000000</v>
      </c>
      <c r="B41" t="s">
        <v>18</v>
      </c>
      <c r="C41">
        <v>23</v>
      </c>
      <c r="D41" t="s">
        <v>37</v>
      </c>
      <c r="E41" t="s">
        <v>29</v>
      </c>
      <c r="F41" s="1">
        <v>42528</v>
      </c>
      <c r="G41" s="1">
        <v>42528</v>
      </c>
      <c r="H41" t="s">
        <v>41</v>
      </c>
      <c r="I41">
        <v>0</v>
      </c>
      <c r="J41" t="s">
        <v>111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23</v>
      </c>
      <c r="R41">
        <v>0</v>
      </c>
    </row>
    <row r="42" spans="1:18">
      <c r="A42">
        <v>59191600000000</v>
      </c>
      <c r="B42" t="s">
        <v>18</v>
      </c>
      <c r="C42">
        <v>20</v>
      </c>
      <c r="D42" t="s">
        <v>37</v>
      </c>
      <c r="E42" t="s">
        <v>57</v>
      </c>
      <c r="F42" s="1">
        <v>42528</v>
      </c>
      <c r="G42" s="1">
        <v>42528</v>
      </c>
      <c r="H42" t="s">
        <v>41</v>
      </c>
      <c r="I42">
        <v>0</v>
      </c>
      <c r="J42" t="s">
        <v>111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23</v>
      </c>
      <c r="R42">
        <v>0</v>
      </c>
    </row>
    <row r="43" spans="1:18">
      <c r="A43">
        <v>63315100000000</v>
      </c>
      <c r="B43" t="s">
        <v>18</v>
      </c>
      <c r="C43">
        <v>27</v>
      </c>
      <c r="D43" t="s">
        <v>37</v>
      </c>
      <c r="E43" t="s">
        <v>64</v>
      </c>
      <c r="F43" s="1">
        <v>42528</v>
      </c>
      <c r="G43" s="1">
        <v>42528</v>
      </c>
      <c r="H43" t="s">
        <v>41</v>
      </c>
      <c r="I43">
        <v>0</v>
      </c>
      <c r="J43" t="s">
        <v>111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23</v>
      </c>
      <c r="R43">
        <v>0</v>
      </c>
    </row>
    <row r="44" spans="1:18">
      <c r="A44">
        <v>713233000000000</v>
      </c>
      <c r="B44" t="s">
        <v>18</v>
      </c>
      <c r="C44">
        <v>24</v>
      </c>
      <c r="D44" t="s">
        <v>37</v>
      </c>
      <c r="E44" t="s">
        <v>57</v>
      </c>
      <c r="F44" s="1">
        <v>42528</v>
      </c>
      <c r="G44" s="1">
        <v>42529</v>
      </c>
      <c r="H44" t="s">
        <v>25</v>
      </c>
      <c r="I44">
        <v>1</v>
      </c>
      <c r="J44" t="s">
        <v>109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23</v>
      </c>
      <c r="R44">
        <v>0</v>
      </c>
    </row>
    <row r="45" spans="1:18">
      <c r="A45">
        <v>83782200000000</v>
      </c>
      <c r="B45" t="s">
        <v>18</v>
      </c>
      <c r="C45">
        <v>33</v>
      </c>
      <c r="D45" t="s">
        <v>37</v>
      </c>
      <c r="E45" t="s">
        <v>69</v>
      </c>
      <c r="F45" s="1">
        <v>42528</v>
      </c>
      <c r="G45" s="1">
        <v>42529</v>
      </c>
      <c r="H45" t="s">
        <v>25</v>
      </c>
      <c r="I45">
        <v>1</v>
      </c>
      <c r="J45" t="s">
        <v>109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26</v>
      </c>
      <c r="R45">
        <v>1</v>
      </c>
    </row>
    <row r="46" spans="1:18">
      <c r="A46">
        <v>26829200000000</v>
      </c>
      <c r="B46" t="s">
        <v>28</v>
      </c>
      <c r="C46">
        <v>32</v>
      </c>
      <c r="D46" t="s">
        <v>37</v>
      </c>
      <c r="E46" t="s">
        <v>67</v>
      </c>
      <c r="F46" s="1">
        <v>42528</v>
      </c>
      <c r="G46" s="1">
        <v>42529</v>
      </c>
      <c r="H46" t="s">
        <v>25</v>
      </c>
      <c r="I46">
        <v>1</v>
      </c>
      <c r="J46" t="s">
        <v>109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26</v>
      </c>
      <c r="R46">
        <v>1</v>
      </c>
    </row>
    <row r="47" spans="1:18">
      <c r="A47">
        <v>392665000000000</v>
      </c>
      <c r="B47" t="s">
        <v>28</v>
      </c>
      <c r="C47">
        <v>29</v>
      </c>
      <c r="D47" t="s">
        <v>37</v>
      </c>
      <c r="E47" t="s">
        <v>54</v>
      </c>
      <c r="F47" s="1">
        <v>42528</v>
      </c>
      <c r="G47" s="1">
        <v>42528</v>
      </c>
      <c r="H47" t="s">
        <v>41</v>
      </c>
      <c r="I47">
        <v>0</v>
      </c>
      <c r="J47" t="s">
        <v>111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23</v>
      </c>
      <c r="R47">
        <v>0</v>
      </c>
    </row>
    <row r="48" spans="1:18">
      <c r="A48">
        <v>33924700000000</v>
      </c>
      <c r="B48" t="s">
        <v>18</v>
      </c>
      <c r="C48">
        <v>23</v>
      </c>
      <c r="D48" t="s">
        <v>37</v>
      </c>
      <c r="E48" t="s">
        <v>94</v>
      </c>
      <c r="F48" s="1">
        <v>42528</v>
      </c>
      <c r="G48" s="1">
        <v>42528</v>
      </c>
      <c r="H48" t="s">
        <v>41</v>
      </c>
      <c r="I48">
        <v>0</v>
      </c>
      <c r="J48" t="s">
        <v>111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23</v>
      </c>
      <c r="R48">
        <v>0</v>
      </c>
    </row>
    <row r="49" spans="1:18">
      <c r="A49">
        <v>77479600000000</v>
      </c>
      <c r="B49" t="s">
        <v>18</v>
      </c>
      <c r="C49">
        <v>27</v>
      </c>
      <c r="D49" t="s">
        <v>37</v>
      </c>
      <c r="E49" t="s">
        <v>95</v>
      </c>
      <c r="F49" s="1">
        <v>42528</v>
      </c>
      <c r="G49" s="1">
        <v>42528</v>
      </c>
      <c r="H49" t="s">
        <v>41</v>
      </c>
      <c r="I49">
        <v>0</v>
      </c>
      <c r="J49" t="s">
        <v>111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23</v>
      </c>
      <c r="R49">
        <v>0</v>
      </c>
    </row>
    <row r="50" spans="1:18">
      <c r="A50">
        <v>224466000000000</v>
      </c>
      <c r="B50" t="s">
        <v>18</v>
      </c>
      <c r="C50">
        <v>29</v>
      </c>
      <c r="D50" t="s">
        <v>37</v>
      </c>
      <c r="E50" t="s">
        <v>63</v>
      </c>
      <c r="F50" s="1">
        <v>42528</v>
      </c>
      <c r="G50" s="1">
        <v>42528</v>
      </c>
      <c r="H50" t="s">
        <v>41</v>
      </c>
      <c r="I50">
        <v>0</v>
      </c>
      <c r="J50" t="s">
        <v>111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23</v>
      </c>
      <c r="R50">
        <v>0</v>
      </c>
    </row>
    <row r="51" spans="1:18">
      <c r="A51">
        <v>23939400000000</v>
      </c>
      <c r="B51" t="s">
        <v>18</v>
      </c>
      <c r="C51">
        <v>21</v>
      </c>
      <c r="D51" t="s">
        <v>37</v>
      </c>
      <c r="E51" t="s">
        <v>39</v>
      </c>
      <c r="F51" s="1">
        <v>42430</v>
      </c>
      <c r="G51" s="1">
        <v>42506</v>
      </c>
      <c r="H51" t="s">
        <v>30</v>
      </c>
      <c r="I51">
        <v>76</v>
      </c>
      <c r="J51" t="s">
        <v>22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23</v>
      </c>
      <c r="R51">
        <v>0</v>
      </c>
    </row>
    <row r="52" spans="1:18">
      <c r="A52">
        <v>22532000000000</v>
      </c>
      <c r="B52" t="s">
        <v>18</v>
      </c>
      <c r="C52">
        <v>31</v>
      </c>
      <c r="D52" t="s">
        <v>37</v>
      </c>
      <c r="E52" t="s">
        <v>48</v>
      </c>
      <c r="F52" s="1">
        <v>42528</v>
      </c>
      <c r="G52" s="1">
        <v>42528</v>
      </c>
      <c r="H52" t="s">
        <v>41</v>
      </c>
      <c r="I52">
        <v>0</v>
      </c>
      <c r="J52" t="s">
        <v>111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 t="s">
        <v>26</v>
      </c>
      <c r="R52">
        <v>1</v>
      </c>
    </row>
    <row r="53" spans="1:18">
      <c r="A53">
        <v>533748000000000</v>
      </c>
      <c r="B53" t="s">
        <v>18</v>
      </c>
      <c r="C53">
        <v>35</v>
      </c>
      <c r="D53" t="s">
        <v>37</v>
      </c>
      <c r="E53" t="s">
        <v>39</v>
      </c>
      <c r="F53" s="1">
        <v>42430</v>
      </c>
      <c r="G53" s="1">
        <v>42493</v>
      </c>
      <c r="H53" t="s">
        <v>41</v>
      </c>
      <c r="I53">
        <v>63</v>
      </c>
      <c r="J53" t="s">
        <v>22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 t="s">
        <v>23</v>
      </c>
      <c r="R53">
        <v>0</v>
      </c>
    </row>
    <row r="54" spans="1:18">
      <c r="A54">
        <v>17385400000000</v>
      </c>
      <c r="B54" t="s">
        <v>18</v>
      </c>
      <c r="C54">
        <v>32</v>
      </c>
      <c r="D54" t="s">
        <v>37</v>
      </c>
      <c r="E54" t="s">
        <v>39</v>
      </c>
      <c r="F54" s="1">
        <v>42430</v>
      </c>
      <c r="G54" s="1">
        <v>42501</v>
      </c>
      <c r="H54" t="s">
        <v>25</v>
      </c>
      <c r="I54">
        <v>71</v>
      </c>
      <c r="J54" t="s">
        <v>22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 t="s">
        <v>23</v>
      </c>
      <c r="R54">
        <v>0</v>
      </c>
    </row>
    <row r="55" spans="1:18">
      <c r="A55">
        <v>785592000000000</v>
      </c>
      <c r="B55" t="s">
        <v>28</v>
      </c>
      <c r="C55">
        <v>31</v>
      </c>
      <c r="D55" t="s">
        <v>37</v>
      </c>
      <c r="E55" t="s">
        <v>44</v>
      </c>
      <c r="F55" s="1">
        <v>42528</v>
      </c>
      <c r="G55" s="1">
        <v>42528</v>
      </c>
      <c r="H55" t="s">
        <v>41</v>
      </c>
      <c r="I55">
        <v>0</v>
      </c>
      <c r="J55" t="s">
        <v>111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23</v>
      </c>
      <c r="R55">
        <v>0</v>
      </c>
    </row>
    <row r="56" spans="1:18">
      <c r="A56">
        <v>36848500000000</v>
      </c>
      <c r="B56" t="s">
        <v>18</v>
      </c>
      <c r="C56">
        <v>33</v>
      </c>
      <c r="D56" t="s">
        <v>37</v>
      </c>
      <c r="E56" t="s">
        <v>89</v>
      </c>
      <c r="F56" s="1">
        <v>42528</v>
      </c>
      <c r="G56" s="1">
        <v>42528</v>
      </c>
      <c r="H56" t="s">
        <v>41</v>
      </c>
      <c r="I56">
        <v>0</v>
      </c>
      <c r="J56" t="s">
        <v>111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23</v>
      </c>
      <c r="R56">
        <v>0</v>
      </c>
    </row>
    <row r="57" spans="1:18">
      <c r="A57">
        <v>458923000000000</v>
      </c>
      <c r="B57" t="s">
        <v>28</v>
      </c>
      <c r="C57">
        <v>32</v>
      </c>
      <c r="D57" t="s">
        <v>37</v>
      </c>
      <c r="E57" t="s">
        <v>39</v>
      </c>
      <c r="F57" s="1">
        <v>42430</v>
      </c>
      <c r="G57" s="1">
        <v>42500</v>
      </c>
      <c r="H57" t="s">
        <v>41</v>
      </c>
      <c r="I57">
        <v>70</v>
      </c>
      <c r="J57" t="s">
        <v>22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 t="s">
        <v>23</v>
      </c>
      <c r="R57">
        <v>0</v>
      </c>
    </row>
    <row r="58" spans="1:18">
      <c r="A58">
        <v>22462900000000</v>
      </c>
      <c r="B58" t="s">
        <v>28</v>
      </c>
      <c r="C58">
        <v>33</v>
      </c>
      <c r="D58" t="s">
        <v>37</v>
      </c>
      <c r="E58" t="s">
        <v>40</v>
      </c>
      <c r="F58" s="1">
        <v>42528</v>
      </c>
      <c r="G58" s="1">
        <v>42528</v>
      </c>
      <c r="H58" t="s">
        <v>41</v>
      </c>
      <c r="I58">
        <v>0</v>
      </c>
      <c r="J58" t="s">
        <v>111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23</v>
      </c>
      <c r="R58">
        <v>0</v>
      </c>
    </row>
    <row r="59" spans="1:18">
      <c r="A59">
        <v>725984000000</v>
      </c>
      <c r="B59" t="s">
        <v>18</v>
      </c>
      <c r="C59">
        <v>19</v>
      </c>
      <c r="D59" t="s">
        <v>37</v>
      </c>
      <c r="E59" t="s">
        <v>69</v>
      </c>
      <c r="F59" s="1">
        <v>42528</v>
      </c>
      <c r="G59" s="1">
        <v>42528</v>
      </c>
      <c r="H59" t="s">
        <v>41</v>
      </c>
      <c r="I59">
        <v>0</v>
      </c>
      <c r="J59" t="s">
        <v>111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23</v>
      </c>
      <c r="R59">
        <v>0</v>
      </c>
    </row>
    <row r="60" spans="1:18">
      <c r="A60">
        <v>2487660000000</v>
      </c>
      <c r="B60" t="s">
        <v>18</v>
      </c>
      <c r="C60">
        <v>35</v>
      </c>
      <c r="D60" t="s">
        <v>37</v>
      </c>
      <c r="E60" t="s">
        <v>32</v>
      </c>
      <c r="F60" s="1">
        <v>42528</v>
      </c>
      <c r="G60" s="1">
        <v>42528</v>
      </c>
      <c r="H60" t="s">
        <v>41</v>
      </c>
      <c r="I60">
        <v>0</v>
      </c>
      <c r="J60" t="s">
        <v>111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23</v>
      </c>
      <c r="R60">
        <v>0</v>
      </c>
    </row>
    <row r="61" spans="1:18">
      <c r="A61">
        <v>9813290000000</v>
      </c>
      <c r="B61" t="s">
        <v>18</v>
      </c>
      <c r="C61">
        <v>22</v>
      </c>
      <c r="D61" t="s">
        <v>37</v>
      </c>
      <c r="E61" t="s">
        <v>52</v>
      </c>
      <c r="F61" s="1">
        <v>42528</v>
      </c>
      <c r="G61" s="1">
        <v>42528</v>
      </c>
      <c r="H61" t="s">
        <v>41</v>
      </c>
      <c r="I61">
        <v>0</v>
      </c>
      <c r="J61" t="s">
        <v>111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23</v>
      </c>
      <c r="R61">
        <v>0</v>
      </c>
    </row>
    <row r="62" spans="1:18">
      <c r="A62">
        <v>17264900000000</v>
      </c>
      <c r="B62" t="s">
        <v>28</v>
      </c>
      <c r="C62">
        <v>21</v>
      </c>
      <c r="D62" t="s">
        <v>37</v>
      </c>
      <c r="E62" t="s">
        <v>84</v>
      </c>
      <c r="F62" s="1">
        <v>42528</v>
      </c>
      <c r="G62" s="1">
        <v>42528</v>
      </c>
      <c r="H62" t="s">
        <v>41</v>
      </c>
      <c r="I62">
        <v>0</v>
      </c>
      <c r="J62" t="s">
        <v>111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26</v>
      </c>
      <c r="R62">
        <v>1</v>
      </c>
    </row>
    <row r="63" spans="1:18">
      <c r="A63">
        <v>8856700000000</v>
      </c>
      <c r="B63" t="s">
        <v>18</v>
      </c>
      <c r="C63">
        <v>26</v>
      </c>
      <c r="D63" t="s">
        <v>37</v>
      </c>
      <c r="E63" t="s">
        <v>39</v>
      </c>
      <c r="F63" s="1">
        <v>42430</v>
      </c>
      <c r="G63" s="1">
        <v>42520</v>
      </c>
      <c r="H63" t="s">
        <v>30</v>
      </c>
      <c r="I63">
        <v>90</v>
      </c>
      <c r="J63" t="s">
        <v>22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 t="s">
        <v>26</v>
      </c>
      <c r="R63">
        <v>1</v>
      </c>
    </row>
    <row r="64" spans="1:18">
      <c r="A64">
        <v>47151300000000</v>
      </c>
      <c r="B64" t="s">
        <v>18</v>
      </c>
      <c r="C64">
        <v>19</v>
      </c>
      <c r="D64" t="s">
        <v>37</v>
      </c>
      <c r="E64" t="s">
        <v>50</v>
      </c>
      <c r="F64" s="1">
        <v>42528</v>
      </c>
      <c r="G64" s="1">
        <v>42529</v>
      </c>
      <c r="H64" t="s">
        <v>25</v>
      </c>
      <c r="I64">
        <v>1</v>
      </c>
      <c r="J64" t="s">
        <v>109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23</v>
      </c>
      <c r="R64">
        <v>0</v>
      </c>
    </row>
    <row r="65" spans="1:18">
      <c r="A65">
        <v>4668780000000</v>
      </c>
      <c r="B65" t="s">
        <v>18</v>
      </c>
      <c r="C65">
        <v>24</v>
      </c>
      <c r="D65" t="s">
        <v>37</v>
      </c>
      <c r="E65" t="s">
        <v>32</v>
      </c>
      <c r="F65" s="1">
        <v>42431</v>
      </c>
      <c r="G65" s="1">
        <v>42510</v>
      </c>
      <c r="H65" t="s">
        <v>21</v>
      </c>
      <c r="I65">
        <v>79</v>
      </c>
      <c r="J65" t="s">
        <v>22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23</v>
      </c>
      <c r="R65">
        <v>0</v>
      </c>
    </row>
    <row r="66" spans="1:18">
      <c r="A66">
        <v>619254000000000</v>
      </c>
      <c r="B66" t="s">
        <v>28</v>
      </c>
      <c r="C66">
        <v>28</v>
      </c>
      <c r="D66" t="s">
        <v>37</v>
      </c>
      <c r="E66" t="s">
        <v>48</v>
      </c>
      <c r="F66" s="1">
        <v>42431</v>
      </c>
      <c r="G66" s="1">
        <v>42521</v>
      </c>
      <c r="H66" t="s">
        <v>41</v>
      </c>
      <c r="I66">
        <v>90</v>
      </c>
      <c r="J66" t="s">
        <v>22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 t="s">
        <v>23</v>
      </c>
      <c r="R66">
        <v>0</v>
      </c>
    </row>
    <row r="67" spans="1:18">
      <c r="A67">
        <v>554616000000000</v>
      </c>
      <c r="B67" t="s">
        <v>18</v>
      </c>
      <c r="C67">
        <v>31</v>
      </c>
      <c r="D67" t="s">
        <v>37</v>
      </c>
      <c r="E67" t="s">
        <v>51</v>
      </c>
      <c r="F67" s="1">
        <v>42528</v>
      </c>
      <c r="G67" s="1">
        <v>42528</v>
      </c>
      <c r="H67" t="s">
        <v>41</v>
      </c>
      <c r="I67">
        <v>0</v>
      </c>
      <c r="J67" t="s">
        <v>111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23</v>
      </c>
      <c r="R67">
        <v>0</v>
      </c>
    </row>
    <row r="68" spans="1:18">
      <c r="A68">
        <v>94653900000000</v>
      </c>
      <c r="B68" t="s">
        <v>18</v>
      </c>
      <c r="C68">
        <v>34</v>
      </c>
      <c r="D68" t="s">
        <v>37</v>
      </c>
      <c r="E68" t="s">
        <v>39</v>
      </c>
      <c r="F68" s="1">
        <v>42528</v>
      </c>
      <c r="G68" s="1">
        <v>42528</v>
      </c>
      <c r="H68" t="s">
        <v>41</v>
      </c>
      <c r="I68">
        <v>0</v>
      </c>
      <c r="J68" t="s">
        <v>111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23</v>
      </c>
      <c r="R68">
        <v>0</v>
      </c>
    </row>
    <row r="69" spans="1:18">
      <c r="A69">
        <v>87757800000000</v>
      </c>
      <c r="B69" t="s">
        <v>18</v>
      </c>
      <c r="C69">
        <v>30</v>
      </c>
      <c r="D69" t="s">
        <v>37</v>
      </c>
      <c r="E69" t="s">
        <v>39</v>
      </c>
      <c r="F69" s="1">
        <v>42431</v>
      </c>
      <c r="G69" s="1">
        <v>42503</v>
      </c>
      <c r="H69" t="s">
        <v>21</v>
      </c>
      <c r="I69">
        <v>72</v>
      </c>
      <c r="J69" t="s">
        <v>22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23</v>
      </c>
      <c r="R69">
        <v>0</v>
      </c>
    </row>
    <row r="70" spans="1:18">
      <c r="A70">
        <v>28416300000000</v>
      </c>
      <c r="B70" t="s">
        <v>18</v>
      </c>
      <c r="C70">
        <v>33</v>
      </c>
      <c r="D70" t="s">
        <v>37</v>
      </c>
      <c r="E70" t="s">
        <v>44</v>
      </c>
      <c r="F70" s="1">
        <v>42528</v>
      </c>
      <c r="G70" s="1">
        <v>42528</v>
      </c>
      <c r="H70" t="s">
        <v>41</v>
      </c>
      <c r="I70">
        <v>0</v>
      </c>
      <c r="J70" t="s">
        <v>111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23</v>
      </c>
      <c r="R70">
        <v>0</v>
      </c>
    </row>
    <row r="71" spans="1:18">
      <c r="A71">
        <v>947888000000000</v>
      </c>
      <c r="B71" t="s">
        <v>18</v>
      </c>
      <c r="C71">
        <v>18</v>
      </c>
      <c r="D71" t="s">
        <v>37</v>
      </c>
      <c r="E71" t="s">
        <v>87</v>
      </c>
      <c r="F71" s="1">
        <v>42528</v>
      </c>
      <c r="G71" s="1">
        <v>42529</v>
      </c>
      <c r="H71" t="s">
        <v>25</v>
      </c>
      <c r="I71">
        <v>1</v>
      </c>
      <c r="J71" t="s">
        <v>109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23</v>
      </c>
      <c r="R71">
        <v>0</v>
      </c>
    </row>
    <row r="72" spans="1:18">
      <c r="A72">
        <v>8831446545</v>
      </c>
      <c r="B72" t="s">
        <v>18</v>
      </c>
      <c r="C72">
        <v>30</v>
      </c>
      <c r="D72" t="s">
        <v>37</v>
      </c>
      <c r="E72" t="s">
        <v>39</v>
      </c>
      <c r="F72" s="1">
        <v>42431</v>
      </c>
      <c r="G72" s="1">
        <v>42507</v>
      </c>
      <c r="H72" t="s">
        <v>41</v>
      </c>
      <c r="I72">
        <v>76</v>
      </c>
      <c r="J72" t="s">
        <v>22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26</v>
      </c>
      <c r="R72">
        <v>1</v>
      </c>
    </row>
    <row r="73" spans="1:18">
      <c r="A73">
        <v>36229314812</v>
      </c>
      <c r="B73" t="s">
        <v>18</v>
      </c>
      <c r="C73">
        <v>18</v>
      </c>
      <c r="D73" t="s">
        <v>37</v>
      </c>
      <c r="E73" t="s">
        <v>44</v>
      </c>
      <c r="F73" s="1">
        <v>42528</v>
      </c>
      <c r="G73" s="1">
        <v>42528</v>
      </c>
      <c r="H73" t="s">
        <v>41</v>
      </c>
      <c r="I73">
        <v>0</v>
      </c>
      <c r="J73" t="s">
        <v>111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23</v>
      </c>
      <c r="R73">
        <v>0</v>
      </c>
    </row>
    <row r="74" spans="1:18">
      <c r="A74">
        <v>27782400000000</v>
      </c>
      <c r="B74" t="s">
        <v>28</v>
      </c>
      <c r="C74">
        <v>30</v>
      </c>
      <c r="D74" t="s">
        <v>37</v>
      </c>
      <c r="E74" t="s">
        <v>78</v>
      </c>
      <c r="F74" s="1">
        <v>42528</v>
      </c>
      <c r="G74" s="1">
        <v>42528</v>
      </c>
      <c r="H74" t="s">
        <v>41</v>
      </c>
      <c r="I74">
        <v>0</v>
      </c>
      <c r="J74" t="s">
        <v>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23</v>
      </c>
      <c r="R74">
        <v>0</v>
      </c>
    </row>
    <row r="75" spans="1:18">
      <c r="A75">
        <v>3753600000000</v>
      </c>
      <c r="B75" t="s">
        <v>18</v>
      </c>
      <c r="C75">
        <v>31</v>
      </c>
      <c r="D75" t="s">
        <v>37</v>
      </c>
      <c r="E75" t="s">
        <v>44</v>
      </c>
      <c r="F75" s="1">
        <v>42528</v>
      </c>
      <c r="G75" s="1">
        <v>42528</v>
      </c>
      <c r="H75" t="s">
        <v>41</v>
      </c>
      <c r="I75">
        <v>0</v>
      </c>
      <c r="J75" t="s">
        <v>111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23</v>
      </c>
      <c r="R75">
        <v>0</v>
      </c>
    </row>
    <row r="76" spans="1:18">
      <c r="A76">
        <v>3622430000000</v>
      </c>
      <c r="B76" t="s">
        <v>28</v>
      </c>
      <c r="C76">
        <v>32</v>
      </c>
      <c r="D76" t="s">
        <v>37</v>
      </c>
      <c r="E76" t="s">
        <v>39</v>
      </c>
      <c r="F76" s="1">
        <v>42432</v>
      </c>
      <c r="G76" s="1">
        <v>42520</v>
      </c>
      <c r="H76" t="s">
        <v>30</v>
      </c>
      <c r="I76">
        <v>88</v>
      </c>
      <c r="J76" t="s">
        <v>22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 t="s">
        <v>26</v>
      </c>
      <c r="R76">
        <v>1</v>
      </c>
    </row>
    <row r="77" spans="1:18">
      <c r="A77">
        <v>6223980000000</v>
      </c>
      <c r="B77" t="s">
        <v>18</v>
      </c>
      <c r="C77">
        <v>29</v>
      </c>
      <c r="D77" t="s">
        <v>37</v>
      </c>
      <c r="E77" t="s">
        <v>38</v>
      </c>
      <c r="F77" s="1">
        <v>42528</v>
      </c>
      <c r="G77" s="1">
        <v>42528</v>
      </c>
      <c r="H77" t="s">
        <v>41</v>
      </c>
      <c r="I77">
        <v>0</v>
      </c>
      <c r="J77" t="s">
        <v>111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23</v>
      </c>
      <c r="R77">
        <v>0</v>
      </c>
    </row>
    <row r="78" spans="1:18">
      <c r="A78">
        <v>16871900000000</v>
      </c>
      <c r="B78" t="s">
        <v>18</v>
      </c>
      <c r="C78">
        <v>25</v>
      </c>
      <c r="D78" t="s">
        <v>37</v>
      </c>
      <c r="E78" t="s">
        <v>69</v>
      </c>
      <c r="F78" s="1">
        <v>42528</v>
      </c>
      <c r="G78" s="1">
        <v>42528</v>
      </c>
      <c r="H78" t="s">
        <v>41</v>
      </c>
      <c r="I78">
        <v>0</v>
      </c>
      <c r="J78" t="s">
        <v>111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23</v>
      </c>
      <c r="R78">
        <v>0</v>
      </c>
    </row>
    <row r="79" spans="1:18">
      <c r="A79">
        <v>84761500000000</v>
      </c>
      <c r="B79" t="s">
        <v>18</v>
      </c>
      <c r="C79">
        <v>21</v>
      </c>
      <c r="D79" t="s">
        <v>37</v>
      </c>
      <c r="E79" t="s">
        <v>105</v>
      </c>
      <c r="F79" s="1">
        <v>42528</v>
      </c>
      <c r="G79" s="1">
        <v>42528</v>
      </c>
      <c r="H79" t="s">
        <v>41</v>
      </c>
      <c r="I79">
        <v>0</v>
      </c>
      <c r="J79" t="s">
        <v>111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23</v>
      </c>
      <c r="R79">
        <v>0</v>
      </c>
    </row>
    <row r="80" spans="1:18">
      <c r="A80">
        <v>2721730000000</v>
      </c>
      <c r="B80" t="s">
        <v>18</v>
      </c>
      <c r="C80">
        <v>22</v>
      </c>
      <c r="D80" t="s">
        <v>37</v>
      </c>
      <c r="E80" t="s">
        <v>45</v>
      </c>
      <c r="F80" s="1">
        <v>42528</v>
      </c>
      <c r="G80" s="1">
        <v>42528</v>
      </c>
      <c r="H80" t="s">
        <v>41</v>
      </c>
      <c r="I80">
        <v>0</v>
      </c>
      <c r="J80" t="s">
        <v>111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23</v>
      </c>
      <c r="R80">
        <v>0</v>
      </c>
    </row>
    <row r="81" spans="1:18">
      <c r="A81">
        <v>49183400000000</v>
      </c>
      <c r="B81" t="s">
        <v>18</v>
      </c>
      <c r="C81">
        <v>32</v>
      </c>
      <c r="D81" t="s">
        <v>37</v>
      </c>
      <c r="E81" t="s">
        <v>73</v>
      </c>
      <c r="F81" s="1">
        <v>42528</v>
      </c>
      <c r="G81" s="1">
        <v>42528</v>
      </c>
      <c r="H81" t="s">
        <v>41</v>
      </c>
      <c r="I81">
        <v>0</v>
      </c>
      <c r="J81" t="s">
        <v>111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23</v>
      </c>
      <c r="R81">
        <v>0</v>
      </c>
    </row>
    <row r="82" spans="1:18">
      <c r="A82">
        <v>98388617733</v>
      </c>
      <c r="B82" t="s">
        <v>18</v>
      </c>
      <c r="C82">
        <v>29</v>
      </c>
      <c r="D82" t="s">
        <v>37</v>
      </c>
      <c r="E82" t="s">
        <v>45</v>
      </c>
      <c r="F82" s="1">
        <v>42528</v>
      </c>
      <c r="G82" s="1">
        <v>42528</v>
      </c>
      <c r="H82" t="s">
        <v>41</v>
      </c>
      <c r="I82">
        <v>0</v>
      </c>
      <c r="J82" t="s">
        <v>111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23</v>
      </c>
      <c r="R82">
        <v>0</v>
      </c>
    </row>
    <row r="83" spans="1:18">
      <c r="A83">
        <v>78839349359</v>
      </c>
      <c r="B83" t="s">
        <v>18</v>
      </c>
      <c r="C83">
        <v>30</v>
      </c>
      <c r="D83" t="s">
        <v>37</v>
      </c>
      <c r="E83" t="s">
        <v>20</v>
      </c>
      <c r="F83" s="1">
        <v>42527</v>
      </c>
      <c r="G83" s="1">
        <v>42529</v>
      </c>
      <c r="H83" t="s">
        <v>25</v>
      </c>
      <c r="I83">
        <v>2</v>
      </c>
      <c r="J83" t="s">
        <v>109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23</v>
      </c>
      <c r="R83">
        <v>0</v>
      </c>
    </row>
    <row r="84" spans="1:18">
      <c r="A84">
        <v>13586000000000</v>
      </c>
      <c r="B84" t="s">
        <v>18</v>
      </c>
      <c r="C84">
        <v>23</v>
      </c>
      <c r="D84" t="s">
        <v>37</v>
      </c>
      <c r="E84" t="s">
        <v>36</v>
      </c>
      <c r="F84" s="1">
        <v>42527</v>
      </c>
      <c r="G84" s="1">
        <v>42529</v>
      </c>
      <c r="H84" t="s">
        <v>25</v>
      </c>
      <c r="I84">
        <v>2</v>
      </c>
      <c r="J84" t="s">
        <v>109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26</v>
      </c>
      <c r="R84">
        <v>1</v>
      </c>
    </row>
    <row r="85" spans="1:18">
      <c r="A85">
        <v>17737300000000</v>
      </c>
      <c r="B85" t="s">
        <v>18</v>
      </c>
      <c r="C85">
        <v>21</v>
      </c>
      <c r="D85" t="s">
        <v>37</v>
      </c>
      <c r="E85" t="s">
        <v>71</v>
      </c>
      <c r="F85" s="1">
        <v>42527</v>
      </c>
      <c r="G85" s="1">
        <v>42528</v>
      </c>
      <c r="H85" t="s">
        <v>41</v>
      </c>
      <c r="I85">
        <v>1</v>
      </c>
      <c r="J85" t="s">
        <v>109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23</v>
      </c>
      <c r="R85">
        <v>0</v>
      </c>
    </row>
    <row r="86" spans="1:18">
      <c r="A86">
        <v>81894500000000</v>
      </c>
      <c r="B86" t="s">
        <v>28</v>
      </c>
      <c r="C86">
        <v>35</v>
      </c>
      <c r="D86" t="s">
        <v>37</v>
      </c>
      <c r="E86" t="s">
        <v>54</v>
      </c>
      <c r="F86" s="1">
        <v>42527</v>
      </c>
      <c r="G86" s="1">
        <v>42527</v>
      </c>
      <c r="H86" t="s">
        <v>30</v>
      </c>
      <c r="I86">
        <v>0</v>
      </c>
      <c r="J86" t="s">
        <v>111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23</v>
      </c>
      <c r="R86">
        <v>0</v>
      </c>
    </row>
    <row r="87" spans="1:18">
      <c r="A87">
        <v>53192100000000</v>
      </c>
      <c r="B87" t="s">
        <v>28</v>
      </c>
      <c r="C87">
        <v>22</v>
      </c>
      <c r="D87" t="s">
        <v>37</v>
      </c>
      <c r="E87" t="s">
        <v>32</v>
      </c>
      <c r="F87" s="1">
        <v>42433</v>
      </c>
      <c r="G87" s="1">
        <v>42492</v>
      </c>
      <c r="H87" t="s">
        <v>30</v>
      </c>
      <c r="I87">
        <v>59</v>
      </c>
      <c r="J87" t="s">
        <v>22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 t="s">
        <v>23</v>
      </c>
      <c r="R87">
        <v>0</v>
      </c>
    </row>
    <row r="88" spans="1:18">
      <c r="A88">
        <v>854625000000000</v>
      </c>
      <c r="B88" t="s">
        <v>18</v>
      </c>
      <c r="C88">
        <v>34</v>
      </c>
      <c r="D88" t="s">
        <v>37</v>
      </c>
      <c r="E88" t="s">
        <v>20</v>
      </c>
      <c r="F88" s="1">
        <v>42527</v>
      </c>
      <c r="G88" s="1">
        <v>42529</v>
      </c>
      <c r="H88" t="s">
        <v>25</v>
      </c>
      <c r="I88">
        <v>2</v>
      </c>
      <c r="J88" t="s">
        <v>109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 t="s">
        <v>23</v>
      </c>
      <c r="R88">
        <v>0</v>
      </c>
    </row>
    <row r="89" spans="1:18">
      <c r="A89">
        <v>574543000000000</v>
      </c>
      <c r="B89" t="s">
        <v>18</v>
      </c>
      <c r="C89">
        <v>35</v>
      </c>
      <c r="D89" t="s">
        <v>37</v>
      </c>
      <c r="E89" t="s">
        <v>93</v>
      </c>
      <c r="F89" s="1">
        <v>42527</v>
      </c>
      <c r="G89" s="1">
        <v>42528</v>
      </c>
      <c r="H89" t="s">
        <v>41</v>
      </c>
      <c r="I89">
        <v>1</v>
      </c>
      <c r="J89" t="s">
        <v>109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23</v>
      </c>
      <c r="R89">
        <v>0</v>
      </c>
    </row>
    <row r="90" spans="1:18">
      <c r="A90">
        <v>87114800000000</v>
      </c>
      <c r="B90" t="s">
        <v>18</v>
      </c>
      <c r="C90">
        <v>24</v>
      </c>
      <c r="D90" t="s">
        <v>37</v>
      </c>
      <c r="E90" t="s">
        <v>39</v>
      </c>
      <c r="F90" s="1">
        <v>42527</v>
      </c>
      <c r="G90" s="1">
        <v>42529</v>
      </c>
      <c r="H90" t="s">
        <v>25</v>
      </c>
      <c r="I90">
        <v>2</v>
      </c>
      <c r="J90" t="s">
        <v>109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23</v>
      </c>
      <c r="R90">
        <v>0</v>
      </c>
    </row>
    <row r="91" spans="1:18">
      <c r="A91">
        <v>514620000000000</v>
      </c>
      <c r="B91" t="s">
        <v>28</v>
      </c>
      <c r="C91">
        <v>32</v>
      </c>
      <c r="D91" t="s">
        <v>37</v>
      </c>
      <c r="E91" t="s">
        <v>36</v>
      </c>
      <c r="F91" s="1">
        <v>42527</v>
      </c>
      <c r="G91" s="1">
        <v>42527</v>
      </c>
      <c r="H91" t="s">
        <v>30</v>
      </c>
      <c r="I91">
        <v>0</v>
      </c>
      <c r="J91" t="s">
        <v>111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23</v>
      </c>
      <c r="R91">
        <v>0</v>
      </c>
    </row>
    <row r="92" spans="1:18">
      <c r="A92">
        <v>78621900000000</v>
      </c>
      <c r="B92" t="s">
        <v>18</v>
      </c>
      <c r="C92">
        <v>34</v>
      </c>
      <c r="D92" t="s">
        <v>37</v>
      </c>
      <c r="E92" t="s">
        <v>40</v>
      </c>
      <c r="F92" s="1">
        <v>42527</v>
      </c>
      <c r="G92" s="1">
        <v>42527</v>
      </c>
      <c r="H92" t="s">
        <v>30</v>
      </c>
      <c r="I92">
        <v>0</v>
      </c>
      <c r="J92" t="s">
        <v>111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23</v>
      </c>
      <c r="R92">
        <v>0</v>
      </c>
    </row>
    <row r="93" spans="1:18">
      <c r="A93">
        <v>384677000000</v>
      </c>
      <c r="B93" t="s">
        <v>18</v>
      </c>
      <c r="C93">
        <v>26</v>
      </c>
      <c r="D93" t="s">
        <v>37</v>
      </c>
      <c r="E93" t="s">
        <v>68</v>
      </c>
      <c r="F93" s="1">
        <v>42527</v>
      </c>
      <c r="G93" s="1">
        <v>42529</v>
      </c>
      <c r="H93" t="s">
        <v>25</v>
      </c>
      <c r="I93">
        <v>2</v>
      </c>
      <c r="J93" t="s">
        <v>109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23</v>
      </c>
      <c r="R93">
        <v>0</v>
      </c>
    </row>
    <row r="94" spans="1:18">
      <c r="A94">
        <v>47748900000000</v>
      </c>
      <c r="B94" t="s">
        <v>18</v>
      </c>
      <c r="C94">
        <v>18</v>
      </c>
      <c r="D94" t="s">
        <v>37</v>
      </c>
      <c r="E94" t="s">
        <v>39</v>
      </c>
      <c r="F94" s="1">
        <v>42433</v>
      </c>
      <c r="G94" s="1">
        <v>42509</v>
      </c>
      <c r="H94" t="s">
        <v>33</v>
      </c>
      <c r="I94">
        <v>76</v>
      </c>
      <c r="J94" t="s">
        <v>22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23</v>
      </c>
      <c r="R94">
        <v>0</v>
      </c>
    </row>
    <row r="95" spans="1:18">
      <c r="A95">
        <v>4649720000000</v>
      </c>
      <c r="B95" t="s">
        <v>18</v>
      </c>
      <c r="C95">
        <v>22</v>
      </c>
      <c r="D95" t="s">
        <v>37</v>
      </c>
      <c r="E95" t="s">
        <v>61</v>
      </c>
      <c r="F95" s="1">
        <v>42527</v>
      </c>
      <c r="G95" s="1">
        <v>42527</v>
      </c>
      <c r="H95" t="s">
        <v>30</v>
      </c>
      <c r="I95">
        <v>0</v>
      </c>
      <c r="J95" t="s">
        <v>111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23</v>
      </c>
      <c r="R95">
        <v>0</v>
      </c>
    </row>
    <row r="96" spans="1:18">
      <c r="A96">
        <v>522832000000000</v>
      </c>
      <c r="B96" t="s">
        <v>18</v>
      </c>
      <c r="C96">
        <v>20</v>
      </c>
      <c r="D96" t="s">
        <v>37</v>
      </c>
      <c r="E96" t="s">
        <v>94</v>
      </c>
      <c r="F96" s="1">
        <v>42527</v>
      </c>
      <c r="G96" s="1">
        <v>42527</v>
      </c>
      <c r="H96" t="s">
        <v>30</v>
      </c>
      <c r="I96">
        <v>0</v>
      </c>
      <c r="J96" t="s">
        <v>111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23</v>
      </c>
      <c r="R96">
        <v>0</v>
      </c>
    </row>
    <row r="97" spans="1:18">
      <c r="A97">
        <v>81647400000000</v>
      </c>
      <c r="B97" t="s">
        <v>18</v>
      </c>
      <c r="C97">
        <v>19</v>
      </c>
      <c r="D97" t="s">
        <v>37</v>
      </c>
      <c r="E97" t="s">
        <v>58</v>
      </c>
      <c r="F97" s="1">
        <v>42527</v>
      </c>
      <c r="G97" s="1">
        <v>42528</v>
      </c>
      <c r="H97" t="s">
        <v>41</v>
      </c>
      <c r="I97">
        <v>1</v>
      </c>
      <c r="J97" t="s">
        <v>109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23</v>
      </c>
      <c r="R97">
        <v>0</v>
      </c>
    </row>
    <row r="98" spans="1:18">
      <c r="A98">
        <v>36933400000000</v>
      </c>
      <c r="B98" t="s">
        <v>18</v>
      </c>
      <c r="C98">
        <v>21</v>
      </c>
      <c r="D98" t="s">
        <v>37</v>
      </c>
      <c r="E98" t="s">
        <v>72</v>
      </c>
      <c r="F98" s="1">
        <v>42527</v>
      </c>
      <c r="G98" s="1">
        <v>42528</v>
      </c>
      <c r="H98" t="s">
        <v>41</v>
      </c>
      <c r="I98">
        <v>1</v>
      </c>
      <c r="J98" t="s">
        <v>109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23</v>
      </c>
      <c r="R98">
        <v>0</v>
      </c>
    </row>
    <row r="99" spans="1:18">
      <c r="A99">
        <v>23729000000000</v>
      </c>
      <c r="B99" t="s">
        <v>18</v>
      </c>
      <c r="C99">
        <v>31</v>
      </c>
      <c r="D99" t="s">
        <v>37</v>
      </c>
      <c r="E99" t="s">
        <v>72</v>
      </c>
      <c r="F99" s="1">
        <v>42527</v>
      </c>
      <c r="G99" s="1">
        <v>42528</v>
      </c>
      <c r="H99" t="s">
        <v>41</v>
      </c>
      <c r="I99">
        <v>1</v>
      </c>
      <c r="J99" t="s">
        <v>109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23</v>
      </c>
      <c r="R99">
        <v>0</v>
      </c>
    </row>
    <row r="100" spans="1:18">
      <c r="A100">
        <v>8244270000000</v>
      </c>
      <c r="B100" t="s">
        <v>18</v>
      </c>
      <c r="C100">
        <v>29</v>
      </c>
      <c r="D100" t="s">
        <v>37</v>
      </c>
      <c r="E100" t="s">
        <v>53</v>
      </c>
      <c r="F100" s="1">
        <v>42436</v>
      </c>
      <c r="G100" s="1">
        <v>42493</v>
      </c>
      <c r="H100" t="s">
        <v>41</v>
      </c>
      <c r="I100">
        <v>57</v>
      </c>
      <c r="J100" t="s">
        <v>22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 t="s">
        <v>23</v>
      </c>
      <c r="R100">
        <v>0</v>
      </c>
    </row>
    <row r="101" spans="1:18">
      <c r="A101">
        <v>532955000000</v>
      </c>
      <c r="B101" t="s">
        <v>18</v>
      </c>
      <c r="C101">
        <v>29</v>
      </c>
      <c r="D101" t="s">
        <v>37</v>
      </c>
      <c r="E101" t="s">
        <v>32</v>
      </c>
      <c r="F101" s="1">
        <v>42527</v>
      </c>
      <c r="G101" s="1">
        <v>42527</v>
      </c>
      <c r="H101" t="s">
        <v>30</v>
      </c>
      <c r="I101">
        <v>0</v>
      </c>
      <c r="J101" t="s">
        <v>111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0</v>
      </c>
      <c r="Q101" t="s">
        <v>23</v>
      </c>
      <c r="R101">
        <v>0</v>
      </c>
    </row>
    <row r="102" spans="1:18">
      <c r="A102">
        <v>7979450000000</v>
      </c>
      <c r="B102" t="s">
        <v>18</v>
      </c>
      <c r="C102">
        <v>26</v>
      </c>
      <c r="D102" t="s">
        <v>37</v>
      </c>
      <c r="E102" t="s">
        <v>69</v>
      </c>
      <c r="F102" s="1">
        <v>42527</v>
      </c>
      <c r="G102" s="1">
        <v>42527</v>
      </c>
      <c r="H102" t="s">
        <v>30</v>
      </c>
      <c r="I102">
        <v>0</v>
      </c>
      <c r="J102" t="s">
        <v>111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23</v>
      </c>
      <c r="R102">
        <v>0</v>
      </c>
    </row>
    <row r="103" spans="1:18">
      <c r="A103">
        <v>8986500000000</v>
      </c>
      <c r="B103" t="s">
        <v>18</v>
      </c>
      <c r="C103">
        <v>35</v>
      </c>
      <c r="D103" t="s">
        <v>37</v>
      </c>
      <c r="E103" t="s">
        <v>82</v>
      </c>
      <c r="F103" s="1">
        <v>42527</v>
      </c>
      <c r="G103" s="1">
        <v>42527</v>
      </c>
      <c r="H103" t="s">
        <v>30</v>
      </c>
      <c r="I103">
        <v>0</v>
      </c>
      <c r="J103" t="s">
        <v>111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23</v>
      </c>
      <c r="R103">
        <v>0</v>
      </c>
    </row>
    <row r="104" spans="1:18">
      <c r="A104">
        <v>8755450000000</v>
      </c>
      <c r="B104" t="s">
        <v>18</v>
      </c>
      <c r="C104">
        <v>18</v>
      </c>
      <c r="D104" t="s">
        <v>37</v>
      </c>
      <c r="E104" t="s">
        <v>39</v>
      </c>
      <c r="F104" s="1">
        <v>42436</v>
      </c>
      <c r="G104" s="1">
        <v>42521</v>
      </c>
      <c r="H104" t="s">
        <v>41</v>
      </c>
      <c r="I104">
        <v>85</v>
      </c>
      <c r="J104" t="s">
        <v>22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 t="s">
        <v>23</v>
      </c>
      <c r="R104">
        <v>0</v>
      </c>
    </row>
    <row r="105" spans="1:18">
      <c r="A105">
        <v>66197353628</v>
      </c>
      <c r="B105" t="s">
        <v>28</v>
      </c>
      <c r="C105">
        <v>24</v>
      </c>
      <c r="D105" t="s">
        <v>37</v>
      </c>
      <c r="E105" t="s">
        <v>100</v>
      </c>
      <c r="F105" s="1">
        <v>42527</v>
      </c>
      <c r="G105" s="1">
        <v>42529</v>
      </c>
      <c r="H105" t="s">
        <v>25</v>
      </c>
      <c r="I105">
        <v>2</v>
      </c>
      <c r="J105" t="s">
        <v>109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26</v>
      </c>
      <c r="R105">
        <v>1</v>
      </c>
    </row>
    <row r="106" spans="1:18">
      <c r="A106">
        <v>6195920000000</v>
      </c>
      <c r="B106" t="s">
        <v>28</v>
      </c>
      <c r="C106">
        <v>32</v>
      </c>
      <c r="D106" t="s">
        <v>37</v>
      </c>
      <c r="E106" t="s">
        <v>86</v>
      </c>
      <c r="F106" s="1">
        <v>42527</v>
      </c>
      <c r="G106" s="1">
        <v>42529</v>
      </c>
      <c r="H106" t="s">
        <v>25</v>
      </c>
      <c r="I106">
        <v>2</v>
      </c>
      <c r="J106" t="s">
        <v>109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23</v>
      </c>
      <c r="R106">
        <v>0</v>
      </c>
    </row>
    <row r="107" spans="1:18">
      <c r="A107">
        <v>6972620000000</v>
      </c>
      <c r="B107" t="s">
        <v>18</v>
      </c>
      <c r="C107">
        <v>35</v>
      </c>
      <c r="D107" t="s">
        <v>37</v>
      </c>
      <c r="E107" t="s">
        <v>68</v>
      </c>
      <c r="F107" s="1">
        <v>42527</v>
      </c>
      <c r="G107" s="1">
        <v>42527</v>
      </c>
      <c r="H107" t="s">
        <v>30</v>
      </c>
      <c r="I107">
        <v>0</v>
      </c>
      <c r="J107" t="s">
        <v>111</v>
      </c>
      <c r="K107">
        <v>0</v>
      </c>
      <c r="L107">
        <v>1</v>
      </c>
      <c r="M107">
        <v>1</v>
      </c>
      <c r="N107">
        <v>1</v>
      </c>
      <c r="O107">
        <v>0</v>
      </c>
      <c r="P107">
        <v>0</v>
      </c>
      <c r="Q107" t="s">
        <v>23</v>
      </c>
      <c r="R107">
        <v>0</v>
      </c>
    </row>
    <row r="108" spans="1:18">
      <c r="A108">
        <v>771190000000000</v>
      </c>
      <c r="B108" t="s">
        <v>28</v>
      </c>
      <c r="C108">
        <v>20</v>
      </c>
      <c r="D108" t="s">
        <v>37</v>
      </c>
      <c r="E108" t="s">
        <v>51</v>
      </c>
      <c r="F108" s="1">
        <v>42527</v>
      </c>
      <c r="G108" s="1">
        <v>42527</v>
      </c>
      <c r="H108" t="s">
        <v>30</v>
      </c>
      <c r="I108">
        <v>0</v>
      </c>
      <c r="J108" t="s">
        <v>111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23</v>
      </c>
      <c r="R108">
        <v>0</v>
      </c>
    </row>
    <row r="109" spans="1:18">
      <c r="A109">
        <v>988653000000000</v>
      </c>
      <c r="B109" t="s">
        <v>18</v>
      </c>
      <c r="C109">
        <v>32</v>
      </c>
      <c r="D109" t="s">
        <v>37</v>
      </c>
      <c r="E109" t="s">
        <v>71</v>
      </c>
      <c r="F109" s="1">
        <v>42527</v>
      </c>
      <c r="G109" s="1">
        <v>42527</v>
      </c>
      <c r="H109" t="s">
        <v>30</v>
      </c>
      <c r="I109">
        <v>0</v>
      </c>
      <c r="J109" t="s">
        <v>111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23</v>
      </c>
      <c r="R109">
        <v>0</v>
      </c>
    </row>
    <row r="110" spans="1:18">
      <c r="A110">
        <v>734244000000000</v>
      </c>
      <c r="B110" t="s">
        <v>28</v>
      </c>
      <c r="C110">
        <v>30</v>
      </c>
      <c r="D110" t="s">
        <v>37</v>
      </c>
      <c r="E110" t="s">
        <v>46</v>
      </c>
      <c r="F110" s="1">
        <v>42437</v>
      </c>
      <c r="G110" s="1">
        <v>42507</v>
      </c>
      <c r="H110" t="s">
        <v>41</v>
      </c>
      <c r="I110">
        <v>70</v>
      </c>
      <c r="J110" t="s">
        <v>22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26</v>
      </c>
      <c r="R110">
        <v>1</v>
      </c>
    </row>
    <row r="111" spans="1:18">
      <c r="A111">
        <v>532955000000</v>
      </c>
      <c r="B111" t="s">
        <v>18</v>
      </c>
      <c r="C111">
        <v>29</v>
      </c>
      <c r="D111" t="s">
        <v>37</v>
      </c>
      <c r="E111" t="s">
        <v>32</v>
      </c>
      <c r="F111" s="1">
        <v>42527</v>
      </c>
      <c r="G111" s="1">
        <v>42527</v>
      </c>
      <c r="H111" t="s">
        <v>30</v>
      </c>
      <c r="I111">
        <v>0</v>
      </c>
      <c r="J111" t="s">
        <v>111</v>
      </c>
      <c r="K111">
        <v>0</v>
      </c>
      <c r="L111">
        <v>0</v>
      </c>
      <c r="M111">
        <v>0</v>
      </c>
      <c r="N111">
        <v>1</v>
      </c>
      <c r="O111">
        <v>1</v>
      </c>
      <c r="P111">
        <v>0</v>
      </c>
      <c r="Q111" t="s">
        <v>23</v>
      </c>
      <c r="R111">
        <v>0</v>
      </c>
    </row>
    <row r="112" spans="1:18">
      <c r="A112">
        <v>9111440000000</v>
      </c>
      <c r="B112" t="s">
        <v>18</v>
      </c>
      <c r="C112">
        <v>35</v>
      </c>
      <c r="D112" t="s">
        <v>37</v>
      </c>
      <c r="E112" t="s">
        <v>50</v>
      </c>
      <c r="F112" s="1">
        <v>42527</v>
      </c>
      <c r="G112" s="1">
        <v>42527</v>
      </c>
      <c r="H112" t="s">
        <v>30</v>
      </c>
      <c r="I112">
        <v>0</v>
      </c>
      <c r="J112" t="s">
        <v>111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23</v>
      </c>
      <c r="R112">
        <v>0</v>
      </c>
    </row>
    <row r="113" spans="1:18">
      <c r="A113">
        <v>14328800000000</v>
      </c>
      <c r="B113" t="s">
        <v>18</v>
      </c>
      <c r="C113">
        <v>18</v>
      </c>
      <c r="D113" t="s">
        <v>37</v>
      </c>
      <c r="E113" t="s">
        <v>32</v>
      </c>
      <c r="F113" s="1">
        <v>42527</v>
      </c>
      <c r="G113" s="1">
        <v>42527</v>
      </c>
      <c r="H113" t="s">
        <v>30</v>
      </c>
      <c r="I113">
        <v>0</v>
      </c>
      <c r="J113" t="s">
        <v>111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23</v>
      </c>
      <c r="R113">
        <v>0</v>
      </c>
    </row>
    <row r="114" spans="1:18">
      <c r="A114">
        <v>63129800000000</v>
      </c>
      <c r="B114" t="s">
        <v>18</v>
      </c>
      <c r="C114">
        <v>22</v>
      </c>
      <c r="D114" t="s">
        <v>37</v>
      </c>
      <c r="E114" t="s">
        <v>55</v>
      </c>
      <c r="F114" s="1">
        <v>42527</v>
      </c>
      <c r="G114" s="1">
        <v>42529</v>
      </c>
      <c r="H114" t="s">
        <v>25</v>
      </c>
      <c r="I114">
        <v>2</v>
      </c>
      <c r="J114" t="s">
        <v>109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23</v>
      </c>
      <c r="R114">
        <v>0</v>
      </c>
    </row>
    <row r="115" spans="1:18">
      <c r="A115">
        <v>22524200000000</v>
      </c>
      <c r="B115" t="s">
        <v>18</v>
      </c>
      <c r="C115">
        <v>27</v>
      </c>
      <c r="D115" t="s">
        <v>37</v>
      </c>
      <c r="E115" t="s">
        <v>45</v>
      </c>
      <c r="F115" s="1">
        <v>42527</v>
      </c>
      <c r="G115" s="1">
        <v>42527</v>
      </c>
      <c r="H115" t="s">
        <v>30</v>
      </c>
      <c r="I115">
        <v>0</v>
      </c>
      <c r="J115" t="s">
        <v>111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23</v>
      </c>
      <c r="R115">
        <v>0</v>
      </c>
    </row>
    <row r="116" spans="1:18">
      <c r="A116">
        <v>67878900000000</v>
      </c>
      <c r="B116" t="s">
        <v>18</v>
      </c>
      <c r="C116">
        <v>22</v>
      </c>
      <c r="D116" t="s">
        <v>37</v>
      </c>
      <c r="E116" t="s">
        <v>59</v>
      </c>
      <c r="F116" s="1">
        <v>42527</v>
      </c>
      <c r="G116" s="1">
        <v>42527</v>
      </c>
      <c r="H116" t="s">
        <v>30</v>
      </c>
      <c r="I116">
        <v>0</v>
      </c>
      <c r="J116" t="s">
        <v>111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23</v>
      </c>
      <c r="R116">
        <v>0</v>
      </c>
    </row>
    <row r="117" spans="1:18">
      <c r="A117">
        <v>92117600000000</v>
      </c>
      <c r="B117" t="s">
        <v>18</v>
      </c>
      <c r="C117">
        <v>23</v>
      </c>
      <c r="D117" t="s">
        <v>37</v>
      </c>
      <c r="E117" t="s">
        <v>45</v>
      </c>
      <c r="F117" s="1">
        <v>42527</v>
      </c>
      <c r="G117" s="1">
        <v>42529</v>
      </c>
      <c r="H117" t="s">
        <v>25</v>
      </c>
      <c r="I117">
        <v>2</v>
      </c>
      <c r="J117" t="s">
        <v>109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26</v>
      </c>
      <c r="R117">
        <v>1</v>
      </c>
    </row>
    <row r="118" spans="1:18">
      <c r="A118">
        <v>54976800000000</v>
      </c>
      <c r="B118" t="s">
        <v>28</v>
      </c>
      <c r="C118">
        <v>19</v>
      </c>
      <c r="D118" t="s">
        <v>37</v>
      </c>
      <c r="E118" t="s">
        <v>38</v>
      </c>
      <c r="F118" s="1">
        <v>42527</v>
      </c>
      <c r="G118" s="1">
        <v>42527</v>
      </c>
      <c r="H118" t="s">
        <v>30</v>
      </c>
      <c r="I118">
        <v>0</v>
      </c>
      <c r="J118" t="s">
        <v>111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23</v>
      </c>
      <c r="R118">
        <v>0</v>
      </c>
    </row>
    <row r="119" spans="1:18">
      <c r="A119">
        <v>23399200000000</v>
      </c>
      <c r="B119" t="s">
        <v>18</v>
      </c>
      <c r="C119">
        <v>30</v>
      </c>
      <c r="D119" t="s">
        <v>37</v>
      </c>
      <c r="E119" t="s">
        <v>39</v>
      </c>
      <c r="F119" s="1">
        <v>42527</v>
      </c>
      <c r="G119" s="1">
        <v>42527</v>
      </c>
      <c r="H119" t="s">
        <v>30</v>
      </c>
      <c r="I119">
        <v>0</v>
      </c>
      <c r="J119" t="s">
        <v>111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23</v>
      </c>
      <c r="R119">
        <v>0</v>
      </c>
    </row>
    <row r="120" spans="1:18">
      <c r="A120">
        <v>82334736979</v>
      </c>
      <c r="B120" t="s">
        <v>18</v>
      </c>
      <c r="C120">
        <v>33</v>
      </c>
      <c r="D120" t="s">
        <v>37</v>
      </c>
      <c r="E120" t="s">
        <v>40</v>
      </c>
      <c r="F120" s="1">
        <v>42527</v>
      </c>
      <c r="G120" s="1">
        <v>42527</v>
      </c>
      <c r="H120" t="s">
        <v>30</v>
      </c>
      <c r="I120">
        <v>0</v>
      </c>
      <c r="J120" t="s">
        <v>111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23</v>
      </c>
      <c r="R120">
        <v>0</v>
      </c>
    </row>
    <row r="121" spans="1:18">
      <c r="A121">
        <v>88631100000000</v>
      </c>
      <c r="B121" t="s">
        <v>18</v>
      </c>
      <c r="C121">
        <v>24</v>
      </c>
      <c r="D121" t="s">
        <v>37</v>
      </c>
      <c r="E121" t="s">
        <v>50</v>
      </c>
      <c r="F121" s="1">
        <v>42527</v>
      </c>
      <c r="G121" s="1">
        <v>42527</v>
      </c>
      <c r="H121" t="s">
        <v>30</v>
      </c>
      <c r="I121">
        <v>0</v>
      </c>
      <c r="J121" t="s">
        <v>111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23</v>
      </c>
      <c r="R121">
        <v>0</v>
      </c>
    </row>
    <row r="122" spans="1:18">
      <c r="A122">
        <v>861519000000</v>
      </c>
      <c r="B122" t="s">
        <v>18</v>
      </c>
      <c r="C122">
        <v>21</v>
      </c>
      <c r="D122" t="s">
        <v>37</v>
      </c>
      <c r="E122" t="s">
        <v>32</v>
      </c>
      <c r="F122" s="1">
        <v>42439</v>
      </c>
      <c r="G122" s="1">
        <v>42496</v>
      </c>
      <c r="H122" t="s">
        <v>21</v>
      </c>
      <c r="I122">
        <v>57</v>
      </c>
      <c r="J122" t="s">
        <v>22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23</v>
      </c>
      <c r="R122">
        <v>0</v>
      </c>
    </row>
    <row r="123" spans="1:18">
      <c r="A123">
        <v>11952669811</v>
      </c>
      <c r="B123" t="s">
        <v>18</v>
      </c>
      <c r="C123">
        <v>21</v>
      </c>
      <c r="D123" t="s">
        <v>37</v>
      </c>
      <c r="E123" t="s">
        <v>51</v>
      </c>
      <c r="F123" s="1">
        <v>42527</v>
      </c>
      <c r="G123" s="1">
        <v>42529</v>
      </c>
      <c r="H123" t="s">
        <v>25</v>
      </c>
      <c r="I123">
        <v>2</v>
      </c>
      <c r="J123" t="s">
        <v>109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23</v>
      </c>
      <c r="R123">
        <v>0</v>
      </c>
    </row>
    <row r="124" spans="1:18">
      <c r="A124">
        <v>4726760000000</v>
      </c>
      <c r="B124" t="s">
        <v>18</v>
      </c>
      <c r="C124">
        <v>31</v>
      </c>
      <c r="D124" t="s">
        <v>37</v>
      </c>
      <c r="E124" t="s">
        <v>52</v>
      </c>
      <c r="F124" s="1">
        <v>42527</v>
      </c>
      <c r="G124" s="1">
        <v>42529</v>
      </c>
      <c r="H124" t="s">
        <v>25</v>
      </c>
      <c r="I124">
        <v>2</v>
      </c>
      <c r="J124" t="s">
        <v>109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23</v>
      </c>
      <c r="R124">
        <v>0</v>
      </c>
    </row>
    <row r="125" spans="1:18">
      <c r="A125">
        <v>573423000000000</v>
      </c>
      <c r="B125" t="s">
        <v>18</v>
      </c>
      <c r="C125">
        <v>21</v>
      </c>
      <c r="D125" t="s">
        <v>37</v>
      </c>
      <c r="E125" t="s">
        <v>79</v>
      </c>
      <c r="F125" s="1">
        <v>42524</v>
      </c>
      <c r="G125" s="1">
        <v>42527</v>
      </c>
      <c r="H125" t="s">
        <v>30</v>
      </c>
      <c r="I125">
        <v>3</v>
      </c>
      <c r="J125" t="s">
        <v>109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23</v>
      </c>
      <c r="R125">
        <v>0</v>
      </c>
    </row>
    <row r="126" spans="1:18">
      <c r="A126">
        <v>17823600000000</v>
      </c>
      <c r="B126" t="s">
        <v>28</v>
      </c>
      <c r="C126">
        <v>34</v>
      </c>
      <c r="D126" t="s">
        <v>37</v>
      </c>
      <c r="E126" t="s">
        <v>70</v>
      </c>
      <c r="F126" s="1">
        <v>42524</v>
      </c>
      <c r="G126" s="1">
        <v>42528</v>
      </c>
      <c r="H126" t="s">
        <v>41</v>
      </c>
      <c r="I126">
        <v>4</v>
      </c>
      <c r="J126" t="s">
        <v>107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1</v>
      </c>
      <c r="Q126" t="s">
        <v>23</v>
      </c>
      <c r="R126">
        <v>0</v>
      </c>
    </row>
    <row r="127" spans="1:18">
      <c r="A127">
        <v>8498180000000</v>
      </c>
      <c r="B127" t="s">
        <v>18</v>
      </c>
      <c r="C127">
        <v>33</v>
      </c>
      <c r="D127" t="s">
        <v>37</v>
      </c>
      <c r="E127" t="s">
        <v>57</v>
      </c>
      <c r="F127" s="1">
        <v>42524</v>
      </c>
      <c r="G127" s="1">
        <v>42528</v>
      </c>
      <c r="H127" t="s">
        <v>41</v>
      </c>
      <c r="I127">
        <v>4</v>
      </c>
      <c r="J127" t="s">
        <v>107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1</v>
      </c>
      <c r="Q127" t="s">
        <v>23</v>
      </c>
      <c r="R127">
        <v>0</v>
      </c>
    </row>
    <row r="128" spans="1:18">
      <c r="A128">
        <v>9716120000000</v>
      </c>
      <c r="B128" t="s">
        <v>18</v>
      </c>
      <c r="C128">
        <v>31</v>
      </c>
      <c r="D128" t="s">
        <v>37</v>
      </c>
      <c r="E128" t="s">
        <v>96</v>
      </c>
      <c r="F128" s="1">
        <v>42524</v>
      </c>
      <c r="G128" s="1">
        <v>42524</v>
      </c>
      <c r="H128" t="s">
        <v>21</v>
      </c>
      <c r="I128">
        <v>0</v>
      </c>
      <c r="J128" t="s">
        <v>111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23</v>
      </c>
      <c r="R128">
        <v>0</v>
      </c>
    </row>
    <row r="129" spans="1:18">
      <c r="A129">
        <v>38247915222</v>
      </c>
      <c r="B129" t="s">
        <v>18</v>
      </c>
      <c r="C129">
        <v>29</v>
      </c>
      <c r="D129" t="s">
        <v>37</v>
      </c>
      <c r="E129" t="s">
        <v>113</v>
      </c>
      <c r="F129" s="1">
        <v>42524</v>
      </c>
      <c r="G129" s="1">
        <v>42529</v>
      </c>
      <c r="H129" t="s">
        <v>25</v>
      </c>
      <c r="I129">
        <v>5</v>
      </c>
      <c r="J129" t="s">
        <v>107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 t="s">
        <v>23</v>
      </c>
      <c r="R129">
        <v>0</v>
      </c>
    </row>
    <row r="130" spans="1:18">
      <c r="A130">
        <v>4914460000000</v>
      </c>
      <c r="B130" t="s">
        <v>18</v>
      </c>
      <c r="C130">
        <v>21</v>
      </c>
      <c r="D130" t="s">
        <v>37</v>
      </c>
      <c r="E130" t="s">
        <v>75</v>
      </c>
      <c r="F130" s="1">
        <v>42524</v>
      </c>
      <c r="G130" s="1">
        <v>42524</v>
      </c>
      <c r="H130" t="s">
        <v>21</v>
      </c>
      <c r="I130">
        <v>0</v>
      </c>
      <c r="J130" t="s">
        <v>111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23</v>
      </c>
      <c r="R130">
        <v>0</v>
      </c>
    </row>
    <row r="131" spans="1:18">
      <c r="A131">
        <v>631833000000000</v>
      </c>
      <c r="B131" t="s">
        <v>18</v>
      </c>
      <c r="C131">
        <v>21</v>
      </c>
      <c r="D131" t="s">
        <v>37</v>
      </c>
      <c r="E131" t="s">
        <v>72</v>
      </c>
      <c r="F131" s="1">
        <v>42524</v>
      </c>
      <c r="G131" s="1">
        <v>42524</v>
      </c>
      <c r="H131" t="s">
        <v>21</v>
      </c>
      <c r="I131">
        <v>0</v>
      </c>
      <c r="J131" t="s">
        <v>111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23</v>
      </c>
      <c r="R131">
        <v>0</v>
      </c>
    </row>
    <row r="132" spans="1:18">
      <c r="A132">
        <v>1485670000000</v>
      </c>
      <c r="B132" t="s">
        <v>18</v>
      </c>
      <c r="C132">
        <v>29</v>
      </c>
      <c r="D132" t="s">
        <v>37</v>
      </c>
      <c r="E132" t="s">
        <v>42</v>
      </c>
      <c r="F132" s="1">
        <v>42444</v>
      </c>
      <c r="G132" s="1">
        <v>42493</v>
      </c>
      <c r="H132" t="s">
        <v>41</v>
      </c>
      <c r="I132">
        <v>49</v>
      </c>
      <c r="J132" t="s">
        <v>22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 t="s">
        <v>26</v>
      </c>
      <c r="R132">
        <v>1</v>
      </c>
    </row>
    <row r="133" spans="1:18">
      <c r="A133">
        <v>3943450000000</v>
      </c>
      <c r="B133" t="s">
        <v>18</v>
      </c>
      <c r="C133">
        <v>32</v>
      </c>
      <c r="D133" t="s">
        <v>37</v>
      </c>
      <c r="E133" t="s">
        <v>57</v>
      </c>
      <c r="F133" s="1">
        <v>42524</v>
      </c>
      <c r="G133" s="1">
        <v>42524</v>
      </c>
      <c r="H133" t="s">
        <v>21</v>
      </c>
      <c r="I133">
        <v>0</v>
      </c>
      <c r="J133" t="s">
        <v>111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23</v>
      </c>
      <c r="R133">
        <v>0</v>
      </c>
    </row>
    <row r="134" spans="1:18">
      <c r="A134">
        <v>9735330000000</v>
      </c>
      <c r="B134" t="s">
        <v>18</v>
      </c>
      <c r="C134">
        <v>29</v>
      </c>
      <c r="D134" t="s">
        <v>37</v>
      </c>
      <c r="E134" t="s">
        <v>54</v>
      </c>
      <c r="F134" s="1">
        <v>42524</v>
      </c>
      <c r="G134" s="1">
        <v>42529</v>
      </c>
      <c r="H134" t="s">
        <v>25</v>
      </c>
      <c r="I134">
        <v>5</v>
      </c>
      <c r="J134" t="s">
        <v>107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1</v>
      </c>
      <c r="Q134" t="s">
        <v>23</v>
      </c>
      <c r="R134">
        <v>0</v>
      </c>
    </row>
    <row r="135" spans="1:18">
      <c r="A135">
        <v>9316750000000</v>
      </c>
      <c r="B135" t="s">
        <v>18</v>
      </c>
      <c r="C135">
        <v>32</v>
      </c>
      <c r="D135" t="s">
        <v>37</v>
      </c>
      <c r="E135" t="s">
        <v>84</v>
      </c>
      <c r="F135" s="1">
        <v>42524</v>
      </c>
      <c r="G135" s="1">
        <v>42524</v>
      </c>
      <c r="H135" t="s">
        <v>21</v>
      </c>
      <c r="I135">
        <v>0</v>
      </c>
      <c r="J135" t="s">
        <v>111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23</v>
      </c>
      <c r="R135">
        <v>0</v>
      </c>
    </row>
    <row r="136" spans="1:18">
      <c r="A136">
        <v>6141830000000</v>
      </c>
      <c r="B136" t="s">
        <v>28</v>
      </c>
      <c r="C136">
        <v>28</v>
      </c>
      <c r="D136" t="s">
        <v>37</v>
      </c>
      <c r="E136" t="s">
        <v>39</v>
      </c>
      <c r="F136" s="1">
        <v>42524</v>
      </c>
      <c r="G136" s="1">
        <v>42524</v>
      </c>
      <c r="H136" t="s">
        <v>21</v>
      </c>
      <c r="I136">
        <v>0</v>
      </c>
      <c r="J136" t="s">
        <v>111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26</v>
      </c>
      <c r="R136">
        <v>1</v>
      </c>
    </row>
    <row r="137" spans="1:18">
      <c r="A137">
        <v>742231000000000</v>
      </c>
      <c r="B137" t="s">
        <v>18</v>
      </c>
      <c r="C137">
        <v>30</v>
      </c>
      <c r="D137" t="s">
        <v>37</v>
      </c>
      <c r="E137" t="s">
        <v>29</v>
      </c>
      <c r="F137" s="1">
        <v>42524</v>
      </c>
      <c r="G137" s="1">
        <v>42524</v>
      </c>
      <c r="H137" t="s">
        <v>21</v>
      </c>
      <c r="I137">
        <v>0</v>
      </c>
      <c r="J137" t="s">
        <v>111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23</v>
      </c>
      <c r="R137">
        <v>0</v>
      </c>
    </row>
    <row r="138" spans="1:18">
      <c r="A138">
        <v>3231600000000</v>
      </c>
      <c r="B138" t="s">
        <v>28</v>
      </c>
      <c r="C138">
        <v>25</v>
      </c>
      <c r="D138" t="s">
        <v>37</v>
      </c>
      <c r="E138" t="s">
        <v>20</v>
      </c>
      <c r="F138" s="1">
        <v>42524</v>
      </c>
      <c r="G138" s="1">
        <v>42524</v>
      </c>
      <c r="H138" t="s">
        <v>21</v>
      </c>
      <c r="I138">
        <v>0</v>
      </c>
      <c r="J138" t="s">
        <v>111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23</v>
      </c>
      <c r="R138">
        <v>0</v>
      </c>
    </row>
    <row r="139" spans="1:18">
      <c r="A139">
        <v>398244000000000</v>
      </c>
      <c r="B139" t="s">
        <v>18</v>
      </c>
      <c r="C139">
        <v>27</v>
      </c>
      <c r="D139" t="s">
        <v>37</v>
      </c>
      <c r="E139" t="s">
        <v>29</v>
      </c>
      <c r="F139" s="1">
        <v>42524</v>
      </c>
      <c r="G139" s="1">
        <v>42524</v>
      </c>
      <c r="H139" t="s">
        <v>21</v>
      </c>
      <c r="I139">
        <v>0</v>
      </c>
      <c r="J139" t="s">
        <v>111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23</v>
      </c>
      <c r="R139">
        <v>0</v>
      </c>
    </row>
    <row r="140" spans="1:18">
      <c r="A140">
        <v>962395000000</v>
      </c>
      <c r="B140" t="s">
        <v>18</v>
      </c>
      <c r="C140">
        <v>18</v>
      </c>
      <c r="D140" t="s">
        <v>37</v>
      </c>
      <c r="E140" t="s">
        <v>58</v>
      </c>
      <c r="F140" s="1">
        <v>42445</v>
      </c>
      <c r="G140" s="1">
        <v>42489</v>
      </c>
      <c r="H140" t="s">
        <v>21</v>
      </c>
      <c r="I140">
        <v>44</v>
      </c>
      <c r="J140" t="s">
        <v>22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 t="s">
        <v>26</v>
      </c>
      <c r="R140">
        <v>1</v>
      </c>
    </row>
    <row r="141" spans="1:18">
      <c r="A141">
        <v>247639000000000</v>
      </c>
      <c r="B141" t="s">
        <v>18</v>
      </c>
      <c r="C141">
        <v>30</v>
      </c>
      <c r="D141" t="s">
        <v>37</v>
      </c>
      <c r="E141" t="s">
        <v>84</v>
      </c>
      <c r="F141" s="1">
        <v>42524</v>
      </c>
      <c r="G141" s="1">
        <v>42524</v>
      </c>
      <c r="H141" t="s">
        <v>21</v>
      </c>
      <c r="I141">
        <v>0</v>
      </c>
      <c r="J141" t="s">
        <v>111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23</v>
      </c>
      <c r="R141">
        <v>0</v>
      </c>
    </row>
    <row r="142" spans="1:18">
      <c r="A142">
        <v>73148900000000</v>
      </c>
      <c r="B142" t="s">
        <v>28</v>
      </c>
      <c r="C142">
        <v>19</v>
      </c>
      <c r="D142" t="s">
        <v>37</v>
      </c>
      <c r="E142" t="s">
        <v>54</v>
      </c>
      <c r="F142" s="1">
        <v>42445</v>
      </c>
      <c r="G142" s="1">
        <v>42489</v>
      </c>
      <c r="H142" t="s">
        <v>21</v>
      </c>
      <c r="I142">
        <v>44</v>
      </c>
      <c r="J142" t="s">
        <v>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 t="s">
        <v>23</v>
      </c>
      <c r="R142">
        <v>0</v>
      </c>
    </row>
    <row r="143" spans="1:18">
      <c r="A143">
        <v>58289200000000</v>
      </c>
      <c r="B143" t="s">
        <v>28</v>
      </c>
      <c r="C143">
        <v>19</v>
      </c>
      <c r="D143" t="s">
        <v>37</v>
      </c>
      <c r="E143" t="s">
        <v>48</v>
      </c>
      <c r="F143" s="1">
        <v>42524</v>
      </c>
      <c r="G143" s="1">
        <v>42524</v>
      </c>
      <c r="H143" t="s">
        <v>21</v>
      </c>
      <c r="I143">
        <v>0</v>
      </c>
      <c r="J143" t="s">
        <v>111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26</v>
      </c>
      <c r="R143">
        <v>1</v>
      </c>
    </row>
    <row r="144" spans="1:18">
      <c r="A144">
        <v>71855500000000</v>
      </c>
      <c r="B144" t="s">
        <v>18</v>
      </c>
      <c r="C144">
        <v>29</v>
      </c>
      <c r="D144" t="s">
        <v>37</v>
      </c>
      <c r="E144" t="s">
        <v>50</v>
      </c>
      <c r="F144" s="1">
        <v>42524</v>
      </c>
      <c r="G144" s="1">
        <v>42524</v>
      </c>
      <c r="H144" t="s">
        <v>21</v>
      </c>
      <c r="I144">
        <v>0</v>
      </c>
      <c r="J144" t="s">
        <v>111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23</v>
      </c>
      <c r="R144">
        <v>0</v>
      </c>
    </row>
    <row r="145" spans="1:18">
      <c r="A145">
        <v>683629000000000</v>
      </c>
      <c r="B145" t="s">
        <v>18</v>
      </c>
      <c r="C145">
        <v>29</v>
      </c>
      <c r="D145" t="s">
        <v>37</v>
      </c>
      <c r="E145" t="s">
        <v>46</v>
      </c>
      <c r="F145" s="1">
        <v>42524</v>
      </c>
      <c r="G145" s="1">
        <v>42524</v>
      </c>
      <c r="H145" t="s">
        <v>21</v>
      </c>
      <c r="I145">
        <v>0</v>
      </c>
      <c r="J145" t="s">
        <v>111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23</v>
      </c>
      <c r="R145">
        <v>0</v>
      </c>
    </row>
    <row r="146" spans="1:18">
      <c r="A146">
        <v>983416000000</v>
      </c>
      <c r="B146" t="s">
        <v>18</v>
      </c>
      <c r="C146">
        <v>19</v>
      </c>
      <c r="D146" t="s">
        <v>37</v>
      </c>
      <c r="E146" t="s">
        <v>84</v>
      </c>
      <c r="F146" s="1">
        <v>42524</v>
      </c>
      <c r="G146" s="1">
        <v>42528</v>
      </c>
      <c r="H146" t="s">
        <v>41</v>
      </c>
      <c r="I146">
        <v>4</v>
      </c>
      <c r="J146" t="s">
        <v>107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 t="s">
        <v>26</v>
      </c>
      <c r="R146">
        <v>1</v>
      </c>
    </row>
    <row r="147" spans="1:18">
      <c r="A147">
        <v>346994000000000</v>
      </c>
      <c r="B147" t="s">
        <v>18</v>
      </c>
      <c r="C147">
        <v>20</v>
      </c>
      <c r="D147" t="s">
        <v>37</v>
      </c>
      <c r="E147" t="s">
        <v>69</v>
      </c>
      <c r="F147" s="1">
        <v>42524</v>
      </c>
      <c r="G147" s="1">
        <v>42524</v>
      </c>
      <c r="H147" t="s">
        <v>21</v>
      </c>
      <c r="I147">
        <v>0</v>
      </c>
      <c r="J147" t="s">
        <v>111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23</v>
      </c>
      <c r="R147">
        <v>0</v>
      </c>
    </row>
    <row r="148" spans="1:18">
      <c r="A148">
        <v>425426000000000</v>
      </c>
      <c r="B148" t="s">
        <v>18</v>
      </c>
      <c r="C148">
        <v>31</v>
      </c>
      <c r="D148" t="s">
        <v>37</v>
      </c>
      <c r="E148" t="s">
        <v>65</v>
      </c>
      <c r="F148" s="1">
        <v>42524</v>
      </c>
      <c r="G148" s="1">
        <v>42524</v>
      </c>
      <c r="H148" t="s">
        <v>21</v>
      </c>
      <c r="I148">
        <v>0</v>
      </c>
      <c r="J148" t="s">
        <v>111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23</v>
      </c>
      <c r="R148">
        <v>0</v>
      </c>
    </row>
    <row r="149" spans="1:18">
      <c r="A149">
        <v>4267930000000</v>
      </c>
      <c r="B149" t="s">
        <v>18</v>
      </c>
      <c r="C149">
        <v>33</v>
      </c>
      <c r="D149" t="s">
        <v>37</v>
      </c>
      <c r="E149" t="s">
        <v>72</v>
      </c>
      <c r="F149" s="1">
        <v>42524</v>
      </c>
      <c r="G149" s="1">
        <v>42524</v>
      </c>
      <c r="H149" t="s">
        <v>21</v>
      </c>
      <c r="I149">
        <v>0</v>
      </c>
      <c r="J149" t="s">
        <v>111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23</v>
      </c>
      <c r="R149">
        <v>0</v>
      </c>
    </row>
    <row r="150" spans="1:18">
      <c r="A150">
        <v>54591800000000</v>
      </c>
      <c r="B150" t="s">
        <v>28</v>
      </c>
      <c r="C150">
        <v>30</v>
      </c>
      <c r="D150" t="s">
        <v>37</v>
      </c>
      <c r="E150" t="s">
        <v>45</v>
      </c>
      <c r="F150" s="1">
        <v>42524</v>
      </c>
      <c r="G150" s="1">
        <v>42524</v>
      </c>
      <c r="H150" t="s">
        <v>21</v>
      </c>
      <c r="I150">
        <v>0</v>
      </c>
      <c r="J150" t="s">
        <v>111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23</v>
      </c>
      <c r="R150">
        <v>0</v>
      </c>
    </row>
    <row r="151" spans="1:18">
      <c r="A151">
        <v>6455360000000</v>
      </c>
      <c r="B151" t="s">
        <v>18</v>
      </c>
      <c r="C151">
        <v>31</v>
      </c>
      <c r="D151" t="s">
        <v>37</v>
      </c>
      <c r="E151" t="s">
        <v>47</v>
      </c>
      <c r="F151" s="1">
        <v>42523</v>
      </c>
      <c r="G151" s="1">
        <v>42529</v>
      </c>
      <c r="H151" t="s">
        <v>25</v>
      </c>
      <c r="I151">
        <v>6</v>
      </c>
      <c r="J151" t="s">
        <v>107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1</v>
      </c>
      <c r="Q151" t="s">
        <v>23</v>
      </c>
      <c r="R151">
        <v>0</v>
      </c>
    </row>
    <row r="152" spans="1:18">
      <c r="A152">
        <v>59548300000000</v>
      </c>
      <c r="B152" t="s">
        <v>18</v>
      </c>
      <c r="C152">
        <v>25</v>
      </c>
      <c r="D152" t="s">
        <v>37</v>
      </c>
      <c r="E152" t="s">
        <v>48</v>
      </c>
      <c r="F152" s="1">
        <v>42446</v>
      </c>
      <c r="G152" s="1">
        <v>42489</v>
      </c>
      <c r="H152" t="s">
        <v>21</v>
      </c>
      <c r="I152">
        <v>43</v>
      </c>
      <c r="J152" t="s">
        <v>22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 t="s">
        <v>26</v>
      </c>
      <c r="R152">
        <v>1</v>
      </c>
    </row>
    <row r="153" spans="1:18">
      <c r="A153">
        <v>7694250000000</v>
      </c>
      <c r="B153" t="s">
        <v>28</v>
      </c>
      <c r="C153">
        <v>26</v>
      </c>
      <c r="D153" t="s">
        <v>37</v>
      </c>
      <c r="E153" t="s">
        <v>101</v>
      </c>
      <c r="F153" s="1">
        <v>42523</v>
      </c>
      <c r="G153" s="1">
        <v>42529</v>
      </c>
      <c r="H153" t="s">
        <v>25</v>
      </c>
      <c r="I153">
        <v>6</v>
      </c>
      <c r="J153" t="s">
        <v>107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 t="s">
        <v>26</v>
      </c>
      <c r="R153">
        <v>1</v>
      </c>
    </row>
    <row r="154" spans="1:18">
      <c r="A154">
        <v>94586661272</v>
      </c>
      <c r="B154" t="s">
        <v>18</v>
      </c>
      <c r="C154">
        <v>29</v>
      </c>
      <c r="D154" t="s">
        <v>37</v>
      </c>
      <c r="E154" t="s">
        <v>105</v>
      </c>
      <c r="F154" s="1">
        <v>42523</v>
      </c>
      <c r="G154" s="1">
        <v>42523</v>
      </c>
      <c r="H154" t="s">
        <v>33</v>
      </c>
      <c r="I154">
        <v>0</v>
      </c>
      <c r="J154" t="s">
        <v>111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23</v>
      </c>
      <c r="R154">
        <v>0</v>
      </c>
    </row>
    <row r="155" spans="1:18">
      <c r="A155">
        <v>34793200000000</v>
      </c>
      <c r="B155" t="s">
        <v>18</v>
      </c>
      <c r="C155">
        <v>19</v>
      </c>
      <c r="D155" t="s">
        <v>37</v>
      </c>
      <c r="E155" t="s">
        <v>50</v>
      </c>
      <c r="F155" s="1">
        <v>42523</v>
      </c>
      <c r="G155" s="1">
        <v>42528</v>
      </c>
      <c r="H155" t="s">
        <v>41</v>
      </c>
      <c r="I155">
        <v>5</v>
      </c>
      <c r="J155" t="s">
        <v>107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 t="s">
        <v>26</v>
      </c>
      <c r="R155">
        <v>1</v>
      </c>
    </row>
    <row r="156" spans="1:18">
      <c r="A156">
        <v>635389000000000</v>
      </c>
      <c r="B156" t="s">
        <v>18</v>
      </c>
      <c r="C156">
        <v>20</v>
      </c>
      <c r="D156" t="s">
        <v>37</v>
      </c>
      <c r="E156" t="s">
        <v>45</v>
      </c>
      <c r="F156" s="1">
        <v>42446</v>
      </c>
      <c r="G156" s="1">
        <v>42492</v>
      </c>
      <c r="H156" t="s">
        <v>30</v>
      </c>
      <c r="I156">
        <v>46</v>
      </c>
      <c r="J156" t="s">
        <v>22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 t="s">
        <v>26</v>
      </c>
      <c r="R156">
        <v>1</v>
      </c>
    </row>
    <row r="157" spans="1:18">
      <c r="A157">
        <v>717788000000</v>
      </c>
      <c r="B157" t="s">
        <v>18</v>
      </c>
      <c r="C157">
        <v>34</v>
      </c>
      <c r="D157" t="s">
        <v>37</v>
      </c>
      <c r="E157" t="s">
        <v>59</v>
      </c>
      <c r="F157" s="1">
        <v>42447</v>
      </c>
      <c r="G157" s="1">
        <v>42489</v>
      </c>
      <c r="H157" t="s">
        <v>21</v>
      </c>
      <c r="I157">
        <v>42</v>
      </c>
      <c r="J157" t="s">
        <v>22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 t="s">
        <v>26</v>
      </c>
      <c r="R157">
        <v>1</v>
      </c>
    </row>
    <row r="158" spans="1:18">
      <c r="A158">
        <v>67724600000000</v>
      </c>
      <c r="B158" t="s">
        <v>18</v>
      </c>
      <c r="C158">
        <v>22</v>
      </c>
      <c r="D158" t="s">
        <v>37</v>
      </c>
      <c r="E158" t="s">
        <v>48</v>
      </c>
      <c r="F158" s="1">
        <v>42523</v>
      </c>
      <c r="G158" s="1">
        <v>42528</v>
      </c>
      <c r="H158" t="s">
        <v>41</v>
      </c>
      <c r="I158">
        <v>5</v>
      </c>
      <c r="J158" t="s">
        <v>107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 t="s">
        <v>23</v>
      </c>
      <c r="R158">
        <v>0</v>
      </c>
    </row>
    <row r="159" spans="1:18">
      <c r="A159">
        <v>3568850000000</v>
      </c>
      <c r="B159" t="s">
        <v>18</v>
      </c>
      <c r="C159">
        <v>20</v>
      </c>
      <c r="D159" t="s">
        <v>37</v>
      </c>
      <c r="E159" t="s">
        <v>48</v>
      </c>
      <c r="F159" s="1">
        <v>42523</v>
      </c>
      <c r="G159" s="1">
        <v>42527</v>
      </c>
      <c r="H159" t="s">
        <v>30</v>
      </c>
      <c r="I159">
        <v>4</v>
      </c>
      <c r="J159" t="s">
        <v>107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 t="s">
        <v>26</v>
      </c>
      <c r="R159">
        <v>1</v>
      </c>
    </row>
    <row r="160" spans="1:18">
      <c r="A160">
        <v>53515827671</v>
      </c>
      <c r="B160" t="s">
        <v>18</v>
      </c>
      <c r="C160">
        <v>26</v>
      </c>
      <c r="D160" t="s">
        <v>37</v>
      </c>
      <c r="E160" t="s">
        <v>47</v>
      </c>
      <c r="F160" s="1">
        <v>42523</v>
      </c>
      <c r="G160" s="1">
        <v>42527</v>
      </c>
      <c r="H160" t="s">
        <v>30</v>
      </c>
      <c r="I160">
        <v>4</v>
      </c>
      <c r="J160" t="s">
        <v>107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 t="s">
        <v>23</v>
      </c>
      <c r="R160">
        <v>0</v>
      </c>
    </row>
    <row r="161" spans="1:18">
      <c r="A161">
        <v>98346200000000</v>
      </c>
      <c r="B161" t="s">
        <v>18</v>
      </c>
      <c r="C161">
        <v>33</v>
      </c>
      <c r="D161" t="s">
        <v>37</v>
      </c>
      <c r="E161" t="s">
        <v>32</v>
      </c>
      <c r="F161" s="1">
        <v>42523</v>
      </c>
      <c r="G161" s="1">
        <v>42523</v>
      </c>
      <c r="H161" t="s">
        <v>33</v>
      </c>
      <c r="I161">
        <v>0</v>
      </c>
      <c r="J161" t="s">
        <v>111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23</v>
      </c>
      <c r="R161">
        <v>0</v>
      </c>
    </row>
    <row r="162" spans="1:18">
      <c r="A162">
        <v>42641200000000</v>
      </c>
      <c r="B162" t="s">
        <v>18</v>
      </c>
      <c r="C162">
        <v>31</v>
      </c>
      <c r="D162" t="s">
        <v>37</v>
      </c>
      <c r="E162" t="s">
        <v>32</v>
      </c>
      <c r="F162" s="1">
        <v>42447</v>
      </c>
      <c r="G162" s="1">
        <v>42489</v>
      </c>
      <c r="H162" t="s">
        <v>21</v>
      </c>
      <c r="I162">
        <v>42</v>
      </c>
      <c r="J162" t="s">
        <v>22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 t="s">
        <v>23</v>
      </c>
      <c r="R162">
        <v>0</v>
      </c>
    </row>
    <row r="163" spans="1:18">
      <c r="A163">
        <v>79151968748</v>
      </c>
      <c r="B163" t="s">
        <v>28</v>
      </c>
      <c r="C163">
        <v>27</v>
      </c>
      <c r="D163" t="s">
        <v>37</v>
      </c>
      <c r="E163" t="s">
        <v>72</v>
      </c>
      <c r="F163" s="1">
        <v>42523</v>
      </c>
      <c r="G163" s="1">
        <v>42523</v>
      </c>
      <c r="H163" t="s">
        <v>33</v>
      </c>
      <c r="I163">
        <v>0</v>
      </c>
      <c r="J163" t="s">
        <v>111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23</v>
      </c>
      <c r="R163">
        <v>0</v>
      </c>
    </row>
    <row r="164" spans="1:18">
      <c r="A164">
        <v>63137100000000</v>
      </c>
      <c r="B164" t="s">
        <v>18</v>
      </c>
      <c r="C164">
        <v>19</v>
      </c>
      <c r="D164" t="s">
        <v>37</v>
      </c>
      <c r="E164" t="s">
        <v>68</v>
      </c>
      <c r="F164" s="1">
        <v>42523</v>
      </c>
      <c r="G164" s="1">
        <v>42523</v>
      </c>
      <c r="H164" t="s">
        <v>33</v>
      </c>
      <c r="I164">
        <v>0</v>
      </c>
      <c r="J164" t="s">
        <v>111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23</v>
      </c>
      <c r="R164">
        <v>0</v>
      </c>
    </row>
    <row r="165" spans="1:18">
      <c r="A165">
        <v>25179700000000</v>
      </c>
      <c r="B165" t="s">
        <v>18</v>
      </c>
      <c r="C165">
        <v>29</v>
      </c>
      <c r="D165" t="s">
        <v>37</v>
      </c>
      <c r="E165" t="s">
        <v>43</v>
      </c>
      <c r="F165" s="1">
        <v>42523</v>
      </c>
      <c r="G165" s="1">
        <v>42523</v>
      </c>
      <c r="H165" t="s">
        <v>33</v>
      </c>
      <c r="I165">
        <v>0</v>
      </c>
      <c r="J165" t="s">
        <v>111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23</v>
      </c>
      <c r="R165">
        <v>0</v>
      </c>
    </row>
    <row r="166" spans="1:18">
      <c r="A166">
        <v>4592300000000</v>
      </c>
      <c r="B166" t="s">
        <v>18</v>
      </c>
      <c r="C166">
        <v>34</v>
      </c>
      <c r="D166" t="s">
        <v>37</v>
      </c>
      <c r="E166" t="s">
        <v>29</v>
      </c>
      <c r="F166" s="1">
        <v>42523</v>
      </c>
      <c r="G166" s="1">
        <v>42528</v>
      </c>
      <c r="H166" t="s">
        <v>41</v>
      </c>
      <c r="I166">
        <v>5</v>
      </c>
      <c r="J166" t="s">
        <v>107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 t="s">
        <v>26</v>
      </c>
      <c r="R166">
        <v>1</v>
      </c>
    </row>
    <row r="167" spans="1:18">
      <c r="A167">
        <v>1743530000000</v>
      </c>
      <c r="B167" t="s">
        <v>28</v>
      </c>
      <c r="C167">
        <v>24</v>
      </c>
      <c r="D167" t="s">
        <v>37</v>
      </c>
      <c r="E167" t="s">
        <v>42</v>
      </c>
      <c r="F167" s="1">
        <v>42523</v>
      </c>
      <c r="G167" s="1">
        <v>42527</v>
      </c>
      <c r="H167" t="s">
        <v>30</v>
      </c>
      <c r="I167">
        <v>4</v>
      </c>
      <c r="J167" t="s">
        <v>107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 t="s">
        <v>23</v>
      </c>
      <c r="R167">
        <v>0</v>
      </c>
    </row>
    <row r="168" spans="1:18">
      <c r="A168">
        <v>977416000000</v>
      </c>
      <c r="B168" t="s">
        <v>28</v>
      </c>
      <c r="C168">
        <v>24</v>
      </c>
      <c r="D168" t="s">
        <v>37</v>
      </c>
      <c r="E168" t="s">
        <v>39</v>
      </c>
      <c r="F168" s="1">
        <v>42450</v>
      </c>
      <c r="G168" s="1">
        <v>42507</v>
      </c>
      <c r="H168" t="s">
        <v>41</v>
      </c>
      <c r="I168">
        <v>57</v>
      </c>
      <c r="J168" t="s">
        <v>22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23</v>
      </c>
      <c r="R168">
        <v>0</v>
      </c>
    </row>
    <row r="169" spans="1:18">
      <c r="A169">
        <v>1537430000000</v>
      </c>
      <c r="B169" t="s">
        <v>18</v>
      </c>
      <c r="C169">
        <v>27</v>
      </c>
      <c r="D169" t="s">
        <v>37</v>
      </c>
      <c r="E169" t="s">
        <v>71</v>
      </c>
      <c r="F169" s="1">
        <v>42523</v>
      </c>
      <c r="G169" s="1">
        <v>42523</v>
      </c>
      <c r="H169" t="s">
        <v>33</v>
      </c>
      <c r="I169">
        <v>0</v>
      </c>
      <c r="J169" t="s">
        <v>111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23</v>
      </c>
      <c r="R169">
        <v>0</v>
      </c>
    </row>
    <row r="170" spans="1:18">
      <c r="A170">
        <v>127395000000000</v>
      </c>
      <c r="B170" t="s">
        <v>18</v>
      </c>
      <c r="C170">
        <v>31</v>
      </c>
      <c r="D170" t="s">
        <v>37</v>
      </c>
      <c r="E170" t="s">
        <v>42</v>
      </c>
      <c r="F170" s="1">
        <v>42450</v>
      </c>
      <c r="G170" s="1">
        <v>42496</v>
      </c>
      <c r="H170" t="s">
        <v>21</v>
      </c>
      <c r="I170">
        <v>46</v>
      </c>
      <c r="J170" t="s">
        <v>22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 t="s">
        <v>23</v>
      </c>
      <c r="R170">
        <v>0</v>
      </c>
    </row>
    <row r="171" spans="1:18">
      <c r="A171">
        <v>3741540000000</v>
      </c>
      <c r="B171" t="s">
        <v>28</v>
      </c>
      <c r="C171">
        <v>22</v>
      </c>
      <c r="D171" t="s">
        <v>37</v>
      </c>
      <c r="E171" t="s">
        <v>59</v>
      </c>
      <c r="F171" s="1">
        <v>42450</v>
      </c>
      <c r="G171" s="1">
        <v>42489</v>
      </c>
      <c r="H171" t="s">
        <v>21</v>
      </c>
      <c r="I171">
        <v>39</v>
      </c>
      <c r="J171" t="s">
        <v>22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 t="s">
        <v>23</v>
      </c>
      <c r="R171">
        <v>0</v>
      </c>
    </row>
    <row r="172" spans="1:18">
      <c r="A172">
        <v>72514100000000</v>
      </c>
      <c r="B172" t="s">
        <v>28</v>
      </c>
      <c r="C172">
        <v>35</v>
      </c>
      <c r="D172" t="s">
        <v>37</v>
      </c>
      <c r="E172" t="s">
        <v>84</v>
      </c>
      <c r="F172" s="1">
        <v>42523</v>
      </c>
      <c r="G172" s="1">
        <v>42523</v>
      </c>
      <c r="H172" t="s">
        <v>33</v>
      </c>
      <c r="I172">
        <v>0</v>
      </c>
      <c r="J172" t="s">
        <v>111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23</v>
      </c>
      <c r="R172">
        <v>0</v>
      </c>
    </row>
    <row r="173" spans="1:18">
      <c r="A173">
        <v>115519000000000</v>
      </c>
      <c r="B173" t="s">
        <v>18</v>
      </c>
      <c r="C173">
        <v>30</v>
      </c>
      <c r="D173" t="s">
        <v>37</v>
      </c>
      <c r="E173" t="s">
        <v>71</v>
      </c>
      <c r="F173" s="1">
        <v>42523</v>
      </c>
      <c r="G173" s="1">
        <v>42523</v>
      </c>
      <c r="H173" t="s">
        <v>33</v>
      </c>
      <c r="I173">
        <v>0</v>
      </c>
      <c r="J173" t="s">
        <v>111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23</v>
      </c>
      <c r="R173">
        <v>0</v>
      </c>
    </row>
    <row r="174" spans="1:18">
      <c r="A174">
        <v>96482200000000</v>
      </c>
      <c r="B174" t="s">
        <v>18</v>
      </c>
      <c r="C174">
        <v>27</v>
      </c>
      <c r="D174" t="s">
        <v>37</v>
      </c>
      <c r="E174" t="s">
        <v>63</v>
      </c>
      <c r="F174" s="1">
        <v>42451</v>
      </c>
      <c r="G174" s="1">
        <v>42493</v>
      </c>
      <c r="H174" t="s">
        <v>41</v>
      </c>
      <c r="I174">
        <v>42</v>
      </c>
      <c r="J174" t="s">
        <v>22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 t="s">
        <v>23</v>
      </c>
      <c r="R174">
        <v>0</v>
      </c>
    </row>
    <row r="175" spans="1:18">
      <c r="A175">
        <v>94232100000000</v>
      </c>
      <c r="B175" t="s">
        <v>18</v>
      </c>
      <c r="C175">
        <v>30</v>
      </c>
      <c r="D175" t="s">
        <v>37</v>
      </c>
      <c r="E175" t="s">
        <v>51</v>
      </c>
      <c r="F175" s="1">
        <v>42523</v>
      </c>
      <c r="G175" s="1">
        <v>42523</v>
      </c>
      <c r="H175" t="s">
        <v>33</v>
      </c>
      <c r="I175">
        <v>0</v>
      </c>
      <c r="J175" t="s">
        <v>111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23</v>
      </c>
      <c r="R175">
        <v>0</v>
      </c>
    </row>
    <row r="176" spans="1:18">
      <c r="A176">
        <v>31214600000000</v>
      </c>
      <c r="B176" t="s">
        <v>18</v>
      </c>
      <c r="C176">
        <v>33</v>
      </c>
      <c r="D176" t="s">
        <v>37</v>
      </c>
      <c r="E176" t="s">
        <v>45</v>
      </c>
      <c r="F176" s="1">
        <v>42451</v>
      </c>
      <c r="G176" s="1">
        <v>42492</v>
      </c>
      <c r="H176" t="s">
        <v>30</v>
      </c>
      <c r="I176">
        <v>41</v>
      </c>
      <c r="J176" t="s">
        <v>22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 t="s">
        <v>26</v>
      </c>
      <c r="R176">
        <v>1</v>
      </c>
    </row>
    <row r="177" spans="1:18">
      <c r="A177">
        <v>244138000000000</v>
      </c>
      <c r="B177" t="s">
        <v>18</v>
      </c>
      <c r="C177">
        <v>22</v>
      </c>
      <c r="D177" t="s">
        <v>37</v>
      </c>
      <c r="E177" t="s">
        <v>29</v>
      </c>
      <c r="F177" s="1">
        <v>42523</v>
      </c>
      <c r="G177" s="1">
        <v>42523</v>
      </c>
      <c r="H177" t="s">
        <v>33</v>
      </c>
      <c r="I177">
        <v>0</v>
      </c>
      <c r="J177" t="s">
        <v>111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23</v>
      </c>
      <c r="R177">
        <v>0</v>
      </c>
    </row>
    <row r="178" spans="1:18">
      <c r="A178">
        <v>18865100000000</v>
      </c>
      <c r="B178" t="s">
        <v>18</v>
      </c>
      <c r="C178">
        <v>22</v>
      </c>
      <c r="D178" t="s">
        <v>37</v>
      </c>
      <c r="E178" t="s">
        <v>62</v>
      </c>
      <c r="F178" s="1">
        <v>42451</v>
      </c>
      <c r="G178" s="1">
        <v>42500</v>
      </c>
      <c r="H178" t="s">
        <v>41</v>
      </c>
      <c r="I178">
        <v>49</v>
      </c>
      <c r="J178" t="s">
        <v>22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 t="s">
        <v>23</v>
      </c>
      <c r="R178">
        <v>0</v>
      </c>
    </row>
    <row r="179" spans="1:18">
      <c r="A179">
        <v>329518000000000</v>
      </c>
      <c r="B179" t="s">
        <v>18</v>
      </c>
      <c r="C179">
        <v>21</v>
      </c>
      <c r="D179" t="s">
        <v>37</v>
      </c>
      <c r="E179" t="s">
        <v>44</v>
      </c>
      <c r="F179" s="1">
        <v>42523</v>
      </c>
      <c r="G179" s="1">
        <v>42523</v>
      </c>
      <c r="H179" t="s">
        <v>33</v>
      </c>
      <c r="I179">
        <v>0</v>
      </c>
      <c r="J179" t="s">
        <v>111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23</v>
      </c>
      <c r="R179">
        <v>0</v>
      </c>
    </row>
    <row r="180" spans="1:18">
      <c r="A180">
        <v>8875880000000</v>
      </c>
      <c r="B180" t="s">
        <v>18</v>
      </c>
      <c r="C180">
        <v>18</v>
      </c>
      <c r="D180" t="s">
        <v>37</v>
      </c>
      <c r="E180" t="s">
        <v>75</v>
      </c>
      <c r="F180" s="1">
        <v>42523</v>
      </c>
      <c r="G180" s="1">
        <v>42523</v>
      </c>
      <c r="H180" t="s">
        <v>33</v>
      </c>
      <c r="I180">
        <v>0</v>
      </c>
      <c r="J180" t="s">
        <v>111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23</v>
      </c>
      <c r="R180">
        <v>0</v>
      </c>
    </row>
    <row r="181" spans="1:18">
      <c r="A181">
        <v>5592920000000</v>
      </c>
      <c r="B181" t="s">
        <v>28</v>
      </c>
      <c r="C181">
        <v>34</v>
      </c>
      <c r="D181" t="s">
        <v>37</v>
      </c>
      <c r="E181" t="s">
        <v>43</v>
      </c>
      <c r="F181" s="1">
        <v>42523</v>
      </c>
      <c r="G181" s="1">
        <v>42523</v>
      </c>
      <c r="H181" t="s">
        <v>33</v>
      </c>
      <c r="I181">
        <v>0</v>
      </c>
      <c r="J181" t="s">
        <v>111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23</v>
      </c>
      <c r="R181">
        <v>0</v>
      </c>
    </row>
    <row r="182" spans="1:18">
      <c r="A182">
        <v>24393400000000</v>
      </c>
      <c r="B182" t="s">
        <v>18</v>
      </c>
      <c r="C182">
        <v>21</v>
      </c>
      <c r="D182" t="s">
        <v>37</v>
      </c>
      <c r="E182" t="s">
        <v>29</v>
      </c>
      <c r="F182" s="1">
        <v>42523</v>
      </c>
      <c r="G182" s="1">
        <v>42523</v>
      </c>
      <c r="H182" t="s">
        <v>33</v>
      </c>
      <c r="I182">
        <v>0</v>
      </c>
      <c r="J182" t="s">
        <v>111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23</v>
      </c>
      <c r="R182">
        <v>0</v>
      </c>
    </row>
    <row r="183" spans="1:18">
      <c r="A183">
        <v>56691900000000</v>
      </c>
      <c r="B183" t="s">
        <v>28</v>
      </c>
      <c r="C183">
        <v>26</v>
      </c>
      <c r="D183" t="s">
        <v>37</v>
      </c>
      <c r="E183" t="s">
        <v>39</v>
      </c>
      <c r="F183" s="1">
        <v>42451</v>
      </c>
      <c r="G183" s="1">
        <v>42500</v>
      </c>
      <c r="H183" t="s">
        <v>41</v>
      </c>
      <c r="I183">
        <v>49</v>
      </c>
      <c r="J183" t="s">
        <v>22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26</v>
      </c>
      <c r="R183">
        <v>1</v>
      </c>
    </row>
    <row r="184" spans="1:18">
      <c r="A184">
        <v>87514700000000</v>
      </c>
      <c r="B184" t="s">
        <v>18</v>
      </c>
      <c r="C184">
        <v>32</v>
      </c>
      <c r="D184" t="s">
        <v>37</v>
      </c>
      <c r="E184" t="s">
        <v>84</v>
      </c>
      <c r="F184" s="1">
        <v>42523</v>
      </c>
      <c r="G184" s="1">
        <v>42523</v>
      </c>
      <c r="H184" t="s">
        <v>33</v>
      </c>
      <c r="I184">
        <v>0</v>
      </c>
      <c r="J184" t="s">
        <v>111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23</v>
      </c>
      <c r="R184">
        <v>0</v>
      </c>
    </row>
    <row r="185" spans="1:18">
      <c r="A185">
        <v>86833400000000</v>
      </c>
      <c r="B185" t="s">
        <v>18</v>
      </c>
      <c r="C185">
        <v>30</v>
      </c>
      <c r="D185" t="s">
        <v>37</v>
      </c>
      <c r="E185" t="s">
        <v>87</v>
      </c>
      <c r="F185" s="1">
        <v>42523</v>
      </c>
      <c r="G185" s="1">
        <v>42527</v>
      </c>
      <c r="H185" t="s">
        <v>30</v>
      </c>
      <c r="I185">
        <v>4</v>
      </c>
      <c r="J185" t="s">
        <v>107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1</v>
      </c>
      <c r="Q185" t="s">
        <v>26</v>
      </c>
      <c r="R185">
        <v>1</v>
      </c>
    </row>
    <row r="186" spans="1:18">
      <c r="A186">
        <v>68975300000000</v>
      </c>
      <c r="B186" t="s">
        <v>18</v>
      </c>
      <c r="C186">
        <v>22</v>
      </c>
      <c r="D186" t="s">
        <v>37</v>
      </c>
      <c r="E186" t="s">
        <v>72</v>
      </c>
      <c r="F186" s="1">
        <v>42523</v>
      </c>
      <c r="G186" s="1">
        <v>42523</v>
      </c>
      <c r="H186" t="s">
        <v>33</v>
      </c>
      <c r="I186">
        <v>0</v>
      </c>
      <c r="J186" t="s">
        <v>111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23</v>
      </c>
      <c r="R186">
        <v>0</v>
      </c>
    </row>
    <row r="187" spans="1:18">
      <c r="A187">
        <v>26642300000000</v>
      </c>
      <c r="B187" t="s">
        <v>28</v>
      </c>
      <c r="C187">
        <v>18</v>
      </c>
      <c r="D187" t="s">
        <v>37</v>
      </c>
      <c r="E187" t="s">
        <v>72</v>
      </c>
      <c r="F187" s="1">
        <v>42523</v>
      </c>
      <c r="G187" s="1">
        <v>42523</v>
      </c>
      <c r="H187" t="s">
        <v>33</v>
      </c>
      <c r="I187">
        <v>0</v>
      </c>
      <c r="J187" t="s">
        <v>111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23</v>
      </c>
      <c r="R187">
        <v>0</v>
      </c>
    </row>
    <row r="188" spans="1:18">
      <c r="A188">
        <v>329884000000000</v>
      </c>
      <c r="B188" t="s">
        <v>18</v>
      </c>
      <c r="C188">
        <v>34</v>
      </c>
      <c r="D188" t="s">
        <v>37</v>
      </c>
      <c r="E188" t="s">
        <v>32</v>
      </c>
      <c r="F188" s="1">
        <v>42523</v>
      </c>
      <c r="G188" s="1">
        <v>42523</v>
      </c>
      <c r="H188" t="s">
        <v>33</v>
      </c>
      <c r="I188">
        <v>0</v>
      </c>
      <c r="J188" t="s">
        <v>111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23</v>
      </c>
      <c r="R188">
        <v>0</v>
      </c>
    </row>
    <row r="189" spans="1:18">
      <c r="A189">
        <v>77467400000000</v>
      </c>
      <c r="B189" t="s">
        <v>18</v>
      </c>
      <c r="C189">
        <v>27</v>
      </c>
      <c r="D189" t="s">
        <v>37</v>
      </c>
      <c r="E189" t="s">
        <v>69</v>
      </c>
      <c r="F189" s="1">
        <v>42523</v>
      </c>
      <c r="G189" s="1">
        <v>42523</v>
      </c>
      <c r="H189" t="s">
        <v>33</v>
      </c>
      <c r="I189">
        <v>0</v>
      </c>
      <c r="J189" t="s">
        <v>111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23</v>
      </c>
      <c r="R189">
        <v>0</v>
      </c>
    </row>
    <row r="190" spans="1:18">
      <c r="A190">
        <v>49286000000000</v>
      </c>
      <c r="B190" t="s">
        <v>28</v>
      </c>
      <c r="C190">
        <v>18</v>
      </c>
      <c r="D190" t="s">
        <v>37</v>
      </c>
      <c r="E190" t="s">
        <v>79</v>
      </c>
      <c r="F190" s="1">
        <v>42523</v>
      </c>
      <c r="G190" s="1">
        <v>42523</v>
      </c>
      <c r="H190" t="s">
        <v>33</v>
      </c>
      <c r="I190">
        <v>0</v>
      </c>
      <c r="J190" t="s">
        <v>111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23</v>
      </c>
      <c r="R190">
        <v>0</v>
      </c>
    </row>
    <row r="191" spans="1:18">
      <c r="A191">
        <v>342977000000000</v>
      </c>
      <c r="B191" t="s">
        <v>18</v>
      </c>
      <c r="C191">
        <v>33</v>
      </c>
      <c r="D191" t="s">
        <v>37</v>
      </c>
      <c r="E191" t="s">
        <v>44</v>
      </c>
      <c r="F191" s="1">
        <v>42523</v>
      </c>
      <c r="G191" s="1">
        <v>42523</v>
      </c>
      <c r="H191" t="s">
        <v>33</v>
      </c>
      <c r="I191">
        <v>0</v>
      </c>
      <c r="J191" t="s">
        <v>111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23</v>
      </c>
      <c r="R191">
        <v>0</v>
      </c>
    </row>
    <row r="192" spans="1:18">
      <c r="A192">
        <v>19763100000000</v>
      </c>
      <c r="B192" t="s">
        <v>18</v>
      </c>
      <c r="C192">
        <v>34</v>
      </c>
      <c r="D192" t="s">
        <v>37</v>
      </c>
      <c r="E192" t="s">
        <v>68</v>
      </c>
      <c r="F192" s="1">
        <v>42523</v>
      </c>
      <c r="G192" s="1">
        <v>42523</v>
      </c>
      <c r="H192" t="s">
        <v>33</v>
      </c>
      <c r="I192">
        <v>0</v>
      </c>
      <c r="J192" t="s">
        <v>111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23</v>
      </c>
      <c r="R192">
        <v>0</v>
      </c>
    </row>
    <row r="193" spans="1:18">
      <c r="A193">
        <v>2455290000000</v>
      </c>
      <c r="B193" t="s">
        <v>28</v>
      </c>
      <c r="C193">
        <v>21</v>
      </c>
      <c r="D193" t="s">
        <v>37</v>
      </c>
      <c r="E193" t="s">
        <v>69</v>
      </c>
      <c r="F193" s="1">
        <v>42523</v>
      </c>
      <c r="G193" s="1">
        <v>42523</v>
      </c>
      <c r="H193" t="s">
        <v>33</v>
      </c>
      <c r="I193">
        <v>0</v>
      </c>
      <c r="J193" t="s">
        <v>111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23</v>
      </c>
      <c r="R193">
        <v>0</v>
      </c>
    </row>
    <row r="194" spans="1:18">
      <c r="A194">
        <v>6287940000000</v>
      </c>
      <c r="B194" t="s">
        <v>18</v>
      </c>
      <c r="C194">
        <v>33</v>
      </c>
      <c r="D194" t="s">
        <v>37</v>
      </c>
      <c r="E194" t="s">
        <v>39</v>
      </c>
      <c r="F194" s="1">
        <v>42523</v>
      </c>
      <c r="G194" s="1">
        <v>42523</v>
      </c>
      <c r="H194" t="s">
        <v>33</v>
      </c>
      <c r="I194">
        <v>0</v>
      </c>
      <c r="J194" t="s">
        <v>111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23</v>
      </c>
      <c r="R194">
        <v>0</v>
      </c>
    </row>
    <row r="195" spans="1:18">
      <c r="A195">
        <v>56598000000000</v>
      </c>
      <c r="B195" t="s">
        <v>18</v>
      </c>
      <c r="C195">
        <v>25</v>
      </c>
      <c r="D195" t="s">
        <v>37</v>
      </c>
      <c r="E195" t="s">
        <v>54</v>
      </c>
      <c r="F195" s="1">
        <v>42523</v>
      </c>
      <c r="G195" s="1">
        <v>42529</v>
      </c>
      <c r="H195" t="s">
        <v>25</v>
      </c>
      <c r="I195">
        <v>6</v>
      </c>
      <c r="J195" t="s">
        <v>107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 t="s">
        <v>23</v>
      </c>
      <c r="R195">
        <v>0</v>
      </c>
    </row>
    <row r="196" spans="1:18">
      <c r="A196">
        <v>7112270000000</v>
      </c>
      <c r="B196" t="s">
        <v>28</v>
      </c>
      <c r="C196">
        <v>34</v>
      </c>
      <c r="D196" t="s">
        <v>37</v>
      </c>
      <c r="E196" t="s">
        <v>54</v>
      </c>
      <c r="F196" s="1">
        <v>42523</v>
      </c>
      <c r="G196" s="1">
        <v>42527</v>
      </c>
      <c r="H196" t="s">
        <v>30</v>
      </c>
      <c r="I196">
        <v>4</v>
      </c>
      <c r="J196" t="s">
        <v>107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1</v>
      </c>
      <c r="Q196" t="s">
        <v>23</v>
      </c>
      <c r="R196">
        <v>0</v>
      </c>
    </row>
    <row r="197" spans="1:18">
      <c r="A197">
        <v>9743880000000</v>
      </c>
      <c r="B197" t="s">
        <v>18</v>
      </c>
      <c r="C197">
        <v>20</v>
      </c>
      <c r="D197" t="s">
        <v>37</v>
      </c>
      <c r="E197" t="s">
        <v>84</v>
      </c>
      <c r="F197" s="1">
        <v>42523</v>
      </c>
      <c r="G197" s="1">
        <v>42529</v>
      </c>
      <c r="H197" t="s">
        <v>25</v>
      </c>
      <c r="I197">
        <v>6</v>
      </c>
      <c r="J197" t="s">
        <v>107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 t="s">
        <v>26</v>
      </c>
      <c r="R197">
        <v>1</v>
      </c>
    </row>
    <row r="198" spans="1:18">
      <c r="A198">
        <v>36932400000000</v>
      </c>
      <c r="B198" t="s">
        <v>18</v>
      </c>
      <c r="C198">
        <v>20</v>
      </c>
      <c r="D198" t="s">
        <v>37</v>
      </c>
      <c r="E198" t="s">
        <v>34</v>
      </c>
      <c r="F198" s="1">
        <v>42523</v>
      </c>
      <c r="G198" s="1">
        <v>42527</v>
      </c>
      <c r="H198" t="s">
        <v>30</v>
      </c>
      <c r="I198">
        <v>4</v>
      </c>
      <c r="J198" t="s">
        <v>107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1</v>
      </c>
      <c r="Q198" t="s">
        <v>26</v>
      </c>
      <c r="R198">
        <v>1</v>
      </c>
    </row>
    <row r="199" spans="1:18">
      <c r="A199">
        <v>4134840000000</v>
      </c>
      <c r="B199" t="s">
        <v>18</v>
      </c>
      <c r="C199">
        <v>21</v>
      </c>
      <c r="D199" t="s">
        <v>37</v>
      </c>
      <c r="E199" t="s">
        <v>68</v>
      </c>
      <c r="F199" s="1">
        <v>42523</v>
      </c>
      <c r="G199" s="1">
        <v>42527</v>
      </c>
      <c r="H199" t="s">
        <v>30</v>
      </c>
      <c r="I199">
        <v>4</v>
      </c>
      <c r="J199" t="s">
        <v>107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 t="s">
        <v>23</v>
      </c>
      <c r="R199">
        <v>0</v>
      </c>
    </row>
    <row r="200" spans="1:18">
      <c r="A200">
        <v>627976000000</v>
      </c>
      <c r="B200" t="s">
        <v>18</v>
      </c>
      <c r="C200">
        <v>33</v>
      </c>
      <c r="D200" t="s">
        <v>37</v>
      </c>
      <c r="E200" t="s">
        <v>71</v>
      </c>
      <c r="F200" s="1">
        <v>42523</v>
      </c>
      <c r="G200" s="1">
        <v>42528</v>
      </c>
      <c r="H200" t="s">
        <v>41</v>
      </c>
      <c r="I200">
        <v>5</v>
      </c>
      <c r="J200" t="s">
        <v>107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 t="s">
        <v>26</v>
      </c>
      <c r="R200">
        <v>1</v>
      </c>
    </row>
    <row r="201" spans="1:18">
      <c r="A201">
        <v>742778000000</v>
      </c>
      <c r="B201" t="s">
        <v>18</v>
      </c>
      <c r="C201">
        <v>25</v>
      </c>
      <c r="D201" t="s">
        <v>37</v>
      </c>
      <c r="E201" t="s">
        <v>29</v>
      </c>
      <c r="F201" s="1">
        <v>42523</v>
      </c>
      <c r="G201" s="1">
        <v>42527</v>
      </c>
      <c r="H201" t="s">
        <v>30</v>
      </c>
      <c r="I201">
        <v>4</v>
      </c>
      <c r="J201" t="s">
        <v>107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 t="s">
        <v>23</v>
      </c>
      <c r="R201">
        <v>0</v>
      </c>
    </row>
    <row r="202" spans="1:18">
      <c r="A202">
        <v>61965400000000</v>
      </c>
      <c r="B202" t="s">
        <v>18</v>
      </c>
      <c r="C202">
        <v>22</v>
      </c>
      <c r="D202" t="s">
        <v>37</v>
      </c>
      <c r="E202" t="s">
        <v>44</v>
      </c>
      <c r="F202" s="1">
        <v>42522</v>
      </c>
      <c r="G202" s="1">
        <v>42529</v>
      </c>
      <c r="H202" t="s">
        <v>25</v>
      </c>
      <c r="I202">
        <v>7</v>
      </c>
      <c r="J202" t="s">
        <v>107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 t="s">
        <v>23</v>
      </c>
      <c r="R202">
        <v>0</v>
      </c>
    </row>
    <row r="203" spans="1:18">
      <c r="A203">
        <v>33389400000000</v>
      </c>
      <c r="B203" t="s">
        <v>18</v>
      </c>
      <c r="C203">
        <v>31</v>
      </c>
      <c r="D203" t="s">
        <v>37</v>
      </c>
      <c r="E203" t="s">
        <v>43</v>
      </c>
      <c r="F203" s="1">
        <v>42457</v>
      </c>
      <c r="G203" s="1">
        <v>42507</v>
      </c>
      <c r="H203" t="s">
        <v>41</v>
      </c>
      <c r="I203">
        <v>50</v>
      </c>
      <c r="J203" t="s">
        <v>22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23</v>
      </c>
      <c r="R203">
        <v>0</v>
      </c>
    </row>
    <row r="204" spans="1:18">
      <c r="A204">
        <v>41171600000000</v>
      </c>
      <c r="B204" t="s">
        <v>18</v>
      </c>
      <c r="C204">
        <v>34</v>
      </c>
      <c r="D204" t="s">
        <v>37</v>
      </c>
      <c r="E204" t="s">
        <v>100</v>
      </c>
      <c r="F204" s="1">
        <v>42522</v>
      </c>
      <c r="G204" s="1">
        <v>42527</v>
      </c>
      <c r="H204" t="s">
        <v>30</v>
      </c>
      <c r="I204">
        <v>5</v>
      </c>
      <c r="J204" t="s">
        <v>107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 t="s">
        <v>23</v>
      </c>
      <c r="R204">
        <v>0</v>
      </c>
    </row>
    <row r="205" spans="1:18">
      <c r="A205">
        <v>9842172587</v>
      </c>
      <c r="B205" t="s">
        <v>18</v>
      </c>
      <c r="C205">
        <v>25</v>
      </c>
      <c r="D205" t="s">
        <v>37</v>
      </c>
      <c r="E205" t="s">
        <v>49</v>
      </c>
      <c r="F205" s="1">
        <v>42522</v>
      </c>
      <c r="G205" s="1">
        <v>42522</v>
      </c>
      <c r="H205" t="s">
        <v>25</v>
      </c>
      <c r="I205">
        <v>0</v>
      </c>
      <c r="J205" t="s">
        <v>111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26</v>
      </c>
      <c r="R205">
        <v>1</v>
      </c>
    </row>
    <row r="206" spans="1:18">
      <c r="A206">
        <v>28797100000000</v>
      </c>
      <c r="B206" t="s">
        <v>18</v>
      </c>
      <c r="C206">
        <v>20</v>
      </c>
      <c r="D206" t="s">
        <v>37</v>
      </c>
      <c r="E206" t="s">
        <v>29</v>
      </c>
      <c r="F206" s="1">
        <v>42522</v>
      </c>
      <c r="G206" s="1">
        <v>42522</v>
      </c>
      <c r="H206" t="s">
        <v>25</v>
      </c>
      <c r="I206">
        <v>0</v>
      </c>
      <c r="J206" t="s">
        <v>111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23</v>
      </c>
      <c r="R206">
        <v>0</v>
      </c>
    </row>
    <row r="207" spans="1:18">
      <c r="A207">
        <v>58519400000000</v>
      </c>
      <c r="B207" t="s">
        <v>18</v>
      </c>
      <c r="C207">
        <v>23</v>
      </c>
      <c r="D207" t="s">
        <v>37</v>
      </c>
      <c r="E207" t="s">
        <v>45</v>
      </c>
      <c r="F207" s="1">
        <v>42522</v>
      </c>
      <c r="G207" s="1">
        <v>42524</v>
      </c>
      <c r="H207" t="s">
        <v>21</v>
      </c>
      <c r="I207">
        <v>2</v>
      </c>
      <c r="J207" t="s">
        <v>109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23</v>
      </c>
      <c r="R207">
        <v>0</v>
      </c>
    </row>
    <row r="208" spans="1:18">
      <c r="A208">
        <v>66197353628</v>
      </c>
      <c r="B208" t="s">
        <v>28</v>
      </c>
      <c r="C208">
        <v>24</v>
      </c>
      <c r="D208" t="s">
        <v>37</v>
      </c>
      <c r="E208" t="s">
        <v>100</v>
      </c>
      <c r="F208" s="1">
        <v>42522</v>
      </c>
      <c r="G208" s="1">
        <v>42524</v>
      </c>
      <c r="H208" t="s">
        <v>21</v>
      </c>
      <c r="I208">
        <v>2</v>
      </c>
      <c r="J208" t="s">
        <v>109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26</v>
      </c>
      <c r="R208">
        <v>1</v>
      </c>
    </row>
    <row r="209" spans="1:18">
      <c r="A209">
        <v>7976160000000</v>
      </c>
      <c r="B209" t="s">
        <v>18</v>
      </c>
      <c r="C209">
        <v>18</v>
      </c>
      <c r="D209" t="s">
        <v>37</v>
      </c>
      <c r="E209" t="s">
        <v>69</v>
      </c>
      <c r="F209" s="1">
        <v>42457</v>
      </c>
      <c r="G209" s="1">
        <v>42489</v>
      </c>
      <c r="H209" t="s">
        <v>21</v>
      </c>
      <c r="I209">
        <v>32</v>
      </c>
      <c r="J209" t="s">
        <v>22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 t="s">
        <v>23</v>
      </c>
      <c r="R209">
        <v>0</v>
      </c>
    </row>
    <row r="210" spans="1:18">
      <c r="A210">
        <v>31148000000000</v>
      </c>
      <c r="B210" t="s">
        <v>18</v>
      </c>
      <c r="C210">
        <v>18</v>
      </c>
      <c r="D210" t="s">
        <v>37</v>
      </c>
      <c r="E210" t="s">
        <v>29</v>
      </c>
      <c r="F210" s="1">
        <v>42522</v>
      </c>
      <c r="G210" s="1">
        <v>42522</v>
      </c>
      <c r="H210" t="s">
        <v>25</v>
      </c>
      <c r="I210">
        <v>0</v>
      </c>
      <c r="J210" t="s">
        <v>111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23</v>
      </c>
      <c r="R210">
        <v>0</v>
      </c>
    </row>
    <row r="211" spans="1:18">
      <c r="A211">
        <v>54164800000000</v>
      </c>
      <c r="B211" t="s">
        <v>18</v>
      </c>
      <c r="C211">
        <v>18</v>
      </c>
      <c r="D211" t="s">
        <v>37</v>
      </c>
      <c r="E211" t="s">
        <v>72</v>
      </c>
      <c r="F211" s="1">
        <v>42522</v>
      </c>
      <c r="G211" s="1">
        <v>42522</v>
      </c>
      <c r="H211" t="s">
        <v>25</v>
      </c>
      <c r="I211">
        <v>0</v>
      </c>
      <c r="J211" t="s">
        <v>111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23</v>
      </c>
      <c r="R211">
        <v>0</v>
      </c>
    </row>
    <row r="212" spans="1:18">
      <c r="A212">
        <v>42396300000000</v>
      </c>
      <c r="B212" t="s">
        <v>18</v>
      </c>
      <c r="C212">
        <v>26</v>
      </c>
      <c r="D212" t="s">
        <v>37</v>
      </c>
      <c r="E212" t="s">
        <v>43</v>
      </c>
      <c r="F212" s="1">
        <v>42457</v>
      </c>
      <c r="G212" s="1">
        <v>42502</v>
      </c>
      <c r="H212" t="s">
        <v>33</v>
      </c>
      <c r="I212">
        <v>45</v>
      </c>
      <c r="J212" t="s">
        <v>22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 t="s">
        <v>23</v>
      </c>
      <c r="R212">
        <v>0</v>
      </c>
    </row>
    <row r="213" spans="1:18">
      <c r="A213">
        <v>71559100000000</v>
      </c>
      <c r="B213" t="s">
        <v>18</v>
      </c>
      <c r="C213">
        <v>28</v>
      </c>
      <c r="D213" t="s">
        <v>37</v>
      </c>
      <c r="E213" t="s">
        <v>29</v>
      </c>
      <c r="F213" s="1">
        <v>42522</v>
      </c>
      <c r="G213" s="1">
        <v>42522</v>
      </c>
      <c r="H213" t="s">
        <v>25</v>
      </c>
      <c r="I213">
        <v>0</v>
      </c>
      <c r="J213" t="s">
        <v>111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23</v>
      </c>
      <c r="R213">
        <v>0</v>
      </c>
    </row>
    <row r="214" spans="1:18">
      <c r="A214">
        <v>7328460000000</v>
      </c>
      <c r="B214" t="s">
        <v>28</v>
      </c>
      <c r="C214">
        <v>24</v>
      </c>
      <c r="D214" t="s">
        <v>37</v>
      </c>
      <c r="E214" t="s">
        <v>106</v>
      </c>
      <c r="F214" s="1">
        <v>42522</v>
      </c>
      <c r="G214" s="1">
        <v>42523</v>
      </c>
      <c r="H214" t="s">
        <v>33</v>
      </c>
      <c r="I214">
        <v>1</v>
      </c>
      <c r="J214" t="s">
        <v>109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23</v>
      </c>
      <c r="R214">
        <v>0</v>
      </c>
    </row>
    <row r="215" spans="1:18">
      <c r="A215">
        <v>317318000000</v>
      </c>
      <c r="B215" t="s">
        <v>18</v>
      </c>
      <c r="C215">
        <v>31</v>
      </c>
      <c r="D215" t="s">
        <v>37</v>
      </c>
      <c r="E215" t="s">
        <v>96</v>
      </c>
      <c r="F215" s="1">
        <v>42522</v>
      </c>
      <c r="G215" s="1">
        <v>42522</v>
      </c>
      <c r="H215" t="s">
        <v>25</v>
      </c>
      <c r="I215">
        <v>0</v>
      </c>
      <c r="J215" t="s">
        <v>111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23</v>
      </c>
      <c r="R215">
        <v>0</v>
      </c>
    </row>
    <row r="216" spans="1:18">
      <c r="A216">
        <v>8191190000000</v>
      </c>
      <c r="B216" t="s">
        <v>18</v>
      </c>
      <c r="C216">
        <v>21</v>
      </c>
      <c r="D216" t="s">
        <v>37</v>
      </c>
      <c r="E216" t="s">
        <v>51</v>
      </c>
      <c r="F216" s="1">
        <v>42522</v>
      </c>
      <c r="G216" s="1">
        <v>42522</v>
      </c>
      <c r="H216" t="s">
        <v>25</v>
      </c>
      <c r="I216">
        <v>0</v>
      </c>
      <c r="J216" t="s">
        <v>111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23</v>
      </c>
      <c r="R216">
        <v>0</v>
      </c>
    </row>
    <row r="217" spans="1:18">
      <c r="A217">
        <v>197567000000</v>
      </c>
      <c r="B217" t="s">
        <v>18</v>
      </c>
      <c r="C217">
        <v>33</v>
      </c>
      <c r="D217" t="s">
        <v>37</v>
      </c>
      <c r="E217" t="s">
        <v>38</v>
      </c>
      <c r="F217" s="1">
        <v>42522</v>
      </c>
      <c r="G217" s="1">
        <v>42522</v>
      </c>
      <c r="H217" t="s">
        <v>25</v>
      </c>
      <c r="I217">
        <v>0</v>
      </c>
      <c r="J217" t="s">
        <v>111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23</v>
      </c>
      <c r="R217">
        <v>0</v>
      </c>
    </row>
    <row r="218" spans="1:18">
      <c r="A218">
        <v>59251300000000</v>
      </c>
      <c r="B218" t="s">
        <v>18</v>
      </c>
      <c r="C218">
        <v>33</v>
      </c>
      <c r="D218" t="s">
        <v>37</v>
      </c>
      <c r="E218" t="s">
        <v>68</v>
      </c>
      <c r="F218" s="1">
        <v>42522</v>
      </c>
      <c r="G218" s="1">
        <v>42527</v>
      </c>
      <c r="H218" t="s">
        <v>30</v>
      </c>
      <c r="I218">
        <v>5</v>
      </c>
      <c r="J218" t="s">
        <v>107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1</v>
      </c>
      <c r="Q218" t="s">
        <v>23</v>
      </c>
      <c r="R218">
        <v>0</v>
      </c>
    </row>
    <row r="219" spans="1:18">
      <c r="A219">
        <v>842562000000</v>
      </c>
      <c r="B219" t="s">
        <v>18</v>
      </c>
      <c r="C219">
        <v>33</v>
      </c>
      <c r="D219" t="s">
        <v>37</v>
      </c>
      <c r="E219" t="s">
        <v>67</v>
      </c>
      <c r="F219" s="1">
        <v>42457</v>
      </c>
      <c r="G219" s="1">
        <v>42493</v>
      </c>
      <c r="H219" t="s">
        <v>41</v>
      </c>
      <c r="I219">
        <v>36</v>
      </c>
      <c r="J219" t="s">
        <v>22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 t="s">
        <v>23</v>
      </c>
      <c r="R219">
        <v>0</v>
      </c>
    </row>
    <row r="220" spans="1:18">
      <c r="A220">
        <v>59294300000000</v>
      </c>
      <c r="B220" t="s">
        <v>28</v>
      </c>
      <c r="C220">
        <v>27</v>
      </c>
      <c r="D220" t="s">
        <v>37</v>
      </c>
      <c r="E220" t="s">
        <v>32</v>
      </c>
      <c r="F220" s="1">
        <v>42522</v>
      </c>
      <c r="G220" s="1">
        <v>42528</v>
      </c>
      <c r="H220" t="s">
        <v>41</v>
      </c>
      <c r="I220">
        <v>6</v>
      </c>
      <c r="J220" t="s">
        <v>107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 t="s">
        <v>23</v>
      </c>
      <c r="R220">
        <v>0</v>
      </c>
    </row>
    <row r="221" spans="1:18">
      <c r="A221">
        <v>51888900000000</v>
      </c>
      <c r="B221" t="s">
        <v>18</v>
      </c>
      <c r="C221">
        <v>22</v>
      </c>
      <c r="D221" t="s">
        <v>37</v>
      </c>
      <c r="E221" t="s">
        <v>72</v>
      </c>
      <c r="F221" s="1">
        <v>42522</v>
      </c>
      <c r="G221" s="1">
        <v>42522</v>
      </c>
      <c r="H221" t="s">
        <v>25</v>
      </c>
      <c r="I221">
        <v>0</v>
      </c>
      <c r="J221" t="s">
        <v>111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23</v>
      </c>
      <c r="R221">
        <v>0</v>
      </c>
    </row>
    <row r="222" spans="1:18">
      <c r="A222">
        <v>9469730000000</v>
      </c>
      <c r="B222" t="s">
        <v>18</v>
      </c>
      <c r="C222">
        <v>34</v>
      </c>
      <c r="D222" t="s">
        <v>37</v>
      </c>
      <c r="E222" t="s">
        <v>73</v>
      </c>
      <c r="F222" s="1">
        <v>42458</v>
      </c>
      <c r="G222" s="1">
        <v>42489</v>
      </c>
      <c r="H222" t="s">
        <v>21</v>
      </c>
      <c r="I222">
        <v>31</v>
      </c>
      <c r="J222" t="s">
        <v>22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 t="s">
        <v>23</v>
      </c>
      <c r="R222">
        <v>0</v>
      </c>
    </row>
    <row r="223" spans="1:18">
      <c r="A223">
        <v>52257800000000</v>
      </c>
      <c r="B223" t="s">
        <v>18</v>
      </c>
      <c r="C223">
        <v>33</v>
      </c>
      <c r="D223" t="s">
        <v>37</v>
      </c>
      <c r="E223" t="s">
        <v>55</v>
      </c>
      <c r="F223" s="1">
        <v>42522</v>
      </c>
      <c r="G223" s="1">
        <v>42529</v>
      </c>
      <c r="H223" t="s">
        <v>25</v>
      </c>
      <c r="I223">
        <v>7</v>
      </c>
      <c r="J223" t="s">
        <v>107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 t="s">
        <v>23</v>
      </c>
      <c r="R223">
        <v>0</v>
      </c>
    </row>
    <row r="224" spans="1:18">
      <c r="A224">
        <v>68937600000000</v>
      </c>
      <c r="B224" t="s">
        <v>28</v>
      </c>
      <c r="C224">
        <v>26</v>
      </c>
      <c r="D224" t="s">
        <v>37</v>
      </c>
      <c r="E224" t="s">
        <v>81</v>
      </c>
      <c r="F224" s="1">
        <v>42522</v>
      </c>
      <c r="G224" s="1">
        <v>42523</v>
      </c>
      <c r="H224" t="s">
        <v>33</v>
      </c>
      <c r="I224">
        <v>1</v>
      </c>
      <c r="J224" t="s">
        <v>109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26</v>
      </c>
      <c r="R224">
        <v>1</v>
      </c>
    </row>
    <row r="225" spans="1:18">
      <c r="A225">
        <v>64948100000000</v>
      </c>
      <c r="B225" t="s">
        <v>18</v>
      </c>
      <c r="C225">
        <v>35</v>
      </c>
      <c r="D225" t="s">
        <v>37</v>
      </c>
      <c r="E225" t="s">
        <v>70</v>
      </c>
      <c r="F225" s="1">
        <v>42522</v>
      </c>
      <c r="G225" s="1">
        <v>42522</v>
      </c>
      <c r="H225" t="s">
        <v>25</v>
      </c>
      <c r="I225">
        <v>0</v>
      </c>
      <c r="J225" t="s">
        <v>111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23</v>
      </c>
      <c r="R225">
        <v>0</v>
      </c>
    </row>
    <row r="226" spans="1:18">
      <c r="A226">
        <v>61174200000000</v>
      </c>
      <c r="B226" t="s">
        <v>18</v>
      </c>
      <c r="C226">
        <v>25</v>
      </c>
      <c r="D226" t="s">
        <v>37</v>
      </c>
      <c r="E226" t="s">
        <v>96</v>
      </c>
      <c r="F226" s="1">
        <v>42522</v>
      </c>
      <c r="G226" s="1">
        <v>42528</v>
      </c>
      <c r="H226" t="s">
        <v>41</v>
      </c>
      <c r="I226">
        <v>6</v>
      </c>
      <c r="J226" t="s">
        <v>107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 t="s">
        <v>23</v>
      </c>
      <c r="R226">
        <v>0</v>
      </c>
    </row>
    <row r="227" spans="1:18">
      <c r="A227">
        <v>7629960000000</v>
      </c>
      <c r="B227" t="s">
        <v>28</v>
      </c>
      <c r="C227">
        <v>22</v>
      </c>
      <c r="D227" t="s">
        <v>37</v>
      </c>
      <c r="E227" t="s">
        <v>32</v>
      </c>
      <c r="F227" s="1">
        <v>42522</v>
      </c>
      <c r="G227" s="1">
        <v>42522</v>
      </c>
      <c r="H227" t="s">
        <v>25</v>
      </c>
      <c r="I227">
        <v>0</v>
      </c>
      <c r="J227" t="s">
        <v>111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23</v>
      </c>
      <c r="R227">
        <v>0</v>
      </c>
    </row>
    <row r="228" spans="1:18">
      <c r="A228">
        <v>9733470000000</v>
      </c>
      <c r="B228" t="s">
        <v>18</v>
      </c>
      <c r="C228">
        <v>30</v>
      </c>
      <c r="D228" t="s">
        <v>37</v>
      </c>
      <c r="E228" t="s">
        <v>50</v>
      </c>
      <c r="F228" s="1">
        <v>42522</v>
      </c>
      <c r="G228" s="1">
        <v>42523</v>
      </c>
      <c r="H228" t="s">
        <v>33</v>
      </c>
      <c r="I228">
        <v>1</v>
      </c>
      <c r="J228" t="s">
        <v>109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23</v>
      </c>
      <c r="R228">
        <v>0</v>
      </c>
    </row>
    <row r="229" spans="1:18">
      <c r="A229">
        <v>34778400000000</v>
      </c>
      <c r="B229" t="s">
        <v>18</v>
      </c>
      <c r="C229">
        <v>29</v>
      </c>
      <c r="D229" t="s">
        <v>37</v>
      </c>
      <c r="E229" t="s">
        <v>58</v>
      </c>
      <c r="F229" s="1">
        <v>42522</v>
      </c>
      <c r="G229" s="1">
        <v>42524</v>
      </c>
      <c r="H229" t="s">
        <v>21</v>
      </c>
      <c r="I229">
        <v>2</v>
      </c>
      <c r="J229" t="s">
        <v>109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23</v>
      </c>
      <c r="R229">
        <v>0</v>
      </c>
    </row>
    <row r="230" spans="1:18">
      <c r="A230">
        <v>3183716914</v>
      </c>
      <c r="B230" t="s">
        <v>18</v>
      </c>
      <c r="C230">
        <v>29</v>
      </c>
      <c r="D230" t="s">
        <v>37</v>
      </c>
      <c r="E230" t="s">
        <v>55</v>
      </c>
      <c r="F230" s="1">
        <v>42458</v>
      </c>
      <c r="G230" s="1">
        <v>42489</v>
      </c>
      <c r="H230" t="s">
        <v>21</v>
      </c>
      <c r="I230">
        <v>31</v>
      </c>
      <c r="J230" t="s">
        <v>22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23</v>
      </c>
      <c r="R230">
        <v>0</v>
      </c>
    </row>
    <row r="231" spans="1:18">
      <c r="A231">
        <v>77575000000000</v>
      </c>
      <c r="B231" t="s">
        <v>28</v>
      </c>
      <c r="C231">
        <v>28</v>
      </c>
      <c r="D231" t="s">
        <v>37</v>
      </c>
      <c r="E231" t="s">
        <v>53</v>
      </c>
      <c r="F231" s="1">
        <v>42522</v>
      </c>
      <c r="G231" s="1">
        <v>42522</v>
      </c>
      <c r="H231" t="s">
        <v>25</v>
      </c>
      <c r="I231">
        <v>0</v>
      </c>
      <c r="J231" t="s">
        <v>111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23</v>
      </c>
      <c r="R231">
        <v>0</v>
      </c>
    </row>
    <row r="232" spans="1:18">
      <c r="A232">
        <v>92987300000000</v>
      </c>
      <c r="B232" t="s">
        <v>18</v>
      </c>
      <c r="C232">
        <v>30</v>
      </c>
      <c r="D232" t="s">
        <v>37</v>
      </c>
      <c r="E232" t="s">
        <v>57</v>
      </c>
      <c r="F232" s="1">
        <v>42458</v>
      </c>
      <c r="G232" s="1">
        <v>42489</v>
      </c>
      <c r="H232" t="s">
        <v>21</v>
      </c>
      <c r="I232">
        <v>31</v>
      </c>
      <c r="J232" t="s">
        <v>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 t="s">
        <v>26</v>
      </c>
      <c r="R232">
        <v>1</v>
      </c>
    </row>
    <row r="233" spans="1:18">
      <c r="A233">
        <v>927597000000</v>
      </c>
      <c r="B233" t="s">
        <v>18</v>
      </c>
      <c r="C233">
        <v>35</v>
      </c>
      <c r="D233" t="s">
        <v>37</v>
      </c>
      <c r="E233" t="s">
        <v>29</v>
      </c>
      <c r="F233" s="1">
        <v>42522</v>
      </c>
      <c r="G233" s="1">
        <v>42522</v>
      </c>
      <c r="H233" t="s">
        <v>25</v>
      </c>
      <c r="I233">
        <v>0</v>
      </c>
      <c r="J233" t="s">
        <v>111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23</v>
      </c>
      <c r="R233">
        <v>0</v>
      </c>
    </row>
    <row r="234" spans="1:18">
      <c r="A234">
        <v>77316900000000</v>
      </c>
      <c r="B234" t="s">
        <v>28</v>
      </c>
      <c r="C234">
        <v>23</v>
      </c>
      <c r="D234" t="s">
        <v>37</v>
      </c>
      <c r="E234" t="s">
        <v>54</v>
      </c>
      <c r="F234" s="1">
        <v>42458</v>
      </c>
      <c r="G234" s="1">
        <v>42495</v>
      </c>
      <c r="H234" t="s">
        <v>33</v>
      </c>
      <c r="I234">
        <v>37</v>
      </c>
      <c r="J234" t="s">
        <v>22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23</v>
      </c>
      <c r="R234">
        <v>0</v>
      </c>
    </row>
    <row r="235" spans="1:18">
      <c r="A235">
        <v>47271300000000</v>
      </c>
      <c r="B235" t="s">
        <v>18</v>
      </c>
      <c r="C235">
        <v>25</v>
      </c>
      <c r="D235" t="s">
        <v>37</v>
      </c>
      <c r="E235" t="s">
        <v>61</v>
      </c>
      <c r="F235" s="1">
        <v>42458</v>
      </c>
      <c r="G235" s="1">
        <v>42492</v>
      </c>
      <c r="H235" t="s">
        <v>30</v>
      </c>
      <c r="I235">
        <v>34</v>
      </c>
      <c r="J235" t="s">
        <v>22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 t="s">
        <v>23</v>
      </c>
      <c r="R235">
        <v>0</v>
      </c>
    </row>
    <row r="236" spans="1:18">
      <c r="A236">
        <v>7824580000000</v>
      </c>
      <c r="B236" t="s">
        <v>28</v>
      </c>
      <c r="C236">
        <v>30</v>
      </c>
      <c r="D236" t="s">
        <v>37</v>
      </c>
      <c r="E236" t="s">
        <v>75</v>
      </c>
      <c r="F236" s="1">
        <v>42522</v>
      </c>
      <c r="G236" s="1">
        <v>42522</v>
      </c>
      <c r="H236" t="s">
        <v>25</v>
      </c>
      <c r="I236">
        <v>0</v>
      </c>
      <c r="J236" t="s">
        <v>111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23</v>
      </c>
      <c r="R236">
        <v>0</v>
      </c>
    </row>
    <row r="237" spans="1:18">
      <c r="A237">
        <v>27595700000000</v>
      </c>
      <c r="B237" t="s">
        <v>18</v>
      </c>
      <c r="C237">
        <v>20</v>
      </c>
      <c r="D237" t="s">
        <v>37</v>
      </c>
      <c r="E237" t="s">
        <v>87</v>
      </c>
      <c r="F237" s="1">
        <v>42522</v>
      </c>
      <c r="G237" s="1">
        <v>42522</v>
      </c>
      <c r="H237" t="s">
        <v>25</v>
      </c>
      <c r="I237">
        <v>0</v>
      </c>
      <c r="J237" t="s">
        <v>111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23</v>
      </c>
      <c r="R237">
        <v>0</v>
      </c>
    </row>
    <row r="238" spans="1:18">
      <c r="A238">
        <v>61575800000000</v>
      </c>
      <c r="B238" t="s">
        <v>18</v>
      </c>
      <c r="C238">
        <v>24</v>
      </c>
      <c r="D238" t="s">
        <v>37</v>
      </c>
      <c r="E238" t="s">
        <v>69</v>
      </c>
      <c r="F238" s="1">
        <v>42458</v>
      </c>
      <c r="G238" s="1">
        <v>42492</v>
      </c>
      <c r="H238" t="s">
        <v>30</v>
      </c>
      <c r="I238">
        <v>34</v>
      </c>
      <c r="J238" t="s">
        <v>22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26</v>
      </c>
      <c r="R238">
        <v>1</v>
      </c>
    </row>
    <row r="239" spans="1:18">
      <c r="A239">
        <v>9756930000000</v>
      </c>
      <c r="B239" t="s">
        <v>18</v>
      </c>
      <c r="C239">
        <v>30</v>
      </c>
      <c r="D239" t="s">
        <v>37</v>
      </c>
      <c r="E239" t="s">
        <v>57</v>
      </c>
      <c r="F239" s="1">
        <v>42522</v>
      </c>
      <c r="G239" s="1">
        <v>42522</v>
      </c>
      <c r="H239" t="s">
        <v>25</v>
      </c>
      <c r="I239">
        <v>0</v>
      </c>
      <c r="J239" t="s">
        <v>111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23</v>
      </c>
      <c r="R239">
        <v>0</v>
      </c>
    </row>
    <row r="240" spans="1:18">
      <c r="A240">
        <v>21469900000000</v>
      </c>
      <c r="B240" t="s">
        <v>18</v>
      </c>
      <c r="C240">
        <v>21</v>
      </c>
      <c r="D240" t="s">
        <v>37</v>
      </c>
      <c r="E240" t="s">
        <v>72</v>
      </c>
      <c r="F240" s="1">
        <v>42522</v>
      </c>
      <c r="G240" s="1">
        <v>42522</v>
      </c>
      <c r="H240" t="s">
        <v>25</v>
      </c>
      <c r="I240">
        <v>0</v>
      </c>
      <c r="J240" t="s">
        <v>111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23</v>
      </c>
      <c r="R240">
        <v>0</v>
      </c>
    </row>
    <row r="241" spans="1:18">
      <c r="A241">
        <v>315837000000000</v>
      </c>
      <c r="B241" t="s">
        <v>28</v>
      </c>
      <c r="C241">
        <v>29</v>
      </c>
      <c r="D241" t="s">
        <v>37</v>
      </c>
      <c r="E241" t="s">
        <v>66</v>
      </c>
      <c r="F241" s="1">
        <v>42522</v>
      </c>
      <c r="G241" s="1">
        <v>42522</v>
      </c>
      <c r="H241" t="s">
        <v>25</v>
      </c>
      <c r="I241">
        <v>0</v>
      </c>
      <c r="J241" t="s">
        <v>111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23</v>
      </c>
      <c r="R241">
        <v>0</v>
      </c>
    </row>
    <row r="242" spans="1:18">
      <c r="A242">
        <v>77248900000000</v>
      </c>
      <c r="B242" t="s">
        <v>18</v>
      </c>
      <c r="C242">
        <v>30</v>
      </c>
      <c r="D242" t="s">
        <v>37</v>
      </c>
      <c r="E242" t="s">
        <v>84</v>
      </c>
      <c r="F242" s="1">
        <v>42522</v>
      </c>
      <c r="G242" s="1">
        <v>42522</v>
      </c>
      <c r="H242" t="s">
        <v>25</v>
      </c>
      <c r="I242">
        <v>0</v>
      </c>
      <c r="J242" t="s">
        <v>111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 t="s">
        <v>23</v>
      </c>
      <c r="R242">
        <v>0</v>
      </c>
    </row>
    <row r="243" spans="1:18">
      <c r="A243">
        <v>544813000000000</v>
      </c>
      <c r="B243" t="s">
        <v>18</v>
      </c>
      <c r="C243">
        <v>30</v>
      </c>
      <c r="D243" t="s">
        <v>37</v>
      </c>
      <c r="E243" t="s">
        <v>57</v>
      </c>
      <c r="F243" s="1">
        <v>42522</v>
      </c>
      <c r="G243" s="1">
        <v>42522</v>
      </c>
      <c r="H243" t="s">
        <v>25</v>
      </c>
      <c r="I243">
        <v>0</v>
      </c>
      <c r="J243" t="s">
        <v>111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23</v>
      </c>
      <c r="R243">
        <v>0</v>
      </c>
    </row>
    <row r="244" spans="1:18">
      <c r="A244">
        <v>8118170000000</v>
      </c>
      <c r="B244" t="s">
        <v>18</v>
      </c>
      <c r="C244">
        <v>27</v>
      </c>
      <c r="D244" t="s">
        <v>37</v>
      </c>
      <c r="E244" t="s">
        <v>72</v>
      </c>
      <c r="F244" s="1">
        <v>42459</v>
      </c>
      <c r="G244" s="1">
        <v>42489</v>
      </c>
      <c r="H244" t="s">
        <v>21</v>
      </c>
      <c r="I244">
        <v>30</v>
      </c>
      <c r="J244" t="s">
        <v>77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 t="s">
        <v>26</v>
      </c>
      <c r="R244">
        <v>1</v>
      </c>
    </row>
    <row r="245" spans="1:18">
      <c r="A245">
        <v>852772000000</v>
      </c>
      <c r="B245" t="s">
        <v>18</v>
      </c>
      <c r="C245">
        <v>23</v>
      </c>
      <c r="D245" t="s">
        <v>37</v>
      </c>
      <c r="E245" t="s">
        <v>73</v>
      </c>
      <c r="F245" s="1">
        <v>42522</v>
      </c>
      <c r="G245" s="1">
        <v>42529</v>
      </c>
      <c r="H245" t="s">
        <v>25</v>
      </c>
      <c r="I245">
        <v>7</v>
      </c>
      <c r="J245" t="s">
        <v>107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 t="s">
        <v>23</v>
      </c>
      <c r="R245">
        <v>0</v>
      </c>
    </row>
    <row r="246" spans="1:18">
      <c r="A246">
        <v>4488200000000</v>
      </c>
      <c r="B246" t="s">
        <v>18</v>
      </c>
      <c r="C246">
        <v>35</v>
      </c>
      <c r="D246" t="s">
        <v>37</v>
      </c>
      <c r="E246" t="s">
        <v>39</v>
      </c>
      <c r="F246" s="1">
        <v>42522</v>
      </c>
      <c r="G246" s="1">
        <v>42524</v>
      </c>
      <c r="H246" t="s">
        <v>21</v>
      </c>
      <c r="I246">
        <v>2</v>
      </c>
      <c r="J246" t="s">
        <v>109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23</v>
      </c>
      <c r="R246">
        <v>0</v>
      </c>
    </row>
    <row r="247" spans="1:18">
      <c r="A247">
        <v>168726000000000</v>
      </c>
      <c r="B247" t="s">
        <v>28</v>
      </c>
      <c r="C247">
        <v>19</v>
      </c>
      <c r="D247" t="s">
        <v>37</v>
      </c>
      <c r="E247" t="s">
        <v>75</v>
      </c>
      <c r="F247" s="1">
        <v>42522</v>
      </c>
      <c r="G247" s="1">
        <v>42522</v>
      </c>
      <c r="H247" t="s">
        <v>25</v>
      </c>
      <c r="I247">
        <v>0</v>
      </c>
      <c r="J247" t="s">
        <v>111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23</v>
      </c>
      <c r="R247">
        <v>0</v>
      </c>
    </row>
    <row r="248" spans="1:18">
      <c r="A248">
        <v>4373660000000</v>
      </c>
      <c r="B248" t="s">
        <v>28</v>
      </c>
      <c r="C248">
        <v>33</v>
      </c>
      <c r="D248" t="s">
        <v>37</v>
      </c>
      <c r="E248" t="s">
        <v>39</v>
      </c>
      <c r="F248" s="1">
        <v>42522</v>
      </c>
      <c r="G248" s="1">
        <v>42522</v>
      </c>
      <c r="H248" t="s">
        <v>25</v>
      </c>
      <c r="I248">
        <v>0</v>
      </c>
      <c r="J248" t="s">
        <v>111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23</v>
      </c>
      <c r="R248">
        <v>0</v>
      </c>
    </row>
    <row r="249" spans="1:18">
      <c r="A249">
        <v>17385944962</v>
      </c>
      <c r="B249" t="s">
        <v>18</v>
      </c>
      <c r="C249">
        <v>28</v>
      </c>
      <c r="D249" t="s">
        <v>37</v>
      </c>
      <c r="E249" t="s">
        <v>29</v>
      </c>
      <c r="F249" s="1">
        <v>42522</v>
      </c>
      <c r="G249" s="1">
        <v>42524</v>
      </c>
      <c r="H249" t="s">
        <v>21</v>
      </c>
      <c r="I249">
        <v>2</v>
      </c>
      <c r="J249" t="s">
        <v>109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26</v>
      </c>
      <c r="R249">
        <v>1</v>
      </c>
    </row>
    <row r="250" spans="1:18">
      <c r="A250">
        <v>149150000000</v>
      </c>
      <c r="B250" t="s">
        <v>18</v>
      </c>
      <c r="C250">
        <v>20</v>
      </c>
      <c r="D250" t="s">
        <v>37</v>
      </c>
      <c r="E250" t="s">
        <v>59</v>
      </c>
      <c r="F250" s="1">
        <v>42521</v>
      </c>
      <c r="G250" s="1">
        <v>42529</v>
      </c>
      <c r="H250" t="s">
        <v>25</v>
      </c>
      <c r="I250">
        <v>8</v>
      </c>
      <c r="J250" t="s">
        <v>92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23</v>
      </c>
      <c r="R250">
        <v>0</v>
      </c>
    </row>
    <row r="251" spans="1:18">
      <c r="A251">
        <v>6634980000000</v>
      </c>
      <c r="B251" t="s">
        <v>28</v>
      </c>
      <c r="C251">
        <v>23</v>
      </c>
      <c r="D251" t="s">
        <v>37</v>
      </c>
      <c r="E251" t="s">
        <v>72</v>
      </c>
      <c r="F251" s="1">
        <v>42459</v>
      </c>
      <c r="G251" s="1">
        <v>42492</v>
      </c>
      <c r="H251" t="s">
        <v>30</v>
      </c>
      <c r="I251">
        <v>33</v>
      </c>
      <c r="J251" t="s">
        <v>22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23</v>
      </c>
      <c r="R251">
        <v>0</v>
      </c>
    </row>
    <row r="252" spans="1:18">
      <c r="A252">
        <v>784515000000000</v>
      </c>
      <c r="B252" t="s">
        <v>18</v>
      </c>
      <c r="C252">
        <v>28</v>
      </c>
      <c r="D252" t="s">
        <v>37</v>
      </c>
      <c r="E252" t="s">
        <v>72</v>
      </c>
      <c r="F252" s="1">
        <v>42521</v>
      </c>
      <c r="G252" s="1">
        <v>42521</v>
      </c>
      <c r="H252" t="s">
        <v>41</v>
      </c>
      <c r="I252">
        <v>0</v>
      </c>
      <c r="J252" t="s">
        <v>111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23</v>
      </c>
      <c r="R252">
        <v>0</v>
      </c>
    </row>
    <row r="253" spans="1:18">
      <c r="A253">
        <v>12217900000000</v>
      </c>
      <c r="B253" t="s">
        <v>28</v>
      </c>
      <c r="C253">
        <v>18</v>
      </c>
      <c r="D253" t="s">
        <v>37</v>
      </c>
      <c r="E253" t="s">
        <v>29</v>
      </c>
      <c r="F253" s="1">
        <v>42521</v>
      </c>
      <c r="G253" s="1">
        <v>42521</v>
      </c>
      <c r="H253" t="s">
        <v>41</v>
      </c>
      <c r="I253">
        <v>0</v>
      </c>
      <c r="J253" t="s">
        <v>111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23</v>
      </c>
      <c r="R253">
        <v>0</v>
      </c>
    </row>
    <row r="254" spans="1:18">
      <c r="A254">
        <v>75198800000000</v>
      </c>
      <c r="B254" t="s">
        <v>28</v>
      </c>
      <c r="C254">
        <v>20</v>
      </c>
      <c r="D254" t="s">
        <v>37</v>
      </c>
      <c r="E254" t="s">
        <v>40</v>
      </c>
      <c r="F254" s="1">
        <v>42521</v>
      </c>
      <c r="G254" s="1">
        <v>42522</v>
      </c>
      <c r="H254" t="s">
        <v>25</v>
      </c>
      <c r="I254">
        <v>1</v>
      </c>
      <c r="J254" t="s">
        <v>109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23</v>
      </c>
      <c r="R254">
        <v>0</v>
      </c>
    </row>
    <row r="255" spans="1:18">
      <c r="A255">
        <v>8551680000000</v>
      </c>
      <c r="B255" t="s">
        <v>28</v>
      </c>
      <c r="C255">
        <v>31</v>
      </c>
      <c r="D255" t="s">
        <v>37</v>
      </c>
      <c r="E255" t="s">
        <v>39</v>
      </c>
      <c r="F255" s="1">
        <v>42460</v>
      </c>
      <c r="G255" s="1">
        <v>42509</v>
      </c>
      <c r="H255" t="s">
        <v>33</v>
      </c>
      <c r="I255">
        <v>49</v>
      </c>
      <c r="J255" t="s">
        <v>22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23</v>
      </c>
      <c r="R255">
        <v>0</v>
      </c>
    </row>
    <row r="256" spans="1:18">
      <c r="A256">
        <v>47843200000000</v>
      </c>
      <c r="B256" t="s">
        <v>28</v>
      </c>
      <c r="C256">
        <v>24</v>
      </c>
      <c r="D256" t="s">
        <v>37</v>
      </c>
      <c r="E256" t="s">
        <v>82</v>
      </c>
      <c r="F256" s="1">
        <v>42521</v>
      </c>
      <c r="G256" s="1">
        <v>42524</v>
      </c>
      <c r="H256" t="s">
        <v>21</v>
      </c>
      <c r="I256">
        <v>3</v>
      </c>
      <c r="J256" t="s">
        <v>109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23</v>
      </c>
      <c r="R256">
        <v>0</v>
      </c>
    </row>
    <row r="257" spans="1:18">
      <c r="A257">
        <v>134687000000000</v>
      </c>
      <c r="B257" t="s">
        <v>18</v>
      </c>
      <c r="C257">
        <v>34</v>
      </c>
      <c r="D257" t="s">
        <v>37</v>
      </c>
      <c r="E257" t="s">
        <v>72</v>
      </c>
      <c r="F257" s="1">
        <v>42521</v>
      </c>
      <c r="G257" s="1">
        <v>42521</v>
      </c>
      <c r="H257" t="s">
        <v>41</v>
      </c>
      <c r="I257">
        <v>0</v>
      </c>
      <c r="J257" t="s">
        <v>111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23</v>
      </c>
      <c r="R257">
        <v>0</v>
      </c>
    </row>
    <row r="258" spans="1:18">
      <c r="A258">
        <v>78484700000000</v>
      </c>
      <c r="B258" t="s">
        <v>28</v>
      </c>
      <c r="C258">
        <v>27</v>
      </c>
      <c r="D258" t="s">
        <v>37</v>
      </c>
      <c r="E258" t="s">
        <v>24</v>
      </c>
      <c r="F258" s="1">
        <v>42521</v>
      </c>
      <c r="G258" s="1">
        <v>42529</v>
      </c>
      <c r="H258" t="s">
        <v>25</v>
      </c>
      <c r="I258">
        <v>8</v>
      </c>
      <c r="J258" t="s">
        <v>92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26</v>
      </c>
      <c r="R258">
        <v>1</v>
      </c>
    </row>
    <row r="259" spans="1:18">
      <c r="A259">
        <v>266555000000</v>
      </c>
      <c r="B259" t="s">
        <v>28</v>
      </c>
      <c r="C259">
        <v>32</v>
      </c>
      <c r="D259" t="s">
        <v>37</v>
      </c>
      <c r="E259" t="s">
        <v>73</v>
      </c>
      <c r="F259" s="1">
        <v>42460</v>
      </c>
      <c r="G259" s="1">
        <v>42493</v>
      </c>
      <c r="H259" t="s">
        <v>41</v>
      </c>
      <c r="I259">
        <v>33</v>
      </c>
      <c r="J259" t="s">
        <v>22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 t="s">
        <v>23</v>
      </c>
      <c r="R259">
        <v>0</v>
      </c>
    </row>
    <row r="260" spans="1:18">
      <c r="A260">
        <v>154699000000</v>
      </c>
      <c r="B260" t="s">
        <v>18</v>
      </c>
      <c r="C260">
        <v>18</v>
      </c>
      <c r="D260" t="s">
        <v>37</v>
      </c>
      <c r="E260" t="s">
        <v>67</v>
      </c>
      <c r="F260" s="1">
        <v>42460</v>
      </c>
      <c r="G260" s="1">
        <v>42489</v>
      </c>
      <c r="H260" t="s">
        <v>21</v>
      </c>
      <c r="I260">
        <v>29</v>
      </c>
      <c r="J260" t="s">
        <v>77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 t="s">
        <v>26</v>
      </c>
      <c r="R260">
        <v>1</v>
      </c>
    </row>
    <row r="261" spans="1:18">
      <c r="A261">
        <v>573423000000000</v>
      </c>
      <c r="B261" t="s">
        <v>18</v>
      </c>
      <c r="C261">
        <v>21</v>
      </c>
      <c r="D261" t="s">
        <v>37</v>
      </c>
      <c r="E261" t="s">
        <v>79</v>
      </c>
      <c r="F261" s="1">
        <v>42521</v>
      </c>
      <c r="G261" s="1">
        <v>42522</v>
      </c>
      <c r="H261" t="s">
        <v>25</v>
      </c>
      <c r="I261">
        <v>1</v>
      </c>
      <c r="J261" t="s">
        <v>109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23</v>
      </c>
      <c r="R261">
        <v>0</v>
      </c>
    </row>
    <row r="262" spans="1:18">
      <c r="A262">
        <v>785739000000</v>
      </c>
      <c r="B262" t="s">
        <v>18</v>
      </c>
      <c r="C262">
        <v>31</v>
      </c>
      <c r="D262" t="s">
        <v>37</v>
      </c>
      <c r="E262" t="s">
        <v>78</v>
      </c>
      <c r="F262" s="1">
        <v>42460</v>
      </c>
      <c r="G262" s="1">
        <v>42489</v>
      </c>
      <c r="H262" t="s">
        <v>21</v>
      </c>
      <c r="I262">
        <v>29</v>
      </c>
      <c r="J262" t="s">
        <v>77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 t="s">
        <v>23</v>
      </c>
      <c r="R262">
        <v>0</v>
      </c>
    </row>
    <row r="263" spans="1:18">
      <c r="A263">
        <v>76325800000000</v>
      </c>
      <c r="B263" t="s">
        <v>28</v>
      </c>
      <c r="C263">
        <v>22</v>
      </c>
      <c r="D263" t="s">
        <v>37</v>
      </c>
      <c r="E263" t="s">
        <v>79</v>
      </c>
      <c r="F263" s="1">
        <v>42521</v>
      </c>
      <c r="G263" s="1">
        <v>42529</v>
      </c>
      <c r="H263" t="s">
        <v>25</v>
      </c>
      <c r="I263">
        <v>8</v>
      </c>
      <c r="J263" t="s">
        <v>92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 t="s">
        <v>23</v>
      </c>
      <c r="R263">
        <v>0</v>
      </c>
    </row>
    <row r="264" spans="1:18">
      <c r="A264">
        <v>4248480000000</v>
      </c>
      <c r="B264" t="s">
        <v>18</v>
      </c>
      <c r="C264">
        <v>19</v>
      </c>
      <c r="D264" t="s">
        <v>37</v>
      </c>
      <c r="E264" t="s">
        <v>64</v>
      </c>
      <c r="F264" s="1">
        <v>42521</v>
      </c>
      <c r="G264" s="1">
        <v>42521</v>
      </c>
      <c r="H264" t="s">
        <v>41</v>
      </c>
      <c r="I264">
        <v>0</v>
      </c>
      <c r="J264" t="s">
        <v>111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23</v>
      </c>
      <c r="R264">
        <v>0</v>
      </c>
    </row>
    <row r="265" spans="1:18">
      <c r="A265">
        <v>86195300000000</v>
      </c>
      <c r="B265" t="s">
        <v>18</v>
      </c>
      <c r="C265">
        <v>30</v>
      </c>
      <c r="D265" t="s">
        <v>37</v>
      </c>
      <c r="E265" t="s">
        <v>61</v>
      </c>
      <c r="F265" s="1">
        <v>42521</v>
      </c>
      <c r="G265" s="1">
        <v>42528</v>
      </c>
      <c r="H265" t="s">
        <v>41</v>
      </c>
      <c r="I265">
        <v>7</v>
      </c>
      <c r="J265" t="s">
        <v>107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 t="s">
        <v>23</v>
      </c>
      <c r="R265">
        <v>0</v>
      </c>
    </row>
    <row r="266" spans="1:18">
      <c r="A266">
        <v>91153400000000</v>
      </c>
      <c r="B266" t="s">
        <v>18</v>
      </c>
      <c r="C266">
        <v>31</v>
      </c>
      <c r="D266" t="s">
        <v>37</v>
      </c>
      <c r="E266" t="s">
        <v>42</v>
      </c>
      <c r="F266" s="1">
        <v>42521</v>
      </c>
      <c r="G266" s="1">
        <v>42528</v>
      </c>
      <c r="H266" t="s">
        <v>41</v>
      </c>
      <c r="I266">
        <v>7</v>
      </c>
      <c r="J266" t="s">
        <v>107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 t="s">
        <v>23</v>
      </c>
      <c r="R266">
        <v>0</v>
      </c>
    </row>
    <row r="267" spans="1:18">
      <c r="A267">
        <v>196586000000000</v>
      </c>
      <c r="B267" t="s">
        <v>28</v>
      </c>
      <c r="C267">
        <v>31</v>
      </c>
      <c r="D267" t="s">
        <v>37</v>
      </c>
      <c r="E267" t="s">
        <v>39</v>
      </c>
      <c r="F267" s="1">
        <v>42521</v>
      </c>
      <c r="G267" s="1">
        <v>42522</v>
      </c>
      <c r="H267" t="s">
        <v>25</v>
      </c>
      <c r="I267">
        <v>1</v>
      </c>
      <c r="J267" t="s">
        <v>109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26</v>
      </c>
      <c r="R267">
        <v>1</v>
      </c>
    </row>
    <row r="268" spans="1:18">
      <c r="A268">
        <v>653425000000000</v>
      </c>
      <c r="B268" t="s">
        <v>28</v>
      </c>
      <c r="C268">
        <v>33</v>
      </c>
      <c r="D268" t="s">
        <v>37</v>
      </c>
      <c r="E268" t="s">
        <v>47</v>
      </c>
      <c r="F268" s="1">
        <v>42521</v>
      </c>
      <c r="G268" s="1">
        <v>42521</v>
      </c>
      <c r="H268" t="s">
        <v>41</v>
      </c>
      <c r="I268">
        <v>0</v>
      </c>
      <c r="J268" t="s">
        <v>111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23</v>
      </c>
      <c r="R268">
        <v>0</v>
      </c>
    </row>
    <row r="269" spans="1:18">
      <c r="A269">
        <v>438887000000000</v>
      </c>
      <c r="B269" t="s">
        <v>18</v>
      </c>
      <c r="C269">
        <v>31</v>
      </c>
      <c r="D269" t="s">
        <v>37</v>
      </c>
      <c r="E269" t="s">
        <v>45</v>
      </c>
      <c r="F269" s="1">
        <v>42521</v>
      </c>
      <c r="G269" s="1">
        <v>42521</v>
      </c>
      <c r="H269" t="s">
        <v>41</v>
      </c>
      <c r="I269">
        <v>0</v>
      </c>
      <c r="J269" t="s">
        <v>111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23</v>
      </c>
      <c r="R269">
        <v>0</v>
      </c>
    </row>
    <row r="270" spans="1:18">
      <c r="A270">
        <v>45294800000000</v>
      </c>
      <c r="B270" t="s">
        <v>18</v>
      </c>
      <c r="C270">
        <v>25</v>
      </c>
      <c r="D270" t="s">
        <v>37</v>
      </c>
      <c r="E270" t="s">
        <v>73</v>
      </c>
      <c r="F270" s="1">
        <v>42460</v>
      </c>
      <c r="G270" s="1">
        <v>42494</v>
      </c>
      <c r="H270" t="s">
        <v>25</v>
      </c>
      <c r="I270">
        <v>34</v>
      </c>
      <c r="J270" t="s">
        <v>22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 t="s">
        <v>26</v>
      </c>
      <c r="R270">
        <v>1</v>
      </c>
    </row>
    <row r="271" spans="1:18">
      <c r="A271">
        <v>1139340000000</v>
      </c>
      <c r="B271" t="s">
        <v>18</v>
      </c>
      <c r="C271">
        <v>18</v>
      </c>
      <c r="D271" t="s">
        <v>37</v>
      </c>
      <c r="E271" t="s">
        <v>47</v>
      </c>
      <c r="F271" s="1">
        <v>42521</v>
      </c>
      <c r="G271" s="1">
        <v>42521</v>
      </c>
      <c r="H271" t="s">
        <v>41</v>
      </c>
      <c r="I271">
        <v>0</v>
      </c>
      <c r="J271" t="s">
        <v>111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23</v>
      </c>
      <c r="R271">
        <v>0</v>
      </c>
    </row>
    <row r="272" spans="1:18">
      <c r="A272">
        <v>623462000000000</v>
      </c>
      <c r="B272" t="s">
        <v>18</v>
      </c>
      <c r="C272">
        <v>27</v>
      </c>
      <c r="D272" t="s">
        <v>37</v>
      </c>
      <c r="E272" t="s">
        <v>51</v>
      </c>
      <c r="F272" s="1">
        <v>42460</v>
      </c>
      <c r="G272" s="1">
        <v>42489</v>
      </c>
      <c r="H272" t="s">
        <v>21</v>
      </c>
      <c r="I272">
        <v>29</v>
      </c>
      <c r="J272" t="s">
        <v>77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 t="s">
        <v>26</v>
      </c>
      <c r="R272">
        <v>1</v>
      </c>
    </row>
    <row r="273" spans="1:18">
      <c r="A273">
        <v>6522360000000</v>
      </c>
      <c r="B273" t="s">
        <v>18</v>
      </c>
      <c r="C273">
        <v>23</v>
      </c>
      <c r="D273" t="s">
        <v>37</v>
      </c>
      <c r="E273" t="s">
        <v>45</v>
      </c>
      <c r="F273" s="1">
        <v>42460</v>
      </c>
      <c r="G273" s="1">
        <v>42520</v>
      </c>
      <c r="H273" t="s">
        <v>30</v>
      </c>
      <c r="I273">
        <v>60</v>
      </c>
      <c r="J273" t="s">
        <v>22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 t="s">
        <v>23</v>
      </c>
      <c r="R273">
        <v>0</v>
      </c>
    </row>
    <row r="274" spans="1:18">
      <c r="A274">
        <v>883343000000000</v>
      </c>
      <c r="B274" t="s">
        <v>18</v>
      </c>
      <c r="C274">
        <v>21</v>
      </c>
      <c r="D274" t="s">
        <v>37</v>
      </c>
      <c r="E274" t="s">
        <v>48</v>
      </c>
      <c r="F274" s="1">
        <v>42521</v>
      </c>
      <c r="G274" s="1">
        <v>42524</v>
      </c>
      <c r="H274" t="s">
        <v>21</v>
      </c>
      <c r="I274">
        <v>3</v>
      </c>
      <c r="J274" t="s">
        <v>109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 t="s">
        <v>23</v>
      </c>
      <c r="R274">
        <v>0</v>
      </c>
    </row>
    <row r="275" spans="1:18">
      <c r="A275">
        <v>225691000000000</v>
      </c>
      <c r="B275" t="s">
        <v>18</v>
      </c>
      <c r="C275">
        <v>22</v>
      </c>
      <c r="D275" t="s">
        <v>37</v>
      </c>
      <c r="E275" t="s">
        <v>75</v>
      </c>
      <c r="F275" s="1">
        <v>42521</v>
      </c>
      <c r="G275" s="1">
        <v>42524</v>
      </c>
      <c r="H275" t="s">
        <v>21</v>
      </c>
      <c r="I275">
        <v>3</v>
      </c>
      <c r="J275" t="s">
        <v>109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 t="s">
        <v>23</v>
      </c>
      <c r="R275">
        <v>0</v>
      </c>
    </row>
    <row r="276" spans="1:18">
      <c r="A276">
        <v>46818500000000</v>
      </c>
      <c r="B276" t="s">
        <v>18</v>
      </c>
      <c r="C276">
        <v>32</v>
      </c>
      <c r="D276" t="s">
        <v>37</v>
      </c>
      <c r="E276" t="s">
        <v>54</v>
      </c>
      <c r="F276" s="1">
        <v>42461</v>
      </c>
      <c r="G276" s="1">
        <v>42499</v>
      </c>
      <c r="H276" t="s">
        <v>30</v>
      </c>
      <c r="I276">
        <v>38</v>
      </c>
      <c r="J276" t="s">
        <v>22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23</v>
      </c>
      <c r="R276">
        <v>0</v>
      </c>
    </row>
    <row r="277" spans="1:18">
      <c r="A277">
        <v>6141830000000</v>
      </c>
      <c r="B277" t="s">
        <v>28</v>
      </c>
      <c r="C277">
        <v>28</v>
      </c>
      <c r="D277" t="s">
        <v>37</v>
      </c>
      <c r="E277" t="s">
        <v>39</v>
      </c>
      <c r="F277" s="1">
        <v>42521</v>
      </c>
      <c r="G277" s="1">
        <v>42521</v>
      </c>
      <c r="H277" t="s">
        <v>41</v>
      </c>
      <c r="I277">
        <v>0</v>
      </c>
      <c r="J277" t="s">
        <v>111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23</v>
      </c>
      <c r="R277">
        <v>0</v>
      </c>
    </row>
    <row r="278" spans="1:18">
      <c r="A278">
        <v>21226800000000</v>
      </c>
      <c r="B278" t="s">
        <v>18</v>
      </c>
      <c r="C278">
        <v>20</v>
      </c>
      <c r="D278" t="s">
        <v>37</v>
      </c>
      <c r="E278" t="s">
        <v>104</v>
      </c>
      <c r="F278" s="1">
        <v>42521</v>
      </c>
      <c r="G278" s="1">
        <v>42529</v>
      </c>
      <c r="H278" t="s">
        <v>25</v>
      </c>
      <c r="I278">
        <v>8</v>
      </c>
      <c r="J278" t="s">
        <v>92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1</v>
      </c>
      <c r="Q278" t="s">
        <v>23</v>
      </c>
      <c r="R278">
        <v>0</v>
      </c>
    </row>
    <row r="279" spans="1:18">
      <c r="A279">
        <v>99813573358</v>
      </c>
      <c r="B279" t="s">
        <v>28</v>
      </c>
      <c r="C279">
        <v>29</v>
      </c>
      <c r="D279" t="s">
        <v>37</v>
      </c>
      <c r="E279" t="s">
        <v>57</v>
      </c>
      <c r="F279" s="1">
        <v>42521</v>
      </c>
      <c r="G279" s="1">
        <v>42523</v>
      </c>
      <c r="H279" t="s">
        <v>33</v>
      </c>
      <c r="I279">
        <v>2</v>
      </c>
      <c r="J279" t="s">
        <v>109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23</v>
      </c>
      <c r="R279">
        <v>0</v>
      </c>
    </row>
    <row r="280" spans="1:18">
      <c r="A280">
        <v>9693831678</v>
      </c>
      <c r="B280" t="s">
        <v>28</v>
      </c>
      <c r="C280">
        <v>33</v>
      </c>
      <c r="D280" t="s">
        <v>37</v>
      </c>
      <c r="E280" t="s">
        <v>58</v>
      </c>
      <c r="F280" s="1">
        <v>42521</v>
      </c>
      <c r="G280" s="1">
        <v>42521</v>
      </c>
      <c r="H280" t="s">
        <v>41</v>
      </c>
      <c r="I280">
        <v>0</v>
      </c>
      <c r="J280" t="s">
        <v>111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23</v>
      </c>
      <c r="R280">
        <v>0</v>
      </c>
    </row>
    <row r="281" spans="1:18">
      <c r="A281">
        <v>7258680000000</v>
      </c>
      <c r="B281" t="s">
        <v>18</v>
      </c>
      <c r="C281">
        <v>18</v>
      </c>
      <c r="D281" t="s">
        <v>37</v>
      </c>
      <c r="E281" t="s">
        <v>73</v>
      </c>
      <c r="F281" s="1">
        <v>42521</v>
      </c>
      <c r="G281" s="1">
        <v>42524</v>
      </c>
      <c r="H281" t="s">
        <v>21</v>
      </c>
      <c r="I281">
        <v>3</v>
      </c>
      <c r="J281" t="s">
        <v>109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 t="s">
        <v>23</v>
      </c>
      <c r="R281">
        <v>0</v>
      </c>
    </row>
    <row r="282" spans="1:18">
      <c r="A282">
        <v>326750000000</v>
      </c>
      <c r="B282" t="s">
        <v>18</v>
      </c>
      <c r="C282">
        <v>26</v>
      </c>
      <c r="D282" t="s">
        <v>37</v>
      </c>
      <c r="E282" t="s">
        <v>75</v>
      </c>
      <c r="F282" s="1">
        <v>42521</v>
      </c>
      <c r="G282" s="1">
        <v>42528</v>
      </c>
      <c r="H282" t="s">
        <v>41</v>
      </c>
      <c r="I282">
        <v>7</v>
      </c>
      <c r="J282" t="s">
        <v>107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 t="s">
        <v>23</v>
      </c>
      <c r="R282">
        <v>0</v>
      </c>
    </row>
    <row r="283" spans="1:18">
      <c r="A283">
        <v>84423200000000</v>
      </c>
      <c r="B283" t="s">
        <v>18</v>
      </c>
      <c r="C283">
        <v>22</v>
      </c>
      <c r="D283" t="s">
        <v>37</v>
      </c>
      <c r="E283" t="s">
        <v>40</v>
      </c>
      <c r="F283" s="1">
        <v>42521</v>
      </c>
      <c r="G283" s="1">
        <v>42521</v>
      </c>
      <c r="H283" t="s">
        <v>41</v>
      </c>
      <c r="I283">
        <v>0</v>
      </c>
      <c r="J283" t="s">
        <v>111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23</v>
      </c>
      <c r="R283">
        <v>0</v>
      </c>
    </row>
    <row r="284" spans="1:18">
      <c r="A284">
        <v>7587480000000</v>
      </c>
      <c r="B284" t="s">
        <v>18</v>
      </c>
      <c r="C284">
        <v>30</v>
      </c>
      <c r="D284" t="s">
        <v>37</v>
      </c>
      <c r="E284" t="s">
        <v>63</v>
      </c>
      <c r="F284" s="1">
        <v>42521</v>
      </c>
      <c r="G284" s="1">
        <v>42523</v>
      </c>
      <c r="H284" t="s">
        <v>33</v>
      </c>
      <c r="I284">
        <v>2</v>
      </c>
      <c r="J284" t="s">
        <v>109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23</v>
      </c>
      <c r="R284">
        <v>0</v>
      </c>
    </row>
    <row r="285" spans="1:18">
      <c r="A285">
        <v>72822300000000</v>
      </c>
      <c r="B285" t="s">
        <v>28</v>
      </c>
      <c r="C285">
        <v>27</v>
      </c>
      <c r="D285" t="s">
        <v>37</v>
      </c>
      <c r="E285" t="s">
        <v>61</v>
      </c>
      <c r="F285" s="1">
        <v>42521</v>
      </c>
      <c r="G285" s="1">
        <v>42523</v>
      </c>
      <c r="H285" t="s">
        <v>33</v>
      </c>
      <c r="I285">
        <v>2</v>
      </c>
      <c r="J285" t="s">
        <v>109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23</v>
      </c>
      <c r="R285">
        <v>0</v>
      </c>
    </row>
    <row r="286" spans="1:18">
      <c r="A286">
        <v>69978600000000</v>
      </c>
      <c r="B286" t="s">
        <v>28</v>
      </c>
      <c r="C286">
        <v>29</v>
      </c>
      <c r="D286" t="s">
        <v>37</v>
      </c>
      <c r="E286" t="s">
        <v>78</v>
      </c>
      <c r="F286" s="1">
        <v>42521</v>
      </c>
      <c r="G286" s="1">
        <v>42523</v>
      </c>
      <c r="H286" t="s">
        <v>33</v>
      </c>
      <c r="I286">
        <v>2</v>
      </c>
      <c r="J286" t="s">
        <v>109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23</v>
      </c>
      <c r="R286">
        <v>0</v>
      </c>
    </row>
    <row r="287" spans="1:18">
      <c r="A287">
        <v>682550000000</v>
      </c>
      <c r="B287" t="s">
        <v>18</v>
      </c>
      <c r="C287">
        <v>34</v>
      </c>
      <c r="D287" t="s">
        <v>37</v>
      </c>
      <c r="E287" t="s">
        <v>93</v>
      </c>
      <c r="F287" s="1">
        <v>42521</v>
      </c>
      <c r="G287" s="1">
        <v>42522</v>
      </c>
      <c r="H287" t="s">
        <v>25</v>
      </c>
      <c r="I287">
        <v>1</v>
      </c>
      <c r="J287" t="s">
        <v>109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23</v>
      </c>
      <c r="R287">
        <v>0</v>
      </c>
    </row>
    <row r="288" spans="1:18">
      <c r="A288">
        <v>96494600000000</v>
      </c>
      <c r="B288" t="s">
        <v>28</v>
      </c>
      <c r="C288">
        <v>26</v>
      </c>
      <c r="D288" t="s">
        <v>37</v>
      </c>
      <c r="E288" t="s">
        <v>59</v>
      </c>
      <c r="F288" s="1">
        <v>42521</v>
      </c>
      <c r="G288" s="1">
        <v>42522</v>
      </c>
      <c r="H288" t="s">
        <v>25</v>
      </c>
      <c r="I288">
        <v>1</v>
      </c>
      <c r="J288" t="s">
        <v>109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23</v>
      </c>
      <c r="R288">
        <v>0</v>
      </c>
    </row>
    <row r="289" spans="1:18">
      <c r="A289">
        <v>3716910000000</v>
      </c>
      <c r="B289" t="s">
        <v>18</v>
      </c>
      <c r="C289">
        <v>32</v>
      </c>
      <c r="D289" t="s">
        <v>37</v>
      </c>
      <c r="E289" t="s">
        <v>61</v>
      </c>
      <c r="F289" s="1">
        <v>42521</v>
      </c>
      <c r="G289" s="1">
        <v>42521</v>
      </c>
      <c r="H289" t="s">
        <v>41</v>
      </c>
      <c r="I289">
        <v>0</v>
      </c>
      <c r="J289" t="s">
        <v>111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23</v>
      </c>
      <c r="R289">
        <v>0</v>
      </c>
    </row>
    <row r="290" spans="1:18">
      <c r="A290">
        <v>335818000000</v>
      </c>
      <c r="B290" t="s">
        <v>18</v>
      </c>
      <c r="C290">
        <v>32</v>
      </c>
      <c r="D290" t="s">
        <v>37</v>
      </c>
      <c r="E290" t="s">
        <v>72</v>
      </c>
      <c r="F290" s="1">
        <v>42521</v>
      </c>
      <c r="G290" s="1">
        <v>42521</v>
      </c>
      <c r="H290" t="s">
        <v>41</v>
      </c>
      <c r="I290">
        <v>0</v>
      </c>
      <c r="J290" t="s">
        <v>111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23</v>
      </c>
      <c r="R290">
        <v>0</v>
      </c>
    </row>
    <row r="291" spans="1:18">
      <c r="A291">
        <v>567117000000</v>
      </c>
      <c r="B291" t="s">
        <v>18</v>
      </c>
      <c r="C291">
        <v>32</v>
      </c>
      <c r="D291" t="s">
        <v>37</v>
      </c>
      <c r="E291" t="s">
        <v>66</v>
      </c>
      <c r="F291" s="1">
        <v>42521</v>
      </c>
      <c r="G291" s="1">
        <v>42524</v>
      </c>
      <c r="H291" t="s">
        <v>21</v>
      </c>
      <c r="I291">
        <v>3</v>
      </c>
      <c r="J291" t="s">
        <v>109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 t="s">
        <v>23</v>
      </c>
      <c r="R291">
        <v>0</v>
      </c>
    </row>
    <row r="292" spans="1:18">
      <c r="A292">
        <v>35672756311</v>
      </c>
      <c r="B292" t="s">
        <v>28</v>
      </c>
      <c r="C292">
        <v>32</v>
      </c>
      <c r="D292" t="s">
        <v>37</v>
      </c>
      <c r="E292" t="s">
        <v>32</v>
      </c>
      <c r="F292" s="1">
        <v>42461</v>
      </c>
      <c r="G292" s="1">
        <v>42523</v>
      </c>
      <c r="H292" t="s">
        <v>33</v>
      </c>
      <c r="I292">
        <v>62</v>
      </c>
      <c r="J292" t="s">
        <v>22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26</v>
      </c>
      <c r="R292">
        <v>1</v>
      </c>
    </row>
    <row r="293" spans="1:18">
      <c r="A293">
        <v>533924000000000</v>
      </c>
      <c r="B293" t="s">
        <v>28</v>
      </c>
      <c r="C293">
        <v>24</v>
      </c>
      <c r="D293" t="s">
        <v>37</v>
      </c>
      <c r="E293" t="s">
        <v>86</v>
      </c>
      <c r="F293" s="1">
        <v>42521</v>
      </c>
      <c r="G293" s="1">
        <v>42523</v>
      </c>
      <c r="H293" t="s">
        <v>33</v>
      </c>
      <c r="I293">
        <v>2</v>
      </c>
      <c r="J293" t="s">
        <v>109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23</v>
      </c>
      <c r="R293">
        <v>0</v>
      </c>
    </row>
    <row r="294" spans="1:18">
      <c r="A294">
        <v>84411700000000</v>
      </c>
      <c r="B294" t="s">
        <v>18</v>
      </c>
      <c r="C294">
        <v>32</v>
      </c>
      <c r="D294" t="s">
        <v>37</v>
      </c>
      <c r="E294" t="s">
        <v>96</v>
      </c>
      <c r="F294" s="1">
        <v>42521</v>
      </c>
      <c r="G294" s="1">
        <v>42528</v>
      </c>
      <c r="H294" t="s">
        <v>41</v>
      </c>
      <c r="I294">
        <v>7</v>
      </c>
      <c r="J294" t="s">
        <v>107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 t="s">
        <v>23</v>
      </c>
      <c r="R294">
        <v>0</v>
      </c>
    </row>
    <row r="295" spans="1:18">
      <c r="A295">
        <v>435449000000000</v>
      </c>
      <c r="B295" t="s">
        <v>28</v>
      </c>
      <c r="C295">
        <v>24</v>
      </c>
      <c r="D295" t="s">
        <v>37</v>
      </c>
      <c r="E295" t="s">
        <v>47</v>
      </c>
      <c r="F295" s="1">
        <v>42521</v>
      </c>
      <c r="G295" s="1">
        <v>42521</v>
      </c>
      <c r="H295" t="s">
        <v>41</v>
      </c>
      <c r="I295">
        <v>0</v>
      </c>
      <c r="J295" t="s">
        <v>111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23</v>
      </c>
      <c r="R295">
        <v>0</v>
      </c>
    </row>
    <row r="296" spans="1:18">
      <c r="A296">
        <v>141699000000000</v>
      </c>
      <c r="B296" t="s">
        <v>28</v>
      </c>
      <c r="C296">
        <v>23</v>
      </c>
      <c r="D296" t="s">
        <v>37</v>
      </c>
      <c r="E296" t="s">
        <v>57</v>
      </c>
      <c r="F296" s="1">
        <v>42461</v>
      </c>
      <c r="G296" s="1">
        <v>42493</v>
      </c>
      <c r="H296" t="s">
        <v>41</v>
      </c>
      <c r="I296">
        <v>32</v>
      </c>
      <c r="J296" t="s">
        <v>22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1</v>
      </c>
      <c r="Q296" t="s">
        <v>23</v>
      </c>
      <c r="R296">
        <v>0</v>
      </c>
    </row>
    <row r="297" spans="1:18">
      <c r="A297">
        <v>5996140000000</v>
      </c>
      <c r="B297" t="s">
        <v>18</v>
      </c>
      <c r="C297">
        <v>22</v>
      </c>
      <c r="D297" t="s">
        <v>37</v>
      </c>
      <c r="E297" t="s">
        <v>72</v>
      </c>
      <c r="F297" s="1">
        <v>42521</v>
      </c>
      <c r="G297" s="1">
        <v>42521</v>
      </c>
      <c r="H297" t="s">
        <v>41</v>
      </c>
      <c r="I297">
        <v>0</v>
      </c>
      <c r="J297" t="s">
        <v>111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23</v>
      </c>
      <c r="R297">
        <v>0</v>
      </c>
    </row>
    <row r="298" spans="1:18">
      <c r="A298">
        <v>74233900000000</v>
      </c>
      <c r="B298" t="s">
        <v>28</v>
      </c>
      <c r="C298">
        <v>31</v>
      </c>
      <c r="D298" t="s">
        <v>37</v>
      </c>
      <c r="E298" t="s">
        <v>39</v>
      </c>
      <c r="F298" s="1">
        <v>42461</v>
      </c>
      <c r="G298" s="1">
        <v>42523</v>
      </c>
      <c r="H298" t="s">
        <v>33</v>
      </c>
      <c r="I298">
        <v>62</v>
      </c>
      <c r="J298" t="s">
        <v>22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 t="s">
        <v>23</v>
      </c>
      <c r="R298">
        <v>0</v>
      </c>
    </row>
    <row r="299" spans="1:18">
      <c r="A299">
        <v>987694000000</v>
      </c>
      <c r="B299" t="s">
        <v>18</v>
      </c>
      <c r="C299">
        <v>26</v>
      </c>
      <c r="D299" t="s">
        <v>37</v>
      </c>
      <c r="E299" t="s">
        <v>65</v>
      </c>
      <c r="F299" s="1">
        <v>42521</v>
      </c>
      <c r="G299" s="1">
        <v>42523</v>
      </c>
      <c r="H299" t="s">
        <v>33</v>
      </c>
      <c r="I299">
        <v>2</v>
      </c>
      <c r="J299" t="s">
        <v>109</v>
      </c>
      <c r="K299">
        <v>0</v>
      </c>
      <c r="L299">
        <v>1</v>
      </c>
      <c r="M299">
        <v>1</v>
      </c>
      <c r="N299">
        <v>0</v>
      </c>
      <c r="O299">
        <v>0</v>
      </c>
      <c r="P299">
        <v>0</v>
      </c>
      <c r="Q299" t="s">
        <v>23</v>
      </c>
      <c r="R299">
        <v>0</v>
      </c>
    </row>
    <row r="300" spans="1:18">
      <c r="A300">
        <v>959644000000000</v>
      </c>
      <c r="B300" t="s">
        <v>28</v>
      </c>
      <c r="C300">
        <v>19</v>
      </c>
      <c r="D300" t="s">
        <v>37</v>
      </c>
      <c r="E300" t="s">
        <v>39</v>
      </c>
      <c r="F300" s="1">
        <v>42461</v>
      </c>
      <c r="G300" s="1">
        <v>42523</v>
      </c>
      <c r="H300" t="s">
        <v>33</v>
      </c>
      <c r="I300">
        <v>62</v>
      </c>
      <c r="J300" t="s">
        <v>22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 t="s">
        <v>23</v>
      </c>
      <c r="R300">
        <v>0</v>
      </c>
    </row>
    <row r="301" spans="1:18">
      <c r="A301">
        <v>64858700000000</v>
      </c>
      <c r="B301" t="s">
        <v>18</v>
      </c>
      <c r="C301">
        <v>29</v>
      </c>
      <c r="D301" t="s">
        <v>37</v>
      </c>
      <c r="E301" t="s">
        <v>72</v>
      </c>
      <c r="F301" s="1">
        <v>42521</v>
      </c>
      <c r="G301" s="1">
        <v>42523</v>
      </c>
      <c r="H301" t="s">
        <v>33</v>
      </c>
      <c r="I301">
        <v>2</v>
      </c>
      <c r="J301" t="s">
        <v>109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23</v>
      </c>
      <c r="R301">
        <v>0</v>
      </c>
    </row>
    <row r="302" spans="1:18">
      <c r="A302">
        <v>862434000000000</v>
      </c>
      <c r="B302" t="s">
        <v>28</v>
      </c>
      <c r="C302">
        <v>31</v>
      </c>
      <c r="D302" t="s">
        <v>37</v>
      </c>
      <c r="E302" t="s">
        <v>43</v>
      </c>
      <c r="F302" s="1">
        <v>42521</v>
      </c>
      <c r="G302" s="1">
        <v>42527</v>
      </c>
      <c r="H302" t="s">
        <v>30</v>
      </c>
      <c r="I302">
        <v>6</v>
      </c>
      <c r="J302" t="s">
        <v>107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26</v>
      </c>
      <c r="R302">
        <v>1</v>
      </c>
    </row>
    <row r="303" spans="1:18">
      <c r="A303">
        <v>5474630000000</v>
      </c>
      <c r="B303" t="s">
        <v>28</v>
      </c>
      <c r="C303">
        <v>27</v>
      </c>
      <c r="D303" t="s">
        <v>37</v>
      </c>
      <c r="E303" t="s">
        <v>45</v>
      </c>
      <c r="F303" s="1">
        <v>42521</v>
      </c>
      <c r="G303" s="1">
        <v>42521</v>
      </c>
      <c r="H303" t="s">
        <v>41</v>
      </c>
      <c r="I303">
        <v>0</v>
      </c>
      <c r="J303" t="s">
        <v>111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23</v>
      </c>
      <c r="R303">
        <v>0</v>
      </c>
    </row>
    <row r="304" spans="1:18">
      <c r="A304">
        <v>86498300000000</v>
      </c>
      <c r="B304" t="s">
        <v>18</v>
      </c>
      <c r="C304">
        <v>28</v>
      </c>
      <c r="D304" t="s">
        <v>37</v>
      </c>
      <c r="E304" t="s">
        <v>64</v>
      </c>
      <c r="F304" s="1">
        <v>42521</v>
      </c>
      <c r="G304" s="1">
        <v>42528</v>
      </c>
      <c r="H304" t="s">
        <v>41</v>
      </c>
      <c r="I304">
        <v>7</v>
      </c>
      <c r="J304" t="s">
        <v>107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 t="s">
        <v>26</v>
      </c>
      <c r="R304">
        <v>1</v>
      </c>
    </row>
    <row r="305" spans="1:18">
      <c r="A305">
        <v>386660000000000</v>
      </c>
      <c r="B305" t="s">
        <v>28</v>
      </c>
      <c r="C305">
        <v>33</v>
      </c>
      <c r="D305" t="s">
        <v>37</v>
      </c>
      <c r="E305" t="s">
        <v>45</v>
      </c>
      <c r="F305" s="1">
        <v>42521</v>
      </c>
      <c r="G305" s="1">
        <v>42521</v>
      </c>
      <c r="H305" t="s">
        <v>41</v>
      </c>
      <c r="I305">
        <v>0</v>
      </c>
      <c r="J305" t="s">
        <v>111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23</v>
      </c>
      <c r="R305">
        <v>0</v>
      </c>
    </row>
    <row r="306" spans="1:18">
      <c r="A306">
        <v>383225000000</v>
      </c>
      <c r="B306" t="s">
        <v>28</v>
      </c>
      <c r="C306">
        <v>35</v>
      </c>
      <c r="D306" t="s">
        <v>37</v>
      </c>
      <c r="E306" t="s">
        <v>47</v>
      </c>
      <c r="F306" s="1">
        <v>42521</v>
      </c>
      <c r="G306" s="1">
        <v>42521</v>
      </c>
      <c r="H306" t="s">
        <v>41</v>
      </c>
      <c r="I306">
        <v>0</v>
      </c>
      <c r="J306" t="s">
        <v>111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23</v>
      </c>
      <c r="R306">
        <v>0</v>
      </c>
    </row>
    <row r="307" spans="1:18">
      <c r="A307">
        <v>84578800000000</v>
      </c>
      <c r="B307" t="s">
        <v>28</v>
      </c>
      <c r="C307">
        <v>20</v>
      </c>
      <c r="D307" t="s">
        <v>37</v>
      </c>
      <c r="E307" t="s">
        <v>65</v>
      </c>
      <c r="F307" s="1">
        <v>42521</v>
      </c>
      <c r="G307" s="1">
        <v>42521</v>
      </c>
      <c r="H307" t="s">
        <v>41</v>
      </c>
      <c r="I307">
        <v>0</v>
      </c>
      <c r="J307" t="s">
        <v>111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23</v>
      </c>
      <c r="R307">
        <v>0</v>
      </c>
    </row>
    <row r="308" spans="1:18">
      <c r="A308">
        <v>58296200000000</v>
      </c>
      <c r="B308" t="s">
        <v>18</v>
      </c>
      <c r="C308">
        <v>29</v>
      </c>
      <c r="D308" t="s">
        <v>37</v>
      </c>
      <c r="E308" t="s">
        <v>66</v>
      </c>
      <c r="F308" s="1">
        <v>42521</v>
      </c>
      <c r="G308" s="1">
        <v>42522</v>
      </c>
      <c r="H308" t="s">
        <v>25</v>
      </c>
      <c r="I308">
        <v>1</v>
      </c>
      <c r="J308" t="s">
        <v>109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23</v>
      </c>
      <c r="R308">
        <v>0</v>
      </c>
    </row>
    <row r="309" spans="1:18">
      <c r="A309">
        <v>25687200000000</v>
      </c>
      <c r="B309" t="s">
        <v>28</v>
      </c>
      <c r="C309">
        <v>18</v>
      </c>
      <c r="D309" t="s">
        <v>37</v>
      </c>
      <c r="E309" t="s">
        <v>39</v>
      </c>
      <c r="F309" s="1">
        <v>42461</v>
      </c>
      <c r="G309" s="1">
        <v>42529</v>
      </c>
      <c r="H309" t="s">
        <v>25</v>
      </c>
      <c r="I309">
        <v>68</v>
      </c>
      <c r="J309" t="s">
        <v>22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 t="s">
        <v>23</v>
      </c>
      <c r="R309">
        <v>0</v>
      </c>
    </row>
    <row r="310" spans="1:18">
      <c r="A310">
        <v>75641900000000</v>
      </c>
      <c r="B310" t="s">
        <v>28</v>
      </c>
      <c r="C310">
        <v>24</v>
      </c>
      <c r="D310" t="s">
        <v>37</v>
      </c>
      <c r="E310" t="s">
        <v>72</v>
      </c>
      <c r="F310" s="1">
        <v>42520</v>
      </c>
      <c r="G310" s="1">
        <v>42520</v>
      </c>
      <c r="H310" t="s">
        <v>30</v>
      </c>
      <c r="I310">
        <v>0</v>
      </c>
      <c r="J310" t="s">
        <v>111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23</v>
      </c>
      <c r="R310">
        <v>0</v>
      </c>
    </row>
    <row r="311" spans="1:18">
      <c r="A311">
        <v>266589000000000</v>
      </c>
      <c r="B311" t="s">
        <v>18</v>
      </c>
      <c r="C311">
        <v>24</v>
      </c>
      <c r="D311" t="s">
        <v>37</v>
      </c>
      <c r="E311" t="s">
        <v>39</v>
      </c>
      <c r="F311" s="1">
        <v>42520</v>
      </c>
      <c r="G311" s="1">
        <v>42520</v>
      </c>
      <c r="H311" t="s">
        <v>30</v>
      </c>
      <c r="I311">
        <v>0</v>
      </c>
      <c r="J311" t="s">
        <v>111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23</v>
      </c>
      <c r="R311">
        <v>0</v>
      </c>
    </row>
    <row r="312" spans="1:18">
      <c r="A312">
        <v>32267500000000</v>
      </c>
      <c r="B312" t="s">
        <v>18</v>
      </c>
      <c r="C312">
        <v>31</v>
      </c>
      <c r="D312" t="s">
        <v>37</v>
      </c>
      <c r="E312" t="s">
        <v>117</v>
      </c>
      <c r="F312" s="1">
        <v>42520</v>
      </c>
      <c r="G312" s="1">
        <v>42520</v>
      </c>
      <c r="H312" t="s">
        <v>30</v>
      </c>
      <c r="I312">
        <v>0</v>
      </c>
      <c r="J312" t="s">
        <v>111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23</v>
      </c>
      <c r="R312">
        <v>0</v>
      </c>
    </row>
    <row r="313" spans="1:18">
      <c r="A313">
        <v>9388790000000</v>
      </c>
      <c r="B313" t="s">
        <v>28</v>
      </c>
      <c r="C313">
        <v>29</v>
      </c>
      <c r="D313" t="s">
        <v>37</v>
      </c>
      <c r="E313" t="s">
        <v>57</v>
      </c>
      <c r="F313" s="1">
        <v>42520</v>
      </c>
      <c r="G313" s="1">
        <v>42521</v>
      </c>
      <c r="H313" t="s">
        <v>41</v>
      </c>
      <c r="I313">
        <v>1</v>
      </c>
      <c r="J313" t="s">
        <v>109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23</v>
      </c>
      <c r="R313">
        <v>0</v>
      </c>
    </row>
    <row r="314" spans="1:18">
      <c r="A314">
        <v>41738600000000</v>
      </c>
      <c r="B314" t="s">
        <v>18</v>
      </c>
      <c r="C314">
        <v>27</v>
      </c>
      <c r="D314" t="s">
        <v>37</v>
      </c>
      <c r="E314" t="s">
        <v>96</v>
      </c>
      <c r="F314" s="1">
        <v>42520</v>
      </c>
      <c r="G314" s="1">
        <v>42522</v>
      </c>
      <c r="H314" t="s">
        <v>25</v>
      </c>
      <c r="I314">
        <v>2</v>
      </c>
      <c r="J314" t="s">
        <v>109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23</v>
      </c>
      <c r="R314">
        <v>0</v>
      </c>
    </row>
    <row r="315" spans="1:18">
      <c r="A315">
        <v>7861820000000</v>
      </c>
      <c r="B315" t="s">
        <v>18</v>
      </c>
      <c r="C315">
        <v>19</v>
      </c>
      <c r="D315" t="s">
        <v>37</v>
      </c>
      <c r="E315" t="s">
        <v>29</v>
      </c>
      <c r="F315" s="1">
        <v>42520</v>
      </c>
      <c r="G315" s="1">
        <v>42520</v>
      </c>
      <c r="H315" t="s">
        <v>30</v>
      </c>
      <c r="I315">
        <v>0</v>
      </c>
      <c r="J315" t="s">
        <v>111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23</v>
      </c>
      <c r="R315">
        <v>0</v>
      </c>
    </row>
    <row r="316" spans="1:18">
      <c r="A316">
        <v>987239000000</v>
      </c>
      <c r="B316" t="s">
        <v>18</v>
      </c>
      <c r="C316">
        <v>21</v>
      </c>
      <c r="D316" t="s">
        <v>37</v>
      </c>
      <c r="E316" t="s">
        <v>59</v>
      </c>
      <c r="F316" s="1">
        <v>42520</v>
      </c>
      <c r="G316" s="1">
        <v>42522</v>
      </c>
      <c r="H316" t="s">
        <v>25</v>
      </c>
      <c r="I316">
        <v>2</v>
      </c>
      <c r="J316" t="s">
        <v>109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26</v>
      </c>
      <c r="R316">
        <v>1</v>
      </c>
    </row>
    <row r="317" spans="1:18">
      <c r="A317">
        <v>842669000000000</v>
      </c>
      <c r="B317" t="s">
        <v>28</v>
      </c>
      <c r="C317">
        <v>34</v>
      </c>
      <c r="D317" t="s">
        <v>37</v>
      </c>
      <c r="E317" t="s">
        <v>40</v>
      </c>
      <c r="F317" s="1">
        <v>42520</v>
      </c>
      <c r="G317" s="1">
        <v>42524</v>
      </c>
      <c r="H317" t="s">
        <v>21</v>
      </c>
      <c r="I317">
        <v>4</v>
      </c>
      <c r="J317" t="s">
        <v>107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1</v>
      </c>
      <c r="Q317" t="s">
        <v>23</v>
      </c>
      <c r="R317">
        <v>0</v>
      </c>
    </row>
    <row r="318" spans="1:18">
      <c r="A318">
        <v>154360000000000</v>
      </c>
      <c r="B318" t="s">
        <v>18</v>
      </c>
      <c r="C318">
        <v>28</v>
      </c>
      <c r="D318" t="s">
        <v>37</v>
      </c>
      <c r="E318" t="s">
        <v>59</v>
      </c>
      <c r="F318" s="1">
        <v>42520</v>
      </c>
      <c r="G318" s="1">
        <v>42524</v>
      </c>
      <c r="H318" t="s">
        <v>21</v>
      </c>
      <c r="I318">
        <v>4</v>
      </c>
      <c r="J318" t="s">
        <v>107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 t="s">
        <v>23</v>
      </c>
      <c r="R318">
        <v>0</v>
      </c>
    </row>
    <row r="319" spans="1:18">
      <c r="A319">
        <v>77521400000000</v>
      </c>
      <c r="B319" t="s">
        <v>28</v>
      </c>
      <c r="C319">
        <v>25</v>
      </c>
      <c r="D319" t="s">
        <v>37</v>
      </c>
      <c r="E319" t="s">
        <v>50</v>
      </c>
      <c r="F319" s="1">
        <v>42520</v>
      </c>
      <c r="G319" s="1">
        <v>42522</v>
      </c>
      <c r="H319" t="s">
        <v>25</v>
      </c>
      <c r="I319">
        <v>2</v>
      </c>
      <c r="J319" t="s">
        <v>109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23</v>
      </c>
      <c r="R319">
        <v>0</v>
      </c>
    </row>
    <row r="320" spans="1:18">
      <c r="A320">
        <v>377433000000000</v>
      </c>
      <c r="B320" t="s">
        <v>18</v>
      </c>
      <c r="C320">
        <v>25</v>
      </c>
      <c r="D320" t="s">
        <v>37</v>
      </c>
      <c r="E320" t="s">
        <v>51</v>
      </c>
      <c r="F320" s="1">
        <v>42465</v>
      </c>
      <c r="G320" s="1">
        <v>42508</v>
      </c>
      <c r="H320" t="s">
        <v>25</v>
      </c>
      <c r="I320">
        <v>43</v>
      </c>
      <c r="J320" t="s">
        <v>22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23</v>
      </c>
      <c r="R320">
        <v>0</v>
      </c>
    </row>
    <row r="321" spans="1:18">
      <c r="A321">
        <v>51888900000000</v>
      </c>
      <c r="B321" t="s">
        <v>18</v>
      </c>
      <c r="C321">
        <v>22</v>
      </c>
      <c r="D321" t="s">
        <v>37</v>
      </c>
      <c r="E321" t="s">
        <v>72</v>
      </c>
      <c r="F321" s="1">
        <v>42520</v>
      </c>
      <c r="G321" s="1">
        <v>42520</v>
      </c>
      <c r="H321" t="s">
        <v>30</v>
      </c>
      <c r="I321">
        <v>0</v>
      </c>
      <c r="J321" t="s">
        <v>111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23</v>
      </c>
      <c r="R321">
        <v>0</v>
      </c>
    </row>
    <row r="322" spans="1:18">
      <c r="A322">
        <v>9223780000000</v>
      </c>
      <c r="B322" t="s">
        <v>18</v>
      </c>
      <c r="C322">
        <v>30</v>
      </c>
      <c r="D322" t="s">
        <v>37</v>
      </c>
      <c r="E322" t="s">
        <v>72</v>
      </c>
      <c r="F322" s="1">
        <v>42520</v>
      </c>
      <c r="G322" s="1">
        <v>42520</v>
      </c>
      <c r="H322" t="s">
        <v>30</v>
      </c>
      <c r="I322">
        <v>0</v>
      </c>
      <c r="J322" t="s">
        <v>111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23</v>
      </c>
      <c r="R322">
        <v>0</v>
      </c>
    </row>
    <row r="323" spans="1:18">
      <c r="A323">
        <v>13668000000000</v>
      </c>
      <c r="B323" t="s">
        <v>28</v>
      </c>
      <c r="C323">
        <v>35</v>
      </c>
      <c r="D323" t="s">
        <v>37</v>
      </c>
      <c r="E323" t="s">
        <v>51</v>
      </c>
      <c r="F323" s="1">
        <v>42465</v>
      </c>
      <c r="G323" s="1">
        <v>42495</v>
      </c>
      <c r="H323" t="s">
        <v>33</v>
      </c>
      <c r="I323">
        <v>30</v>
      </c>
      <c r="J323" t="s">
        <v>77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1</v>
      </c>
      <c r="Q323" t="s">
        <v>23</v>
      </c>
      <c r="R323">
        <v>0</v>
      </c>
    </row>
    <row r="324" spans="1:18">
      <c r="A324">
        <v>9716120000000</v>
      </c>
      <c r="B324" t="s">
        <v>18</v>
      </c>
      <c r="C324">
        <v>31</v>
      </c>
      <c r="D324" t="s">
        <v>37</v>
      </c>
      <c r="E324" t="s">
        <v>96</v>
      </c>
      <c r="F324" s="1">
        <v>42520</v>
      </c>
      <c r="G324" s="1">
        <v>42520</v>
      </c>
      <c r="H324" t="s">
        <v>30</v>
      </c>
      <c r="I324">
        <v>0</v>
      </c>
      <c r="J324" t="s">
        <v>111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23</v>
      </c>
      <c r="R324">
        <v>0</v>
      </c>
    </row>
    <row r="325" spans="1:18">
      <c r="A325">
        <v>61675800000000</v>
      </c>
      <c r="B325" t="s">
        <v>18</v>
      </c>
      <c r="C325">
        <v>22</v>
      </c>
      <c r="D325" t="s">
        <v>37</v>
      </c>
      <c r="E325" t="s">
        <v>86</v>
      </c>
      <c r="F325" s="1">
        <v>42520</v>
      </c>
      <c r="G325" s="1">
        <v>42520</v>
      </c>
      <c r="H325" t="s">
        <v>30</v>
      </c>
      <c r="I325">
        <v>0</v>
      </c>
      <c r="J325" t="s">
        <v>111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23</v>
      </c>
      <c r="R325">
        <v>0</v>
      </c>
    </row>
    <row r="326" spans="1:18">
      <c r="A326">
        <v>1324450000000</v>
      </c>
      <c r="B326" t="s">
        <v>18</v>
      </c>
      <c r="C326">
        <v>20</v>
      </c>
      <c r="D326" t="s">
        <v>37</v>
      </c>
      <c r="E326" t="s">
        <v>45</v>
      </c>
      <c r="F326" s="1">
        <v>42465</v>
      </c>
      <c r="G326" s="1">
        <v>42509</v>
      </c>
      <c r="H326" t="s">
        <v>33</v>
      </c>
      <c r="I326">
        <v>44</v>
      </c>
      <c r="J326" t="s">
        <v>22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23</v>
      </c>
      <c r="R326">
        <v>0</v>
      </c>
    </row>
    <row r="327" spans="1:18">
      <c r="A327">
        <v>311846000000000</v>
      </c>
      <c r="B327" t="s">
        <v>18</v>
      </c>
      <c r="C327">
        <v>32</v>
      </c>
      <c r="D327" t="s">
        <v>37</v>
      </c>
      <c r="E327" t="s">
        <v>34</v>
      </c>
      <c r="F327" s="1">
        <v>42520</v>
      </c>
      <c r="G327" s="1">
        <v>42520</v>
      </c>
      <c r="H327" t="s">
        <v>30</v>
      </c>
      <c r="I327">
        <v>0</v>
      </c>
      <c r="J327" t="s">
        <v>111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23</v>
      </c>
      <c r="R327">
        <v>0</v>
      </c>
    </row>
    <row r="328" spans="1:18">
      <c r="A328">
        <v>9983380000000</v>
      </c>
      <c r="B328" t="s">
        <v>18</v>
      </c>
      <c r="C328">
        <v>30</v>
      </c>
      <c r="D328" t="s">
        <v>37</v>
      </c>
      <c r="E328" t="s">
        <v>81</v>
      </c>
      <c r="F328" s="1">
        <v>42465</v>
      </c>
      <c r="G328" s="1">
        <v>42506</v>
      </c>
      <c r="H328" t="s">
        <v>30</v>
      </c>
      <c r="I328">
        <v>41</v>
      </c>
      <c r="J328" t="s">
        <v>22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26</v>
      </c>
      <c r="R328">
        <v>1</v>
      </c>
    </row>
    <row r="329" spans="1:18">
      <c r="A329">
        <v>171992000000</v>
      </c>
      <c r="B329" t="s">
        <v>18</v>
      </c>
      <c r="C329">
        <v>32</v>
      </c>
      <c r="D329" t="s">
        <v>37</v>
      </c>
      <c r="E329" t="s">
        <v>32</v>
      </c>
      <c r="F329" s="1">
        <v>42520</v>
      </c>
      <c r="G329" s="1">
        <v>42522</v>
      </c>
      <c r="H329" t="s">
        <v>25</v>
      </c>
      <c r="I329">
        <v>2</v>
      </c>
      <c r="J329" t="s">
        <v>109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26</v>
      </c>
      <c r="R329">
        <v>1</v>
      </c>
    </row>
    <row r="330" spans="1:18">
      <c r="A330">
        <v>9225400000000</v>
      </c>
      <c r="B330" t="s">
        <v>28</v>
      </c>
      <c r="C330">
        <v>24</v>
      </c>
      <c r="D330" t="s">
        <v>37</v>
      </c>
      <c r="E330" t="s">
        <v>69</v>
      </c>
      <c r="F330" s="1">
        <v>42520</v>
      </c>
      <c r="G330" s="1">
        <v>42523</v>
      </c>
      <c r="H330" t="s">
        <v>33</v>
      </c>
      <c r="I330">
        <v>3</v>
      </c>
      <c r="J330" t="s">
        <v>109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23</v>
      </c>
      <c r="R330">
        <v>0</v>
      </c>
    </row>
    <row r="331" spans="1:18">
      <c r="A331">
        <v>78633427355</v>
      </c>
      <c r="B331" t="s">
        <v>18</v>
      </c>
      <c r="C331">
        <v>26</v>
      </c>
      <c r="D331" t="s">
        <v>37</v>
      </c>
      <c r="E331" t="s">
        <v>68</v>
      </c>
      <c r="F331" s="1">
        <v>42520</v>
      </c>
      <c r="G331" s="1">
        <v>42520</v>
      </c>
      <c r="H331" t="s">
        <v>30</v>
      </c>
      <c r="I331">
        <v>0</v>
      </c>
      <c r="J331" t="s">
        <v>111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23</v>
      </c>
      <c r="R331">
        <v>0</v>
      </c>
    </row>
    <row r="332" spans="1:18">
      <c r="A332">
        <v>73834200000000</v>
      </c>
      <c r="B332" t="s">
        <v>18</v>
      </c>
      <c r="C332">
        <v>20</v>
      </c>
      <c r="D332" t="s">
        <v>37</v>
      </c>
      <c r="E332" t="s">
        <v>56</v>
      </c>
      <c r="F332" s="1">
        <v>42520</v>
      </c>
      <c r="G332" s="1">
        <v>42522</v>
      </c>
      <c r="H332" t="s">
        <v>25</v>
      </c>
      <c r="I332">
        <v>2</v>
      </c>
      <c r="J332" t="s">
        <v>109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23</v>
      </c>
      <c r="R332">
        <v>0</v>
      </c>
    </row>
    <row r="333" spans="1:18">
      <c r="A333">
        <v>64364600000000</v>
      </c>
      <c r="B333" t="s">
        <v>18</v>
      </c>
      <c r="C333">
        <v>25</v>
      </c>
      <c r="D333" t="s">
        <v>37</v>
      </c>
      <c r="E333" t="s">
        <v>96</v>
      </c>
      <c r="F333" s="1">
        <v>42520</v>
      </c>
      <c r="G333" s="1">
        <v>42520</v>
      </c>
      <c r="H333" t="s">
        <v>30</v>
      </c>
      <c r="I333">
        <v>0</v>
      </c>
      <c r="J333" t="s">
        <v>111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23</v>
      </c>
      <c r="R333">
        <v>0</v>
      </c>
    </row>
    <row r="334" spans="1:18">
      <c r="A334">
        <v>3816350000000</v>
      </c>
      <c r="B334" t="s">
        <v>28</v>
      </c>
      <c r="C334">
        <v>34</v>
      </c>
      <c r="D334" t="s">
        <v>37</v>
      </c>
      <c r="E334" t="s">
        <v>40</v>
      </c>
      <c r="F334" s="1">
        <v>42520</v>
      </c>
      <c r="G334" s="1">
        <v>42522</v>
      </c>
      <c r="H334" t="s">
        <v>25</v>
      </c>
      <c r="I334">
        <v>2</v>
      </c>
      <c r="J334" t="s">
        <v>109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23</v>
      </c>
      <c r="R334">
        <v>0</v>
      </c>
    </row>
    <row r="335" spans="1:18">
      <c r="A335">
        <v>415862000000000</v>
      </c>
      <c r="B335" t="s">
        <v>18</v>
      </c>
      <c r="C335">
        <v>20</v>
      </c>
      <c r="D335" t="s">
        <v>37</v>
      </c>
      <c r="E335" t="s">
        <v>68</v>
      </c>
      <c r="F335" s="1">
        <v>42465</v>
      </c>
      <c r="G335" s="1">
        <v>42494</v>
      </c>
      <c r="H335" t="s">
        <v>25</v>
      </c>
      <c r="I335">
        <v>29</v>
      </c>
      <c r="J335" t="s">
        <v>77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 t="s">
        <v>23</v>
      </c>
      <c r="R335">
        <v>0</v>
      </c>
    </row>
    <row r="336" spans="1:18">
      <c r="A336">
        <v>2819000000000</v>
      </c>
      <c r="B336" t="s">
        <v>28</v>
      </c>
      <c r="C336">
        <v>27</v>
      </c>
      <c r="D336" t="s">
        <v>37</v>
      </c>
      <c r="E336" t="s">
        <v>98</v>
      </c>
      <c r="F336" s="1">
        <v>42520</v>
      </c>
      <c r="G336" s="1">
        <v>42520</v>
      </c>
      <c r="H336" t="s">
        <v>30</v>
      </c>
      <c r="I336">
        <v>0</v>
      </c>
      <c r="J336" t="s">
        <v>111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23</v>
      </c>
      <c r="R336">
        <v>0</v>
      </c>
    </row>
    <row r="337" spans="1:18">
      <c r="A337">
        <v>79185400000000</v>
      </c>
      <c r="B337" t="s">
        <v>18</v>
      </c>
      <c r="C337">
        <v>27</v>
      </c>
      <c r="D337" t="s">
        <v>37</v>
      </c>
      <c r="E337" t="s">
        <v>50</v>
      </c>
      <c r="F337" s="1">
        <v>42520</v>
      </c>
      <c r="G337" s="1">
        <v>42520</v>
      </c>
      <c r="H337" t="s">
        <v>30</v>
      </c>
      <c r="I337">
        <v>0</v>
      </c>
      <c r="J337" t="s">
        <v>111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23</v>
      </c>
      <c r="R337">
        <v>0</v>
      </c>
    </row>
    <row r="338" spans="1:18">
      <c r="A338">
        <v>4764870000000</v>
      </c>
      <c r="B338" t="s">
        <v>18</v>
      </c>
      <c r="C338">
        <v>22</v>
      </c>
      <c r="D338" t="s">
        <v>37</v>
      </c>
      <c r="E338" t="s">
        <v>51</v>
      </c>
      <c r="F338" s="1">
        <v>42465</v>
      </c>
      <c r="G338" s="1">
        <v>42503</v>
      </c>
      <c r="H338" t="s">
        <v>21</v>
      </c>
      <c r="I338">
        <v>38</v>
      </c>
      <c r="J338" t="s">
        <v>22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26</v>
      </c>
      <c r="R338">
        <v>1</v>
      </c>
    </row>
    <row r="339" spans="1:18">
      <c r="A339">
        <v>5794410000000</v>
      </c>
      <c r="B339" t="s">
        <v>18</v>
      </c>
      <c r="C339">
        <v>31</v>
      </c>
      <c r="D339" t="s">
        <v>37</v>
      </c>
      <c r="E339" t="s">
        <v>44</v>
      </c>
      <c r="F339" s="1">
        <v>42520</v>
      </c>
      <c r="G339" s="1">
        <v>42520</v>
      </c>
      <c r="H339" t="s">
        <v>30</v>
      </c>
      <c r="I339">
        <v>0</v>
      </c>
      <c r="J339" t="s">
        <v>111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23</v>
      </c>
      <c r="R339">
        <v>0</v>
      </c>
    </row>
    <row r="340" spans="1:18">
      <c r="A340">
        <v>4272130000000</v>
      </c>
      <c r="B340" t="s">
        <v>18</v>
      </c>
      <c r="C340">
        <v>28</v>
      </c>
      <c r="D340" t="s">
        <v>37</v>
      </c>
      <c r="E340" t="s">
        <v>54</v>
      </c>
      <c r="F340" s="1">
        <v>42520</v>
      </c>
      <c r="G340" s="1">
        <v>42527</v>
      </c>
      <c r="H340" t="s">
        <v>30</v>
      </c>
      <c r="I340">
        <v>7</v>
      </c>
      <c r="J340" t="s">
        <v>107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 t="s">
        <v>23</v>
      </c>
      <c r="R340">
        <v>0</v>
      </c>
    </row>
    <row r="341" spans="1:18">
      <c r="A341">
        <v>297249000000000</v>
      </c>
      <c r="B341" t="s">
        <v>28</v>
      </c>
      <c r="C341">
        <v>30</v>
      </c>
      <c r="D341" t="s">
        <v>37</v>
      </c>
      <c r="E341" t="s">
        <v>66</v>
      </c>
      <c r="F341" s="1">
        <v>42520</v>
      </c>
      <c r="G341" s="1">
        <v>42528</v>
      </c>
      <c r="H341" t="s">
        <v>41</v>
      </c>
      <c r="I341">
        <v>8</v>
      </c>
      <c r="J341" t="s">
        <v>92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1</v>
      </c>
      <c r="Q341" t="s">
        <v>23</v>
      </c>
      <c r="R341">
        <v>0</v>
      </c>
    </row>
    <row r="342" spans="1:18">
      <c r="A342">
        <v>132629000000</v>
      </c>
      <c r="B342" t="s">
        <v>18</v>
      </c>
      <c r="C342">
        <v>27</v>
      </c>
      <c r="D342" t="s">
        <v>37</v>
      </c>
      <c r="E342" t="s">
        <v>43</v>
      </c>
      <c r="F342" s="1">
        <v>42520</v>
      </c>
      <c r="G342" s="1">
        <v>42527</v>
      </c>
      <c r="H342" t="s">
        <v>30</v>
      </c>
      <c r="I342">
        <v>7</v>
      </c>
      <c r="J342" t="s">
        <v>107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 t="s">
        <v>23</v>
      </c>
      <c r="R342">
        <v>0</v>
      </c>
    </row>
    <row r="343" spans="1:18">
      <c r="A343">
        <v>292698000000</v>
      </c>
      <c r="B343" t="s">
        <v>18</v>
      </c>
      <c r="C343">
        <v>29</v>
      </c>
      <c r="D343" t="s">
        <v>37</v>
      </c>
      <c r="E343" t="s">
        <v>71</v>
      </c>
      <c r="F343" s="1">
        <v>42520</v>
      </c>
      <c r="G343" s="1">
        <v>42520</v>
      </c>
      <c r="H343" t="s">
        <v>30</v>
      </c>
      <c r="I343">
        <v>0</v>
      </c>
      <c r="J343" t="s">
        <v>111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23</v>
      </c>
      <c r="R343">
        <v>0</v>
      </c>
    </row>
    <row r="344" spans="1:18">
      <c r="A344">
        <v>39627600000000</v>
      </c>
      <c r="B344" t="s">
        <v>28</v>
      </c>
      <c r="C344">
        <v>30</v>
      </c>
      <c r="D344" t="s">
        <v>37</v>
      </c>
      <c r="E344" t="s">
        <v>71</v>
      </c>
      <c r="F344" s="1">
        <v>42520</v>
      </c>
      <c r="G344" s="1">
        <v>42527</v>
      </c>
      <c r="H344" t="s">
        <v>30</v>
      </c>
      <c r="I344">
        <v>7</v>
      </c>
      <c r="J344" t="s">
        <v>107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 t="s">
        <v>23</v>
      </c>
      <c r="R344">
        <v>0</v>
      </c>
    </row>
    <row r="345" spans="1:18">
      <c r="A345">
        <v>9738470000000</v>
      </c>
      <c r="B345" t="s">
        <v>18</v>
      </c>
      <c r="C345">
        <v>22</v>
      </c>
      <c r="D345" t="s">
        <v>37</v>
      </c>
      <c r="E345" t="s">
        <v>69</v>
      </c>
      <c r="F345" s="1">
        <v>42520</v>
      </c>
      <c r="G345" s="1">
        <v>42520</v>
      </c>
      <c r="H345" t="s">
        <v>30</v>
      </c>
      <c r="I345">
        <v>0</v>
      </c>
      <c r="J345" t="s">
        <v>111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23</v>
      </c>
      <c r="R345">
        <v>0</v>
      </c>
    </row>
    <row r="346" spans="1:18">
      <c r="A346">
        <v>32517600000000</v>
      </c>
      <c r="B346" t="s">
        <v>18</v>
      </c>
      <c r="C346">
        <v>22</v>
      </c>
      <c r="D346" t="s">
        <v>37</v>
      </c>
      <c r="E346" t="s">
        <v>72</v>
      </c>
      <c r="F346" s="1">
        <v>42520</v>
      </c>
      <c r="G346" s="1">
        <v>42520</v>
      </c>
      <c r="H346" t="s">
        <v>30</v>
      </c>
      <c r="I346">
        <v>0</v>
      </c>
      <c r="J346" t="s">
        <v>111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23</v>
      </c>
      <c r="R346">
        <v>0</v>
      </c>
    </row>
    <row r="347" spans="1:18">
      <c r="A347">
        <v>31141800000000</v>
      </c>
      <c r="B347" t="s">
        <v>18</v>
      </c>
      <c r="C347">
        <v>25</v>
      </c>
      <c r="D347" t="s">
        <v>37</v>
      </c>
      <c r="E347" t="s">
        <v>91</v>
      </c>
      <c r="F347" s="1">
        <v>42520</v>
      </c>
      <c r="G347" s="1">
        <v>42524</v>
      </c>
      <c r="H347" t="s">
        <v>21</v>
      </c>
      <c r="I347">
        <v>4</v>
      </c>
      <c r="J347" t="s">
        <v>107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 t="s">
        <v>23</v>
      </c>
      <c r="R347">
        <v>0</v>
      </c>
    </row>
    <row r="348" spans="1:18">
      <c r="A348">
        <v>191430000000000</v>
      </c>
      <c r="B348" t="s">
        <v>28</v>
      </c>
      <c r="C348">
        <v>34</v>
      </c>
      <c r="D348" t="s">
        <v>37</v>
      </c>
      <c r="E348" t="s">
        <v>68</v>
      </c>
      <c r="F348" s="1">
        <v>42520</v>
      </c>
      <c r="G348" s="1">
        <v>42522</v>
      </c>
      <c r="H348" t="s">
        <v>25</v>
      </c>
      <c r="I348">
        <v>2</v>
      </c>
      <c r="J348" t="s">
        <v>109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23</v>
      </c>
      <c r="R348">
        <v>0</v>
      </c>
    </row>
    <row r="349" spans="1:18">
      <c r="A349">
        <v>15562400000000</v>
      </c>
      <c r="B349" t="s">
        <v>18</v>
      </c>
      <c r="C349">
        <v>20</v>
      </c>
      <c r="D349" t="s">
        <v>37</v>
      </c>
      <c r="E349" t="s">
        <v>59</v>
      </c>
      <c r="F349" s="1">
        <v>42520</v>
      </c>
      <c r="G349" s="1">
        <v>42522</v>
      </c>
      <c r="H349" t="s">
        <v>25</v>
      </c>
      <c r="I349">
        <v>2</v>
      </c>
      <c r="J349" t="s">
        <v>109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26</v>
      </c>
      <c r="R349">
        <v>1</v>
      </c>
    </row>
    <row r="350" spans="1:18">
      <c r="A350">
        <v>55276200000000</v>
      </c>
      <c r="B350" t="s">
        <v>18</v>
      </c>
      <c r="C350">
        <v>34</v>
      </c>
      <c r="D350" t="s">
        <v>37</v>
      </c>
      <c r="E350" t="s">
        <v>44</v>
      </c>
      <c r="F350" s="1">
        <v>42520</v>
      </c>
      <c r="G350" s="1">
        <v>42520</v>
      </c>
      <c r="H350" t="s">
        <v>30</v>
      </c>
      <c r="I350">
        <v>0</v>
      </c>
      <c r="J350" t="s">
        <v>111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23</v>
      </c>
      <c r="R350">
        <v>0</v>
      </c>
    </row>
    <row r="351" spans="1:18">
      <c r="A351">
        <v>12835200000000</v>
      </c>
      <c r="B351" t="s">
        <v>18</v>
      </c>
      <c r="C351">
        <v>23</v>
      </c>
      <c r="D351" t="s">
        <v>37</v>
      </c>
      <c r="E351" t="s">
        <v>45</v>
      </c>
      <c r="F351" s="1">
        <v>42465</v>
      </c>
      <c r="G351" s="1">
        <v>42510</v>
      </c>
      <c r="H351" t="s">
        <v>21</v>
      </c>
      <c r="I351">
        <v>45</v>
      </c>
      <c r="J351" t="s">
        <v>22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 t="s">
        <v>23</v>
      </c>
      <c r="R351">
        <v>0</v>
      </c>
    </row>
    <row r="352" spans="1:18">
      <c r="A352">
        <v>327964000000000</v>
      </c>
      <c r="B352" t="s">
        <v>18</v>
      </c>
      <c r="C352">
        <v>21</v>
      </c>
      <c r="D352" t="s">
        <v>37</v>
      </c>
      <c r="E352" t="s">
        <v>70</v>
      </c>
      <c r="F352" s="1">
        <v>42465</v>
      </c>
      <c r="G352" s="1">
        <v>42492</v>
      </c>
      <c r="H352" t="s">
        <v>30</v>
      </c>
      <c r="I352">
        <v>27</v>
      </c>
      <c r="J352" t="s">
        <v>77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 t="s">
        <v>26</v>
      </c>
      <c r="R352">
        <v>1</v>
      </c>
    </row>
    <row r="353" spans="1:18">
      <c r="A353">
        <v>19384100000000</v>
      </c>
      <c r="B353" t="s">
        <v>28</v>
      </c>
      <c r="C353">
        <v>20</v>
      </c>
      <c r="D353" t="s">
        <v>37</v>
      </c>
      <c r="E353" t="s">
        <v>38</v>
      </c>
      <c r="F353" s="1">
        <v>42520</v>
      </c>
      <c r="G353" s="1">
        <v>42521</v>
      </c>
      <c r="H353" t="s">
        <v>41</v>
      </c>
      <c r="I353">
        <v>1</v>
      </c>
      <c r="J353" t="s">
        <v>109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26</v>
      </c>
      <c r="R353">
        <v>1</v>
      </c>
    </row>
    <row r="354" spans="1:18">
      <c r="A354">
        <v>86944600000000</v>
      </c>
      <c r="B354" t="s">
        <v>18</v>
      </c>
      <c r="C354">
        <v>32</v>
      </c>
      <c r="D354" t="s">
        <v>37</v>
      </c>
      <c r="E354" t="s">
        <v>38</v>
      </c>
      <c r="F354" s="1">
        <v>42520</v>
      </c>
      <c r="G354" s="1">
        <v>42520</v>
      </c>
      <c r="H354" t="s">
        <v>30</v>
      </c>
      <c r="I354">
        <v>0</v>
      </c>
      <c r="J354" t="s">
        <v>111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23</v>
      </c>
      <c r="R354">
        <v>0</v>
      </c>
    </row>
    <row r="355" spans="1:18">
      <c r="A355">
        <v>587538000000000</v>
      </c>
      <c r="B355" t="s">
        <v>18</v>
      </c>
      <c r="C355">
        <v>25</v>
      </c>
      <c r="D355" t="s">
        <v>37</v>
      </c>
      <c r="E355" t="s">
        <v>70</v>
      </c>
      <c r="F355" s="1">
        <v>42465</v>
      </c>
      <c r="G355" s="1">
        <v>42495</v>
      </c>
      <c r="H355" t="s">
        <v>33</v>
      </c>
      <c r="I355">
        <v>30</v>
      </c>
      <c r="J355" t="s">
        <v>77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 t="s">
        <v>23</v>
      </c>
      <c r="R355">
        <v>0</v>
      </c>
    </row>
    <row r="356" spans="1:18">
      <c r="A356">
        <v>9367890000000</v>
      </c>
      <c r="B356" t="s">
        <v>28</v>
      </c>
      <c r="C356">
        <v>32</v>
      </c>
      <c r="D356" t="s">
        <v>37</v>
      </c>
      <c r="E356" t="s">
        <v>38</v>
      </c>
      <c r="F356" s="1">
        <v>42465</v>
      </c>
      <c r="G356" s="1">
        <v>42495</v>
      </c>
      <c r="H356" t="s">
        <v>33</v>
      </c>
      <c r="I356">
        <v>30</v>
      </c>
      <c r="J356" t="s">
        <v>77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 t="s">
        <v>23</v>
      </c>
      <c r="R356">
        <v>0</v>
      </c>
    </row>
    <row r="357" spans="1:18">
      <c r="A357">
        <v>374497000000000</v>
      </c>
      <c r="B357" t="s">
        <v>18</v>
      </c>
      <c r="C357">
        <v>24</v>
      </c>
      <c r="D357" t="s">
        <v>37</v>
      </c>
      <c r="E357" t="s">
        <v>61</v>
      </c>
      <c r="F357" s="1">
        <v>42520</v>
      </c>
      <c r="G357" s="1">
        <v>42529</v>
      </c>
      <c r="H357" t="s">
        <v>25</v>
      </c>
      <c r="I357">
        <v>9</v>
      </c>
      <c r="J357" t="s">
        <v>92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 t="s">
        <v>23</v>
      </c>
      <c r="R357">
        <v>0</v>
      </c>
    </row>
    <row r="358" spans="1:18">
      <c r="A358">
        <v>88521900000000</v>
      </c>
      <c r="B358" t="s">
        <v>18</v>
      </c>
      <c r="C358">
        <v>34</v>
      </c>
      <c r="D358" t="s">
        <v>37</v>
      </c>
      <c r="E358" t="s">
        <v>95</v>
      </c>
      <c r="F358" s="1">
        <v>42520</v>
      </c>
      <c r="G358" s="1">
        <v>42520</v>
      </c>
      <c r="H358" t="s">
        <v>30</v>
      </c>
      <c r="I358">
        <v>0</v>
      </c>
      <c r="J358" t="s">
        <v>111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23</v>
      </c>
      <c r="R358">
        <v>0</v>
      </c>
    </row>
    <row r="359" spans="1:18">
      <c r="A359">
        <v>84448600000000</v>
      </c>
      <c r="B359" t="s">
        <v>18</v>
      </c>
      <c r="C359">
        <v>33</v>
      </c>
      <c r="D359" t="s">
        <v>37</v>
      </c>
      <c r="E359" t="s">
        <v>72</v>
      </c>
      <c r="F359" s="1">
        <v>42520</v>
      </c>
      <c r="G359" s="1">
        <v>42522</v>
      </c>
      <c r="H359" t="s">
        <v>25</v>
      </c>
      <c r="I359">
        <v>2</v>
      </c>
      <c r="J359" t="s">
        <v>109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23</v>
      </c>
      <c r="R359">
        <v>0</v>
      </c>
    </row>
    <row r="360" spans="1:18">
      <c r="A360">
        <v>51772700000000</v>
      </c>
      <c r="B360" t="s">
        <v>18</v>
      </c>
      <c r="C360">
        <v>26</v>
      </c>
      <c r="D360" t="s">
        <v>37</v>
      </c>
      <c r="E360" t="s">
        <v>75</v>
      </c>
      <c r="F360" s="1">
        <v>42520</v>
      </c>
      <c r="G360" s="1">
        <v>42520</v>
      </c>
      <c r="H360" t="s">
        <v>30</v>
      </c>
      <c r="I360">
        <v>0</v>
      </c>
      <c r="J360" t="s">
        <v>111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23</v>
      </c>
      <c r="R360">
        <v>0</v>
      </c>
    </row>
    <row r="361" spans="1:18">
      <c r="A361">
        <v>68485500000000</v>
      </c>
      <c r="B361" t="s">
        <v>18</v>
      </c>
      <c r="C361">
        <v>23</v>
      </c>
      <c r="D361" t="s">
        <v>37</v>
      </c>
      <c r="E361" t="s">
        <v>72</v>
      </c>
      <c r="F361" s="1">
        <v>42465</v>
      </c>
      <c r="G361" s="1">
        <v>42493</v>
      </c>
      <c r="H361" t="s">
        <v>41</v>
      </c>
      <c r="I361">
        <v>28</v>
      </c>
      <c r="J361" t="s">
        <v>77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 t="s">
        <v>23</v>
      </c>
      <c r="R361">
        <v>0</v>
      </c>
    </row>
    <row r="362" spans="1:18">
      <c r="A362">
        <v>9467830000000</v>
      </c>
      <c r="B362" t="s">
        <v>18</v>
      </c>
      <c r="C362">
        <v>30</v>
      </c>
      <c r="D362" t="s">
        <v>37</v>
      </c>
      <c r="E362" t="s">
        <v>86</v>
      </c>
      <c r="F362" s="1">
        <v>42520</v>
      </c>
      <c r="G362" s="1">
        <v>42522</v>
      </c>
      <c r="H362" t="s">
        <v>25</v>
      </c>
      <c r="I362">
        <v>2</v>
      </c>
      <c r="J362" t="s">
        <v>109</v>
      </c>
      <c r="K362">
        <v>1</v>
      </c>
      <c r="L362">
        <v>0</v>
      </c>
      <c r="M362">
        <v>1</v>
      </c>
      <c r="N362">
        <v>0</v>
      </c>
      <c r="O362">
        <v>0</v>
      </c>
      <c r="P362">
        <v>0</v>
      </c>
      <c r="Q362" t="s">
        <v>26</v>
      </c>
      <c r="R362">
        <v>1</v>
      </c>
    </row>
    <row r="363" spans="1:18">
      <c r="A363">
        <v>787840000000000</v>
      </c>
      <c r="B363" t="s">
        <v>18</v>
      </c>
      <c r="C363">
        <v>22</v>
      </c>
      <c r="D363" t="s">
        <v>37</v>
      </c>
      <c r="E363" t="s">
        <v>55</v>
      </c>
      <c r="F363" s="1">
        <v>42465</v>
      </c>
      <c r="G363" s="1">
        <v>42492</v>
      </c>
      <c r="H363" t="s">
        <v>30</v>
      </c>
      <c r="I363">
        <v>27</v>
      </c>
      <c r="J363" t="s">
        <v>77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 t="s">
        <v>23</v>
      </c>
      <c r="R363">
        <v>0</v>
      </c>
    </row>
    <row r="364" spans="1:18">
      <c r="A364">
        <v>65258900000000</v>
      </c>
      <c r="B364" t="s">
        <v>18</v>
      </c>
      <c r="C364">
        <v>29</v>
      </c>
      <c r="D364" t="s">
        <v>37</v>
      </c>
      <c r="E364" t="s">
        <v>72</v>
      </c>
      <c r="F364" s="1">
        <v>42465</v>
      </c>
      <c r="G364" s="1">
        <v>42500</v>
      </c>
      <c r="H364" t="s">
        <v>41</v>
      </c>
      <c r="I364">
        <v>35</v>
      </c>
      <c r="J364" t="s">
        <v>22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 t="s">
        <v>23</v>
      </c>
      <c r="R364">
        <v>0</v>
      </c>
    </row>
    <row r="365" spans="1:18">
      <c r="A365">
        <v>616488000000</v>
      </c>
      <c r="B365" t="s">
        <v>28</v>
      </c>
      <c r="C365">
        <v>19</v>
      </c>
      <c r="D365" t="s">
        <v>37</v>
      </c>
      <c r="E365" t="s">
        <v>87</v>
      </c>
      <c r="F365" s="1">
        <v>42520</v>
      </c>
      <c r="G365" s="1">
        <v>42527</v>
      </c>
      <c r="H365" t="s">
        <v>30</v>
      </c>
      <c r="I365">
        <v>7</v>
      </c>
      <c r="J365" t="s">
        <v>107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 t="s">
        <v>23</v>
      </c>
      <c r="R365">
        <v>0</v>
      </c>
    </row>
    <row r="366" spans="1:18">
      <c r="A366">
        <v>31265000000000</v>
      </c>
      <c r="B366" t="s">
        <v>28</v>
      </c>
      <c r="C366">
        <v>23</v>
      </c>
      <c r="D366" t="s">
        <v>37</v>
      </c>
      <c r="E366" t="s">
        <v>73</v>
      </c>
      <c r="F366" s="1">
        <v>42520</v>
      </c>
      <c r="G366" s="1">
        <v>42524</v>
      </c>
      <c r="H366" t="s">
        <v>21</v>
      </c>
      <c r="I366">
        <v>4</v>
      </c>
      <c r="J366" t="s">
        <v>107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 t="s">
        <v>23</v>
      </c>
      <c r="R366">
        <v>0</v>
      </c>
    </row>
    <row r="367" spans="1:18">
      <c r="A367">
        <v>99978300000000</v>
      </c>
      <c r="B367" t="s">
        <v>18</v>
      </c>
      <c r="C367">
        <v>28</v>
      </c>
      <c r="D367" t="s">
        <v>37</v>
      </c>
      <c r="E367" t="s">
        <v>78</v>
      </c>
      <c r="F367" s="1">
        <v>42520</v>
      </c>
      <c r="G367" s="1">
        <v>42520</v>
      </c>
      <c r="H367" t="s">
        <v>30</v>
      </c>
      <c r="I367">
        <v>0</v>
      </c>
      <c r="J367" t="s">
        <v>111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23</v>
      </c>
      <c r="R367">
        <v>0</v>
      </c>
    </row>
    <row r="368" spans="1:18">
      <c r="A368">
        <v>89583400000000</v>
      </c>
      <c r="B368" t="s">
        <v>18</v>
      </c>
      <c r="C368">
        <v>19</v>
      </c>
      <c r="D368" t="s">
        <v>37</v>
      </c>
      <c r="E368" t="s">
        <v>87</v>
      </c>
      <c r="F368" s="1">
        <v>42520</v>
      </c>
      <c r="G368" s="1">
        <v>42522</v>
      </c>
      <c r="H368" t="s">
        <v>25</v>
      </c>
      <c r="I368">
        <v>2</v>
      </c>
      <c r="J368" t="s">
        <v>109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23</v>
      </c>
      <c r="R368">
        <v>0</v>
      </c>
    </row>
    <row r="369" spans="1:18">
      <c r="A369">
        <v>8954720000000</v>
      </c>
      <c r="B369" t="s">
        <v>18</v>
      </c>
      <c r="C369">
        <v>32</v>
      </c>
      <c r="D369" t="s">
        <v>37</v>
      </c>
      <c r="E369" t="s">
        <v>71</v>
      </c>
      <c r="F369" s="1">
        <v>42520</v>
      </c>
      <c r="G369" s="1">
        <v>42522</v>
      </c>
      <c r="H369" t="s">
        <v>25</v>
      </c>
      <c r="I369">
        <v>2</v>
      </c>
      <c r="J369" t="s">
        <v>109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23</v>
      </c>
      <c r="R369">
        <v>0</v>
      </c>
    </row>
    <row r="370" spans="1:18">
      <c r="A370">
        <v>68791600000000</v>
      </c>
      <c r="B370" t="s">
        <v>28</v>
      </c>
      <c r="C370">
        <v>24</v>
      </c>
      <c r="D370" t="s">
        <v>37</v>
      </c>
      <c r="E370" t="s">
        <v>32</v>
      </c>
      <c r="F370" s="1">
        <v>42520</v>
      </c>
      <c r="G370" s="1">
        <v>42520</v>
      </c>
      <c r="H370" t="s">
        <v>30</v>
      </c>
      <c r="I370">
        <v>0</v>
      </c>
      <c r="J370" t="s">
        <v>111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23</v>
      </c>
      <c r="R370">
        <v>0</v>
      </c>
    </row>
    <row r="371" spans="1:18">
      <c r="A371">
        <v>854125000000</v>
      </c>
      <c r="B371" t="s">
        <v>18</v>
      </c>
      <c r="C371">
        <v>35</v>
      </c>
      <c r="D371" t="s">
        <v>37</v>
      </c>
      <c r="E371" t="s">
        <v>90</v>
      </c>
      <c r="F371" s="1">
        <v>42520</v>
      </c>
      <c r="G371" s="1">
        <v>42520</v>
      </c>
      <c r="H371" t="s">
        <v>30</v>
      </c>
      <c r="I371">
        <v>0</v>
      </c>
      <c r="J371" t="s">
        <v>111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23</v>
      </c>
      <c r="R371">
        <v>0</v>
      </c>
    </row>
    <row r="372" spans="1:18">
      <c r="A372">
        <v>24228300000000</v>
      </c>
      <c r="B372" t="s">
        <v>28</v>
      </c>
      <c r="C372">
        <v>24</v>
      </c>
      <c r="D372" t="s">
        <v>37</v>
      </c>
      <c r="E372" t="s">
        <v>50</v>
      </c>
      <c r="F372" s="1">
        <v>42520</v>
      </c>
      <c r="G372" s="1">
        <v>42520</v>
      </c>
      <c r="H372" t="s">
        <v>30</v>
      </c>
      <c r="I372">
        <v>0</v>
      </c>
      <c r="J372" t="s">
        <v>111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26</v>
      </c>
      <c r="R372">
        <v>1</v>
      </c>
    </row>
    <row r="373" spans="1:18">
      <c r="A373">
        <v>196553000000</v>
      </c>
      <c r="B373" t="s">
        <v>28</v>
      </c>
      <c r="C373">
        <v>27</v>
      </c>
      <c r="D373" t="s">
        <v>37</v>
      </c>
      <c r="E373" t="s">
        <v>96</v>
      </c>
      <c r="F373" s="1">
        <v>42520</v>
      </c>
      <c r="G373" s="1">
        <v>42520</v>
      </c>
      <c r="H373" t="s">
        <v>30</v>
      </c>
      <c r="I373">
        <v>0</v>
      </c>
      <c r="J373" t="s">
        <v>111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23</v>
      </c>
      <c r="R373">
        <v>0</v>
      </c>
    </row>
    <row r="374" spans="1:18">
      <c r="A374">
        <v>64695200000000</v>
      </c>
      <c r="B374" t="s">
        <v>18</v>
      </c>
      <c r="C374">
        <v>31</v>
      </c>
      <c r="D374" t="s">
        <v>37</v>
      </c>
      <c r="E374" t="s">
        <v>69</v>
      </c>
      <c r="F374" s="1">
        <v>42520</v>
      </c>
      <c r="G374" s="1">
        <v>42520</v>
      </c>
      <c r="H374" t="s">
        <v>30</v>
      </c>
      <c r="I374">
        <v>0</v>
      </c>
      <c r="J374" t="s">
        <v>111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23</v>
      </c>
      <c r="R374">
        <v>0</v>
      </c>
    </row>
    <row r="375" spans="1:18">
      <c r="A375">
        <v>658620000000000</v>
      </c>
      <c r="B375" t="s">
        <v>18</v>
      </c>
      <c r="C375">
        <v>24</v>
      </c>
      <c r="D375" t="s">
        <v>37</v>
      </c>
      <c r="E375" t="s">
        <v>29</v>
      </c>
      <c r="F375" s="1">
        <v>42515</v>
      </c>
      <c r="G375" s="1">
        <v>42515</v>
      </c>
      <c r="H375" t="s">
        <v>25</v>
      </c>
      <c r="I375">
        <v>0</v>
      </c>
      <c r="J375" t="s">
        <v>111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23</v>
      </c>
      <c r="R375">
        <v>0</v>
      </c>
    </row>
    <row r="376" spans="1:18">
      <c r="A376">
        <v>1259980000000</v>
      </c>
      <c r="B376" t="s">
        <v>28</v>
      </c>
      <c r="C376">
        <v>31</v>
      </c>
      <c r="D376" t="s">
        <v>37</v>
      </c>
      <c r="E376" t="s">
        <v>72</v>
      </c>
      <c r="F376" s="1">
        <v>42515</v>
      </c>
      <c r="G376" s="1">
        <v>42515</v>
      </c>
      <c r="H376" t="s">
        <v>25</v>
      </c>
      <c r="I376">
        <v>0</v>
      </c>
      <c r="J376" t="s">
        <v>111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23</v>
      </c>
      <c r="R376">
        <v>0</v>
      </c>
    </row>
    <row r="377" spans="1:18">
      <c r="A377">
        <v>467456000000000</v>
      </c>
      <c r="B377" t="s">
        <v>28</v>
      </c>
      <c r="C377">
        <v>31</v>
      </c>
      <c r="D377" t="s">
        <v>37</v>
      </c>
      <c r="E377" t="s">
        <v>54</v>
      </c>
      <c r="F377" s="1">
        <v>42515</v>
      </c>
      <c r="G377" s="1">
        <v>42520</v>
      </c>
      <c r="H377" t="s">
        <v>30</v>
      </c>
      <c r="I377">
        <v>5</v>
      </c>
      <c r="J377" t="s">
        <v>107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 t="s">
        <v>23</v>
      </c>
      <c r="R377">
        <v>0</v>
      </c>
    </row>
    <row r="378" spans="1:18">
      <c r="A378">
        <v>97562500000000</v>
      </c>
      <c r="B378" t="s">
        <v>18</v>
      </c>
      <c r="C378">
        <v>18</v>
      </c>
      <c r="D378" t="s">
        <v>37</v>
      </c>
      <c r="E378" t="s">
        <v>54</v>
      </c>
      <c r="F378" s="1">
        <v>42515</v>
      </c>
      <c r="G378" s="1">
        <v>42523</v>
      </c>
      <c r="H378" t="s">
        <v>33</v>
      </c>
      <c r="I378">
        <v>8</v>
      </c>
      <c r="J378" t="s">
        <v>92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 t="s">
        <v>23</v>
      </c>
      <c r="R378">
        <v>0</v>
      </c>
    </row>
    <row r="379" spans="1:18">
      <c r="A379">
        <v>453937000000000</v>
      </c>
      <c r="B379" t="s">
        <v>28</v>
      </c>
      <c r="C379">
        <v>31</v>
      </c>
      <c r="D379" t="s">
        <v>37</v>
      </c>
      <c r="E379" t="s">
        <v>34</v>
      </c>
      <c r="F379" s="1">
        <v>42515</v>
      </c>
      <c r="G379" s="1">
        <v>42523</v>
      </c>
      <c r="H379" t="s">
        <v>33</v>
      </c>
      <c r="I379">
        <v>8</v>
      </c>
      <c r="J379" t="s">
        <v>92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 t="s">
        <v>23</v>
      </c>
      <c r="R379">
        <v>0</v>
      </c>
    </row>
    <row r="380" spans="1:18">
      <c r="A380">
        <v>24311600000000</v>
      </c>
      <c r="B380" t="s">
        <v>18</v>
      </c>
      <c r="C380">
        <v>25</v>
      </c>
      <c r="D380" t="s">
        <v>37</v>
      </c>
      <c r="E380" t="s">
        <v>84</v>
      </c>
      <c r="F380" s="1">
        <v>42466</v>
      </c>
      <c r="G380" s="1">
        <v>42494</v>
      </c>
      <c r="H380" t="s">
        <v>25</v>
      </c>
      <c r="I380">
        <v>28</v>
      </c>
      <c r="J380" t="s">
        <v>77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 t="s">
        <v>23</v>
      </c>
      <c r="R380">
        <v>0</v>
      </c>
    </row>
    <row r="381" spans="1:18">
      <c r="A381">
        <v>9496200000000</v>
      </c>
      <c r="B381" t="s">
        <v>28</v>
      </c>
      <c r="C381">
        <v>35</v>
      </c>
      <c r="D381" t="s">
        <v>37</v>
      </c>
      <c r="E381" t="s">
        <v>40</v>
      </c>
      <c r="F381" s="1">
        <v>42515</v>
      </c>
      <c r="G381" s="1">
        <v>42520</v>
      </c>
      <c r="H381" t="s">
        <v>30</v>
      </c>
      <c r="I381">
        <v>5</v>
      </c>
      <c r="J381" t="s">
        <v>107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23</v>
      </c>
      <c r="R381">
        <v>0</v>
      </c>
    </row>
    <row r="382" spans="1:18">
      <c r="A382">
        <v>39164300000000</v>
      </c>
      <c r="B382" t="s">
        <v>18</v>
      </c>
      <c r="C382">
        <v>35</v>
      </c>
      <c r="D382" t="s">
        <v>37</v>
      </c>
      <c r="E382" t="s">
        <v>52</v>
      </c>
      <c r="F382" s="1">
        <v>42515</v>
      </c>
      <c r="G382" s="1">
        <v>42522</v>
      </c>
      <c r="H382" t="s">
        <v>25</v>
      </c>
      <c r="I382">
        <v>7</v>
      </c>
      <c r="J382" t="s">
        <v>107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 t="s">
        <v>26</v>
      </c>
      <c r="R382">
        <v>1</v>
      </c>
    </row>
    <row r="383" spans="1:18">
      <c r="A383">
        <v>74748500000000</v>
      </c>
      <c r="B383" t="s">
        <v>28</v>
      </c>
      <c r="C383">
        <v>30</v>
      </c>
      <c r="D383" t="s">
        <v>37</v>
      </c>
      <c r="E383" t="s">
        <v>38</v>
      </c>
      <c r="F383" s="1">
        <v>42515</v>
      </c>
      <c r="G383" s="1">
        <v>42515</v>
      </c>
      <c r="H383" t="s">
        <v>25</v>
      </c>
      <c r="I383">
        <v>0</v>
      </c>
      <c r="J383" t="s">
        <v>111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23</v>
      </c>
      <c r="R383">
        <v>0</v>
      </c>
    </row>
    <row r="384" spans="1:18">
      <c r="A384">
        <v>6888260000000</v>
      </c>
      <c r="B384" t="s">
        <v>18</v>
      </c>
      <c r="C384">
        <v>30</v>
      </c>
      <c r="D384" t="s">
        <v>37</v>
      </c>
      <c r="E384" t="s">
        <v>48</v>
      </c>
      <c r="F384" s="1">
        <v>42515</v>
      </c>
      <c r="G384" s="1">
        <v>42515</v>
      </c>
      <c r="H384" t="s">
        <v>25</v>
      </c>
      <c r="I384">
        <v>0</v>
      </c>
      <c r="J384" t="s">
        <v>111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23</v>
      </c>
      <c r="R384">
        <v>0</v>
      </c>
    </row>
    <row r="385" spans="1:18">
      <c r="A385">
        <v>56269700000000</v>
      </c>
      <c r="B385" t="s">
        <v>18</v>
      </c>
      <c r="C385">
        <v>33</v>
      </c>
      <c r="D385" t="s">
        <v>37</v>
      </c>
      <c r="E385" t="s">
        <v>39</v>
      </c>
      <c r="F385" s="1">
        <v>42515</v>
      </c>
      <c r="G385" s="1">
        <v>42522</v>
      </c>
      <c r="H385" t="s">
        <v>25</v>
      </c>
      <c r="I385">
        <v>7</v>
      </c>
      <c r="J385" t="s">
        <v>107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 t="s">
        <v>23</v>
      </c>
      <c r="R385">
        <v>0</v>
      </c>
    </row>
    <row r="386" spans="1:18">
      <c r="A386">
        <v>1795200000000</v>
      </c>
      <c r="B386" t="s">
        <v>18</v>
      </c>
      <c r="C386">
        <v>31</v>
      </c>
      <c r="D386" t="s">
        <v>37</v>
      </c>
      <c r="E386" t="s">
        <v>32</v>
      </c>
      <c r="F386" s="1">
        <v>42466</v>
      </c>
      <c r="G386" s="1">
        <v>42502</v>
      </c>
      <c r="H386" t="s">
        <v>33</v>
      </c>
      <c r="I386">
        <v>36</v>
      </c>
      <c r="J386" t="s">
        <v>22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1</v>
      </c>
      <c r="Q386" t="s">
        <v>23</v>
      </c>
      <c r="R386">
        <v>0</v>
      </c>
    </row>
    <row r="387" spans="1:18">
      <c r="A387">
        <v>3227170000000</v>
      </c>
      <c r="B387" t="s">
        <v>28</v>
      </c>
      <c r="C387">
        <v>19</v>
      </c>
      <c r="D387" t="s">
        <v>37</v>
      </c>
      <c r="E387" t="s">
        <v>72</v>
      </c>
      <c r="F387" s="1">
        <v>42466</v>
      </c>
      <c r="G387" s="1">
        <v>42499</v>
      </c>
      <c r="H387" t="s">
        <v>30</v>
      </c>
      <c r="I387">
        <v>33</v>
      </c>
      <c r="J387" t="s">
        <v>22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26</v>
      </c>
      <c r="R387">
        <v>1</v>
      </c>
    </row>
    <row r="388" spans="1:18">
      <c r="A388">
        <v>758827000000000</v>
      </c>
      <c r="B388" t="s">
        <v>18</v>
      </c>
      <c r="C388">
        <v>23</v>
      </c>
      <c r="D388" t="s">
        <v>37</v>
      </c>
      <c r="E388" t="s">
        <v>29</v>
      </c>
      <c r="F388" s="1">
        <v>42466</v>
      </c>
      <c r="G388" s="1">
        <v>42492</v>
      </c>
      <c r="H388" t="s">
        <v>30</v>
      </c>
      <c r="I388">
        <v>26</v>
      </c>
      <c r="J388" t="s">
        <v>77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 t="s">
        <v>26</v>
      </c>
      <c r="R388">
        <v>1</v>
      </c>
    </row>
    <row r="389" spans="1:18">
      <c r="A389">
        <v>775384000000</v>
      </c>
      <c r="B389" t="s">
        <v>18</v>
      </c>
      <c r="C389">
        <v>31</v>
      </c>
      <c r="D389" t="s">
        <v>37</v>
      </c>
      <c r="E389" t="s">
        <v>55</v>
      </c>
      <c r="F389" s="1">
        <v>42515</v>
      </c>
      <c r="G389" s="1">
        <v>42515</v>
      </c>
      <c r="H389" t="s">
        <v>25</v>
      </c>
      <c r="I389">
        <v>0</v>
      </c>
      <c r="J389" t="s">
        <v>111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 t="s">
        <v>23</v>
      </c>
      <c r="R389">
        <v>0</v>
      </c>
    </row>
    <row r="390" spans="1:18">
      <c r="A390">
        <v>885764000000000</v>
      </c>
      <c r="B390" t="s">
        <v>28</v>
      </c>
      <c r="C390">
        <v>19</v>
      </c>
      <c r="D390" t="s">
        <v>37</v>
      </c>
      <c r="E390" t="s">
        <v>39</v>
      </c>
      <c r="F390" s="1">
        <v>42515</v>
      </c>
      <c r="G390" s="1">
        <v>42515</v>
      </c>
      <c r="H390" t="s">
        <v>25</v>
      </c>
      <c r="I390">
        <v>0</v>
      </c>
      <c r="J390" t="s">
        <v>111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23</v>
      </c>
      <c r="R390">
        <v>0</v>
      </c>
    </row>
    <row r="391" spans="1:18">
      <c r="A391">
        <v>45264200000000</v>
      </c>
      <c r="B391" t="s">
        <v>18</v>
      </c>
      <c r="C391">
        <v>18</v>
      </c>
      <c r="D391" t="s">
        <v>37</v>
      </c>
      <c r="E391" t="s">
        <v>54</v>
      </c>
      <c r="F391" s="1">
        <v>42466</v>
      </c>
      <c r="G391" s="1">
        <v>42496</v>
      </c>
      <c r="H391" t="s">
        <v>21</v>
      </c>
      <c r="I391">
        <v>30</v>
      </c>
      <c r="J391" t="s">
        <v>77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 t="s">
        <v>26</v>
      </c>
      <c r="R391">
        <v>1</v>
      </c>
    </row>
    <row r="392" spans="1:18">
      <c r="A392">
        <v>7882850000000</v>
      </c>
      <c r="B392" t="s">
        <v>18</v>
      </c>
      <c r="C392">
        <v>19</v>
      </c>
      <c r="D392" t="s">
        <v>37</v>
      </c>
      <c r="E392" t="s">
        <v>105</v>
      </c>
      <c r="F392" s="1">
        <v>42515</v>
      </c>
      <c r="G392" s="1">
        <v>42523</v>
      </c>
      <c r="H392" t="s">
        <v>33</v>
      </c>
      <c r="I392">
        <v>8</v>
      </c>
      <c r="J392" t="s">
        <v>92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 t="s">
        <v>26</v>
      </c>
      <c r="R392">
        <v>1</v>
      </c>
    </row>
    <row r="393" spans="1:18">
      <c r="A393">
        <v>831939000000000</v>
      </c>
      <c r="B393" t="s">
        <v>18</v>
      </c>
      <c r="C393">
        <v>21</v>
      </c>
      <c r="D393" t="s">
        <v>37</v>
      </c>
      <c r="E393" t="s">
        <v>64</v>
      </c>
      <c r="F393" s="1">
        <v>42515</v>
      </c>
      <c r="G393" s="1">
        <v>42522</v>
      </c>
      <c r="H393" t="s">
        <v>25</v>
      </c>
      <c r="I393">
        <v>7</v>
      </c>
      <c r="J393" t="s">
        <v>107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 t="s">
        <v>23</v>
      </c>
      <c r="R393">
        <v>0</v>
      </c>
    </row>
    <row r="394" spans="1:18">
      <c r="A394">
        <v>1761390000000</v>
      </c>
      <c r="B394" t="s">
        <v>18</v>
      </c>
      <c r="C394">
        <v>29</v>
      </c>
      <c r="D394" t="s">
        <v>37</v>
      </c>
      <c r="E394" t="s">
        <v>87</v>
      </c>
      <c r="F394" s="1">
        <v>42515</v>
      </c>
      <c r="G394" s="1">
        <v>42515</v>
      </c>
      <c r="H394" t="s">
        <v>25</v>
      </c>
      <c r="I394">
        <v>0</v>
      </c>
      <c r="J394" t="s">
        <v>111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23</v>
      </c>
      <c r="R394">
        <v>0</v>
      </c>
    </row>
    <row r="395" spans="1:18">
      <c r="A395">
        <v>292236000000</v>
      </c>
      <c r="B395" t="s">
        <v>18</v>
      </c>
      <c r="C395">
        <v>33</v>
      </c>
      <c r="D395" t="s">
        <v>37</v>
      </c>
      <c r="E395" t="s">
        <v>50</v>
      </c>
      <c r="F395" s="1">
        <v>42515</v>
      </c>
      <c r="G395" s="1">
        <v>42521</v>
      </c>
      <c r="H395" t="s">
        <v>41</v>
      </c>
      <c r="I395">
        <v>6</v>
      </c>
      <c r="J395" t="s">
        <v>107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 t="s">
        <v>26</v>
      </c>
      <c r="R395">
        <v>1</v>
      </c>
    </row>
    <row r="396" spans="1:18">
      <c r="A396">
        <v>38722100000000</v>
      </c>
      <c r="B396" t="s">
        <v>18</v>
      </c>
      <c r="C396">
        <v>28</v>
      </c>
      <c r="D396" t="s">
        <v>37</v>
      </c>
      <c r="E396" t="s">
        <v>96</v>
      </c>
      <c r="F396" s="1">
        <v>42515</v>
      </c>
      <c r="G396" s="1">
        <v>42515</v>
      </c>
      <c r="H396" t="s">
        <v>25</v>
      </c>
      <c r="I396">
        <v>0</v>
      </c>
      <c r="J396" t="s">
        <v>111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23</v>
      </c>
      <c r="R396">
        <v>0</v>
      </c>
    </row>
    <row r="397" spans="1:18">
      <c r="A397">
        <v>9199370000000</v>
      </c>
      <c r="B397" t="s">
        <v>18</v>
      </c>
      <c r="C397">
        <v>30</v>
      </c>
      <c r="D397" t="s">
        <v>37</v>
      </c>
      <c r="E397" t="s">
        <v>45</v>
      </c>
      <c r="F397" s="1">
        <v>42515</v>
      </c>
      <c r="G397" s="1">
        <v>42515</v>
      </c>
      <c r="H397" t="s">
        <v>25</v>
      </c>
      <c r="I397">
        <v>0</v>
      </c>
      <c r="J397" t="s">
        <v>111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23</v>
      </c>
      <c r="R397">
        <v>0</v>
      </c>
    </row>
    <row r="398" spans="1:18">
      <c r="A398">
        <v>6511660000000</v>
      </c>
      <c r="B398" t="s">
        <v>18</v>
      </c>
      <c r="C398">
        <v>29</v>
      </c>
      <c r="D398" t="s">
        <v>37</v>
      </c>
      <c r="E398" t="s">
        <v>75</v>
      </c>
      <c r="F398" s="1">
        <v>42515</v>
      </c>
      <c r="G398" s="1">
        <v>42515</v>
      </c>
      <c r="H398" t="s">
        <v>25</v>
      </c>
      <c r="I398">
        <v>0</v>
      </c>
      <c r="J398" t="s">
        <v>111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23</v>
      </c>
      <c r="R398">
        <v>0</v>
      </c>
    </row>
    <row r="399" spans="1:18">
      <c r="A399">
        <v>79384300000000</v>
      </c>
      <c r="B399" t="s">
        <v>18</v>
      </c>
      <c r="C399">
        <v>26</v>
      </c>
      <c r="D399" t="s">
        <v>37</v>
      </c>
      <c r="E399" t="s">
        <v>32</v>
      </c>
      <c r="F399" s="1">
        <v>42515</v>
      </c>
      <c r="G399" s="1">
        <v>42515</v>
      </c>
      <c r="H399" t="s">
        <v>25</v>
      </c>
      <c r="I399">
        <v>0</v>
      </c>
      <c r="J399" t="s">
        <v>111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26</v>
      </c>
      <c r="R399">
        <v>1</v>
      </c>
    </row>
    <row r="400" spans="1:18">
      <c r="A400">
        <v>11549100000000</v>
      </c>
      <c r="B400" t="s">
        <v>18</v>
      </c>
      <c r="C400">
        <v>20</v>
      </c>
      <c r="D400" t="s">
        <v>37</v>
      </c>
      <c r="E400" t="s">
        <v>91</v>
      </c>
      <c r="F400" s="1">
        <v>42515</v>
      </c>
      <c r="G400" s="1">
        <v>42515</v>
      </c>
      <c r="H400" t="s">
        <v>25</v>
      </c>
      <c r="I400">
        <v>0</v>
      </c>
      <c r="J400" t="s">
        <v>111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23</v>
      </c>
      <c r="R400">
        <v>0</v>
      </c>
    </row>
    <row r="401" spans="1:18">
      <c r="A401">
        <v>39885900000000</v>
      </c>
      <c r="B401" t="s">
        <v>18</v>
      </c>
      <c r="C401">
        <v>29</v>
      </c>
      <c r="D401" t="s">
        <v>37</v>
      </c>
      <c r="E401" t="s">
        <v>72</v>
      </c>
      <c r="F401" s="1">
        <v>42466</v>
      </c>
      <c r="G401" s="1">
        <v>42502</v>
      </c>
      <c r="H401" t="s">
        <v>33</v>
      </c>
      <c r="I401">
        <v>36</v>
      </c>
      <c r="J401" t="s">
        <v>22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 t="s">
        <v>26</v>
      </c>
      <c r="R401">
        <v>1</v>
      </c>
    </row>
    <row r="402" spans="1:18">
      <c r="A402">
        <v>33573514323</v>
      </c>
      <c r="B402" t="s">
        <v>18</v>
      </c>
      <c r="C402">
        <v>32</v>
      </c>
      <c r="D402" t="s">
        <v>37</v>
      </c>
      <c r="E402" t="s">
        <v>108</v>
      </c>
      <c r="F402" s="1">
        <v>42515</v>
      </c>
      <c r="G402" s="1">
        <v>42527</v>
      </c>
      <c r="H402" t="s">
        <v>30</v>
      </c>
      <c r="I402">
        <v>12</v>
      </c>
      <c r="J402" t="s">
        <v>92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 t="s">
        <v>26</v>
      </c>
      <c r="R402">
        <v>1</v>
      </c>
    </row>
    <row r="403" spans="1:18">
      <c r="A403">
        <v>256913000000000</v>
      </c>
      <c r="B403" t="s">
        <v>28</v>
      </c>
      <c r="C403">
        <v>25</v>
      </c>
      <c r="D403" t="s">
        <v>37</v>
      </c>
      <c r="E403" t="s">
        <v>58</v>
      </c>
      <c r="F403" s="1">
        <v>42515</v>
      </c>
      <c r="G403" s="1">
        <v>42521</v>
      </c>
      <c r="H403" t="s">
        <v>41</v>
      </c>
      <c r="I403">
        <v>6</v>
      </c>
      <c r="J403" t="s">
        <v>107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 t="s">
        <v>23</v>
      </c>
      <c r="R403">
        <v>0</v>
      </c>
    </row>
    <row r="404" spans="1:18">
      <c r="A404">
        <v>926485000000000</v>
      </c>
      <c r="B404" t="s">
        <v>18</v>
      </c>
      <c r="C404">
        <v>34</v>
      </c>
      <c r="D404" t="s">
        <v>37</v>
      </c>
      <c r="E404" t="s">
        <v>39</v>
      </c>
      <c r="F404" s="1">
        <v>42466</v>
      </c>
      <c r="G404" s="1">
        <v>42494</v>
      </c>
      <c r="H404" t="s">
        <v>25</v>
      </c>
      <c r="I404">
        <v>28</v>
      </c>
      <c r="J404" t="s">
        <v>77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 t="s">
        <v>23</v>
      </c>
      <c r="R404">
        <v>0</v>
      </c>
    </row>
    <row r="405" spans="1:18">
      <c r="A405">
        <v>7352540000000</v>
      </c>
      <c r="B405" t="s">
        <v>28</v>
      </c>
      <c r="C405">
        <v>30</v>
      </c>
      <c r="D405" t="s">
        <v>37</v>
      </c>
      <c r="E405" t="s">
        <v>29</v>
      </c>
      <c r="F405" s="1">
        <v>42466</v>
      </c>
      <c r="G405" s="1">
        <v>42493</v>
      </c>
      <c r="H405" t="s">
        <v>41</v>
      </c>
      <c r="I405">
        <v>27</v>
      </c>
      <c r="J405" t="s">
        <v>77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1</v>
      </c>
      <c r="Q405" t="s">
        <v>23</v>
      </c>
      <c r="R405">
        <v>0</v>
      </c>
    </row>
    <row r="406" spans="1:18">
      <c r="A406">
        <v>67858900000000</v>
      </c>
      <c r="B406" t="s">
        <v>18</v>
      </c>
      <c r="C406">
        <v>35</v>
      </c>
      <c r="D406" t="s">
        <v>37</v>
      </c>
      <c r="E406" t="s">
        <v>32</v>
      </c>
      <c r="F406" s="1">
        <v>42467</v>
      </c>
      <c r="G406" s="1">
        <v>42507</v>
      </c>
      <c r="H406" t="s">
        <v>41</v>
      </c>
      <c r="I406">
        <v>40</v>
      </c>
      <c r="J406" t="s">
        <v>22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26</v>
      </c>
      <c r="R406">
        <v>1</v>
      </c>
    </row>
    <row r="407" spans="1:18">
      <c r="A407">
        <v>2439366725</v>
      </c>
      <c r="B407" t="s">
        <v>18</v>
      </c>
      <c r="C407">
        <v>33</v>
      </c>
      <c r="D407" t="s">
        <v>37</v>
      </c>
      <c r="E407" t="s">
        <v>47</v>
      </c>
      <c r="F407" s="1">
        <v>42515</v>
      </c>
      <c r="G407" s="1">
        <v>42521</v>
      </c>
      <c r="H407" t="s">
        <v>41</v>
      </c>
      <c r="I407">
        <v>6</v>
      </c>
      <c r="J407" t="s">
        <v>107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 t="s">
        <v>23</v>
      </c>
      <c r="R407">
        <v>0</v>
      </c>
    </row>
    <row r="408" spans="1:18">
      <c r="A408">
        <v>11423500000000</v>
      </c>
      <c r="B408" t="s">
        <v>18</v>
      </c>
      <c r="C408">
        <v>27</v>
      </c>
      <c r="D408" t="s">
        <v>37</v>
      </c>
      <c r="E408" t="s">
        <v>20</v>
      </c>
      <c r="F408" s="1">
        <v>42515</v>
      </c>
      <c r="G408" s="1">
        <v>42515</v>
      </c>
      <c r="H408" t="s">
        <v>25</v>
      </c>
      <c r="I408">
        <v>0</v>
      </c>
      <c r="J408" t="s">
        <v>111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23</v>
      </c>
      <c r="R408">
        <v>0</v>
      </c>
    </row>
    <row r="409" spans="1:18">
      <c r="A409">
        <v>9469220000000</v>
      </c>
      <c r="B409" t="s">
        <v>18</v>
      </c>
      <c r="C409">
        <v>32</v>
      </c>
      <c r="D409" t="s">
        <v>37</v>
      </c>
      <c r="E409" t="s">
        <v>55</v>
      </c>
      <c r="F409" s="1">
        <v>42515</v>
      </c>
      <c r="G409" s="1">
        <v>42515</v>
      </c>
      <c r="H409" t="s">
        <v>25</v>
      </c>
      <c r="I409">
        <v>0</v>
      </c>
      <c r="J409" t="s">
        <v>111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23</v>
      </c>
      <c r="R409">
        <v>0</v>
      </c>
    </row>
    <row r="410" spans="1:18">
      <c r="A410">
        <v>933363000000000</v>
      </c>
      <c r="B410" t="s">
        <v>28</v>
      </c>
      <c r="C410">
        <v>18</v>
      </c>
      <c r="D410" t="s">
        <v>37</v>
      </c>
      <c r="E410" t="s">
        <v>95</v>
      </c>
      <c r="F410" s="1">
        <v>42515</v>
      </c>
      <c r="G410" s="1">
        <v>42515</v>
      </c>
      <c r="H410" t="s">
        <v>25</v>
      </c>
      <c r="I410">
        <v>0</v>
      </c>
      <c r="J410" t="s">
        <v>111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23</v>
      </c>
      <c r="R410">
        <v>0</v>
      </c>
    </row>
    <row r="411" spans="1:18">
      <c r="A411">
        <v>33677300000000</v>
      </c>
      <c r="B411" t="s">
        <v>28</v>
      </c>
      <c r="C411">
        <v>20</v>
      </c>
      <c r="D411" t="s">
        <v>37</v>
      </c>
      <c r="E411" t="s">
        <v>63</v>
      </c>
      <c r="F411" s="1">
        <v>42515</v>
      </c>
      <c r="G411" s="1">
        <v>42520</v>
      </c>
      <c r="H411" t="s">
        <v>30</v>
      </c>
      <c r="I411">
        <v>5</v>
      </c>
      <c r="J411" t="s">
        <v>107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23</v>
      </c>
      <c r="R411">
        <v>0</v>
      </c>
    </row>
    <row r="412" spans="1:18">
      <c r="A412">
        <v>17467800000000</v>
      </c>
      <c r="B412" t="s">
        <v>18</v>
      </c>
      <c r="C412">
        <v>33</v>
      </c>
      <c r="D412" t="s">
        <v>37</v>
      </c>
      <c r="E412" t="s">
        <v>57</v>
      </c>
      <c r="F412" s="1">
        <v>42515</v>
      </c>
      <c r="G412" s="1">
        <v>42515</v>
      </c>
      <c r="H412" t="s">
        <v>25</v>
      </c>
      <c r="I412">
        <v>0</v>
      </c>
      <c r="J412" t="s">
        <v>111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23</v>
      </c>
      <c r="R412">
        <v>0</v>
      </c>
    </row>
    <row r="413" spans="1:18">
      <c r="A413">
        <v>247153000000</v>
      </c>
      <c r="B413" t="s">
        <v>18</v>
      </c>
      <c r="C413">
        <v>22</v>
      </c>
      <c r="D413" t="s">
        <v>37</v>
      </c>
      <c r="E413" t="s">
        <v>72</v>
      </c>
      <c r="F413" s="1">
        <v>42467</v>
      </c>
      <c r="G413" s="1">
        <v>42495</v>
      </c>
      <c r="H413" t="s">
        <v>33</v>
      </c>
      <c r="I413">
        <v>28</v>
      </c>
      <c r="J413" t="s">
        <v>77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 t="s">
        <v>23</v>
      </c>
      <c r="R413">
        <v>0</v>
      </c>
    </row>
    <row r="414" spans="1:18">
      <c r="A414">
        <v>4258890000000</v>
      </c>
      <c r="B414" t="s">
        <v>18</v>
      </c>
      <c r="C414">
        <v>30</v>
      </c>
      <c r="D414" t="s">
        <v>37</v>
      </c>
      <c r="E414" t="s">
        <v>75</v>
      </c>
      <c r="F414" s="1">
        <v>42515</v>
      </c>
      <c r="G414" s="1">
        <v>42515</v>
      </c>
      <c r="H414" t="s">
        <v>25</v>
      </c>
      <c r="I414">
        <v>0</v>
      </c>
      <c r="J414" t="s">
        <v>111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 t="s">
        <v>26</v>
      </c>
      <c r="R414">
        <v>1</v>
      </c>
    </row>
    <row r="415" spans="1:18">
      <c r="A415">
        <v>41627300000000</v>
      </c>
      <c r="B415" t="s">
        <v>18</v>
      </c>
      <c r="C415">
        <v>26</v>
      </c>
      <c r="D415" t="s">
        <v>37</v>
      </c>
      <c r="E415" t="s">
        <v>57</v>
      </c>
      <c r="F415" s="1">
        <v>42467</v>
      </c>
      <c r="G415" s="1">
        <v>42495</v>
      </c>
      <c r="H415" t="s">
        <v>33</v>
      </c>
      <c r="I415">
        <v>28</v>
      </c>
      <c r="J415" t="s">
        <v>77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 t="s">
        <v>23</v>
      </c>
      <c r="R415">
        <v>0</v>
      </c>
    </row>
    <row r="416" spans="1:18">
      <c r="A416">
        <v>648968000000000</v>
      </c>
      <c r="B416" t="s">
        <v>18</v>
      </c>
      <c r="C416">
        <v>23</v>
      </c>
      <c r="D416" t="s">
        <v>37</v>
      </c>
      <c r="E416" t="s">
        <v>54</v>
      </c>
      <c r="F416" s="1">
        <v>42515</v>
      </c>
      <c r="G416" s="1">
        <v>42515</v>
      </c>
      <c r="H416" t="s">
        <v>25</v>
      </c>
      <c r="I416">
        <v>0</v>
      </c>
      <c r="J416" t="s">
        <v>111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23</v>
      </c>
      <c r="R416">
        <v>0</v>
      </c>
    </row>
    <row r="417" spans="1:18">
      <c r="A417">
        <v>76325800000000</v>
      </c>
      <c r="B417" t="s">
        <v>28</v>
      </c>
      <c r="C417">
        <v>22</v>
      </c>
      <c r="D417" t="s">
        <v>37</v>
      </c>
      <c r="E417" t="s">
        <v>79</v>
      </c>
      <c r="F417" s="1">
        <v>42515</v>
      </c>
      <c r="G417" s="1">
        <v>42521</v>
      </c>
      <c r="H417" t="s">
        <v>41</v>
      </c>
      <c r="I417">
        <v>6</v>
      </c>
      <c r="J417" t="s">
        <v>107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 t="s">
        <v>23</v>
      </c>
      <c r="R417">
        <v>0</v>
      </c>
    </row>
    <row r="418" spans="1:18">
      <c r="A418">
        <v>618789000000</v>
      </c>
      <c r="B418" t="s">
        <v>18</v>
      </c>
      <c r="C418">
        <v>20</v>
      </c>
      <c r="D418" t="s">
        <v>37</v>
      </c>
      <c r="E418" t="s">
        <v>52</v>
      </c>
      <c r="F418" s="1">
        <v>42515</v>
      </c>
      <c r="G418" s="1">
        <v>42515</v>
      </c>
      <c r="H418" t="s">
        <v>25</v>
      </c>
      <c r="I418">
        <v>0</v>
      </c>
      <c r="J418" t="s">
        <v>111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23</v>
      </c>
      <c r="R418">
        <v>0</v>
      </c>
    </row>
    <row r="419" spans="1:18">
      <c r="A419">
        <v>17772500000000</v>
      </c>
      <c r="B419" t="s">
        <v>28</v>
      </c>
      <c r="C419">
        <v>18</v>
      </c>
      <c r="D419" t="s">
        <v>37</v>
      </c>
      <c r="E419" t="s">
        <v>105</v>
      </c>
      <c r="F419" s="1">
        <v>42515</v>
      </c>
      <c r="G419" s="1">
        <v>42523</v>
      </c>
      <c r="H419" t="s">
        <v>33</v>
      </c>
      <c r="I419">
        <v>8</v>
      </c>
      <c r="J419" t="s">
        <v>92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 t="s">
        <v>23</v>
      </c>
      <c r="R419">
        <v>0</v>
      </c>
    </row>
    <row r="420" spans="1:18">
      <c r="A420">
        <v>9394490000000</v>
      </c>
      <c r="B420" t="s">
        <v>28</v>
      </c>
      <c r="C420">
        <v>31</v>
      </c>
      <c r="D420" t="s">
        <v>37</v>
      </c>
      <c r="E420" t="s">
        <v>32</v>
      </c>
      <c r="F420" s="1">
        <v>42515</v>
      </c>
      <c r="G420" s="1">
        <v>42515</v>
      </c>
      <c r="H420" t="s">
        <v>25</v>
      </c>
      <c r="I420">
        <v>0</v>
      </c>
      <c r="J420" t="s">
        <v>111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23</v>
      </c>
      <c r="R420">
        <v>0</v>
      </c>
    </row>
    <row r="421" spans="1:18">
      <c r="A421">
        <v>83137600000000</v>
      </c>
      <c r="B421" t="s">
        <v>18</v>
      </c>
      <c r="C421">
        <v>29</v>
      </c>
      <c r="D421" t="s">
        <v>37</v>
      </c>
      <c r="E421" t="s">
        <v>68</v>
      </c>
      <c r="F421" s="1">
        <v>42514</v>
      </c>
      <c r="G421" s="1">
        <v>42528</v>
      </c>
      <c r="H421" t="s">
        <v>41</v>
      </c>
      <c r="I421">
        <v>14</v>
      </c>
      <c r="J421" t="s">
        <v>92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23</v>
      </c>
      <c r="R421">
        <v>0</v>
      </c>
    </row>
    <row r="422" spans="1:18">
      <c r="A422">
        <v>815773000000</v>
      </c>
      <c r="B422" t="s">
        <v>18</v>
      </c>
      <c r="C422">
        <v>20</v>
      </c>
      <c r="D422" t="s">
        <v>37</v>
      </c>
      <c r="E422" t="s">
        <v>57</v>
      </c>
      <c r="F422" s="1">
        <v>42467</v>
      </c>
      <c r="G422" s="1">
        <v>42500</v>
      </c>
      <c r="H422" t="s">
        <v>41</v>
      </c>
      <c r="I422">
        <v>33</v>
      </c>
      <c r="J422" t="s">
        <v>22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 t="s">
        <v>23</v>
      </c>
      <c r="R422">
        <v>0</v>
      </c>
    </row>
    <row r="423" spans="1:18">
      <c r="A423">
        <v>4166760000000</v>
      </c>
      <c r="B423" t="s">
        <v>28</v>
      </c>
      <c r="C423">
        <v>20</v>
      </c>
      <c r="D423" t="s">
        <v>37</v>
      </c>
      <c r="E423" t="s">
        <v>112</v>
      </c>
      <c r="F423" s="1">
        <v>42514</v>
      </c>
      <c r="G423" s="1">
        <v>42514</v>
      </c>
      <c r="H423" t="s">
        <v>41</v>
      </c>
      <c r="I423">
        <v>0</v>
      </c>
      <c r="J423" t="s">
        <v>111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23</v>
      </c>
      <c r="R423">
        <v>0</v>
      </c>
    </row>
    <row r="424" spans="1:18">
      <c r="A424">
        <v>4535320000000</v>
      </c>
      <c r="B424" t="s">
        <v>18</v>
      </c>
      <c r="C424">
        <v>21</v>
      </c>
      <c r="D424" t="s">
        <v>37</v>
      </c>
      <c r="E424" t="s">
        <v>39</v>
      </c>
      <c r="F424" s="1">
        <v>42514</v>
      </c>
      <c r="G424" s="1">
        <v>42514</v>
      </c>
      <c r="H424" t="s">
        <v>41</v>
      </c>
      <c r="I424">
        <v>0</v>
      </c>
      <c r="J424" t="s">
        <v>111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23</v>
      </c>
      <c r="R424">
        <v>0</v>
      </c>
    </row>
    <row r="425" spans="1:18">
      <c r="A425">
        <v>23274700000000</v>
      </c>
      <c r="B425" t="s">
        <v>28</v>
      </c>
      <c r="C425">
        <v>35</v>
      </c>
      <c r="D425" t="s">
        <v>37</v>
      </c>
      <c r="E425" t="s">
        <v>42</v>
      </c>
      <c r="F425" s="1">
        <v>42514</v>
      </c>
      <c r="G425" s="1">
        <v>42515</v>
      </c>
      <c r="H425" t="s">
        <v>25</v>
      </c>
      <c r="I425">
        <v>1</v>
      </c>
      <c r="J425" t="s">
        <v>109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26</v>
      </c>
      <c r="R425">
        <v>1</v>
      </c>
    </row>
    <row r="426" spans="1:18">
      <c r="A426">
        <v>44419400000000</v>
      </c>
      <c r="B426" t="s">
        <v>18</v>
      </c>
      <c r="C426">
        <v>32</v>
      </c>
      <c r="D426" t="s">
        <v>37</v>
      </c>
      <c r="E426" t="s">
        <v>44</v>
      </c>
      <c r="F426" s="1">
        <v>42514</v>
      </c>
      <c r="G426" s="1">
        <v>42514</v>
      </c>
      <c r="H426" t="s">
        <v>41</v>
      </c>
      <c r="I426">
        <v>0</v>
      </c>
      <c r="J426" t="s">
        <v>111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 t="s">
        <v>23</v>
      </c>
      <c r="R426">
        <v>0</v>
      </c>
    </row>
    <row r="427" spans="1:18">
      <c r="A427">
        <v>2519710000000</v>
      </c>
      <c r="B427" t="s">
        <v>18</v>
      </c>
      <c r="C427">
        <v>20</v>
      </c>
      <c r="D427" t="s">
        <v>37</v>
      </c>
      <c r="E427" t="s">
        <v>68</v>
      </c>
      <c r="F427" s="1">
        <v>42514</v>
      </c>
      <c r="G427" s="1">
        <v>42514</v>
      </c>
      <c r="H427" t="s">
        <v>41</v>
      </c>
      <c r="I427">
        <v>0</v>
      </c>
      <c r="J427" t="s">
        <v>111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23</v>
      </c>
      <c r="R427">
        <v>0</v>
      </c>
    </row>
    <row r="428" spans="1:18">
      <c r="A428">
        <v>6583920000000</v>
      </c>
      <c r="B428" t="s">
        <v>18</v>
      </c>
      <c r="C428">
        <v>32</v>
      </c>
      <c r="D428" t="s">
        <v>37</v>
      </c>
      <c r="E428" t="s">
        <v>71</v>
      </c>
      <c r="F428" s="1">
        <v>42514</v>
      </c>
      <c r="G428" s="1">
        <v>42514</v>
      </c>
      <c r="H428" t="s">
        <v>41</v>
      </c>
      <c r="I428">
        <v>0</v>
      </c>
      <c r="J428" t="s">
        <v>111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23</v>
      </c>
      <c r="R428">
        <v>0</v>
      </c>
    </row>
    <row r="429" spans="1:18">
      <c r="A429">
        <v>41283800000000</v>
      </c>
      <c r="B429" t="s">
        <v>18</v>
      </c>
      <c r="C429">
        <v>34</v>
      </c>
      <c r="D429" t="s">
        <v>37</v>
      </c>
      <c r="E429" t="s">
        <v>58</v>
      </c>
      <c r="F429" s="1">
        <v>42514</v>
      </c>
      <c r="G429" s="1">
        <v>42514</v>
      </c>
      <c r="H429" t="s">
        <v>41</v>
      </c>
      <c r="I429">
        <v>0</v>
      </c>
      <c r="J429" t="s">
        <v>111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23</v>
      </c>
      <c r="R429">
        <v>0</v>
      </c>
    </row>
    <row r="430" spans="1:18">
      <c r="A430">
        <v>5758290000000</v>
      </c>
      <c r="B430" t="s">
        <v>18</v>
      </c>
      <c r="C430">
        <v>28</v>
      </c>
      <c r="D430" t="s">
        <v>37</v>
      </c>
      <c r="E430" t="s">
        <v>57</v>
      </c>
      <c r="F430" s="1">
        <v>42467</v>
      </c>
      <c r="G430" s="1">
        <v>42495</v>
      </c>
      <c r="H430" t="s">
        <v>33</v>
      </c>
      <c r="I430">
        <v>28</v>
      </c>
      <c r="J430" t="s">
        <v>77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 t="s">
        <v>26</v>
      </c>
      <c r="R430">
        <v>1</v>
      </c>
    </row>
    <row r="431" spans="1:18">
      <c r="A431">
        <v>697928000000000</v>
      </c>
      <c r="B431" t="s">
        <v>18</v>
      </c>
      <c r="C431">
        <v>23</v>
      </c>
      <c r="D431" t="s">
        <v>37</v>
      </c>
      <c r="E431" t="s">
        <v>44</v>
      </c>
      <c r="F431" s="1">
        <v>42514</v>
      </c>
      <c r="G431" s="1">
        <v>42515</v>
      </c>
      <c r="H431" t="s">
        <v>25</v>
      </c>
      <c r="I431">
        <v>1</v>
      </c>
      <c r="J431" t="s">
        <v>109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23</v>
      </c>
      <c r="R431">
        <v>0</v>
      </c>
    </row>
    <row r="432" spans="1:18">
      <c r="A432">
        <v>65611400000000</v>
      </c>
      <c r="B432" t="s">
        <v>28</v>
      </c>
      <c r="C432">
        <v>23</v>
      </c>
      <c r="D432" t="s">
        <v>37</v>
      </c>
      <c r="E432" t="s">
        <v>39</v>
      </c>
      <c r="F432" s="1">
        <v>42514</v>
      </c>
      <c r="G432" s="1">
        <v>42524</v>
      </c>
      <c r="H432" t="s">
        <v>21</v>
      </c>
      <c r="I432">
        <v>10</v>
      </c>
      <c r="J432" t="s">
        <v>92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 t="s">
        <v>23</v>
      </c>
      <c r="R432">
        <v>0</v>
      </c>
    </row>
    <row r="433" spans="1:18">
      <c r="A433">
        <v>836131000000</v>
      </c>
      <c r="B433" t="s">
        <v>18</v>
      </c>
      <c r="C433">
        <v>24</v>
      </c>
      <c r="D433" t="s">
        <v>37</v>
      </c>
      <c r="E433" t="s">
        <v>79</v>
      </c>
      <c r="F433" s="1">
        <v>42514</v>
      </c>
      <c r="G433" s="1">
        <v>42523</v>
      </c>
      <c r="H433" t="s">
        <v>33</v>
      </c>
      <c r="I433">
        <v>9</v>
      </c>
      <c r="J433" t="s">
        <v>92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 t="s">
        <v>23</v>
      </c>
      <c r="R433">
        <v>0</v>
      </c>
    </row>
    <row r="434" spans="1:18">
      <c r="A434">
        <v>632669000000000</v>
      </c>
      <c r="B434" t="s">
        <v>28</v>
      </c>
      <c r="C434">
        <v>18</v>
      </c>
      <c r="D434" t="s">
        <v>37</v>
      </c>
      <c r="E434" t="s">
        <v>38</v>
      </c>
      <c r="F434" s="1">
        <v>42514</v>
      </c>
      <c r="G434" s="1">
        <v>42523</v>
      </c>
      <c r="H434" t="s">
        <v>33</v>
      </c>
      <c r="I434">
        <v>9</v>
      </c>
      <c r="J434" t="s">
        <v>92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26</v>
      </c>
      <c r="R434">
        <v>1</v>
      </c>
    </row>
    <row r="435" spans="1:18">
      <c r="A435">
        <v>7288180000000</v>
      </c>
      <c r="B435" t="s">
        <v>28</v>
      </c>
      <c r="C435">
        <v>35</v>
      </c>
      <c r="D435" t="s">
        <v>37</v>
      </c>
      <c r="E435" t="s">
        <v>45</v>
      </c>
      <c r="F435" s="1">
        <v>42467</v>
      </c>
      <c r="G435" s="1">
        <v>42495</v>
      </c>
      <c r="H435" t="s">
        <v>33</v>
      </c>
      <c r="I435">
        <v>28</v>
      </c>
      <c r="J435" t="s">
        <v>77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 t="s">
        <v>23</v>
      </c>
      <c r="R435">
        <v>0</v>
      </c>
    </row>
    <row r="436" spans="1:18">
      <c r="A436">
        <v>2438370000000</v>
      </c>
      <c r="B436" t="s">
        <v>18</v>
      </c>
      <c r="C436">
        <v>24</v>
      </c>
      <c r="D436" t="s">
        <v>37</v>
      </c>
      <c r="E436" t="s">
        <v>44</v>
      </c>
      <c r="F436" s="1">
        <v>42467</v>
      </c>
      <c r="G436" s="1">
        <v>42502</v>
      </c>
      <c r="H436" t="s">
        <v>33</v>
      </c>
      <c r="I436">
        <v>35</v>
      </c>
      <c r="J436" t="s">
        <v>22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 t="s">
        <v>26</v>
      </c>
      <c r="R436">
        <v>1</v>
      </c>
    </row>
    <row r="437" spans="1:18">
      <c r="A437">
        <v>333369000000000</v>
      </c>
      <c r="B437" t="s">
        <v>28</v>
      </c>
      <c r="C437">
        <v>21</v>
      </c>
      <c r="D437" t="s">
        <v>37</v>
      </c>
      <c r="E437" t="s">
        <v>72</v>
      </c>
      <c r="F437" s="1">
        <v>42467</v>
      </c>
      <c r="G437" s="1">
        <v>42499</v>
      </c>
      <c r="H437" t="s">
        <v>30</v>
      </c>
      <c r="I437">
        <v>32</v>
      </c>
      <c r="J437" t="s">
        <v>22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26</v>
      </c>
      <c r="R437">
        <v>1</v>
      </c>
    </row>
    <row r="438" spans="1:18">
      <c r="A438">
        <v>318375000000000</v>
      </c>
      <c r="B438" t="s">
        <v>18</v>
      </c>
      <c r="C438">
        <v>28</v>
      </c>
      <c r="D438" t="s">
        <v>37</v>
      </c>
      <c r="E438" t="s">
        <v>106</v>
      </c>
      <c r="F438" s="1">
        <v>42514</v>
      </c>
      <c r="G438" s="1">
        <v>42528</v>
      </c>
      <c r="H438" t="s">
        <v>41</v>
      </c>
      <c r="I438">
        <v>14</v>
      </c>
      <c r="J438" t="s">
        <v>92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 t="s">
        <v>23</v>
      </c>
      <c r="R438">
        <v>0</v>
      </c>
    </row>
    <row r="439" spans="1:18">
      <c r="A439">
        <v>134393000000000</v>
      </c>
      <c r="B439" t="s">
        <v>18</v>
      </c>
      <c r="C439">
        <v>24</v>
      </c>
      <c r="D439" t="s">
        <v>37</v>
      </c>
      <c r="E439" t="s">
        <v>55</v>
      </c>
      <c r="F439" s="1">
        <v>42514</v>
      </c>
      <c r="G439" s="1">
        <v>42520</v>
      </c>
      <c r="H439" t="s">
        <v>30</v>
      </c>
      <c r="I439">
        <v>6</v>
      </c>
      <c r="J439" t="s">
        <v>107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 t="s">
        <v>26</v>
      </c>
      <c r="R439">
        <v>1</v>
      </c>
    </row>
    <row r="440" spans="1:18">
      <c r="A440">
        <v>5146670000000</v>
      </c>
      <c r="B440" t="s">
        <v>18</v>
      </c>
      <c r="C440">
        <v>25</v>
      </c>
      <c r="D440" t="s">
        <v>37</v>
      </c>
      <c r="E440" t="s">
        <v>61</v>
      </c>
      <c r="F440" s="1">
        <v>42514</v>
      </c>
      <c r="G440" s="1">
        <v>42514</v>
      </c>
      <c r="H440" t="s">
        <v>41</v>
      </c>
      <c r="I440">
        <v>0</v>
      </c>
      <c r="J440" t="s">
        <v>111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23</v>
      </c>
      <c r="R440">
        <v>0</v>
      </c>
    </row>
    <row r="441" spans="1:18">
      <c r="A441">
        <v>5777390000000</v>
      </c>
      <c r="B441" t="s">
        <v>18</v>
      </c>
      <c r="C441">
        <v>20</v>
      </c>
      <c r="D441" t="s">
        <v>37</v>
      </c>
      <c r="E441" t="s">
        <v>50</v>
      </c>
      <c r="F441" s="1">
        <v>42467</v>
      </c>
      <c r="G441" s="1">
        <v>42494</v>
      </c>
      <c r="H441" t="s">
        <v>25</v>
      </c>
      <c r="I441">
        <v>27</v>
      </c>
      <c r="J441" t="s">
        <v>77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 t="s">
        <v>23</v>
      </c>
      <c r="R441">
        <v>0</v>
      </c>
    </row>
    <row r="442" spans="1:18">
      <c r="A442">
        <v>412128000000</v>
      </c>
      <c r="B442" t="s">
        <v>18</v>
      </c>
      <c r="C442">
        <v>29</v>
      </c>
      <c r="D442" t="s">
        <v>37</v>
      </c>
      <c r="E442" t="s">
        <v>70</v>
      </c>
      <c r="F442" s="1">
        <v>42514</v>
      </c>
      <c r="G442" s="1">
        <v>42515</v>
      </c>
      <c r="H442" t="s">
        <v>25</v>
      </c>
      <c r="I442">
        <v>1</v>
      </c>
      <c r="J442" t="s">
        <v>109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 t="s">
        <v>26</v>
      </c>
      <c r="R442">
        <v>1</v>
      </c>
    </row>
    <row r="443" spans="1:18">
      <c r="A443">
        <v>262423000000000</v>
      </c>
      <c r="B443" t="s">
        <v>18</v>
      </c>
      <c r="C443">
        <v>31</v>
      </c>
      <c r="D443" t="s">
        <v>37</v>
      </c>
      <c r="E443" t="s">
        <v>65</v>
      </c>
      <c r="F443" s="1">
        <v>42514</v>
      </c>
      <c r="G443" s="1">
        <v>42514</v>
      </c>
      <c r="H443" t="s">
        <v>41</v>
      </c>
      <c r="I443">
        <v>0</v>
      </c>
      <c r="J443" t="s">
        <v>111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23</v>
      </c>
      <c r="R443">
        <v>0</v>
      </c>
    </row>
    <row r="444" spans="1:18">
      <c r="A444">
        <v>499198000000000</v>
      </c>
      <c r="B444" t="s">
        <v>18</v>
      </c>
      <c r="C444">
        <v>31</v>
      </c>
      <c r="D444" t="s">
        <v>37</v>
      </c>
      <c r="E444" t="s">
        <v>58</v>
      </c>
      <c r="F444" s="1">
        <v>42514</v>
      </c>
      <c r="G444" s="1">
        <v>42514</v>
      </c>
      <c r="H444" t="s">
        <v>41</v>
      </c>
      <c r="I444">
        <v>0</v>
      </c>
      <c r="J444" t="s">
        <v>111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23</v>
      </c>
      <c r="R444">
        <v>0</v>
      </c>
    </row>
    <row r="445" spans="1:18">
      <c r="A445">
        <v>17539400000000</v>
      </c>
      <c r="B445" t="s">
        <v>18</v>
      </c>
      <c r="C445">
        <v>28</v>
      </c>
      <c r="D445" t="s">
        <v>37</v>
      </c>
      <c r="E445" t="s">
        <v>54</v>
      </c>
      <c r="F445" s="1">
        <v>42468</v>
      </c>
      <c r="G445" s="1">
        <v>42501</v>
      </c>
      <c r="H445" t="s">
        <v>25</v>
      </c>
      <c r="I445">
        <v>33</v>
      </c>
      <c r="J445" t="s">
        <v>22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1</v>
      </c>
      <c r="Q445" t="s">
        <v>26</v>
      </c>
      <c r="R445">
        <v>1</v>
      </c>
    </row>
    <row r="446" spans="1:18">
      <c r="A446">
        <v>794812000000000</v>
      </c>
      <c r="B446" t="s">
        <v>28</v>
      </c>
      <c r="C446">
        <v>34</v>
      </c>
      <c r="D446" t="s">
        <v>37</v>
      </c>
      <c r="E446" t="s">
        <v>61</v>
      </c>
      <c r="F446" s="1">
        <v>42514</v>
      </c>
      <c r="G446" s="1">
        <v>42524</v>
      </c>
      <c r="H446" t="s">
        <v>21</v>
      </c>
      <c r="I446">
        <v>10</v>
      </c>
      <c r="J446" t="s">
        <v>92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 t="s">
        <v>23</v>
      </c>
      <c r="R446">
        <v>0</v>
      </c>
    </row>
    <row r="447" spans="1:18">
      <c r="A447">
        <v>736515000000000</v>
      </c>
      <c r="B447" t="s">
        <v>18</v>
      </c>
      <c r="C447">
        <v>32</v>
      </c>
      <c r="D447" t="s">
        <v>37</v>
      </c>
      <c r="E447" t="s">
        <v>42</v>
      </c>
      <c r="F447" s="1">
        <v>42514</v>
      </c>
      <c r="G447" s="1">
        <v>42514</v>
      </c>
      <c r="H447" t="s">
        <v>41</v>
      </c>
      <c r="I447">
        <v>0</v>
      </c>
      <c r="J447" t="s">
        <v>111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23</v>
      </c>
      <c r="R447">
        <v>0</v>
      </c>
    </row>
    <row r="448" spans="1:18">
      <c r="A448">
        <v>299838000000000</v>
      </c>
      <c r="B448" t="s">
        <v>18</v>
      </c>
      <c r="C448">
        <v>18</v>
      </c>
      <c r="D448" t="s">
        <v>37</v>
      </c>
      <c r="E448" t="s">
        <v>97</v>
      </c>
      <c r="F448" s="1">
        <v>42514</v>
      </c>
      <c r="G448" s="1">
        <v>42521</v>
      </c>
      <c r="H448" t="s">
        <v>41</v>
      </c>
      <c r="I448">
        <v>7</v>
      </c>
      <c r="J448" t="s">
        <v>107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 t="s">
        <v>23</v>
      </c>
      <c r="R448">
        <v>0</v>
      </c>
    </row>
    <row r="449" spans="1:18">
      <c r="A449">
        <v>8688660000000</v>
      </c>
      <c r="B449" t="s">
        <v>18</v>
      </c>
      <c r="C449">
        <v>31</v>
      </c>
      <c r="D449" t="s">
        <v>37</v>
      </c>
      <c r="E449" t="s">
        <v>68</v>
      </c>
      <c r="F449" s="1">
        <v>42514</v>
      </c>
      <c r="G449" s="1">
        <v>42520</v>
      </c>
      <c r="H449" t="s">
        <v>30</v>
      </c>
      <c r="I449">
        <v>6</v>
      </c>
      <c r="J449" t="s">
        <v>107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1</v>
      </c>
      <c r="Q449" t="s">
        <v>23</v>
      </c>
      <c r="R449">
        <v>0</v>
      </c>
    </row>
    <row r="450" spans="1:18">
      <c r="A450">
        <v>7611590000000</v>
      </c>
      <c r="B450" t="s">
        <v>28</v>
      </c>
      <c r="C450">
        <v>30</v>
      </c>
      <c r="D450" t="s">
        <v>37</v>
      </c>
      <c r="E450" t="s">
        <v>65</v>
      </c>
      <c r="F450" s="1">
        <v>42468</v>
      </c>
      <c r="G450" s="1">
        <v>42489</v>
      </c>
      <c r="H450" t="s">
        <v>21</v>
      </c>
      <c r="I450">
        <v>21</v>
      </c>
      <c r="J450" t="s">
        <v>77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 t="s">
        <v>26</v>
      </c>
      <c r="R450">
        <v>1</v>
      </c>
    </row>
    <row r="451" spans="1:18">
      <c r="A451">
        <v>118431000000000</v>
      </c>
      <c r="B451" t="s">
        <v>18</v>
      </c>
      <c r="C451">
        <v>31</v>
      </c>
      <c r="D451" t="s">
        <v>37</v>
      </c>
      <c r="E451" t="s">
        <v>36</v>
      </c>
      <c r="F451" s="1">
        <v>42514</v>
      </c>
      <c r="G451" s="1">
        <v>42523</v>
      </c>
      <c r="H451" t="s">
        <v>33</v>
      </c>
      <c r="I451">
        <v>9</v>
      </c>
      <c r="J451" t="s">
        <v>92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 t="s">
        <v>23</v>
      </c>
      <c r="R451">
        <v>0</v>
      </c>
    </row>
    <row r="452" spans="1:18">
      <c r="A452">
        <v>216876000000000</v>
      </c>
      <c r="B452" t="s">
        <v>18</v>
      </c>
      <c r="C452">
        <v>22</v>
      </c>
      <c r="D452" t="s">
        <v>37</v>
      </c>
      <c r="E452" t="s">
        <v>32</v>
      </c>
      <c r="F452" s="1">
        <v>42468</v>
      </c>
      <c r="G452" s="1">
        <v>42496</v>
      </c>
      <c r="H452" t="s">
        <v>21</v>
      </c>
      <c r="I452">
        <v>28</v>
      </c>
      <c r="J452" t="s">
        <v>77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26</v>
      </c>
      <c r="R452">
        <v>1</v>
      </c>
    </row>
    <row r="453" spans="1:18">
      <c r="A453">
        <v>216876000000000</v>
      </c>
      <c r="B453" t="s">
        <v>18</v>
      </c>
      <c r="C453">
        <v>22</v>
      </c>
      <c r="D453" t="s">
        <v>37</v>
      </c>
      <c r="E453" t="s">
        <v>32</v>
      </c>
      <c r="F453" s="1">
        <v>42468</v>
      </c>
      <c r="G453" s="1">
        <v>42503</v>
      </c>
      <c r="H453" t="s">
        <v>21</v>
      </c>
      <c r="I453">
        <v>35</v>
      </c>
      <c r="J453" t="s">
        <v>22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26</v>
      </c>
      <c r="R453">
        <v>1</v>
      </c>
    </row>
    <row r="454" spans="1:18">
      <c r="A454">
        <v>74632700000000</v>
      </c>
      <c r="B454" t="s">
        <v>28</v>
      </c>
      <c r="C454">
        <v>22</v>
      </c>
      <c r="D454" t="s">
        <v>37</v>
      </c>
      <c r="E454" t="s">
        <v>43</v>
      </c>
      <c r="F454" s="1">
        <v>42468</v>
      </c>
      <c r="G454" s="1">
        <v>42503</v>
      </c>
      <c r="H454" t="s">
        <v>21</v>
      </c>
      <c r="I454">
        <v>35</v>
      </c>
      <c r="J454" t="s">
        <v>22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26</v>
      </c>
      <c r="R454">
        <v>1</v>
      </c>
    </row>
    <row r="455" spans="1:18">
      <c r="A455">
        <v>44564900000000</v>
      </c>
      <c r="B455" t="s">
        <v>18</v>
      </c>
      <c r="C455">
        <v>25</v>
      </c>
      <c r="D455" t="s">
        <v>37</v>
      </c>
      <c r="E455" t="s">
        <v>59</v>
      </c>
      <c r="F455" s="1">
        <v>42514</v>
      </c>
      <c r="G455" s="1">
        <v>42514</v>
      </c>
      <c r="H455" t="s">
        <v>41</v>
      </c>
      <c r="I455">
        <v>0</v>
      </c>
      <c r="J455" t="s">
        <v>111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23</v>
      </c>
      <c r="R455">
        <v>0</v>
      </c>
    </row>
    <row r="456" spans="1:18">
      <c r="A456">
        <v>47229400000000</v>
      </c>
      <c r="B456" t="s">
        <v>18</v>
      </c>
      <c r="C456">
        <v>28</v>
      </c>
      <c r="D456" t="s">
        <v>37</v>
      </c>
      <c r="E456" t="s">
        <v>32</v>
      </c>
      <c r="F456" s="1">
        <v>42468</v>
      </c>
      <c r="G456" s="1">
        <v>42501</v>
      </c>
      <c r="H456" t="s">
        <v>25</v>
      </c>
      <c r="I456">
        <v>33</v>
      </c>
      <c r="J456" t="s">
        <v>22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 t="s">
        <v>23</v>
      </c>
      <c r="R456">
        <v>0</v>
      </c>
    </row>
    <row r="457" spans="1:18">
      <c r="A457">
        <v>7718990000000</v>
      </c>
      <c r="B457" t="s">
        <v>18</v>
      </c>
      <c r="C457">
        <v>20</v>
      </c>
      <c r="D457" t="s">
        <v>37</v>
      </c>
      <c r="E457" t="s">
        <v>59</v>
      </c>
      <c r="F457" s="1">
        <v>42514</v>
      </c>
      <c r="G457" s="1">
        <v>42514</v>
      </c>
      <c r="H457" t="s">
        <v>41</v>
      </c>
      <c r="I457">
        <v>0</v>
      </c>
      <c r="J457" t="s">
        <v>111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23</v>
      </c>
      <c r="R457">
        <v>0</v>
      </c>
    </row>
    <row r="458" spans="1:18">
      <c r="A458">
        <v>858977000000000</v>
      </c>
      <c r="B458" t="s">
        <v>18</v>
      </c>
      <c r="C458">
        <v>19</v>
      </c>
      <c r="D458" t="s">
        <v>37</v>
      </c>
      <c r="E458" t="s">
        <v>46</v>
      </c>
      <c r="F458" s="1">
        <v>42514</v>
      </c>
      <c r="G458" s="1">
        <v>42514</v>
      </c>
      <c r="H458" t="s">
        <v>41</v>
      </c>
      <c r="I458">
        <v>0</v>
      </c>
      <c r="J458" t="s">
        <v>111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23</v>
      </c>
      <c r="R458">
        <v>0</v>
      </c>
    </row>
    <row r="459" spans="1:18">
      <c r="A459">
        <v>331716000000</v>
      </c>
      <c r="B459" t="s">
        <v>28</v>
      </c>
      <c r="C459">
        <v>34</v>
      </c>
      <c r="D459" t="s">
        <v>37</v>
      </c>
      <c r="E459" t="s">
        <v>39</v>
      </c>
      <c r="F459" s="1">
        <v>42514</v>
      </c>
      <c r="G459" s="1">
        <v>42515</v>
      </c>
      <c r="H459" t="s">
        <v>25</v>
      </c>
      <c r="I459">
        <v>1</v>
      </c>
      <c r="J459" t="s">
        <v>109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23</v>
      </c>
      <c r="R459">
        <v>0</v>
      </c>
    </row>
    <row r="460" spans="1:18">
      <c r="A460">
        <v>19737400000000</v>
      </c>
      <c r="B460" t="s">
        <v>18</v>
      </c>
      <c r="C460">
        <v>33</v>
      </c>
      <c r="D460" t="s">
        <v>37</v>
      </c>
      <c r="E460" t="s">
        <v>38</v>
      </c>
      <c r="F460" s="1">
        <v>42514</v>
      </c>
      <c r="G460" s="1">
        <v>42515</v>
      </c>
      <c r="H460" t="s">
        <v>25</v>
      </c>
      <c r="I460">
        <v>1</v>
      </c>
      <c r="J460" t="s">
        <v>109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26</v>
      </c>
      <c r="R460">
        <v>1</v>
      </c>
    </row>
    <row r="461" spans="1:18">
      <c r="A461">
        <v>935378000000000</v>
      </c>
      <c r="B461" t="s">
        <v>18</v>
      </c>
      <c r="C461">
        <v>26</v>
      </c>
      <c r="D461" t="s">
        <v>37</v>
      </c>
      <c r="E461" t="s">
        <v>36</v>
      </c>
      <c r="F461" s="1">
        <v>42514</v>
      </c>
      <c r="G461" s="1">
        <v>42514</v>
      </c>
      <c r="H461" t="s">
        <v>41</v>
      </c>
      <c r="I461">
        <v>0</v>
      </c>
      <c r="J461" t="s">
        <v>111</v>
      </c>
      <c r="K461">
        <v>1</v>
      </c>
      <c r="L461">
        <v>1</v>
      </c>
      <c r="M461">
        <v>0</v>
      </c>
      <c r="N461">
        <v>1</v>
      </c>
      <c r="O461">
        <v>0</v>
      </c>
      <c r="P461">
        <v>0</v>
      </c>
      <c r="Q461" t="s">
        <v>23</v>
      </c>
      <c r="R461">
        <v>0</v>
      </c>
    </row>
    <row r="462" spans="1:18">
      <c r="A462">
        <v>962445000000</v>
      </c>
      <c r="B462" t="s">
        <v>18</v>
      </c>
      <c r="C462">
        <v>23</v>
      </c>
      <c r="D462" t="s">
        <v>37</v>
      </c>
      <c r="E462" t="s">
        <v>87</v>
      </c>
      <c r="F462" s="1">
        <v>42514</v>
      </c>
      <c r="G462" s="1">
        <v>42514</v>
      </c>
      <c r="H462" t="s">
        <v>41</v>
      </c>
      <c r="I462">
        <v>0</v>
      </c>
      <c r="J462" t="s">
        <v>111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23</v>
      </c>
      <c r="R462">
        <v>0</v>
      </c>
    </row>
    <row r="463" spans="1:18">
      <c r="A463">
        <v>6763480000000</v>
      </c>
      <c r="B463" t="s">
        <v>28</v>
      </c>
      <c r="C463">
        <v>27</v>
      </c>
      <c r="D463" t="s">
        <v>37</v>
      </c>
      <c r="E463" t="s">
        <v>29</v>
      </c>
      <c r="F463" s="1">
        <v>42514</v>
      </c>
      <c r="G463" s="1">
        <v>42514</v>
      </c>
      <c r="H463" t="s">
        <v>41</v>
      </c>
      <c r="I463">
        <v>0</v>
      </c>
      <c r="J463" t="s">
        <v>111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23</v>
      </c>
      <c r="R463">
        <v>0</v>
      </c>
    </row>
    <row r="464" spans="1:18">
      <c r="A464">
        <v>421937000000000</v>
      </c>
      <c r="B464" t="s">
        <v>28</v>
      </c>
      <c r="C464">
        <v>22</v>
      </c>
      <c r="D464" t="s">
        <v>37</v>
      </c>
      <c r="E464" t="s">
        <v>34</v>
      </c>
      <c r="F464" s="1">
        <v>42514</v>
      </c>
      <c r="G464" s="1">
        <v>42521</v>
      </c>
      <c r="H464" t="s">
        <v>41</v>
      </c>
      <c r="I464">
        <v>7</v>
      </c>
      <c r="J464" t="s">
        <v>107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23</v>
      </c>
      <c r="R464">
        <v>0</v>
      </c>
    </row>
    <row r="465" spans="1:18">
      <c r="A465">
        <v>6946170000000</v>
      </c>
      <c r="B465" t="s">
        <v>18</v>
      </c>
      <c r="C465">
        <v>30</v>
      </c>
      <c r="D465" t="s">
        <v>37</v>
      </c>
      <c r="E465" t="s">
        <v>20</v>
      </c>
      <c r="F465" s="1">
        <v>42514</v>
      </c>
      <c r="G465" s="1">
        <v>42514</v>
      </c>
      <c r="H465" t="s">
        <v>41</v>
      </c>
      <c r="I465">
        <v>0</v>
      </c>
      <c r="J465" t="s">
        <v>111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0</v>
      </c>
      <c r="Q465" t="s">
        <v>23</v>
      </c>
      <c r="R465">
        <v>0</v>
      </c>
    </row>
    <row r="466" spans="1:18">
      <c r="A466">
        <v>83655500000000</v>
      </c>
      <c r="B466" t="s">
        <v>18</v>
      </c>
      <c r="C466">
        <v>22</v>
      </c>
      <c r="D466" t="s">
        <v>37</v>
      </c>
      <c r="E466" t="s">
        <v>48</v>
      </c>
      <c r="F466" s="1">
        <v>42514</v>
      </c>
      <c r="G466" s="1">
        <v>42515</v>
      </c>
      <c r="H466" t="s">
        <v>25</v>
      </c>
      <c r="I466">
        <v>1</v>
      </c>
      <c r="J466" t="s">
        <v>109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23</v>
      </c>
      <c r="R466">
        <v>0</v>
      </c>
    </row>
    <row r="467" spans="1:18">
      <c r="A467">
        <v>671369000000000</v>
      </c>
      <c r="B467" t="s">
        <v>18</v>
      </c>
      <c r="C467">
        <v>28</v>
      </c>
      <c r="D467" t="s">
        <v>37</v>
      </c>
      <c r="E467" t="s">
        <v>48</v>
      </c>
      <c r="F467" s="1">
        <v>42468</v>
      </c>
      <c r="G467" s="1">
        <v>42502</v>
      </c>
      <c r="H467" t="s">
        <v>33</v>
      </c>
      <c r="I467">
        <v>34</v>
      </c>
      <c r="J467" t="s">
        <v>22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 t="s">
        <v>26</v>
      </c>
      <c r="R467">
        <v>1</v>
      </c>
    </row>
    <row r="468" spans="1:18">
      <c r="A468">
        <v>5931960000000</v>
      </c>
      <c r="B468" t="s">
        <v>28</v>
      </c>
      <c r="C468">
        <v>19</v>
      </c>
      <c r="D468" t="s">
        <v>37</v>
      </c>
      <c r="E468" t="s">
        <v>46</v>
      </c>
      <c r="F468" s="1">
        <v>42468</v>
      </c>
      <c r="G468" s="1">
        <v>42489</v>
      </c>
      <c r="H468" t="s">
        <v>21</v>
      </c>
      <c r="I468">
        <v>21</v>
      </c>
      <c r="J468" t="s">
        <v>77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1</v>
      </c>
      <c r="Q468" t="s">
        <v>26</v>
      </c>
      <c r="R468">
        <v>1</v>
      </c>
    </row>
    <row r="469" spans="1:18">
      <c r="A469">
        <v>333227000000</v>
      </c>
      <c r="B469" t="s">
        <v>18</v>
      </c>
      <c r="C469">
        <v>21</v>
      </c>
      <c r="D469" t="s">
        <v>37</v>
      </c>
      <c r="E469" t="s">
        <v>67</v>
      </c>
      <c r="F469" s="1">
        <v>42514</v>
      </c>
      <c r="G469" s="1">
        <v>42514</v>
      </c>
      <c r="H469" t="s">
        <v>41</v>
      </c>
      <c r="I469">
        <v>0</v>
      </c>
      <c r="J469" t="s">
        <v>111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23</v>
      </c>
      <c r="R469">
        <v>0</v>
      </c>
    </row>
    <row r="470" spans="1:18">
      <c r="A470">
        <v>972395000000000</v>
      </c>
      <c r="B470" t="s">
        <v>28</v>
      </c>
      <c r="C470">
        <v>30</v>
      </c>
      <c r="D470" t="s">
        <v>37</v>
      </c>
      <c r="E470" t="s">
        <v>32</v>
      </c>
      <c r="F470" s="1">
        <v>42514</v>
      </c>
      <c r="G470" s="1">
        <v>42521</v>
      </c>
      <c r="H470" t="s">
        <v>41</v>
      </c>
      <c r="I470">
        <v>7</v>
      </c>
      <c r="J470" t="s">
        <v>107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 t="s">
        <v>26</v>
      </c>
      <c r="R470">
        <v>1</v>
      </c>
    </row>
    <row r="471" spans="1:18">
      <c r="A471">
        <v>67518200000000</v>
      </c>
      <c r="B471" t="s">
        <v>18</v>
      </c>
      <c r="C471">
        <v>20</v>
      </c>
      <c r="D471" t="s">
        <v>37</v>
      </c>
      <c r="E471" t="s">
        <v>32</v>
      </c>
      <c r="F471" s="1">
        <v>42468</v>
      </c>
      <c r="G471" s="1">
        <v>42496</v>
      </c>
      <c r="H471" t="s">
        <v>21</v>
      </c>
      <c r="I471">
        <v>28</v>
      </c>
      <c r="J471" t="s">
        <v>77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 t="s">
        <v>26</v>
      </c>
      <c r="R471">
        <v>1</v>
      </c>
    </row>
    <row r="472" spans="1:18">
      <c r="A472">
        <v>9353770000000</v>
      </c>
      <c r="B472" t="s">
        <v>18</v>
      </c>
      <c r="C472">
        <v>27</v>
      </c>
      <c r="D472" t="s">
        <v>37</v>
      </c>
      <c r="E472" t="s">
        <v>83</v>
      </c>
      <c r="F472" s="1">
        <v>42468</v>
      </c>
      <c r="G472" s="1">
        <v>42492</v>
      </c>
      <c r="H472" t="s">
        <v>30</v>
      </c>
      <c r="I472">
        <v>24</v>
      </c>
      <c r="J472" t="s">
        <v>77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 t="s">
        <v>23</v>
      </c>
      <c r="R472">
        <v>0</v>
      </c>
    </row>
    <row r="473" spans="1:18">
      <c r="A473">
        <v>81453700000000</v>
      </c>
      <c r="B473" t="s">
        <v>28</v>
      </c>
      <c r="C473">
        <v>34</v>
      </c>
      <c r="D473" t="s">
        <v>37</v>
      </c>
      <c r="E473" t="s">
        <v>66</v>
      </c>
      <c r="F473" s="1">
        <v>42514</v>
      </c>
      <c r="G473" s="1">
        <v>42528</v>
      </c>
      <c r="H473" t="s">
        <v>41</v>
      </c>
      <c r="I473">
        <v>14</v>
      </c>
      <c r="J473" t="s">
        <v>92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 t="s">
        <v>23</v>
      </c>
      <c r="R473">
        <v>0</v>
      </c>
    </row>
    <row r="474" spans="1:18">
      <c r="A474">
        <v>163152000000000</v>
      </c>
      <c r="B474" t="s">
        <v>18</v>
      </c>
      <c r="C474">
        <v>21</v>
      </c>
      <c r="D474" t="s">
        <v>37</v>
      </c>
      <c r="E474" t="s">
        <v>39</v>
      </c>
      <c r="F474" s="1">
        <v>42468</v>
      </c>
      <c r="G474" s="1">
        <v>42521</v>
      </c>
      <c r="H474" t="s">
        <v>41</v>
      </c>
      <c r="I474">
        <v>53</v>
      </c>
      <c r="J474" t="s">
        <v>22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 t="s">
        <v>23</v>
      </c>
      <c r="R474">
        <v>0</v>
      </c>
    </row>
    <row r="475" spans="1:18">
      <c r="A475">
        <v>47998200000000</v>
      </c>
      <c r="B475" t="s">
        <v>28</v>
      </c>
      <c r="C475">
        <v>26</v>
      </c>
      <c r="D475" t="s">
        <v>37</v>
      </c>
      <c r="E475" t="s">
        <v>73</v>
      </c>
      <c r="F475" s="1">
        <v>42468</v>
      </c>
      <c r="G475" s="1">
        <v>42503</v>
      </c>
      <c r="H475" t="s">
        <v>21</v>
      </c>
      <c r="I475">
        <v>35</v>
      </c>
      <c r="J475" t="s">
        <v>22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26</v>
      </c>
      <c r="R475">
        <v>1</v>
      </c>
    </row>
    <row r="476" spans="1:18">
      <c r="A476">
        <v>7397880000000</v>
      </c>
      <c r="B476" t="s">
        <v>18</v>
      </c>
      <c r="C476">
        <v>34</v>
      </c>
      <c r="D476" t="s">
        <v>37</v>
      </c>
      <c r="E476" t="s">
        <v>58</v>
      </c>
      <c r="F476" s="1">
        <v>42514</v>
      </c>
      <c r="G476" s="1">
        <v>42514</v>
      </c>
      <c r="H476" t="s">
        <v>41</v>
      </c>
      <c r="I476">
        <v>0</v>
      </c>
      <c r="J476" t="s">
        <v>111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23</v>
      </c>
      <c r="R476">
        <v>0</v>
      </c>
    </row>
    <row r="477" spans="1:18">
      <c r="A477">
        <v>37151900000000</v>
      </c>
      <c r="B477" t="s">
        <v>18</v>
      </c>
      <c r="C477">
        <v>18</v>
      </c>
      <c r="D477" t="s">
        <v>37</v>
      </c>
      <c r="E477" t="s">
        <v>32</v>
      </c>
      <c r="F477" s="1">
        <v>42468</v>
      </c>
      <c r="G477" s="1">
        <v>42496</v>
      </c>
      <c r="H477" t="s">
        <v>21</v>
      </c>
      <c r="I477">
        <v>28</v>
      </c>
      <c r="J477" t="s">
        <v>77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 t="s">
        <v>23</v>
      </c>
      <c r="R477">
        <v>0</v>
      </c>
    </row>
    <row r="478" spans="1:18">
      <c r="A478">
        <v>8229340000000</v>
      </c>
      <c r="B478" t="s">
        <v>18</v>
      </c>
      <c r="C478">
        <v>34</v>
      </c>
      <c r="D478" t="s">
        <v>37</v>
      </c>
      <c r="E478" t="s">
        <v>76</v>
      </c>
      <c r="F478" s="1">
        <v>42468</v>
      </c>
      <c r="G478" s="1">
        <v>42496</v>
      </c>
      <c r="H478" t="s">
        <v>21</v>
      </c>
      <c r="I478">
        <v>28</v>
      </c>
      <c r="J478" t="s">
        <v>77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 t="s">
        <v>23</v>
      </c>
      <c r="R478">
        <v>0</v>
      </c>
    </row>
    <row r="479" spans="1:18">
      <c r="A479">
        <v>617946000000</v>
      </c>
      <c r="B479" t="s">
        <v>18</v>
      </c>
      <c r="C479">
        <v>21</v>
      </c>
      <c r="D479" t="s">
        <v>37</v>
      </c>
      <c r="E479" t="s">
        <v>54</v>
      </c>
      <c r="F479" s="1">
        <v>42514</v>
      </c>
      <c r="G479" s="1">
        <v>42523</v>
      </c>
      <c r="H479" t="s">
        <v>33</v>
      </c>
      <c r="I479">
        <v>9</v>
      </c>
      <c r="J479" t="s">
        <v>92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 t="s">
        <v>23</v>
      </c>
      <c r="R479">
        <v>0</v>
      </c>
    </row>
    <row r="480" spans="1:18">
      <c r="A480">
        <v>38545700000000</v>
      </c>
      <c r="B480" t="s">
        <v>18</v>
      </c>
      <c r="C480">
        <v>26</v>
      </c>
      <c r="D480" t="s">
        <v>37</v>
      </c>
      <c r="E480" t="s">
        <v>40</v>
      </c>
      <c r="F480" s="1">
        <v>42514</v>
      </c>
      <c r="G480" s="1">
        <v>42514</v>
      </c>
      <c r="H480" t="s">
        <v>41</v>
      </c>
      <c r="I480">
        <v>0</v>
      </c>
      <c r="J480" t="s">
        <v>111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23</v>
      </c>
      <c r="R480">
        <v>0</v>
      </c>
    </row>
    <row r="481" spans="1:18">
      <c r="A481">
        <v>2879270000000</v>
      </c>
      <c r="B481" t="s">
        <v>18</v>
      </c>
      <c r="C481">
        <v>26</v>
      </c>
      <c r="D481" t="s">
        <v>37</v>
      </c>
      <c r="E481" t="s">
        <v>75</v>
      </c>
      <c r="F481" s="1">
        <v>42514</v>
      </c>
      <c r="G481" s="1">
        <v>42514</v>
      </c>
      <c r="H481" t="s">
        <v>41</v>
      </c>
      <c r="I481">
        <v>0</v>
      </c>
      <c r="J481" t="s">
        <v>111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23</v>
      </c>
      <c r="R481">
        <v>0</v>
      </c>
    </row>
    <row r="482" spans="1:18">
      <c r="A482">
        <v>85518800000000</v>
      </c>
      <c r="B482" t="s">
        <v>18</v>
      </c>
      <c r="C482">
        <v>26</v>
      </c>
      <c r="D482" t="s">
        <v>37</v>
      </c>
      <c r="E482" t="s">
        <v>90</v>
      </c>
      <c r="F482" s="1">
        <v>42514</v>
      </c>
      <c r="G482" s="1">
        <v>42514</v>
      </c>
      <c r="H482" t="s">
        <v>41</v>
      </c>
      <c r="I482">
        <v>0</v>
      </c>
      <c r="J482" t="s">
        <v>111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23</v>
      </c>
      <c r="R482">
        <v>0</v>
      </c>
    </row>
    <row r="483" spans="1:18">
      <c r="A483">
        <v>98299145656</v>
      </c>
      <c r="B483" t="s">
        <v>18</v>
      </c>
      <c r="C483">
        <v>24</v>
      </c>
      <c r="D483" t="s">
        <v>37</v>
      </c>
      <c r="E483" t="s">
        <v>69</v>
      </c>
      <c r="F483" s="1">
        <v>42514</v>
      </c>
      <c r="G483" s="1">
        <v>42514</v>
      </c>
      <c r="H483" t="s">
        <v>41</v>
      </c>
      <c r="I483">
        <v>0</v>
      </c>
      <c r="J483" t="s">
        <v>111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23</v>
      </c>
      <c r="R483">
        <v>0</v>
      </c>
    </row>
    <row r="484" spans="1:18">
      <c r="A484">
        <v>933485000000</v>
      </c>
      <c r="B484" t="s">
        <v>28</v>
      </c>
      <c r="C484">
        <v>19</v>
      </c>
      <c r="D484" t="s">
        <v>37</v>
      </c>
      <c r="E484" t="s">
        <v>20</v>
      </c>
      <c r="F484" s="1">
        <v>42471</v>
      </c>
      <c r="G484" s="1">
        <v>42489</v>
      </c>
      <c r="H484" t="s">
        <v>21</v>
      </c>
      <c r="I484">
        <v>18</v>
      </c>
      <c r="J484" t="s">
        <v>77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 t="s">
        <v>26</v>
      </c>
      <c r="R484">
        <v>1</v>
      </c>
    </row>
    <row r="485" spans="1:18">
      <c r="A485">
        <v>636331000000000</v>
      </c>
      <c r="B485" t="s">
        <v>18</v>
      </c>
      <c r="C485">
        <v>26</v>
      </c>
      <c r="D485" t="s">
        <v>37</v>
      </c>
      <c r="E485" t="s">
        <v>106</v>
      </c>
      <c r="F485" s="1">
        <v>42514</v>
      </c>
      <c r="G485" s="1">
        <v>42529</v>
      </c>
      <c r="H485" t="s">
        <v>25</v>
      </c>
      <c r="I485">
        <v>15</v>
      </c>
      <c r="J485" t="s">
        <v>77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 t="s">
        <v>26</v>
      </c>
      <c r="R485">
        <v>1</v>
      </c>
    </row>
    <row r="486" spans="1:18">
      <c r="A486">
        <v>41288500000000</v>
      </c>
      <c r="B486" t="s">
        <v>18</v>
      </c>
      <c r="C486">
        <v>23</v>
      </c>
      <c r="D486" t="s">
        <v>37</v>
      </c>
      <c r="E486" t="s">
        <v>79</v>
      </c>
      <c r="F486" s="1">
        <v>42514</v>
      </c>
      <c r="G486" s="1">
        <v>42521</v>
      </c>
      <c r="H486" t="s">
        <v>41</v>
      </c>
      <c r="I486">
        <v>7</v>
      </c>
      <c r="J486" t="s">
        <v>107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 t="s">
        <v>26</v>
      </c>
      <c r="R486">
        <v>1</v>
      </c>
    </row>
    <row r="487" spans="1:18">
      <c r="A487">
        <v>589978000000</v>
      </c>
      <c r="B487" t="s">
        <v>18</v>
      </c>
      <c r="C487">
        <v>25</v>
      </c>
      <c r="D487" t="s">
        <v>37</v>
      </c>
      <c r="E487" t="s">
        <v>79</v>
      </c>
      <c r="F487" s="1">
        <v>42514</v>
      </c>
      <c r="G487" s="1">
        <v>42521</v>
      </c>
      <c r="H487" t="s">
        <v>41</v>
      </c>
      <c r="I487">
        <v>7</v>
      </c>
      <c r="J487" t="s">
        <v>107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1</v>
      </c>
      <c r="Q487" t="s">
        <v>26</v>
      </c>
      <c r="R487">
        <v>1</v>
      </c>
    </row>
    <row r="488" spans="1:18">
      <c r="A488">
        <v>598488000000000</v>
      </c>
      <c r="B488" t="s">
        <v>18</v>
      </c>
      <c r="C488">
        <v>23</v>
      </c>
      <c r="D488" t="s">
        <v>37</v>
      </c>
      <c r="E488" t="s">
        <v>57</v>
      </c>
      <c r="F488" s="1">
        <v>42514</v>
      </c>
      <c r="G488" s="1">
        <v>42514</v>
      </c>
      <c r="H488" t="s">
        <v>41</v>
      </c>
      <c r="I488">
        <v>0</v>
      </c>
      <c r="J488" t="s">
        <v>111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23</v>
      </c>
      <c r="R488">
        <v>0</v>
      </c>
    </row>
    <row r="489" spans="1:18">
      <c r="A489">
        <v>3833170000000</v>
      </c>
      <c r="B489" t="s">
        <v>18</v>
      </c>
      <c r="C489">
        <v>29</v>
      </c>
      <c r="D489" t="s">
        <v>37</v>
      </c>
      <c r="E489" t="s">
        <v>96</v>
      </c>
      <c r="F489" s="1">
        <v>42514</v>
      </c>
      <c r="G489" s="1">
        <v>42523</v>
      </c>
      <c r="H489" t="s">
        <v>33</v>
      </c>
      <c r="I489">
        <v>9</v>
      </c>
      <c r="J489" t="s">
        <v>92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 t="s">
        <v>23</v>
      </c>
      <c r="R489">
        <v>0</v>
      </c>
    </row>
    <row r="490" spans="1:18">
      <c r="A490">
        <v>8144360000000</v>
      </c>
      <c r="B490" t="s">
        <v>28</v>
      </c>
      <c r="C490">
        <v>21</v>
      </c>
      <c r="D490" t="s">
        <v>37</v>
      </c>
      <c r="E490" t="s">
        <v>46</v>
      </c>
      <c r="F490" s="1">
        <v>42471</v>
      </c>
      <c r="G490" s="1">
        <v>42492</v>
      </c>
      <c r="H490" t="s">
        <v>30</v>
      </c>
      <c r="I490">
        <v>21</v>
      </c>
      <c r="J490" t="s">
        <v>77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23</v>
      </c>
      <c r="R490">
        <v>0</v>
      </c>
    </row>
    <row r="491" spans="1:18">
      <c r="A491">
        <v>5573370000000</v>
      </c>
      <c r="B491" t="s">
        <v>18</v>
      </c>
      <c r="C491">
        <v>20</v>
      </c>
      <c r="D491" t="s">
        <v>37</v>
      </c>
      <c r="E491" t="s">
        <v>52</v>
      </c>
      <c r="F491" s="1">
        <v>42514</v>
      </c>
      <c r="G491" s="1">
        <v>42514</v>
      </c>
      <c r="H491" t="s">
        <v>41</v>
      </c>
      <c r="I491">
        <v>0</v>
      </c>
      <c r="J491" t="s">
        <v>111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23</v>
      </c>
      <c r="R491">
        <v>0</v>
      </c>
    </row>
    <row r="492" spans="1:18">
      <c r="A492">
        <v>3648360000000</v>
      </c>
      <c r="B492" t="s">
        <v>28</v>
      </c>
      <c r="C492">
        <v>19</v>
      </c>
      <c r="D492" t="s">
        <v>37</v>
      </c>
      <c r="E492" t="s">
        <v>53</v>
      </c>
      <c r="F492" s="1">
        <v>42471</v>
      </c>
      <c r="G492" s="1">
        <v>42502</v>
      </c>
      <c r="H492" t="s">
        <v>33</v>
      </c>
      <c r="I492">
        <v>31</v>
      </c>
      <c r="J492" t="s">
        <v>22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23</v>
      </c>
      <c r="R492">
        <v>0</v>
      </c>
    </row>
    <row r="493" spans="1:18">
      <c r="A493">
        <v>951737000000</v>
      </c>
      <c r="B493" t="s">
        <v>18</v>
      </c>
      <c r="C493">
        <v>18</v>
      </c>
      <c r="D493" t="s">
        <v>37</v>
      </c>
      <c r="E493" t="s">
        <v>71</v>
      </c>
      <c r="F493" s="1">
        <v>42514</v>
      </c>
      <c r="G493" s="1">
        <v>42514</v>
      </c>
      <c r="H493" t="s">
        <v>41</v>
      </c>
      <c r="I493">
        <v>0</v>
      </c>
      <c r="J493" t="s">
        <v>111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23</v>
      </c>
      <c r="R493">
        <v>0</v>
      </c>
    </row>
    <row r="494" spans="1:18">
      <c r="A494">
        <v>22734800000000</v>
      </c>
      <c r="B494" t="s">
        <v>18</v>
      </c>
      <c r="C494">
        <v>23</v>
      </c>
      <c r="D494" t="s">
        <v>37</v>
      </c>
      <c r="E494" t="s">
        <v>72</v>
      </c>
      <c r="F494" s="1">
        <v>42471</v>
      </c>
      <c r="G494" s="1">
        <v>42492</v>
      </c>
      <c r="H494" t="s">
        <v>30</v>
      </c>
      <c r="I494">
        <v>21</v>
      </c>
      <c r="J494" t="s">
        <v>77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 t="s">
        <v>26</v>
      </c>
      <c r="R494">
        <v>1</v>
      </c>
    </row>
    <row r="495" spans="1:18">
      <c r="A495">
        <v>19146000000000</v>
      </c>
      <c r="B495" t="s">
        <v>18</v>
      </c>
      <c r="C495">
        <v>22</v>
      </c>
      <c r="D495" t="s">
        <v>37</v>
      </c>
      <c r="E495" t="s">
        <v>100</v>
      </c>
      <c r="F495" s="1">
        <v>42514</v>
      </c>
      <c r="G495" s="1">
        <v>42524</v>
      </c>
      <c r="H495" t="s">
        <v>21</v>
      </c>
      <c r="I495">
        <v>10</v>
      </c>
      <c r="J495" t="s">
        <v>92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 t="s">
        <v>23</v>
      </c>
      <c r="R495">
        <v>0</v>
      </c>
    </row>
    <row r="496" spans="1:18">
      <c r="A496">
        <v>49298400000000</v>
      </c>
      <c r="B496" t="s">
        <v>18</v>
      </c>
      <c r="C496">
        <v>21</v>
      </c>
      <c r="D496" t="s">
        <v>37</v>
      </c>
      <c r="E496" t="s">
        <v>87</v>
      </c>
      <c r="F496" s="1">
        <v>42514</v>
      </c>
      <c r="G496" s="1">
        <v>42515</v>
      </c>
      <c r="H496" t="s">
        <v>25</v>
      </c>
      <c r="I496">
        <v>1</v>
      </c>
      <c r="J496" t="s">
        <v>109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23</v>
      </c>
      <c r="R496">
        <v>0</v>
      </c>
    </row>
    <row r="497" spans="1:18">
      <c r="A497">
        <v>12466200000000</v>
      </c>
      <c r="B497" t="s">
        <v>18</v>
      </c>
      <c r="C497">
        <v>31</v>
      </c>
      <c r="D497" t="s">
        <v>37</v>
      </c>
      <c r="E497" t="s">
        <v>73</v>
      </c>
      <c r="F497" s="1">
        <v>42514</v>
      </c>
      <c r="G497" s="1">
        <v>42524</v>
      </c>
      <c r="H497" t="s">
        <v>21</v>
      </c>
      <c r="I497">
        <v>10</v>
      </c>
      <c r="J497" t="s">
        <v>92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 t="s">
        <v>23</v>
      </c>
      <c r="R497">
        <v>0</v>
      </c>
    </row>
    <row r="498" spans="1:18">
      <c r="A498">
        <v>4543920000000</v>
      </c>
      <c r="B498" t="s">
        <v>18</v>
      </c>
      <c r="C498">
        <v>24</v>
      </c>
      <c r="D498" t="s">
        <v>37</v>
      </c>
      <c r="E498" t="s">
        <v>58</v>
      </c>
      <c r="F498" s="1">
        <v>42514</v>
      </c>
      <c r="G498" s="1">
        <v>42520</v>
      </c>
      <c r="H498" t="s">
        <v>30</v>
      </c>
      <c r="I498">
        <v>6</v>
      </c>
      <c r="J498" t="s">
        <v>107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 t="s">
        <v>26</v>
      </c>
      <c r="R498">
        <v>1</v>
      </c>
    </row>
    <row r="499" spans="1:18">
      <c r="A499">
        <v>18968900000000</v>
      </c>
      <c r="B499" t="s">
        <v>18</v>
      </c>
      <c r="C499">
        <v>23</v>
      </c>
      <c r="D499" t="s">
        <v>37</v>
      </c>
      <c r="E499" t="s">
        <v>84</v>
      </c>
      <c r="F499" s="1">
        <v>42471</v>
      </c>
      <c r="G499" s="1">
        <v>42492</v>
      </c>
      <c r="H499" t="s">
        <v>30</v>
      </c>
      <c r="I499">
        <v>21</v>
      </c>
      <c r="J499" t="s">
        <v>77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 t="s">
        <v>23</v>
      </c>
      <c r="R499">
        <v>0</v>
      </c>
    </row>
    <row r="500" spans="1:18">
      <c r="A500">
        <v>456431000000000</v>
      </c>
      <c r="B500" t="s">
        <v>18</v>
      </c>
      <c r="C500">
        <v>19</v>
      </c>
      <c r="D500" t="s">
        <v>37</v>
      </c>
      <c r="E500" t="s">
        <v>101</v>
      </c>
      <c r="F500" s="1">
        <v>42510</v>
      </c>
      <c r="G500" s="1">
        <v>42524</v>
      </c>
      <c r="H500" t="s">
        <v>21</v>
      </c>
      <c r="I500">
        <v>14</v>
      </c>
      <c r="J500" t="s">
        <v>92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 t="s">
        <v>23</v>
      </c>
      <c r="R500">
        <v>0</v>
      </c>
    </row>
    <row r="501" spans="1:18">
      <c r="A501">
        <v>456431000000000</v>
      </c>
      <c r="B501" t="s">
        <v>18</v>
      </c>
      <c r="C501">
        <v>18</v>
      </c>
      <c r="D501" t="s">
        <v>37</v>
      </c>
      <c r="E501" t="s">
        <v>101</v>
      </c>
      <c r="F501" s="1">
        <v>42510</v>
      </c>
      <c r="G501" s="1">
        <v>42510</v>
      </c>
      <c r="H501" t="s">
        <v>21</v>
      </c>
      <c r="I501">
        <v>0</v>
      </c>
      <c r="J501" t="s">
        <v>111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23</v>
      </c>
      <c r="R501">
        <v>0</v>
      </c>
    </row>
    <row r="502" spans="1:18">
      <c r="A502">
        <v>851789000000</v>
      </c>
      <c r="B502" t="s">
        <v>28</v>
      </c>
      <c r="C502">
        <v>26</v>
      </c>
      <c r="D502" t="s">
        <v>37</v>
      </c>
      <c r="E502" t="s">
        <v>53</v>
      </c>
      <c r="F502" s="1">
        <v>42471</v>
      </c>
      <c r="G502" s="1">
        <v>42509</v>
      </c>
      <c r="H502" t="s">
        <v>33</v>
      </c>
      <c r="I502">
        <v>38</v>
      </c>
      <c r="J502" t="s">
        <v>22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23</v>
      </c>
      <c r="R502">
        <v>0</v>
      </c>
    </row>
    <row r="503" spans="1:18">
      <c r="A503">
        <v>715998000000000</v>
      </c>
      <c r="B503" t="s">
        <v>18</v>
      </c>
      <c r="C503">
        <v>31</v>
      </c>
      <c r="D503" t="s">
        <v>37</v>
      </c>
      <c r="E503" t="s">
        <v>20</v>
      </c>
      <c r="F503" s="1">
        <v>42510</v>
      </c>
      <c r="G503" s="1">
        <v>42514</v>
      </c>
      <c r="H503" t="s">
        <v>41</v>
      </c>
      <c r="I503">
        <v>4</v>
      </c>
      <c r="J503" t="s">
        <v>107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 t="s">
        <v>23</v>
      </c>
      <c r="R503">
        <v>0</v>
      </c>
    </row>
    <row r="504" spans="1:18">
      <c r="A504">
        <v>65394300000000</v>
      </c>
      <c r="B504" t="s">
        <v>18</v>
      </c>
      <c r="C504">
        <v>20</v>
      </c>
      <c r="D504" t="s">
        <v>37</v>
      </c>
      <c r="E504" t="s">
        <v>42</v>
      </c>
      <c r="F504" s="1">
        <v>42510</v>
      </c>
      <c r="G504" s="1">
        <v>42514</v>
      </c>
      <c r="H504" t="s">
        <v>41</v>
      </c>
      <c r="I504">
        <v>4</v>
      </c>
      <c r="J504" t="s">
        <v>107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</v>
      </c>
      <c r="Q504" t="s">
        <v>23</v>
      </c>
      <c r="R504">
        <v>0</v>
      </c>
    </row>
    <row r="505" spans="1:18">
      <c r="A505">
        <v>5312610000000</v>
      </c>
      <c r="B505" t="s">
        <v>28</v>
      </c>
      <c r="C505">
        <v>34</v>
      </c>
      <c r="D505" t="s">
        <v>37</v>
      </c>
      <c r="E505" t="s">
        <v>66</v>
      </c>
      <c r="F505" s="1">
        <v>42510</v>
      </c>
      <c r="G505" s="1">
        <v>42520</v>
      </c>
      <c r="H505" t="s">
        <v>30</v>
      </c>
      <c r="I505">
        <v>10</v>
      </c>
      <c r="J505" t="s">
        <v>92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 t="s">
        <v>26</v>
      </c>
      <c r="R505">
        <v>1</v>
      </c>
    </row>
    <row r="506" spans="1:18">
      <c r="A506">
        <v>399446000000</v>
      </c>
      <c r="B506" t="s">
        <v>18</v>
      </c>
      <c r="C506">
        <v>19</v>
      </c>
      <c r="D506" t="s">
        <v>37</v>
      </c>
      <c r="E506" t="s">
        <v>71</v>
      </c>
      <c r="F506" s="1">
        <v>42510</v>
      </c>
      <c r="G506" s="1">
        <v>42514</v>
      </c>
      <c r="H506" t="s">
        <v>41</v>
      </c>
      <c r="I506">
        <v>4</v>
      </c>
      <c r="J506" t="s">
        <v>107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 t="s">
        <v>23</v>
      </c>
      <c r="R506">
        <v>0</v>
      </c>
    </row>
    <row r="507" spans="1:18">
      <c r="A507">
        <v>122945000000000</v>
      </c>
      <c r="B507" t="s">
        <v>28</v>
      </c>
      <c r="C507">
        <v>31</v>
      </c>
      <c r="D507" t="s">
        <v>37</v>
      </c>
      <c r="E507" t="s">
        <v>44</v>
      </c>
      <c r="F507" s="1">
        <v>42510</v>
      </c>
      <c r="G507" s="1">
        <v>42510</v>
      </c>
      <c r="H507" t="s">
        <v>21</v>
      </c>
      <c r="I507">
        <v>0</v>
      </c>
      <c r="J507" t="s">
        <v>111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23</v>
      </c>
      <c r="R507">
        <v>0</v>
      </c>
    </row>
    <row r="508" spans="1:18">
      <c r="A508">
        <v>45238200000000</v>
      </c>
      <c r="B508" t="s">
        <v>18</v>
      </c>
      <c r="C508">
        <v>23</v>
      </c>
      <c r="D508" t="s">
        <v>37</v>
      </c>
      <c r="E508" t="s">
        <v>72</v>
      </c>
      <c r="F508" s="1">
        <v>42510</v>
      </c>
      <c r="G508" s="1">
        <v>42510</v>
      </c>
      <c r="H508" t="s">
        <v>21</v>
      </c>
      <c r="I508">
        <v>0</v>
      </c>
      <c r="J508" t="s">
        <v>111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23</v>
      </c>
      <c r="R508">
        <v>0</v>
      </c>
    </row>
    <row r="509" spans="1:18">
      <c r="A509">
        <v>593898000000</v>
      </c>
      <c r="B509" t="s">
        <v>18</v>
      </c>
      <c r="C509">
        <v>21</v>
      </c>
      <c r="D509" t="s">
        <v>37</v>
      </c>
      <c r="E509" t="s">
        <v>76</v>
      </c>
      <c r="F509" s="1">
        <v>42471</v>
      </c>
      <c r="G509" s="1">
        <v>42500</v>
      </c>
      <c r="H509" t="s">
        <v>41</v>
      </c>
      <c r="I509">
        <v>29</v>
      </c>
      <c r="J509" t="s">
        <v>77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1</v>
      </c>
      <c r="Q509" t="s">
        <v>23</v>
      </c>
      <c r="R509">
        <v>0</v>
      </c>
    </row>
    <row r="510" spans="1:18">
      <c r="A510">
        <v>8466930000000</v>
      </c>
      <c r="B510" t="s">
        <v>18</v>
      </c>
      <c r="C510">
        <v>21</v>
      </c>
      <c r="D510" t="s">
        <v>37</v>
      </c>
      <c r="E510" t="s">
        <v>70</v>
      </c>
      <c r="F510" s="1">
        <v>42510</v>
      </c>
      <c r="G510" s="1">
        <v>42510</v>
      </c>
      <c r="H510" t="s">
        <v>21</v>
      </c>
      <c r="I510">
        <v>0</v>
      </c>
      <c r="J510" t="s">
        <v>111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23</v>
      </c>
      <c r="R510">
        <v>0</v>
      </c>
    </row>
    <row r="511" spans="1:18">
      <c r="A511">
        <v>88668900000000</v>
      </c>
      <c r="B511" t="s">
        <v>28</v>
      </c>
      <c r="C511">
        <v>27</v>
      </c>
      <c r="D511" t="s">
        <v>37</v>
      </c>
      <c r="E511" t="s">
        <v>43</v>
      </c>
      <c r="F511" s="1">
        <v>42471</v>
      </c>
      <c r="G511" s="1">
        <v>42502</v>
      </c>
      <c r="H511" t="s">
        <v>33</v>
      </c>
      <c r="I511">
        <v>31</v>
      </c>
      <c r="J511" t="s">
        <v>22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 t="s">
        <v>23</v>
      </c>
      <c r="R511">
        <v>0</v>
      </c>
    </row>
    <row r="512" spans="1:18">
      <c r="A512">
        <v>38952000000000</v>
      </c>
      <c r="B512" t="s">
        <v>18</v>
      </c>
      <c r="C512">
        <v>24</v>
      </c>
      <c r="D512" t="s">
        <v>37</v>
      </c>
      <c r="E512" t="s">
        <v>45</v>
      </c>
      <c r="F512" s="1">
        <v>42510</v>
      </c>
      <c r="G512" s="1">
        <v>42515</v>
      </c>
      <c r="H512" t="s">
        <v>25</v>
      </c>
      <c r="I512">
        <v>5</v>
      </c>
      <c r="J512" t="s">
        <v>107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 t="s">
        <v>23</v>
      </c>
      <c r="R512">
        <v>0</v>
      </c>
    </row>
    <row r="513" spans="1:18">
      <c r="A513">
        <v>795449000000000</v>
      </c>
      <c r="B513" t="s">
        <v>18</v>
      </c>
      <c r="C513">
        <v>28</v>
      </c>
      <c r="D513" t="s">
        <v>37</v>
      </c>
      <c r="E513" t="s">
        <v>38</v>
      </c>
      <c r="F513" s="1">
        <v>42510</v>
      </c>
      <c r="G513" s="1">
        <v>42510</v>
      </c>
      <c r="H513" t="s">
        <v>21</v>
      </c>
      <c r="I513">
        <v>0</v>
      </c>
      <c r="J513" t="s">
        <v>111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23</v>
      </c>
      <c r="R513">
        <v>0</v>
      </c>
    </row>
    <row r="514" spans="1:18">
      <c r="A514">
        <v>4866700000000</v>
      </c>
      <c r="B514" t="s">
        <v>28</v>
      </c>
      <c r="C514">
        <v>27</v>
      </c>
      <c r="D514" t="s">
        <v>37</v>
      </c>
      <c r="E514" t="s">
        <v>38</v>
      </c>
      <c r="F514" s="1">
        <v>42510</v>
      </c>
      <c r="G514" s="1">
        <v>42510</v>
      </c>
      <c r="H514" t="s">
        <v>21</v>
      </c>
      <c r="I514">
        <v>0</v>
      </c>
      <c r="J514" t="s">
        <v>111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23</v>
      </c>
      <c r="R514">
        <v>0</v>
      </c>
    </row>
    <row r="515" spans="1:18">
      <c r="A515">
        <v>869357000000000</v>
      </c>
      <c r="B515" t="s">
        <v>28</v>
      </c>
      <c r="C515">
        <v>28</v>
      </c>
      <c r="D515" t="s">
        <v>37</v>
      </c>
      <c r="E515" t="s">
        <v>32</v>
      </c>
      <c r="F515" s="1">
        <v>42510</v>
      </c>
      <c r="G515" s="1">
        <v>42515</v>
      </c>
      <c r="H515" t="s">
        <v>25</v>
      </c>
      <c r="I515">
        <v>5</v>
      </c>
      <c r="J515" t="s">
        <v>107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  <c r="Q515" t="s">
        <v>23</v>
      </c>
      <c r="R515">
        <v>0</v>
      </c>
    </row>
    <row r="516" spans="1:18">
      <c r="A516">
        <v>3536170000000</v>
      </c>
      <c r="B516" t="s">
        <v>18</v>
      </c>
      <c r="C516">
        <v>22</v>
      </c>
      <c r="D516" t="s">
        <v>37</v>
      </c>
      <c r="E516" t="s">
        <v>32</v>
      </c>
      <c r="F516" s="1">
        <v>42510</v>
      </c>
      <c r="G516" s="1">
        <v>42524</v>
      </c>
      <c r="H516" t="s">
        <v>21</v>
      </c>
      <c r="I516">
        <v>14</v>
      </c>
      <c r="J516" t="s">
        <v>92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 t="s">
        <v>23</v>
      </c>
      <c r="R516">
        <v>0</v>
      </c>
    </row>
    <row r="517" spans="1:18">
      <c r="A517">
        <v>846785000000</v>
      </c>
      <c r="B517" t="s">
        <v>18</v>
      </c>
      <c r="C517">
        <v>20</v>
      </c>
      <c r="D517" t="s">
        <v>37</v>
      </c>
      <c r="E517" t="s">
        <v>67</v>
      </c>
      <c r="F517" s="1">
        <v>42510</v>
      </c>
      <c r="G517" s="1">
        <v>42510</v>
      </c>
      <c r="H517" t="s">
        <v>21</v>
      </c>
      <c r="I517">
        <v>0</v>
      </c>
      <c r="J517" t="s">
        <v>111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26</v>
      </c>
      <c r="R517">
        <v>1</v>
      </c>
    </row>
    <row r="518" spans="1:18">
      <c r="A518">
        <v>25114300000000</v>
      </c>
      <c r="B518" t="s">
        <v>18</v>
      </c>
      <c r="C518">
        <v>26</v>
      </c>
      <c r="D518" t="s">
        <v>37</v>
      </c>
      <c r="E518" t="s">
        <v>74</v>
      </c>
      <c r="F518" s="1">
        <v>42510</v>
      </c>
      <c r="G518" s="1">
        <v>42528</v>
      </c>
      <c r="H518" t="s">
        <v>41</v>
      </c>
      <c r="I518">
        <v>18</v>
      </c>
      <c r="J518" t="s">
        <v>77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 t="s">
        <v>23</v>
      </c>
      <c r="R518">
        <v>0</v>
      </c>
    </row>
    <row r="519" spans="1:18">
      <c r="A519">
        <v>62199700000000</v>
      </c>
      <c r="B519" t="s">
        <v>18</v>
      </c>
      <c r="C519">
        <v>30</v>
      </c>
      <c r="D519" t="s">
        <v>37</v>
      </c>
      <c r="E519" t="s">
        <v>56</v>
      </c>
      <c r="F519" s="1">
        <v>42510</v>
      </c>
      <c r="G519" s="1">
        <v>42510</v>
      </c>
      <c r="H519" t="s">
        <v>21</v>
      </c>
      <c r="I519">
        <v>0</v>
      </c>
      <c r="J519" t="s">
        <v>111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23</v>
      </c>
      <c r="R519">
        <v>0</v>
      </c>
    </row>
    <row r="520" spans="1:18">
      <c r="A520">
        <v>44945500000000</v>
      </c>
      <c r="B520" t="s">
        <v>28</v>
      </c>
      <c r="C520">
        <v>21</v>
      </c>
      <c r="D520" t="s">
        <v>37</v>
      </c>
      <c r="E520" t="s">
        <v>106</v>
      </c>
      <c r="F520" s="1">
        <v>42510</v>
      </c>
      <c r="G520" s="1">
        <v>42510</v>
      </c>
      <c r="H520" t="s">
        <v>21</v>
      </c>
      <c r="I520">
        <v>0</v>
      </c>
      <c r="J520" t="s">
        <v>111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23</v>
      </c>
      <c r="R520">
        <v>0</v>
      </c>
    </row>
    <row r="521" spans="1:18">
      <c r="A521">
        <v>45756900000000</v>
      </c>
      <c r="B521" t="s">
        <v>18</v>
      </c>
      <c r="C521">
        <v>22</v>
      </c>
      <c r="D521" t="s">
        <v>37</v>
      </c>
      <c r="E521" t="s">
        <v>72</v>
      </c>
      <c r="F521" s="1">
        <v>42510</v>
      </c>
      <c r="G521" s="1">
        <v>42510</v>
      </c>
      <c r="H521" t="s">
        <v>21</v>
      </c>
      <c r="I521">
        <v>0</v>
      </c>
      <c r="J521" t="s">
        <v>111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23</v>
      </c>
      <c r="R521">
        <v>0</v>
      </c>
    </row>
    <row r="522" spans="1:18">
      <c r="A522">
        <v>2234320000000</v>
      </c>
      <c r="B522" t="s">
        <v>18</v>
      </c>
      <c r="C522">
        <v>22</v>
      </c>
      <c r="D522" t="s">
        <v>37</v>
      </c>
      <c r="E522" t="s">
        <v>39</v>
      </c>
      <c r="F522" s="1">
        <v>42471</v>
      </c>
      <c r="G522" s="1">
        <v>42520</v>
      </c>
      <c r="H522" t="s">
        <v>30</v>
      </c>
      <c r="I522">
        <v>49</v>
      </c>
      <c r="J522" t="s">
        <v>22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 t="s">
        <v>23</v>
      </c>
      <c r="R522">
        <v>0</v>
      </c>
    </row>
    <row r="523" spans="1:18">
      <c r="A523">
        <v>426486000000</v>
      </c>
      <c r="B523" t="s">
        <v>18</v>
      </c>
      <c r="C523">
        <v>20</v>
      </c>
      <c r="D523" t="s">
        <v>37</v>
      </c>
      <c r="E523" t="s">
        <v>50</v>
      </c>
      <c r="F523" s="1">
        <v>42510</v>
      </c>
      <c r="G523" s="1">
        <v>42527</v>
      </c>
      <c r="H523" t="s">
        <v>30</v>
      </c>
      <c r="I523">
        <v>17</v>
      </c>
      <c r="J523" t="s">
        <v>77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 t="s">
        <v>26</v>
      </c>
      <c r="R523">
        <v>1</v>
      </c>
    </row>
    <row r="524" spans="1:18">
      <c r="A524">
        <v>3644480000000</v>
      </c>
      <c r="B524" t="s">
        <v>18</v>
      </c>
      <c r="C524">
        <v>21</v>
      </c>
      <c r="D524" t="s">
        <v>37</v>
      </c>
      <c r="E524" t="s">
        <v>44</v>
      </c>
      <c r="F524" s="1">
        <v>42510</v>
      </c>
      <c r="G524" s="1">
        <v>42521</v>
      </c>
      <c r="H524" t="s">
        <v>41</v>
      </c>
      <c r="I524">
        <v>11</v>
      </c>
      <c r="J524" t="s">
        <v>92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 t="s">
        <v>23</v>
      </c>
      <c r="R524">
        <v>0</v>
      </c>
    </row>
    <row r="525" spans="1:18">
      <c r="A525">
        <v>45671600000000</v>
      </c>
      <c r="B525" t="s">
        <v>18</v>
      </c>
      <c r="C525">
        <v>27</v>
      </c>
      <c r="D525" t="s">
        <v>37</v>
      </c>
      <c r="E525" t="s">
        <v>59</v>
      </c>
      <c r="F525" s="1">
        <v>42510</v>
      </c>
      <c r="G525" s="1">
        <v>42510</v>
      </c>
      <c r="H525" t="s">
        <v>21</v>
      </c>
      <c r="I525">
        <v>0</v>
      </c>
      <c r="J525" t="s">
        <v>111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23</v>
      </c>
      <c r="R525">
        <v>0</v>
      </c>
    </row>
    <row r="526" spans="1:18">
      <c r="A526">
        <v>22579400000000</v>
      </c>
      <c r="B526" t="s">
        <v>28</v>
      </c>
      <c r="C526">
        <v>25</v>
      </c>
      <c r="D526" t="s">
        <v>37</v>
      </c>
      <c r="E526" t="s">
        <v>51</v>
      </c>
      <c r="F526" s="1">
        <v>42510</v>
      </c>
      <c r="G526" s="1">
        <v>42510</v>
      </c>
      <c r="H526" t="s">
        <v>21</v>
      </c>
      <c r="I526">
        <v>0</v>
      </c>
      <c r="J526" t="s">
        <v>111</v>
      </c>
      <c r="K526">
        <v>1</v>
      </c>
      <c r="L526">
        <v>0</v>
      </c>
      <c r="M526">
        <v>0</v>
      </c>
      <c r="N526">
        <v>0</v>
      </c>
      <c r="O526">
        <v>1</v>
      </c>
      <c r="P526">
        <v>0</v>
      </c>
      <c r="Q526" t="s">
        <v>23</v>
      </c>
      <c r="R526">
        <v>0</v>
      </c>
    </row>
    <row r="527" spans="1:18">
      <c r="A527">
        <v>446715000000000</v>
      </c>
      <c r="B527" t="s">
        <v>18</v>
      </c>
      <c r="C527">
        <v>35</v>
      </c>
      <c r="D527" t="s">
        <v>37</v>
      </c>
      <c r="E527" t="s">
        <v>59</v>
      </c>
      <c r="F527" s="1">
        <v>42510</v>
      </c>
      <c r="G527" s="1">
        <v>42515</v>
      </c>
      <c r="H527" t="s">
        <v>25</v>
      </c>
      <c r="I527">
        <v>5</v>
      </c>
      <c r="J527" t="s">
        <v>107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 t="s">
        <v>23</v>
      </c>
      <c r="R527">
        <v>0</v>
      </c>
    </row>
    <row r="528" spans="1:18">
      <c r="A528">
        <v>476636000000</v>
      </c>
      <c r="B528" t="s">
        <v>28</v>
      </c>
      <c r="C528">
        <v>21</v>
      </c>
      <c r="D528" t="s">
        <v>37</v>
      </c>
      <c r="E528" t="s">
        <v>87</v>
      </c>
      <c r="F528" s="1">
        <v>42510</v>
      </c>
      <c r="G528" s="1">
        <v>42510</v>
      </c>
      <c r="H528" t="s">
        <v>21</v>
      </c>
      <c r="I528">
        <v>0</v>
      </c>
      <c r="J528" t="s">
        <v>111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23</v>
      </c>
      <c r="R528">
        <v>0</v>
      </c>
    </row>
    <row r="529" spans="1:18">
      <c r="A529">
        <v>45894600000000</v>
      </c>
      <c r="B529" t="s">
        <v>18</v>
      </c>
      <c r="C529">
        <v>22</v>
      </c>
      <c r="D529" t="s">
        <v>37</v>
      </c>
      <c r="E529" t="s">
        <v>54</v>
      </c>
      <c r="F529" s="1">
        <v>42510</v>
      </c>
      <c r="G529" s="1">
        <v>42524</v>
      </c>
      <c r="H529" t="s">
        <v>21</v>
      </c>
      <c r="I529">
        <v>14</v>
      </c>
      <c r="J529" t="s">
        <v>92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 t="s">
        <v>26</v>
      </c>
      <c r="R529">
        <v>1</v>
      </c>
    </row>
    <row r="530" spans="1:18">
      <c r="A530">
        <v>14455767152</v>
      </c>
      <c r="B530" t="s">
        <v>18</v>
      </c>
      <c r="C530">
        <v>21</v>
      </c>
      <c r="D530" t="s">
        <v>37</v>
      </c>
      <c r="E530" t="s">
        <v>78</v>
      </c>
      <c r="F530" s="1">
        <v>42510</v>
      </c>
      <c r="G530" s="1">
        <v>42510</v>
      </c>
      <c r="H530" t="s">
        <v>21</v>
      </c>
      <c r="I530">
        <v>0</v>
      </c>
      <c r="J530" t="s">
        <v>111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23</v>
      </c>
      <c r="R530">
        <v>0</v>
      </c>
    </row>
    <row r="531" spans="1:18">
      <c r="A531">
        <v>2689680000000</v>
      </c>
      <c r="B531" t="s">
        <v>18</v>
      </c>
      <c r="C531">
        <v>29</v>
      </c>
      <c r="D531" t="s">
        <v>37</v>
      </c>
      <c r="E531" t="s">
        <v>20</v>
      </c>
      <c r="F531" s="1">
        <v>42471</v>
      </c>
      <c r="G531" s="1">
        <v>42496</v>
      </c>
      <c r="H531" t="s">
        <v>21</v>
      </c>
      <c r="I531">
        <v>25</v>
      </c>
      <c r="J531" t="s">
        <v>77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 t="s">
        <v>26</v>
      </c>
      <c r="R531">
        <v>1</v>
      </c>
    </row>
    <row r="532" spans="1:18">
      <c r="A532">
        <v>416756000000000</v>
      </c>
      <c r="B532" t="s">
        <v>28</v>
      </c>
      <c r="C532">
        <v>33</v>
      </c>
      <c r="D532" t="s">
        <v>37</v>
      </c>
      <c r="E532" t="s">
        <v>68</v>
      </c>
      <c r="F532" s="1">
        <v>42510</v>
      </c>
      <c r="G532" s="1">
        <v>42510</v>
      </c>
      <c r="H532" t="s">
        <v>21</v>
      </c>
      <c r="I532">
        <v>0</v>
      </c>
      <c r="J532" t="s">
        <v>111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26</v>
      </c>
      <c r="R532">
        <v>1</v>
      </c>
    </row>
    <row r="533" spans="1:18">
      <c r="A533">
        <v>436763000000000</v>
      </c>
      <c r="B533" t="s">
        <v>18</v>
      </c>
      <c r="C533">
        <v>22</v>
      </c>
      <c r="D533" t="s">
        <v>37</v>
      </c>
      <c r="E533" t="s">
        <v>29</v>
      </c>
      <c r="F533" s="1">
        <v>42471</v>
      </c>
      <c r="G533" s="1">
        <v>42496</v>
      </c>
      <c r="H533" t="s">
        <v>21</v>
      </c>
      <c r="I533">
        <v>25</v>
      </c>
      <c r="J533" t="s">
        <v>77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 t="s">
        <v>23</v>
      </c>
      <c r="R533">
        <v>0</v>
      </c>
    </row>
    <row r="534" spans="1:18">
      <c r="A534">
        <v>38299200000000</v>
      </c>
      <c r="B534" t="s">
        <v>28</v>
      </c>
      <c r="C534">
        <v>26</v>
      </c>
      <c r="D534" t="s">
        <v>37</v>
      </c>
      <c r="E534" t="s">
        <v>34</v>
      </c>
      <c r="F534" s="1">
        <v>42510</v>
      </c>
      <c r="G534" s="1">
        <v>42510</v>
      </c>
      <c r="H534" t="s">
        <v>21</v>
      </c>
      <c r="I534">
        <v>0</v>
      </c>
      <c r="J534" t="s">
        <v>111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23</v>
      </c>
      <c r="R534">
        <v>0</v>
      </c>
    </row>
    <row r="535" spans="1:18">
      <c r="A535">
        <v>24929900000000</v>
      </c>
      <c r="B535" t="s">
        <v>18</v>
      </c>
      <c r="C535">
        <v>27</v>
      </c>
      <c r="D535" t="s">
        <v>37</v>
      </c>
      <c r="E535" t="s">
        <v>84</v>
      </c>
      <c r="F535" s="1">
        <v>42510</v>
      </c>
      <c r="G535" s="1">
        <v>42510</v>
      </c>
      <c r="H535" t="s">
        <v>21</v>
      </c>
      <c r="I535">
        <v>0</v>
      </c>
      <c r="J535" t="s">
        <v>111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23</v>
      </c>
      <c r="R535">
        <v>0</v>
      </c>
    </row>
    <row r="536" spans="1:18">
      <c r="A536">
        <v>66416200000000</v>
      </c>
      <c r="B536" t="s">
        <v>18</v>
      </c>
      <c r="C536">
        <v>22</v>
      </c>
      <c r="D536" t="s">
        <v>37</v>
      </c>
      <c r="E536" t="s">
        <v>29</v>
      </c>
      <c r="F536" s="1">
        <v>42472</v>
      </c>
      <c r="G536" s="1">
        <v>42503</v>
      </c>
      <c r="H536" t="s">
        <v>21</v>
      </c>
      <c r="I536">
        <v>31</v>
      </c>
      <c r="J536" t="s">
        <v>22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26</v>
      </c>
      <c r="R536">
        <v>1</v>
      </c>
    </row>
    <row r="537" spans="1:18">
      <c r="A537">
        <v>46687700000000</v>
      </c>
      <c r="B537" t="s">
        <v>18</v>
      </c>
      <c r="C537">
        <v>31</v>
      </c>
      <c r="D537" t="s">
        <v>37</v>
      </c>
      <c r="E537" t="s">
        <v>59</v>
      </c>
      <c r="F537" s="1">
        <v>42510</v>
      </c>
      <c r="G537" s="1">
        <v>42510</v>
      </c>
      <c r="H537" t="s">
        <v>21</v>
      </c>
      <c r="I537">
        <v>0</v>
      </c>
      <c r="J537" t="s">
        <v>111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23</v>
      </c>
      <c r="R537">
        <v>0</v>
      </c>
    </row>
    <row r="538" spans="1:18">
      <c r="A538">
        <v>8378980000000</v>
      </c>
      <c r="B538" t="s">
        <v>18</v>
      </c>
      <c r="C538">
        <v>19</v>
      </c>
      <c r="D538" t="s">
        <v>37</v>
      </c>
      <c r="E538" t="s">
        <v>36</v>
      </c>
      <c r="F538" s="1">
        <v>42472</v>
      </c>
      <c r="G538" s="1">
        <v>42494</v>
      </c>
      <c r="H538" t="s">
        <v>25</v>
      </c>
      <c r="I538">
        <v>22</v>
      </c>
      <c r="J538" t="s">
        <v>77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 t="s">
        <v>23</v>
      </c>
      <c r="R538">
        <v>0</v>
      </c>
    </row>
    <row r="539" spans="1:18">
      <c r="A539">
        <v>18321100000000</v>
      </c>
      <c r="B539" t="s">
        <v>18</v>
      </c>
      <c r="C539">
        <v>29</v>
      </c>
      <c r="D539" t="s">
        <v>37</v>
      </c>
      <c r="E539" t="s">
        <v>57</v>
      </c>
      <c r="F539" s="1">
        <v>42472</v>
      </c>
      <c r="G539" s="1">
        <v>42503</v>
      </c>
      <c r="H539" t="s">
        <v>21</v>
      </c>
      <c r="I539">
        <v>31</v>
      </c>
      <c r="J539" t="s">
        <v>22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23</v>
      </c>
      <c r="R539">
        <v>0</v>
      </c>
    </row>
    <row r="540" spans="1:18">
      <c r="A540">
        <v>4342320000000</v>
      </c>
      <c r="B540" t="s">
        <v>18</v>
      </c>
      <c r="C540">
        <v>27</v>
      </c>
      <c r="D540" t="s">
        <v>37</v>
      </c>
      <c r="E540" t="s">
        <v>54</v>
      </c>
      <c r="F540" s="1">
        <v>42510</v>
      </c>
      <c r="G540" s="1">
        <v>42528</v>
      </c>
      <c r="H540" t="s">
        <v>41</v>
      </c>
      <c r="I540">
        <v>18</v>
      </c>
      <c r="J540" t="s">
        <v>77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 t="s">
        <v>23</v>
      </c>
      <c r="R540">
        <v>0</v>
      </c>
    </row>
    <row r="541" spans="1:18">
      <c r="A541">
        <v>233945000000000</v>
      </c>
      <c r="B541" t="s">
        <v>18</v>
      </c>
      <c r="C541">
        <v>23</v>
      </c>
      <c r="D541" t="s">
        <v>37</v>
      </c>
      <c r="E541" t="s">
        <v>50</v>
      </c>
      <c r="F541" s="1">
        <v>42472</v>
      </c>
      <c r="G541" s="1">
        <v>42500</v>
      </c>
      <c r="H541" t="s">
        <v>41</v>
      </c>
      <c r="I541">
        <v>28</v>
      </c>
      <c r="J541" t="s">
        <v>77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1</v>
      </c>
      <c r="Q541" t="s">
        <v>26</v>
      </c>
      <c r="R541">
        <v>1</v>
      </c>
    </row>
    <row r="542" spans="1:18">
      <c r="A542">
        <v>182914000000</v>
      </c>
      <c r="B542" t="s">
        <v>18</v>
      </c>
      <c r="C542">
        <v>31</v>
      </c>
      <c r="D542" t="s">
        <v>37</v>
      </c>
      <c r="E542" t="s">
        <v>32</v>
      </c>
      <c r="F542" s="1">
        <v>42510</v>
      </c>
      <c r="G542" s="1">
        <v>42522</v>
      </c>
      <c r="H542" t="s">
        <v>25</v>
      </c>
      <c r="I542">
        <v>12</v>
      </c>
      <c r="J542" t="s">
        <v>92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 t="s">
        <v>23</v>
      </c>
      <c r="R542">
        <v>0</v>
      </c>
    </row>
    <row r="543" spans="1:18">
      <c r="A543">
        <v>43432700000000</v>
      </c>
      <c r="B543" t="s">
        <v>18</v>
      </c>
      <c r="C543">
        <v>23</v>
      </c>
      <c r="D543" t="s">
        <v>37</v>
      </c>
      <c r="E543" t="s">
        <v>91</v>
      </c>
      <c r="F543" s="1">
        <v>42510</v>
      </c>
      <c r="G543" s="1">
        <v>42528</v>
      </c>
      <c r="H543" t="s">
        <v>41</v>
      </c>
      <c r="I543">
        <v>18</v>
      </c>
      <c r="J543" t="s">
        <v>77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 t="s">
        <v>23</v>
      </c>
      <c r="R543">
        <v>0</v>
      </c>
    </row>
    <row r="544" spans="1:18">
      <c r="A544">
        <v>126357000000000</v>
      </c>
      <c r="B544" t="s">
        <v>18</v>
      </c>
      <c r="C544">
        <v>34</v>
      </c>
      <c r="D544" t="s">
        <v>37</v>
      </c>
      <c r="E544" t="s">
        <v>54</v>
      </c>
      <c r="F544" s="1">
        <v>42510</v>
      </c>
      <c r="G544" s="1">
        <v>42510</v>
      </c>
      <c r="H544" t="s">
        <v>21</v>
      </c>
      <c r="I544">
        <v>0</v>
      </c>
      <c r="J544" t="s">
        <v>111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23</v>
      </c>
      <c r="R544">
        <v>0</v>
      </c>
    </row>
    <row r="545" spans="1:18">
      <c r="A545">
        <v>81894500000000</v>
      </c>
      <c r="B545" t="s">
        <v>28</v>
      </c>
      <c r="C545">
        <v>35</v>
      </c>
      <c r="D545" t="s">
        <v>37</v>
      </c>
      <c r="E545" t="s">
        <v>54</v>
      </c>
      <c r="F545" s="1">
        <v>42510</v>
      </c>
      <c r="G545" s="1">
        <v>42510</v>
      </c>
      <c r="H545" t="s">
        <v>21</v>
      </c>
      <c r="I545">
        <v>0</v>
      </c>
      <c r="J545" t="s">
        <v>111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23</v>
      </c>
      <c r="R545">
        <v>0</v>
      </c>
    </row>
    <row r="546" spans="1:18">
      <c r="A546">
        <v>365336000000</v>
      </c>
      <c r="B546" t="s">
        <v>18</v>
      </c>
      <c r="C546">
        <v>27</v>
      </c>
      <c r="D546" t="s">
        <v>37</v>
      </c>
      <c r="E546" t="s">
        <v>57</v>
      </c>
      <c r="F546" s="1">
        <v>42472</v>
      </c>
      <c r="G546" s="1">
        <v>42514</v>
      </c>
      <c r="H546" t="s">
        <v>41</v>
      </c>
      <c r="I546">
        <v>42</v>
      </c>
      <c r="J546" t="s">
        <v>22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 t="s">
        <v>26</v>
      </c>
      <c r="R546">
        <v>1</v>
      </c>
    </row>
    <row r="547" spans="1:18">
      <c r="A547">
        <v>8145540000000</v>
      </c>
      <c r="B547" t="s">
        <v>18</v>
      </c>
      <c r="C547">
        <v>19</v>
      </c>
      <c r="D547" t="s">
        <v>37</v>
      </c>
      <c r="E547" t="s">
        <v>38</v>
      </c>
      <c r="F547" s="1">
        <v>42472</v>
      </c>
      <c r="G547" s="1">
        <v>42493</v>
      </c>
      <c r="H547" t="s">
        <v>41</v>
      </c>
      <c r="I547">
        <v>21</v>
      </c>
      <c r="J547" t="s">
        <v>77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 t="s">
        <v>26</v>
      </c>
      <c r="R547">
        <v>1</v>
      </c>
    </row>
    <row r="548" spans="1:18">
      <c r="A548">
        <v>914294000000000</v>
      </c>
      <c r="B548" t="s">
        <v>18</v>
      </c>
      <c r="C548">
        <v>21</v>
      </c>
      <c r="D548" t="s">
        <v>37</v>
      </c>
      <c r="E548" t="s">
        <v>108</v>
      </c>
      <c r="F548" s="1">
        <v>42510</v>
      </c>
      <c r="G548" s="1">
        <v>42528</v>
      </c>
      <c r="H548" t="s">
        <v>41</v>
      </c>
      <c r="I548">
        <v>18</v>
      </c>
      <c r="J548" t="s">
        <v>77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 t="s">
        <v>26</v>
      </c>
      <c r="R548">
        <v>1</v>
      </c>
    </row>
    <row r="549" spans="1:18">
      <c r="A549">
        <v>69542775145</v>
      </c>
      <c r="B549" t="s">
        <v>18</v>
      </c>
      <c r="C549">
        <v>22</v>
      </c>
      <c r="D549" t="s">
        <v>37</v>
      </c>
      <c r="E549" t="s">
        <v>65</v>
      </c>
      <c r="F549" s="1">
        <v>42510</v>
      </c>
      <c r="G549" s="1">
        <v>42514</v>
      </c>
      <c r="H549" t="s">
        <v>41</v>
      </c>
      <c r="I549">
        <v>4</v>
      </c>
      <c r="J549" t="s">
        <v>107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 t="s">
        <v>26</v>
      </c>
      <c r="R549">
        <v>1</v>
      </c>
    </row>
    <row r="550" spans="1:18">
      <c r="A550">
        <v>262296000000</v>
      </c>
      <c r="B550" t="s">
        <v>18</v>
      </c>
      <c r="C550">
        <v>22</v>
      </c>
      <c r="D550" t="s">
        <v>37</v>
      </c>
      <c r="E550" t="s">
        <v>39</v>
      </c>
      <c r="F550" s="1">
        <v>42510</v>
      </c>
      <c r="G550" s="1">
        <v>42520</v>
      </c>
      <c r="H550" t="s">
        <v>30</v>
      </c>
      <c r="I550">
        <v>10</v>
      </c>
      <c r="J550" t="s">
        <v>92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 t="s">
        <v>23</v>
      </c>
      <c r="R550">
        <v>0</v>
      </c>
    </row>
    <row r="551" spans="1:18">
      <c r="A551">
        <v>797855000000000</v>
      </c>
      <c r="B551" t="s">
        <v>18</v>
      </c>
      <c r="C551">
        <v>26</v>
      </c>
      <c r="D551" t="s">
        <v>37</v>
      </c>
      <c r="E551" t="s">
        <v>45</v>
      </c>
      <c r="F551" s="1">
        <v>42472</v>
      </c>
      <c r="G551" s="1">
        <v>42494</v>
      </c>
      <c r="H551" t="s">
        <v>25</v>
      </c>
      <c r="I551">
        <v>22</v>
      </c>
      <c r="J551" t="s">
        <v>77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23</v>
      </c>
      <c r="R551">
        <v>0</v>
      </c>
    </row>
    <row r="552" spans="1:18">
      <c r="A552">
        <v>2616570000000</v>
      </c>
      <c r="B552" t="s">
        <v>18</v>
      </c>
      <c r="C552">
        <v>35</v>
      </c>
      <c r="D552" t="s">
        <v>37</v>
      </c>
      <c r="E552" t="s">
        <v>48</v>
      </c>
      <c r="F552" s="1">
        <v>42510</v>
      </c>
      <c r="G552" s="1">
        <v>42523</v>
      </c>
      <c r="H552" t="s">
        <v>33</v>
      </c>
      <c r="I552">
        <v>13</v>
      </c>
      <c r="J552" t="s">
        <v>92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 t="s">
        <v>23</v>
      </c>
      <c r="R552">
        <v>0</v>
      </c>
    </row>
    <row r="553" spans="1:18">
      <c r="A553">
        <v>3497330000000</v>
      </c>
      <c r="B553" t="s">
        <v>18</v>
      </c>
      <c r="C553">
        <v>19</v>
      </c>
      <c r="D553" t="s">
        <v>37</v>
      </c>
      <c r="E553" t="s">
        <v>79</v>
      </c>
      <c r="F553" s="1">
        <v>42510</v>
      </c>
      <c r="G553" s="1">
        <v>42529</v>
      </c>
      <c r="H553" t="s">
        <v>25</v>
      </c>
      <c r="I553">
        <v>19</v>
      </c>
      <c r="J553" t="s">
        <v>77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 t="s">
        <v>23</v>
      </c>
      <c r="R553">
        <v>0</v>
      </c>
    </row>
    <row r="554" spans="1:18">
      <c r="A554">
        <v>66756300000000</v>
      </c>
      <c r="B554" t="s">
        <v>28</v>
      </c>
      <c r="C554">
        <v>19</v>
      </c>
      <c r="D554" t="s">
        <v>37</v>
      </c>
      <c r="E554" t="s">
        <v>20</v>
      </c>
      <c r="F554" s="1">
        <v>42510</v>
      </c>
      <c r="G554" s="1">
        <v>42515</v>
      </c>
      <c r="H554" t="s">
        <v>25</v>
      </c>
      <c r="I554">
        <v>5</v>
      </c>
      <c r="J554" t="s">
        <v>107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23</v>
      </c>
      <c r="R554">
        <v>0</v>
      </c>
    </row>
    <row r="555" spans="1:18">
      <c r="A555">
        <v>1848570000000</v>
      </c>
      <c r="B555" t="s">
        <v>18</v>
      </c>
      <c r="C555">
        <v>21</v>
      </c>
      <c r="D555" t="s">
        <v>37</v>
      </c>
      <c r="E555" t="s">
        <v>68</v>
      </c>
      <c r="F555" s="1">
        <v>42472</v>
      </c>
      <c r="G555" s="1">
        <v>42493</v>
      </c>
      <c r="H555" t="s">
        <v>41</v>
      </c>
      <c r="I555">
        <v>21</v>
      </c>
      <c r="J555" t="s">
        <v>77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 t="s">
        <v>26</v>
      </c>
      <c r="R555">
        <v>1</v>
      </c>
    </row>
    <row r="556" spans="1:18">
      <c r="A556">
        <v>3793170000000</v>
      </c>
      <c r="B556" t="s">
        <v>18</v>
      </c>
      <c r="C556">
        <v>35</v>
      </c>
      <c r="D556" t="s">
        <v>37</v>
      </c>
      <c r="E556" t="s">
        <v>57</v>
      </c>
      <c r="F556" s="1">
        <v>42472</v>
      </c>
      <c r="G556" s="1">
        <v>42500</v>
      </c>
      <c r="H556" t="s">
        <v>41</v>
      </c>
      <c r="I556">
        <v>28</v>
      </c>
      <c r="J556" t="s">
        <v>77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1</v>
      </c>
      <c r="Q556" t="s">
        <v>23</v>
      </c>
      <c r="R556">
        <v>0</v>
      </c>
    </row>
    <row r="557" spans="1:18">
      <c r="A557">
        <v>226149000000</v>
      </c>
      <c r="B557" t="s">
        <v>28</v>
      </c>
      <c r="C557">
        <v>34</v>
      </c>
      <c r="D557" t="s">
        <v>37</v>
      </c>
      <c r="E557" t="s">
        <v>71</v>
      </c>
      <c r="F557" s="1">
        <v>42510</v>
      </c>
      <c r="G557" s="1">
        <v>42510</v>
      </c>
      <c r="H557" t="s">
        <v>21</v>
      </c>
      <c r="I557">
        <v>0</v>
      </c>
      <c r="J557" t="s">
        <v>111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 t="s">
        <v>23</v>
      </c>
      <c r="R557">
        <v>0</v>
      </c>
    </row>
    <row r="558" spans="1:18">
      <c r="A558">
        <v>2884270000000</v>
      </c>
      <c r="B558" t="s">
        <v>28</v>
      </c>
      <c r="C558">
        <v>22</v>
      </c>
      <c r="D558" t="s">
        <v>37</v>
      </c>
      <c r="E558" t="s">
        <v>95</v>
      </c>
      <c r="F558" s="1">
        <v>42510</v>
      </c>
      <c r="G558" s="1">
        <v>42528</v>
      </c>
      <c r="H558" t="s">
        <v>41</v>
      </c>
      <c r="I558">
        <v>18</v>
      </c>
      <c r="J558" t="s">
        <v>77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26</v>
      </c>
      <c r="R558">
        <v>1</v>
      </c>
    </row>
    <row r="559" spans="1:18">
      <c r="A559">
        <v>73738500000000</v>
      </c>
      <c r="B559" t="s">
        <v>18</v>
      </c>
      <c r="C559">
        <v>24</v>
      </c>
      <c r="D559" t="s">
        <v>37</v>
      </c>
      <c r="E559" t="s">
        <v>78</v>
      </c>
      <c r="F559" s="1">
        <v>42510</v>
      </c>
      <c r="G559" s="1">
        <v>42510</v>
      </c>
      <c r="H559" t="s">
        <v>21</v>
      </c>
      <c r="I559">
        <v>0</v>
      </c>
      <c r="J559" t="s">
        <v>111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23</v>
      </c>
      <c r="R559">
        <v>0</v>
      </c>
    </row>
    <row r="560" spans="1:18">
      <c r="A560">
        <v>8852490000000</v>
      </c>
      <c r="B560" t="s">
        <v>18</v>
      </c>
      <c r="C560">
        <v>18</v>
      </c>
      <c r="D560" t="s">
        <v>37</v>
      </c>
      <c r="E560" t="s">
        <v>84</v>
      </c>
      <c r="F560" s="1">
        <v>42510</v>
      </c>
      <c r="G560" s="1">
        <v>42510</v>
      </c>
      <c r="H560" t="s">
        <v>21</v>
      </c>
      <c r="I560">
        <v>0</v>
      </c>
      <c r="J560" t="s">
        <v>111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23</v>
      </c>
      <c r="R560">
        <v>0</v>
      </c>
    </row>
    <row r="561" spans="1:18">
      <c r="A561">
        <v>4761950000000</v>
      </c>
      <c r="B561" t="s">
        <v>28</v>
      </c>
      <c r="C561">
        <v>20</v>
      </c>
      <c r="D561" t="s">
        <v>37</v>
      </c>
      <c r="E561" t="s">
        <v>71</v>
      </c>
      <c r="F561" s="1">
        <v>42510</v>
      </c>
      <c r="G561" s="1">
        <v>42514</v>
      </c>
      <c r="H561" t="s">
        <v>41</v>
      </c>
      <c r="I561">
        <v>4</v>
      </c>
      <c r="J561" t="s">
        <v>107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 t="s">
        <v>23</v>
      </c>
      <c r="R561">
        <v>0</v>
      </c>
    </row>
    <row r="562" spans="1:18">
      <c r="A562">
        <v>983692000000000</v>
      </c>
      <c r="B562" t="s">
        <v>28</v>
      </c>
      <c r="C562">
        <v>30</v>
      </c>
      <c r="D562" t="s">
        <v>37</v>
      </c>
      <c r="E562" t="s">
        <v>80</v>
      </c>
      <c r="F562" s="1">
        <v>42472</v>
      </c>
      <c r="G562" s="1">
        <v>42500</v>
      </c>
      <c r="H562" t="s">
        <v>41</v>
      </c>
      <c r="I562">
        <v>28</v>
      </c>
      <c r="J562" t="s">
        <v>77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1</v>
      </c>
      <c r="Q562" t="s">
        <v>23</v>
      </c>
      <c r="R562">
        <v>0</v>
      </c>
    </row>
    <row r="563" spans="1:18">
      <c r="A563">
        <v>45987900000000</v>
      </c>
      <c r="B563" t="s">
        <v>18</v>
      </c>
      <c r="C563">
        <v>29</v>
      </c>
      <c r="D563" t="s">
        <v>37</v>
      </c>
      <c r="E563" t="s">
        <v>68</v>
      </c>
      <c r="F563" s="1">
        <v>42510</v>
      </c>
      <c r="G563" s="1">
        <v>42521</v>
      </c>
      <c r="H563" t="s">
        <v>41</v>
      </c>
      <c r="I563">
        <v>11</v>
      </c>
      <c r="J563" t="s">
        <v>92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 t="s">
        <v>23</v>
      </c>
      <c r="R563">
        <v>0</v>
      </c>
    </row>
    <row r="564" spans="1:18">
      <c r="A564">
        <v>447248000000</v>
      </c>
      <c r="B564" t="s">
        <v>18</v>
      </c>
      <c r="C564">
        <v>20</v>
      </c>
      <c r="D564" t="s">
        <v>37</v>
      </c>
      <c r="E564" t="s">
        <v>52</v>
      </c>
      <c r="F564" s="1">
        <v>42510</v>
      </c>
      <c r="G564" s="1">
        <v>42514</v>
      </c>
      <c r="H564" t="s">
        <v>41</v>
      </c>
      <c r="I564">
        <v>4</v>
      </c>
      <c r="J564" t="s">
        <v>107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 t="s">
        <v>23</v>
      </c>
      <c r="R564">
        <v>0</v>
      </c>
    </row>
    <row r="565" spans="1:18">
      <c r="A565">
        <v>38543400000000</v>
      </c>
      <c r="B565" t="s">
        <v>28</v>
      </c>
      <c r="C565">
        <v>29</v>
      </c>
      <c r="D565" t="s">
        <v>37</v>
      </c>
      <c r="E565" t="s">
        <v>96</v>
      </c>
      <c r="F565" s="1">
        <v>42510</v>
      </c>
      <c r="G565" s="1">
        <v>42520</v>
      </c>
      <c r="H565" t="s">
        <v>30</v>
      </c>
      <c r="I565">
        <v>10</v>
      </c>
      <c r="J565" t="s">
        <v>92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 t="s">
        <v>26</v>
      </c>
      <c r="R565">
        <v>1</v>
      </c>
    </row>
    <row r="566" spans="1:18">
      <c r="A566">
        <v>32965600000000</v>
      </c>
      <c r="B566" t="s">
        <v>28</v>
      </c>
      <c r="C566">
        <v>18</v>
      </c>
      <c r="D566" t="s">
        <v>37</v>
      </c>
      <c r="E566" t="s">
        <v>51</v>
      </c>
      <c r="F566" s="1">
        <v>42510</v>
      </c>
      <c r="G566" s="1">
        <v>42510</v>
      </c>
      <c r="H566" t="s">
        <v>21</v>
      </c>
      <c r="I566">
        <v>0</v>
      </c>
      <c r="J566" t="s">
        <v>111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23</v>
      </c>
      <c r="R566">
        <v>0</v>
      </c>
    </row>
    <row r="567" spans="1:18">
      <c r="A567">
        <v>18435600000000</v>
      </c>
      <c r="B567" t="s">
        <v>28</v>
      </c>
      <c r="C567">
        <v>29</v>
      </c>
      <c r="D567" t="s">
        <v>37</v>
      </c>
      <c r="E567" t="s">
        <v>43</v>
      </c>
      <c r="F567" s="1">
        <v>42510</v>
      </c>
      <c r="G567" s="1">
        <v>42514</v>
      </c>
      <c r="H567" t="s">
        <v>41</v>
      </c>
      <c r="I567">
        <v>4</v>
      </c>
      <c r="J567" t="s">
        <v>107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 t="s">
        <v>23</v>
      </c>
      <c r="R567">
        <v>0</v>
      </c>
    </row>
    <row r="568" spans="1:18">
      <c r="A568">
        <v>35284700000000</v>
      </c>
      <c r="B568" t="s">
        <v>18</v>
      </c>
      <c r="C568">
        <v>26</v>
      </c>
      <c r="D568" t="s">
        <v>37</v>
      </c>
      <c r="E568" t="s">
        <v>39</v>
      </c>
      <c r="F568" s="1">
        <v>42510</v>
      </c>
      <c r="G568" s="1">
        <v>42510</v>
      </c>
      <c r="H568" t="s">
        <v>21</v>
      </c>
      <c r="I568">
        <v>0</v>
      </c>
      <c r="J568" t="s">
        <v>111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23</v>
      </c>
      <c r="R568">
        <v>0</v>
      </c>
    </row>
    <row r="569" spans="1:18">
      <c r="A569">
        <v>6552300000000</v>
      </c>
      <c r="B569" t="s">
        <v>28</v>
      </c>
      <c r="C569">
        <v>23</v>
      </c>
      <c r="D569" t="s">
        <v>37</v>
      </c>
      <c r="E569" t="s">
        <v>84</v>
      </c>
      <c r="F569" s="1">
        <v>42509</v>
      </c>
      <c r="G569" s="1">
        <v>42524</v>
      </c>
      <c r="H569" t="s">
        <v>21</v>
      </c>
      <c r="I569">
        <v>15</v>
      </c>
      <c r="J569" t="s">
        <v>77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 t="s">
        <v>23</v>
      </c>
      <c r="R569">
        <v>0</v>
      </c>
    </row>
    <row r="570" spans="1:18">
      <c r="A570">
        <v>487448000000000</v>
      </c>
      <c r="B570" t="s">
        <v>28</v>
      </c>
      <c r="C570">
        <v>34</v>
      </c>
      <c r="D570" t="s">
        <v>37</v>
      </c>
      <c r="E570" t="s">
        <v>29</v>
      </c>
      <c r="F570" s="1">
        <v>42509</v>
      </c>
      <c r="G570" s="1">
        <v>42515</v>
      </c>
      <c r="H570" t="s">
        <v>25</v>
      </c>
      <c r="I570">
        <v>6</v>
      </c>
      <c r="J570" t="s">
        <v>107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 t="s">
        <v>23</v>
      </c>
      <c r="R570">
        <v>0</v>
      </c>
    </row>
    <row r="571" spans="1:18">
      <c r="A571">
        <v>612166000000000</v>
      </c>
      <c r="B571" t="s">
        <v>18</v>
      </c>
      <c r="C571">
        <v>35</v>
      </c>
      <c r="D571" t="s">
        <v>37</v>
      </c>
      <c r="E571" t="s">
        <v>57</v>
      </c>
      <c r="F571" s="1">
        <v>42509</v>
      </c>
      <c r="G571" s="1">
        <v>42509</v>
      </c>
      <c r="H571" t="s">
        <v>33</v>
      </c>
      <c r="I571">
        <v>0</v>
      </c>
      <c r="J571" t="s">
        <v>111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23</v>
      </c>
      <c r="R571">
        <v>0</v>
      </c>
    </row>
    <row r="572" spans="1:18">
      <c r="A572">
        <v>63964659235</v>
      </c>
      <c r="B572" t="s">
        <v>28</v>
      </c>
      <c r="C572">
        <v>25</v>
      </c>
      <c r="D572" t="s">
        <v>37</v>
      </c>
      <c r="E572" t="s">
        <v>36</v>
      </c>
      <c r="F572" s="1">
        <v>42509</v>
      </c>
      <c r="G572" s="1">
        <v>42509</v>
      </c>
      <c r="H572" t="s">
        <v>33</v>
      </c>
      <c r="I572">
        <v>0</v>
      </c>
      <c r="J572" t="s">
        <v>111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23</v>
      </c>
      <c r="R572">
        <v>0</v>
      </c>
    </row>
    <row r="573" spans="1:18">
      <c r="A573">
        <v>936546000000000</v>
      </c>
      <c r="B573" t="s">
        <v>28</v>
      </c>
      <c r="C573">
        <v>18</v>
      </c>
      <c r="D573" t="s">
        <v>37</v>
      </c>
      <c r="E573" t="s">
        <v>39</v>
      </c>
      <c r="F573" s="1">
        <v>42509</v>
      </c>
      <c r="G573" s="1">
        <v>42515</v>
      </c>
      <c r="H573" t="s">
        <v>25</v>
      </c>
      <c r="I573">
        <v>6</v>
      </c>
      <c r="J573" t="s">
        <v>107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 t="s">
        <v>23</v>
      </c>
      <c r="R573">
        <v>0</v>
      </c>
    </row>
    <row r="574" spans="1:18">
      <c r="A574">
        <v>38115800000000</v>
      </c>
      <c r="B574" t="s">
        <v>18</v>
      </c>
      <c r="C574">
        <v>19</v>
      </c>
      <c r="D574" t="s">
        <v>37</v>
      </c>
      <c r="E574" t="s">
        <v>43</v>
      </c>
      <c r="F574" s="1">
        <v>42509</v>
      </c>
      <c r="G574" s="1">
        <v>42509</v>
      </c>
      <c r="H574" t="s">
        <v>33</v>
      </c>
      <c r="I574">
        <v>0</v>
      </c>
      <c r="J574" t="s">
        <v>111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23</v>
      </c>
      <c r="R574">
        <v>0</v>
      </c>
    </row>
    <row r="575" spans="1:18">
      <c r="A575">
        <v>49458800000000</v>
      </c>
      <c r="B575" t="s">
        <v>28</v>
      </c>
      <c r="C575">
        <v>18</v>
      </c>
      <c r="D575" t="s">
        <v>37</v>
      </c>
      <c r="E575" t="s">
        <v>40</v>
      </c>
      <c r="F575" s="1">
        <v>42509</v>
      </c>
      <c r="G575" s="1">
        <v>42509</v>
      </c>
      <c r="H575" t="s">
        <v>33</v>
      </c>
      <c r="I575">
        <v>0</v>
      </c>
      <c r="J575" t="s">
        <v>111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23</v>
      </c>
      <c r="R575">
        <v>0</v>
      </c>
    </row>
    <row r="576" spans="1:18">
      <c r="A576">
        <v>6516490000000</v>
      </c>
      <c r="B576" t="s">
        <v>18</v>
      </c>
      <c r="C576">
        <v>26</v>
      </c>
      <c r="D576" t="s">
        <v>37</v>
      </c>
      <c r="E576" t="s">
        <v>57</v>
      </c>
      <c r="F576" s="1">
        <v>42509</v>
      </c>
      <c r="G576" s="1">
        <v>42509</v>
      </c>
      <c r="H576" t="s">
        <v>33</v>
      </c>
      <c r="I576">
        <v>0</v>
      </c>
      <c r="J576" t="s">
        <v>111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23</v>
      </c>
      <c r="R576">
        <v>0</v>
      </c>
    </row>
    <row r="577" spans="1:18">
      <c r="A577">
        <v>945627000000000</v>
      </c>
      <c r="B577" t="s">
        <v>18</v>
      </c>
      <c r="C577">
        <v>23</v>
      </c>
      <c r="D577" t="s">
        <v>37</v>
      </c>
      <c r="E577" t="s">
        <v>51</v>
      </c>
      <c r="F577" s="1">
        <v>42509</v>
      </c>
      <c r="G577" s="1">
        <v>42509</v>
      </c>
      <c r="H577" t="s">
        <v>33</v>
      </c>
      <c r="I577">
        <v>0</v>
      </c>
      <c r="J577" t="s">
        <v>111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23</v>
      </c>
      <c r="R577">
        <v>0</v>
      </c>
    </row>
    <row r="578" spans="1:18">
      <c r="A578">
        <v>14225426642</v>
      </c>
      <c r="B578" t="s">
        <v>18</v>
      </c>
      <c r="C578">
        <v>33</v>
      </c>
      <c r="D578" t="s">
        <v>37</v>
      </c>
      <c r="E578" t="s">
        <v>59</v>
      </c>
      <c r="F578" s="1">
        <v>42472</v>
      </c>
      <c r="G578" s="1">
        <v>42495</v>
      </c>
      <c r="H578" t="s">
        <v>33</v>
      </c>
      <c r="I578">
        <v>23</v>
      </c>
      <c r="J578" t="s">
        <v>77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23</v>
      </c>
      <c r="R578">
        <v>0</v>
      </c>
    </row>
    <row r="579" spans="1:18">
      <c r="A579">
        <v>828725000000000</v>
      </c>
      <c r="B579" t="s">
        <v>18</v>
      </c>
      <c r="C579">
        <v>19</v>
      </c>
      <c r="D579" t="s">
        <v>37</v>
      </c>
      <c r="E579" t="s">
        <v>48</v>
      </c>
      <c r="F579" s="1">
        <v>42509</v>
      </c>
      <c r="G579" s="1">
        <v>42515</v>
      </c>
      <c r="H579" t="s">
        <v>25</v>
      </c>
      <c r="I579">
        <v>6</v>
      </c>
      <c r="J579" t="s">
        <v>107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23</v>
      </c>
      <c r="R579">
        <v>0</v>
      </c>
    </row>
    <row r="580" spans="1:18">
      <c r="A580">
        <v>42654200000000</v>
      </c>
      <c r="B580" t="s">
        <v>28</v>
      </c>
      <c r="C580">
        <v>24</v>
      </c>
      <c r="D580" t="s">
        <v>37</v>
      </c>
      <c r="E580" t="s">
        <v>63</v>
      </c>
      <c r="F580" s="1">
        <v>42509</v>
      </c>
      <c r="G580" s="1">
        <v>42509</v>
      </c>
      <c r="H580" t="s">
        <v>33</v>
      </c>
      <c r="I580">
        <v>0</v>
      </c>
      <c r="J580" t="s">
        <v>111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23</v>
      </c>
      <c r="R580">
        <v>0</v>
      </c>
    </row>
    <row r="581" spans="1:18">
      <c r="A581">
        <v>86741163962</v>
      </c>
      <c r="B581" t="s">
        <v>28</v>
      </c>
      <c r="C581">
        <v>29</v>
      </c>
      <c r="D581" t="s">
        <v>37</v>
      </c>
      <c r="E581" t="s">
        <v>51</v>
      </c>
      <c r="F581" s="1">
        <v>42509</v>
      </c>
      <c r="G581" s="1">
        <v>42520</v>
      </c>
      <c r="H581" t="s">
        <v>30</v>
      </c>
      <c r="I581">
        <v>11</v>
      </c>
      <c r="J581" t="s">
        <v>92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 t="s">
        <v>23</v>
      </c>
      <c r="R581">
        <v>0</v>
      </c>
    </row>
    <row r="582" spans="1:18">
      <c r="A582">
        <v>156384000000000</v>
      </c>
      <c r="B582" t="s">
        <v>28</v>
      </c>
      <c r="C582">
        <v>30</v>
      </c>
      <c r="D582" t="s">
        <v>37</v>
      </c>
      <c r="E582" t="s">
        <v>47</v>
      </c>
      <c r="F582" s="1">
        <v>42509</v>
      </c>
      <c r="G582" s="1">
        <v>42528</v>
      </c>
      <c r="H582" t="s">
        <v>41</v>
      </c>
      <c r="I582">
        <v>19</v>
      </c>
      <c r="J582" t="s">
        <v>77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 t="s">
        <v>26</v>
      </c>
      <c r="R582">
        <v>1</v>
      </c>
    </row>
    <row r="583" spans="1:18">
      <c r="A583">
        <v>152599000000000</v>
      </c>
      <c r="B583" t="s">
        <v>18</v>
      </c>
      <c r="C583">
        <v>33</v>
      </c>
      <c r="D583" t="s">
        <v>37</v>
      </c>
      <c r="E583" t="s">
        <v>69</v>
      </c>
      <c r="F583" s="1">
        <v>42509</v>
      </c>
      <c r="G583" s="1">
        <v>42514</v>
      </c>
      <c r="H583" t="s">
        <v>41</v>
      </c>
      <c r="I583">
        <v>5</v>
      </c>
      <c r="J583" t="s">
        <v>107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1</v>
      </c>
      <c r="Q583" t="s">
        <v>23</v>
      </c>
      <c r="R583">
        <v>0</v>
      </c>
    </row>
    <row r="584" spans="1:18">
      <c r="A584">
        <v>9247170000000</v>
      </c>
      <c r="B584" t="s">
        <v>18</v>
      </c>
      <c r="C584">
        <v>32</v>
      </c>
      <c r="D584" t="s">
        <v>37</v>
      </c>
      <c r="E584" t="s">
        <v>57</v>
      </c>
      <c r="F584" s="1">
        <v>42509</v>
      </c>
      <c r="G584" s="1">
        <v>42509</v>
      </c>
      <c r="H584" t="s">
        <v>33</v>
      </c>
      <c r="I584">
        <v>0</v>
      </c>
      <c r="J584" t="s">
        <v>111</v>
      </c>
      <c r="K584">
        <v>1</v>
      </c>
      <c r="L584">
        <v>0</v>
      </c>
      <c r="M584">
        <v>0</v>
      </c>
      <c r="N584">
        <v>1</v>
      </c>
      <c r="O584">
        <v>0</v>
      </c>
      <c r="P584">
        <v>0</v>
      </c>
      <c r="Q584" t="s">
        <v>23</v>
      </c>
      <c r="R584">
        <v>0</v>
      </c>
    </row>
    <row r="585" spans="1:18">
      <c r="A585">
        <v>119834000000000</v>
      </c>
      <c r="B585" t="s">
        <v>28</v>
      </c>
      <c r="C585">
        <v>26</v>
      </c>
      <c r="D585" t="s">
        <v>37</v>
      </c>
      <c r="E585" t="s">
        <v>80</v>
      </c>
      <c r="F585" s="1">
        <v>42509</v>
      </c>
      <c r="G585" s="1">
        <v>42509</v>
      </c>
      <c r="H585" t="s">
        <v>33</v>
      </c>
      <c r="I585">
        <v>0</v>
      </c>
      <c r="J585" t="s">
        <v>111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23</v>
      </c>
      <c r="R585">
        <v>0</v>
      </c>
    </row>
    <row r="586" spans="1:18">
      <c r="A586">
        <v>9326820000000</v>
      </c>
      <c r="B586" t="s">
        <v>28</v>
      </c>
      <c r="C586">
        <v>28</v>
      </c>
      <c r="D586" t="s">
        <v>37</v>
      </c>
      <c r="E586" t="s">
        <v>29</v>
      </c>
      <c r="F586" s="1">
        <v>42472</v>
      </c>
      <c r="G586" s="1">
        <v>42499</v>
      </c>
      <c r="H586" t="s">
        <v>30</v>
      </c>
      <c r="I586">
        <v>27</v>
      </c>
      <c r="J586" t="s">
        <v>77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26</v>
      </c>
      <c r="R586">
        <v>1</v>
      </c>
    </row>
    <row r="587" spans="1:18">
      <c r="A587">
        <v>975563000000</v>
      </c>
      <c r="B587" t="s">
        <v>18</v>
      </c>
      <c r="C587">
        <v>20</v>
      </c>
      <c r="D587" t="s">
        <v>37</v>
      </c>
      <c r="E587" t="s">
        <v>96</v>
      </c>
      <c r="F587" s="1">
        <v>42509</v>
      </c>
      <c r="G587" s="1">
        <v>42509</v>
      </c>
      <c r="H587" t="s">
        <v>33</v>
      </c>
      <c r="I587">
        <v>0</v>
      </c>
      <c r="J587" t="s">
        <v>111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23</v>
      </c>
      <c r="R587">
        <v>0</v>
      </c>
    </row>
    <row r="588" spans="1:18">
      <c r="A588">
        <v>82529200000000</v>
      </c>
      <c r="B588" t="s">
        <v>18</v>
      </c>
      <c r="C588">
        <v>33</v>
      </c>
      <c r="D588" t="s">
        <v>37</v>
      </c>
      <c r="E588" t="s">
        <v>54</v>
      </c>
      <c r="F588" s="1">
        <v>42473</v>
      </c>
      <c r="G588" s="1">
        <v>42492</v>
      </c>
      <c r="H588" t="s">
        <v>30</v>
      </c>
      <c r="I588">
        <v>19</v>
      </c>
      <c r="J588" t="s">
        <v>77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 t="s">
        <v>26</v>
      </c>
      <c r="R588">
        <v>1</v>
      </c>
    </row>
    <row r="589" spans="1:18">
      <c r="A589">
        <v>81587600000000</v>
      </c>
      <c r="B589" t="s">
        <v>28</v>
      </c>
      <c r="C589">
        <v>35</v>
      </c>
      <c r="D589" t="s">
        <v>37</v>
      </c>
      <c r="E589" t="s">
        <v>24</v>
      </c>
      <c r="F589" s="1">
        <v>42509</v>
      </c>
      <c r="G589" s="1">
        <v>42509</v>
      </c>
      <c r="H589" t="s">
        <v>33</v>
      </c>
      <c r="I589">
        <v>0</v>
      </c>
      <c r="J589" t="s">
        <v>111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23</v>
      </c>
      <c r="R589">
        <v>0</v>
      </c>
    </row>
    <row r="590" spans="1:18">
      <c r="A590">
        <v>42211900000000</v>
      </c>
      <c r="B590" t="s">
        <v>18</v>
      </c>
      <c r="C590">
        <v>20</v>
      </c>
      <c r="D590" t="s">
        <v>37</v>
      </c>
      <c r="E590" t="s">
        <v>57</v>
      </c>
      <c r="F590" s="1">
        <v>42509</v>
      </c>
      <c r="G590" s="1">
        <v>42509</v>
      </c>
      <c r="H590" t="s">
        <v>33</v>
      </c>
      <c r="I590">
        <v>0</v>
      </c>
      <c r="J590" t="s">
        <v>111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23</v>
      </c>
      <c r="R590">
        <v>0</v>
      </c>
    </row>
    <row r="591" spans="1:18">
      <c r="A591">
        <v>7846140000000</v>
      </c>
      <c r="B591" t="s">
        <v>28</v>
      </c>
      <c r="C591">
        <v>21</v>
      </c>
      <c r="D591" t="s">
        <v>37</v>
      </c>
      <c r="E591" t="s">
        <v>48</v>
      </c>
      <c r="F591" s="1">
        <v>42509</v>
      </c>
      <c r="G591" s="1">
        <v>42510</v>
      </c>
      <c r="H591" t="s">
        <v>21</v>
      </c>
      <c r="I591">
        <v>1</v>
      </c>
      <c r="J591" t="s">
        <v>109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23</v>
      </c>
      <c r="R591">
        <v>0</v>
      </c>
    </row>
    <row r="592" spans="1:18">
      <c r="A592">
        <v>69389000000000</v>
      </c>
      <c r="B592" t="s">
        <v>18</v>
      </c>
      <c r="C592">
        <v>32</v>
      </c>
      <c r="D592" t="s">
        <v>37</v>
      </c>
      <c r="E592" t="s">
        <v>74</v>
      </c>
      <c r="F592" s="1">
        <v>42509</v>
      </c>
      <c r="G592" s="1">
        <v>42509</v>
      </c>
      <c r="H592" t="s">
        <v>33</v>
      </c>
      <c r="I592">
        <v>0</v>
      </c>
      <c r="J592" t="s">
        <v>111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23</v>
      </c>
      <c r="R592">
        <v>0</v>
      </c>
    </row>
    <row r="593" spans="1:18">
      <c r="A593">
        <v>7835940000000</v>
      </c>
      <c r="B593" t="s">
        <v>28</v>
      </c>
      <c r="C593">
        <v>31</v>
      </c>
      <c r="D593" t="s">
        <v>37</v>
      </c>
      <c r="E593" t="s">
        <v>66</v>
      </c>
      <c r="F593" s="1">
        <v>42509</v>
      </c>
      <c r="G593" s="1">
        <v>42515</v>
      </c>
      <c r="H593" t="s">
        <v>25</v>
      </c>
      <c r="I593">
        <v>6</v>
      </c>
      <c r="J593" t="s">
        <v>107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 t="s">
        <v>26</v>
      </c>
      <c r="R593">
        <v>1</v>
      </c>
    </row>
    <row r="594" spans="1:18">
      <c r="A594">
        <v>1851670000000</v>
      </c>
      <c r="B594" t="s">
        <v>18</v>
      </c>
      <c r="C594">
        <v>35</v>
      </c>
      <c r="D594" t="s">
        <v>37</v>
      </c>
      <c r="E594" t="s">
        <v>91</v>
      </c>
      <c r="F594" s="1">
        <v>42509</v>
      </c>
      <c r="G594" s="1">
        <v>42523</v>
      </c>
      <c r="H594" t="s">
        <v>33</v>
      </c>
      <c r="I594">
        <v>14</v>
      </c>
      <c r="J594" t="s">
        <v>92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 t="s">
        <v>26</v>
      </c>
      <c r="R594">
        <v>1</v>
      </c>
    </row>
    <row r="595" spans="1:18">
      <c r="A595">
        <v>51734300000000</v>
      </c>
      <c r="B595" t="s">
        <v>18</v>
      </c>
      <c r="C595">
        <v>23</v>
      </c>
      <c r="D595" t="s">
        <v>37</v>
      </c>
      <c r="E595" t="s">
        <v>32</v>
      </c>
      <c r="F595" s="1">
        <v>42509</v>
      </c>
      <c r="G595" s="1">
        <v>42514</v>
      </c>
      <c r="H595" t="s">
        <v>41</v>
      </c>
      <c r="I595">
        <v>5</v>
      </c>
      <c r="J595" t="s">
        <v>107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 t="s">
        <v>23</v>
      </c>
      <c r="R595">
        <v>0</v>
      </c>
    </row>
    <row r="596" spans="1:18">
      <c r="A596">
        <v>51528900000000</v>
      </c>
      <c r="B596" t="s">
        <v>28</v>
      </c>
      <c r="C596">
        <v>28</v>
      </c>
      <c r="D596" t="s">
        <v>37</v>
      </c>
      <c r="E596" t="s">
        <v>72</v>
      </c>
      <c r="F596" s="1">
        <v>42473</v>
      </c>
      <c r="G596" s="1">
        <v>42520</v>
      </c>
      <c r="H596" t="s">
        <v>30</v>
      </c>
      <c r="I596">
        <v>47</v>
      </c>
      <c r="J596" t="s">
        <v>22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 t="s">
        <v>23</v>
      </c>
      <c r="R596">
        <v>0</v>
      </c>
    </row>
    <row r="597" spans="1:18">
      <c r="A597">
        <v>79299700000000</v>
      </c>
      <c r="B597" t="s">
        <v>18</v>
      </c>
      <c r="C597">
        <v>26</v>
      </c>
      <c r="D597" t="s">
        <v>37</v>
      </c>
      <c r="E597" t="s">
        <v>108</v>
      </c>
      <c r="F597" s="1">
        <v>42509</v>
      </c>
      <c r="G597" s="1">
        <v>42514</v>
      </c>
      <c r="H597" t="s">
        <v>41</v>
      </c>
      <c r="I597">
        <v>5</v>
      </c>
      <c r="J597" t="s">
        <v>107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1</v>
      </c>
      <c r="Q597" t="s">
        <v>26</v>
      </c>
      <c r="R597">
        <v>1</v>
      </c>
    </row>
    <row r="598" spans="1:18">
      <c r="A598">
        <v>98576500000000</v>
      </c>
      <c r="B598" t="s">
        <v>18</v>
      </c>
      <c r="C598">
        <v>19</v>
      </c>
      <c r="D598" t="s">
        <v>37</v>
      </c>
      <c r="E598" t="s">
        <v>84</v>
      </c>
      <c r="F598" s="1">
        <v>42509</v>
      </c>
      <c r="G598" s="1">
        <v>42509</v>
      </c>
      <c r="H598" t="s">
        <v>33</v>
      </c>
      <c r="I598">
        <v>0</v>
      </c>
      <c r="J598" t="s">
        <v>111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26</v>
      </c>
      <c r="R598">
        <v>1</v>
      </c>
    </row>
    <row r="599" spans="1:18">
      <c r="A599">
        <v>75663400000000</v>
      </c>
      <c r="B599" t="s">
        <v>18</v>
      </c>
      <c r="C599">
        <v>32</v>
      </c>
      <c r="D599" t="s">
        <v>37</v>
      </c>
      <c r="E599" t="s">
        <v>43</v>
      </c>
      <c r="F599" s="1">
        <v>42509</v>
      </c>
      <c r="G599" s="1">
        <v>42522</v>
      </c>
      <c r="H599" t="s">
        <v>25</v>
      </c>
      <c r="I599">
        <v>13</v>
      </c>
      <c r="J599" t="s">
        <v>92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 t="s">
        <v>23</v>
      </c>
      <c r="R599">
        <v>0</v>
      </c>
    </row>
    <row r="600" spans="1:18">
      <c r="A600">
        <v>57464500000000</v>
      </c>
      <c r="B600" t="s">
        <v>28</v>
      </c>
      <c r="C600">
        <v>27</v>
      </c>
      <c r="D600" t="s">
        <v>37</v>
      </c>
      <c r="E600" t="s">
        <v>103</v>
      </c>
      <c r="F600" s="1">
        <v>42509</v>
      </c>
      <c r="G600" s="1">
        <v>42524</v>
      </c>
      <c r="H600" t="s">
        <v>21</v>
      </c>
      <c r="I600">
        <v>15</v>
      </c>
      <c r="J600" t="s">
        <v>77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</v>
      </c>
      <c r="Q600" t="s">
        <v>26</v>
      </c>
      <c r="R600">
        <v>1</v>
      </c>
    </row>
    <row r="601" spans="1:18">
      <c r="A601">
        <v>162629000000000</v>
      </c>
      <c r="B601" t="s">
        <v>18</v>
      </c>
      <c r="C601">
        <v>35</v>
      </c>
      <c r="D601" t="s">
        <v>37</v>
      </c>
      <c r="E601" t="s">
        <v>39</v>
      </c>
      <c r="F601" s="1">
        <v>42509</v>
      </c>
      <c r="G601" s="1">
        <v>42515</v>
      </c>
      <c r="H601" t="s">
        <v>25</v>
      </c>
      <c r="I601">
        <v>6</v>
      </c>
      <c r="J601" t="s">
        <v>107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 t="s">
        <v>23</v>
      </c>
      <c r="R601">
        <v>0</v>
      </c>
    </row>
    <row r="602" spans="1:18">
      <c r="A602">
        <v>49898900000000</v>
      </c>
      <c r="B602" t="s">
        <v>18</v>
      </c>
      <c r="C602">
        <v>28</v>
      </c>
      <c r="D602" t="s">
        <v>37</v>
      </c>
      <c r="E602" t="s">
        <v>72</v>
      </c>
      <c r="F602" s="1">
        <v>42509</v>
      </c>
      <c r="G602" s="1">
        <v>42509</v>
      </c>
      <c r="H602" t="s">
        <v>33</v>
      </c>
      <c r="I602">
        <v>0</v>
      </c>
      <c r="J602" t="s">
        <v>111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23</v>
      </c>
      <c r="R602">
        <v>0</v>
      </c>
    </row>
    <row r="603" spans="1:18">
      <c r="A603">
        <v>784534000000000</v>
      </c>
      <c r="B603" t="s">
        <v>18</v>
      </c>
      <c r="C603">
        <v>25</v>
      </c>
      <c r="D603" t="s">
        <v>37</v>
      </c>
      <c r="E603" t="s">
        <v>99</v>
      </c>
      <c r="F603" s="1">
        <v>42509</v>
      </c>
      <c r="G603" s="1">
        <v>42514</v>
      </c>
      <c r="H603" t="s">
        <v>41</v>
      </c>
      <c r="I603">
        <v>5</v>
      </c>
      <c r="J603" t="s">
        <v>107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 t="s">
        <v>23</v>
      </c>
      <c r="R603">
        <v>0</v>
      </c>
    </row>
    <row r="604" spans="1:18">
      <c r="A604">
        <v>18875363788</v>
      </c>
      <c r="B604" t="s">
        <v>18</v>
      </c>
      <c r="C604">
        <v>30</v>
      </c>
      <c r="D604" t="s">
        <v>37</v>
      </c>
      <c r="E604" t="s">
        <v>32</v>
      </c>
      <c r="F604" s="1">
        <v>42473</v>
      </c>
      <c r="G604" s="1">
        <v>42507</v>
      </c>
      <c r="H604" t="s">
        <v>41</v>
      </c>
      <c r="I604">
        <v>34</v>
      </c>
      <c r="J604" t="s">
        <v>22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23</v>
      </c>
      <c r="R604">
        <v>0</v>
      </c>
    </row>
    <row r="605" spans="1:18">
      <c r="A605">
        <v>97675600000000</v>
      </c>
      <c r="B605" t="s">
        <v>18</v>
      </c>
      <c r="C605">
        <v>23</v>
      </c>
      <c r="D605" t="s">
        <v>37</v>
      </c>
      <c r="E605" t="s">
        <v>87</v>
      </c>
      <c r="F605" s="1">
        <v>42509</v>
      </c>
      <c r="G605" s="1">
        <v>42510</v>
      </c>
      <c r="H605" t="s">
        <v>21</v>
      </c>
      <c r="I605">
        <v>1</v>
      </c>
      <c r="J605" t="s">
        <v>109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 t="s">
        <v>23</v>
      </c>
      <c r="R605">
        <v>0</v>
      </c>
    </row>
    <row r="606" spans="1:18">
      <c r="A606">
        <v>934185000000</v>
      </c>
      <c r="B606" t="s">
        <v>28</v>
      </c>
      <c r="C606">
        <v>34</v>
      </c>
      <c r="D606" t="s">
        <v>37</v>
      </c>
      <c r="E606" t="s">
        <v>47</v>
      </c>
      <c r="F606" s="1">
        <v>42509</v>
      </c>
      <c r="G606" s="1">
        <v>42509</v>
      </c>
      <c r="H606" t="s">
        <v>33</v>
      </c>
      <c r="I606">
        <v>0</v>
      </c>
      <c r="J606" t="s">
        <v>111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23</v>
      </c>
      <c r="R606">
        <v>0</v>
      </c>
    </row>
    <row r="607" spans="1:18">
      <c r="A607">
        <v>87823500000000</v>
      </c>
      <c r="B607" t="s">
        <v>18</v>
      </c>
      <c r="C607">
        <v>19</v>
      </c>
      <c r="D607" t="s">
        <v>37</v>
      </c>
      <c r="E607" t="s">
        <v>42</v>
      </c>
      <c r="F607" s="1">
        <v>42473</v>
      </c>
      <c r="G607" s="1">
        <v>42494</v>
      </c>
      <c r="H607" t="s">
        <v>25</v>
      </c>
      <c r="I607">
        <v>21</v>
      </c>
      <c r="J607" t="s">
        <v>77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 t="s">
        <v>26</v>
      </c>
      <c r="R607">
        <v>1</v>
      </c>
    </row>
    <row r="608" spans="1:18">
      <c r="A608">
        <v>317966000000</v>
      </c>
      <c r="B608" t="s">
        <v>28</v>
      </c>
      <c r="C608">
        <v>18</v>
      </c>
      <c r="D608" t="s">
        <v>37</v>
      </c>
      <c r="E608" t="s">
        <v>95</v>
      </c>
      <c r="F608" s="1">
        <v>42509</v>
      </c>
      <c r="G608" s="1">
        <v>42509</v>
      </c>
      <c r="H608" t="s">
        <v>33</v>
      </c>
      <c r="I608">
        <v>0</v>
      </c>
      <c r="J608" t="s">
        <v>111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23</v>
      </c>
      <c r="R608">
        <v>0</v>
      </c>
    </row>
    <row r="609" spans="1:18">
      <c r="A609">
        <v>499252831</v>
      </c>
      <c r="B609" t="s">
        <v>18</v>
      </c>
      <c r="C609">
        <v>31</v>
      </c>
      <c r="D609" t="s">
        <v>37</v>
      </c>
      <c r="E609" t="s">
        <v>75</v>
      </c>
      <c r="F609" s="1">
        <v>42509</v>
      </c>
      <c r="G609" s="1">
        <v>42509</v>
      </c>
      <c r="H609" t="s">
        <v>33</v>
      </c>
      <c r="I609">
        <v>0</v>
      </c>
      <c r="J609" t="s">
        <v>111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23</v>
      </c>
      <c r="R609">
        <v>0</v>
      </c>
    </row>
    <row r="610" spans="1:18">
      <c r="A610">
        <v>742784000000000</v>
      </c>
      <c r="B610" t="s">
        <v>28</v>
      </c>
      <c r="C610">
        <v>20</v>
      </c>
      <c r="D610" t="s">
        <v>37</v>
      </c>
      <c r="E610" t="s">
        <v>96</v>
      </c>
      <c r="F610" s="1">
        <v>42509</v>
      </c>
      <c r="G610" s="1">
        <v>42528</v>
      </c>
      <c r="H610" t="s">
        <v>41</v>
      </c>
      <c r="I610">
        <v>19</v>
      </c>
      <c r="J610" t="s">
        <v>77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 t="s">
        <v>23</v>
      </c>
      <c r="R610">
        <v>0</v>
      </c>
    </row>
    <row r="611" spans="1:18">
      <c r="A611">
        <v>5817950000000</v>
      </c>
      <c r="B611" t="s">
        <v>28</v>
      </c>
      <c r="C611">
        <v>18</v>
      </c>
      <c r="D611" t="s">
        <v>37</v>
      </c>
      <c r="E611" t="s">
        <v>39</v>
      </c>
      <c r="F611" s="1">
        <v>42509</v>
      </c>
      <c r="G611" s="1">
        <v>42509</v>
      </c>
      <c r="H611" t="s">
        <v>33</v>
      </c>
      <c r="I611">
        <v>0</v>
      </c>
      <c r="J611" t="s">
        <v>111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23</v>
      </c>
      <c r="R611">
        <v>0</v>
      </c>
    </row>
    <row r="612" spans="1:18">
      <c r="A612">
        <v>495695000000</v>
      </c>
      <c r="B612" t="s">
        <v>28</v>
      </c>
      <c r="C612">
        <v>18</v>
      </c>
      <c r="D612" t="s">
        <v>37</v>
      </c>
      <c r="E612" t="s">
        <v>66</v>
      </c>
      <c r="F612" s="1">
        <v>42509</v>
      </c>
      <c r="G612" s="1">
        <v>42509</v>
      </c>
      <c r="H612" t="s">
        <v>33</v>
      </c>
      <c r="I612">
        <v>0</v>
      </c>
      <c r="J612" t="s">
        <v>111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23</v>
      </c>
      <c r="R612">
        <v>0</v>
      </c>
    </row>
    <row r="613" spans="1:18">
      <c r="A613">
        <v>48658700000000</v>
      </c>
      <c r="B613" t="s">
        <v>28</v>
      </c>
      <c r="C613">
        <v>32</v>
      </c>
      <c r="D613" t="s">
        <v>37</v>
      </c>
      <c r="E613" t="s">
        <v>57</v>
      </c>
      <c r="F613" s="1">
        <v>42509</v>
      </c>
      <c r="G613" s="1">
        <v>42509</v>
      </c>
      <c r="H613" t="s">
        <v>33</v>
      </c>
      <c r="I613">
        <v>0</v>
      </c>
      <c r="J613" t="s">
        <v>111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23</v>
      </c>
      <c r="R613">
        <v>0</v>
      </c>
    </row>
    <row r="614" spans="1:18">
      <c r="A614">
        <v>32135500000000</v>
      </c>
      <c r="B614" t="s">
        <v>18</v>
      </c>
      <c r="C614">
        <v>31</v>
      </c>
      <c r="D614" t="s">
        <v>37</v>
      </c>
      <c r="E614" t="s">
        <v>72</v>
      </c>
      <c r="F614" s="1">
        <v>42509</v>
      </c>
      <c r="G614" s="1">
        <v>42509</v>
      </c>
      <c r="H614" t="s">
        <v>33</v>
      </c>
      <c r="I614">
        <v>0</v>
      </c>
      <c r="J614" t="s">
        <v>111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26</v>
      </c>
      <c r="R614">
        <v>1</v>
      </c>
    </row>
    <row r="615" spans="1:18">
      <c r="A615">
        <v>798478000000</v>
      </c>
      <c r="B615" t="s">
        <v>28</v>
      </c>
      <c r="C615">
        <v>23</v>
      </c>
      <c r="D615" t="s">
        <v>37</v>
      </c>
      <c r="E615" t="s">
        <v>39</v>
      </c>
      <c r="F615" s="1">
        <v>42508</v>
      </c>
      <c r="G615" s="1">
        <v>42509</v>
      </c>
      <c r="H615" t="s">
        <v>33</v>
      </c>
      <c r="I615">
        <v>1</v>
      </c>
      <c r="J615" t="s">
        <v>109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23</v>
      </c>
      <c r="R615">
        <v>0</v>
      </c>
    </row>
    <row r="616" spans="1:18">
      <c r="A616">
        <v>457358000000000</v>
      </c>
      <c r="B616" t="s">
        <v>18</v>
      </c>
      <c r="C616">
        <v>23</v>
      </c>
      <c r="D616" t="s">
        <v>37</v>
      </c>
      <c r="E616" t="s">
        <v>56</v>
      </c>
      <c r="F616" s="1">
        <v>42508</v>
      </c>
      <c r="G616" s="1">
        <v>42529</v>
      </c>
      <c r="H616" t="s">
        <v>25</v>
      </c>
      <c r="I616">
        <v>21</v>
      </c>
      <c r="J616" t="s">
        <v>77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 t="s">
        <v>26</v>
      </c>
      <c r="R616">
        <v>1</v>
      </c>
    </row>
    <row r="617" spans="1:18">
      <c r="A617">
        <v>89572800000000</v>
      </c>
      <c r="B617" t="s">
        <v>28</v>
      </c>
      <c r="C617">
        <v>33</v>
      </c>
      <c r="D617" t="s">
        <v>37</v>
      </c>
      <c r="E617" t="s">
        <v>65</v>
      </c>
      <c r="F617" s="1">
        <v>42508</v>
      </c>
      <c r="G617" s="1">
        <v>42528</v>
      </c>
      <c r="H617" t="s">
        <v>41</v>
      </c>
      <c r="I617">
        <v>20</v>
      </c>
      <c r="J617" t="s">
        <v>77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  <c r="Q617" t="s">
        <v>26</v>
      </c>
      <c r="R617">
        <v>1</v>
      </c>
    </row>
    <row r="618" spans="1:18">
      <c r="A618">
        <v>5185670000000</v>
      </c>
      <c r="B618" t="s">
        <v>18</v>
      </c>
      <c r="C618">
        <v>24</v>
      </c>
      <c r="D618" t="s">
        <v>37</v>
      </c>
      <c r="E618" t="s">
        <v>65</v>
      </c>
      <c r="F618" s="1">
        <v>42508</v>
      </c>
      <c r="G618" s="1">
        <v>42514</v>
      </c>
      <c r="H618" t="s">
        <v>41</v>
      </c>
      <c r="I618">
        <v>6</v>
      </c>
      <c r="J618" t="s">
        <v>107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 t="s">
        <v>23</v>
      </c>
      <c r="R618">
        <v>0</v>
      </c>
    </row>
    <row r="619" spans="1:18">
      <c r="A619">
        <v>116755000000</v>
      </c>
      <c r="B619" t="s">
        <v>28</v>
      </c>
      <c r="C619">
        <v>34</v>
      </c>
      <c r="D619" t="s">
        <v>37</v>
      </c>
      <c r="E619" t="s">
        <v>112</v>
      </c>
      <c r="F619" s="1">
        <v>42508</v>
      </c>
      <c r="G619" s="1">
        <v>42520</v>
      </c>
      <c r="H619" t="s">
        <v>30</v>
      </c>
      <c r="I619">
        <v>12</v>
      </c>
      <c r="J619" t="s">
        <v>92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1</v>
      </c>
      <c r="Q619" t="s">
        <v>26</v>
      </c>
      <c r="R619">
        <v>1</v>
      </c>
    </row>
    <row r="620" spans="1:18">
      <c r="A620">
        <v>375476000000000</v>
      </c>
      <c r="B620" t="s">
        <v>18</v>
      </c>
      <c r="C620">
        <v>30</v>
      </c>
      <c r="D620" t="s">
        <v>37</v>
      </c>
      <c r="E620" t="s">
        <v>29</v>
      </c>
      <c r="F620" s="1">
        <v>42508</v>
      </c>
      <c r="G620" s="1">
        <v>42508</v>
      </c>
      <c r="H620" t="s">
        <v>25</v>
      </c>
      <c r="I620">
        <v>0</v>
      </c>
      <c r="J620" t="s">
        <v>111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23</v>
      </c>
      <c r="R620">
        <v>0</v>
      </c>
    </row>
    <row r="621" spans="1:18">
      <c r="A621">
        <v>17537500000000</v>
      </c>
      <c r="B621" t="s">
        <v>28</v>
      </c>
      <c r="C621">
        <v>29</v>
      </c>
      <c r="D621" t="s">
        <v>37</v>
      </c>
      <c r="E621" t="s">
        <v>50</v>
      </c>
      <c r="F621" s="1">
        <v>42473</v>
      </c>
      <c r="G621" s="1">
        <v>42501</v>
      </c>
      <c r="H621" t="s">
        <v>25</v>
      </c>
      <c r="I621">
        <v>28</v>
      </c>
      <c r="J621" t="s">
        <v>77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 t="s">
        <v>23</v>
      </c>
      <c r="R621">
        <v>0</v>
      </c>
    </row>
    <row r="622" spans="1:18">
      <c r="A622">
        <v>68754000000000</v>
      </c>
      <c r="B622" t="s">
        <v>18</v>
      </c>
      <c r="C622">
        <v>26</v>
      </c>
      <c r="D622" t="s">
        <v>37</v>
      </c>
      <c r="E622" t="s">
        <v>72</v>
      </c>
      <c r="F622" s="1">
        <v>42508</v>
      </c>
      <c r="G622" s="1">
        <v>42508</v>
      </c>
      <c r="H622" t="s">
        <v>25</v>
      </c>
      <c r="I622">
        <v>0</v>
      </c>
      <c r="J622" t="s">
        <v>111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23</v>
      </c>
      <c r="R622">
        <v>0</v>
      </c>
    </row>
    <row r="623" spans="1:18">
      <c r="A623">
        <v>7896290000000</v>
      </c>
      <c r="B623" t="s">
        <v>18</v>
      </c>
      <c r="C623">
        <v>19</v>
      </c>
      <c r="D623" t="s">
        <v>37</v>
      </c>
      <c r="E623" t="s">
        <v>47</v>
      </c>
      <c r="F623" s="1">
        <v>42508</v>
      </c>
      <c r="G623" s="1">
        <v>42508</v>
      </c>
      <c r="H623" t="s">
        <v>25</v>
      </c>
      <c r="I623">
        <v>0</v>
      </c>
      <c r="J623" t="s">
        <v>111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0</v>
      </c>
      <c r="Q623" t="s">
        <v>23</v>
      </c>
      <c r="R623">
        <v>0</v>
      </c>
    </row>
    <row r="624" spans="1:18">
      <c r="A624">
        <v>58267800000000</v>
      </c>
      <c r="B624" t="s">
        <v>28</v>
      </c>
      <c r="C624">
        <v>21</v>
      </c>
      <c r="D624" t="s">
        <v>37</v>
      </c>
      <c r="E624" t="s">
        <v>47</v>
      </c>
      <c r="F624" s="1">
        <v>42508</v>
      </c>
      <c r="G624" s="1">
        <v>42508</v>
      </c>
      <c r="H624" t="s">
        <v>25</v>
      </c>
      <c r="I624">
        <v>0</v>
      </c>
      <c r="J624" t="s">
        <v>111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23</v>
      </c>
      <c r="R624">
        <v>0</v>
      </c>
    </row>
    <row r="625" spans="1:18">
      <c r="A625">
        <v>7893240000000</v>
      </c>
      <c r="B625" t="s">
        <v>18</v>
      </c>
      <c r="C625">
        <v>27</v>
      </c>
      <c r="D625" t="s">
        <v>37</v>
      </c>
      <c r="E625" t="s">
        <v>72</v>
      </c>
      <c r="F625" s="1">
        <v>42473</v>
      </c>
      <c r="G625" s="1">
        <v>42507</v>
      </c>
      <c r="H625" t="s">
        <v>41</v>
      </c>
      <c r="I625">
        <v>34</v>
      </c>
      <c r="J625" t="s">
        <v>22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26</v>
      </c>
      <c r="R625">
        <v>1</v>
      </c>
    </row>
    <row r="626" spans="1:18">
      <c r="A626">
        <v>45252400000000</v>
      </c>
      <c r="B626" t="s">
        <v>28</v>
      </c>
      <c r="C626">
        <v>22</v>
      </c>
      <c r="D626" t="s">
        <v>37</v>
      </c>
      <c r="E626" t="s">
        <v>96</v>
      </c>
      <c r="F626" s="1">
        <v>42508</v>
      </c>
      <c r="G626" s="1">
        <v>42524</v>
      </c>
      <c r="H626" t="s">
        <v>21</v>
      </c>
      <c r="I626">
        <v>16</v>
      </c>
      <c r="J626" t="s">
        <v>77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1</v>
      </c>
      <c r="Q626" t="s">
        <v>26</v>
      </c>
      <c r="R626">
        <v>1</v>
      </c>
    </row>
    <row r="627" spans="1:18">
      <c r="A627">
        <v>27653300000000</v>
      </c>
      <c r="B627" t="s">
        <v>18</v>
      </c>
      <c r="C627">
        <v>31</v>
      </c>
      <c r="D627" t="s">
        <v>37</v>
      </c>
      <c r="E627" t="s">
        <v>86</v>
      </c>
      <c r="F627" s="1">
        <v>42473</v>
      </c>
      <c r="G627" s="1">
        <v>42495</v>
      </c>
      <c r="H627" t="s">
        <v>33</v>
      </c>
      <c r="I627">
        <v>22</v>
      </c>
      <c r="J627" t="s">
        <v>77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 t="s">
        <v>23</v>
      </c>
      <c r="R627">
        <v>0</v>
      </c>
    </row>
    <row r="628" spans="1:18">
      <c r="A628">
        <v>951678000000</v>
      </c>
      <c r="B628" t="s">
        <v>18</v>
      </c>
      <c r="C628">
        <v>25</v>
      </c>
      <c r="D628" t="s">
        <v>37</v>
      </c>
      <c r="E628" t="s">
        <v>42</v>
      </c>
      <c r="F628" s="1">
        <v>42508</v>
      </c>
      <c r="G628" s="1">
        <v>42508</v>
      </c>
      <c r="H628" t="s">
        <v>25</v>
      </c>
      <c r="I628">
        <v>0</v>
      </c>
      <c r="J628" t="s">
        <v>111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23</v>
      </c>
      <c r="R628">
        <v>0</v>
      </c>
    </row>
    <row r="629" spans="1:18">
      <c r="A629">
        <v>32454600000000</v>
      </c>
      <c r="B629" t="s">
        <v>18</v>
      </c>
      <c r="C629">
        <v>22</v>
      </c>
      <c r="D629" t="s">
        <v>37</v>
      </c>
      <c r="E629" t="s">
        <v>29</v>
      </c>
      <c r="F629" s="1">
        <v>42473</v>
      </c>
      <c r="G629" s="1">
        <v>42496</v>
      </c>
      <c r="H629" t="s">
        <v>21</v>
      </c>
      <c r="I629">
        <v>23</v>
      </c>
      <c r="J629" t="s">
        <v>77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 t="s">
        <v>23</v>
      </c>
      <c r="R629">
        <v>0</v>
      </c>
    </row>
    <row r="630" spans="1:18">
      <c r="A630">
        <v>2396760000000</v>
      </c>
      <c r="B630" t="s">
        <v>18</v>
      </c>
      <c r="C630">
        <v>32</v>
      </c>
      <c r="D630" t="s">
        <v>37</v>
      </c>
      <c r="E630" t="s">
        <v>39</v>
      </c>
      <c r="F630" s="1">
        <v>42473</v>
      </c>
      <c r="G630" s="1">
        <v>42508</v>
      </c>
      <c r="H630" t="s">
        <v>25</v>
      </c>
      <c r="I630">
        <v>35</v>
      </c>
      <c r="J630" t="s">
        <v>22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23</v>
      </c>
      <c r="R630">
        <v>0</v>
      </c>
    </row>
    <row r="631" spans="1:18">
      <c r="A631">
        <v>81964600000000</v>
      </c>
      <c r="B631" t="s">
        <v>18</v>
      </c>
      <c r="C631">
        <v>28</v>
      </c>
      <c r="D631" t="s">
        <v>37</v>
      </c>
      <c r="E631" t="s">
        <v>72</v>
      </c>
      <c r="F631" s="1">
        <v>42474</v>
      </c>
      <c r="G631" s="1">
        <v>42506</v>
      </c>
      <c r="H631" t="s">
        <v>30</v>
      </c>
      <c r="I631">
        <v>32</v>
      </c>
      <c r="J631" t="s">
        <v>22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26</v>
      </c>
      <c r="R631">
        <v>1</v>
      </c>
    </row>
    <row r="632" spans="1:18">
      <c r="A632">
        <v>472248000000000</v>
      </c>
      <c r="B632" t="s">
        <v>18</v>
      </c>
      <c r="C632">
        <v>20</v>
      </c>
      <c r="D632" t="s">
        <v>37</v>
      </c>
      <c r="E632" t="s">
        <v>43</v>
      </c>
      <c r="F632" s="1">
        <v>42508</v>
      </c>
      <c r="G632" s="1">
        <v>42515</v>
      </c>
      <c r="H632" t="s">
        <v>25</v>
      </c>
      <c r="I632">
        <v>7</v>
      </c>
      <c r="J632" t="s">
        <v>107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 t="s">
        <v>23</v>
      </c>
      <c r="R632">
        <v>0</v>
      </c>
    </row>
    <row r="633" spans="1:18">
      <c r="A633">
        <v>184424000000000</v>
      </c>
      <c r="B633" t="s">
        <v>18</v>
      </c>
      <c r="C633">
        <v>30</v>
      </c>
      <c r="D633" t="s">
        <v>37</v>
      </c>
      <c r="E633" t="s">
        <v>38</v>
      </c>
      <c r="F633" s="1">
        <v>42508</v>
      </c>
      <c r="G633" s="1">
        <v>42528</v>
      </c>
      <c r="H633" t="s">
        <v>41</v>
      </c>
      <c r="I633">
        <v>20</v>
      </c>
      <c r="J633" t="s">
        <v>77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26</v>
      </c>
      <c r="R633">
        <v>1</v>
      </c>
    </row>
    <row r="634" spans="1:18">
      <c r="A634">
        <v>6332990000000</v>
      </c>
      <c r="B634" t="s">
        <v>18</v>
      </c>
      <c r="C634">
        <v>31</v>
      </c>
      <c r="D634" t="s">
        <v>37</v>
      </c>
      <c r="E634" t="s">
        <v>57</v>
      </c>
      <c r="F634" s="1">
        <v>42508</v>
      </c>
      <c r="G634" s="1">
        <v>42508</v>
      </c>
      <c r="H634" t="s">
        <v>25</v>
      </c>
      <c r="I634">
        <v>0</v>
      </c>
      <c r="J634" t="s">
        <v>111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23</v>
      </c>
      <c r="R634">
        <v>0</v>
      </c>
    </row>
    <row r="635" spans="1:18">
      <c r="A635">
        <v>192529000000000</v>
      </c>
      <c r="B635" t="s">
        <v>18</v>
      </c>
      <c r="C635">
        <v>29</v>
      </c>
      <c r="D635" t="s">
        <v>37</v>
      </c>
      <c r="E635" t="s">
        <v>101</v>
      </c>
      <c r="F635" s="1">
        <v>42508</v>
      </c>
      <c r="G635" s="1">
        <v>42508</v>
      </c>
      <c r="H635" t="s">
        <v>25</v>
      </c>
      <c r="I635">
        <v>0</v>
      </c>
      <c r="J635" t="s">
        <v>111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 t="s">
        <v>23</v>
      </c>
      <c r="R635">
        <v>0</v>
      </c>
    </row>
    <row r="636" spans="1:18">
      <c r="A636">
        <v>121238000000</v>
      </c>
      <c r="B636" t="s">
        <v>28</v>
      </c>
      <c r="C636">
        <v>26</v>
      </c>
      <c r="D636" t="s">
        <v>37</v>
      </c>
      <c r="E636" t="s">
        <v>32</v>
      </c>
      <c r="F636" s="1">
        <v>42508</v>
      </c>
      <c r="G636" s="1">
        <v>42520</v>
      </c>
      <c r="H636" t="s">
        <v>30</v>
      </c>
      <c r="I636">
        <v>12</v>
      </c>
      <c r="J636" t="s">
        <v>92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 t="s">
        <v>23</v>
      </c>
      <c r="R636">
        <v>0</v>
      </c>
    </row>
    <row r="637" spans="1:18">
      <c r="A637">
        <v>1577980000000</v>
      </c>
      <c r="B637" t="s">
        <v>18</v>
      </c>
      <c r="C637">
        <v>23</v>
      </c>
      <c r="D637" t="s">
        <v>37</v>
      </c>
      <c r="E637" t="s">
        <v>29</v>
      </c>
      <c r="F637" s="1">
        <v>42508</v>
      </c>
      <c r="G637" s="1">
        <v>42527</v>
      </c>
      <c r="H637" t="s">
        <v>30</v>
      </c>
      <c r="I637">
        <v>19</v>
      </c>
      <c r="J637" t="s">
        <v>77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 t="s">
        <v>23</v>
      </c>
      <c r="R637">
        <v>0</v>
      </c>
    </row>
    <row r="638" spans="1:18">
      <c r="A638">
        <v>424885000000000</v>
      </c>
      <c r="B638" t="s">
        <v>18</v>
      </c>
      <c r="C638">
        <v>20</v>
      </c>
      <c r="D638" t="s">
        <v>37</v>
      </c>
      <c r="E638" t="s">
        <v>32</v>
      </c>
      <c r="F638" s="1">
        <v>42508</v>
      </c>
      <c r="G638" s="1">
        <v>42528</v>
      </c>
      <c r="H638" t="s">
        <v>41</v>
      </c>
      <c r="I638">
        <v>20</v>
      </c>
      <c r="J638" t="s">
        <v>77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 t="s">
        <v>26</v>
      </c>
      <c r="R638">
        <v>1</v>
      </c>
    </row>
    <row r="639" spans="1:18">
      <c r="A639">
        <v>69322200000000</v>
      </c>
      <c r="B639" t="s">
        <v>28</v>
      </c>
      <c r="C639">
        <v>33</v>
      </c>
      <c r="D639" t="s">
        <v>37</v>
      </c>
      <c r="E639" t="s">
        <v>79</v>
      </c>
      <c r="F639" s="1">
        <v>42508</v>
      </c>
      <c r="G639" s="1">
        <v>42508</v>
      </c>
      <c r="H639" t="s">
        <v>25</v>
      </c>
      <c r="I639">
        <v>0</v>
      </c>
      <c r="J639" t="s">
        <v>111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 t="s">
        <v>23</v>
      </c>
      <c r="R639">
        <v>0</v>
      </c>
    </row>
    <row r="640" spans="1:18">
      <c r="A640">
        <v>4526800000000</v>
      </c>
      <c r="B640" t="s">
        <v>28</v>
      </c>
      <c r="C640">
        <v>32</v>
      </c>
      <c r="D640" t="s">
        <v>37</v>
      </c>
      <c r="E640" t="s">
        <v>39</v>
      </c>
      <c r="F640" s="1">
        <v>42508</v>
      </c>
      <c r="G640" s="1">
        <v>42508</v>
      </c>
      <c r="H640" t="s">
        <v>25</v>
      </c>
      <c r="I640">
        <v>0</v>
      </c>
      <c r="J640" t="s">
        <v>111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23</v>
      </c>
      <c r="R640">
        <v>0</v>
      </c>
    </row>
    <row r="641" spans="1:18">
      <c r="A641">
        <v>3536780000000</v>
      </c>
      <c r="B641" t="s">
        <v>18</v>
      </c>
      <c r="C641">
        <v>23</v>
      </c>
      <c r="D641" t="s">
        <v>37</v>
      </c>
      <c r="E641" t="s">
        <v>75</v>
      </c>
      <c r="F641" s="1">
        <v>42508</v>
      </c>
      <c r="G641" s="1">
        <v>42508</v>
      </c>
      <c r="H641" t="s">
        <v>25</v>
      </c>
      <c r="I641">
        <v>0</v>
      </c>
      <c r="J641" t="s">
        <v>111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23</v>
      </c>
      <c r="R641">
        <v>0</v>
      </c>
    </row>
    <row r="642" spans="1:18">
      <c r="A642">
        <v>368217000000</v>
      </c>
      <c r="B642" t="s">
        <v>28</v>
      </c>
      <c r="C642">
        <v>21</v>
      </c>
      <c r="D642" t="s">
        <v>37</v>
      </c>
      <c r="E642" t="s">
        <v>24</v>
      </c>
      <c r="F642" s="1">
        <v>42508</v>
      </c>
      <c r="G642" s="1">
        <v>42509</v>
      </c>
      <c r="H642" t="s">
        <v>33</v>
      </c>
      <c r="I642">
        <v>1</v>
      </c>
      <c r="J642" t="s">
        <v>109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23</v>
      </c>
      <c r="R642">
        <v>0</v>
      </c>
    </row>
    <row r="643" spans="1:18">
      <c r="A643">
        <v>8211840000000</v>
      </c>
      <c r="B643" t="s">
        <v>18</v>
      </c>
      <c r="C643">
        <v>32</v>
      </c>
      <c r="D643" t="s">
        <v>37</v>
      </c>
      <c r="E643" t="s">
        <v>59</v>
      </c>
      <c r="F643" s="1">
        <v>42508</v>
      </c>
      <c r="G643" s="1">
        <v>42508</v>
      </c>
      <c r="H643" t="s">
        <v>25</v>
      </c>
      <c r="I643">
        <v>0</v>
      </c>
      <c r="J643" t="s">
        <v>111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23</v>
      </c>
      <c r="R643">
        <v>0</v>
      </c>
    </row>
    <row r="644" spans="1:18">
      <c r="A644">
        <v>725984000000</v>
      </c>
      <c r="B644" t="s">
        <v>18</v>
      </c>
      <c r="C644">
        <v>19</v>
      </c>
      <c r="D644" t="s">
        <v>37</v>
      </c>
      <c r="E644" t="s">
        <v>69</v>
      </c>
      <c r="F644" s="1">
        <v>42474</v>
      </c>
      <c r="G644" s="1">
        <v>42502</v>
      </c>
      <c r="H644" t="s">
        <v>33</v>
      </c>
      <c r="I644">
        <v>28</v>
      </c>
      <c r="J644" t="s">
        <v>77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23</v>
      </c>
      <c r="R644">
        <v>0</v>
      </c>
    </row>
    <row r="645" spans="1:18">
      <c r="A645">
        <v>44772500000000</v>
      </c>
      <c r="B645" t="s">
        <v>18</v>
      </c>
      <c r="C645">
        <v>20</v>
      </c>
      <c r="D645" t="s">
        <v>37</v>
      </c>
      <c r="E645" t="s">
        <v>57</v>
      </c>
      <c r="F645" s="1">
        <v>42474</v>
      </c>
      <c r="G645" s="1">
        <v>42499</v>
      </c>
      <c r="H645" t="s">
        <v>30</v>
      </c>
      <c r="I645">
        <v>25</v>
      </c>
      <c r="J645" t="s">
        <v>77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23</v>
      </c>
      <c r="R645">
        <v>0</v>
      </c>
    </row>
    <row r="646" spans="1:18">
      <c r="A646">
        <v>22392700000000</v>
      </c>
      <c r="B646" t="s">
        <v>18</v>
      </c>
      <c r="C646">
        <v>22</v>
      </c>
      <c r="D646" t="s">
        <v>37</v>
      </c>
      <c r="E646" t="s">
        <v>40</v>
      </c>
      <c r="F646" s="1">
        <v>42474</v>
      </c>
      <c r="G646" s="1">
        <v>42502</v>
      </c>
      <c r="H646" t="s">
        <v>33</v>
      </c>
      <c r="I646">
        <v>28</v>
      </c>
      <c r="J646" t="s">
        <v>77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1</v>
      </c>
      <c r="Q646" t="s">
        <v>23</v>
      </c>
      <c r="R646">
        <v>0</v>
      </c>
    </row>
    <row r="647" spans="1:18">
      <c r="A647">
        <v>913272000000000</v>
      </c>
      <c r="B647" t="s">
        <v>18</v>
      </c>
      <c r="C647">
        <v>29</v>
      </c>
      <c r="D647" t="s">
        <v>37</v>
      </c>
      <c r="E647" t="s">
        <v>64</v>
      </c>
      <c r="F647" s="1">
        <v>42474</v>
      </c>
      <c r="G647" s="1">
        <v>42489</v>
      </c>
      <c r="H647" t="s">
        <v>21</v>
      </c>
      <c r="I647">
        <v>15</v>
      </c>
      <c r="J647" t="s">
        <v>77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 t="s">
        <v>23</v>
      </c>
      <c r="R647">
        <v>0</v>
      </c>
    </row>
    <row r="648" spans="1:18">
      <c r="A648">
        <v>217283000000000</v>
      </c>
      <c r="B648" t="s">
        <v>18</v>
      </c>
      <c r="C648">
        <v>27</v>
      </c>
      <c r="D648" t="s">
        <v>37</v>
      </c>
      <c r="E648" t="s">
        <v>55</v>
      </c>
      <c r="F648" s="1">
        <v>42474</v>
      </c>
      <c r="G648" s="1">
        <v>42521</v>
      </c>
      <c r="H648" t="s">
        <v>41</v>
      </c>
      <c r="I648">
        <v>47</v>
      </c>
      <c r="J648" t="s">
        <v>22</v>
      </c>
      <c r="K648">
        <v>1</v>
      </c>
      <c r="L648">
        <v>0</v>
      </c>
      <c r="M648">
        <v>1</v>
      </c>
      <c r="N648">
        <v>0</v>
      </c>
      <c r="O648">
        <v>0</v>
      </c>
      <c r="P648">
        <v>1</v>
      </c>
      <c r="Q648" t="s">
        <v>26</v>
      </c>
      <c r="R648">
        <v>1</v>
      </c>
    </row>
    <row r="649" spans="1:18">
      <c r="A649">
        <v>18983600000000</v>
      </c>
      <c r="B649" t="s">
        <v>18</v>
      </c>
      <c r="C649">
        <v>32</v>
      </c>
      <c r="D649" t="s">
        <v>37</v>
      </c>
      <c r="E649" t="s">
        <v>32</v>
      </c>
      <c r="F649" s="1">
        <v>42474</v>
      </c>
      <c r="G649" s="1">
        <v>42501</v>
      </c>
      <c r="H649" t="s">
        <v>25</v>
      </c>
      <c r="I649">
        <v>27</v>
      </c>
      <c r="J649" t="s">
        <v>77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1</v>
      </c>
      <c r="Q649" t="s">
        <v>23</v>
      </c>
      <c r="R649">
        <v>0</v>
      </c>
    </row>
    <row r="650" spans="1:18">
      <c r="A650">
        <v>768279000000000</v>
      </c>
      <c r="B650" t="s">
        <v>28</v>
      </c>
      <c r="C650">
        <v>28</v>
      </c>
      <c r="D650" t="s">
        <v>37</v>
      </c>
      <c r="E650" t="s">
        <v>50</v>
      </c>
      <c r="F650" s="1">
        <v>42508</v>
      </c>
      <c r="G650" s="1">
        <v>42514</v>
      </c>
      <c r="H650" t="s">
        <v>41</v>
      </c>
      <c r="I650">
        <v>6</v>
      </c>
      <c r="J650" t="s">
        <v>107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 t="s">
        <v>23</v>
      </c>
      <c r="R650">
        <v>0</v>
      </c>
    </row>
    <row r="651" spans="1:18">
      <c r="A651">
        <v>78344200000000</v>
      </c>
      <c r="B651" t="s">
        <v>28</v>
      </c>
      <c r="C651">
        <v>25</v>
      </c>
      <c r="D651" t="s">
        <v>37</v>
      </c>
      <c r="E651" t="s">
        <v>47</v>
      </c>
      <c r="F651" s="1">
        <v>42508</v>
      </c>
      <c r="G651" s="1">
        <v>42528</v>
      </c>
      <c r="H651" t="s">
        <v>41</v>
      </c>
      <c r="I651">
        <v>20</v>
      </c>
      <c r="J651" t="s">
        <v>77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23</v>
      </c>
      <c r="R651">
        <v>0</v>
      </c>
    </row>
    <row r="652" spans="1:18">
      <c r="A652">
        <v>789612000000000</v>
      </c>
      <c r="B652" t="s">
        <v>28</v>
      </c>
      <c r="C652">
        <v>22</v>
      </c>
      <c r="D652" t="s">
        <v>37</v>
      </c>
      <c r="E652" t="s">
        <v>66</v>
      </c>
      <c r="F652" s="1">
        <v>42508</v>
      </c>
      <c r="G652" s="1">
        <v>42508</v>
      </c>
      <c r="H652" t="s">
        <v>25</v>
      </c>
      <c r="I652">
        <v>0</v>
      </c>
      <c r="J652" t="s">
        <v>111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23</v>
      </c>
      <c r="R652">
        <v>0</v>
      </c>
    </row>
    <row r="653" spans="1:18">
      <c r="A653">
        <v>775575000000000</v>
      </c>
      <c r="B653" t="s">
        <v>18</v>
      </c>
      <c r="C653">
        <v>26</v>
      </c>
      <c r="D653" t="s">
        <v>37</v>
      </c>
      <c r="E653" t="s">
        <v>64</v>
      </c>
      <c r="F653" s="1">
        <v>42508</v>
      </c>
      <c r="G653" s="1">
        <v>42508</v>
      </c>
      <c r="H653" t="s">
        <v>25</v>
      </c>
      <c r="I653">
        <v>0</v>
      </c>
      <c r="J653" t="s">
        <v>111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23</v>
      </c>
      <c r="R653">
        <v>0</v>
      </c>
    </row>
    <row r="654" spans="1:18">
      <c r="A654">
        <v>3773160000000</v>
      </c>
      <c r="B654" t="s">
        <v>18</v>
      </c>
      <c r="C654">
        <v>20</v>
      </c>
      <c r="D654" t="s">
        <v>37</v>
      </c>
      <c r="E654" t="s">
        <v>56</v>
      </c>
      <c r="F654" s="1">
        <v>42508</v>
      </c>
      <c r="G654" s="1">
        <v>42527</v>
      </c>
      <c r="H654" t="s">
        <v>30</v>
      </c>
      <c r="I654">
        <v>19</v>
      </c>
      <c r="J654" t="s">
        <v>77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 t="s">
        <v>26</v>
      </c>
      <c r="R654">
        <v>1</v>
      </c>
    </row>
    <row r="655" spans="1:18">
      <c r="A655">
        <v>9272170000000</v>
      </c>
      <c r="B655" t="s">
        <v>18</v>
      </c>
      <c r="C655">
        <v>19</v>
      </c>
      <c r="D655" t="s">
        <v>37</v>
      </c>
      <c r="E655" t="s">
        <v>54</v>
      </c>
      <c r="F655" s="1">
        <v>42474</v>
      </c>
      <c r="G655" s="1">
        <v>42495</v>
      </c>
      <c r="H655" t="s">
        <v>33</v>
      </c>
      <c r="I655">
        <v>21</v>
      </c>
      <c r="J655" t="s">
        <v>77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1</v>
      </c>
      <c r="Q655" t="s">
        <v>23</v>
      </c>
      <c r="R655">
        <v>0</v>
      </c>
    </row>
    <row r="656" spans="1:18">
      <c r="A656">
        <v>522618000000000</v>
      </c>
      <c r="B656" t="s">
        <v>18</v>
      </c>
      <c r="C656">
        <v>18</v>
      </c>
      <c r="D656" t="s">
        <v>37</v>
      </c>
      <c r="E656" t="s">
        <v>48</v>
      </c>
      <c r="F656" s="1">
        <v>42508</v>
      </c>
      <c r="G656" s="1">
        <v>42515</v>
      </c>
      <c r="H656" t="s">
        <v>25</v>
      </c>
      <c r="I656">
        <v>7</v>
      </c>
      <c r="J656" t="s">
        <v>107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 t="s">
        <v>23</v>
      </c>
      <c r="R656">
        <v>0</v>
      </c>
    </row>
    <row r="657" spans="1:18">
      <c r="A657">
        <v>6183944955</v>
      </c>
      <c r="B657" t="s">
        <v>18</v>
      </c>
      <c r="C657">
        <v>35</v>
      </c>
      <c r="D657" t="s">
        <v>37</v>
      </c>
      <c r="E657" t="s">
        <v>32</v>
      </c>
      <c r="F657" s="1">
        <v>42508</v>
      </c>
      <c r="G657" s="1">
        <v>42508</v>
      </c>
      <c r="H657" t="s">
        <v>25</v>
      </c>
      <c r="I657">
        <v>0</v>
      </c>
      <c r="J657" t="s">
        <v>111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23</v>
      </c>
      <c r="R657">
        <v>0</v>
      </c>
    </row>
    <row r="658" spans="1:18">
      <c r="A658">
        <v>3341130000000</v>
      </c>
      <c r="B658" t="s">
        <v>18</v>
      </c>
      <c r="C658">
        <v>27</v>
      </c>
      <c r="D658" t="s">
        <v>37</v>
      </c>
      <c r="E658" t="s">
        <v>45</v>
      </c>
      <c r="F658" s="1">
        <v>42508</v>
      </c>
      <c r="G658" s="1">
        <v>42509</v>
      </c>
      <c r="H658" t="s">
        <v>33</v>
      </c>
      <c r="I658">
        <v>1</v>
      </c>
      <c r="J658" t="s">
        <v>109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 t="s">
        <v>23</v>
      </c>
      <c r="R658">
        <v>0</v>
      </c>
    </row>
    <row r="659" spans="1:18">
      <c r="A659">
        <v>19844700000000</v>
      </c>
      <c r="B659" t="s">
        <v>18</v>
      </c>
      <c r="C659">
        <v>28</v>
      </c>
      <c r="D659" t="s">
        <v>37</v>
      </c>
      <c r="E659" t="s">
        <v>50</v>
      </c>
      <c r="F659" s="1">
        <v>42508</v>
      </c>
      <c r="G659" s="1">
        <v>42508</v>
      </c>
      <c r="H659" t="s">
        <v>25</v>
      </c>
      <c r="I659">
        <v>0</v>
      </c>
      <c r="J659" t="s">
        <v>111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23</v>
      </c>
      <c r="R659">
        <v>0</v>
      </c>
    </row>
    <row r="660" spans="1:18">
      <c r="A660">
        <v>9326400000000</v>
      </c>
      <c r="B660" t="s">
        <v>28</v>
      </c>
      <c r="C660">
        <v>27</v>
      </c>
      <c r="D660" t="s">
        <v>37</v>
      </c>
      <c r="E660" t="s">
        <v>67</v>
      </c>
      <c r="F660" s="1">
        <v>42508</v>
      </c>
      <c r="G660" s="1">
        <v>42508</v>
      </c>
      <c r="H660" t="s">
        <v>25</v>
      </c>
      <c r="I660">
        <v>0</v>
      </c>
      <c r="J660" t="s">
        <v>111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23</v>
      </c>
      <c r="R660">
        <v>0</v>
      </c>
    </row>
    <row r="661" spans="1:18">
      <c r="A661">
        <v>287650000000</v>
      </c>
      <c r="B661" t="s">
        <v>18</v>
      </c>
      <c r="C661">
        <v>31</v>
      </c>
      <c r="D661" t="s">
        <v>37</v>
      </c>
      <c r="E661" t="s">
        <v>94</v>
      </c>
      <c r="F661" s="1">
        <v>42508</v>
      </c>
      <c r="G661" s="1">
        <v>42508</v>
      </c>
      <c r="H661" t="s">
        <v>25</v>
      </c>
      <c r="I661">
        <v>0</v>
      </c>
      <c r="J661" t="s">
        <v>111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23</v>
      </c>
      <c r="R661">
        <v>0</v>
      </c>
    </row>
    <row r="662" spans="1:18">
      <c r="A662">
        <v>68337600000000</v>
      </c>
      <c r="B662" t="s">
        <v>18</v>
      </c>
      <c r="C662">
        <v>33</v>
      </c>
      <c r="D662" t="s">
        <v>37</v>
      </c>
      <c r="E662" t="s">
        <v>58</v>
      </c>
      <c r="F662" s="1">
        <v>42508</v>
      </c>
      <c r="G662" s="1">
        <v>42508</v>
      </c>
      <c r="H662" t="s">
        <v>25</v>
      </c>
      <c r="I662">
        <v>0</v>
      </c>
      <c r="J662" t="s">
        <v>111</v>
      </c>
      <c r="K662">
        <v>1</v>
      </c>
      <c r="L662">
        <v>1</v>
      </c>
      <c r="M662">
        <v>0</v>
      </c>
      <c r="N662">
        <v>0</v>
      </c>
      <c r="O662">
        <v>0</v>
      </c>
      <c r="P662">
        <v>0</v>
      </c>
      <c r="Q662" t="s">
        <v>23</v>
      </c>
      <c r="R662">
        <v>0</v>
      </c>
    </row>
    <row r="663" spans="1:18">
      <c r="A663">
        <v>9874120000000</v>
      </c>
      <c r="B663" t="s">
        <v>18</v>
      </c>
      <c r="C663">
        <v>23</v>
      </c>
      <c r="D663" t="s">
        <v>37</v>
      </c>
      <c r="E663" t="s">
        <v>54</v>
      </c>
      <c r="F663" s="1">
        <v>42508</v>
      </c>
      <c r="G663" s="1">
        <v>42508</v>
      </c>
      <c r="H663" t="s">
        <v>25</v>
      </c>
      <c r="I663">
        <v>0</v>
      </c>
      <c r="J663" t="s">
        <v>111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23</v>
      </c>
      <c r="R663">
        <v>0</v>
      </c>
    </row>
    <row r="664" spans="1:18">
      <c r="A664">
        <v>827879000000</v>
      </c>
      <c r="B664" t="s">
        <v>18</v>
      </c>
      <c r="C664">
        <v>31</v>
      </c>
      <c r="D664" t="s">
        <v>37</v>
      </c>
      <c r="E664" t="s">
        <v>54</v>
      </c>
      <c r="F664" s="1">
        <v>42508</v>
      </c>
      <c r="G664" s="1">
        <v>42521</v>
      </c>
      <c r="H664" t="s">
        <v>41</v>
      </c>
      <c r="I664">
        <v>13</v>
      </c>
      <c r="J664" t="s">
        <v>92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23</v>
      </c>
      <c r="R664">
        <v>0</v>
      </c>
    </row>
    <row r="665" spans="1:18">
      <c r="A665">
        <v>36879700000000</v>
      </c>
      <c r="B665" t="s">
        <v>18</v>
      </c>
      <c r="C665">
        <v>19</v>
      </c>
      <c r="D665" t="s">
        <v>37</v>
      </c>
      <c r="E665" t="s">
        <v>61</v>
      </c>
      <c r="F665" s="1">
        <v>42508</v>
      </c>
      <c r="G665" s="1">
        <v>42524</v>
      </c>
      <c r="H665" t="s">
        <v>21</v>
      </c>
      <c r="I665">
        <v>16</v>
      </c>
      <c r="J665" t="s">
        <v>77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 t="s">
        <v>26</v>
      </c>
      <c r="R665">
        <v>1</v>
      </c>
    </row>
    <row r="666" spans="1:18">
      <c r="A666">
        <v>691569000000000</v>
      </c>
      <c r="B666" t="s">
        <v>18</v>
      </c>
      <c r="C666">
        <v>21</v>
      </c>
      <c r="D666" t="s">
        <v>37</v>
      </c>
      <c r="E666" t="s">
        <v>69</v>
      </c>
      <c r="F666" s="1">
        <v>42508</v>
      </c>
      <c r="G666" s="1">
        <v>42508</v>
      </c>
      <c r="H666" t="s">
        <v>25</v>
      </c>
      <c r="I666">
        <v>0</v>
      </c>
      <c r="J666" t="s">
        <v>111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23</v>
      </c>
      <c r="R666">
        <v>0</v>
      </c>
    </row>
    <row r="667" spans="1:18">
      <c r="A667">
        <v>925216000000000</v>
      </c>
      <c r="B667" t="s">
        <v>28</v>
      </c>
      <c r="C667">
        <v>28</v>
      </c>
      <c r="D667" t="s">
        <v>37</v>
      </c>
      <c r="E667" t="s">
        <v>72</v>
      </c>
      <c r="F667" s="1">
        <v>42508</v>
      </c>
      <c r="G667" s="1">
        <v>42520</v>
      </c>
      <c r="H667" t="s">
        <v>30</v>
      </c>
      <c r="I667">
        <v>12</v>
      </c>
      <c r="J667" t="s">
        <v>92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 t="s">
        <v>23</v>
      </c>
      <c r="R667">
        <v>0</v>
      </c>
    </row>
    <row r="668" spans="1:18">
      <c r="A668">
        <v>95572000000000</v>
      </c>
      <c r="B668" t="s">
        <v>28</v>
      </c>
      <c r="C668">
        <v>35</v>
      </c>
      <c r="D668" t="s">
        <v>37</v>
      </c>
      <c r="E668" t="s">
        <v>105</v>
      </c>
      <c r="F668" s="1">
        <v>42508</v>
      </c>
      <c r="G668" s="1">
        <v>42508</v>
      </c>
      <c r="H668" t="s">
        <v>25</v>
      </c>
      <c r="I668">
        <v>0</v>
      </c>
      <c r="J668" t="s">
        <v>111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23</v>
      </c>
      <c r="R668">
        <v>0</v>
      </c>
    </row>
    <row r="669" spans="1:18">
      <c r="A669">
        <v>496379000000000</v>
      </c>
      <c r="B669" t="s">
        <v>18</v>
      </c>
      <c r="C669">
        <v>23</v>
      </c>
      <c r="D669" t="s">
        <v>37</v>
      </c>
      <c r="E669" t="s">
        <v>59</v>
      </c>
      <c r="F669" s="1">
        <v>42508</v>
      </c>
      <c r="G669" s="1">
        <v>42508</v>
      </c>
      <c r="H669" t="s">
        <v>25</v>
      </c>
      <c r="I669">
        <v>0</v>
      </c>
      <c r="J669" t="s">
        <v>111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23</v>
      </c>
      <c r="R669">
        <v>0</v>
      </c>
    </row>
    <row r="670" spans="1:18">
      <c r="A670">
        <v>39814500000000</v>
      </c>
      <c r="B670" t="s">
        <v>18</v>
      </c>
      <c r="C670">
        <v>19</v>
      </c>
      <c r="D670" t="s">
        <v>37</v>
      </c>
      <c r="E670" t="s">
        <v>34</v>
      </c>
      <c r="F670" s="1">
        <v>42508</v>
      </c>
      <c r="G670" s="1">
        <v>42521</v>
      </c>
      <c r="H670" t="s">
        <v>41</v>
      </c>
      <c r="I670">
        <v>13</v>
      </c>
      <c r="J670" t="s">
        <v>92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23</v>
      </c>
      <c r="R670">
        <v>0</v>
      </c>
    </row>
    <row r="671" spans="1:18">
      <c r="A671">
        <v>298453000000</v>
      </c>
      <c r="B671" t="s">
        <v>28</v>
      </c>
      <c r="C671">
        <v>29</v>
      </c>
      <c r="D671" t="s">
        <v>37</v>
      </c>
      <c r="E671" t="s">
        <v>69</v>
      </c>
      <c r="F671" s="1">
        <v>42508</v>
      </c>
      <c r="G671" s="1">
        <v>42508</v>
      </c>
      <c r="H671" t="s">
        <v>25</v>
      </c>
      <c r="I671">
        <v>0</v>
      </c>
      <c r="J671" t="s">
        <v>111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 t="s">
        <v>23</v>
      </c>
      <c r="R671">
        <v>0</v>
      </c>
    </row>
    <row r="672" spans="1:18">
      <c r="A672">
        <v>7569550000000</v>
      </c>
      <c r="B672" t="s">
        <v>28</v>
      </c>
      <c r="C672">
        <v>35</v>
      </c>
      <c r="D672" t="s">
        <v>37</v>
      </c>
      <c r="E672" t="s">
        <v>89</v>
      </c>
      <c r="F672" s="1">
        <v>42507</v>
      </c>
      <c r="G672" s="1">
        <v>42509</v>
      </c>
      <c r="H672" t="s">
        <v>33</v>
      </c>
      <c r="I672">
        <v>2</v>
      </c>
      <c r="J672" t="s">
        <v>109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26</v>
      </c>
      <c r="R672">
        <v>1</v>
      </c>
    </row>
    <row r="673" spans="1:18">
      <c r="A673">
        <v>9896820000000</v>
      </c>
      <c r="B673" t="s">
        <v>28</v>
      </c>
      <c r="C673">
        <v>26</v>
      </c>
      <c r="D673" t="s">
        <v>37</v>
      </c>
      <c r="E673" t="s">
        <v>29</v>
      </c>
      <c r="F673" s="1">
        <v>42507</v>
      </c>
      <c r="G673" s="1">
        <v>42507</v>
      </c>
      <c r="H673" t="s">
        <v>41</v>
      </c>
      <c r="I673">
        <v>0</v>
      </c>
      <c r="J673" t="s">
        <v>111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23</v>
      </c>
      <c r="R673">
        <v>0</v>
      </c>
    </row>
    <row r="674" spans="1:18">
      <c r="A674">
        <v>3554220000000</v>
      </c>
      <c r="B674" t="s">
        <v>28</v>
      </c>
      <c r="C674">
        <v>34</v>
      </c>
      <c r="D674" t="s">
        <v>37</v>
      </c>
      <c r="E674" t="s">
        <v>43</v>
      </c>
      <c r="F674" s="1">
        <v>42507</v>
      </c>
      <c r="G674" s="1">
        <v>42520</v>
      </c>
      <c r="H674" t="s">
        <v>30</v>
      </c>
      <c r="I674">
        <v>13</v>
      </c>
      <c r="J674" t="s">
        <v>92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 t="s">
        <v>23</v>
      </c>
      <c r="R674">
        <v>0</v>
      </c>
    </row>
    <row r="675" spans="1:18">
      <c r="A675">
        <v>574885000000000</v>
      </c>
      <c r="B675" t="s">
        <v>18</v>
      </c>
      <c r="C675">
        <v>20</v>
      </c>
      <c r="D675" t="s">
        <v>37</v>
      </c>
      <c r="E675" t="s">
        <v>81</v>
      </c>
      <c r="F675" s="1">
        <v>42507</v>
      </c>
      <c r="G675" s="1">
        <v>42515</v>
      </c>
      <c r="H675" t="s">
        <v>25</v>
      </c>
      <c r="I675">
        <v>8</v>
      </c>
      <c r="J675" t="s">
        <v>92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 t="s">
        <v>23</v>
      </c>
      <c r="R675">
        <v>0</v>
      </c>
    </row>
    <row r="676" spans="1:18">
      <c r="A676">
        <v>36961700000000</v>
      </c>
      <c r="B676" t="s">
        <v>18</v>
      </c>
      <c r="C676">
        <v>30</v>
      </c>
      <c r="D676" t="s">
        <v>37</v>
      </c>
      <c r="E676" t="s">
        <v>79</v>
      </c>
      <c r="F676" s="1">
        <v>42507</v>
      </c>
      <c r="G676" s="1">
        <v>42514</v>
      </c>
      <c r="H676" t="s">
        <v>41</v>
      </c>
      <c r="I676">
        <v>7</v>
      </c>
      <c r="J676" t="s">
        <v>107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23</v>
      </c>
      <c r="R676">
        <v>0</v>
      </c>
    </row>
    <row r="677" spans="1:18">
      <c r="A677">
        <v>9264570000000</v>
      </c>
      <c r="B677" t="s">
        <v>28</v>
      </c>
      <c r="C677">
        <v>21</v>
      </c>
      <c r="D677" t="s">
        <v>37</v>
      </c>
      <c r="E677" t="s">
        <v>61</v>
      </c>
      <c r="F677" s="1">
        <v>42507</v>
      </c>
      <c r="G677" s="1">
        <v>42507</v>
      </c>
      <c r="H677" t="s">
        <v>41</v>
      </c>
      <c r="I677">
        <v>0</v>
      </c>
      <c r="J677" t="s">
        <v>111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23</v>
      </c>
      <c r="R677">
        <v>0</v>
      </c>
    </row>
    <row r="678" spans="1:18">
      <c r="A678">
        <v>956236000000</v>
      </c>
      <c r="B678" t="s">
        <v>18</v>
      </c>
      <c r="C678">
        <v>18</v>
      </c>
      <c r="D678" t="s">
        <v>37</v>
      </c>
      <c r="E678" t="s">
        <v>47</v>
      </c>
      <c r="F678" s="1">
        <v>42507</v>
      </c>
      <c r="G678" s="1">
        <v>42508</v>
      </c>
      <c r="H678" t="s">
        <v>25</v>
      </c>
      <c r="I678">
        <v>1</v>
      </c>
      <c r="J678" t="s">
        <v>109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26</v>
      </c>
      <c r="R678">
        <v>1</v>
      </c>
    </row>
    <row r="679" spans="1:18">
      <c r="A679">
        <v>97529900000000</v>
      </c>
      <c r="B679" t="s">
        <v>18</v>
      </c>
      <c r="C679">
        <v>31</v>
      </c>
      <c r="D679" t="s">
        <v>37</v>
      </c>
      <c r="E679" t="s">
        <v>65</v>
      </c>
      <c r="F679" s="1">
        <v>42507</v>
      </c>
      <c r="G679" s="1">
        <v>42507</v>
      </c>
      <c r="H679" t="s">
        <v>41</v>
      </c>
      <c r="I679">
        <v>0</v>
      </c>
      <c r="J679" t="s">
        <v>111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23</v>
      </c>
      <c r="R679">
        <v>0</v>
      </c>
    </row>
    <row r="680" spans="1:18">
      <c r="A680">
        <v>87317100000000</v>
      </c>
      <c r="B680" t="s">
        <v>28</v>
      </c>
      <c r="C680">
        <v>34</v>
      </c>
      <c r="D680" t="s">
        <v>37</v>
      </c>
      <c r="E680" t="s">
        <v>71</v>
      </c>
      <c r="F680" s="1">
        <v>42507</v>
      </c>
      <c r="G680" s="1">
        <v>42508</v>
      </c>
      <c r="H680" t="s">
        <v>25</v>
      </c>
      <c r="I680">
        <v>1</v>
      </c>
      <c r="J680" t="s">
        <v>109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23</v>
      </c>
      <c r="R680">
        <v>0</v>
      </c>
    </row>
    <row r="681" spans="1:18">
      <c r="A681">
        <v>9727470000000</v>
      </c>
      <c r="B681" t="s">
        <v>18</v>
      </c>
      <c r="C681">
        <v>33</v>
      </c>
      <c r="D681" t="s">
        <v>37</v>
      </c>
      <c r="E681" t="s">
        <v>91</v>
      </c>
      <c r="F681" s="1">
        <v>42475</v>
      </c>
      <c r="G681" s="1">
        <v>42492</v>
      </c>
      <c r="H681" t="s">
        <v>30</v>
      </c>
      <c r="I681">
        <v>17</v>
      </c>
      <c r="J681" t="s">
        <v>77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 t="s">
        <v>23</v>
      </c>
      <c r="R681">
        <v>0</v>
      </c>
    </row>
    <row r="682" spans="1:18">
      <c r="A682">
        <v>7841630000000</v>
      </c>
      <c r="B682" t="s">
        <v>28</v>
      </c>
      <c r="C682">
        <v>20</v>
      </c>
      <c r="D682" t="s">
        <v>37</v>
      </c>
      <c r="E682" t="s">
        <v>54</v>
      </c>
      <c r="F682" s="1">
        <v>42507</v>
      </c>
      <c r="G682" s="1">
        <v>42507</v>
      </c>
      <c r="H682" t="s">
        <v>41</v>
      </c>
      <c r="I682">
        <v>0</v>
      </c>
      <c r="J682" t="s">
        <v>111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23</v>
      </c>
      <c r="R682">
        <v>0</v>
      </c>
    </row>
    <row r="683" spans="1:18">
      <c r="A683">
        <v>6756980000000</v>
      </c>
      <c r="B683" t="s">
        <v>18</v>
      </c>
      <c r="C683">
        <v>32</v>
      </c>
      <c r="D683" t="s">
        <v>37</v>
      </c>
      <c r="E683" t="s">
        <v>104</v>
      </c>
      <c r="F683" s="1">
        <v>42507</v>
      </c>
      <c r="G683" s="1">
        <v>42508</v>
      </c>
      <c r="H683" t="s">
        <v>25</v>
      </c>
      <c r="I683">
        <v>1</v>
      </c>
      <c r="J683" t="s">
        <v>109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23</v>
      </c>
      <c r="R683">
        <v>0</v>
      </c>
    </row>
    <row r="684" spans="1:18">
      <c r="A684">
        <v>133826000000</v>
      </c>
      <c r="B684" t="s">
        <v>18</v>
      </c>
      <c r="C684">
        <v>20</v>
      </c>
      <c r="D684" t="s">
        <v>37</v>
      </c>
      <c r="E684" t="s">
        <v>70</v>
      </c>
      <c r="F684" s="1">
        <v>42507</v>
      </c>
      <c r="G684" s="1">
        <v>42508</v>
      </c>
      <c r="H684" t="s">
        <v>25</v>
      </c>
      <c r="I684">
        <v>1</v>
      </c>
      <c r="J684" t="s">
        <v>109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23</v>
      </c>
      <c r="R684">
        <v>0</v>
      </c>
    </row>
    <row r="685" spans="1:18">
      <c r="A685">
        <v>7616820000000</v>
      </c>
      <c r="B685" t="s">
        <v>18</v>
      </c>
      <c r="C685">
        <v>31</v>
      </c>
      <c r="D685" t="s">
        <v>37</v>
      </c>
      <c r="E685" t="s">
        <v>50</v>
      </c>
      <c r="F685" s="1">
        <v>42507</v>
      </c>
      <c r="G685" s="1">
        <v>42515</v>
      </c>
      <c r="H685" t="s">
        <v>25</v>
      </c>
      <c r="I685">
        <v>8</v>
      </c>
      <c r="J685" t="s">
        <v>92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 t="s">
        <v>23</v>
      </c>
      <c r="R685">
        <v>0</v>
      </c>
    </row>
    <row r="686" spans="1:18">
      <c r="A686">
        <v>81221900000000</v>
      </c>
      <c r="B686" t="s">
        <v>18</v>
      </c>
      <c r="C686">
        <v>34</v>
      </c>
      <c r="D686" t="s">
        <v>37</v>
      </c>
      <c r="E686" t="s">
        <v>29</v>
      </c>
      <c r="F686" s="1">
        <v>42507</v>
      </c>
      <c r="G686" s="1">
        <v>42507</v>
      </c>
      <c r="H686" t="s">
        <v>41</v>
      </c>
      <c r="I686">
        <v>0</v>
      </c>
      <c r="J686" t="s">
        <v>111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23</v>
      </c>
      <c r="R686">
        <v>0</v>
      </c>
    </row>
    <row r="687" spans="1:18">
      <c r="A687">
        <v>44144000000000</v>
      </c>
      <c r="B687" t="s">
        <v>28</v>
      </c>
      <c r="C687">
        <v>22</v>
      </c>
      <c r="D687" t="s">
        <v>37</v>
      </c>
      <c r="E687" t="s">
        <v>38</v>
      </c>
      <c r="F687" s="1">
        <v>42507</v>
      </c>
      <c r="G687" s="1">
        <v>42507</v>
      </c>
      <c r="H687" t="s">
        <v>41</v>
      </c>
      <c r="I687">
        <v>0</v>
      </c>
      <c r="J687" t="s">
        <v>111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23</v>
      </c>
      <c r="R687">
        <v>0</v>
      </c>
    </row>
    <row r="688" spans="1:18">
      <c r="A688">
        <v>22579400000000</v>
      </c>
      <c r="B688" t="s">
        <v>28</v>
      </c>
      <c r="C688">
        <v>25</v>
      </c>
      <c r="D688" t="s">
        <v>37</v>
      </c>
      <c r="E688" t="s">
        <v>51</v>
      </c>
      <c r="F688" s="1">
        <v>42507</v>
      </c>
      <c r="G688" s="1">
        <v>42507</v>
      </c>
      <c r="H688" t="s">
        <v>41</v>
      </c>
      <c r="I688">
        <v>0</v>
      </c>
      <c r="J688" t="s">
        <v>111</v>
      </c>
      <c r="K688">
        <v>1</v>
      </c>
      <c r="L688">
        <v>0</v>
      </c>
      <c r="M688">
        <v>0</v>
      </c>
      <c r="N688">
        <v>0</v>
      </c>
      <c r="O688">
        <v>1</v>
      </c>
      <c r="P688">
        <v>0</v>
      </c>
      <c r="Q688" t="s">
        <v>23</v>
      </c>
      <c r="R688">
        <v>0</v>
      </c>
    </row>
    <row r="689" spans="1:18">
      <c r="A689">
        <v>49486500000000</v>
      </c>
      <c r="B689" t="s">
        <v>18</v>
      </c>
      <c r="C689">
        <v>35</v>
      </c>
      <c r="D689" t="s">
        <v>37</v>
      </c>
      <c r="E689" t="s">
        <v>39</v>
      </c>
      <c r="F689" s="1">
        <v>42507</v>
      </c>
      <c r="G689" s="1">
        <v>42509</v>
      </c>
      <c r="H689" t="s">
        <v>33</v>
      </c>
      <c r="I689">
        <v>2</v>
      </c>
      <c r="J689" t="s">
        <v>109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23</v>
      </c>
      <c r="R689">
        <v>0</v>
      </c>
    </row>
    <row r="690" spans="1:18">
      <c r="A690">
        <v>816735000000</v>
      </c>
      <c r="B690" t="s">
        <v>18</v>
      </c>
      <c r="C690">
        <v>29</v>
      </c>
      <c r="D690" t="s">
        <v>37</v>
      </c>
      <c r="E690" t="s">
        <v>58</v>
      </c>
      <c r="F690" s="1">
        <v>42475</v>
      </c>
      <c r="G690" s="1">
        <v>42495</v>
      </c>
      <c r="H690" t="s">
        <v>33</v>
      </c>
      <c r="I690">
        <v>20</v>
      </c>
      <c r="J690" t="s">
        <v>77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23</v>
      </c>
      <c r="R690">
        <v>0</v>
      </c>
    </row>
    <row r="691" spans="1:18">
      <c r="A691">
        <v>5723180000000</v>
      </c>
      <c r="B691" t="s">
        <v>18</v>
      </c>
      <c r="C691">
        <v>18</v>
      </c>
      <c r="D691" t="s">
        <v>37</v>
      </c>
      <c r="E691" t="s">
        <v>32</v>
      </c>
      <c r="F691" s="1">
        <v>42507</v>
      </c>
      <c r="G691" s="1">
        <v>42507</v>
      </c>
      <c r="H691" t="s">
        <v>41</v>
      </c>
      <c r="I691">
        <v>0</v>
      </c>
      <c r="J691" t="s">
        <v>111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23</v>
      </c>
      <c r="R691">
        <v>0</v>
      </c>
    </row>
    <row r="692" spans="1:18">
      <c r="A692">
        <v>398172000000</v>
      </c>
      <c r="B692" t="s">
        <v>18</v>
      </c>
      <c r="C692">
        <v>21</v>
      </c>
      <c r="D692" t="s">
        <v>37</v>
      </c>
      <c r="E692" t="s">
        <v>34</v>
      </c>
      <c r="F692" s="1">
        <v>42507</v>
      </c>
      <c r="G692" s="1">
        <v>42510</v>
      </c>
      <c r="H692" t="s">
        <v>21</v>
      </c>
      <c r="I692">
        <v>3</v>
      </c>
      <c r="J692" t="s">
        <v>109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23</v>
      </c>
      <c r="R692">
        <v>0</v>
      </c>
    </row>
    <row r="693" spans="1:18">
      <c r="A693">
        <v>1856000000000</v>
      </c>
      <c r="B693" t="s">
        <v>18</v>
      </c>
      <c r="C693">
        <v>34</v>
      </c>
      <c r="D693" t="s">
        <v>37</v>
      </c>
      <c r="E693" t="s">
        <v>94</v>
      </c>
      <c r="F693" s="1">
        <v>42507</v>
      </c>
      <c r="G693" s="1">
        <v>42510</v>
      </c>
      <c r="H693" t="s">
        <v>21</v>
      </c>
      <c r="I693">
        <v>3</v>
      </c>
      <c r="J693" t="s">
        <v>109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23</v>
      </c>
      <c r="R693">
        <v>0</v>
      </c>
    </row>
    <row r="694" spans="1:18">
      <c r="A694">
        <v>34183200000000</v>
      </c>
      <c r="B694" t="s">
        <v>18</v>
      </c>
      <c r="C694">
        <v>26</v>
      </c>
      <c r="D694" t="s">
        <v>37</v>
      </c>
      <c r="E694" t="s">
        <v>58</v>
      </c>
      <c r="F694" s="1">
        <v>42475</v>
      </c>
      <c r="G694" s="1">
        <v>42502</v>
      </c>
      <c r="H694" t="s">
        <v>33</v>
      </c>
      <c r="I694">
        <v>27</v>
      </c>
      <c r="J694" t="s">
        <v>77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26</v>
      </c>
      <c r="R694">
        <v>1</v>
      </c>
    </row>
    <row r="695" spans="1:18">
      <c r="A695">
        <v>285636000000</v>
      </c>
      <c r="B695" t="s">
        <v>18</v>
      </c>
      <c r="C695">
        <v>18</v>
      </c>
      <c r="D695" t="s">
        <v>37</v>
      </c>
      <c r="E695" t="s">
        <v>72</v>
      </c>
      <c r="F695" s="1">
        <v>42507</v>
      </c>
      <c r="G695" s="1">
        <v>42507</v>
      </c>
      <c r="H695" t="s">
        <v>41</v>
      </c>
      <c r="I695">
        <v>0</v>
      </c>
      <c r="J695" t="s">
        <v>111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23</v>
      </c>
      <c r="R695">
        <v>0</v>
      </c>
    </row>
    <row r="696" spans="1:18">
      <c r="A696">
        <v>773938000000000</v>
      </c>
      <c r="B696" t="s">
        <v>18</v>
      </c>
      <c r="C696">
        <v>26</v>
      </c>
      <c r="D696" t="s">
        <v>37</v>
      </c>
      <c r="E696" t="s">
        <v>58</v>
      </c>
      <c r="F696" s="1">
        <v>42475</v>
      </c>
      <c r="G696" s="1">
        <v>42500</v>
      </c>
      <c r="H696" t="s">
        <v>41</v>
      </c>
      <c r="I696">
        <v>25</v>
      </c>
      <c r="J696" t="s">
        <v>77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 t="s">
        <v>23</v>
      </c>
      <c r="R696">
        <v>0</v>
      </c>
    </row>
    <row r="697" spans="1:18">
      <c r="A697">
        <v>96516800000000</v>
      </c>
      <c r="B697" t="s">
        <v>18</v>
      </c>
      <c r="C697">
        <v>18</v>
      </c>
      <c r="D697" t="s">
        <v>37</v>
      </c>
      <c r="E697" t="s">
        <v>29</v>
      </c>
      <c r="F697" s="1">
        <v>42507</v>
      </c>
      <c r="G697" s="1">
        <v>42507</v>
      </c>
      <c r="H697" t="s">
        <v>41</v>
      </c>
      <c r="I697">
        <v>0</v>
      </c>
      <c r="J697" t="s">
        <v>111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23</v>
      </c>
      <c r="R697">
        <v>0</v>
      </c>
    </row>
    <row r="698" spans="1:18">
      <c r="A698">
        <v>453937000000000</v>
      </c>
      <c r="B698" t="s">
        <v>28</v>
      </c>
      <c r="C698">
        <v>31</v>
      </c>
      <c r="D698" t="s">
        <v>37</v>
      </c>
      <c r="E698" t="s">
        <v>34</v>
      </c>
      <c r="F698" s="1">
        <v>42507</v>
      </c>
      <c r="G698" s="1">
        <v>42507</v>
      </c>
      <c r="H698" t="s">
        <v>41</v>
      </c>
      <c r="I698">
        <v>0</v>
      </c>
      <c r="J698" t="s">
        <v>111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23</v>
      </c>
      <c r="R698">
        <v>0</v>
      </c>
    </row>
    <row r="699" spans="1:18">
      <c r="A699">
        <v>62494300000000</v>
      </c>
      <c r="B699" t="s">
        <v>28</v>
      </c>
      <c r="C699">
        <v>29</v>
      </c>
      <c r="D699" t="s">
        <v>37</v>
      </c>
      <c r="E699" t="s">
        <v>32</v>
      </c>
      <c r="F699" s="1">
        <v>42507</v>
      </c>
      <c r="G699" s="1">
        <v>42528</v>
      </c>
      <c r="H699" t="s">
        <v>41</v>
      </c>
      <c r="I699">
        <v>21</v>
      </c>
      <c r="J699" t="s">
        <v>77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 t="s">
        <v>23</v>
      </c>
      <c r="R699">
        <v>0</v>
      </c>
    </row>
    <row r="700" spans="1:18">
      <c r="A700">
        <v>752458000000</v>
      </c>
      <c r="B700" t="s">
        <v>18</v>
      </c>
      <c r="C700">
        <v>20</v>
      </c>
      <c r="D700" t="s">
        <v>37</v>
      </c>
      <c r="E700" t="s">
        <v>51</v>
      </c>
      <c r="F700" s="1">
        <v>42507</v>
      </c>
      <c r="G700" s="1">
        <v>42509</v>
      </c>
      <c r="H700" t="s">
        <v>33</v>
      </c>
      <c r="I700">
        <v>2</v>
      </c>
      <c r="J700" t="s">
        <v>109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23</v>
      </c>
      <c r="R700">
        <v>0</v>
      </c>
    </row>
    <row r="701" spans="1:18">
      <c r="A701">
        <v>339699000000000</v>
      </c>
      <c r="B701" t="s">
        <v>18</v>
      </c>
      <c r="C701">
        <v>34</v>
      </c>
      <c r="D701" t="s">
        <v>37</v>
      </c>
      <c r="E701" t="s">
        <v>94</v>
      </c>
      <c r="F701" s="1">
        <v>42507</v>
      </c>
      <c r="G701" s="1">
        <v>42520</v>
      </c>
      <c r="H701" t="s">
        <v>30</v>
      </c>
      <c r="I701">
        <v>13</v>
      </c>
      <c r="J701" t="s">
        <v>92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 t="s">
        <v>26</v>
      </c>
      <c r="R701">
        <v>1</v>
      </c>
    </row>
    <row r="702" spans="1:18">
      <c r="A702">
        <v>197567000000</v>
      </c>
      <c r="B702" t="s">
        <v>18</v>
      </c>
      <c r="C702">
        <v>32</v>
      </c>
      <c r="D702" t="s">
        <v>37</v>
      </c>
      <c r="E702" t="s">
        <v>38</v>
      </c>
      <c r="F702" s="1">
        <v>42507</v>
      </c>
      <c r="G702" s="1">
        <v>42509</v>
      </c>
      <c r="H702" t="s">
        <v>33</v>
      </c>
      <c r="I702">
        <v>2</v>
      </c>
      <c r="J702" t="s">
        <v>109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23</v>
      </c>
      <c r="R702">
        <v>0</v>
      </c>
    </row>
    <row r="703" spans="1:18">
      <c r="A703">
        <v>2321530000000</v>
      </c>
      <c r="B703" t="s">
        <v>28</v>
      </c>
      <c r="C703">
        <v>23</v>
      </c>
      <c r="D703" t="s">
        <v>37</v>
      </c>
      <c r="E703" t="s">
        <v>53</v>
      </c>
      <c r="F703" s="1">
        <v>42507</v>
      </c>
      <c r="G703" s="1">
        <v>42509</v>
      </c>
      <c r="H703" t="s">
        <v>33</v>
      </c>
      <c r="I703">
        <v>2</v>
      </c>
      <c r="J703" t="s">
        <v>109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26</v>
      </c>
      <c r="R703">
        <v>1</v>
      </c>
    </row>
    <row r="704" spans="1:18">
      <c r="A704">
        <v>24266500000000</v>
      </c>
      <c r="B704" t="s">
        <v>28</v>
      </c>
      <c r="C704">
        <v>21</v>
      </c>
      <c r="D704" t="s">
        <v>37</v>
      </c>
      <c r="E704" t="s">
        <v>44</v>
      </c>
      <c r="F704" s="1">
        <v>42507</v>
      </c>
      <c r="G704" s="1">
        <v>42507</v>
      </c>
      <c r="H704" t="s">
        <v>41</v>
      </c>
      <c r="I704">
        <v>0</v>
      </c>
      <c r="J704" t="s">
        <v>111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26</v>
      </c>
      <c r="R704">
        <v>1</v>
      </c>
    </row>
    <row r="705" spans="1:18">
      <c r="A705">
        <v>19913900000000</v>
      </c>
      <c r="B705" t="s">
        <v>18</v>
      </c>
      <c r="C705">
        <v>26</v>
      </c>
      <c r="D705" t="s">
        <v>37</v>
      </c>
      <c r="E705" t="s">
        <v>72</v>
      </c>
      <c r="F705" s="1">
        <v>42507</v>
      </c>
      <c r="G705" s="1">
        <v>42507</v>
      </c>
      <c r="H705" t="s">
        <v>41</v>
      </c>
      <c r="I705">
        <v>0</v>
      </c>
      <c r="J705" t="s">
        <v>111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23</v>
      </c>
      <c r="R705">
        <v>0</v>
      </c>
    </row>
    <row r="706" spans="1:18">
      <c r="A706">
        <v>37662100000000</v>
      </c>
      <c r="B706" t="s">
        <v>28</v>
      </c>
      <c r="C706">
        <v>22</v>
      </c>
      <c r="D706" t="s">
        <v>37</v>
      </c>
      <c r="E706" t="s">
        <v>55</v>
      </c>
      <c r="F706" s="1">
        <v>42507</v>
      </c>
      <c r="G706" s="1">
        <v>42507</v>
      </c>
      <c r="H706" t="s">
        <v>41</v>
      </c>
      <c r="I706">
        <v>0</v>
      </c>
      <c r="J706" t="s">
        <v>111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23</v>
      </c>
      <c r="R706">
        <v>0</v>
      </c>
    </row>
    <row r="707" spans="1:18">
      <c r="A707">
        <v>692223000000000</v>
      </c>
      <c r="B707" t="s">
        <v>28</v>
      </c>
      <c r="C707">
        <v>26</v>
      </c>
      <c r="D707" t="s">
        <v>37</v>
      </c>
      <c r="E707" t="s">
        <v>72</v>
      </c>
      <c r="F707" s="1">
        <v>42475</v>
      </c>
      <c r="G707" s="1">
        <v>42514</v>
      </c>
      <c r="H707" t="s">
        <v>41</v>
      </c>
      <c r="I707">
        <v>39</v>
      </c>
      <c r="J707" t="s">
        <v>22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26</v>
      </c>
      <c r="R707">
        <v>1</v>
      </c>
    </row>
    <row r="708" spans="1:18">
      <c r="A708">
        <v>27783100000000</v>
      </c>
      <c r="B708" t="s">
        <v>28</v>
      </c>
      <c r="C708">
        <v>35</v>
      </c>
      <c r="D708" t="s">
        <v>37</v>
      </c>
      <c r="E708" t="s">
        <v>50</v>
      </c>
      <c r="F708" s="1">
        <v>42507</v>
      </c>
      <c r="G708" s="1">
        <v>42507</v>
      </c>
      <c r="H708" t="s">
        <v>41</v>
      </c>
      <c r="I708">
        <v>0</v>
      </c>
      <c r="J708" t="s">
        <v>111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0</v>
      </c>
      <c r="Q708" t="s">
        <v>23</v>
      </c>
      <c r="R708">
        <v>0</v>
      </c>
    </row>
    <row r="709" spans="1:18">
      <c r="A709">
        <v>88826600000000</v>
      </c>
      <c r="B709" t="s">
        <v>18</v>
      </c>
      <c r="C709">
        <v>34</v>
      </c>
      <c r="D709" t="s">
        <v>37</v>
      </c>
      <c r="E709" t="s">
        <v>32</v>
      </c>
      <c r="F709" s="1">
        <v>42507</v>
      </c>
      <c r="G709" s="1">
        <v>42507</v>
      </c>
      <c r="H709" t="s">
        <v>41</v>
      </c>
      <c r="I709">
        <v>0</v>
      </c>
      <c r="J709" t="s">
        <v>111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23</v>
      </c>
      <c r="R709">
        <v>0</v>
      </c>
    </row>
    <row r="710" spans="1:18">
      <c r="A710">
        <v>88421400000000</v>
      </c>
      <c r="B710" t="s">
        <v>18</v>
      </c>
      <c r="C710">
        <v>31</v>
      </c>
      <c r="D710" t="s">
        <v>37</v>
      </c>
      <c r="E710" t="s">
        <v>57</v>
      </c>
      <c r="F710" s="1">
        <v>42507</v>
      </c>
      <c r="G710" s="1">
        <v>42524</v>
      </c>
      <c r="H710" t="s">
        <v>21</v>
      </c>
      <c r="I710">
        <v>17</v>
      </c>
      <c r="J710" t="s">
        <v>77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23</v>
      </c>
      <c r="R710">
        <v>0</v>
      </c>
    </row>
    <row r="711" spans="1:18">
      <c r="A711">
        <v>99836300000000</v>
      </c>
      <c r="B711" t="s">
        <v>18</v>
      </c>
      <c r="C711">
        <v>27</v>
      </c>
      <c r="D711" t="s">
        <v>37</v>
      </c>
      <c r="E711" t="s">
        <v>57</v>
      </c>
      <c r="F711" s="1">
        <v>42507</v>
      </c>
      <c r="G711" s="1">
        <v>42507</v>
      </c>
      <c r="H711" t="s">
        <v>41</v>
      </c>
      <c r="I711">
        <v>0</v>
      </c>
      <c r="J711" t="s">
        <v>111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23</v>
      </c>
      <c r="R711">
        <v>0</v>
      </c>
    </row>
    <row r="712" spans="1:18">
      <c r="A712">
        <v>97392400000000</v>
      </c>
      <c r="B712" t="s">
        <v>18</v>
      </c>
      <c r="C712">
        <v>20</v>
      </c>
      <c r="D712" t="s">
        <v>37</v>
      </c>
      <c r="E712" t="s">
        <v>72</v>
      </c>
      <c r="F712" s="1">
        <v>42475</v>
      </c>
      <c r="G712" s="1">
        <v>42515</v>
      </c>
      <c r="H712" t="s">
        <v>25</v>
      </c>
      <c r="I712">
        <v>40</v>
      </c>
      <c r="J712" t="s">
        <v>22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</v>
      </c>
      <c r="Q712" t="s">
        <v>23</v>
      </c>
      <c r="R712">
        <v>0</v>
      </c>
    </row>
    <row r="713" spans="1:18">
      <c r="A713">
        <v>8259920000000</v>
      </c>
      <c r="B713" t="s">
        <v>18</v>
      </c>
      <c r="C713">
        <v>31</v>
      </c>
      <c r="D713" t="s">
        <v>37</v>
      </c>
      <c r="E713" t="s">
        <v>50</v>
      </c>
      <c r="F713" s="1">
        <v>42507</v>
      </c>
      <c r="G713" s="1">
        <v>42507</v>
      </c>
      <c r="H713" t="s">
        <v>41</v>
      </c>
      <c r="I713">
        <v>0</v>
      </c>
      <c r="J713" t="s">
        <v>111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23</v>
      </c>
      <c r="R713">
        <v>0</v>
      </c>
    </row>
    <row r="714" spans="1:18">
      <c r="A714">
        <v>282554000000</v>
      </c>
      <c r="B714" t="s">
        <v>18</v>
      </c>
      <c r="C714">
        <v>28</v>
      </c>
      <c r="D714" t="s">
        <v>37</v>
      </c>
      <c r="E714" t="s">
        <v>73</v>
      </c>
      <c r="F714" s="1">
        <v>42507</v>
      </c>
      <c r="G714" s="1">
        <v>42524</v>
      </c>
      <c r="H714" t="s">
        <v>21</v>
      </c>
      <c r="I714">
        <v>17</v>
      </c>
      <c r="J714" t="s">
        <v>77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 t="s">
        <v>26</v>
      </c>
      <c r="R714">
        <v>1</v>
      </c>
    </row>
    <row r="715" spans="1:18">
      <c r="A715">
        <v>4845320000000</v>
      </c>
      <c r="B715" t="s">
        <v>18</v>
      </c>
      <c r="C715">
        <v>21</v>
      </c>
      <c r="D715" t="s">
        <v>37</v>
      </c>
      <c r="E715" t="s">
        <v>39</v>
      </c>
      <c r="F715" s="1">
        <v>42507</v>
      </c>
      <c r="G715" s="1">
        <v>42507</v>
      </c>
      <c r="H715" t="s">
        <v>41</v>
      </c>
      <c r="I715">
        <v>0</v>
      </c>
      <c r="J715" t="s">
        <v>111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26</v>
      </c>
      <c r="R715">
        <v>1</v>
      </c>
    </row>
    <row r="716" spans="1:18">
      <c r="A716">
        <v>256396000000000</v>
      </c>
      <c r="B716" t="s">
        <v>18</v>
      </c>
      <c r="C716">
        <v>33</v>
      </c>
      <c r="D716" t="s">
        <v>37</v>
      </c>
      <c r="E716" t="s">
        <v>29</v>
      </c>
      <c r="F716" s="1">
        <v>42507</v>
      </c>
      <c r="G716" s="1">
        <v>42507</v>
      </c>
      <c r="H716" t="s">
        <v>41</v>
      </c>
      <c r="I716">
        <v>0</v>
      </c>
      <c r="J716" t="s">
        <v>111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23</v>
      </c>
      <c r="R716">
        <v>0</v>
      </c>
    </row>
    <row r="717" spans="1:18">
      <c r="A717">
        <v>81871300000000</v>
      </c>
      <c r="B717" t="s">
        <v>18</v>
      </c>
      <c r="C717">
        <v>34</v>
      </c>
      <c r="D717" t="s">
        <v>37</v>
      </c>
      <c r="E717" t="s">
        <v>66</v>
      </c>
      <c r="F717" s="1">
        <v>42507</v>
      </c>
      <c r="G717" s="1">
        <v>42521</v>
      </c>
      <c r="H717" t="s">
        <v>41</v>
      </c>
      <c r="I717">
        <v>14</v>
      </c>
      <c r="J717" t="s">
        <v>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23</v>
      </c>
      <c r="R717">
        <v>0</v>
      </c>
    </row>
    <row r="718" spans="1:18">
      <c r="A718">
        <v>51884400000000</v>
      </c>
      <c r="B718" t="s">
        <v>18</v>
      </c>
      <c r="C718">
        <v>35</v>
      </c>
      <c r="D718" t="s">
        <v>37</v>
      </c>
      <c r="E718" t="s">
        <v>69</v>
      </c>
      <c r="F718" s="1">
        <v>42507</v>
      </c>
      <c r="G718" s="1">
        <v>42528</v>
      </c>
      <c r="H718" t="s">
        <v>41</v>
      </c>
      <c r="I718">
        <v>21</v>
      </c>
      <c r="J718" t="s">
        <v>77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1</v>
      </c>
      <c r="Q718" t="s">
        <v>26</v>
      </c>
      <c r="R718">
        <v>1</v>
      </c>
    </row>
    <row r="719" spans="1:18">
      <c r="A719">
        <v>754623000000</v>
      </c>
      <c r="B719" t="s">
        <v>28</v>
      </c>
      <c r="C719">
        <v>35</v>
      </c>
      <c r="D719" t="s">
        <v>37</v>
      </c>
      <c r="E719" t="s">
        <v>84</v>
      </c>
      <c r="F719" s="1">
        <v>42507</v>
      </c>
      <c r="G719" s="1">
        <v>42508</v>
      </c>
      <c r="H719" t="s">
        <v>25</v>
      </c>
      <c r="I719">
        <v>1</v>
      </c>
      <c r="J719" t="s">
        <v>109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23</v>
      </c>
      <c r="R719">
        <v>0</v>
      </c>
    </row>
    <row r="720" spans="1:18">
      <c r="A720">
        <v>45876900000000</v>
      </c>
      <c r="B720" t="s">
        <v>18</v>
      </c>
      <c r="C720">
        <v>21</v>
      </c>
      <c r="D720" t="s">
        <v>37</v>
      </c>
      <c r="E720" t="s">
        <v>32</v>
      </c>
      <c r="F720" s="1">
        <v>42475</v>
      </c>
      <c r="G720" s="1">
        <v>42496</v>
      </c>
      <c r="H720" t="s">
        <v>21</v>
      </c>
      <c r="I720">
        <v>21</v>
      </c>
      <c r="J720" t="s">
        <v>77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23</v>
      </c>
      <c r="R720">
        <v>0</v>
      </c>
    </row>
    <row r="721" spans="1:18">
      <c r="A721">
        <v>62197200000000</v>
      </c>
      <c r="B721" t="s">
        <v>18</v>
      </c>
      <c r="C721">
        <v>27</v>
      </c>
      <c r="D721" t="s">
        <v>37</v>
      </c>
      <c r="E721" t="s">
        <v>58</v>
      </c>
      <c r="F721" s="1">
        <v>42475</v>
      </c>
      <c r="G721" s="1">
        <v>42496</v>
      </c>
      <c r="H721" t="s">
        <v>21</v>
      </c>
      <c r="I721">
        <v>21</v>
      </c>
      <c r="J721" t="s">
        <v>77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23</v>
      </c>
      <c r="R721">
        <v>0</v>
      </c>
    </row>
    <row r="722" spans="1:18">
      <c r="A722">
        <v>4123290000000</v>
      </c>
      <c r="B722" t="s">
        <v>18</v>
      </c>
      <c r="C722">
        <v>29</v>
      </c>
      <c r="D722" t="s">
        <v>37</v>
      </c>
      <c r="E722" t="s">
        <v>84</v>
      </c>
      <c r="F722" s="1">
        <v>42507</v>
      </c>
      <c r="G722" s="1">
        <v>42508</v>
      </c>
      <c r="H722" t="s">
        <v>25</v>
      </c>
      <c r="I722">
        <v>1</v>
      </c>
      <c r="J722" t="s">
        <v>109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26</v>
      </c>
      <c r="R722">
        <v>1</v>
      </c>
    </row>
    <row r="723" spans="1:18">
      <c r="A723">
        <v>3776340000000</v>
      </c>
      <c r="B723" t="s">
        <v>18</v>
      </c>
      <c r="C723">
        <v>22</v>
      </c>
      <c r="D723" t="s">
        <v>37</v>
      </c>
      <c r="E723" t="s">
        <v>50</v>
      </c>
      <c r="F723" s="1">
        <v>42475</v>
      </c>
      <c r="G723" s="1">
        <v>42493</v>
      </c>
      <c r="H723" t="s">
        <v>41</v>
      </c>
      <c r="I723">
        <v>18</v>
      </c>
      <c r="J723" t="s">
        <v>77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26</v>
      </c>
      <c r="R723">
        <v>1</v>
      </c>
    </row>
    <row r="724" spans="1:18">
      <c r="A724">
        <v>725619000000</v>
      </c>
      <c r="B724" t="s">
        <v>18</v>
      </c>
      <c r="C724">
        <v>35</v>
      </c>
      <c r="D724" t="s">
        <v>37</v>
      </c>
      <c r="E724" t="s">
        <v>66</v>
      </c>
      <c r="F724" s="1">
        <v>42507</v>
      </c>
      <c r="G724" s="1">
        <v>42515</v>
      </c>
      <c r="H724" t="s">
        <v>25</v>
      </c>
      <c r="I724">
        <v>8</v>
      </c>
      <c r="J724" t="s">
        <v>92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 t="s">
        <v>23</v>
      </c>
      <c r="R724">
        <v>0</v>
      </c>
    </row>
    <row r="725" spans="1:18">
      <c r="A725">
        <v>285957000000</v>
      </c>
      <c r="B725" t="s">
        <v>18</v>
      </c>
      <c r="C725">
        <v>23</v>
      </c>
      <c r="D725" t="s">
        <v>37</v>
      </c>
      <c r="E725" t="s">
        <v>58</v>
      </c>
      <c r="F725" s="1">
        <v>42507</v>
      </c>
      <c r="G725" s="1">
        <v>42508</v>
      </c>
      <c r="H725" t="s">
        <v>25</v>
      </c>
      <c r="I725">
        <v>1</v>
      </c>
      <c r="J725" t="s">
        <v>109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 t="s">
        <v>23</v>
      </c>
      <c r="R725">
        <v>0</v>
      </c>
    </row>
    <row r="726" spans="1:18">
      <c r="A726">
        <v>53634100000000</v>
      </c>
      <c r="B726" t="s">
        <v>18</v>
      </c>
      <c r="C726">
        <v>29</v>
      </c>
      <c r="D726" t="s">
        <v>37</v>
      </c>
      <c r="E726" t="s">
        <v>71</v>
      </c>
      <c r="F726" s="1">
        <v>42507</v>
      </c>
      <c r="G726" s="1">
        <v>42528</v>
      </c>
      <c r="H726" t="s">
        <v>41</v>
      </c>
      <c r="I726">
        <v>21</v>
      </c>
      <c r="J726" t="s">
        <v>77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1</v>
      </c>
      <c r="Q726" t="s">
        <v>26</v>
      </c>
      <c r="R726">
        <v>1</v>
      </c>
    </row>
    <row r="727" spans="1:18">
      <c r="A727">
        <v>85766400000000</v>
      </c>
      <c r="B727" t="s">
        <v>18</v>
      </c>
      <c r="C727">
        <v>23</v>
      </c>
      <c r="D727" t="s">
        <v>37</v>
      </c>
      <c r="E727" t="s">
        <v>71</v>
      </c>
      <c r="F727" s="1">
        <v>42507</v>
      </c>
      <c r="G727" s="1">
        <v>42507</v>
      </c>
      <c r="H727" t="s">
        <v>41</v>
      </c>
      <c r="I727">
        <v>0</v>
      </c>
      <c r="J727" t="s">
        <v>111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26</v>
      </c>
      <c r="R727">
        <v>1</v>
      </c>
    </row>
    <row r="728" spans="1:18">
      <c r="A728">
        <v>419743000000000</v>
      </c>
      <c r="B728" t="s">
        <v>18</v>
      </c>
      <c r="C728">
        <v>35</v>
      </c>
      <c r="D728" t="s">
        <v>37</v>
      </c>
      <c r="E728" t="s">
        <v>61</v>
      </c>
      <c r="F728" s="1">
        <v>42507</v>
      </c>
      <c r="G728" s="1">
        <v>42522</v>
      </c>
      <c r="H728" t="s">
        <v>25</v>
      </c>
      <c r="I728">
        <v>15</v>
      </c>
      <c r="J728" t="s">
        <v>77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1</v>
      </c>
      <c r="Q728" t="s">
        <v>26</v>
      </c>
      <c r="R728">
        <v>1</v>
      </c>
    </row>
    <row r="729" spans="1:18">
      <c r="A729">
        <v>6375610000000</v>
      </c>
      <c r="B729" t="s">
        <v>18</v>
      </c>
      <c r="C729">
        <v>18</v>
      </c>
      <c r="D729" t="s">
        <v>37</v>
      </c>
      <c r="E729" t="s">
        <v>71</v>
      </c>
      <c r="F729" s="1">
        <v>42507</v>
      </c>
      <c r="G729" s="1">
        <v>42507</v>
      </c>
      <c r="H729" t="s">
        <v>41</v>
      </c>
      <c r="I729">
        <v>0</v>
      </c>
      <c r="J729" t="s">
        <v>111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23</v>
      </c>
      <c r="R729">
        <v>0</v>
      </c>
    </row>
    <row r="730" spans="1:18">
      <c r="A730">
        <v>36299200000000</v>
      </c>
      <c r="B730" t="s">
        <v>18</v>
      </c>
      <c r="C730">
        <v>25</v>
      </c>
      <c r="D730" t="s">
        <v>37</v>
      </c>
      <c r="E730" t="s">
        <v>65</v>
      </c>
      <c r="F730" s="1">
        <v>42507</v>
      </c>
      <c r="G730" s="1">
        <v>42522</v>
      </c>
      <c r="H730" t="s">
        <v>25</v>
      </c>
      <c r="I730">
        <v>15</v>
      </c>
      <c r="J730" t="s">
        <v>77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23</v>
      </c>
      <c r="R730">
        <v>0</v>
      </c>
    </row>
    <row r="731" spans="1:18">
      <c r="A731">
        <v>795317000000000</v>
      </c>
      <c r="B731" t="s">
        <v>18</v>
      </c>
      <c r="C731">
        <v>22</v>
      </c>
      <c r="D731" t="s">
        <v>37</v>
      </c>
      <c r="E731" t="s">
        <v>96</v>
      </c>
      <c r="F731" s="1">
        <v>42507</v>
      </c>
      <c r="G731" s="1">
        <v>42522</v>
      </c>
      <c r="H731" t="s">
        <v>25</v>
      </c>
      <c r="I731">
        <v>15</v>
      </c>
      <c r="J731" t="s">
        <v>77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1</v>
      </c>
      <c r="Q731" t="s">
        <v>26</v>
      </c>
      <c r="R731">
        <v>1</v>
      </c>
    </row>
    <row r="732" spans="1:18">
      <c r="A732">
        <v>35759600000000</v>
      </c>
      <c r="B732" t="s">
        <v>18</v>
      </c>
      <c r="C732">
        <v>23</v>
      </c>
      <c r="D732" t="s">
        <v>37</v>
      </c>
      <c r="E732" t="s">
        <v>58</v>
      </c>
      <c r="F732" s="1">
        <v>42475</v>
      </c>
      <c r="G732" s="1">
        <v>42496</v>
      </c>
      <c r="H732" t="s">
        <v>21</v>
      </c>
      <c r="I732">
        <v>21</v>
      </c>
      <c r="J732" t="s">
        <v>77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23</v>
      </c>
      <c r="R732">
        <v>0</v>
      </c>
    </row>
    <row r="733" spans="1:18">
      <c r="A733">
        <v>575529000000000</v>
      </c>
      <c r="B733" t="s">
        <v>28</v>
      </c>
      <c r="C733">
        <v>30</v>
      </c>
      <c r="D733" t="s">
        <v>37</v>
      </c>
      <c r="E733" t="s">
        <v>84</v>
      </c>
      <c r="F733" s="1">
        <v>42507</v>
      </c>
      <c r="G733" s="1">
        <v>42507</v>
      </c>
      <c r="H733" t="s">
        <v>41</v>
      </c>
      <c r="I733">
        <v>0</v>
      </c>
      <c r="J733" t="s">
        <v>111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23</v>
      </c>
      <c r="R733">
        <v>0</v>
      </c>
    </row>
    <row r="734" spans="1:18">
      <c r="A734">
        <v>423144000000000</v>
      </c>
      <c r="B734" t="s">
        <v>18</v>
      </c>
      <c r="C734">
        <v>24</v>
      </c>
      <c r="D734" t="s">
        <v>37</v>
      </c>
      <c r="E734" t="s">
        <v>88</v>
      </c>
      <c r="F734" s="1">
        <v>42507</v>
      </c>
      <c r="G734" s="1">
        <v>42507</v>
      </c>
      <c r="H734" t="s">
        <v>41</v>
      </c>
      <c r="I734">
        <v>0</v>
      </c>
      <c r="J734" t="s">
        <v>111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23</v>
      </c>
      <c r="R734">
        <v>0</v>
      </c>
    </row>
    <row r="735" spans="1:18">
      <c r="A735">
        <v>46479600000000</v>
      </c>
      <c r="B735" t="s">
        <v>18</v>
      </c>
      <c r="C735">
        <v>23</v>
      </c>
      <c r="D735" t="s">
        <v>37</v>
      </c>
      <c r="E735" t="s">
        <v>67</v>
      </c>
      <c r="F735" s="1">
        <v>42475</v>
      </c>
      <c r="G735" s="1">
        <v>42502</v>
      </c>
      <c r="H735" t="s">
        <v>33</v>
      </c>
      <c r="I735">
        <v>27</v>
      </c>
      <c r="J735" t="s">
        <v>77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1</v>
      </c>
      <c r="Q735" t="s">
        <v>23</v>
      </c>
      <c r="R735">
        <v>0</v>
      </c>
    </row>
    <row r="736" spans="1:18">
      <c r="A736">
        <v>5721380000000</v>
      </c>
      <c r="B736" t="s">
        <v>28</v>
      </c>
      <c r="C736">
        <v>25</v>
      </c>
      <c r="D736" t="s">
        <v>37</v>
      </c>
      <c r="E736" t="s">
        <v>58</v>
      </c>
      <c r="F736" s="1">
        <v>42475</v>
      </c>
      <c r="G736" s="1">
        <v>42502</v>
      </c>
      <c r="H736" t="s">
        <v>33</v>
      </c>
      <c r="I736">
        <v>27</v>
      </c>
      <c r="J736" t="s">
        <v>77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26</v>
      </c>
      <c r="R736">
        <v>1</v>
      </c>
    </row>
    <row r="737" spans="1:18">
      <c r="A737">
        <v>64491100000000</v>
      </c>
      <c r="B737" t="s">
        <v>18</v>
      </c>
      <c r="C737">
        <v>34</v>
      </c>
      <c r="D737" t="s">
        <v>37</v>
      </c>
      <c r="E737" t="s">
        <v>72</v>
      </c>
      <c r="F737" s="1">
        <v>42507</v>
      </c>
      <c r="G737" s="1">
        <v>42507</v>
      </c>
      <c r="H737" t="s">
        <v>41</v>
      </c>
      <c r="I737">
        <v>0</v>
      </c>
      <c r="J737" t="s">
        <v>111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23</v>
      </c>
      <c r="R737">
        <v>0</v>
      </c>
    </row>
    <row r="738" spans="1:18">
      <c r="A738">
        <v>381923000000000</v>
      </c>
      <c r="B738" t="s">
        <v>28</v>
      </c>
      <c r="C738">
        <v>35</v>
      </c>
      <c r="D738" t="s">
        <v>37</v>
      </c>
      <c r="E738" t="s">
        <v>50</v>
      </c>
      <c r="F738" s="1">
        <v>42507</v>
      </c>
      <c r="G738" s="1">
        <v>42509</v>
      </c>
      <c r="H738" t="s">
        <v>33</v>
      </c>
      <c r="I738">
        <v>2</v>
      </c>
      <c r="J738" t="s">
        <v>109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0</v>
      </c>
      <c r="Q738" t="s">
        <v>26</v>
      </c>
      <c r="R738">
        <v>1</v>
      </c>
    </row>
    <row r="739" spans="1:18">
      <c r="A739">
        <v>693742000000000</v>
      </c>
      <c r="B739" t="s">
        <v>28</v>
      </c>
      <c r="C739">
        <v>29</v>
      </c>
      <c r="D739" t="s">
        <v>37</v>
      </c>
      <c r="E739" t="s">
        <v>42</v>
      </c>
      <c r="F739" s="1">
        <v>42507</v>
      </c>
      <c r="G739" s="1">
        <v>42507</v>
      </c>
      <c r="H739" t="s">
        <v>41</v>
      </c>
      <c r="I739">
        <v>0</v>
      </c>
      <c r="J739" t="s">
        <v>111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23</v>
      </c>
      <c r="R739">
        <v>0</v>
      </c>
    </row>
    <row r="740" spans="1:18">
      <c r="A740">
        <v>98955600000000</v>
      </c>
      <c r="B740" t="s">
        <v>28</v>
      </c>
      <c r="C740">
        <v>28</v>
      </c>
      <c r="D740" t="s">
        <v>37</v>
      </c>
      <c r="E740" t="s">
        <v>69</v>
      </c>
      <c r="F740" s="1">
        <v>42507</v>
      </c>
      <c r="G740" s="1">
        <v>42507</v>
      </c>
      <c r="H740" t="s">
        <v>41</v>
      </c>
      <c r="I740">
        <v>0</v>
      </c>
      <c r="J740" t="s">
        <v>111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 t="s">
        <v>23</v>
      </c>
      <c r="R740">
        <v>0</v>
      </c>
    </row>
    <row r="741" spans="1:18">
      <c r="A741">
        <v>31533800000000</v>
      </c>
      <c r="B741" t="s">
        <v>18</v>
      </c>
      <c r="C741">
        <v>27</v>
      </c>
      <c r="D741" t="s">
        <v>37</v>
      </c>
      <c r="E741" t="s">
        <v>50</v>
      </c>
      <c r="F741" s="1">
        <v>42475</v>
      </c>
      <c r="G741" s="1">
        <v>42509</v>
      </c>
      <c r="H741" t="s">
        <v>33</v>
      </c>
      <c r="I741">
        <v>34</v>
      </c>
      <c r="J741" t="s">
        <v>22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23</v>
      </c>
      <c r="R741">
        <v>0</v>
      </c>
    </row>
    <row r="742" spans="1:18">
      <c r="A742">
        <v>693376000000000</v>
      </c>
      <c r="B742" t="s">
        <v>18</v>
      </c>
      <c r="C742">
        <v>23</v>
      </c>
      <c r="D742" t="s">
        <v>37</v>
      </c>
      <c r="E742" t="s">
        <v>45</v>
      </c>
      <c r="F742" s="1">
        <v>42507</v>
      </c>
      <c r="G742" s="1">
        <v>42508</v>
      </c>
      <c r="H742" t="s">
        <v>25</v>
      </c>
      <c r="I742">
        <v>1</v>
      </c>
      <c r="J742" t="s">
        <v>109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23</v>
      </c>
      <c r="R742">
        <v>0</v>
      </c>
    </row>
    <row r="743" spans="1:18">
      <c r="A743">
        <v>79575700000000</v>
      </c>
      <c r="B743" t="s">
        <v>18</v>
      </c>
      <c r="C743">
        <v>35</v>
      </c>
      <c r="D743" t="s">
        <v>37</v>
      </c>
      <c r="E743" t="s">
        <v>73</v>
      </c>
      <c r="F743" s="1">
        <v>42475</v>
      </c>
      <c r="G743" s="1">
        <v>42508</v>
      </c>
      <c r="H743" t="s">
        <v>25</v>
      </c>
      <c r="I743">
        <v>33</v>
      </c>
      <c r="J743" t="s">
        <v>22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23</v>
      </c>
      <c r="R743">
        <v>0</v>
      </c>
    </row>
    <row r="744" spans="1:18">
      <c r="A744">
        <v>951614000000000</v>
      </c>
      <c r="B744" t="s">
        <v>18</v>
      </c>
      <c r="C744">
        <v>19</v>
      </c>
      <c r="D744" t="s">
        <v>37</v>
      </c>
      <c r="E744" t="s">
        <v>29</v>
      </c>
      <c r="F744" s="1">
        <v>42507</v>
      </c>
      <c r="G744" s="1">
        <v>42507</v>
      </c>
      <c r="H744" t="s">
        <v>41</v>
      </c>
      <c r="I744">
        <v>0</v>
      </c>
      <c r="J744" t="s">
        <v>111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23</v>
      </c>
      <c r="R744">
        <v>0</v>
      </c>
    </row>
    <row r="745" spans="1:18">
      <c r="A745">
        <v>24852900000000</v>
      </c>
      <c r="B745" t="s">
        <v>18</v>
      </c>
      <c r="C745">
        <v>18</v>
      </c>
      <c r="D745" t="s">
        <v>37</v>
      </c>
      <c r="E745" t="s">
        <v>65</v>
      </c>
      <c r="F745" s="1">
        <v>42506</v>
      </c>
      <c r="G745" s="1">
        <v>42523</v>
      </c>
      <c r="H745" t="s">
        <v>33</v>
      </c>
      <c r="I745">
        <v>17</v>
      </c>
      <c r="J745" t="s">
        <v>77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26</v>
      </c>
      <c r="R745">
        <v>1</v>
      </c>
    </row>
    <row r="746" spans="1:18">
      <c r="A746">
        <v>52526600000000</v>
      </c>
      <c r="B746" t="s">
        <v>28</v>
      </c>
      <c r="C746">
        <v>22</v>
      </c>
      <c r="D746" t="s">
        <v>37</v>
      </c>
      <c r="E746" t="s">
        <v>20</v>
      </c>
      <c r="F746" s="1">
        <v>42506</v>
      </c>
      <c r="G746" s="1">
        <v>42514</v>
      </c>
      <c r="H746" t="s">
        <v>41</v>
      </c>
      <c r="I746">
        <v>8</v>
      </c>
      <c r="J746" t="s">
        <v>92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26</v>
      </c>
      <c r="R746">
        <v>1</v>
      </c>
    </row>
    <row r="747" spans="1:18">
      <c r="A747">
        <v>5122520000000</v>
      </c>
      <c r="B747" t="s">
        <v>18</v>
      </c>
      <c r="C747">
        <v>26</v>
      </c>
      <c r="D747" t="s">
        <v>37</v>
      </c>
      <c r="E747" t="s">
        <v>50</v>
      </c>
      <c r="F747" s="1">
        <v>42506</v>
      </c>
      <c r="G747" s="1">
        <v>42507</v>
      </c>
      <c r="H747" t="s">
        <v>41</v>
      </c>
      <c r="I747">
        <v>1</v>
      </c>
      <c r="J747" t="s">
        <v>109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23</v>
      </c>
      <c r="R747">
        <v>0</v>
      </c>
    </row>
    <row r="748" spans="1:18">
      <c r="A748">
        <v>211630000000</v>
      </c>
      <c r="B748" t="s">
        <v>28</v>
      </c>
      <c r="C748">
        <v>22</v>
      </c>
      <c r="D748" t="s">
        <v>37</v>
      </c>
      <c r="E748" t="s">
        <v>94</v>
      </c>
      <c r="F748" s="1">
        <v>42475</v>
      </c>
      <c r="G748" s="1">
        <v>42496</v>
      </c>
      <c r="H748" t="s">
        <v>21</v>
      </c>
      <c r="I748">
        <v>21</v>
      </c>
      <c r="J748" t="s">
        <v>77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 t="s">
        <v>26</v>
      </c>
      <c r="R748">
        <v>1</v>
      </c>
    </row>
    <row r="749" spans="1:18">
      <c r="A749">
        <v>531698000000000</v>
      </c>
      <c r="B749" t="s">
        <v>28</v>
      </c>
      <c r="C749">
        <v>26</v>
      </c>
      <c r="D749" t="s">
        <v>37</v>
      </c>
      <c r="E749" t="s">
        <v>40</v>
      </c>
      <c r="F749" s="1">
        <v>42506</v>
      </c>
      <c r="G749" s="1">
        <v>42520</v>
      </c>
      <c r="H749" t="s">
        <v>30</v>
      </c>
      <c r="I749">
        <v>14</v>
      </c>
      <c r="J749" t="s">
        <v>92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 t="s">
        <v>23</v>
      </c>
      <c r="R749">
        <v>0</v>
      </c>
    </row>
    <row r="750" spans="1:18">
      <c r="A750">
        <v>4637240000000</v>
      </c>
      <c r="B750" t="s">
        <v>18</v>
      </c>
      <c r="C750">
        <v>20</v>
      </c>
      <c r="D750" t="s">
        <v>37</v>
      </c>
      <c r="E750" t="s">
        <v>50</v>
      </c>
      <c r="F750" s="1">
        <v>42506</v>
      </c>
      <c r="G750" s="1">
        <v>42506</v>
      </c>
      <c r="H750" t="s">
        <v>30</v>
      </c>
      <c r="I750">
        <v>0</v>
      </c>
      <c r="J750" t="s">
        <v>111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23</v>
      </c>
      <c r="R750">
        <v>0</v>
      </c>
    </row>
    <row r="751" spans="1:18">
      <c r="A751">
        <v>1276510000000</v>
      </c>
      <c r="B751" t="s">
        <v>18</v>
      </c>
      <c r="C751">
        <v>31</v>
      </c>
      <c r="D751" t="s">
        <v>37</v>
      </c>
      <c r="E751" t="s">
        <v>38</v>
      </c>
      <c r="F751" s="1">
        <v>42506</v>
      </c>
      <c r="G751" s="1">
        <v>42524</v>
      </c>
      <c r="H751" t="s">
        <v>21</v>
      </c>
      <c r="I751">
        <v>18</v>
      </c>
      <c r="J751" t="s">
        <v>77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26</v>
      </c>
      <c r="R751">
        <v>1</v>
      </c>
    </row>
    <row r="752" spans="1:18">
      <c r="A752">
        <v>421915000000000</v>
      </c>
      <c r="B752" t="s">
        <v>18</v>
      </c>
      <c r="C752">
        <v>18</v>
      </c>
      <c r="D752" t="s">
        <v>37</v>
      </c>
      <c r="E752" t="s">
        <v>90</v>
      </c>
      <c r="F752" s="1">
        <v>42506</v>
      </c>
      <c r="G752" s="1">
        <v>42515</v>
      </c>
      <c r="H752" t="s">
        <v>25</v>
      </c>
      <c r="I752">
        <v>9</v>
      </c>
      <c r="J752" t="s">
        <v>92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 t="s">
        <v>26</v>
      </c>
      <c r="R752">
        <v>1</v>
      </c>
    </row>
    <row r="753" spans="1:18">
      <c r="A753">
        <v>55522568873</v>
      </c>
      <c r="B753" t="s">
        <v>18</v>
      </c>
      <c r="C753">
        <v>28</v>
      </c>
      <c r="D753" t="s">
        <v>37</v>
      </c>
      <c r="E753" t="s">
        <v>75</v>
      </c>
      <c r="F753" s="1">
        <v>42506</v>
      </c>
      <c r="G753" s="1">
        <v>42527</v>
      </c>
      <c r="H753" t="s">
        <v>30</v>
      </c>
      <c r="I753">
        <v>21</v>
      </c>
      <c r="J753" t="s">
        <v>77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 t="s">
        <v>23</v>
      </c>
      <c r="R753">
        <v>0</v>
      </c>
    </row>
    <row r="754" spans="1:18">
      <c r="A754">
        <v>6261250000000</v>
      </c>
      <c r="B754" t="s">
        <v>28</v>
      </c>
      <c r="C754">
        <v>32</v>
      </c>
      <c r="D754" t="s">
        <v>37</v>
      </c>
      <c r="E754" t="s">
        <v>66</v>
      </c>
      <c r="F754" s="1">
        <v>42506</v>
      </c>
      <c r="G754" s="1">
        <v>42506</v>
      </c>
      <c r="H754" t="s">
        <v>30</v>
      </c>
      <c r="I754">
        <v>0</v>
      </c>
      <c r="J754" t="s">
        <v>111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23</v>
      </c>
      <c r="R754">
        <v>0</v>
      </c>
    </row>
    <row r="755" spans="1:18">
      <c r="A755">
        <v>15651600000000</v>
      </c>
      <c r="B755" t="s">
        <v>18</v>
      </c>
      <c r="C755">
        <v>19</v>
      </c>
      <c r="D755" t="s">
        <v>37</v>
      </c>
      <c r="E755" t="s">
        <v>72</v>
      </c>
      <c r="F755" s="1">
        <v>42475</v>
      </c>
      <c r="G755" s="1">
        <v>42508</v>
      </c>
      <c r="H755" t="s">
        <v>25</v>
      </c>
      <c r="I755">
        <v>33</v>
      </c>
      <c r="J755" t="s">
        <v>22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26</v>
      </c>
      <c r="R755">
        <v>1</v>
      </c>
    </row>
    <row r="756" spans="1:18">
      <c r="A756">
        <v>44639000000000</v>
      </c>
      <c r="B756" t="s">
        <v>18</v>
      </c>
      <c r="C756">
        <v>31</v>
      </c>
      <c r="D756" t="s">
        <v>37</v>
      </c>
      <c r="E756" t="s">
        <v>20</v>
      </c>
      <c r="F756" s="1">
        <v>42506</v>
      </c>
      <c r="G756" s="1">
        <v>42514</v>
      </c>
      <c r="H756" t="s">
        <v>41</v>
      </c>
      <c r="I756">
        <v>8</v>
      </c>
      <c r="J756" t="s">
        <v>92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 t="s">
        <v>26</v>
      </c>
      <c r="R756">
        <v>1</v>
      </c>
    </row>
    <row r="757" spans="1:18">
      <c r="A757">
        <v>6552460000000</v>
      </c>
      <c r="B757" t="s">
        <v>18</v>
      </c>
      <c r="C757">
        <v>29</v>
      </c>
      <c r="D757" t="s">
        <v>37</v>
      </c>
      <c r="E757" t="s">
        <v>40</v>
      </c>
      <c r="F757" s="1">
        <v>42506</v>
      </c>
      <c r="G757" s="1">
        <v>42515</v>
      </c>
      <c r="H757" t="s">
        <v>25</v>
      </c>
      <c r="I757">
        <v>9</v>
      </c>
      <c r="J757" t="s">
        <v>92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 t="s">
        <v>26</v>
      </c>
      <c r="R757">
        <v>1</v>
      </c>
    </row>
    <row r="758" spans="1:18">
      <c r="A758">
        <v>9756760000000</v>
      </c>
      <c r="B758" t="s">
        <v>18</v>
      </c>
      <c r="C758">
        <v>22</v>
      </c>
      <c r="D758" t="s">
        <v>37</v>
      </c>
      <c r="E758" t="s">
        <v>50</v>
      </c>
      <c r="F758" s="1">
        <v>42506</v>
      </c>
      <c r="G758" s="1">
        <v>42507</v>
      </c>
      <c r="H758" t="s">
        <v>41</v>
      </c>
      <c r="I758">
        <v>1</v>
      </c>
      <c r="J758" t="s">
        <v>109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23</v>
      </c>
      <c r="R758">
        <v>0</v>
      </c>
    </row>
    <row r="759" spans="1:18">
      <c r="A759">
        <v>21944100000000</v>
      </c>
      <c r="B759" t="s">
        <v>18</v>
      </c>
      <c r="C759">
        <v>35</v>
      </c>
      <c r="D759" t="s">
        <v>37</v>
      </c>
      <c r="E759" t="s">
        <v>50</v>
      </c>
      <c r="F759" s="1">
        <v>42475</v>
      </c>
      <c r="G759" s="1">
        <v>42520</v>
      </c>
      <c r="H759" t="s">
        <v>30</v>
      </c>
      <c r="I759">
        <v>45</v>
      </c>
      <c r="J759" t="s">
        <v>22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 t="s">
        <v>26</v>
      </c>
      <c r="R759">
        <v>1</v>
      </c>
    </row>
    <row r="760" spans="1:18">
      <c r="A760">
        <v>9273580000000</v>
      </c>
      <c r="B760" t="s">
        <v>28</v>
      </c>
      <c r="C760">
        <v>24</v>
      </c>
      <c r="D760" t="s">
        <v>37</v>
      </c>
      <c r="E760" t="s">
        <v>72</v>
      </c>
      <c r="F760" s="1">
        <v>42475</v>
      </c>
      <c r="G760" s="1">
        <v>42515</v>
      </c>
      <c r="H760" t="s">
        <v>25</v>
      </c>
      <c r="I760">
        <v>40</v>
      </c>
      <c r="J760" t="s">
        <v>22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 t="s">
        <v>26</v>
      </c>
      <c r="R760">
        <v>1</v>
      </c>
    </row>
    <row r="761" spans="1:18">
      <c r="A761">
        <v>7612920000000</v>
      </c>
      <c r="B761" t="s">
        <v>28</v>
      </c>
      <c r="C761">
        <v>27</v>
      </c>
      <c r="D761" t="s">
        <v>37</v>
      </c>
      <c r="E761" t="s">
        <v>40</v>
      </c>
      <c r="F761" s="1">
        <v>42506</v>
      </c>
      <c r="G761" s="1">
        <v>42524</v>
      </c>
      <c r="H761" t="s">
        <v>21</v>
      </c>
      <c r="I761">
        <v>18</v>
      </c>
      <c r="J761" t="s">
        <v>77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 t="s">
        <v>23</v>
      </c>
      <c r="R761">
        <v>0</v>
      </c>
    </row>
    <row r="762" spans="1:18">
      <c r="A762">
        <v>569963000000</v>
      </c>
      <c r="B762" t="s">
        <v>18</v>
      </c>
      <c r="C762">
        <v>19</v>
      </c>
      <c r="D762" t="s">
        <v>37</v>
      </c>
      <c r="E762" t="s">
        <v>39</v>
      </c>
      <c r="F762" s="1">
        <v>42506</v>
      </c>
      <c r="G762" s="1">
        <v>42506</v>
      </c>
      <c r="H762" t="s">
        <v>30</v>
      </c>
      <c r="I762">
        <v>0</v>
      </c>
      <c r="J762" t="s">
        <v>111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23</v>
      </c>
      <c r="R762">
        <v>0</v>
      </c>
    </row>
    <row r="763" spans="1:18">
      <c r="A763">
        <v>3578000000000</v>
      </c>
      <c r="B763" t="s">
        <v>28</v>
      </c>
      <c r="C763">
        <v>33</v>
      </c>
      <c r="D763" t="s">
        <v>37</v>
      </c>
      <c r="E763" t="s">
        <v>40</v>
      </c>
      <c r="F763" s="1">
        <v>42478</v>
      </c>
      <c r="G763" s="1">
        <v>42492</v>
      </c>
      <c r="H763" t="s">
        <v>30</v>
      </c>
      <c r="I763">
        <v>14</v>
      </c>
      <c r="J763" t="s">
        <v>92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 t="s">
        <v>23</v>
      </c>
      <c r="R763">
        <v>0</v>
      </c>
    </row>
    <row r="764" spans="1:18">
      <c r="A764">
        <v>44929200000000</v>
      </c>
      <c r="B764" t="s">
        <v>28</v>
      </c>
      <c r="C764">
        <v>31</v>
      </c>
      <c r="D764" t="s">
        <v>37</v>
      </c>
      <c r="E764" t="s">
        <v>68</v>
      </c>
      <c r="F764" s="1">
        <v>42478</v>
      </c>
      <c r="G764" s="1">
        <v>42506</v>
      </c>
      <c r="H764" t="s">
        <v>30</v>
      </c>
      <c r="I764">
        <v>28</v>
      </c>
      <c r="J764" t="s">
        <v>77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23</v>
      </c>
      <c r="R764">
        <v>0</v>
      </c>
    </row>
    <row r="765" spans="1:18">
      <c r="A765">
        <v>63964659235</v>
      </c>
      <c r="B765" t="s">
        <v>28</v>
      </c>
      <c r="C765">
        <v>25</v>
      </c>
      <c r="D765" t="s">
        <v>37</v>
      </c>
      <c r="E765" t="s">
        <v>36</v>
      </c>
      <c r="F765" s="1">
        <v>42506</v>
      </c>
      <c r="G765" s="1">
        <v>42506</v>
      </c>
      <c r="H765" t="s">
        <v>30</v>
      </c>
      <c r="I765">
        <v>0</v>
      </c>
      <c r="J765" t="s">
        <v>111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23</v>
      </c>
      <c r="R765">
        <v>0</v>
      </c>
    </row>
    <row r="766" spans="1:18">
      <c r="A766">
        <v>46555200000000</v>
      </c>
      <c r="B766" t="s">
        <v>28</v>
      </c>
      <c r="C766">
        <v>31</v>
      </c>
      <c r="D766" t="s">
        <v>37</v>
      </c>
      <c r="E766" t="s">
        <v>47</v>
      </c>
      <c r="F766" s="1">
        <v>42506</v>
      </c>
      <c r="G766" s="1">
        <v>42529</v>
      </c>
      <c r="H766" t="s">
        <v>25</v>
      </c>
      <c r="I766">
        <v>23</v>
      </c>
      <c r="J766" t="s">
        <v>77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 t="s">
        <v>26</v>
      </c>
      <c r="R766">
        <v>1</v>
      </c>
    </row>
    <row r="767" spans="1:18">
      <c r="A767">
        <v>8734500000000</v>
      </c>
      <c r="B767" t="s">
        <v>18</v>
      </c>
      <c r="C767">
        <v>29</v>
      </c>
      <c r="D767" t="s">
        <v>37</v>
      </c>
      <c r="E767" t="s">
        <v>72</v>
      </c>
      <c r="F767" s="1">
        <v>42506</v>
      </c>
      <c r="G767" s="1">
        <v>42521</v>
      </c>
      <c r="H767" t="s">
        <v>41</v>
      </c>
      <c r="I767">
        <v>15</v>
      </c>
      <c r="J767" t="s">
        <v>77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26</v>
      </c>
      <c r="R767">
        <v>1</v>
      </c>
    </row>
    <row r="768" spans="1:18">
      <c r="A768">
        <v>863918000000</v>
      </c>
      <c r="B768" t="s">
        <v>18</v>
      </c>
      <c r="C768">
        <v>33</v>
      </c>
      <c r="D768" t="s">
        <v>37</v>
      </c>
      <c r="E768" t="s">
        <v>50</v>
      </c>
      <c r="F768" s="1">
        <v>42506</v>
      </c>
      <c r="G768" s="1">
        <v>42520</v>
      </c>
      <c r="H768" t="s">
        <v>30</v>
      </c>
      <c r="I768">
        <v>14</v>
      </c>
      <c r="J768" t="s">
        <v>92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 t="s">
        <v>23</v>
      </c>
      <c r="R768">
        <v>0</v>
      </c>
    </row>
    <row r="769" spans="1:18">
      <c r="A769">
        <v>73662300000000</v>
      </c>
      <c r="B769" t="s">
        <v>18</v>
      </c>
      <c r="C769">
        <v>24</v>
      </c>
      <c r="D769" t="s">
        <v>37</v>
      </c>
      <c r="E769" t="s">
        <v>40</v>
      </c>
      <c r="F769" s="1">
        <v>42478</v>
      </c>
      <c r="G769" s="1">
        <v>42492</v>
      </c>
      <c r="H769" t="s">
        <v>30</v>
      </c>
      <c r="I769">
        <v>14</v>
      </c>
      <c r="J769" t="s">
        <v>92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 t="s">
        <v>23</v>
      </c>
      <c r="R769">
        <v>0</v>
      </c>
    </row>
    <row r="770" spans="1:18">
      <c r="A770">
        <v>1345270000000</v>
      </c>
      <c r="B770" t="s">
        <v>18</v>
      </c>
      <c r="C770">
        <v>30</v>
      </c>
      <c r="D770" t="s">
        <v>37</v>
      </c>
      <c r="E770" t="s">
        <v>48</v>
      </c>
      <c r="F770" s="1">
        <v>42506</v>
      </c>
      <c r="G770" s="1">
        <v>42506</v>
      </c>
      <c r="H770" t="s">
        <v>30</v>
      </c>
      <c r="I770">
        <v>0</v>
      </c>
      <c r="J770" t="s">
        <v>111</v>
      </c>
      <c r="K770">
        <v>1</v>
      </c>
      <c r="L770">
        <v>1</v>
      </c>
      <c r="M770">
        <v>0</v>
      </c>
      <c r="N770">
        <v>0</v>
      </c>
      <c r="O770">
        <v>0</v>
      </c>
      <c r="P770">
        <v>0</v>
      </c>
      <c r="Q770" t="s">
        <v>23</v>
      </c>
      <c r="R770">
        <v>0</v>
      </c>
    </row>
    <row r="771" spans="1:18">
      <c r="A771">
        <v>23939400000000</v>
      </c>
      <c r="B771" t="s">
        <v>18</v>
      </c>
      <c r="C771">
        <v>21</v>
      </c>
      <c r="D771" t="s">
        <v>37</v>
      </c>
      <c r="E771" t="s">
        <v>39</v>
      </c>
      <c r="F771" s="1">
        <v>42506</v>
      </c>
      <c r="G771" s="1">
        <v>42509</v>
      </c>
      <c r="H771" t="s">
        <v>33</v>
      </c>
      <c r="I771">
        <v>3</v>
      </c>
      <c r="J771" t="s">
        <v>109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23</v>
      </c>
      <c r="R771">
        <v>0</v>
      </c>
    </row>
    <row r="772" spans="1:18">
      <c r="A772">
        <v>413927000000000</v>
      </c>
      <c r="B772" t="s">
        <v>18</v>
      </c>
      <c r="C772">
        <v>28</v>
      </c>
      <c r="D772" t="s">
        <v>37</v>
      </c>
      <c r="E772" t="s">
        <v>52</v>
      </c>
      <c r="F772" s="1">
        <v>42478</v>
      </c>
      <c r="G772" s="1">
        <v>42489</v>
      </c>
      <c r="H772" t="s">
        <v>21</v>
      </c>
      <c r="I772">
        <v>11</v>
      </c>
      <c r="J772" t="s">
        <v>92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 t="s">
        <v>23</v>
      </c>
      <c r="R772">
        <v>0</v>
      </c>
    </row>
    <row r="773" spans="1:18">
      <c r="A773">
        <v>78794700000000</v>
      </c>
      <c r="B773" t="s">
        <v>18</v>
      </c>
      <c r="C773">
        <v>33</v>
      </c>
      <c r="D773" t="s">
        <v>37</v>
      </c>
      <c r="E773" t="s">
        <v>58</v>
      </c>
      <c r="F773" s="1">
        <v>42506</v>
      </c>
      <c r="G773" s="1">
        <v>42520</v>
      </c>
      <c r="H773" t="s">
        <v>30</v>
      </c>
      <c r="I773">
        <v>14</v>
      </c>
      <c r="J773" t="s">
        <v>92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1</v>
      </c>
      <c r="Q773" t="s">
        <v>26</v>
      </c>
      <c r="R773">
        <v>1</v>
      </c>
    </row>
    <row r="774" spans="1:18">
      <c r="A774">
        <v>81227800000000</v>
      </c>
      <c r="B774" t="s">
        <v>18</v>
      </c>
      <c r="C774">
        <v>21</v>
      </c>
      <c r="D774" t="s">
        <v>37</v>
      </c>
      <c r="E774" t="s">
        <v>76</v>
      </c>
      <c r="F774" s="1">
        <v>42478</v>
      </c>
      <c r="G774" s="1">
        <v>42494</v>
      </c>
      <c r="H774" t="s">
        <v>25</v>
      </c>
      <c r="I774">
        <v>16</v>
      </c>
      <c r="J774" t="s">
        <v>77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</v>
      </c>
      <c r="Q774" t="s">
        <v>23</v>
      </c>
      <c r="R774">
        <v>0</v>
      </c>
    </row>
    <row r="775" spans="1:18">
      <c r="A775">
        <v>27773800000000</v>
      </c>
      <c r="B775" t="s">
        <v>18</v>
      </c>
      <c r="C775">
        <v>23</v>
      </c>
      <c r="D775" t="s">
        <v>37</v>
      </c>
      <c r="E775" t="s">
        <v>76</v>
      </c>
      <c r="F775" s="1">
        <v>42478</v>
      </c>
      <c r="G775" s="1">
        <v>42506</v>
      </c>
      <c r="H775" t="s">
        <v>30</v>
      </c>
      <c r="I775">
        <v>28</v>
      </c>
      <c r="J775" t="s">
        <v>77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23</v>
      </c>
      <c r="R775">
        <v>0</v>
      </c>
    </row>
    <row r="776" spans="1:18">
      <c r="A776">
        <v>7673990000000</v>
      </c>
      <c r="B776" t="s">
        <v>18</v>
      </c>
      <c r="C776">
        <v>24</v>
      </c>
      <c r="D776" t="s">
        <v>37</v>
      </c>
      <c r="E776" t="s">
        <v>72</v>
      </c>
      <c r="F776" s="1">
        <v>42506</v>
      </c>
      <c r="G776" s="1">
        <v>42506</v>
      </c>
      <c r="H776" t="s">
        <v>30</v>
      </c>
      <c r="I776">
        <v>0</v>
      </c>
      <c r="J776" t="s">
        <v>111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23</v>
      </c>
      <c r="R776">
        <v>0</v>
      </c>
    </row>
    <row r="777" spans="1:18">
      <c r="A777">
        <v>39885900000000</v>
      </c>
      <c r="B777" t="s">
        <v>18</v>
      </c>
      <c r="C777">
        <v>29</v>
      </c>
      <c r="D777" t="s">
        <v>37</v>
      </c>
      <c r="E777" t="s">
        <v>72</v>
      </c>
      <c r="F777" s="1">
        <v>42506</v>
      </c>
      <c r="G777" s="1">
        <v>42529</v>
      </c>
      <c r="H777" t="s">
        <v>25</v>
      </c>
      <c r="I777">
        <v>23</v>
      </c>
      <c r="J777" t="s">
        <v>77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 t="s">
        <v>26</v>
      </c>
      <c r="R777">
        <v>1</v>
      </c>
    </row>
    <row r="778" spans="1:18">
      <c r="A778">
        <v>46947000000000</v>
      </c>
      <c r="B778" t="s">
        <v>18</v>
      </c>
      <c r="C778">
        <v>23</v>
      </c>
      <c r="D778" t="s">
        <v>37</v>
      </c>
      <c r="E778" t="s">
        <v>78</v>
      </c>
      <c r="F778" s="1">
        <v>42506</v>
      </c>
      <c r="G778" s="1">
        <v>42527</v>
      </c>
      <c r="H778" t="s">
        <v>30</v>
      </c>
      <c r="I778">
        <v>21</v>
      </c>
      <c r="J778" t="s">
        <v>77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1</v>
      </c>
      <c r="Q778" t="s">
        <v>23</v>
      </c>
      <c r="R778">
        <v>0</v>
      </c>
    </row>
    <row r="779" spans="1:18">
      <c r="A779">
        <v>13162800000000</v>
      </c>
      <c r="B779" t="s">
        <v>18</v>
      </c>
      <c r="C779">
        <v>34</v>
      </c>
      <c r="D779" t="s">
        <v>37</v>
      </c>
      <c r="E779" t="s">
        <v>75</v>
      </c>
      <c r="F779" s="1">
        <v>42506</v>
      </c>
      <c r="G779" s="1">
        <v>42508</v>
      </c>
      <c r="H779" t="s">
        <v>25</v>
      </c>
      <c r="I779">
        <v>2</v>
      </c>
      <c r="J779" t="s">
        <v>109</v>
      </c>
      <c r="K779">
        <v>1</v>
      </c>
      <c r="L779">
        <v>1</v>
      </c>
      <c r="M779">
        <v>0</v>
      </c>
      <c r="N779">
        <v>0</v>
      </c>
      <c r="O779">
        <v>0</v>
      </c>
      <c r="P779">
        <v>0</v>
      </c>
      <c r="Q779" t="s">
        <v>23</v>
      </c>
      <c r="R779">
        <v>0</v>
      </c>
    </row>
    <row r="780" spans="1:18">
      <c r="A780">
        <v>533577000000000</v>
      </c>
      <c r="B780" t="s">
        <v>28</v>
      </c>
      <c r="C780">
        <v>29</v>
      </c>
      <c r="D780" t="s">
        <v>37</v>
      </c>
      <c r="E780" t="s">
        <v>97</v>
      </c>
      <c r="F780" s="1">
        <v>42506</v>
      </c>
      <c r="G780" s="1">
        <v>42506</v>
      </c>
      <c r="H780" t="s">
        <v>30</v>
      </c>
      <c r="I780">
        <v>0</v>
      </c>
      <c r="J780" t="s">
        <v>111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23</v>
      </c>
      <c r="R780">
        <v>0</v>
      </c>
    </row>
    <row r="781" spans="1:18">
      <c r="A781">
        <v>54852600000000</v>
      </c>
      <c r="B781" t="s">
        <v>18</v>
      </c>
      <c r="C781">
        <v>32</v>
      </c>
      <c r="D781" t="s">
        <v>37</v>
      </c>
      <c r="E781" t="s">
        <v>65</v>
      </c>
      <c r="F781" s="1">
        <v>42506</v>
      </c>
      <c r="G781" s="1">
        <v>42506</v>
      </c>
      <c r="H781" t="s">
        <v>30</v>
      </c>
      <c r="I781">
        <v>0</v>
      </c>
      <c r="J781" t="s">
        <v>111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23</v>
      </c>
      <c r="R781">
        <v>0</v>
      </c>
    </row>
    <row r="782" spans="1:18">
      <c r="A782">
        <v>63618800000000</v>
      </c>
      <c r="B782" t="s">
        <v>18</v>
      </c>
      <c r="C782">
        <v>27</v>
      </c>
      <c r="D782" t="s">
        <v>37</v>
      </c>
      <c r="E782" t="s">
        <v>58</v>
      </c>
      <c r="F782" s="1">
        <v>42506</v>
      </c>
      <c r="G782" s="1">
        <v>42522</v>
      </c>
      <c r="H782" t="s">
        <v>25</v>
      </c>
      <c r="I782">
        <v>16</v>
      </c>
      <c r="J782" t="s">
        <v>77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 t="s">
        <v>26</v>
      </c>
      <c r="R782">
        <v>1</v>
      </c>
    </row>
    <row r="783" spans="1:18">
      <c r="A783">
        <v>76442600000000</v>
      </c>
      <c r="B783" t="s">
        <v>18</v>
      </c>
      <c r="C783">
        <v>22</v>
      </c>
      <c r="D783" t="s">
        <v>37</v>
      </c>
      <c r="E783" t="s">
        <v>101</v>
      </c>
      <c r="F783" s="1">
        <v>42506</v>
      </c>
      <c r="G783" s="1">
        <v>42506</v>
      </c>
      <c r="H783" t="s">
        <v>30</v>
      </c>
      <c r="I783">
        <v>0</v>
      </c>
      <c r="J783" t="s">
        <v>111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23</v>
      </c>
      <c r="R783">
        <v>0</v>
      </c>
    </row>
    <row r="784" spans="1:18">
      <c r="A784">
        <v>1637470000000</v>
      </c>
      <c r="B784" t="s">
        <v>18</v>
      </c>
      <c r="C784">
        <v>23</v>
      </c>
      <c r="D784" t="s">
        <v>37</v>
      </c>
      <c r="E784" t="s">
        <v>47</v>
      </c>
      <c r="F784" s="1">
        <v>42506</v>
      </c>
      <c r="G784" s="1">
        <v>42506</v>
      </c>
      <c r="H784" t="s">
        <v>30</v>
      </c>
      <c r="I784">
        <v>0</v>
      </c>
      <c r="J784" t="s">
        <v>111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23</v>
      </c>
      <c r="R784">
        <v>0</v>
      </c>
    </row>
    <row r="785" spans="1:18">
      <c r="A785">
        <v>594948000000</v>
      </c>
      <c r="B785" t="s">
        <v>18</v>
      </c>
      <c r="C785">
        <v>31</v>
      </c>
      <c r="D785" t="s">
        <v>37</v>
      </c>
      <c r="E785" t="s">
        <v>45</v>
      </c>
      <c r="F785" s="1">
        <v>42506</v>
      </c>
      <c r="G785" s="1">
        <v>42506</v>
      </c>
      <c r="H785" t="s">
        <v>30</v>
      </c>
      <c r="I785">
        <v>0</v>
      </c>
      <c r="J785" t="s">
        <v>111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23</v>
      </c>
      <c r="R785">
        <v>0</v>
      </c>
    </row>
    <row r="786" spans="1:18">
      <c r="A786">
        <v>6717920000000</v>
      </c>
      <c r="B786" t="s">
        <v>18</v>
      </c>
      <c r="C786">
        <v>20</v>
      </c>
      <c r="D786" t="s">
        <v>37</v>
      </c>
      <c r="E786" t="s">
        <v>68</v>
      </c>
      <c r="F786" s="1">
        <v>42478</v>
      </c>
      <c r="G786" s="1">
        <v>42496</v>
      </c>
      <c r="H786" t="s">
        <v>21</v>
      </c>
      <c r="I786">
        <v>18</v>
      </c>
      <c r="J786" t="s">
        <v>77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 t="s">
        <v>23</v>
      </c>
      <c r="R786">
        <v>0</v>
      </c>
    </row>
    <row r="787" spans="1:18">
      <c r="A787">
        <v>69322200000000</v>
      </c>
      <c r="B787" t="s">
        <v>28</v>
      </c>
      <c r="C787">
        <v>33</v>
      </c>
      <c r="D787" t="s">
        <v>37</v>
      </c>
      <c r="E787" t="s">
        <v>79</v>
      </c>
      <c r="F787" s="1">
        <v>42506</v>
      </c>
      <c r="G787" s="1">
        <v>42506</v>
      </c>
      <c r="H787" t="s">
        <v>30</v>
      </c>
      <c r="I787">
        <v>0</v>
      </c>
      <c r="J787" t="s">
        <v>111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 t="s">
        <v>23</v>
      </c>
      <c r="R787">
        <v>0</v>
      </c>
    </row>
    <row r="788" spans="1:18">
      <c r="A788">
        <v>2863960000000</v>
      </c>
      <c r="B788" t="s">
        <v>18</v>
      </c>
      <c r="C788">
        <v>18</v>
      </c>
      <c r="D788" t="s">
        <v>37</v>
      </c>
      <c r="E788" t="s">
        <v>67</v>
      </c>
      <c r="F788" s="1">
        <v>42478</v>
      </c>
      <c r="G788" s="1">
        <v>42501</v>
      </c>
      <c r="H788" t="s">
        <v>25</v>
      </c>
      <c r="I788">
        <v>23</v>
      </c>
      <c r="J788" t="s">
        <v>77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1</v>
      </c>
      <c r="Q788" t="s">
        <v>26</v>
      </c>
      <c r="R788">
        <v>1</v>
      </c>
    </row>
    <row r="789" spans="1:18">
      <c r="A789">
        <v>6973540000000</v>
      </c>
      <c r="B789" t="s">
        <v>18</v>
      </c>
      <c r="C789">
        <v>24</v>
      </c>
      <c r="D789" t="s">
        <v>37</v>
      </c>
      <c r="E789" t="s">
        <v>40</v>
      </c>
      <c r="F789" s="1">
        <v>42506</v>
      </c>
      <c r="G789" s="1">
        <v>42527</v>
      </c>
      <c r="H789" t="s">
        <v>30</v>
      </c>
      <c r="I789">
        <v>21</v>
      </c>
      <c r="J789" t="s">
        <v>77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1</v>
      </c>
      <c r="Q789" t="s">
        <v>23</v>
      </c>
      <c r="R789">
        <v>0</v>
      </c>
    </row>
    <row r="790" spans="1:18">
      <c r="A790">
        <v>641923000000000</v>
      </c>
      <c r="B790" t="s">
        <v>18</v>
      </c>
      <c r="C790">
        <v>26</v>
      </c>
      <c r="D790" t="s">
        <v>37</v>
      </c>
      <c r="E790" t="s">
        <v>32</v>
      </c>
      <c r="F790" s="1">
        <v>42506</v>
      </c>
      <c r="G790" s="1">
        <v>42506</v>
      </c>
      <c r="H790" t="s">
        <v>30</v>
      </c>
      <c r="I790">
        <v>0</v>
      </c>
      <c r="J790" t="s">
        <v>111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23</v>
      </c>
      <c r="R790">
        <v>0</v>
      </c>
    </row>
    <row r="791" spans="1:18">
      <c r="A791">
        <v>1495370000000</v>
      </c>
      <c r="B791" t="s">
        <v>18</v>
      </c>
      <c r="C791">
        <v>28</v>
      </c>
      <c r="D791" t="s">
        <v>37</v>
      </c>
      <c r="E791" t="s">
        <v>50</v>
      </c>
      <c r="F791" s="1">
        <v>42506</v>
      </c>
      <c r="G791" s="1">
        <v>42506</v>
      </c>
      <c r="H791" t="s">
        <v>30</v>
      </c>
      <c r="I791">
        <v>0</v>
      </c>
      <c r="J791" t="s">
        <v>111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23</v>
      </c>
      <c r="R791">
        <v>0</v>
      </c>
    </row>
    <row r="792" spans="1:18">
      <c r="A792">
        <v>55567100000000</v>
      </c>
      <c r="B792" t="s">
        <v>28</v>
      </c>
      <c r="C792">
        <v>27</v>
      </c>
      <c r="D792" t="s">
        <v>37</v>
      </c>
      <c r="E792" t="s">
        <v>78</v>
      </c>
      <c r="F792" s="1">
        <v>42506</v>
      </c>
      <c r="G792" s="1">
        <v>42520</v>
      </c>
      <c r="H792" t="s">
        <v>30</v>
      </c>
      <c r="I792">
        <v>14</v>
      </c>
      <c r="J792" t="s">
        <v>92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 t="s">
        <v>23</v>
      </c>
      <c r="R792">
        <v>0</v>
      </c>
    </row>
    <row r="793" spans="1:18">
      <c r="A793">
        <v>933790000000000</v>
      </c>
      <c r="B793" t="s">
        <v>18</v>
      </c>
      <c r="C793">
        <v>31</v>
      </c>
      <c r="D793" t="s">
        <v>37</v>
      </c>
      <c r="E793" t="s">
        <v>32</v>
      </c>
      <c r="F793" s="1">
        <v>42506</v>
      </c>
      <c r="G793" s="1">
        <v>42514</v>
      </c>
      <c r="H793" t="s">
        <v>41</v>
      </c>
      <c r="I793">
        <v>8</v>
      </c>
      <c r="J793" t="s">
        <v>92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1</v>
      </c>
      <c r="Q793" t="s">
        <v>23</v>
      </c>
      <c r="R793">
        <v>0</v>
      </c>
    </row>
    <row r="794" spans="1:18">
      <c r="A794">
        <v>6896170000000</v>
      </c>
      <c r="B794" t="s">
        <v>28</v>
      </c>
      <c r="C794">
        <v>18</v>
      </c>
      <c r="D794" t="s">
        <v>37</v>
      </c>
      <c r="E794" t="s">
        <v>40</v>
      </c>
      <c r="F794" s="1">
        <v>42478</v>
      </c>
      <c r="G794" s="1">
        <v>42501</v>
      </c>
      <c r="H794" t="s">
        <v>25</v>
      </c>
      <c r="I794">
        <v>23</v>
      </c>
      <c r="J794" t="s">
        <v>77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</v>
      </c>
      <c r="Q794" t="s">
        <v>26</v>
      </c>
      <c r="R794">
        <v>1</v>
      </c>
    </row>
    <row r="795" spans="1:18">
      <c r="A795">
        <v>9496200000000</v>
      </c>
      <c r="B795" t="s">
        <v>28</v>
      </c>
      <c r="C795">
        <v>35</v>
      </c>
      <c r="D795" t="s">
        <v>37</v>
      </c>
      <c r="E795" t="s">
        <v>40</v>
      </c>
      <c r="F795" s="1">
        <v>42506</v>
      </c>
      <c r="G795" s="1">
        <v>42506</v>
      </c>
      <c r="H795" t="s">
        <v>30</v>
      </c>
      <c r="I795">
        <v>0</v>
      </c>
      <c r="J795" t="s">
        <v>111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23</v>
      </c>
      <c r="R795">
        <v>0</v>
      </c>
    </row>
    <row r="796" spans="1:18">
      <c r="A796">
        <v>77998900000000</v>
      </c>
      <c r="B796" t="s">
        <v>18</v>
      </c>
      <c r="C796">
        <v>35</v>
      </c>
      <c r="D796" t="s">
        <v>37</v>
      </c>
      <c r="E796" t="s">
        <v>112</v>
      </c>
      <c r="F796" s="1">
        <v>42506</v>
      </c>
      <c r="G796" s="1">
        <v>42506</v>
      </c>
      <c r="H796" t="s">
        <v>30</v>
      </c>
      <c r="I796">
        <v>0</v>
      </c>
      <c r="J796" t="s">
        <v>111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23</v>
      </c>
      <c r="R796">
        <v>0</v>
      </c>
    </row>
    <row r="797" spans="1:18">
      <c r="A797">
        <v>992786000000000</v>
      </c>
      <c r="B797" t="s">
        <v>18</v>
      </c>
      <c r="C797">
        <v>22</v>
      </c>
      <c r="D797" t="s">
        <v>37</v>
      </c>
      <c r="E797" t="s">
        <v>75</v>
      </c>
      <c r="F797" s="1">
        <v>42506</v>
      </c>
      <c r="G797" s="1">
        <v>42506</v>
      </c>
      <c r="H797" t="s">
        <v>30</v>
      </c>
      <c r="I797">
        <v>0</v>
      </c>
      <c r="J797" t="s">
        <v>111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23</v>
      </c>
      <c r="R797">
        <v>0</v>
      </c>
    </row>
    <row r="798" spans="1:18">
      <c r="A798">
        <v>5537540000000</v>
      </c>
      <c r="B798" t="s">
        <v>28</v>
      </c>
      <c r="C798">
        <v>24</v>
      </c>
      <c r="D798" t="s">
        <v>37</v>
      </c>
      <c r="E798" t="s">
        <v>55</v>
      </c>
      <c r="F798" s="1">
        <v>42506</v>
      </c>
      <c r="G798" s="1">
        <v>42524</v>
      </c>
      <c r="H798" t="s">
        <v>21</v>
      </c>
      <c r="I798">
        <v>18</v>
      </c>
      <c r="J798" t="s">
        <v>77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 t="s">
        <v>23</v>
      </c>
      <c r="R798">
        <v>0</v>
      </c>
    </row>
    <row r="799" spans="1:18">
      <c r="A799">
        <v>113573000000000</v>
      </c>
      <c r="B799" t="s">
        <v>28</v>
      </c>
      <c r="C799">
        <v>28</v>
      </c>
      <c r="D799" t="s">
        <v>37</v>
      </c>
      <c r="E799" t="s">
        <v>32</v>
      </c>
      <c r="F799" s="1">
        <v>42506</v>
      </c>
      <c r="G799" s="1">
        <v>42507</v>
      </c>
      <c r="H799" t="s">
        <v>41</v>
      </c>
      <c r="I799">
        <v>1</v>
      </c>
      <c r="J799" t="s">
        <v>109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23</v>
      </c>
      <c r="R799">
        <v>0</v>
      </c>
    </row>
    <row r="800" spans="1:18">
      <c r="A800">
        <v>158463000000000</v>
      </c>
      <c r="B800" t="s">
        <v>18</v>
      </c>
      <c r="C800">
        <v>30</v>
      </c>
      <c r="D800" t="s">
        <v>37</v>
      </c>
      <c r="E800" t="s">
        <v>47</v>
      </c>
      <c r="F800" s="1">
        <v>42506</v>
      </c>
      <c r="G800" s="1">
        <v>42529</v>
      </c>
      <c r="H800" t="s">
        <v>25</v>
      </c>
      <c r="I800">
        <v>23</v>
      </c>
      <c r="J800" t="s">
        <v>77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</v>
      </c>
      <c r="Q800" t="s">
        <v>23</v>
      </c>
      <c r="R800">
        <v>0</v>
      </c>
    </row>
    <row r="801" spans="1:18">
      <c r="A801">
        <v>168736000000</v>
      </c>
      <c r="B801" t="s">
        <v>18</v>
      </c>
      <c r="C801">
        <v>30</v>
      </c>
      <c r="D801" t="s">
        <v>37</v>
      </c>
      <c r="E801" t="s">
        <v>63</v>
      </c>
      <c r="F801" s="1">
        <v>42506</v>
      </c>
      <c r="G801" s="1">
        <v>42524</v>
      </c>
      <c r="H801" t="s">
        <v>21</v>
      </c>
      <c r="I801">
        <v>18</v>
      </c>
      <c r="J801" t="s">
        <v>77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  <c r="Q801" t="s">
        <v>23</v>
      </c>
      <c r="R801">
        <v>0</v>
      </c>
    </row>
    <row r="802" spans="1:18">
      <c r="A802">
        <v>988762000000000</v>
      </c>
      <c r="B802" t="s">
        <v>28</v>
      </c>
      <c r="C802">
        <v>27</v>
      </c>
      <c r="D802" t="s">
        <v>37</v>
      </c>
      <c r="E802" t="s">
        <v>105</v>
      </c>
      <c r="F802" s="1">
        <v>42506</v>
      </c>
      <c r="G802" s="1">
        <v>42506</v>
      </c>
      <c r="H802" t="s">
        <v>30</v>
      </c>
      <c r="I802">
        <v>0</v>
      </c>
      <c r="J802" t="s">
        <v>111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23</v>
      </c>
      <c r="R802">
        <v>0</v>
      </c>
    </row>
    <row r="803" spans="1:18">
      <c r="A803">
        <v>3115330000000</v>
      </c>
      <c r="B803" t="s">
        <v>28</v>
      </c>
      <c r="C803">
        <v>22</v>
      </c>
      <c r="D803" t="s">
        <v>37</v>
      </c>
      <c r="E803" t="s">
        <v>56</v>
      </c>
      <c r="F803" s="1">
        <v>42506</v>
      </c>
      <c r="G803" s="1">
        <v>42506</v>
      </c>
      <c r="H803" t="s">
        <v>30</v>
      </c>
      <c r="I803">
        <v>0</v>
      </c>
      <c r="J803" t="s">
        <v>111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26</v>
      </c>
      <c r="R803">
        <v>1</v>
      </c>
    </row>
    <row r="804" spans="1:18">
      <c r="A804">
        <v>123919000000000</v>
      </c>
      <c r="B804" t="s">
        <v>28</v>
      </c>
      <c r="C804">
        <v>19</v>
      </c>
      <c r="D804" t="s">
        <v>37</v>
      </c>
      <c r="E804" t="s">
        <v>93</v>
      </c>
      <c r="F804" s="1">
        <v>42506</v>
      </c>
      <c r="G804" s="1">
        <v>42528</v>
      </c>
      <c r="H804" t="s">
        <v>41</v>
      </c>
      <c r="I804">
        <v>22</v>
      </c>
      <c r="J804" t="s">
        <v>77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26</v>
      </c>
      <c r="R804">
        <v>1</v>
      </c>
    </row>
    <row r="805" spans="1:18">
      <c r="A805">
        <v>1947680000000</v>
      </c>
      <c r="B805" t="s">
        <v>18</v>
      </c>
      <c r="C805">
        <v>19</v>
      </c>
      <c r="D805" t="s">
        <v>37</v>
      </c>
      <c r="E805" t="s">
        <v>50</v>
      </c>
      <c r="F805" s="1">
        <v>42506</v>
      </c>
      <c r="G805" s="1">
        <v>42522</v>
      </c>
      <c r="H805" t="s">
        <v>25</v>
      </c>
      <c r="I805">
        <v>16</v>
      </c>
      <c r="J805" t="s">
        <v>77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</v>
      </c>
      <c r="Q805" t="s">
        <v>26</v>
      </c>
      <c r="R805">
        <v>1</v>
      </c>
    </row>
    <row r="806" spans="1:18">
      <c r="A806">
        <v>899683000000000</v>
      </c>
      <c r="B806" t="s">
        <v>18</v>
      </c>
      <c r="C806">
        <v>26</v>
      </c>
      <c r="D806" t="s">
        <v>37</v>
      </c>
      <c r="E806" t="s">
        <v>96</v>
      </c>
      <c r="F806" s="1">
        <v>42506</v>
      </c>
      <c r="G806" s="1">
        <v>42522</v>
      </c>
      <c r="H806" t="s">
        <v>25</v>
      </c>
      <c r="I806">
        <v>16</v>
      </c>
      <c r="J806" t="s">
        <v>77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</v>
      </c>
      <c r="Q806" t="s">
        <v>23</v>
      </c>
      <c r="R806">
        <v>0</v>
      </c>
    </row>
    <row r="807" spans="1:18">
      <c r="A807">
        <v>693376000000000</v>
      </c>
      <c r="B807" t="s">
        <v>18</v>
      </c>
      <c r="C807">
        <v>23</v>
      </c>
      <c r="D807" t="s">
        <v>37</v>
      </c>
      <c r="E807" t="s">
        <v>45</v>
      </c>
      <c r="F807" s="1">
        <v>42506</v>
      </c>
      <c r="G807" s="1">
        <v>42506</v>
      </c>
      <c r="H807" t="s">
        <v>30</v>
      </c>
      <c r="I807">
        <v>0</v>
      </c>
      <c r="J807" t="s">
        <v>111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23</v>
      </c>
      <c r="R807">
        <v>0</v>
      </c>
    </row>
    <row r="808" spans="1:18">
      <c r="A808">
        <v>372892000000</v>
      </c>
      <c r="B808" t="s">
        <v>18</v>
      </c>
      <c r="C808">
        <v>29</v>
      </c>
      <c r="D808" t="s">
        <v>37</v>
      </c>
      <c r="E808" t="s">
        <v>73</v>
      </c>
      <c r="F808" s="1">
        <v>42506</v>
      </c>
      <c r="G808" s="1">
        <v>42509</v>
      </c>
      <c r="H808" t="s">
        <v>33</v>
      </c>
      <c r="I808">
        <v>3</v>
      </c>
      <c r="J808" t="s">
        <v>109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23</v>
      </c>
      <c r="R808">
        <v>0</v>
      </c>
    </row>
    <row r="809" spans="1:18">
      <c r="A809">
        <v>578397000000000</v>
      </c>
      <c r="B809" t="s">
        <v>18</v>
      </c>
      <c r="C809">
        <v>29</v>
      </c>
      <c r="D809" t="s">
        <v>37</v>
      </c>
      <c r="E809" t="s">
        <v>58</v>
      </c>
      <c r="F809" s="1">
        <v>42478</v>
      </c>
      <c r="G809" s="1">
        <v>42509</v>
      </c>
      <c r="H809" t="s">
        <v>33</v>
      </c>
      <c r="I809">
        <v>31</v>
      </c>
      <c r="J809" t="s">
        <v>22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26</v>
      </c>
      <c r="R809">
        <v>1</v>
      </c>
    </row>
    <row r="810" spans="1:18">
      <c r="A810">
        <v>3683790000000</v>
      </c>
      <c r="B810" t="s">
        <v>28</v>
      </c>
      <c r="C810">
        <v>23</v>
      </c>
      <c r="D810" t="s">
        <v>37</v>
      </c>
      <c r="E810" t="s">
        <v>63</v>
      </c>
      <c r="F810" s="1">
        <v>42506</v>
      </c>
      <c r="G810" s="1">
        <v>42523</v>
      </c>
      <c r="H810" t="s">
        <v>33</v>
      </c>
      <c r="I810">
        <v>17</v>
      </c>
      <c r="J810" t="s">
        <v>77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1</v>
      </c>
      <c r="Q810" t="s">
        <v>26</v>
      </c>
      <c r="R810">
        <v>1</v>
      </c>
    </row>
    <row r="811" spans="1:18">
      <c r="A811">
        <v>86172747259</v>
      </c>
      <c r="B811" t="s">
        <v>28</v>
      </c>
      <c r="C811">
        <v>25</v>
      </c>
      <c r="D811" t="s">
        <v>37</v>
      </c>
      <c r="E811" t="s">
        <v>40</v>
      </c>
      <c r="F811" s="1">
        <v>42506</v>
      </c>
      <c r="G811" s="1">
        <v>42506</v>
      </c>
      <c r="H811" t="s">
        <v>30</v>
      </c>
      <c r="I811">
        <v>0</v>
      </c>
      <c r="J811" t="s">
        <v>111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23</v>
      </c>
      <c r="R811">
        <v>0</v>
      </c>
    </row>
    <row r="812" spans="1:18">
      <c r="A812">
        <v>6336800000000</v>
      </c>
      <c r="B812" t="s">
        <v>28</v>
      </c>
      <c r="C812">
        <v>28</v>
      </c>
      <c r="D812" t="s">
        <v>37</v>
      </c>
      <c r="E812" t="s">
        <v>40</v>
      </c>
      <c r="F812" s="1">
        <v>42478</v>
      </c>
      <c r="G812" s="1">
        <v>42515</v>
      </c>
      <c r="H812" t="s">
        <v>25</v>
      </c>
      <c r="I812">
        <v>37</v>
      </c>
      <c r="J812" t="s">
        <v>22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</v>
      </c>
      <c r="Q812" t="s">
        <v>23</v>
      </c>
      <c r="R812">
        <v>0</v>
      </c>
    </row>
    <row r="813" spans="1:18">
      <c r="A813">
        <v>826890000000000</v>
      </c>
      <c r="B813" t="s">
        <v>18</v>
      </c>
      <c r="C813">
        <v>30</v>
      </c>
      <c r="D813" t="s">
        <v>37</v>
      </c>
      <c r="E813" t="s">
        <v>57</v>
      </c>
      <c r="F813" s="1">
        <v>42503</v>
      </c>
      <c r="G813" s="1">
        <v>42509</v>
      </c>
      <c r="H813" t="s">
        <v>33</v>
      </c>
      <c r="I813">
        <v>6</v>
      </c>
      <c r="J813" t="s">
        <v>107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23</v>
      </c>
      <c r="R813">
        <v>0</v>
      </c>
    </row>
    <row r="814" spans="1:18">
      <c r="A814">
        <v>39176500000000</v>
      </c>
      <c r="B814" t="s">
        <v>18</v>
      </c>
      <c r="C814">
        <v>18</v>
      </c>
      <c r="D814" t="s">
        <v>37</v>
      </c>
      <c r="E814" t="s">
        <v>84</v>
      </c>
      <c r="F814" s="1">
        <v>42503</v>
      </c>
      <c r="G814" s="1">
        <v>42507</v>
      </c>
      <c r="H814" t="s">
        <v>41</v>
      </c>
      <c r="I814">
        <v>4</v>
      </c>
      <c r="J814" t="s">
        <v>107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23</v>
      </c>
      <c r="R814">
        <v>0</v>
      </c>
    </row>
    <row r="815" spans="1:18">
      <c r="A815">
        <v>2252200000000</v>
      </c>
      <c r="B815" t="s">
        <v>18</v>
      </c>
      <c r="C815">
        <v>26</v>
      </c>
      <c r="D815" t="s">
        <v>37</v>
      </c>
      <c r="E815" t="s">
        <v>81</v>
      </c>
      <c r="F815" s="1">
        <v>42503</v>
      </c>
      <c r="G815" s="1">
        <v>42503</v>
      </c>
      <c r="H815" t="s">
        <v>21</v>
      </c>
      <c r="I815">
        <v>0</v>
      </c>
      <c r="J815" t="s">
        <v>111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23</v>
      </c>
      <c r="R815">
        <v>0</v>
      </c>
    </row>
    <row r="816" spans="1:18">
      <c r="A816">
        <v>4135780000000</v>
      </c>
      <c r="B816" t="s">
        <v>18</v>
      </c>
      <c r="C816">
        <v>20</v>
      </c>
      <c r="D816" t="s">
        <v>37</v>
      </c>
      <c r="E816" t="s">
        <v>20</v>
      </c>
      <c r="F816" s="1">
        <v>42478</v>
      </c>
      <c r="G816" s="1">
        <v>42489</v>
      </c>
      <c r="H816" t="s">
        <v>21</v>
      </c>
      <c r="I816">
        <v>11</v>
      </c>
      <c r="J816" t="s">
        <v>92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23</v>
      </c>
      <c r="R816">
        <v>0</v>
      </c>
    </row>
    <row r="817" spans="1:18">
      <c r="A817">
        <v>437250000000000</v>
      </c>
      <c r="B817" t="s">
        <v>28</v>
      </c>
      <c r="C817">
        <v>25</v>
      </c>
      <c r="D817" t="s">
        <v>37</v>
      </c>
      <c r="E817" t="s">
        <v>50</v>
      </c>
      <c r="F817" s="1">
        <v>42478</v>
      </c>
      <c r="G817" s="1">
        <v>42500</v>
      </c>
      <c r="H817" t="s">
        <v>41</v>
      </c>
      <c r="I817">
        <v>22</v>
      </c>
      <c r="J817" t="s">
        <v>77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 t="s">
        <v>26</v>
      </c>
      <c r="R817">
        <v>1</v>
      </c>
    </row>
    <row r="818" spans="1:18">
      <c r="A818">
        <v>93373500000000</v>
      </c>
      <c r="B818" t="s">
        <v>18</v>
      </c>
      <c r="C818">
        <v>21</v>
      </c>
      <c r="D818" t="s">
        <v>37</v>
      </c>
      <c r="E818" t="s">
        <v>44</v>
      </c>
      <c r="F818" s="1">
        <v>42503</v>
      </c>
      <c r="G818" s="1">
        <v>42510</v>
      </c>
      <c r="H818" t="s">
        <v>21</v>
      </c>
      <c r="I818">
        <v>7</v>
      </c>
      <c r="J818" t="s">
        <v>107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26</v>
      </c>
      <c r="R818">
        <v>1</v>
      </c>
    </row>
    <row r="819" spans="1:18">
      <c r="A819">
        <v>614645000000000</v>
      </c>
      <c r="B819" t="s">
        <v>18</v>
      </c>
      <c r="C819">
        <v>29</v>
      </c>
      <c r="D819" t="s">
        <v>37</v>
      </c>
      <c r="E819" t="s">
        <v>96</v>
      </c>
      <c r="F819" s="1">
        <v>42503</v>
      </c>
      <c r="G819" s="1">
        <v>42503</v>
      </c>
      <c r="H819" t="s">
        <v>21</v>
      </c>
      <c r="I819">
        <v>0</v>
      </c>
      <c r="J819" t="s">
        <v>111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23</v>
      </c>
      <c r="R819">
        <v>0</v>
      </c>
    </row>
    <row r="820" spans="1:18">
      <c r="A820">
        <v>79964452719</v>
      </c>
      <c r="B820" t="s">
        <v>28</v>
      </c>
      <c r="C820">
        <v>26</v>
      </c>
      <c r="D820" t="s">
        <v>37</v>
      </c>
      <c r="E820" t="s">
        <v>32</v>
      </c>
      <c r="F820" s="1">
        <v>42478</v>
      </c>
      <c r="G820" s="1">
        <v>42507</v>
      </c>
      <c r="H820" t="s">
        <v>41</v>
      </c>
      <c r="I820">
        <v>29</v>
      </c>
      <c r="J820" t="s">
        <v>77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26</v>
      </c>
      <c r="R820">
        <v>1</v>
      </c>
    </row>
    <row r="821" spans="1:18">
      <c r="A821">
        <v>8559570000000</v>
      </c>
      <c r="B821" t="s">
        <v>18</v>
      </c>
      <c r="C821">
        <v>34</v>
      </c>
      <c r="D821" t="s">
        <v>37</v>
      </c>
      <c r="E821" t="s">
        <v>50</v>
      </c>
      <c r="F821" s="1">
        <v>42503</v>
      </c>
      <c r="G821" s="1">
        <v>42506</v>
      </c>
      <c r="H821" t="s">
        <v>30</v>
      </c>
      <c r="I821">
        <v>3</v>
      </c>
      <c r="J821" t="s">
        <v>109</v>
      </c>
      <c r="K821">
        <v>1</v>
      </c>
      <c r="L821">
        <v>1</v>
      </c>
      <c r="M821">
        <v>0</v>
      </c>
      <c r="N821">
        <v>0</v>
      </c>
      <c r="O821">
        <v>0</v>
      </c>
      <c r="P821">
        <v>0</v>
      </c>
      <c r="Q821" t="s">
        <v>23</v>
      </c>
      <c r="R821">
        <v>0</v>
      </c>
    </row>
    <row r="822" spans="1:18">
      <c r="A822">
        <v>73289300000000</v>
      </c>
      <c r="B822" t="s">
        <v>18</v>
      </c>
      <c r="C822">
        <v>30</v>
      </c>
      <c r="D822" t="s">
        <v>37</v>
      </c>
      <c r="E822" t="s">
        <v>29</v>
      </c>
      <c r="F822" s="1">
        <v>42478</v>
      </c>
      <c r="G822" s="1">
        <v>42496</v>
      </c>
      <c r="H822" t="s">
        <v>21</v>
      </c>
      <c r="I822">
        <v>18</v>
      </c>
      <c r="J822" t="s">
        <v>77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 t="s">
        <v>23</v>
      </c>
      <c r="R822">
        <v>0</v>
      </c>
    </row>
    <row r="823" spans="1:18">
      <c r="A823">
        <v>111578000000000</v>
      </c>
      <c r="B823" t="s">
        <v>18</v>
      </c>
      <c r="C823">
        <v>32</v>
      </c>
      <c r="D823" t="s">
        <v>37</v>
      </c>
      <c r="E823" t="s">
        <v>50</v>
      </c>
      <c r="F823" s="1">
        <v>42503</v>
      </c>
      <c r="G823" s="1">
        <v>42508</v>
      </c>
      <c r="H823" t="s">
        <v>25</v>
      </c>
      <c r="I823">
        <v>5</v>
      </c>
      <c r="J823" t="s">
        <v>107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23</v>
      </c>
      <c r="R823">
        <v>0</v>
      </c>
    </row>
    <row r="824" spans="1:18">
      <c r="A824">
        <v>9462530000000</v>
      </c>
      <c r="B824" t="s">
        <v>18</v>
      </c>
      <c r="C824">
        <v>28</v>
      </c>
      <c r="D824" t="s">
        <v>37</v>
      </c>
      <c r="E824" t="s">
        <v>72</v>
      </c>
      <c r="F824" s="1">
        <v>42503</v>
      </c>
      <c r="G824" s="1">
        <v>42503</v>
      </c>
      <c r="H824" t="s">
        <v>21</v>
      </c>
      <c r="I824">
        <v>0</v>
      </c>
      <c r="J824" t="s">
        <v>111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23</v>
      </c>
      <c r="R824">
        <v>0</v>
      </c>
    </row>
    <row r="825" spans="1:18">
      <c r="A825">
        <v>257773000000000</v>
      </c>
      <c r="B825" t="s">
        <v>18</v>
      </c>
      <c r="C825">
        <v>18</v>
      </c>
      <c r="D825" t="s">
        <v>37</v>
      </c>
      <c r="E825" t="s">
        <v>72</v>
      </c>
      <c r="F825" s="1">
        <v>42503</v>
      </c>
      <c r="G825" s="1">
        <v>42503</v>
      </c>
      <c r="H825" t="s">
        <v>21</v>
      </c>
      <c r="I825">
        <v>0</v>
      </c>
      <c r="J825" t="s">
        <v>111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23</v>
      </c>
      <c r="R825">
        <v>0</v>
      </c>
    </row>
    <row r="826" spans="1:18">
      <c r="A826">
        <v>189645000000000</v>
      </c>
      <c r="B826" t="s">
        <v>18</v>
      </c>
      <c r="C826">
        <v>32</v>
      </c>
      <c r="D826" t="s">
        <v>37</v>
      </c>
      <c r="E826" t="s">
        <v>70</v>
      </c>
      <c r="F826" s="1">
        <v>42503</v>
      </c>
      <c r="G826" s="1">
        <v>42503</v>
      </c>
      <c r="H826" t="s">
        <v>21</v>
      </c>
      <c r="I826">
        <v>0</v>
      </c>
      <c r="J826" t="s">
        <v>111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23</v>
      </c>
      <c r="R826">
        <v>0</v>
      </c>
    </row>
    <row r="827" spans="1:18">
      <c r="A827">
        <v>952893000000</v>
      </c>
      <c r="B827" t="s">
        <v>28</v>
      </c>
      <c r="C827">
        <v>31</v>
      </c>
      <c r="D827" t="s">
        <v>37</v>
      </c>
      <c r="E827" t="s">
        <v>50</v>
      </c>
      <c r="F827" s="1">
        <v>42503</v>
      </c>
      <c r="G827" s="1">
        <v>42503</v>
      </c>
      <c r="H827" t="s">
        <v>21</v>
      </c>
      <c r="I827">
        <v>0</v>
      </c>
      <c r="J827" t="s">
        <v>111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23</v>
      </c>
      <c r="R827">
        <v>0</v>
      </c>
    </row>
    <row r="828" spans="1:18">
      <c r="A828">
        <v>53333500000000</v>
      </c>
      <c r="B828" t="s">
        <v>18</v>
      </c>
      <c r="C828">
        <v>31</v>
      </c>
      <c r="D828" t="s">
        <v>37</v>
      </c>
      <c r="E828" t="s">
        <v>40</v>
      </c>
      <c r="F828" s="1">
        <v>42503</v>
      </c>
      <c r="G828" s="1">
        <v>42503</v>
      </c>
      <c r="H828" t="s">
        <v>21</v>
      </c>
      <c r="I828">
        <v>0</v>
      </c>
      <c r="J828" t="s">
        <v>111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23</v>
      </c>
      <c r="R828">
        <v>0</v>
      </c>
    </row>
    <row r="829" spans="1:18">
      <c r="A829">
        <v>4917140000000</v>
      </c>
      <c r="B829" t="s">
        <v>28</v>
      </c>
      <c r="C829">
        <v>22</v>
      </c>
      <c r="D829" t="s">
        <v>37</v>
      </c>
      <c r="E829" t="s">
        <v>99</v>
      </c>
      <c r="F829" s="1">
        <v>42503</v>
      </c>
      <c r="G829" s="1">
        <v>42510</v>
      </c>
      <c r="H829" t="s">
        <v>21</v>
      </c>
      <c r="I829">
        <v>7</v>
      </c>
      <c r="J829" t="s">
        <v>107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23</v>
      </c>
      <c r="R829">
        <v>0</v>
      </c>
    </row>
    <row r="830" spans="1:18">
      <c r="A830">
        <v>465618000000</v>
      </c>
      <c r="B830" t="s">
        <v>18</v>
      </c>
      <c r="C830">
        <v>25</v>
      </c>
      <c r="D830" t="s">
        <v>37</v>
      </c>
      <c r="E830" t="s">
        <v>67</v>
      </c>
      <c r="F830" s="1">
        <v>42478</v>
      </c>
      <c r="G830" s="1">
        <v>42514</v>
      </c>
      <c r="H830" t="s">
        <v>41</v>
      </c>
      <c r="I830">
        <v>36</v>
      </c>
      <c r="J830" t="s">
        <v>22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</v>
      </c>
      <c r="Q830" t="s">
        <v>23</v>
      </c>
      <c r="R830">
        <v>0</v>
      </c>
    </row>
    <row r="831" spans="1:18">
      <c r="A831">
        <v>78648200000000</v>
      </c>
      <c r="B831" t="s">
        <v>28</v>
      </c>
      <c r="C831">
        <v>32</v>
      </c>
      <c r="D831" t="s">
        <v>37</v>
      </c>
      <c r="E831" t="s">
        <v>58</v>
      </c>
      <c r="F831" s="1">
        <v>42503</v>
      </c>
      <c r="G831" s="1">
        <v>42509</v>
      </c>
      <c r="H831" t="s">
        <v>33</v>
      </c>
      <c r="I831">
        <v>6</v>
      </c>
      <c r="J831" t="s">
        <v>107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23</v>
      </c>
      <c r="R831">
        <v>0</v>
      </c>
    </row>
    <row r="832" spans="1:18">
      <c r="A832">
        <v>28687900000000</v>
      </c>
      <c r="B832" t="s">
        <v>18</v>
      </c>
      <c r="C832">
        <v>29</v>
      </c>
      <c r="D832" t="s">
        <v>37</v>
      </c>
      <c r="E832" t="s">
        <v>67</v>
      </c>
      <c r="F832" s="1">
        <v>42478</v>
      </c>
      <c r="G832" s="1">
        <v>42494</v>
      </c>
      <c r="H832" t="s">
        <v>25</v>
      </c>
      <c r="I832">
        <v>16</v>
      </c>
      <c r="J832" t="s">
        <v>77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1</v>
      </c>
      <c r="Q832" t="s">
        <v>26</v>
      </c>
      <c r="R832">
        <v>1</v>
      </c>
    </row>
    <row r="833" spans="1:18">
      <c r="A833">
        <v>6116280000000</v>
      </c>
      <c r="B833" t="s">
        <v>28</v>
      </c>
      <c r="C833">
        <v>28</v>
      </c>
      <c r="D833" t="s">
        <v>37</v>
      </c>
      <c r="E833" t="s">
        <v>64</v>
      </c>
      <c r="F833" s="1">
        <v>42503</v>
      </c>
      <c r="G833" s="1">
        <v>42509</v>
      </c>
      <c r="H833" t="s">
        <v>33</v>
      </c>
      <c r="I833">
        <v>6</v>
      </c>
      <c r="J833" t="s">
        <v>107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26</v>
      </c>
      <c r="R833">
        <v>1</v>
      </c>
    </row>
    <row r="834" spans="1:18">
      <c r="A834">
        <v>154360000000000</v>
      </c>
      <c r="B834" t="s">
        <v>18</v>
      </c>
      <c r="C834">
        <v>28</v>
      </c>
      <c r="D834" t="s">
        <v>37</v>
      </c>
      <c r="E834" t="s">
        <v>59</v>
      </c>
      <c r="F834" s="1">
        <v>42503</v>
      </c>
      <c r="G834" s="1">
        <v>42508</v>
      </c>
      <c r="H834" t="s">
        <v>25</v>
      </c>
      <c r="I834">
        <v>5</v>
      </c>
      <c r="J834" t="s">
        <v>107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23</v>
      </c>
      <c r="R834">
        <v>0</v>
      </c>
    </row>
    <row r="835" spans="1:18">
      <c r="A835">
        <v>788523000000000</v>
      </c>
      <c r="B835" t="s">
        <v>18</v>
      </c>
      <c r="C835">
        <v>25</v>
      </c>
      <c r="D835" t="s">
        <v>37</v>
      </c>
      <c r="E835" t="s">
        <v>84</v>
      </c>
      <c r="F835" s="1">
        <v>42503</v>
      </c>
      <c r="G835" s="1">
        <v>42508</v>
      </c>
      <c r="H835" t="s">
        <v>25</v>
      </c>
      <c r="I835">
        <v>5</v>
      </c>
      <c r="J835" t="s">
        <v>107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23</v>
      </c>
      <c r="R835">
        <v>0</v>
      </c>
    </row>
    <row r="836" spans="1:18">
      <c r="A836">
        <v>3427790000000</v>
      </c>
      <c r="B836" t="s">
        <v>18</v>
      </c>
      <c r="C836">
        <v>28</v>
      </c>
      <c r="D836" t="s">
        <v>37</v>
      </c>
      <c r="E836" t="s">
        <v>58</v>
      </c>
      <c r="F836" s="1">
        <v>42478</v>
      </c>
      <c r="G836" s="1">
        <v>42502</v>
      </c>
      <c r="H836" t="s">
        <v>33</v>
      </c>
      <c r="I836">
        <v>24</v>
      </c>
      <c r="J836" t="s">
        <v>77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26</v>
      </c>
      <c r="R836">
        <v>1</v>
      </c>
    </row>
    <row r="837" spans="1:18">
      <c r="A837">
        <v>65936200000000</v>
      </c>
      <c r="B837" t="s">
        <v>28</v>
      </c>
      <c r="C837">
        <v>34</v>
      </c>
      <c r="D837" t="s">
        <v>37</v>
      </c>
      <c r="E837" t="s">
        <v>79</v>
      </c>
      <c r="F837" s="1">
        <v>42503</v>
      </c>
      <c r="G837" s="1">
        <v>42510</v>
      </c>
      <c r="H837" t="s">
        <v>21</v>
      </c>
      <c r="I837">
        <v>7</v>
      </c>
      <c r="J837" t="s">
        <v>107</v>
      </c>
      <c r="K837">
        <v>0</v>
      </c>
      <c r="L837">
        <v>1</v>
      </c>
      <c r="M837">
        <v>1</v>
      </c>
      <c r="N837">
        <v>0</v>
      </c>
      <c r="O837">
        <v>0</v>
      </c>
      <c r="P837">
        <v>0</v>
      </c>
      <c r="Q837" t="s">
        <v>26</v>
      </c>
      <c r="R837">
        <v>1</v>
      </c>
    </row>
    <row r="838" spans="1:18">
      <c r="A838">
        <v>13621981994</v>
      </c>
      <c r="B838" t="s">
        <v>18</v>
      </c>
      <c r="C838">
        <v>27</v>
      </c>
      <c r="D838" t="s">
        <v>37</v>
      </c>
      <c r="E838" t="s">
        <v>76</v>
      </c>
      <c r="F838" s="1">
        <v>42503</v>
      </c>
      <c r="G838" s="1">
        <v>42510</v>
      </c>
      <c r="H838" t="s">
        <v>21</v>
      </c>
      <c r="I838">
        <v>7</v>
      </c>
      <c r="J838" t="s">
        <v>107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23</v>
      </c>
      <c r="R838">
        <v>0</v>
      </c>
    </row>
    <row r="839" spans="1:18">
      <c r="A839">
        <v>593227000000000</v>
      </c>
      <c r="B839" t="s">
        <v>28</v>
      </c>
      <c r="C839">
        <v>33</v>
      </c>
      <c r="D839" t="s">
        <v>37</v>
      </c>
      <c r="E839" t="s">
        <v>84</v>
      </c>
      <c r="F839" s="1">
        <v>42503</v>
      </c>
      <c r="G839" s="1">
        <v>42509</v>
      </c>
      <c r="H839" t="s">
        <v>33</v>
      </c>
      <c r="I839">
        <v>6</v>
      </c>
      <c r="J839" t="s">
        <v>107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23</v>
      </c>
      <c r="R839">
        <v>0</v>
      </c>
    </row>
    <row r="840" spans="1:18">
      <c r="A840">
        <v>258523000000000</v>
      </c>
      <c r="B840" t="s">
        <v>18</v>
      </c>
      <c r="C840">
        <v>22</v>
      </c>
      <c r="D840" t="s">
        <v>37</v>
      </c>
      <c r="E840" t="s">
        <v>67</v>
      </c>
      <c r="F840" s="1">
        <v>42478</v>
      </c>
      <c r="G840" s="1">
        <v>42508</v>
      </c>
      <c r="H840" t="s">
        <v>25</v>
      </c>
      <c r="I840">
        <v>30</v>
      </c>
      <c r="J840" t="s">
        <v>77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26</v>
      </c>
      <c r="R840">
        <v>1</v>
      </c>
    </row>
    <row r="841" spans="1:18">
      <c r="A841">
        <v>1411450000000</v>
      </c>
      <c r="B841" t="s">
        <v>18</v>
      </c>
      <c r="C841">
        <v>35</v>
      </c>
      <c r="D841" t="s">
        <v>37</v>
      </c>
      <c r="E841" t="s">
        <v>96</v>
      </c>
      <c r="F841" s="1">
        <v>42503</v>
      </c>
      <c r="G841" s="1">
        <v>42521</v>
      </c>
      <c r="H841" t="s">
        <v>41</v>
      </c>
      <c r="I841">
        <v>18</v>
      </c>
      <c r="J841" t="s">
        <v>77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 t="s">
        <v>23</v>
      </c>
      <c r="R841">
        <v>0</v>
      </c>
    </row>
    <row r="842" spans="1:18">
      <c r="A842">
        <v>1647310000000</v>
      </c>
      <c r="B842" t="s">
        <v>18</v>
      </c>
      <c r="C842">
        <v>19</v>
      </c>
      <c r="D842" t="s">
        <v>37</v>
      </c>
      <c r="E842" t="s">
        <v>36</v>
      </c>
      <c r="F842" s="1">
        <v>42503</v>
      </c>
      <c r="G842" s="1">
        <v>42528</v>
      </c>
      <c r="H842" t="s">
        <v>41</v>
      </c>
      <c r="I842">
        <v>25</v>
      </c>
      <c r="J842" t="s">
        <v>77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 t="s">
        <v>23</v>
      </c>
      <c r="R842">
        <v>0</v>
      </c>
    </row>
    <row r="843" spans="1:18">
      <c r="A843">
        <v>19881800000000</v>
      </c>
      <c r="B843" t="s">
        <v>18</v>
      </c>
      <c r="C843">
        <v>24</v>
      </c>
      <c r="D843" t="s">
        <v>37</v>
      </c>
      <c r="E843" t="s">
        <v>88</v>
      </c>
      <c r="F843" s="1">
        <v>42478</v>
      </c>
      <c r="G843" s="1">
        <v>42501</v>
      </c>
      <c r="H843" t="s">
        <v>25</v>
      </c>
      <c r="I843">
        <v>23</v>
      </c>
      <c r="J843" t="s">
        <v>77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</v>
      </c>
      <c r="Q843" t="s">
        <v>26</v>
      </c>
      <c r="R843">
        <v>1</v>
      </c>
    </row>
    <row r="844" spans="1:18">
      <c r="A844">
        <v>65135000000000</v>
      </c>
      <c r="B844" t="s">
        <v>18</v>
      </c>
      <c r="C844">
        <v>25</v>
      </c>
      <c r="D844" t="s">
        <v>37</v>
      </c>
      <c r="E844" t="s">
        <v>40</v>
      </c>
      <c r="F844" s="1">
        <v>42503</v>
      </c>
      <c r="G844" s="1">
        <v>42510</v>
      </c>
      <c r="H844" t="s">
        <v>21</v>
      </c>
      <c r="I844">
        <v>7</v>
      </c>
      <c r="J844" t="s">
        <v>107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23</v>
      </c>
      <c r="R844">
        <v>0</v>
      </c>
    </row>
    <row r="845" spans="1:18">
      <c r="A845">
        <v>563362000000000</v>
      </c>
      <c r="B845" t="s">
        <v>18</v>
      </c>
      <c r="C845">
        <v>28</v>
      </c>
      <c r="D845" t="s">
        <v>37</v>
      </c>
      <c r="E845" t="s">
        <v>32</v>
      </c>
      <c r="F845" s="1">
        <v>42478</v>
      </c>
      <c r="G845" s="1">
        <v>42506</v>
      </c>
      <c r="H845" t="s">
        <v>30</v>
      </c>
      <c r="I845">
        <v>28</v>
      </c>
      <c r="J845" t="s">
        <v>77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23</v>
      </c>
      <c r="R845">
        <v>0</v>
      </c>
    </row>
    <row r="846" spans="1:18">
      <c r="A846">
        <v>1846490000000</v>
      </c>
      <c r="B846" t="s">
        <v>28</v>
      </c>
      <c r="C846">
        <v>34</v>
      </c>
      <c r="D846" t="s">
        <v>37</v>
      </c>
      <c r="E846" t="s">
        <v>96</v>
      </c>
      <c r="F846" s="1">
        <v>42503</v>
      </c>
      <c r="G846" s="1">
        <v>42503</v>
      </c>
      <c r="H846" t="s">
        <v>21</v>
      </c>
      <c r="I846">
        <v>0</v>
      </c>
      <c r="J846" t="s">
        <v>111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23</v>
      </c>
      <c r="R846">
        <v>0</v>
      </c>
    </row>
    <row r="847" spans="1:18">
      <c r="A847">
        <v>79129100000000</v>
      </c>
      <c r="B847" t="s">
        <v>18</v>
      </c>
      <c r="C847">
        <v>34</v>
      </c>
      <c r="D847" t="s">
        <v>37</v>
      </c>
      <c r="E847" t="s">
        <v>32</v>
      </c>
      <c r="F847" s="1">
        <v>42503</v>
      </c>
      <c r="G847" s="1">
        <v>42503</v>
      </c>
      <c r="H847" t="s">
        <v>21</v>
      </c>
      <c r="I847">
        <v>0</v>
      </c>
      <c r="J847" t="s">
        <v>111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23</v>
      </c>
      <c r="R847">
        <v>0</v>
      </c>
    </row>
    <row r="848" spans="1:18">
      <c r="A848">
        <v>413761000000</v>
      </c>
      <c r="B848" t="s">
        <v>18</v>
      </c>
      <c r="C848">
        <v>35</v>
      </c>
      <c r="D848" t="s">
        <v>37</v>
      </c>
      <c r="E848" t="s">
        <v>58</v>
      </c>
      <c r="F848" s="1">
        <v>42503</v>
      </c>
      <c r="G848" s="1">
        <v>42503</v>
      </c>
      <c r="H848" t="s">
        <v>21</v>
      </c>
      <c r="I848">
        <v>0</v>
      </c>
      <c r="J848" t="s">
        <v>111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23</v>
      </c>
      <c r="R848">
        <v>0</v>
      </c>
    </row>
    <row r="849" spans="1:18">
      <c r="A849">
        <v>1126170000000</v>
      </c>
      <c r="B849" t="s">
        <v>28</v>
      </c>
      <c r="C849">
        <v>26</v>
      </c>
      <c r="D849" t="s">
        <v>37</v>
      </c>
      <c r="E849" t="s">
        <v>20</v>
      </c>
      <c r="F849" s="1">
        <v>42503</v>
      </c>
      <c r="G849" s="1">
        <v>42503</v>
      </c>
      <c r="H849" t="s">
        <v>21</v>
      </c>
      <c r="I849">
        <v>0</v>
      </c>
      <c r="J849" t="s">
        <v>111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23</v>
      </c>
      <c r="R849">
        <v>0</v>
      </c>
    </row>
    <row r="850" spans="1:18">
      <c r="A850">
        <v>57128400000000</v>
      </c>
      <c r="B850" t="s">
        <v>18</v>
      </c>
      <c r="C850">
        <v>35</v>
      </c>
      <c r="D850" t="s">
        <v>37</v>
      </c>
      <c r="E850" t="s">
        <v>47</v>
      </c>
      <c r="F850" s="1">
        <v>42503</v>
      </c>
      <c r="G850" s="1">
        <v>42510</v>
      </c>
      <c r="H850" t="s">
        <v>21</v>
      </c>
      <c r="I850">
        <v>7</v>
      </c>
      <c r="J850" t="s">
        <v>107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26</v>
      </c>
      <c r="R850">
        <v>1</v>
      </c>
    </row>
    <row r="851" spans="1:18">
      <c r="A851">
        <v>5852850000000</v>
      </c>
      <c r="B851" t="s">
        <v>18</v>
      </c>
      <c r="C851">
        <v>19</v>
      </c>
      <c r="D851" t="s">
        <v>37</v>
      </c>
      <c r="E851" t="s">
        <v>79</v>
      </c>
      <c r="F851" s="1">
        <v>42503</v>
      </c>
      <c r="G851" s="1">
        <v>42503</v>
      </c>
      <c r="H851" t="s">
        <v>21</v>
      </c>
      <c r="I851">
        <v>0</v>
      </c>
      <c r="J851" t="s">
        <v>111</v>
      </c>
      <c r="K851">
        <v>1</v>
      </c>
      <c r="L851">
        <v>0</v>
      </c>
      <c r="M851">
        <v>0</v>
      </c>
      <c r="N851">
        <v>0</v>
      </c>
      <c r="O851">
        <v>1</v>
      </c>
      <c r="P851">
        <v>0</v>
      </c>
      <c r="Q851" t="s">
        <v>23</v>
      </c>
      <c r="R851">
        <v>0</v>
      </c>
    </row>
    <row r="852" spans="1:18">
      <c r="A852">
        <v>58289200000000</v>
      </c>
      <c r="B852" t="s">
        <v>28</v>
      </c>
      <c r="C852">
        <v>19</v>
      </c>
      <c r="D852" t="s">
        <v>37</v>
      </c>
      <c r="E852" t="s">
        <v>48</v>
      </c>
      <c r="F852" s="1">
        <v>42503</v>
      </c>
      <c r="G852" s="1">
        <v>42503</v>
      </c>
      <c r="H852" t="s">
        <v>21</v>
      </c>
      <c r="I852">
        <v>0</v>
      </c>
      <c r="J852" t="s">
        <v>111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23</v>
      </c>
      <c r="R852">
        <v>0</v>
      </c>
    </row>
    <row r="853" spans="1:18">
      <c r="A853">
        <v>57794400000000</v>
      </c>
      <c r="B853" t="s">
        <v>18</v>
      </c>
      <c r="C853">
        <v>31</v>
      </c>
      <c r="D853" t="s">
        <v>37</v>
      </c>
      <c r="E853" t="s">
        <v>75</v>
      </c>
      <c r="F853" s="1">
        <v>42503</v>
      </c>
      <c r="G853" s="1">
        <v>42503</v>
      </c>
      <c r="H853" t="s">
        <v>21</v>
      </c>
      <c r="I853">
        <v>0</v>
      </c>
      <c r="J853" t="s">
        <v>111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23</v>
      </c>
      <c r="R853">
        <v>0</v>
      </c>
    </row>
    <row r="854" spans="1:18">
      <c r="A854">
        <v>4874300000000</v>
      </c>
      <c r="B854" t="s">
        <v>18</v>
      </c>
      <c r="C854">
        <v>27</v>
      </c>
      <c r="D854" t="s">
        <v>37</v>
      </c>
      <c r="E854" t="s">
        <v>43</v>
      </c>
      <c r="F854" s="1">
        <v>42503</v>
      </c>
      <c r="G854" s="1">
        <v>42503</v>
      </c>
      <c r="H854" t="s">
        <v>21</v>
      </c>
      <c r="I854">
        <v>0</v>
      </c>
      <c r="J854" t="s">
        <v>111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23</v>
      </c>
      <c r="R854">
        <v>0</v>
      </c>
    </row>
    <row r="855" spans="1:18">
      <c r="A855">
        <v>178164000000000</v>
      </c>
      <c r="B855" t="s">
        <v>28</v>
      </c>
      <c r="C855">
        <v>34</v>
      </c>
      <c r="D855" t="s">
        <v>37</v>
      </c>
      <c r="E855" t="s">
        <v>97</v>
      </c>
      <c r="F855" s="1">
        <v>42503</v>
      </c>
      <c r="G855" s="1">
        <v>42522</v>
      </c>
      <c r="H855" t="s">
        <v>25</v>
      </c>
      <c r="I855">
        <v>19</v>
      </c>
      <c r="J855" t="s">
        <v>77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 t="s">
        <v>23</v>
      </c>
      <c r="R855">
        <v>0</v>
      </c>
    </row>
    <row r="856" spans="1:18">
      <c r="A856">
        <v>13951300000000</v>
      </c>
      <c r="B856" t="s">
        <v>18</v>
      </c>
      <c r="C856">
        <v>30</v>
      </c>
      <c r="D856" t="s">
        <v>37</v>
      </c>
      <c r="E856" t="s">
        <v>91</v>
      </c>
      <c r="F856" s="1">
        <v>42503</v>
      </c>
      <c r="G856" s="1">
        <v>42524</v>
      </c>
      <c r="H856" t="s">
        <v>21</v>
      </c>
      <c r="I856">
        <v>21</v>
      </c>
      <c r="J856" t="s">
        <v>77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</v>
      </c>
      <c r="Q856" t="s">
        <v>23</v>
      </c>
      <c r="R856">
        <v>0</v>
      </c>
    </row>
    <row r="857" spans="1:18">
      <c r="A857">
        <v>3549770000000</v>
      </c>
      <c r="B857" t="s">
        <v>18</v>
      </c>
      <c r="C857">
        <v>31</v>
      </c>
      <c r="D857" t="s">
        <v>37</v>
      </c>
      <c r="E857" t="s">
        <v>72</v>
      </c>
      <c r="F857" s="1">
        <v>42503</v>
      </c>
      <c r="G857" s="1">
        <v>42503</v>
      </c>
      <c r="H857" t="s">
        <v>21</v>
      </c>
      <c r="I857">
        <v>0</v>
      </c>
      <c r="J857" t="s">
        <v>111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23</v>
      </c>
      <c r="R857">
        <v>0</v>
      </c>
    </row>
    <row r="858" spans="1:18">
      <c r="A858">
        <v>2196240000000</v>
      </c>
      <c r="B858" t="s">
        <v>18</v>
      </c>
      <c r="C858">
        <v>30</v>
      </c>
      <c r="D858" t="s">
        <v>37</v>
      </c>
      <c r="E858" t="s">
        <v>52</v>
      </c>
      <c r="F858" s="1">
        <v>42503</v>
      </c>
      <c r="G858" s="1">
        <v>42503</v>
      </c>
      <c r="H858" t="s">
        <v>21</v>
      </c>
      <c r="I858">
        <v>0</v>
      </c>
      <c r="J858" t="s">
        <v>111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23</v>
      </c>
      <c r="R858">
        <v>0</v>
      </c>
    </row>
    <row r="859" spans="1:18">
      <c r="A859">
        <v>7434990000000</v>
      </c>
      <c r="B859" t="s">
        <v>28</v>
      </c>
      <c r="C859">
        <v>25</v>
      </c>
      <c r="D859" t="s">
        <v>37</v>
      </c>
      <c r="E859" t="s">
        <v>54</v>
      </c>
      <c r="F859" s="1">
        <v>42503</v>
      </c>
      <c r="G859" s="1">
        <v>42503</v>
      </c>
      <c r="H859" t="s">
        <v>21</v>
      </c>
      <c r="I859">
        <v>0</v>
      </c>
      <c r="J859" t="s">
        <v>111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23</v>
      </c>
      <c r="R859">
        <v>0</v>
      </c>
    </row>
    <row r="860" spans="1:18">
      <c r="A860">
        <v>61119600000000</v>
      </c>
      <c r="B860" t="s">
        <v>28</v>
      </c>
      <c r="C860">
        <v>24</v>
      </c>
      <c r="D860" t="s">
        <v>37</v>
      </c>
      <c r="E860" t="s">
        <v>72</v>
      </c>
      <c r="F860" s="1">
        <v>42478</v>
      </c>
      <c r="G860" s="1">
        <v>42508</v>
      </c>
      <c r="H860" t="s">
        <v>25</v>
      </c>
      <c r="I860">
        <v>30</v>
      </c>
      <c r="J860" t="s">
        <v>77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23</v>
      </c>
      <c r="R860">
        <v>0</v>
      </c>
    </row>
    <row r="861" spans="1:18">
      <c r="A861">
        <v>441293000000000</v>
      </c>
      <c r="B861" t="s">
        <v>18</v>
      </c>
      <c r="C861">
        <v>21</v>
      </c>
      <c r="D861" t="s">
        <v>37</v>
      </c>
      <c r="E861" t="s">
        <v>51</v>
      </c>
      <c r="F861" s="1">
        <v>42478</v>
      </c>
      <c r="G861" s="1">
        <v>42506</v>
      </c>
      <c r="H861" t="s">
        <v>30</v>
      </c>
      <c r="I861">
        <v>28</v>
      </c>
      <c r="J861" t="s">
        <v>77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26</v>
      </c>
      <c r="R861">
        <v>1</v>
      </c>
    </row>
    <row r="862" spans="1:18">
      <c r="A862">
        <v>88521900000000</v>
      </c>
      <c r="B862" t="s">
        <v>18</v>
      </c>
      <c r="C862">
        <v>34</v>
      </c>
      <c r="D862" t="s">
        <v>37</v>
      </c>
      <c r="E862" t="s">
        <v>95</v>
      </c>
      <c r="F862" s="1">
        <v>42503</v>
      </c>
      <c r="G862" s="1">
        <v>42520</v>
      </c>
      <c r="H862" t="s">
        <v>30</v>
      </c>
      <c r="I862">
        <v>17</v>
      </c>
      <c r="J862" t="s">
        <v>77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 t="s">
        <v>26</v>
      </c>
      <c r="R862">
        <v>1</v>
      </c>
    </row>
    <row r="863" spans="1:18">
      <c r="A863">
        <v>81453700000000</v>
      </c>
      <c r="B863" t="s">
        <v>28</v>
      </c>
      <c r="C863">
        <v>34</v>
      </c>
      <c r="D863" t="s">
        <v>37</v>
      </c>
      <c r="E863" t="s">
        <v>66</v>
      </c>
      <c r="F863" s="1">
        <v>42503</v>
      </c>
      <c r="G863" s="1">
        <v>42514</v>
      </c>
      <c r="H863" t="s">
        <v>41</v>
      </c>
      <c r="I863">
        <v>11</v>
      </c>
      <c r="J863" t="s">
        <v>92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 t="s">
        <v>26</v>
      </c>
      <c r="R863">
        <v>1</v>
      </c>
    </row>
    <row r="864" spans="1:18">
      <c r="A864">
        <v>75857200000000</v>
      </c>
      <c r="B864" t="s">
        <v>18</v>
      </c>
      <c r="C864">
        <v>18</v>
      </c>
      <c r="D864" t="s">
        <v>37</v>
      </c>
      <c r="E864" t="s">
        <v>67</v>
      </c>
      <c r="F864" s="1">
        <v>42478</v>
      </c>
      <c r="G864" s="1">
        <v>42510</v>
      </c>
      <c r="H864" t="s">
        <v>21</v>
      </c>
      <c r="I864">
        <v>32</v>
      </c>
      <c r="J864" t="s">
        <v>22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23</v>
      </c>
      <c r="R864">
        <v>0</v>
      </c>
    </row>
    <row r="865" spans="1:18">
      <c r="A865">
        <v>37794600000000</v>
      </c>
      <c r="B865" t="s">
        <v>18</v>
      </c>
      <c r="C865">
        <v>26</v>
      </c>
      <c r="D865" t="s">
        <v>37</v>
      </c>
      <c r="E865" t="s">
        <v>72</v>
      </c>
      <c r="F865" s="1">
        <v>42478</v>
      </c>
      <c r="G865" s="1">
        <v>42515</v>
      </c>
      <c r="H865" t="s">
        <v>25</v>
      </c>
      <c r="I865">
        <v>37</v>
      </c>
      <c r="J865" t="s">
        <v>22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 t="s">
        <v>23</v>
      </c>
      <c r="R865">
        <v>0</v>
      </c>
    </row>
    <row r="866" spans="1:18">
      <c r="A866">
        <v>277583000000000</v>
      </c>
      <c r="B866" t="s">
        <v>18</v>
      </c>
      <c r="C866">
        <v>28</v>
      </c>
      <c r="D866" t="s">
        <v>37</v>
      </c>
      <c r="E866" t="s">
        <v>36</v>
      </c>
      <c r="F866" s="1">
        <v>42478</v>
      </c>
      <c r="G866" s="1">
        <v>42528</v>
      </c>
      <c r="H866" t="s">
        <v>41</v>
      </c>
      <c r="I866">
        <v>50</v>
      </c>
      <c r="J866" t="s">
        <v>22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 t="s">
        <v>26</v>
      </c>
      <c r="R866">
        <v>1</v>
      </c>
    </row>
    <row r="867" spans="1:18">
      <c r="A867">
        <v>24387600000000</v>
      </c>
      <c r="B867" t="s">
        <v>28</v>
      </c>
      <c r="C867">
        <v>32</v>
      </c>
      <c r="D867" t="s">
        <v>37</v>
      </c>
      <c r="E867" t="s">
        <v>39</v>
      </c>
      <c r="F867" s="1">
        <v>42478</v>
      </c>
      <c r="G867" s="1">
        <v>42520</v>
      </c>
      <c r="H867" t="s">
        <v>30</v>
      </c>
      <c r="I867">
        <v>42</v>
      </c>
      <c r="J867" t="s">
        <v>22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</v>
      </c>
      <c r="Q867" t="s">
        <v>26</v>
      </c>
      <c r="R867">
        <v>1</v>
      </c>
    </row>
    <row r="868" spans="1:18">
      <c r="A868">
        <v>7796320000000</v>
      </c>
      <c r="B868" t="s">
        <v>18</v>
      </c>
      <c r="C868">
        <v>32</v>
      </c>
      <c r="D868" t="s">
        <v>37</v>
      </c>
      <c r="E868" t="s">
        <v>47</v>
      </c>
      <c r="F868" s="1">
        <v>42503</v>
      </c>
      <c r="G868" s="1">
        <v>42507</v>
      </c>
      <c r="H868" t="s">
        <v>41</v>
      </c>
      <c r="I868">
        <v>4</v>
      </c>
      <c r="J868" t="s">
        <v>107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23</v>
      </c>
      <c r="R868">
        <v>0</v>
      </c>
    </row>
    <row r="869" spans="1:18">
      <c r="A869">
        <v>294838000000</v>
      </c>
      <c r="B869" t="s">
        <v>28</v>
      </c>
      <c r="C869">
        <v>22</v>
      </c>
      <c r="D869" t="s">
        <v>37</v>
      </c>
      <c r="E869" t="s">
        <v>69</v>
      </c>
      <c r="F869" s="1">
        <v>42503</v>
      </c>
      <c r="G869" s="1">
        <v>42503</v>
      </c>
      <c r="H869" t="s">
        <v>21</v>
      </c>
      <c r="I869">
        <v>0</v>
      </c>
      <c r="J869" t="s">
        <v>111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0</v>
      </c>
      <c r="Q869" t="s">
        <v>23</v>
      </c>
      <c r="R869">
        <v>0</v>
      </c>
    </row>
    <row r="870" spans="1:18">
      <c r="A870">
        <v>232961000000</v>
      </c>
      <c r="B870" t="s">
        <v>18</v>
      </c>
      <c r="C870">
        <v>26</v>
      </c>
      <c r="D870" t="s">
        <v>37</v>
      </c>
      <c r="E870" t="s">
        <v>68</v>
      </c>
      <c r="F870" s="1">
        <v>42479</v>
      </c>
      <c r="G870" s="1">
        <v>42499</v>
      </c>
      <c r="H870" t="s">
        <v>30</v>
      </c>
      <c r="I870">
        <v>20</v>
      </c>
      <c r="J870" t="s">
        <v>77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26</v>
      </c>
      <c r="R870">
        <v>1</v>
      </c>
    </row>
    <row r="871" spans="1:18">
      <c r="A871">
        <v>36995000000000</v>
      </c>
      <c r="B871" t="s">
        <v>18</v>
      </c>
      <c r="C871">
        <v>28</v>
      </c>
      <c r="D871" t="s">
        <v>37</v>
      </c>
      <c r="E871" t="s">
        <v>47</v>
      </c>
      <c r="F871" s="1">
        <v>42502</v>
      </c>
      <c r="G871" s="1">
        <v>42502</v>
      </c>
      <c r="H871" t="s">
        <v>33</v>
      </c>
      <c r="I871">
        <v>0</v>
      </c>
      <c r="J871" t="s">
        <v>111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23</v>
      </c>
      <c r="R871">
        <v>0</v>
      </c>
    </row>
    <row r="872" spans="1:18">
      <c r="A872">
        <v>8147430000000</v>
      </c>
      <c r="B872" t="s">
        <v>18</v>
      </c>
      <c r="C872">
        <v>35</v>
      </c>
      <c r="D872" t="s">
        <v>37</v>
      </c>
      <c r="E872" t="s">
        <v>39</v>
      </c>
      <c r="F872" s="1">
        <v>42502</v>
      </c>
      <c r="G872" s="1">
        <v>42502</v>
      </c>
      <c r="H872" t="s">
        <v>33</v>
      </c>
      <c r="I872">
        <v>0</v>
      </c>
      <c r="J872" t="s">
        <v>111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23</v>
      </c>
      <c r="R872">
        <v>0</v>
      </c>
    </row>
    <row r="873" spans="1:18">
      <c r="A873">
        <v>89231900000000</v>
      </c>
      <c r="B873" t="s">
        <v>28</v>
      </c>
      <c r="C873">
        <v>26</v>
      </c>
      <c r="D873" t="s">
        <v>37</v>
      </c>
      <c r="E873" t="s">
        <v>40</v>
      </c>
      <c r="F873" s="1">
        <v>42502</v>
      </c>
      <c r="G873" s="1">
        <v>42509</v>
      </c>
      <c r="H873" t="s">
        <v>33</v>
      </c>
      <c r="I873">
        <v>7</v>
      </c>
      <c r="J873" t="s">
        <v>107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23</v>
      </c>
      <c r="R873">
        <v>0</v>
      </c>
    </row>
    <row r="874" spans="1:18">
      <c r="A874">
        <v>566371000000000</v>
      </c>
      <c r="B874" t="s">
        <v>18</v>
      </c>
      <c r="C874">
        <v>22</v>
      </c>
      <c r="D874" t="s">
        <v>37</v>
      </c>
      <c r="E874" t="s">
        <v>64</v>
      </c>
      <c r="F874" s="1">
        <v>42502</v>
      </c>
      <c r="G874" s="1">
        <v>42507</v>
      </c>
      <c r="H874" t="s">
        <v>41</v>
      </c>
      <c r="I874">
        <v>5</v>
      </c>
      <c r="J874" t="s">
        <v>107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23</v>
      </c>
      <c r="R874">
        <v>0</v>
      </c>
    </row>
    <row r="875" spans="1:18">
      <c r="A875">
        <v>539716000000000</v>
      </c>
      <c r="B875" t="s">
        <v>18</v>
      </c>
      <c r="C875">
        <v>35</v>
      </c>
      <c r="D875" t="s">
        <v>37</v>
      </c>
      <c r="E875" t="s">
        <v>46</v>
      </c>
      <c r="F875" s="1">
        <v>42502</v>
      </c>
      <c r="G875" s="1">
        <v>42507</v>
      </c>
      <c r="H875" t="s">
        <v>41</v>
      </c>
      <c r="I875">
        <v>5</v>
      </c>
      <c r="J875" t="s">
        <v>107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26</v>
      </c>
      <c r="R875">
        <v>1</v>
      </c>
    </row>
    <row r="876" spans="1:18">
      <c r="A876">
        <v>85772900000000</v>
      </c>
      <c r="B876" t="s">
        <v>18</v>
      </c>
      <c r="C876">
        <v>32</v>
      </c>
      <c r="D876" t="s">
        <v>37</v>
      </c>
      <c r="E876" t="s">
        <v>72</v>
      </c>
      <c r="F876" s="1">
        <v>42502</v>
      </c>
      <c r="G876" s="1">
        <v>42520</v>
      </c>
      <c r="H876" t="s">
        <v>30</v>
      </c>
      <c r="I876">
        <v>18</v>
      </c>
      <c r="J876" t="s">
        <v>77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</v>
      </c>
      <c r="Q876" t="s">
        <v>23</v>
      </c>
      <c r="R876">
        <v>0</v>
      </c>
    </row>
    <row r="877" spans="1:18">
      <c r="A877">
        <v>96866600000000</v>
      </c>
      <c r="B877" t="s">
        <v>18</v>
      </c>
      <c r="C877">
        <v>31</v>
      </c>
      <c r="D877" t="s">
        <v>37</v>
      </c>
      <c r="E877" t="s">
        <v>83</v>
      </c>
      <c r="F877" s="1">
        <v>42502</v>
      </c>
      <c r="G877" s="1">
        <v>42502</v>
      </c>
      <c r="H877" t="s">
        <v>33</v>
      </c>
      <c r="I877">
        <v>0</v>
      </c>
      <c r="J877" t="s">
        <v>111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23</v>
      </c>
      <c r="R877">
        <v>0</v>
      </c>
    </row>
    <row r="878" spans="1:18">
      <c r="A878">
        <v>684813000000000</v>
      </c>
      <c r="B878" t="s">
        <v>18</v>
      </c>
      <c r="C878">
        <v>20</v>
      </c>
      <c r="D878" t="s">
        <v>37</v>
      </c>
      <c r="E878" t="s">
        <v>29</v>
      </c>
      <c r="F878" s="1">
        <v>42502</v>
      </c>
      <c r="G878" s="1">
        <v>42502</v>
      </c>
      <c r="H878" t="s">
        <v>33</v>
      </c>
      <c r="I878">
        <v>0</v>
      </c>
      <c r="J878" t="s">
        <v>111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23</v>
      </c>
      <c r="R878">
        <v>0</v>
      </c>
    </row>
    <row r="879" spans="1:18">
      <c r="A879">
        <v>5831310000000</v>
      </c>
      <c r="B879" t="s">
        <v>18</v>
      </c>
      <c r="C879">
        <v>27</v>
      </c>
      <c r="D879" t="s">
        <v>37</v>
      </c>
      <c r="E879" t="s">
        <v>43</v>
      </c>
      <c r="F879" s="1">
        <v>42479</v>
      </c>
      <c r="G879" s="1">
        <v>42492</v>
      </c>
      <c r="H879" t="s">
        <v>30</v>
      </c>
      <c r="I879">
        <v>13</v>
      </c>
      <c r="J879" t="s">
        <v>92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</v>
      </c>
      <c r="Q879" t="s">
        <v>26</v>
      </c>
      <c r="R879">
        <v>1</v>
      </c>
    </row>
    <row r="880" spans="1:18">
      <c r="A880">
        <v>2957000000000</v>
      </c>
      <c r="B880" t="s">
        <v>18</v>
      </c>
      <c r="C880">
        <v>32</v>
      </c>
      <c r="D880" t="s">
        <v>37</v>
      </c>
      <c r="E880" t="s">
        <v>105</v>
      </c>
      <c r="F880" s="1">
        <v>42502</v>
      </c>
      <c r="G880" s="1">
        <v>42502</v>
      </c>
      <c r="H880" t="s">
        <v>33</v>
      </c>
      <c r="I880">
        <v>0</v>
      </c>
      <c r="J880" t="s">
        <v>111</v>
      </c>
      <c r="K880">
        <v>1</v>
      </c>
      <c r="L880">
        <v>0</v>
      </c>
      <c r="M880">
        <v>0</v>
      </c>
      <c r="N880">
        <v>1</v>
      </c>
      <c r="O880">
        <v>0</v>
      </c>
      <c r="P880">
        <v>0</v>
      </c>
      <c r="Q880" t="s">
        <v>23</v>
      </c>
      <c r="R880">
        <v>0</v>
      </c>
    </row>
    <row r="881" spans="1:18">
      <c r="A881">
        <v>629623000000000</v>
      </c>
      <c r="B881" t="s">
        <v>18</v>
      </c>
      <c r="C881">
        <v>32</v>
      </c>
      <c r="D881" t="s">
        <v>37</v>
      </c>
      <c r="E881" t="s">
        <v>39</v>
      </c>
      <c r="F881" s="1">
        <v>42502</v>
      </c>
      <c r="G881" s="1">
        <v>42502</v>
      </c>
      <c r="H881" t="s">
        <v>33</v>
      </c>
      <c r="I881">
        <v>0</v>
      </c>
      <c r="J881" t="s">
        <v>111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23</v>
      </c>
      <c r="R881">
        <v>0</v>
      </c>
    </row>
    <row r="882" spans="1:18">
      <c r="A882">
        <v>24391200000000</v>
      </c>
      <c r="B882" t="s">
        <v>18</v>
      </c>
      <c r="C882">
        <v>24</v>
      </c>
      <c r="D882" t="s">
        <v>37</v>
      </c>
      <c r="E882" t="s">
        <v>40</v>
      </c>
      <c r="F882" s="1">
        <v>42479</v>
      </c>
      <c r="G882" s="1">
        <v>42496</v>
      </c>
      <c r="H882" t="s">
        <v>21</v>
      </c>
      <c r="I882">
        <v>17</v>
      </c>
      <c r="J882" t="s">
        <v>77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</v>
      </c>
      <c r="Q882" t="s">
        <v>23</v>
      </c>
      <c r="R882">
        <v>0</v>
      </c>
    </row>
    <row r="883" spans="1:18">
      <c r="A883">
        <v>937889000000</v>
      </c>
      <c r="B883" t="s">
        <v>18</v>
      </c>
      <c r="C883">
        <v>35</v>
      </c>
      <c r="D883" t="s">
        <v>37</v>
      </c>
      <c r="E883" t="s">
        <v>58</v>
      </c>
      <c r="F883" s="1">
        <v>42502</v>
      </c>
      <c r="G883" s="1">
        <v>42502</v>
      </c>
      <c r="H883" t="s">
        <v>33</v>
      </c>
      <c r="I883">
        <v>0</v>
      </c>
      <c r="J883" t="s">
        <v>111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23</v>
      </c>
      <c r="R883">
        <v>0</v>
      </c>
    </row>
    <row r="884" spans="1:18">
      <c r="A884">
        <v>8711180000000</v>
      </c>
      <c r="B884" t="s">
        <v>18</v>
      </c>
      <c r="C884">
        <v>22</v>
      </c>
      <c r="D884" t="s">
        <v>37</v>
      </c>
      <c r="E884" t="s">
        <v>70</v>
      </c>
      <c r="F884" s="1">
        <v>42502</v>
      </c>
      <c r="G884" s="1">
        <v>42502</v>
      </c>
      <c r="H884" t="s">
        <v>33</v>
      </c>
      <c r="I884">
        <v>0</v>
      </c>
      <c r="J884" t="s">
        <v>111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23</v>
      </c>
      <c r="R884">
        <v>0</v>
      </c>
    </row>
    <row r="885" spans="1:18">
      <c r="A885">
        <v>8562790000000</v>
      </c>
      <c r="B885" t="s">
        <v>18</v>
      </c>
      <c r="C885">
        <v>23</v>
      </c>
      <c r="D885" t="s">
        <v>37</v>
      </c>
      <c r="E885" t="s">
        <v>65</v>
      </c>
      <c r="F885" s="1">
        <v>42502</v>
      </c>
      <c r="G885" s="1">
        <v>42507</v>
      </c>
      <c r="H885" t="s">
        <v>41</v>
      </c>
      <c r="I885">
        <v>5</v>
      </c>
      <c r="J885" t="s">
        <v>107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 t="s">
        <v>23</v>
      </c>
      <c r="R885">
        <v>0</v>
      </c>
    </row>
    <row r="886" spans="1:18">
      <c r="A886">
        <v>2739340000000</v>
      </c>
      <c r="B886" t="s">
        <v>28</v>
      </c>
      <c r="C886">
        <v>23</v>
      </c>
      <c r="D886" t="s">
        <v>37</v>
      </c>
      <c r="E886" t="s">
        <v>36</v>
      </c>
      <c r="F886" s="1">
        <v>42479</v>
      </c>
      <c r="G886" s="1">
        <v>42493</v>
      </c>
      <c r="H886" t="s">
        <v>41</v>
      </c>
      <c r="I886">
        <v>14</v>
      </c>
      <c r="J886" t="s">
        <v>92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 t="s">
        <v>26</v>
      </c>
      <c r="R886">
        <v>1</v>
      </c>
    </row>
    <row r="887" spans="1:18">
      <c r="A887">
        <v>82433900000000</v>
      </c>
      <c r="B887" t="s">
        <v>18</v>
      </c>
      <c r="C887">
        <v>34</v>
      </c>
      <c r="D887" t="s">
        <v>37</v>
      </c>
      <c r="E887" t="s">
        <v>71</v>
      </c>
      <c r="F887" s="1">
        <v>42502</v>
      </c>
      <c r="G887" s="1">
        <v>42502</v>
      </c>
      <c r="H887" t="s">
        <v>33</v>
      </c>
      <c r="I887">
        <v>0</v>
      </c>
      <c r="J887" t="s">
        <v>111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23</v>
      </c>
      <c r="R887">
        <v>0</v>
      </c>
    </row>
    <row r="888" spans="1:18">
      <c r="A888">
        <v>28552200000000</v>
      </c>
      <c r="B888" t="s">
        <v>18</v>
      </c>
      <c r="C888">
        <v>22</v>
      </c>
      <c r="D888" t="s">
        <v>37</v>
      </c>
      <c r="E888" t="s">
        <v>43</v>
      </c>
      <c r="F888" s="1">
        <v>42502</v>
      </c>
      <c r="G888" s="1">
        <v>42509</v>
      </c>
      <c r="H888" t="s">
        <v>33</v>
      </c>
      <c r="I888">
        <v>7</v>
      </c>
      <c r="J888" t="s">
        <v>107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26</v>
      </c>
      <c r="R888">
        <v>1</v>
      </c>
    </row>
    <row r="889" spans="1:18">
      <c r="A889">
        <v>85834900000000</v>
      </c>
      <c r="B889" t="s">
        <v>18</v>
      </c>
      <c r="C889">
        <v>26</v>
      </c>
      <c r="D889" t="s">
        <v>37</v>
      </c>
      <c r="E889" t="s">
        <v>47</v>
      </c>
      <c r="F889" s="1">
        <v>42502</v>
      </c>
      <c r="G889" s="1">
        <v>42502</v>
      </c>
      <c r="H889" t="s">
        <v>33</v>
      </c>
      <c r="I889">
        <v>0</v>
      </c>
      <c r="J889" t="s">
        <v>111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23</v>
      </c>
      <c r="R889">
        <v>0</v>
      </c>
    </row>
    <row r="890" spans="1:18">
      <c r="A890">
        <v>2252550000000</v>
      </c>
      <c r="B890" t="s">
        <v>18</v>
      </c>
      <c r="C890">
        <v>34</v>
      </c>
      <c r="D890" t="s">
        <v>37</v>
      </c>
      <c r="E890" t="s">
        <v>57</v>
      </c>
      <c r="F890" s="1">
        <v>42479</v>
      </c>
      <c r="G890" s="1">
        <v>42494</v>
      </c>
      <c r="H890" t="s">
        <v>25</v>
      </c>
      <c r="I890">
        <v>15</v>
      </c>
      <c r="J890" t="s">
        <v>77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</v>
      </c>
      <c r="Q890" t="s">
        <v>23</v>
      </c>
      <c r="R890">
        <v>0</v>
      </c>
    </row>
    <row r="891" spans="1:18">
      <c r="A891">
        <v>59989900000000</v>
      </c>
      <c r="B891" t="s">
        <v>28</v>
      </c>
      <c r="C891">
        <v>30</v>
      </c>
      <c r="D891" t="s">
        <v>37</v>
      </c>
      <c r="E891" t="s">
        <v>46</v>
      </c>
      <c r="F891" s="1">
        <v>42502</v>
      </c>
      <c r="G891" s="1">
        <v>42502</v>
      </c>
      <c r="H891" t="s">
        <v>33</v>
      </c>
      <c r="I891">
        <v>0</v>
      </c>
      <c r="J891" t="s">
        <v>111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23</v>
      </c>
      <c r="R891">
        <v>0</v>
      </c>
    </row>
    <row r="892" spans="1:18">
      <c r="A892">
        <v>12318700000000</v>
      </c>
      <c r="B892" t="s">
        <v>18</v>
      </c>
      <c r="C892">
        <v>31</v>
      </c>
      <c r="D892" t="s">
        <v>37</v>
      </c>
      <c r="E892" t="s">
        <v>73</v>
      </c>
      <c r="F892" s="1">
        <v>42502</v>
      </c>
      <c r="G892" s="1">
        <v>42502</v>
      </c>
      <c r="H892" t="s">
        <v>33</v>
      </c>
      <c r="I892">
        <v>0</v>
      </c>
      <c r="J892" t="s">
        <v>111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23</v>
      </c>
      <c r="R892">
        <v>0</v>
      </c>
    </row>
    <row r="893" spans="1:18">
      <c r="A893">
        <v>465423000000000</v>
      </c>
      <c r="B893" t="s">
        <v>18</v>
      </c>
      <c r="C893">
        <v>24</v>
      </c>
      <c r="D893" t="s">
        <v>37</v>
      </c>
      <c r="E893" t="s">
        <v>72</v>
      </c>
      <c r="F893" s="1">
        <v>42502</v>
      </c>
      <c r="G893" s="1">
        <v>42528</v>
      </c>
      <c r="H893" t="s">
        <v>41</v>
      </c>
      <c r="I893">
        <v>26</v>
      </c>
      <c r="J893" t="s">
        <v>77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 t="s">
        <v>23</v>
      </c>
      <c r="R893">
        <v>0</v>
      </c>
    </row>
    <row r="894" spans="1:18">
      <c r="A894">
        <v>8276290000000</v>
      </c>
      <c r="B894" t="s">
        <v>18</v>
      </c>
      <c r="C894">
        <v>28</v>
      </c>
      <c r="D894" t="s">
        <v>37</v>
      </c>
      <c r="E894" t="s">
        <v>32</v>
      </c>
      <c r="F894" s="1">
        <v>42479</v>
      </c>
      <c r="G894" s="1">
        <v>42509</v>
      </c>
      <c r="H894" t="s">
        <v>33</v>
      </c>
      <c r="I894">
        <v>30</v>
      </c>
      <c r="J894" t="s">
        <v>77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23</v>
      </c>
      <c r="R894">
        <v>0</v>
      </c>
    </row>
    <row r="895" spans="1:18">
      <c r="A895">
        <v>22268500000000</v>
      </c>
      <c r="B895" t="s">
        <v>18</v>
      </c>
      <c r="C895">
        <v>32</v>
      </c>
      <c r="D895" t="s">
        <v>37</v>
      </c>
      <c r="E895" t="s">
        <v>36</v>
      </c>
      <c r="F895" s="1">
        <v>42502</v>
      </c>
      <c r="G895" s="1">
        <v>42509</v>
      </c>
      <c r="H895" t="s">
        <v>33</v>
      </c>
      <c r="I895">
        <v>7</v>
      </c>
      <c r="J895" t="s">
        <v>107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26</v>
      </c>
      <c r="R895">
        <v>1</v>
      </c>
    </row>
    <row r="896" spans="1:18">
      <c r="A896">
        <v>17985800000000</v>
      </c>
      <c r="B896" t="s">
        <v>18</v>
      </c>
      <c r="C896">
        <v>24</v>
      </c>
      <c r="D896" t="s">
        <v>37</v>
      </c>
      <c r="E896" t="s">
        <v>71</v>
      </c>
      <c r="F896" s="1">
        <v>42479</v>
      </c>
      <c r="G896" s="1">
        <v>42492</v>
      </c>
      <c r="H896" t="s">
        <v>30</v>
      </c>
      <c r="I896">
        <v>13</v>
      </c>
      <c r="J896" t="s">
        <v>92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 t="s">
        <v>23</v>
      </c>
      <c r="R896">
        <v>0</v>
      </c>
    </row>
    <row r="897" spans="1:18">
      <c r="A897">
        <v>6765900000000</v>
      </c>
      <c r="B897" t="s">
        <v>18</v>
      </c>
      <c r="C897">
        <v>34</v>
      </c>
      <c r="D897" t="s">
        <v>37</v>
      </c>
      <c r="E897" t="s">
        <v>65</v>
      </c>
      <c r="F897" s="1">
        <v>42502</v>
      </c>
      <c r="G897" s="1">
        <v>42514</v>
      </c>
      <c r="H897" t="s">
        <v>41</v>
      </c>
      <c r="I897">
        <v>12</v>
      </c>
      <c r="J897" t="s">
        <v>92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</v>
      </c>
      <c r="Q897" t="s">
        <v>26</v>
      </c>
      <c r="R897">
        <v>1</v>
      </c>
    </row>
    <row r="898" spans="1:18">
      <c r="A898">
        <v>97931200000000</v>
      </c>
      <c r="B898" t="s">
        <v>18</v>
      </c>
      <c r="C898">
        <v>28</v>
      </c>
      <c r="D898" t="s">
        <v>37</v>
      </c>
      <c r="E898" t="s">
        <v>58</v>
      </c>
      <c r="F898" s="1">
        <v>42479</v>
      </c>
      <c r="G898" s="1">
        <v>42509</v>
      </c>
      <c r="H898" t="s">
        <v>33</v>
      </c>
      <c r="I898">
        <v>30</v>
      </c>
      <c r="J898" t="s">
        <v>77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23</v>
      </c>
      <c r="R898">
        <v>0</v>
      </c>
    </row>
    <row r="899" spans="1:18">
      <c r="A899">
        <v>812646000000000</v>
      </c>
      <c r="B899" t="s">
        <v>28</v>
      </c>
      <c r="C899">
        <v>22</v>
      </c>
      <c r="D899" t="s">
        <v>37</v>
      </c>
      <c r="E899" t="s">
        <v>106</v>
      </c>
      <c r="F899" s="1">
        <v>42502</v>
      </c>
      <c r="G899" s="1">
        <v>42502</v>
      </c>
      <c r="H899" t="s">
        <v>33</v>
      </c>
      <c r="I899">
        <v>0</v>
      </c>
      <c r="J899" t="s">
        <v>111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23</v>
      </c>
      <c r="R899">
        <v>0</v>
      </c>
    </row>
    <row r="900" spans="1:18">
      <c r="A900">
        <v>385790000000000</v>
      </c>
      <c r="B900" t="s">
        <v>18</v>
      </c>
      <c r="C900">
        <v>27</v>
      </c>
      <c r="D900" t="s">
        <v>37</v>
      </c>
      <c r="E900" t="s">
        <v>50</v>
      </c>
      <c r="F900" s="1">
        <v>42502</v>
      </c>
      <c r="G900" s="1">
        <v>42502</v>
      </c>
      <c r="H900" t="s">
        <v>33</v>
      </c>
      <c r="I900">
        <v>0</v>
      </c>
      <c r="J900" t="s">
        <v>111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23</v>
      </c>
      <c r="R900">
        <v>0</v>
      </c>
    </row>
    <row r="901" spans="1:18">
      <c r="A901">
        <v>14559300000000</v>
      </c>
      <c r="B901" t="s">
        <v>18</v>
      </c>
      <c r="C901">
        <v>21</v>
      </c>
      <c r="D901" t="s">
        <v>37</v>
      </c>
      <c r="E901" t="s">
        <v>40</v>
      </c>
      <c r="F901" s="1">
        <v>42502</v>
      </c>
      <c r="G901" s="1">
        <v>42507</v>
      </c>
      <c r="H901" t="s">
        <v>41</v>
      </c>
      <c r="I901">
        <v>5</v>
      </c>
      <c r="J901" t="s">
        <v>107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23</v>
      </c>
      <c r="R901">
        <v>0</v>
      </c>
    </row>
    <row r="902" spans="1:18">
      <c r="A902">
        <v>78344200000000</v>
      </c>
      <c r="B902" t="s">
        <v>28</v>
      </c>
      <c r="C902">
        <v>24</v>
      </c>
      <c r="D902" t="s">
        <v>37</v>
      </c>
      <c r="E902" t="s">
        <v>47</v>
      </c>
      <c r="F902" s="1">
        <v>42502</v>
      </c>
      <c r="G902" s="1">
        <v>42502</v>
      </c>
      <c r="H902" t="s">
        <v>33</v>
      </c>
      <c r="I902">
        <v>0</v>
      </c>
      <c r="J902" t="s">
        <v>111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23</v>
      </c>
      <c r="R902">
        <v>0</v>
      </c>
    </row>
    <row r="903" spans="1:18">
      <c r="A903">
        <v>831395000000000</v>
      </c>
      <c r="B903" t="s">
        <v>18</v>
      </c>
      <c r="C903">
        <v>35</v>
      </c>
      <c r="D903" t="s">
        <v>37</v>
      </c>
      <c r="E903" t="s">
        <v>47</v>
      </c>
      <c r="F903" s="1">
        <v>42502</v>
      </c>
      <c r="G903" s="1">
        <v>42503</v>
      </c>
      <c r="H903" t="s">
        <v>21</v>
      </c>
      <c r="I903">
        <v>1</v>
      </c>
      <c r="J903" t="s">
        <v>109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23</v>
      </c>
      <c r="R903">
        <v>0</v>
      </c>
    </row>
    <row r="904" spans="1:18">
      <c r="A904">
        <v>13778500000000</v>
      </c>
      <c r="B904" t="s">
        <v>18</v>
      </c>
      <c r="C904">
        <v>23</v>
      </c>
      <c r="D904" t="s">
        <v>37</v>
      </c>
      <c r="E904" t="s">
        <v>72</v>
      </c>
      <c r="F904" s="1">
        <v>42502</v>
      </c>
      <c r="G904" s="1">
        <v>42502</v>
      </c>
      <c r="H904" t="s">
        <v>33</v>
      </c>
      <c r="I904">
        <v>0</v>
      </c>
      <c r="J904" t="s">
        <v>111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23</v>
      </c>
      <c r="R904">
        <v>0</v>
      </c>
    </row>
    <row r="905" spans="1:18">
      <c r="A905">
        <v>38814300000000</v>
      </c>
      <c r="B905" t="s">
        <v>28</v>
      </c>
      <c r="C905">
        <v>31</v>
      </c>
      <c r="D905" t="s">
        <v>37</v>
      </c>
      <c r="E905" t="s">
        <v>39</v>
      </c>
      <c r="F905" s="1">
        <v>42502</v>
      </c>
      <c r="G905" s="1">
        <v>42502</v>
      </c>
      <c r="H905" t="s">
        <v>33</v>
      </c>
      <c r="I905">
        <v>0</v>
      </c>
      <c r="J905" t="s">
        <v>111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23</v>
      </c>
      <c r="R905">
        <v>0</v>
      </c>
    </row>
    <row r="906" spans="1:18">
      <c r="A906">
        <v>7779990000000</v>
      </c>
      <c r="B906" t="s">
        <v>18</v>
      </c>
      <c r="C906">
        <v>31</v>
      </c>
      <c r="D906" t="s">
        <v>37</v>
      </c>
      <c r="E906" t="s">
        <v>96</v>
      </c>
      <c r="F906" s="1">
        <v>42502</v>
      </c>
      <c r="G906" s="1">
        <v>42515</v>
      </c>
      <c r="H906" t="s">
        <v>25</v>
      </c>
      <c r="I906">
        <v>13</v>
      </c>
      <c r="J906" t="s">
        <v>92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 t="s">
        <v>26</v>
      </c>
      <c r="R906">
        <v>1</v>
      </c>
    </row>
    <row r="907" spans="1:18">
      <c r="A907">
        <v>7838780000000</v>
      </c>
      <c r="B907" t="s">
        <v>18</v>
      </c>
      <c r="C907">
        <v>27</v>
      </c>
      <c r="D907" t="s">
        <v>37</v>
      </c>
      <c r="E907" t="s">
        <v>29</v>
      </c>
      <c r="F907" s="1">
        <v>42502</v>
      </c>
      <c r="G907" s="1">
        <v>42507</v>
      </c>
      <c r="H907" t="s">
        <v>41</v>
      </c>
      <c r="I907">
        <v>5</v>
      </c>
      <c r="J907" t="s">
        <v>107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23</v>
      </c>
      <c r="R907">
        <v>0</v>
      </c>
    </row>
    <row r="908" spans="1:18">
      <c r="A908">
        <v>1145650000000</v>
      </c>
      <c r="B908" t="s">
        <v>18</v>
      </c>
      <c r="C908">
        <v>23</v>
      </c>
      <c r="D908" t="s">
        <v>37</v>
      </c>
      <c r="E908" t="s">
        <v>90</v>
      </c>
      <c r="F908" s="1">
        <v>42479</v>
      </c>
      <c r="G908" s="1">
        <v>42492</v>
      </c>
      <c r="H908" t="s">
        <v>30</v>
      </c>
      <c r="I908">
        <v>13</v>
      </c>
      <c r="J908" t="s">
        <v>92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</v>
      </c>
      <c r="Q908" t="s">
        <v>23</v>
      </c>
      <c r="R908">
        <v>0</v>
      </c>
    </row>
    <row r="909" spans="1:18">
      <c r="A909">
        <v>66882700000000</v>
      </c>
      <c r="B909" t="s">
        <v>28</v>
      </c>
      <c r="C909">
        <v>30</v>
      </c>
      <c r="D909" t="s">
        <v>37</v>
      </c>
      <c r="E909" t="s">
        <v>29</v>
      </c>
      <c r="F909" s="1">
        <v>42479</v>
      </c>
      <c r="G909" s="1">
        <v>42503</v>
      </c>
      <c r="H909" t="s">
        <v>21</v>
      </c>
      <c r="I909">
        <v>24</v>
      </c>
      <c r="J909" t="s">
        <v>77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26</v>
      </c>
      <c r="R909">
        <v>1</v>
      </c>
    </row>
    <row r="910" spans="1:18">
      <c r="A910">
        <v>86129000000000</v>
      </c>
      <c r="B910" t="s">
        <v>18</v>
      </c>
      <c r="C910">
        <v>23</v>
      </c>
      <c r="D910" t="s">
        <v>37</v>
      </c>
      <c r="E910" t="s">
        <v>67</v>
      </c>
      <c r="F910" s="1">
        <v>42502</v>
      </c>
      <c r="G910" s="1">
        <v>42503</v>
      </c>
      <c r="H910" t="s">
        <v>21</v>
      </c>
      <c r="I910">
        <v>1</v>
      </c>
      <c r="J910" t="s">
        <v>109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23</v>
      </c>
      <c r="R910">
        <v>0</v>
      </c>
    </row>
    <row r="911" spans="1:18">
      <c r="A911">
        <v>583122000000</v>
      </c>
      <c r="B911" t="s">
        <v>18</v>
      </c>
      <c r="C911">
        <v>20</v>
      </c>
      <c r="D911" t="s">
        <v>37</v>
      </c>
      <c r="E911" t="s">
        <v>57</v>
      </c>
      <c r="F911" s="1">
        <v>42502</v>
      </c>
      <c r="G911" s="1">
        <v>42502</v>
      </c>
      <c r="H911" t="s">
        <v>33</v>
      </c>
      <c r="I911">
        <v>0</v>
      </c>
      <c r="J911" t="s">
        <v>111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23</v>
      </c>
      <c r="R911">
        <v>0</v>
      </c>
    </row>
    <row r="912" spans="1:18">
      <c r="A912">
        <v>7243560000000</v>
      </c>
      <c r="B912" t="s">
        <v>28</v>
      </c>
      <c r="C912">
        <v>32</v>
      </c>
      <c r="D912" t="s">
        <v>37</v>
      </c>
      <c r="E912" t="s">
        <v>63</v>
      </c>
      <c r="F912" s="1">
        <v>42502</v>
      </c>
      <c r="G912" s="1">
        <v>42502</v>
      </c>
      <c r="H912" t="s">
        <v>33</v>
      </c>
      <c r="I912">
        <v>0</v>
      </c>
      <c r="J912" t="s">
        <v>111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 t="s">
        <v>23</v>
      </c>
      <c r="R912">
        <v>0</v>
      </c>
    </row>
    <row r="913" spans="1:18">
      <c r="A913">
        <v>65412300000000</v>
      </c>
      <c r="B913" t="s">
        <v>18</v>
      </c>
      <c r="C913">
        <v>20</v>
      </c>
      <c r="D913" t="s">
        <v>37</v>
      </c>
      <c r="E913" t="s">
        <v>69</v>
      </c>
      <c r="F913" s="1">
        <v>42502</v>
      </c>
      <c r="G913" s="1">
        <v>42502</v>
      </c>
      <c r="H913" t="s">
        <v>33</v>
      </c>
      <c r="I913">
        <v>0</v>
      </c>
      <c r="J913" t="s">
        <v>111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23</v>
      </c>
      <c r="R913">
        <v>0</v>
      </c>
    </row>
    <row r="914" spans="1:18">
      <c r="A914">
        <v>3866570000000</v>
      </c>
      <c r="B914" t="s">
        <v>18</v>
      </c>
      <c r="C914">
        <v>27</v>
      </c>
      <c r="D914" t="s">
        <v>37</v>
      </c>
      <c r="E914" t="s">
        <v>38</v>
      </c>
      <c r="F914" s="1">
        <v>42502</v>
      </c>
      <c r="G914" s="1">
        <v>42522</v>
      </c>
      <c r="H914" t="s">
        <v>25</v>
      </c>
      <c r="I914">
        <v>20</v>
      </c>
      <c r="J914" t="s">
        <v>77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</v>
      </c>
      <c r="Q914" t="s">
        <v>26</v>
      </c>
      <c r="R914">
        <v>1</v>
      </c>
    </row>
    <row r="915" spans="1:18">
      <c r="A915">
        <v>87498900000000</v>
      </c>
      <c r="B915" t="s">
        <v>18</v>
      </c>
      <c r="C915">
        <v>20</v>
      </c>
      <c r="D915" t="s">
        <v>37</v>
      </c>
      <c r="E915" t="s">
        <v>63</v>
      </c>
      <c r="F915" s="1">
        <v>42502</v>
      </c>
      <c r="G915" s="1">
        <v>42502</v>
      </c>
      <c r="H915" t="s">
        <v>33</v>
      </c>
      <c r="I915">
        <v>0</v>
      </c>
      <c r="J915" t="s">
        <v>111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23</v>
      </c>
      <c r="R915">
        <v>0</v>
      </c>
    </row>
    <row r="916" spans="1:18">
      <c r="A916">
        <v>516385000000000</v>
      </c>
      <c r="B916" t="s">
        <v>18</v>
      </c>
      <c r="C916">
        <v>23</v>
      </c>
      <c r="D916" t="s">
        <v>37</v>
      </c>
      <c r="E916" t="s">
        <v>29</v>
      </c>
      <c r="F916" s="1">
        <v>42502</v>
      </c>
      <c r="G916" s="1">
        <v>42503</v>
      </c>
      <c r="H916" t="s">
        <v>21</v>
      </c>
      <c r="I916">
        <v>1</v>
      </c>
      <c r="J916" t="s">
        <v>109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23</v>
      </c>
      <c r="R916">
        <v>0</v>
      </c>
    </row>
    <row r="917" spans="1:18">
      <c r="A917">
        <v>73894300000000</v>
      </c>
      <c r="B917" t="s">
        <v>18</v>
      </c>
      <c r="C917">
        <v>19</v>
      </c>
      <c r="D917" t="s">
        <v>37</v>
      </c>
      <c r="E917" t="s">
        <v>68</v>
      </c>
      <c r="F917" s="1">
        <v>42479</v>
      </c>
      <c r="G917" s="1">
        <v>42489</v>
      </c>
      <c r="H917" t="s">
        <v>21</v>
      </c>
      <c r="I917">
        <v>10</v>
      </c>
      <c r="J917" t="s">
        <v>92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1</v>
      </c>
      <c r="Q917" t="s">
        <v>23</v>
      </c>
      <c r="R917">
        <v>0</v>
      </c>
    </row>
    <row r="918" spans="1:18">
      <c r="A918">
        <v>4282730000000</v>
      </c>
      <c r="B918" t="s">
        <v>18</v>
      </c>
      <c r="C918">
        <v>34</v>
      </c>
      <c r="D918" t="s">
        <v>37</v>
      </c>
      <c r="E918" t="s">
        <v>29</v>
      </c>
      <c r="F918" s="1">
        <v>42502</v>
      </c>
      <c r="G918" s="1">
        <v>42502</v>
      </c>
      <c r="H918" t="s">
        <v>33</v>
      </c>
      <c r="I918">
        <v>0</v>
      </c>
      <c r="J918" t="s">
        <v>111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23</v>
      </c>
      <c r="R918">
        <v>0</v>
      </c>
    </row>
    <row r="919" spans="1:18">
      <c r="A919">
        <v>467236000000000</v>
      </c>
      <c r="B919" t="s">
        <v>18</v>
      </c>
      <c r="C919">
        <v>27</v>
      </c>
      <c r="D919" t="s">
        <v>37</v>
      </c>
      <c r="E919" t="s">
        <v>36</v>
      </c>
      <c r="F919" s="1">
        <v>42502</v>
      </c>
      <c r="G919" s="1">
        <v>42502</v>
      </c>
      <c r="H919" t="s">
        <v>33</v>
      </c>
      <c r="I919">
        <v>0</v>
      </c>
      <c r="J919" t="s">
        <v>111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23</v>
      </c>
      <c r="R919">
        <v>0</v>
      </c>
    </row>
    <row r="920" spans="1:18">
      <c r="A920">
        <v>74843900000000</v>
      </c>
      <c r="B920" t="s">
        <v>18</v>
      </c>
      <c r="C920">
        <v>27</v>
      </c>
      <c r="D920" t="s">
        <v>37</v>
      </c>
      <c r="E920" t="s">
        <v>51</v>
      </c>
      <c r="F920" s="1">
        <v>42502</v>
      </c>
      <c r="G920" s="1">
        <v>42502</v>
      </c>
      <c r="H920" t="s">
        <v>33</v>
      </c>
      <c r="I920">
        <v>0</v>
      </c>
      <c r="J920" t="s">
        <v>111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23</v>
      </c>
      <c r="R920">
        <v>0</v>
      </c>
    </row>
    <row r="921" spans="1:18">
      <c r="A921">
        <v>56726400000000</v>
      </c>
      <c r="B921" t="s">
        <v>18</v>
      </c>
      <c r="C921">
        <v>19</v>
      </c>
      <c r="D921" t="s">
        <v>37</v>
      </c>
      <c r="E921" t="s">
        <v>44</v>
      </c>
      <c r="F921" s="1">
        <v>42502</v>
      </c>
      <c r="G921" s="1">
        <v>42506</v>
      </c>
      <c r="H921" t="s">
        <v>30</v>
      </c>
      <c r="I921">
        <v>4</v>
      </c>
      <c r="J921" t="s">
        <v>107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23</v>
      </c>
      <c r="R921">
        <v>0</v>
      </c>
    </row>
    <row r="922" spans="1:18">
      <c r="A922">
        <v>416756000000000</v>
      </c>
      <c r="B922" t="s">
        <v>28</v>
      </c>
      <c r="C922">
        <v>33</v>
      </c>
      <c r="D922" t="s">
        <v>37</v>
      </c>
      <c r="E922" t="s">
        <v>68</v>
      </c>
      <c r="F922" s="1">
        <v>42502</v>
      </c>
      <c r="G922" s="1">
        <v>42502</v>
      </c>
      <c r="H922" t="s">
        <v>33</v>
      </c>
      <c r="I922">
        <v>0</v>
      </c>
      <c r="J922" t="s">
        <v>111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23</v>
      </c>
      <c r="R922">
        <v>0</v>
      </c>
    </row>
    <row r="923" spans="1:18">
      <c r="A923">
        <v>761999000000000</v>
      </c>
      <c r="B923" t="s">
        <v>28</v>
      </c>
      <c r="C923">
        <v>27</v>
      </c>
      <c r="D923" t="s">
        <v>37</v>
      </c>
      <c r="E923" t="s">
        <v>20</v>
      </c>
      <c r="F923" s="1">
        <v>42502</v>
      </c>
      <c r="G923" s="1">
        <v>42502</v>
      </c>
      <c r="H923" t="s">
        <v>33</v>
      </c>
      <c r="I923">
        <v>0</v>
      </c>
      <c r="J923" t="s">
        <v>111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23</v>
      </c>
      <c r="R923">
        <v>0</v>
      </c>
    </row>
    <row r="924" spans="1:18">
      <c r="A924">
        <v>25245200000000</v>
      </c>
      <c r="B924" t="s">
        <v>18</v>
      </c>
      <c r="C924">
        <v>31</v>
      </c>
      <c r="D924" t="s">
        <v>37</v>
      </c>
      <c r="E924" t="s">
        <v>50</v>
      </c>
      <c r="F924" s="1">
        <v>42502</v>
      </c>
      <c r="G924" s="1">
        <v>42502</v>
      </c>
      <c r="H924" t="s">
        <v>33</v>
      </c>
      <c r="I924">
        <v>0</v>
      </c>
      <c r="J924" t="s">
        <v>111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23</v>
      </c>
      <c r="R924">
        <v>0</v>
      </c>
    </row>
    <row r="925" spans="1:18">
      <c r="A925">
        <v>55745700000000</v>
      </c>
      <c r="B925" t="s">
        <v>18</v>
      </c>
      <c r="C925">
        <v>34</v>
      </c>
      <c r="D925" t="s">
        <v>37</v>
      </c>
      <c r="E925" t="s">
        <v>105</v>
      </c>
      <c r="F925" s="1">
        <v>42502</v>
      </c>
      <c r="G925" s="1">
        <v>42502</v>
      </c>
      <c r="H925" t="s">
        <v>33</v>
      </c>
      <c r="I925">
        <v>0</v>
      </c>
      <c r="J925" t="s">
        <v>111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23</v>
      </c>
      <c r="R925">
        <v>0</v>
      </c>
    </row>
    <row r="926" spans="1:18">
      <c r="A926">
        <v>5735800000000</v>
      </c>
      <c r="B926" t="s">
        <v>18</v>
      </c>
      <c r="C926">
        <v>22</v>
      </c>
      <c r="D926" t="s">
        <v>37</v>
      </c>
      <c r="E926" t="s">
        <v>69</v>
      </c>
      <c r="F926" s="1">
        <v>42502</v>
      </c>
      <c r="G926" s="1">
        <v>42502</v>
      </c>
      <c r="H926" t="s">
        <v>33</v>
      </c>
      <c r="I926">
        <v>0</v>
      </c>
      <c r="J926" t="s">
        <v>111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23</v>
      </c>
      <c r="R926">
        <v>0</v>
      </c>
    </row>
    <row r="927" spans="1:18">
      <c r="A927">
        <v>55741400000000</v>
      </c>
      <c r="B927" t="s">
        <v>18</v>
      </c>
      <c r="C927">
        <v>24</v>
      </c>
      <c r="D927" t="s">
        <v>37</v>
      </c>
      <c r="E927" t="s">
        <v>29</v>
      </c>
      <c r="F927" s="1">
        <v>42479</v>
      </c>
      <c r="G927" s="1">
        <v>42500</v>
      </c>
      <c r="H927" t="s">
        <v>41</v>
      </c>
      <c r="I927">
        <v>21</v>
      </c>
      <c r="J927" t="s">
        <v>77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 t="s">
        <v>23</v>
      </c>
      <c r="R927">
        <v>0</v>
      </c>
    </row>
    <row r="928" spans="1:18">
      <c r="A928">
        <v>53838700000000</v>
      </c>
      <c r="B928" t="s">
        <v>18</v>
      </c>
      <c r="C928">
        <v>24</v>
      </c>
      <c r="D928" t="s">
        <v>37</v>
      </c>
      <c r="E928" t="s">
        <v>84</v>
      </c>
      <c r="F928" s="1">
        <v>42502</v>
      </c>
      <c r="G928" s="1">
        <v>42502</v>
      </c>
      <c r="H928" t="s">
        <v>33</v>
      </c>
      <c r="I928">
        <v>0</v>
      </c>
      <c r="J928" t="s">
        <v>111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23</v>
      </c>
      <c r="R928">
        <v>0</v>
      </c>
    </row>
    <row r="929" spans="1:18">
      <c r="A929">
        <v>29586700000000</v>
      </c>
      <c r="B929" t="s">
        <v>18</v>
      </c>
      <c r="C929">
        <v>25</v>
      </c>
      <c r="D929" t="s">
        <v>37</v>
      </c>
      <c r="E929" t="s">
        <v>72</v>
      </c>
      <c r="F929" s="1">
        <v>42502</v>
      </c>
      <c r="G929" s="1">
        <v>42507</v>
      </c>
      <c r="H929" t="s">
        <v>41</v>
      </c>
      <c r="I929">
        <v>5</v>
      </c>
      <c r="J929" t="s">
        <v>107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23</v>
      </c>
      <c r="R929">
        <v>0</v>
      </c>
    </row>
    <row r="930" spans="1:18">
      <c r="A930">
        <v>67696400000000</v>
      </c>
      <c r="B930" t="s">
        <v>18</v>
      </c>
      <c r="C930">
        <v>18</v>
      </c>
      <c r="D930" t="s">
        <v>37</v>
      </c>
      <c r="E930" t="s">
        <v>66</v>
      </c>
      <c r="F930" s="1">
        <v>42502</v>
      </c>
      <c r="G930" s="1">
        <v>42510</v>
      </c>
      <c r="H930" t="s">
        <v>21</v>
      </c>
      <c r="I930">
        <v>8</v>
      </c>
      <c r="J930" t="s">
        <v>92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26</v>
      </c>
      <c r="R930">
        <v>1</v>
      </c>
    </row>
    <row r="931" spans="1:18">
      <c r="A931">
        <v>52187700000000</v>
      </c>
      <c r="B931" t="s">
        <v>18</v>
      </c>
      <c r="C931">
        <v>28</v>
      </c>
      <c r="D931" t="s">
        <v>37</v>
      </c>
      <c r="E931" t="s">
        <v>87</v>
      </c>
      <c r="F931" s="1">
        <v>42502</v>
      </c>
      <c r="G931" s="1">
        <v>42502</v>
      </c>
      <c r="H931" t="s">
        <v>33</v>
      </c>
      <c r="I931">
        <v>0</v>
      </c>
      <c r="J931" t="s">
        <v>111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23</v>
      </c>
      <c r="R931">
        <v>0</v>
      </c>
    </row>
    <row r="932" spans="1:18">
      <c r="A932">
        <v>92631300000000</v>
      </c>
      <c r="B932" t="s">
        <v>28</v>
      </c>
      <c r="C932">
        <v>30</v>
      </c>
      <c r="D932" t="s">
        <v>37</v>
      </c>
      <c r="E932" t="s">
        <v>96</v>
      </c>
      <c r="F932" s="1">
        <v>42502</v>
      </c>
      <c r="G932" s="1">
        <v>42502</v>
      </c>
      <c r="H932" t="s">
        <v>33</v>
      </c>
      <c r="I932">
        <v>0</v>
      </c>
      <c r="J932" t="s">
        <v>111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23</v>
      </c>
      <c r="R932">
        <v>0</v>
      </c>
    </row>
    <row r="933" spans="1:18">
      <c r="A933">
        <v>58552200000000</v>
      </c>
      <c r="B933" t="s">
        <v>28</v>
      </c>
      <c r="C933">
        <v>22</v>
      </c>
      <c r="D933" t="s">
        <v>37</v>
      </c>
      <c r="E933" t="s">
        <v>86</v>
      </c>
      <c r="F933" s="1">
        <v>42502</v>
      </c>
      <c r="G933" s="1">
        <v>42508</v>
      </c>
      <c r="H933" t="s">
        <v>25</v>
      </c>
      <c r="I933">
        <v>6</v>
      </c>
      <c r="J933" t="s">
        <v>107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23</v>
      </c>
      <c r="R933">
        <v>0</v>
      </c>
    </row>
    <row r="934" spans="1:18">
      <c r="A934">
        <v>756380000000</v>
      </c>
      <c r="B934" t="s">
        <v>18</v>
      </c>
      <c r="C934">
        <v>18</v>
      </c>
      <c r="D934" t="s">
        <v>37</v>
      </c>
      <c r="E934" t="s">
        <v>54</v>
      </c>
      <c r="F934" s="1">
        <v>42502</v>
      </c>
      <c r="G934" s="1">
        <v>42508</v>
      </c>
      <c r="H934" t="s">
        <v>25</v>
      </c>
      <c r="I934">
        <v>6</v>
      </c>
      <c r="J934" t="s">
        <v>107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23</v>
      </c>
      <c r="R934">
        <v>0</v>
      </c>
    </row>
    <row r="935" spans="1:18">
      <c r="A935">
        <v>5467340000000</v>
      </c>
      <c r="B935" t="s">
        <v>28</v>
      </c>
      <c r="C935">
        <v>20</v>
      </c>
      <c r="D935" t="s">
        <v>37</v>
      </c>
      <c r="E935" t="s">
        <v>68</v>
      </c>
      <c r="F935" s="1">
        <v>42479</v>
      </c>
      <c r="G935" s="1">
        <v>42515</v>
      </c>
      <c r="H935" t="s">
        <v>25</v>
      </c>
      <c r="I935">
        <v>36</v>
      </c>
      <c r="J935" t="s">
        <v>22</v>
      </c>
      <c r="K935">
        <v>0</v>
      </c>
      <c r="L935">
        <v>0</v>
      </c>
      <c r="M935">
        <v>0</v>
      </c>
      <c r="N935">
        <v>1</v>
      </c>
      <c r="O935">
        <v>0</v>
      </c>
      <c r="P935">
        <v>1</v>
      </c>
      <c r="Q935" t="s">
        <v>26</v>
      </c>
      <c r="R935">
        <v>1</v>
      </c>
    </row>
    <row r="936" spans="1:18">
      <c r="A936">
        <v>18185000000000</v>
      </c>
      <c r="B936" t="s">
        <v>18</v>
      </c>
      <c r="C936">
        <v>21</v>
      </c>
      <c r="D936" t="s">
        <v>37</v>
      </c>
      <c r="E936" t="s">
        <v>84</v>
      </c>
      <c r="F936" s="1">
        <v>42502</v>
      </c>
      <c r="G936" s="1">
        <v>42508</v>
      </c>
      <c r="H936" t="s">
        <v>25</v>
      </c>
      <c r="I936">
        <v>6</v>
      </c>
      <c r="J936" t="s">
        <v>107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26</v>
      </c>
      <c r="R936">
        <v>1</v>
      </c>
    </row>
    <row r="937" spans="1:18">
      <c r="A937">
        <v>754895000000</v>
      </c>
      <c r="B937" t="s">
        <v>18</v>
      </c>
      <c r="C937">
        <v>27</v>
      </c>
      <c r="D937" t="s">
        <v>37</v>
      </c>
      <c r="E937" t="s">
        <v>38</v>
      </c>
      <c r="F937" s="1">
        <v>42479</v>
      </c>
      <c r="G937" s="1">
        <v>42499</v>
      </c>
      <c r="H937" t="s">
        <v>30</v>
      </c>
      <c r="I937">
        <v>20</v>
      </c>
      <c r="J937" t="s">
        <v>77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23</v>
      </c>
      <c r="R937">
        <v>0</v>
      </c>
    </row>
    <row r="938" spans="1:18">
      <c r="A938">
        <v>92314500000000</v>
      </c>
      <c r="B938" t="s">
        <v>28</v>
      </c>
      <c r="C938">
        <v>24</v>
      </c>
      <c r="D938" t="s">
        <v>37</v>
      </c>
      <c r="E938" t="s">
        <v>79</v>
      </c>
      <c r="F938" s="1">
        <v>42502</v>
      </c>
      <c r="G938" s="1">
        <v>42503</v>
      </c>
      <c r="H938" t="s">
        <v>21</v>
      </c>
      <c r="I938">
        <v>1</v>
      </c>
      <c r="J938" t="s">
        <v>109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23</v>
      </c>
      <c r="R938">
        <v>0</v>
      </c>
    </row>
    <row r="939" spans="1:18">
      <c r="A939">
        <v>11314300000000</v>
      </c>
      <c r="B939" t="s">
        <v>18</v>
      </c>
      <c r="C939">
        <v>23</v>
      </c>
      <c r="D939" t="s">
        <v>37</v>
      </c>
      <c r="E939" t="s">
        <v>64</v>
      </c>
      <c r="F939" s="1">
        <v>42502</v>
      </c>
      <c r="G939" s="1">
        <v>42503</v>
      </c>
      <c r="H939" t="s">
        <v>21</v>
      </c>
      <c r="I939">
        <v>1</v>
      </c>
      <c r="J939" t="s">
        <v>109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23</v>
      </c>
      <c r="R939">
        <v>0</v>
      </c>
    </row>
    <row r="940" spans="1:18">
      <c r="A940">
        <v>512328000000000</v>
      </c>
      <c r="B940" t="s">
        <v>28</v>
      </c>
      <c r="C940">
        <v>19</v>
      </c>
      <c r="D940" t="s">
        <v>37</v>
      </c>
      <c r="E940" t="s">
        <v>32</v>
      </c>
      <c r="F940" s="1">
        <v>42501</v>
      </c>
      <c r="G940" s="1">
        <v>42507</v>
      </c>
      <c r="H940" t="s">
        <v>41</v>
      </c>
      <c r="I940">
        <v>6</v>
      </c>
      <c r="J940" t="s">
        <v>107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26</v>
      </c>
      <c r="R940">
        <v>1</v>
      </c>
    </row>
    <row r="941" spans="1:18">
      <c r="A941">
        <v>4592300000000</v>
      </c>
      <c r="B941" t="s">
        <v>18</v>
      </c>
      <c r="C941">
        <v>34</v>
      </c>
      <c r="D941" t="s">
        <v>37</v>
      </c>
      <c r="E941" t="s">
        <v>29</v>
      </c>
      <c r="F941" s="1">
        <v>42501</v>
      </c>
      <c r="G941" s="1">
        <v>42507</v>
      </c>
      <c r="H941" t="s">
        <v>41</v>
      </c>
      <c r="I941">
        <v>6</v>
      </c>
      <c r="J941" t="s">
        <v>107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23</v>
      </c>
      <c r="R941">
        <v>0</v>
      </c>
    </row>
    <row r="942" spans="1:18">
      <c r="A942">
        <v>7876660000000</v>
      </c>
      <c r="B942" t="s">
        <v>18</v>
      </c>
      <c r="C942">
        <v>18</v>
      </c>
      <c r="D942" t="s">
        <v>37</v>
      </c>
      <c r="E942" t="s">
        <v>89</v>
      </c>
      <c r="F942" s="1">
        <v>42501</v>
      </c>
      <c r="G942" s="1">
        <v>42529</v>
      </c>
      <c r="H942" t="s">
        <v>25</v>
      </c>
      <c r="I942">
        <v>28</v>
      </c>
      <c r="J942" t="s">
        <v>77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 t="s">
        <v>23</v>
      </c>
      <c r="R942">
        <v>0</v>
      </c>
    </row>
    <row r="943" spans="1:18">
      <c r="A943">
        <v>521685000000000</v>
      </c>
      <c r="B943" t="s">
        <v>18</v>
      </c>
      <c r="C943">
        <v>34</v>
      </c>
      <c r="D943" t="s">
        <v>37</v>
      </c>
      <c r="E943" t="s">
        <v>44</v>
      </c>
      <c r="F943" s="1">
        <v>42501</v>
      </c>
      <c r="G943" s="1">
        <v>42509</v>
      </c>
      <c r="H943" t="s">
        <v>33</v>
      </c>
      <c r="I943">
        <v>8</v>
      </c>
      <c r="J943" t="s">
        <v>92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23</v>
      </c>
      <c r="R943">
        <v>0</v>
      </c>
    </row>
    <row r="944" spans="1:18">
      <c r="A944">
        <v>347312000000000</v>
      </c>
      <c r="B944" t="s">
        <v>18</v>
      </c>
      <c r="C944">
        <v>29</v>
      </c>
      <c r="D944" t="s">
        <v>37</v>
      </c>
      <c r="E944" t="s">
        <v>67</v>
      </c>
      <c r="F944" s="1">
        <v>42501</v>
      </c>
      <c r="G944" s="1">
        <v>42502</v>
      </c>
      <c r="H944" t="s">
        <v>33</v>
      </c>
      <c r="I944">
        <v>1</v>
      </c>
      <c r="J944" t="s">
        <v>109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26</v>
      </c>
      <c r="R944">
        <v>1</v>
      </c>
    </row>
    <row r="945" spans="1:18">
      <c r="A945">
        <v>318918000000000</v>
      </c>
      <c r="B945" t="s">
        <v>28</v>
      </c>
      <c r="C945">
        <v>35</v>
      </c>
      <c r="D945" t="s">
        <v>37</v>
      </c>
      <c r="E945" t="s">
        <v>67</v>
      </c>
      <c r="F945" s="1">
        <v>42501</v>
      </c>
      <c r="G945" s="1">
        <v>42506</v>
      </c>
      <c r="H945" t="s">
        <v>30</v>
      </c>
      <c r="I945">
        <v>5</v>
      </c>
      <c r="J945" t="s">
        <v>107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23</v>
      </c>
      <c r="R945">
        <v>0</v>
      </c>
    </row>
    <row r="946" spans="1:18">
      <c r="A946">
        <v>324297000000000</v>
      </c>
      <c r="B946" t="s">
        <v>18</v>
      </c>
      <c r="C946">
        <v>26</v>
      </c>
      <c r="D946" t="s">
        <v>37</v>
      </c>
      <c r="E946" t="s">
        <v>96</v>
      </c>
      <c r="F946" s="1">
        <v>42501</v>
      </c>
      <c r="G946" s="1">
        <v>42521</v>
      </c>
      <c r="H946" t="s">
        <v>41</v>
      </c>
      <c r="I946">
        <v>20</v>
      </c>
      <c r="J946" t="s">
        <v>77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  <c r="Q946" t="s">
        <v>23</v>
      </c>
      <c r="R946">
        <v>0</v>
      </c>
    </row>
    <row r="947" spans="1:18">
      <c r="A947">
        <v>2453950000000</v>
      </c>
      <c r="B947" t="s">
        <v>18</v>
      </c>
      <c r="C947">
        <v>18</v>
      </c>
      <c r="D947" t="s">
        <v>37</v>
      </c>
      <c r="E947" t="s">
        <v>20</v>
      </c>
      <c r="F947" s="1">
        <v>42501</v>
      </c>
      <c r="G947" s="1">
        <v>42514</v>
      </c>
      <c r="H947" t="s">
        <v>41</v>
      </c>
      <c r="I947">
        <v>13</v>
      </c>
      <c r="J947" t="s">
        <v>92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</v>
      </c>
      <c r="Q947" t="s">
        <v>23</v>
      </c>
      <c r="R947">
        <v>0</v>
      </c>
    </row>
    <row r="948" spans="1:18">
      <c r="A948">
        <v>744749000000000</v>
      </c>
      <c r="B948" t="s">
        <v>18</v>
      </c>
      <c r="C948">
        <v>19</v>
      </c>
      <c r="D948" t="s">
        <v>37</v>
      </c>
      <c r="E948" t="s">
        <v>20</v>
      </c>
      <c r="F948" s="1">
        <v>42480</v>
      </c>
      <c r="G948" s="1">
        <v>42493</v>
      </c>
      <c r="H948" t="s">
        <v>41</v>
      </c>
      <c r="I948">
        <v>13</v>
      </c>
      <c r="J948" t="s">
        <v>92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 t="s">
        <v>23</v>
      </c>
      <c r="R948">
        <v>0</v>
      </c>
    </row>
    <row r="949" spans="1:18">
      <c r="A949">
        <v>941886000000000</v>
      </c>
      <c r="B949" t="s">
        <v>18</v>
      </c>
      <c r="C949">
        <v>25</v>
      </c>
      <c r="D949" t="s">
        <v>37</v>
      </c>
      <c r="E949" t="s">
        <v>39</v>
      </c>
      <c r="F949" s="1">
        <v>42501</v>
      </c>
      <c r="G949" s="1">
        <v>42506</v>
      </c>
      <c r="H949" t="s">
        <v>30</v>
      </c>
      <c r="I949">
        <v>5</v>
      </c>
      <c r="J949" t="s">
        <v>107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26</v>
      </c>
      <c r="R949">
        <v>1</v>
      </c>
    </row>
    <row r="950" spans="1:18">
      <c r="A950">
        <v>3222130000000</v>
      </c>
      <c r="B950" t="s">
        <v>18</v>
      </c>
      <c r="C950">
        <v>29</v>
      </c>
      <c r="D950" t="s">
        <v>37</v>
      </c>
      <c r="E950" t="s">
        <v>81</v>
      </c>
      <c r="F950" s="1">
        <v>42501</v>
      </c>
      <c r="G950" s="1">
        <v>42501</v>
      </c>
      <c r="H950" t="s">
        <v>25</v>
      </c>
      <c r="I950">
        <v>0</v>
      </c>
      <c r="J950" t="s">
        <v>111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23</v>
      </c>
      <c r="R950">
        <v>0</v>
      </c>
    </row>
    <row r="951" spans="1:18">
      <c r="A951">
        <v>83448486233</v>
      </c>
      <c r="B951" t="s">
        <v>18</v>
      </c>
      <c r="C951">
        <v>32</v>
      </c>
      <c r="D951" t="s">
        <v>37</v>
      </c>
      <c r="E951" t="s">
        <v>66</v>
      </c>
      <c r="F951" s="1">
        <v>42501</v>
      </c>
      <c r="G951" s="1">
        <v>42508</v>
      </c>
      <c r="H951" t="s">
        <v>25</v>
      </c>
      <c r="I951">
        <v>7</v>
      </c>
      <c r="J951" t="s">
        <v>107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26</v>
      </c>
      <c r="R951">
        <v>1</v>
      </c>
    </row>
    <row r="952" spans="1:18">
      <c r="A952">
        <v>552652000000</v>
      </c>
      <c r="B952" t="s">
        <v>18</v>
      </c>
      <c r="C952">
        <v>32</v>
      </c>
      <c r="D952" t="s">
        <v>37</v>
      </c>
      <c r="E952" t="s">
        <v>39</v>
      </c>
      <c r="F952" s="1">
        <v>42501</v>
      </c>
      <c r="G952" s="1">
        <v>42501</v>
      </c>
      <c r="H952" t="s">
        <v>25</v>
      </c>
      <c r="I952">
        <v>0</v>
      </c>
      <c r="J952" t="s">
        <v>111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23</v>
      </c>
      <c r="R952">
        <v>0</v>
      </c>
    </row>
    <row r="953" spans="1:18">
      <c r="A953">
        <v>81215600000000</v>
      </c>
      <c r="B953" t="s">
        <v>18</v>
      </c>
      <c r="C953">
        <v>35</v>
      </c>
      <c r="D953" t="s">
        <v>37</v>
      </c>
      <c r="E953" t="s">
        <v>20</v>
      </c>
      <c r="F953" s="1">
        <v>42480</v>
      </c>
      <c r="G953" s="1">
        <v>42496</v>
      </c>
      <c r="H953" t="s">
        <v>21</v>
      </c>
      <c r="I953">
        <v>16</v>
      </c>
      <c r="J953" t="s">
        <v>77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</v>
      </c>
      <c r="Q953" t="s">
        <v>26</v>
      </c>
      <c r="R953">
        <v>1</v>
      </c>
    </row>
    <row r="954" spans="1:18">
      <c r="A954">
        <v>8451970000000</v>
      </c>
      <c r="B954" t="s">
        <v>18</v>
      </c>
      <c r="C954">
        <v>19</v>
      </c>
      <c r="D954" t="s">
        <v>37</v>
      </c>
      <c r="E954" t="s">
        <v>78</v>
      </c>
      <c r="F954" s="1">
        <v>42501</v>
      </c>
      <c r="G954" s="1">
        <v>42515</v>
      </c>
      <c r="H954" t="s">
        <v>25</v>
      </c>
      <c r="I954">
        <v>14</v>
      </c>
      <c r="J954" t="s">
        <v>92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</v>
      </c>
      <c r="Q954" t="s">
        <v>23</v>
      </c>
      <c r="R954">
        <v>0</v>
      </c>
    </row>
    <row r="955" spans="1:18">
      <c r="A955">
        <v>8464660000000</v>
      </c>
      <c r="B955" t="s">
        <v>28</v>
      </c>
      <c r="C955">
        <v>21</v>
      </c>
      <c r="D955" t="s">
        <v>37</v>
      </c>
      <c r="E955" t="s">
        <v>112</v>
      </c>
      <c r="F955" s="1">
        <v>42501</v>
      </c>
      <c r="G955" s="1">
        <v>42503</v>
      </c>
      <c r="H955" t="s">
        <v>21</v>
      </c>
      <c r="I955">
        <v>2</v>
      </c>
      <c r="J955" t="s">
        <v>109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26</v>
      </c>
      <c r="R955">
        <v>1</v>
      </c>
    </row>
    <row r="956" spans="1:18">
      <c r="A956">
        <v>472248000000000</v>
      </c>
      <c r="B956" t="s">
        <v>18</v>
      </c>
      <c r="C956">
        <v>20</v>
      </c>
      <c r="D956" t="s">
        <v>37</v>
      </c>
      <c r="E956" t="s">
        <v>43</v>
      </c>
      <c r="F956" s="1">
        <v>42501</v>
      </c>
      <c r="G956" s="1">
        <v>42508</v>
      </c>
      <c r="H956" t="s">
        <v>25</v>
      </c>
      <c r="I956">
        <v>7</v>
      </c>
      <c r="J956" t="s">
        <v>107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23</v>
      </c>
      <c r="R956">
        <v>0</v>
      </c>
    </row>
    <row r="957" spans="1:18">
      <c r="A957">
        <v>165726000000000</v>
      </c>
      <c r="B957" t="s">
        <v>18</v>
      </c>
      <c r="C957">
        <v>25</v>
      </c>
      <c r="D957" t="s">
        <v>37</v>
      </c>
      <c r="E957" t="s">
        <v>59</v>
      </c>
      <c r="F957" s="1">
        <v>42501</v>
      </c>
      <c r="G957" s="1">
        <v>42501</v>
      </c>
      <c r="H957" t="s">
        <v>25</v>
      </c>
      <c r="I957">
        <v>0</v>
      </c>
      <c r="J957" t="s">
        <v>111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23</v>
      </c>
      <c r="R957">
        <v>0</v>
      </c>
    </row>
    <row r="958" spans="1:18">
      <c r="A958">
        <v>66379100000000</v>
      </c>
      <c r="B958" t="s">
        <v>18</v>
      </c>
      <c r="C958">
        <v>33</v>
      </c>
      <c r="D958" t="s">
        <v>37</v>
      </c>
      <c r="E958" t="s">
        <v>71</v>
      </c>
      <c r="F958" s="1">
        <v>42501</v>
      </c>
      <c r="G958" s="1">
        <v>42501</v>
      </c>
      <c r="H958" t="s">
        <v>25</v>
      </c>
      <c r="I958">
        <v>0</v>
      </c>
      <c r="J958" t="s">
        <v>111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23</v>
      </c>
      <c r="R958">
        <v>0</v>
      </c>
    </row>
    <row r="959" spans="1:18">
      <c r="A959">
        <v>933583000000000</v>
      </c>
      <c r="B959" t="s">
        <v>18</v>
      </c>
      <c r="C959">
        <v>24</v>
      </c>
      <c r="D959" t="s">
        <v>37</v>
      </c>
      <c r="E959" t="s">
        <v>57</v>
      </c>
      <c r="F959" s="1">
        <v>42501</v>
      </c>
      <c r="G959" s="1">
        <v>42501</v>
      </c>
      <c r="H959" t="s">
        <v>25</v>
      </c>
      <c r="I959">
        <v>0</v>
      </c>
      <c r="J959" t="s">
        <v>111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23</v>
      </c>
      <c r="R959">
        <v>0</v>
      </c>
    </row>
    <row r="960" spans="1:18">
      <c r="A960">
        <v>134673000000000</v>
      </c>
      <c r="B960" t="s">
        <v>18</v>
      </c>
      <c r="C960">
        <v>34</v>
      </c>
      <c r="D960" t="s">
        <v>37</v>
      </c>
      <c r="E960" t="s">
        <v>68</v>
      </c>
      <c r="F960" s="1">
        <v>42501</v>
      </c>
      <c r="G960" s="1">
        <v>42501</v>
      </c>
      <c r="H960" t="s">
        <v>25</v>
      </c>
      <c r="I960">
        <v>0</v>
      </c>
      <c r="J960" t="s">
        <v>111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23</v>
      </c>
      <c r="R960">
        <v>0</v>
      </c>
    </row>
    <row r="961" spans="1:18">
      <c r="A961">
        <v>2465650000000</v>
      </c>
      <c r="B961" t="s">
        <v>18</v>
      </c>
      <c r="C961">
        <v>18</v>
      </c>
      <c r="D961" t="s">
        <v>37</v>
      </c>
      <c r="E961" t="s">
        <v>50</v>
      </c>
      <c r="F961" s="1">
        <v>42501</v>
      </c>
      <c r="G961" s="1">
        <v>42501</v>
      </c>
      <c r="H961" t="s">
        <v>25</v>
      </c>
      <c r="I961">
        <v>0</v>
      </c>
      <c r="J961" t="s">
        <v>111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0</v>
      </c>
      <c r="Q961" t="s">
        <v>23</v>
      </c>
      <c r="R961">
        <v>0</v>
      </c>
    </row>
    <row r="962" spans="1:18">
      <c r="A962">
        <v>252556000000000</v>
      </c>
      <c r="B962" t="s">
        <v>18</v>
      </c>
      <c r="C962">
        <v>18</v>
      </c>
      <c r="D962" t="s">
        <v>37</v>
      </c>
      <c r="E962" t="s">
        <v>59</v>
      </c>
      <c r="F962" s="1">
        <v>42480</v>
      </c>
      <c r="G962" s="1">
        <v>42496</v>
      </c>
      <c r="H962" t="s">
        <v>21</v>
      </c>
      <c r="I962">
        <v>16</v>
      </c>
      <c r="J962" t="s">
        <v>77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1</v>
      </c>
      <c r="Q962" t="s">
        <v>23</v>
      </c>
      <c r="R962">
        <v>0</v>
      </c>
    </row>
    <row r="963" spans="1:18">
      <c r="A963">
        <v>28739964825</v>
      </c>
      <c r="B963" t="s">
        <v>28</v>
      </c>
      <c r="C963">
        <v>23</v>
      </c>
      <c r="D963" t="s">
        <v>37</v>
      </c>
      <c r="E963" t="s">
        <v>39</v>
      </c>
      <c r="F963" s="1">
        <v>42501</v>
      </c>
      <c r="G963" s="1">
        <v>42506</v>
      </c>
      <c r="H963" t="s">
        <v>30</v>
      </c>
      <c r="I963">
        <v>5</v>
      </c>
      <c r="J963" t="s">
        <v>107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23</v>
      </c>
      <c r="R963">
        <v>0</v>
      </c>
    </row>
    <row r="964" spans="1:18">
      <c r="A964">
        <v>841613000000000</v>
      </c>
      <c r="B964" t="s">
        <v>18</v>
      </c>
      <c r="C964">
        <v>18</v>
      </c>
      <c r="D964" t="s">
        <v>37</v>
      </c>
      <c r="E964" t="s">
        <v>54</v>
      </c>
      <c r="F964" s="1">
        <v>42501</v>
      </c>
      <c r="G964" s="1">
        <v>42510</v>
      </c>
      <c r="H964" t="s">
        <v>21</v>
      </c>
      <c r="I964">
        <v>9</v>
      </c>
      <c r="J964" t="s">
        <v>92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26</v>
      </c>
      <c r="R964">
        <v>1</v>
      </c>
    </row>
    <row r="965" spans="1:18">
      <c r="A965">
        <v>647522000000000</v>
      </c>
      <c r="B965" t="s">
        <v>18</v>
      </c>
      <c r="C965">
        <v>18</v>
      </c>
      <c r="D965" t="s">
        <v>37</v>
      </c>
      <c r="E965" t="s">
        <v>29</v>
      </c>
      <c r="F965" s="1">
        <v>42501</v>
      </c>
      <c r="G965" s="1">
        <v>42501</v>
      </c>
      <c r="H965" t="s">
        <v>25</v>
      </c>
      <c r="I965">
        <v>0</v>
      </c>
      <c r="J965" t="s">
        <v>111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23</v>
      </c>
      <c r="R965">
        <v>0</v>
      </c>
    </row>
    <row r="966" spans="1:18">
      <c r="A966">
        <v>1423770000000</v>
      </c>
      <c r="B966" t="s">
        <v>18</v>
      </c>
      <c r="C966">
        <v>27</v>
      </c>
      <c r="D966" t="s">
        <v>37</v>
      </c>
      <c r="E966" t="s">
        <v>34</v>
      </c>
      <c r="F966" s="1">
        <v>42501</v>
      </c>
      <c r="G966" s="1">
        <v>42503</v>
      </c>
      <c r="H966" t="s">
        <v>21</v>
      </c>
      <c r="I966">
        <v>2</v>
      </c>
      <c r="J966" t="s">
        <v>109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26</v>
      </c>
      <c r="R966">
        <v>1</v>
      </c>
    </row>
    <row r="967" spans="1:18">
      <c r="A967">
        <v>39934354681</v>
      </c>
      <c r="B967" t="s">
        <v>18</v>
      </c>
      <c r="C967">
        <v>30</v>
      </c>
      <c r="D967" t="s">
        <v>37</v>
      </c>
      <c r="E967" t="s">
        <v>100</v>
      </c>
      <c r="F967" s="1">
        <v>42501</v>
      </c>
      <c r="G967" s="1">
        <v>42522</v>
      </c>
      <c r="H967" t="s">
        <v>25</v>
      </c>
      <c r="I967">
        <v>21</v>
      </c>
      <c r="J967" t="s">
        <v>77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</v>
      </c>
      <c r="Q967" t="s">
        <v>23</v>
      </c>
      <c r="R967">
        <v>0</v>
      </c>
    </row>
    <row r="968" spans="1:18">
      <c r="A968">
        <v>544337000000000</v>
      </c>
      <c r="B968" t="s">
        <v>18</v>
      </c>
      <c r="C968">
        <v>35</v>
      </c>
      <c r="D968" t="s">
        <v>37</v>
      </c>
      <c r="E968" t="s">
        <v>72</v>
      </c>
      <c r="F968" s="1">
        <v>42501</v>
      </c>
      <c r="G968" s="1">
        <v>42501</v>
      </c>
      <c r="H968" t="s">
        <v>25</v>
      </c>
      <c r="I968">
        <v>0</v>
      </c>
      <c r="J968" t="s">
        <v>111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23</v>
      </c>
      <c r="R968">
        <v>0</v>
      </c>
    </row>
    <row r="969" spans="1:18">
      <c r="A969">
        <v>5731750000000</v>
      </c>
      <c r="B969" t="s">
        <v>28</v>
      </c>
      <c r="C969">
        <v>33</v>
      </c>
      <c r="D969" t="s">
        <v>37</v>
      </c>
      <c r="E969" t="s">
        <v>63</v>
      </c>
      <c r="F969" s="1">
        <v>42501</v>
      </c>
      <c r="G969" s="1">
        <v>42501</v>
      </c>
      <c r="H969" t="s">
        <v>25</v>
      </c>
      <c r="I969">
        <v>0</v>
      </c>
      <c r="J969" t="s">
        <v>111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23</v>
      </c>
      <c r="R969">
        <v>0</v>
      </c>
    </row>
    <row r="970" spans="1:18">
      <c r="A970">
        <v>197567000000</v>
      </c>
      <c r="B970" t="s">
        <v>18</v>
      </c>
      <c r="C970">
        <v>32</v>
      </c>
      <c r="D970" t="s">
        <v>37</v>
      </c>
      <c r="E970" t="s">
        <v>38</v>
      </c>
      <c r="F970" s="1">
        <v>42501</v>
      </c>
      <c r="G970" s="1">
        <v>42508</v>
      </c>
      <c r="H970" t="s">
        <v>25</v>
      </c>
      <c r="I970">
        <v>7</v>
      </c>
      <c r="J970" t="s">
        <v>107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23</v>
      </c>
      <c r="R970">
        <v>0</v>
      </c>
    </row>
    <row r="971" spans="1:18">
      <c r="A971">
        <v>33711400000000</v>
      </c>
      <c r="B971" t="s">
        <v>18</v>
      </c>
      <c r="C971">
        <v>24</v>
      </c>
      <c r="D971" t="s">
        <v>37</v>
      </c>
      <c r="E971" t="s">
        <v>78</v>
      </c>
      <c r="F971" s="1">
        <v>42501</v>
      </c>
      <c r="G971" s="1">
        <v>42510</v>
      </c>
      <c r="H971" t="s">
        <v>21</v>
      </c>
      <c r="I971">
        <v>9</v>
      </c>
      <c r="J971" t="s">
        <v>92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26</v>
      </c>
      <c r="R971">
        <v>1</v>
      </c>
    </row>
    <row r="972" spans="1:18">
      <c r="A972">
        <v>16214400000000</v>
      </c>
      <c r="B972" t="s">
        <v>18</v>
      </c>
      <c r="C972">
        <v>33</v>
      </c>
      <c r="D972" t="s">
        <v>37</v>
      </c>
      <c r="E972" t="s">
        <v>55</v>
      </c>
      <c r="F972" s="1">
        <v>42501</v>
      </c>
      <c r="G972" s="1">
        <v>42523</v>
      </c>
      <c r="H972" t="s">
        <v>33</v>
      </c>
      <c r="I972">
        <v>22</v>
      </c>
      <c r="J972" t="s">
        <v>77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26</v>
      </c>
      <c r="R972">
        <v>1</v>
      </c>
    </row>
    <row r="973" spans="1:18">
      <c r="A973">
        <v>47231400000000</v>
      </c>
      <c r="B973" t="s">
        <v>18</v>
      </c>
      <c r="C973">
        <v>26</v>
      </c>
      <c r="D973" t="s">
        <v>37</v>
      </c>
      <c r="E973" t="s">
        <v>40</v>
      </c>
      <c r="F973" s="1">
        <v>42480</v>
      </c>
      <c r="G973" s="1">
        <v>42493</v>
      </c>
      <c r="H973" t="s">
        <v>41</v>
      </c>
      <c r="I973">
        <v>13</v>
      </c>
      <c r="J973" t="s">
        <v>92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 t="s">
        <v>26</v>
      </c>
      <c r="R973">
        <v>1</v>
      </c>
    </row>
    <row r="974" spans="1:18">
      <c r="A974">
        <v>282782000000000</v>
      </c>
      <c r="B974" t="s">
        <v>18</v>
      </c>
      <c r="C974">
        <v>30</v>
      </c>
      <c r="D974" t="s">
        <v>37</v>
      </c>
      <c r="E974" t="s">
        <v>20</v>
      </c>
      <c r="F974" s="1">
        <v>42480</v>
      </c>
      <c r="G974" s="1">
        <v>42501</v>
      </c>
      <c r="H974" t="s">
        <v>25</v>
      </c>
      <c r="I974">
        <v>21</v>
      </c>
      <c r="J974" t="s">
        <v>77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1</v>
      </c>
      <c r="Q974" t="s">
        <v>26</v>
      </c>
      <c r="R974">
        <v>1</v>
      </c>
    </row>
    <row r="975" spans="1:18">
      <c r="A975">
        <v>277987000000000</v>
      </c>
      <c r="B975" t="s">
        <v>18</v>
      </c>
      <c r="C975">
        <v>26</v>
      </c>
      <c r="D975" t="s">
        <v>37</v>
      </c>
      <c r="E975" t="s">
        <v>38</v>
      </c>
      <c r="F975" s="1">
        <v>42501</v>
      </c>
      <c r="G975" s="1">
        <v>42501</v>
      </c>
      <c r="H975" t="s">
        <v>25</v>
      </c>
      <c r="I975">
        <v>0</v>
      </c>
      <c r="J975" t="s">
        <v>111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23</v>
      </c>
      <c r="R975">
        <v>0</v>
      </c>
    </row>
    <row r="976" spans="1:18">
      <c r="A976">
        <v>631278000000</v>
      </c>
      <c r="B976" t="s">
        <v>18</v>
      </c>
      <c r="C976">
        <v>32</v>
      </c>
      <c r="D976" t="s">
        <v>37</v>
      </c>
      <c r="E976" t="s">
        <v>66</v>
      </c>
      <c r="F976" s="1">
        <v>42501</v>
      </c>
      <c r="G976" s="1">
        <v>42520</v>
      </c>
      <c r="H976" t="s">
        <v>30</v>
      </c>
      <c r="I976">
        <v>19</v>
      </c>
      <c r="J976" t="s">
        <v>77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1</v>
      </c>
      <c r="Q976" t="s">
        <v>26</v>
      </c>
      <c r="R976">
        <v>1</v>
      </c>
    </row>
    <row r="977" spans="1:18">
      <c r="A977">
        <v>33861200000000</v>
      </c>
      <c r="B977" t="s">
        <v>18</v>
      </c>
      <c r="C977">
        <v>19</v>
      </c>
      <c r="D977" t="s">
        <v>37</v>
      </c>
      <c r="E977" t="s">
        <v>59</v>
      </c>
      <c r="F977" s="1">
        <v>42480</v>
      </c>
      <c r="G977" s="1">
        <v>42494</v>
      </c>
      <c r="H977" t="s">
        <v>25</v>
      </c>
      <c r="I977">
        <v>14</v>
      </c>
      <c r="J977" t="s">
        <v>92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</v>
      </c>
      <c r="Q977" t="s">
        <v>26</v>
      </c>
      <c r="R977">
        <v>1</v>
      </c>
    </row>
    <row r="978" spans="1:18">
      <c r="A978">
        <v>39674000000000</v>
      </c>
      <c r="B978" t="s">
        <v>18</v>
      </c>
      <c r="C978">
        <v>28</v>
      </c>
      <c r="D978" t="s">
        <v>37</v>
      </c>
      <c r="E978" t="s">
        <v>78</v>
      </c>
      <c r="F978" s="1">
        <v>42501</v>
      </c>
      <c r="G978" s="1">
        <v>42501</v>
      </c>
      <c r="H978" t="s">
        <v>25</v>
      </c>
      <c r="I978">
        <v>0</v>
      </c>
      <c r="J978" t="s">
        <v>111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23</v>
      </c>
      <c r="R978">
        <v>0</v>
      </c>
    </row>
    <row r="979" spans="1:18">
      <c r="A979">
        <v>23178100000000</v>
      </c>
      <c r="B979" t="s">
        <v>18</v>
      </c>
      <c r="C979">
        <v>30</v>
      </c>
      <c r="D979" t="s">
        <v>37</v>
      </c>
      <c r="E979" t="s">
        <v>69</v>
      </c>
      <c r="F979" s="1">
        <v>42501</v>
      </c>
      <c r="G979" s="1">
        <v>42514</v>
      </c>
      <c r="H979" t="s">
        <v>41</v>
      </c>
      <c r="I979">
        <v>13</v>
      </c>
      <c r="J979" t="s">
        <v>92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26</v>
      </c>
      <c r="R979">
        <v>1</v>
      </c>
    </row>
    <row r="980" spans="1:18">
      <c r="A980">
        <v>3853700000000</v>
      </c>
      <c r="B980" t="s">
        <v>28</v>
      </c>
      <c r="C980">
        <v>31</v>
      </c>
      <c r="D980" t="s">
        <v>37</v>
      </c>
      <c r="E980" t="s">
        <v>79</v>
      </c>
      <c r="F980" s="1">
        <v>42501</v>
      </c>
      <c r="G980" s="1">
        <v>42506</v>
      </c>
      <c r="H980" t="s">
        <v>30</v>
      </c>
      <c r="I980">
        <v>5</v>
      </c>
      <c r="J980" t="s">
        <v>107</v>
      </c>
      <c r="K980">
        <v>1</v>
      </c>
      <c r="L980">
        <v>1</v>
      </c>
      <c r="M980">
        <v>0</v>
      </c>
      <c r="N980">
        <v>0</v>
      </c>
      <c r="O980">
        <v>1</v>
      </c>
      <c r="P980">
        <v>0</v>
      </c>
      <c r="Q980" t="s">
        <v>23</v>
      </c>
      <c r="R980">
        <v>0</v>
      </c>
    </row>
    <row r="981" spans="1:18">
      <c r="A981">
        <v>8878150000000</v>
      </c>
      <c r="B981" t="s">
        <v>18</v>
      </c>
      <c r="C981">
        <v>25</v>
      </c>
      <c r="D981" t="s">
        <v>37</v>
      </c>
      <c r="E981" t="s">
        <v>47</v>
      </c>
      <c r="F981" s="1">
        <v>42501</v>
      </c>
      <c r="G981" s="1">
        <v>42501</v>
      </c>
      <c r="H981" t="s">
        <v>25</v>
      </c>
      <c r="I981">
        <v>0</v>
      </c>
      <c r="J981" t="s">
        <v>111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23</v>
      </c>
      <c r="R981">
        <v>0</v>
      </c>
    </row>
    <row r="982" spans="1:18">
      <c r="A982">
        <v>14331400000000</v>
      </c>
      <c r="B982" t="s">
        <v>18</v>
      </c>
      <c r="C982">
        <v>31</v>
      </c>
      <c r="D982" t="s">
        <v>37</v>
      </c>
      <c r="E982" t="s">
        <v>44</v>
      </c>
      <c r="F982" s="1">
        <v>42501</v>
      </c>
      <c r="G982" s="1">
        <v>42501</v>
      </c>
      <c r="H982" t="s">
        <v>25</v>
      </c>
      <c r="I982">
        <v>0</v>
      </c>
      <c r="J982" t="s">
        <v>111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23</v>
      </c>
      <c r="R982">
        <v>0</v>
      </c>
    </row>
    <row r="983" spans="1:18">
      <c r="A983">
        <v>336213000000000</v>
      </c>
      <c r="B983" t="s">
        <v>18</v>
      </c>
      <c r="C983">
        <v>28</v>
      </c>
      <c r="D983" t="s">
        <v>37</v>
      </c>
      <c r="E983" t="s">
        <v>47</v>
      </c>
      <c r="F983" s="1">
        <v>42501</v>
      </c>
      <c r="G983" s="1">
        <v>42503</v>
      </c>
      <c r="H983" t="s">
        <v>21</v>
      </c>
      <c r="I983">
        <v>2</v>
      </c>
      <c r="J983" t="s">
        <v>109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26</v>
      </c>
      <c r="R983">
        <v>1</v>
      </c>
    </row>
    <row r="984" spans="1:18">
      <c r="A984">
        <v>93432300000000</v>
      </c>
      <c r="B984" t="s">
        <v>28</v>
      </c>
      <c r="C984">
        <v>30</v>
      </c>
      <c r="D984" t="s">
        <v>37</v>
      </c>
      <c r="E984" t="s">
        <v>69</v>
      </c>
      <c r="F984" s="1">
        <v>42501</v>
      </c>
      <c r="G984" s="1">
        <v>42503</v>
      </c>
      <c r="H984" t="s">
        <v>21</v>
      </c>
      <c r="I984">
        <v>2</v>
      </c>
      <c r="J984" t="s">
        <v>109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23</v>
      </c>
      <c r="R984">
        <v>0</v>
      </c>
    </row>
    <row r="985" spans="1:18">
      <c r="A985">
        <v>59743500000000</v>
      </c>
      <c r="B985" t="s">
        <v>18</v>
      </c>
      <c r="C985">
        <v>27</v>
      </c>
      <c r="D985" t="s">
        <v>37</v>
      </c>
      <c r="E985" t="s">
        <v>68</v>
      </c>
      <c r="F985" s="1">
        <v>42480</v>
      </c>
      <c r="G985" s="1">
        <v>42489</v>
      </c>
      <c r="H985" t="s">
        <v>21</v>
      </c>
      <c r="I985">
        <v>9</v>
      </c>
      <c r="J985" t="s">
        <v>92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1</v>
      </c>
      <c r="Q985" t="s">
        <v>26</v>
      </c>
      <c r="R985">
        <v>1</v>
      </c>
    </row>
    <row r="986" spans="1:18">
      <c r="A986">
        <v>472248000000000</v>
      </c>
      <c r="B986" t="s">
        <v>18</v>
      </c>
      <c r="C986">
        <v>20</v>
      </c>
      <c r="D986" t="s">
        <v>37</v>
      </c>
      <c r="E986" t="s">
        <v>43</v>
      </c>
      <c r="F986" s="1">
        <v>42501</v>
      </c>
      <c r="G986" s="1">
        <v>42501</v>
      </c>
      <c r="H986" t="s">
        <v>25</v>
      </c>
      <c r="I986">
        <v>0</v>
      </c>
      <c r="J986" t="s">
        <v>111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23</v>
      </c>
      <c r="R986">
        <v>0</v>
      </c>
    </row>
    <row r="987" spans="1:18">
      <c r="A987">
        <v>152136000000000</v>
      </c>
      <c r="B987" t="s">
        <v>18</v>
      </c>
      <c r="C987">
        <v>26</v>
      </c>
      <c r="D987" t="s">
        <v>37</v>
      </c>
      <c r="E987" t="s">
        <v>70</v>
      </c>
      <c r="F987" s="1">
        <v>42501</v>
      </c>
      <c r="G987" s="1">
        <v>42501</v>
      </c>
      <c r="H987" t="s">
        <v>25</v>
      </c>
      <c r="I987">
        <v>0</v>
      </c>
      <c r="J987" t="s">
        <v>111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23</v>
      </c>
      <c r="R987">
        <v>0</v>
      </c>
    </row>
    <row r="988" spans="1:18">
      <c r="A988">
        <v>22944600000000</v>
      </c>
      <c r="B988" t="s">
        <v>18</v>
      </c>
      <c r="C988">
        <v>21</v>
      </c>
      <c r="D988" t="s">
        <v>37</v>
      </c>
      <c r="E988" t="s">
        <v>48</v>
      </c>
      <c r="F988" s="1">
        <v>42480</v>
      </c>
      <c r="G988" s="1">
        <v>42506</v>
      </c>
      <c r="H988" t="s">
        <v>30</v>
      </c>
      <c r="I988">
        <v>26</v>
      </c>
      <c r="J988" t="s">
        <v>77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23</v>
      </c>
      <c r="R988">
        <v>0</v>
      </c>
    </row>
    <row r="989" spans="1:18">
      <c r="A989">
        <v>21836500000000</v>
      </c>
      <c r="B989" t="s">
        <v>18</v>
      </c>
      <c r="C989">
        <v>20</v>
      </c>
      <c r="D989" t="s">
        <v>37</v>
      </c>
      <c r="E989" t="s">
        <v>34</v>
      </c>
      <c r="F989" s="1">
        <v>42501</v>
      </c>
      <c r="G989" s="1">
        <v>42507</v>
      </c>
      <c r="H989" t="s">
        <v>41</v>
      </c>
      <c r="I989">
        <v>6</v>
      </c>
      <c r="J989" t="s">
        <v>107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23</v>
      </c>
      <c r="R989">
        <v>0</v>
      </c>
    </row>
    <row r="990" spans="1:18">
      <c r="A990">
        <v>65686462455</v>
      </c>
      <c r="B990" t="s">
        <v>18</v>
      </c>
      <c r="C990">
        <v>18</v>
      </c>
      <c r="D990" t="s">
        <v>37</v>
      </c>
      <c r="E990" t="s">
        <v>69</v>
      </c>
      <c r="F990" s="1">
        <v>42501</v>
      </c>
      <c r="G990" s="1">
        <v>42501</v>
      </c>
      <c r="H990" t="s">
        <v>25</v>
      </c>
      <c r="I990">
        <v>0</v>
      </c>
      <c r="J990" t="s">
        <v>111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23</v>
      </c>
      <c r="R990">
        <v>0</v>
      </c>
    </row>
    <row r="991" spans="1:18">
      <c r="A991">
        <v>912180000000000</v>
      </c>
      <c r="B991" t="s">
        <v>18</v>
      </c>
      <c r="C991">
        <v>20</v>
      </c>
      <c r="D991" t="s">
        <v>37</v>
      </c>
      <c r="E991" t="s">
        <v>63</v>
      </c>
      <c r="F991" s="1">
        <v>42501</v>
      </c>
      <c r="G991" s="1">
        <v>42501</v>
      </c>
      <c r="H991" t="s">
        <v>25</v>
      </c>
      <c r="I991">
        <v>0</v>
      </c>
      <c r="J991" t="s">
        <v>111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23</v>
      </c>
      <c r="R991">
        <v>0</v>
      </c>
    </row>
    <row r="992" spans="1:18">
      <c r="A992">
        <v>57426700000000</v>
      </c>
      <c r="B992" t="s">
        <v>18</v>
      </c>
      <c r="C992">
        <v>26</v>
      </c>
      <c r="D992" t="s">
        <v>37</v>
      </c>
      <c r="E992" t="s">
        <v>44</v>
      </c>
      <c r="F992" s="1">
        <v>42501</v>
      </c>
      <c r="G992" s="1">
        <v>42501</v>
      </c>
      <c r="H992" t="s">
        <v>25</v>
      </c>
      <c r="I992">
        <v>0</v>
      </c>
      <c r="J992" t="s">
        <v>111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Q992" t="s">
        <v>23</v>
      </c>
      <c r="R992">
        <v>0</v>
      </c>
    </row>
    <row r="993" spans="1:18">
      <c r="A993">
        <v>74796637297</v>
      </c>
      <c r="B993" t="s">
        <v>18</v>
      </c>
      <c r="C993">
        <v>35</v>
      </c>
      <c r="D993" t="s">
        <v>37</v>
      </c>
      <c r="E993" t="s">
        <v>50</v>
      </c>
      <c r="F993" s="1">
        <v>42501</v>
      </c>
      <c r="G993" s="1">
        <v>42501</v>
      </c>
      <c r="H993" t="s">
        <v>25</v>
      </c>
      <c r="I993">
        <v>0</v>
      </c>
      <c r="J993" t="s">
        <v>111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23</v>
      </c>
      <c r="R993">
        <v>0</v>
      </c>
    </row>
    <row r="994" spans="1:18">
      <c r="A994">
        <v>53967900000000</v>
      </c>
      <c r="B994" t="s">
        <v>18</v>
      </c>
      <c r="C994">
        <v>32</v>
      </c>
      <c r="D994" t="s">
        <v>37</v>
      </c>
      <c r="E994" t="s">
        <v>65</v>
      </c>
      <c r="F994" s="1">
        <v>42480</v>
      </c>
      <c r="G994" s="1">
        <v>42507</v>
      </c>
      <c r="H994" t="s">
        <v>41</v>
      </c>
      <c r="I994">
        <v>27</v>
      </c>
      <c r="J994" t="s">
        <v>77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 t="s">
        <v>26</v>
      </c>
      <c r="R994">
        <v>1</v>
      </c>
    </row>
    <row r="995" spans="1:18">
      <c r="A995">
        <v>68336435616</v>
      </c>
      <c r="B995" t="s">
        <v>18</v>
      </c>
      <c r="C995">
        <v>19</v>
      </c>
      <c r="D995" t="s">
        <v>37</v>
      </c>
      <c r="E995" t="s">
        <v>32</v>
      </c>
      <c r="F995" s="1">
        <v>42501</v>
      </c>
      <c r="G995" s="1">
        <v>42501</v>
      </c>
      <c r="H995" t="s">
        <v>25</v>
      </c>
      <c r="I995">
        <v>0</v>
      </c>
      <c r="J995" t="s">
        <v>111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23</v>
      </c>
      <c r="R995">
        <v>0</v>
      </c>
    </row>
    <row r="996" spans="1:18">
      <c r="A996">
        <v>5842800000000</v>
      </c>
      <c r="B996" t="s">
        <v>18</v>
      </c>
      <c r="C996">
        <v>35</v>
      </c>
      <c r="D996" t="s">
        <v>37</v>
      </c>
      <c r="E996" t="s">
        <v>57</v>
      </c>
      <c r="F996" s="1">
        <v>42501</v>
      </c>
      <c r="G996" s="1">
        <v>42501</v>
      </c>
      <c r="H996" t="s">
        <v>25</v>
      </c>
      <c r="I996">
        <v>0</v>
      </c>
      <c r="J996" t="s">
        <v>111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23</v>
      </c>
      <c r="R996">
        <v>0</v>
      </c>
    </row>
    <row r="997" spans="1:18">
      <c r="A997">
        <v>8767620000000</v>
      </c>
      <c r="B997" t="s">
        <v>18</v>
      </c>
      <c r="C997">
        <v>23</v>
      </c>
      <c r="D997" t="s">
        <v>37</v>
      </c>
      <c r="E997" t="s">
        <v>29</v>
      </c>
      <c r="F997" s="1">
        <v>42501</v>
      </c>
      <c r="G997" s="1">
        <v>42503</v>
      </c>
      <c r="H997" t="s">
        <v>21</v>
      </c>
      <c r="I997">
        <v>2</v>
      </c>
      <c r="J997" t="s">
        <v>109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23</v>
      </c>
      <c r="R997">
        <v>0</v>
      </c>
    </row>
    <row r="998" spans="1:18">
      <c r="A998">
        <v>2527990000000</v>
      </c>
      <c r="B998" t="s">
        <v>18</v>
      </c>
      <c r="C998">
        <v>28</v>
      </c>
      <c r="D998" t="s">
        <v>37</v>
      </c>
      <c r="E998" t="s">
        <v>54</v>
      </c>
      <c r="F998" s="1">
        <v>42501</v>
      </c>
      <c r="G998" s="1">
        <v>42506</v>
      </c>
      <c r="H998" t="s">
        <v>30</v>
      </c>
      <c r="I998">
        <v>5</v>
      </c>
      <c r="J998" t="s">
        <v>107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26</v>
      </c>
      <c r="R998">
        <v>1</v>
      </c>
    </row>
    <row r="999" spans="1:18">
      <c r="A999">
        <v>61174200000000</v>
      </c>
      <c r="B999" t="s">
        <v>18</v>
      </c>
      <c r="C999">
        <v>25</v>
      </c>
      <c r="D999" t="s">
        <v>37</v>
      </c>
      <c r="E999" t="s">
        <v>96</v>
      </c>
      <c r="F999" s="1">
        <v>42501</v>
      </c>
      <c r="G999" s="1">
        <v>42509</v>
      </c>
      <c r="H999" t="s">
        <v>33</v>
      </c>
      <c r="I999">
        <v>8</v>
      </c>
      <c r="J999" t="s">
        <v>92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26</v>
      </c>
      <c r="R999">
        <v>1</v>
      </c>
    </row>
    <row r="1000" spans="1:18">
      <c r="A1000">
        <v>251720000000000</v>
      </c>
      <c r="B1000" t="s">
        <v>28</v>
      </c>
      <c r="C1000">
        <v>29</v>
      </c>
      <c r="D1000" t="s">
        <v>37</v>
      </c>
      <c r="E1000" t="s">
        <v>86</v>
      </c>
      <c r="F1000" s="1">
        <v>42501</v>
      </c>
      <c r="G1000" s="1">
        <v>42501</v>
      </c>
      <c r="H1000" t="s">
        <v>25</v>
      </c>
      <c r="I1000">
        <v>0</v>
      </c>
      <c r="J1000" t="s">
        <v>111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23</v>
      </c>
      <c r="R1000">
        <v>0</v>
      </c>
    </row>
    <row r="1001" spans="1:18">
      <c r="A1001">
        <v>1399970000000</v>
      </c>
      <c r="B1001" t="s">
        <v>18</v>
      </c>
      <c r="C1001">
        <v>35</v>
      </c>
      <c r="D1001" t="s">
        <v>37</v>
      </c>
      <c r="E1001" t="s">
        <v>40</v>
      </c>
      <c r="F1001" s="1">
        <v>42480</v>
      </c>
      <c r="G1001" s="1">
        <v>42495</v>
      </c>
      <c r="H1001" t="s">
        <v>33</v>
      </c>
      <c r="I1001">
        <v>15</v>
      </c>
      <c r="J1001" t="s">
        <v>77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 t="s">
        <v>23</v>
      </c>
      <c r="R1001">
        <v>0</v>
      </c>
    </row>
    <row r="1002" spans="1:18">
      <c r="A1002">
        <v>85131600000000</v>
      </c>
      <c r="B1002" t="s">
        <v>18</v>
      </c>
      <c r="C1002">
        <v>28</v>
      </c>
      <c r="D1002" t="s">
        <v>37</v>
      </c>
      <c r="E1002" t="s">
        <v>64</v>
      </c>
      <c r="F1002" s="1">
        <v>42501</v>
      </c>
      <c r="G1002" s="1">
        <v>42506</v>
      </c>
      <c r="H1002" t="s">
        <v>30</v>
      </c>
      <c r="I1002">
        <v>5</v>
      </c>
      <c r="J1002" t="s">
        <v>107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23</v>
      </c>
      <c r="R1002">
        <v>0</v>
      </c>
    </row>
    <row r="1003" spans="1:18">
      <c r="A1003">
        <v>94866100000000</v>
      </c>
      <c r="B1003" t="s">
        <v>18</v>
      </c>
      <c r="C1003">
        <v>26</v>
      </c>
      <c r="D1003" t="s">
        <v>37</v>
      </c>
      <c r="E1003" t="s">
        <v>29</v>
      </c>
      <c r="F1003" s="1">
        <v>42501</v>
      </c>
      <c r="G1003" s="1">
        <v>42503</v>
      </c>
      <c r="H1003" t="s">
        <v>21</v>
      </c>
      <c r="I1003">
        <v>2</v>
      </c>
      <c r="J1003" t="s">
        <v>109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23</v>
      </c>
      <c r="R1003">
        <v>0</v>
      </c>
    </row>
    <row r="1004" spans="1:18">
      <c r="A1004">
        <v>492622000000000</v>
      </c>
      <c r="B1004" t="s">
        <v>18</v>
      </c>
      <c r="C1004">
        <v>19</v>
      </c>
      <c r="D1004" t="s">
        <v>37</v>
      </c>
      <c r="E1004" t="s">
        <v>59</v>
      </c>
      <c r="F1004" s="1">
        <v>42501</v>
      </c>
      <c r="G1004" s="1">
        <v>42502</v>
      </c>
      <c r="H1004" t="s">
        <v>33</v>
      </c>
      <c r="I1004">
        <v>1</v>
      </c>
      <c r="J1004" t="s">
        <v>109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23</v>
      </c>
      <c r="R1004">
        <v>0</v>
      </c>
    </row>
    <row r="1005" spans="1:18">
      <c r="A1005">
        <v>61793200000000</v>
      </c>
      <c r="B1005" t="s">
        <v>18</v>
      </c>
      <c r="C1005">
        <v>29</v>
      </c>
      <c r="D1005" t="s">
        <v>37</v>
      </c>
      <c r="E1005" t="s">
        <v>39</v>
      </c>
      <c r="F1005" s="1">
        <v>42500</v>
      </c>
      <c r="G1005" s="1">
        <v>42503</v>
      </c>
      <c r="H1005" t="s">
        <v>21</v>
      </c>
      <c r="I1005">
        <v>3</v>
      </c>
      <c r="J1005" t="s">
        <v>109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26</v>
      </c>
      <c r="R1005">
        <v>1</v>
      </c>
    </row>
    <row r="1006" spans="1:18">
      <c r="A1006">
        <v>179199000000000</v>
      </c>
      <c r="B1006" t="s">
        <v>18</v>
      </c>
      <c r="C1006">
        <v>22</v>
      </c>
      <c r="D1006" t="s">
        <v>37</v>
      </c>
      <c r="E1006" t="s">
        <v>72</v>
      </c>
      <c r="F1006" s="1">
        <v>42500</v>
      </c>
      <c r="G1006" s="1">
        <v>42506</v>
      </c>
      <c r="H1006" t="s">
        <v>30</v>
      </c>
      <c r="I1006">
        <v>6</v>
      </c>
      <c r="J1006" t="s">
        <v>107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23</v>
      </c>
      <c r="R1006">
        <v>0</v>
      </c>
    </row>
    <row r="1007" spans="1:18">
      <c r="A1007">
        <v>785738000000000</v>
      </c>
      <c r="B1007" t="s">
        <v>28</v>
      </c>
      <c r="C1007">
        <v>21</v>
      </c>
      <c r="D1007" t="s">
        <v>37</v>
      </c>
      <c r="E1007" t="s">
        <v>59</v>
      </c>
      <c r="F1007" s="1">
        <v>42480</v>
      </c>
      <c r="G1007" s="1">
        <v>42509</v>
      </c>
      <c r="H1007" t="s">
        <v>33</v>
      </c>
      <c r="I1007">
        <v>29</v>
      </c>
      <c r="J1007" t="s">
        <v>77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23</v>
      </c>
      <c r="R1007">
        <v>0</v>
      </c>
    </row>
    <row r="1008" spans="1:18">
      <c r="A1008">
        <v>5211280000000</v>
      </c>
      <c r="B1008" t="s">
        <v>18</v>
      </c>
      <c r="C1008">
        <v>32</v>
      </c>
      <c r="D1008" t="s">
        <v>37</v>
      </c>
      <c r="E1008" t="s">
        <v>42</v>
      </c>
      <c r="F1008" s="1">
        <v>42500</v>
      </c>
      <c r="G1008" s="1">
        <v>42506</v>
      </c>
      <c r="H1008" t="s">
        <v>30</v>
      </c>
      <c r="I1008">
        <v>6</v>
      </c>
      <c r="J1008" t="s">
        <v>107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23</v>
      </c>
      <c r="R1008">
        <v>0</v>
      </c>
    </row>
    <row r="1009" spans="1:18">
      <c r="A1009">
        <v>7311760000000</v>
      </c>
      <c r="B1009" t="s">
        <v>18</v>
      </c>
      <c r="C1009">
        <v>18</v>
      </c>
      <c r="D1009" t="s">
        <v>37</v>
      </c>
      <c r="E1009" t="s">
        <v>67</v>
      </c>
      <c r="F1009" s="1">
        <v>42480</v>
      </c>
      <c r="G1009" s="1">
        <v>42509</v>
      </c>
      <c r="H1009" t="s">
        <v>33</v>
      </c>
      <c r="I1009">
        <v>29</v>
      </c>
      <c r="J1009" t="s">
        <v>77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23</v>
      </c>
      <c r="R1009">
        <v>0</v>
      </c>
    </row>
    <row r="1010" spans="1:18">
      <c r="A1010">
        <v>38379600000000</v>
      </c>
      <c r="B1010" t="s">
        <v>18</v>
      </c>
      <c r="C1010">
        <v>22</v>
      </c>
      <c r="D1010" t="s">
        <v>37</v>
      </c>
      <c r="E1010" t="s">
        <v>84</v>
      </c>
      <c r="F1010" s="1">
        <v>42500</v>
      </c>
      <c r="G1010" s="1">
        <v>42510</v>
      </c>
      <c r="H1010" t="s">
        <v>21</v>
      </c>
      <c r="I1010">
        <v>10</v>
      </c>
      <c r="J1010" t="s">
        <v>92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23</v>
      </c>
      <c r="R1010">
        <v>0</v>
      </c>
    </row>
    <row r="1011" spans="1:18">
      <c r="A1011">
        <v>8597290000000</v>
      </c>
      <c r="B1011" t="s">
        <v>18</v>
      </c>
      <c r="C1011">
        <v>24</v>
      </c>
      <c r="D1011" t="s">
        <v>37</v>
      </c>
      <c r="E1011" t="s">
        <v>72</v>
      </c>
      <c r="F1011" s="1">
        <v>42480</v>
      </c>
      <c r="G1011" s="1">
        <v>42502</v>
      </c>
      <c r="H1011" t="s">
        <v>33</v>
      </c>
      <c r="I1011">
        <v>22</v>
      </c>
      <c r="J1011" t="s">
        <v>77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</v>
      </c>
      <c r="Q1011" t="s">
        <v>26</v>
      </c>
      <c r="R1011">
        <v>1</v>
      </c>
    </row>
    <row r="1012" spans="1:18">
      <c r="A1012">
        <v>1463530000000</v>
      </c>
      <c r="B1012" t="s">
        <v>18</v>
      </c>
      <c r="C1012">
        <v>23</v>
      </c>
      <c r="D1012" t="s">
        <v>37</v>
      </c>
      <c r="E1012" t="s">
        <v>84</v>
      </c>
      <c r="F1012" s="1">
        <v>42500</v>
      </c>
      <c r="G1012" s="1">
        <v>42508</v>
      </c>
      <c r="H1012" t="s">
        <v>25</v>
      </c>
      <c r="I1012">
        <v>8</v>
      </c>
      <c r="J1012" t="s">
        <v>92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26</v>
      </c>
      <c r="R1012">
        <v>1</v>
      </c>
    </row>
    <row r="1013" spans="1:18">
      <c r="A1013">
        <v>241669000000000</v>
      </c>
      <c r="B1013" t="s">
        <v>28</v>
      </c>
      <c r="C1013">
        <v>35</v>
      </c>
      <c r="D1013" t="s">
        <v>37</v>
      </c>
      <c r="E1013" t="s">
        <v>76</v>
      </c>
      <c r="F1013" s="1">
        <v>42480</v>
      </c>
      <c r="G1013" s="1">
        <v>42500</v>
      </c>
      <c r="H1013" t="s">
        <v>41</v>
      </c>
      <c r="I1013">
        <v>20</v>
      </c>
      <c r="J1013" t="s">
        <v>77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</v>
      </c>
      <c r="Q1013" t="s">
        <v>23</v>
      </c>
      <c r="R1013">
        <v>0</v>
      </c>
    </row>
    <row r="1014" spans="1:18">
      <c r="A1014">
        <v>826482000000000</v>
      </c>
      <c r="B1014" t="s">
        <v>18</v>
      </c>
      <c r="C1014">
        <v>31</v>
      </c>
      <c r="D1014" t="s">
        <v>37</v>
      </c>
      <c r="E1014" t="s">
        <v>43</v>
      </c>
      <c r="F1014" s="1">
        <v>42500</v>
      </c>
      <c r="G1014" s="1">
        <v>42507</v>
      </c>
      <c r="H1014" t="s">
        <v>41</v>
      </c>
      <c r="I1014">
        <v>7</v>
      </c>
      <c r="J1014" t="s">
        <v>107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23</v>
      </c>
      <c r="R1014">
        <v>0</v>
      </c>
    </row>
    <row r="1015" spans="1:18">
      <c r="A1015">
        <v>752289000000000</v>
      </c>
      <c r="B1015" t="s">
        <v>28</v>
      </c>
      <c r="C1015">
        <v>26</v>
      </c>
      <c r="D1015" t="s">
        <v>37</v>
      </c>
      <c r="E1015" t="s">
        <v>110</v>
      </c>
      <c r="F1015" s="1">
        <v>42500</v>
      </c>
      <c r="G1015" s="1">
        <v>42507</v>
      </c>
      <c r="H1015" t="s">
        <v>41</v>
      </c>
      <c r="I1015">
        <v>7</v>
      </c>
      <c r="J1015" t="s">
        <v>107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23</v>
      </c>
      <c r="R1015">
        <v>0</v>
      </c>
    </row>
    <row r="1016" spans="1:18">
      <c r="A1016">
        <v>46717600000000</v>
      </c>
      <c r="B1016" t="s">
        <v>18</v>
      </c>
      <c r="C1016">
        <v>29</v>
      </c>
      <c r="D1016" t="s">
        <v>37</v>
      </c>
      <c r="E1016" t="s">
        <v>94</v>
      </c>
      <c r="F1016" s="1">
        <v>42480</v>
      </c>
      <c r="G1016" s="1">
        <v>42500</v>
      </c>
      <c r="H1016" t="s">
        <v>41</v>
      </c>
      <c r="I1016">
        <v>20</v>
      </c>
      <c r="J1016" t="s">
        <v>77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</v>
      </c>
      <c r="Q1016" t="s">
        <v>23</v>
      </c>
      <c r="R1016">
        <v>0</v>
      </c>
    </row>
    <row r="1017" spans="1:18">
      <c r="A1017">
        <v>463578000000000</v>
      </c>
      <c r="B1017" t="s">
        <v>18</v>
      </c>
      <c r="C1017">
        <v>28</v>
      </c>
      <c r="D1017" t="s">
        <v>37</v>
      </c>
      <c r="E1017" t="s">
        <v>97</v>
      </c>
      <c r="F1017" s="1">
        <v>42500</v>
      </c>
      <c r="G1017" s="1">
        <v>42500</v>
      </c>
      <c r="H1017" t="s">
        <v>41</v>
      </c>
      <c r="I1017">
        <v>0</v>
      </c>
      <c r="J1017" t="s">
        <v>111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23</v>
      </c>
      <c r="R1017">
        <v>0</v>
      </c>
    </row>
    <row r="1018" spans="1:18">
      <c r="A1018">
        <v>241669000000000</v>
      </c>
      <c r="B1018" t="s">
        <v>28</v>
      </c>
      <c r="C1018">
        <v>35</v>
      </c>
      <c r="D1018" t="s">
        <v>37</v>
      </c>
      <c r="E1018" t="s">
        <v>76</v>
      </c>
      <c r="F1018" s="1">
        <v>42500</v>
      </c>
      <c r="G1018" s="1">
        <v>42514</v>
      </c>
      <c r="H1018" t="s">
        <v>41</v>
      </c>
      <c r="I1018">
        <v>14</v>
      </c>
      <c r="J1018" t="s">
        <v>92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</v>
      </c>
      <c r="Q1018" t="s">
        <v>23</v>
      </c>
      <c r="R1018">
        <v>0</v>
      </c>
    </row>
    <row r="1019" spans="1:18">
      <c r="A1019">
        <v>342756000000000</v>
      </c>
      <c r="B1019" t="s">
        <v>18</v>
      </c>
      <c r="C1019">
        <v>31</v>
      </c>
      <c r="D1019" t="s">
        <v>37</v>
      </c>
      <c r="E1019" t="s">
        <v>100</v>
      </c>
      <c r="F1019" s="1">
        <v>42500</v>
      </c>
      <c r="G1019" s="1">
        <v>42500</v>
      </c>
      <c r="H1019" t="s">
        <v>41</v>
      </c>
      <c r="I1019">
        <v>0</v>
      </c>
      <c r="J1019" t="s">
        <v>111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23</v>
      </c>
      <c r="R1019">
        <v>0</v>
      </c>
    </row>
    <row r="1020" spans="1:18">
      <c r="A1020">
        <v>8247350000000</v>
      </c>
      <c r="B1020" t="s">
        <v>18</v>
      </c>
      <c r="C1020">
        <v>30</v>
      </c>
      <c r="D1020" t="s">
        <v>37</v>
      </c>
      <c r="E1020" t="s">
        <v>45</v>
      </c>
      <c r="F1020" s="1">
        <v>42500</v>
      </c>
      <c r="G1020" s="1">
        <v>42500</v>
      </c>
      <c r="H1020" t="s">
        <v>41</v>
      </c>
      <c r="I1020">
        <v>0</v>
      </c>
      <c r="J1020" t="s">
        <v>111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23</v>
      </c>
      <c r="R1020">
        <v>0</v>
      </c>
    </row>
    <row r="1021" spans="1:18">
      <c r="A1021">
        <v>47122500000000</v>
      </c>
      <c r="B1021" t="s">
        <v>18</v>
      </c>
      <c r="C1021">
        <v>30</v>
      </c>
      <c r="D1021" t="s">
        <v>37</v>
      </c>
      <c r="E1021" t="s">
        <v>75</v>
      </c>
      <c r="F1021" s="1">
        <v>42500</v>
      </c>
      <c r="G1021" s="1">
        <v>42500</v>
      </c>
      <c r="H1021" t="s">
        <v>41</v>
      </c>
      <c r="I1021">
        <v>0</v>
      </c>
      <c r="J1021" t="s">
        <v>111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23</v>
      </c>
      <c r="R1021">
        <v>0</v>
      </c>
    </row>
    <row r="1022" spans="1:18">
      <c r="A1022">
        <v>78344200000000</v>
      </c>
      <c r="B1022" t="s">
        <v>28</v>
      </c>
      <c r="C1022">
        <v>24</v>
      </c>
      <c r="D1022" t="s">
        <v>37</v>
      </c>
      <c r="E1022" t="s">
        <v>47</v>
      </c>
      <c r="F1022" s="1">
        <v>42500</v>
      </c>
      <c r="G1022" s="1">
        <v>42508</v>
      </c>
      <c r="H1022" t="s">
        <v>25</v>
      </c>
      <c r="I1022">
        <v>8</v>
      </c>
      <c r="J1022" t="s">
        <v>92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26</v>
      </c>
      <c r="R1022">
        <v>1</v>
      </c>
    </row>
    <row r="1023" spans="1:18">
      <c r="A1023">
        <v>1398650000000</v>
      </c>
      <c r="B1023" t="s">
        <v>18</v>
      </c>
      <c r="C1023">
        <v>30</v>
      </c>
      <c r="D1023" t="s">
        <v>37</v>
      </c>
      <c r="E1023" t="s">
        <v>42</v>
      </c>
      <c r="F1023" s="1">
        <v>42500</v>
      </c>
      <c r="G1023" s="1">
        <v>42503</v>
      </c>
      <c r="H1023" t="s">
        <v>21</v>
      </c>
      <c r="I1023">
        <v>3</v>
      </c>
      <c r="J1023" t="s">
        <v>109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26</v>
      </c>
      <c r="R1023">
        <v>1</v>
      </c>
    </row>
    <row r="1024" spans="1:18">
      <c r="A1024">
        <v>6141170000000</v>
      </c>
      <c r="B1024" t="s">
        <v>28</v>
      </c>
      <c r="C1024">
        <v>24</v>
      </c>
      <c r="D1024" t="s">
        <v>37</v>
      </c>
      <c r="E1024" t="s">
        <v>65</v>
      </c>
      <c r="F1024" s="1">
        <v>42480</v>
      </c>
      <c r="G1024" s="1">
        <v>42500</v>
      </c>
      <c r="H1024" t="s">
        <v>41</v>
      </c>
      <c r="I1024">
        <v>20</v>
      </c>
      <c r="J1024" t="s">
        <v>77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</v>
      </c>
      <c r="Q1024" t="s">
        <v>26</v>
      </c>
      <c r="R1024">
        <v>1</v>
      </c>
    </row>
    <row r="1025" spans="1:18">
      <c r="A1025">
        <v>1752250000000</v>
      </c>
      <c r="B1025" t="s">
        <v>18</v>
      </c>
      <c r="C1025">
        <v>24</v>
      </c>
      <c r="D1025" t="s">
        <v>37</v>
      </c>
      <c r="E1025" t="s">
        <v>36</v>
      </c>
      <c r="F1025" s="1">
        <v>42500</v>
      </c>
      <c r="G1025" s="1">
        <v>42528</v>
      </c>
      <c r="H1025" t="s">
        <v>41</v>
      </c>
      <c r="I1025">
        <v>28</v>
      </c>
      <c r="J1025" t="s">
        <v>77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</v>
      </c>
      <c r="Q1025" t="s">
        <v>26</v>
      </c>
      <c r="R1025">
        <v>1</v>
      </c>
    </row>
    <row r="1026" spans="1:18">
      <c r="A1026">
        <v>78826300000000</v>
      </c>
      <c r="B1026" t="s">
        <v>18</v>
      </c>
      <c r="C1026">
        <v>30</v>
      </c>
      <c r="D1026" t="s">
        <v>37</v>
      </c>
      <c r="E1026" t="s">
        <v>72</v>
      </c>
      <c r="F1026" s="1">
        <v>42480</v>
      </c>
      <c r="G1026" s="1">
        <v>42492</v>
      </c>
      <c r="H1026" t="s">
        <v>30</v>
      </c>
      <c r="I1026">
        <v>12</v>
      </c>
      <c r="J1026" t="s">
        <v>92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1</v>
      </c>
      <c r="Q1026" t="s">
        <v>26</v>
      </c>
      <c r="R1026">
        <v>1</v>
      </c>
    </row>
    <row r="1027" spans="1:18">
      <c r="A1027">
        <v>456299000000000</v>
      </c>
      <c r="B1027" t="s">
        <v>18</v>
      </c>
      <c r="C1027">
        <v>35</v>
      </c>
      <c r="D1027" t="s">
        <v>37</v>
      </c>
      <c r="E1027" t="s">
        <v>61</v>
      </c>
      <c r="F1027" s="1">
        <v>42500</v>
      </c>
      <c r="G1027" s="1">
        <v>42528</v>
      </c>
      <c r="H1027" t="s">
        <v>41</v>
      </c>
      <c r="I1027">
        <v>28</v>
      </c>
      <c r="J1027" t="s">
        <v>77</v>
      </c>
      <c r="K1027">
        <v>1</v>
      </c>
      <c r="L1027">
        <v>1</v>
      </c>
      <c r="M1027">
        <v>0</v>
      </c>
      <c r="N1027">
        <v>0</v>
      </c>
      <c r="O1027">
        <v>0</v>
      </c>
      <c r="P1027">
        <v>1</v>
      </c>
      <c r="Q1027" t="s">
        <v>23</v>
      </c>
      <c r="R1027">
        <v>0</v>
      </c>
    </row>
    <row r="1028" spans="1:18">
      <c r="A1028">
        <v>83277800000000</v>
      </c>
      <c r="B1028" t="s">
        <v>18</v>
      </c>
      <c r="C1028">
        <v>33</v>
      </c>
      <c r="D1028" t="s">
        <v>37</v>
      </c>
      <c r="E1028" t="s">
        <v>91</v>
      </c>
      <c r="F1028" s="1">
        <v>42480</v>
      </c>
      <c r="G1028" s="1">
        <v>42499</v>
      </c>
      <c r="H1028" t="s">
        <v>30</v>
      </c>
      <c r="I1028">
        <v>19</v>
      </c>
      <c r="J1028" t="s">
        <v>77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23</v>
      </c>
      <c r="R1028">
        <v>0</v>
      </c>
    </row>
    <row r="1029" spans="1:18">
      <c r="A1029">
        <v>917324000000000</v>
      </c>
      <c r="B1029" t="s">
        <v>18</v>
      </c>
      <c r="C1029">
        <v>24</v>
      </c>
      <c r="D1029" t="s">
        <v>37</v>
      </c>
      <c r="E1029" t="s">
        <v>71</v>
      </c>
      <c r="F1029" s="1">
        <v>42500</v>
      </c>
      <c r="G1029" s="1">
        <v>42507</v>
      </c>
      <c r="H1029" t="s">
        <v>41</v>
      </c>
      <c r="I1029">
        <v>7</v>
      </c>
      <c r="J1029" t="s">
        <v>107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23</v>
      </c>
      <c r="R1029">
        <v>0</v>
      </c>
    </row>
    <row r="1030" spans="1:18">
      <c r="A1030">
        <v>893298000000</v>
      </c>
      <c r="B1030" t="s">
        <v>28</v>
      </c>
      <c r="C1030">
        <v>27</v>
      </c>
      <c r="D1030" t="s">
        <v>37</v>
      </c>
      <c r="E1030" t="s">
        <v>59</v>
      </c>
      <c r="F1030" s="1">
        <v>42480</v>
      </c>
      <c r="G1030" s="1">
        <v>42508</v>
      </c>
      <c r="H1030" t="s">
        <v>25</v>
      </c>
      <c r="I1030">
        <v>28</v>
      </c>
      <c r="J1030" t="s">
        <v>77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23</v>
      </c>
      <c r="R1030">
        <v>0</v>
      </c>
    </row>
    <row r="1031" spans="1:18">
      <c r="A1031">
        <v>773387000000000</v>
      </c>
      <c r="B1031" t="s">
        <v>18</v>
      </c>
      <c r="C1031">
        <v>34</v>
      </c>
      <c r="D1031" t="s">
        <v>37</v>
      </c>
      <c r="E1031" t="s">
        <v>59</v>
      </c>
      <c r="F1031" s="1">
        <v>42480</v>
      </c>
      <c r="G1031" s="1">
        <v>42507</v>
      </c>
      <c r="H1031" t="s">
        <v>41</v>
      </c>
      <c r="I1031">
        <v>27</v>
      </c>
      <c r="J1031" t="s">
        <v>77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26</v>
      </c>
      <c r="R1031">
        <v>1</v>
      </c>
    </row>
    <row r="1032" spans="1:18">
      <c r="A1032">
        <v>2558150000000</v>
      </c>
      <c r="B1032" t="s">
        <v>18</v>
      </c>
      <c r="C1032">
        <v>32</v>
      </c>
      <c r="D1032" t="s">
        <v>37</v>
      </c>
      <c r="E1032" t="s">
        <v>86</v>
      </c>
      <c r="F1032" s="1">
        <v>42500</v>
      </c>
      <c r="G1032" s="1">
        <v>42506</v>
      </c>
      <c r="H1032" t="s">
        <v>30</v>
      </c>
      <c r="I1032">
        <v>6</v>
      </c>
      <c r="J1032" t="s">
        <v>107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23</v>
      </c>
      <c r="R1032">
        <v>0</v>
      </c>
    </row>
    <row r="1033" spans="1:18">
      <c r="A1033">
        <v>6153300000000</v>
      </c>
      <c r="B1033" t="s">
        <v>18</v>
      </c>
      <c r="C1033">
        <v>23</v>
      </c>
      <c r="D1033" t="s">
        <v>37</v>
      </c>
      <c r="E1033" t="s">
        <v>48</v>
      </c>
      <c r="F1033" s="1">
        <v>42500</v>
      </c>
      <c r="G1033" s="1">
        <v>42501</v>
      </c>
      <c r="H1033" t="s">
        <v>25</v>
      </c>
      <c r="I1033">
        <v>1</v>
      </c>
      <c r="J1033" t="s">
        <v>109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23</v>
      </c>
      <c r="R1033">
        <v>0</v>
      </c>
    </row>
    <row r="1034" spans="1:18">
      <c r="A1034">
        <v>55715600000000</v>
      </c>
      <c r="B1034" t="s">
        <v>18</v>
      </c>
      <c r="C1034">
        <v>19</v>
      </c>
      <c r="D1034" t="s">
        <v>37</v>
      </c>
      <c r="E1034" t="s">
        <v>103</v>
      </c>
      <c r="F1034" s="1">
        <v>42500</v>
      </c>
      <c r="G1034" s="1">
        <v>42507</v>
      </c>
      <c r="H1034" t="s">
        <v>41</v>
      </c>
      <c r="I1034">
        <v>7</v>
      </c>
      <c r="J1034" t="s">
        <v>107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26</v>
      </c>
      <c r="R1034">
        <v>1</v>
      </c>
    </row>
    <row r="1035" spans="1:18">
      <c r="A1035">
        <v>31925000000000</v>
      </c>
      <c r="B1035" t="s">
        <v>18</v>
      </c>
      <c r="C1035">
        <v>24</v>
      </c>
      <c r="D1035" t="s">
        <v>37</v>
      </c>
      <c r="E1035" t="s">
        <v>43</v>
      </c>
      <c r="F1035" s="1">
        <v>42500</v>
      </c>
      <c r="G1035" s="1">
        <v>42501</v>
      </c>
      <c r="H1035" t="s">
        <v>25</v>
      </c>
      <c r="I1035">
        <v>1</v>
      </c>
      <c r="J1035" t="s">
        <v>109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26</v>
      </c>
      <c r="R1035">
        <v>1</v>
      </c>
    </row>
    <row r="1036" spans="1:18">
      <c r="A1036">
        <v>95553700000000</v>
      </c>
      <c r="B1036" t="s">
        <v>18</v>
      </c>
      <c r="C1036">
        <v>22</v>
      </c>
      <c r="D1036" t="s">
        <v>37</v>
      </c>
      <c r="E1036" t="s">
        <v>38</v>
      </c>
      <c r="F1036" s="1">
        <v>42500</v>
      </c>
      <c r="G1036" s="1">
        <v>42507</v>
      </c>
      <c r="H1036" t="s">
        <v>41</v>
      </c>
      <c r="I1036">
        <v>7</v>
      </c>
      <c r="J1036" t="s">
        <v>107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23</v>
      </c>
      <c r="R1036">
        <v>0</v>
      </c>
    </row>
    <row r="1037" spans="1:18">
      <c r="A1037">
        <v>2266000000000</v>
      </c>
      <c r="B1037" t="s">
        <v>28</v>
      </c>
      <c r="C1037">
        <v>30</v>
      </c>
      <c r="D1037" t="s">
        <v>37</v>
      </c>
      <c r="E1037" t="s">
        <v>71</v>
      </c>
      <c r="F1037" s="1">
        <v>42500</v>
      </c>
      <c r="G1037" s="1">
        <v>42502</v>
      </c>
      <c r="H1037" t="s">
        <v>33</v>
      </c>
      <c r="I1037">
        <v>2</v>
      </c>
      <c r="J1037" t="s">
        <v>109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23</v>
      </c>
      <c r="R1037">
        <v>0</v>
      </c>
    </row>
    <row r="1038" spans="1:18">
      <c r="A1038">
        <v>31497900000000</v>
      </c>
      <c r="B1038" t="s">
        <v>28</v>
      </c>
      <c r="C1038">
        <v>31</v>
      </c>
      <c r="D1038" t="s">
        <v>37</v>
      </c>
      <c r="E1038" t="s">
        <v>105</v>
      </c>
      <c r="F1038" s="1">
        <v>42480</v>
      </c>
      <c r="G1038" s="1">
        <v>42510</v>
      </c>
      <c r="H1038" t="s">
        <v>21</v>
      </c>
      <c r="I1038">
        <v>30</v>
      </c>
      <c r="J1038" t="s">
        <v>77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0</v>
      </c>
      <c r="Q1038" t="s">
        <v>23</v>
      </c>
      <c r="R1038">
        <v>0</v>
      </c>
    </row>
    <row r="1039" spans="1:18">
      <c r="A1039">
        <v>224167000000</v>
      </c>
      <c r="B1039" t="s">
        <v>18</v>
      </c>
      <c r="C1039">
        <v>29</v>
      </c>
      <c r="D1039" t="s">
        <v>37</v>
      </c>
      <c r="E1039" t="s">
        <v>32</v>
      </c>
      <c r="F1039" s="1">
        <v>42500</v>
      </c>
      <c r="G1039" s="1">
        <v>42500</v>
      </c>
      <c r="H1039" t="s">
        <v>41</v>
      </c>
      <c r="I1039">
        <v>0</v>
      </c>
      <c r="J1039" t="s">
        <v>111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23</v>
      </c>
      <c r="R1039">
        <v>0</v>
      </c>
    </row>
    <row r="1040" spans="1:18">
      <c r="A1040">
        <v>317676000000000</v>
      </c>
      <c r="B1040" t="s">
        <v>18</v>
      </c>
      <c r="C1040">
        <v>20</v>
      </c>
      <c r="D1040" t="s">
        <v>37</v>
      </c>
      <c r="E1040" t="s">
        <v>50</v>
      </c>
      <c r="F1040" s="1">
        <v>42500</v>
      </c>
      <c r="G1040" s="1">
        <v>42500</v>
      </c>
      <c r="H1040" t="s">
        <v>41</v>
      </c>
      <c r="I1040">
        <v>0</v>
      </c>
      <c r="J1040" t="s">
        <v>111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23</v>
      </c>
      <c r="R1040">
        <v>0</v>
      </c>
    </row>
    <row r="1041" spans="1:18">
      <c r="A1041">
        <v>1825350000000</v>
      </c>
      <c r="B1041" t="s">
        <v>18</v>
      </c>
      <c r="C1041">
        <v>32</v>
      </c>
      <c r="D1041" t="s">
        <v>37</v>
      </c>
      <c r="E1041" t="s">
        <v>50</v>
      </c>
      <c r="F1041" s="1">
        <v>42480</v>
      </c>
      <c r="G1041" s="1">
        <v>42509</v>
      </c>
      <c r="H1041" t="s">
        <v>33</v>
      </c>
      <c r="I1041">
        <v>29</v>
      </c>
      <c r="J1041" t="s">
        <v>77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23</v>
      </c>
      <c r="R1041">
        <v>0</v>
      </c>
    </row>
    <row r="1042" spans="1:18">
      <c r="A1042">
        <v>62197800000000</v>
      </c>
      <c r="B1042" t="s">
        <v>18</v>
      </c>
      <c r="C1042">
        <v>27</v>
      </c>
      <c r="D1042" t="s">
        <v>37</v>
      </c>
      <c r="E1042" t="s">
        <v>32</v>
      </c>
      <c r="F1042" s="1">
        <v>42500</v>
      </c>
      <c r="G1042" s="1">
        <v>42502</v>
      </c>
      <c r="H1042" t="s">
        <v>33</v>
      </c>
      <c r="I1042">
        <v>2</v>
      </c>
      <c r="J1042" t="s">
        <v>109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23</v>
      </c>
      <c r="R1042">
        <v>0</v>
      </c>
    </row>
    <row r="1043" spans="1:18">
      <c r="A1043">
        <v>693742000000000</v>
      </c>
      <c r="B1043" t="s">
        <v>28</v>
      </c>
      <c r="C1043">
        <v>29</v>
      </c>
      <c r="D1043" t="s">
        <v>37</v>
      </c>
      <c r="E1043" t="s">
        <v>42</v>
      </c>
      <c r="F1043" s="1">
        <v>42500</v>
      </c>
      <c r="G1043" s="1">
        <v>42500</v>
      </c>
      <c r="H1043" t="s">
        <v>41</v>
      </c>
      <c r="I1043">
        <v>0</v>
      </c>
      <c r="J1043" t="s">
        <v>111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23</v>
      </c>
      <c r="R1043">
        <v>0</v>
      </c>
    </row>
    <row r="1044" spans="1:18">
      <c r="A1044">
        <v>3563980000000</v>
      </c>
      <c r="B1044" t="s">
        <v>18</v>
      </c>
      <c r="C1044">
        <v>31</v>
      </c>
      <c r="D1044" t="s">
        <v>37</v>
      </c>
      <c r="E1044" t="s">
        <v>38</v>
      </c>
      <c r="F1044" s="1">
        <v>42500</v>
      </c>
      <c r="G1044" s="1">
        <v>42528</v>
      </c>
      <c r="H1044" t="s">
        <v>41</v>
      </c>
      <c r="I1044">
        <v>28</v>
      </c>
      <c r="J1044" t="s">
        <v>77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1</v>
      </c>
      <c r="Q1044" t="s">
        <v>26</v>
      </c>
      <c r="R1044">
        <v>1</v>
      </c>
    </row>
    <row r="1045" spans="1:18">
      <c r="A1045">
        <v>299779000000000</v>
      </c>
      <c r="B1045" t="s">
        <v>28</v>
      </c>
      <c r="C1045">
        <v>23</v>
      </c>
      <c r="D1045" t="s">
        <v>37</v>
      </c>
      <c r="E1045" t="s">
        <v>39</v>
      </c>
      <c r="F1045" s="1">
        <v>42480</v>
      </c>
      <c r="G1045" s="1">
        <v>42489</v>
      </c>
      <c r="H1045" t="s">
        <v>21</v>
      </c>
      <c r="I1045">
        <v>9</v>
      </c>
      <c r="J1045" t="s">
        <v>92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</v>
      </c>
      <c r="Q1045" t="s">
        <v>26</v>
      </c>
      <c r="R1045">
        <v>1</v>
      </c>
    </row>
    <row r="1046" spans="1:18">
      <c r="A1046">
        <v>44915800000000</v>
      </c>
      <c r="B1046" t="s">
        <v>18</v>
      </c>
      <c r="C1046">
        <v>30</v>
      </c>
      <c r="D1046" t="s">
        <v>37</v>
      </c>
      <c r="E1046" t="s">
        <v>38</v>
      </c>
      <c r="F1046" s="1">
        <v>42500</v>
      </c>
      <c r="G1046" s="1">
        <v>42503</v>
      </c>
      <c r="H1046" t="s">
        <v>21</v>
      </c>
      <c r="I1046">
        <v>3</v>
      </c>
      <c r="J1046" t="s">
        <v>109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26</v>
      </c>
      <c r="R1046">
        <v>1</v>
      </c>
    </row>
    <row r="1047" spans="1:18">
      <c r="A1047">
        <v>119275000000</v>
      </c>
      <c r="B1047" t="s">
        <v>18</v>
      </c>
      <c r="C1047">
        <v>30</v>
      </c>
      <c r="D1047" t="s">
        <v>37</v>
      </c>
      <c r="E1047" t="s">
        <v>45</v>
      </c>
      <c r="F1047" s="1">
        <v>42500</v>
      </c>
      <c r="G1047" s="1">
        <v>42510</v>
      </c>
      <c r="H1047" t="s">
        <v>21</v>
      </c>
      <c r="I1047">
        <v>10</v>
      </c>
      <c r="J1047" t="s">
        <v>92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26</v>
      </c>
      <c r="R1047">
        <v>1</v>
      </c>
    </row>
    <row r="1048" spans="1:18">
      <c r="A1048">
        <v>363829000000000</v>
      </c>
      <c r="B1048" t="s">
        <v>28</v>
      </c>
      <c r="C1048">
        <v>19</v>
      </c>
      <c r="D1048" t="s">
        <v>37</v>
      </c>
      <c r="E1048" t="s">
        <v>39</v>
      </c>
      <c r="F1048" s="1">
        <v>42500</v>
      </c>
      <c r="G1048" s="1">
        <v>42501</v>
      </c>
      <c r="H1048" t="s">
        <v>25</v>
      </c>
      <c r="I1048">
        <v>1</v>
      </c>
      <c r="J1048" t="s">
        <v>109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23</v>
      </c>
      <c r="R1048">
        <v>0</v>
      </c>
    </row>
    <row r="1049" spans="1:18">
      <c r="A1049">
        <v>77619200000000</v>
      </c>
      <c r="B1049" t="s">
        <v>18</v>
      </c>
      <c r="C1049">
        <v>28</v>
      </c>
      <c r="D1049" t="s">
        <v>37</v>
      </c>
      <c r="E1049" t="s">
        <v>47</v>
      </c>
      <c r="F1049" s="1">
        <v>42500</v>
      </c>
      <c r="G1049" s="1">
        <v>42500</v>
      </c>
      <c r="H1049" t="s">
        <v>41</v>
      </c>
      <c r="I1049">
        <v>0</v>
      </c>
      <c r="J1049" t="s">
        <v>111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23</v>
      </c>
      <c r="R1049">
        <v>0</v>
      </c>
    </row>
    <row r="1050" spans="1:18">
      <c r="A1050">
        <v>5865330000000</v>
      </c>
      <c r="B1050" t="s">
        <v>18</v>
      </c>
      <c r="C1050">
        <v>34</v>
      </c>
      <c r="D1050" t="s">
        <v>37</v>
      </c>
      <c r="E1050" t="s">
        <v>68</v>
      </c>
      <c r="F1050" s="1">
        <v>42500</v>
      </c>
      <c r="G1050" s="1">
        <v>42527</v>
      </c>
      <c r="H1050" t="s">
        <v>30</v>
      </c>
      <c r="I1050">
        <v>27</v>
      </c>
      <c r="J1050" t="s">
        <v>77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</v>
      </c>
      <c r="Q1050" t="s">
        <v>26</v>
      </c>
      <c r="R1050">
        <v>1</v>
      </c>
    </row>
    <row r="1051" spans="1:18">
      <c r="A1051">
        <v>99289700000000</v>
      </c>
      <c r="B1051" t="s">
        <v>18</v>
      </c>
      <c r="C1051">
        <v>32</v>
      </c>
      <c r="D1051" t="s">
        <v>37</v>
      </c>
      <c r="E1051" t="s">
        <v>39</v>
      </c>
      <c r="F1051" s="1">
        <v>42480</v>
      </c>
      <c r="G1051" s="1">
        <v>42507</v>
      </c>
      <c r="H1051" t="s">
        <v>41</v>
      </c>
      <c r="I1051">
        <v>27</v>
      </c>
      <c r="J1051" t="s">
        <v>77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23</v>
      </c>
      <c r="R1051">
        <v>0</v>
      </c>
    </row>
    <row r="1052" spans="1:18">
      <c r="A1052">
        <v>193639000000000</v>
      </c>
      <c r="B1052" t="s">
        <v>28</v>
      </c>
      <c r="C1052">
        <v>26</v>
      </c>
      <c r="D1052" t="s">
        <v>37</v>
      </c>
      <c r="E1052" t="s">
        <v>29</v>
      </c>
      <c r="F1052" s="1">
        <v>42480</v>
      </c>
      <c r="G1052" s="1">
        <v>42506</v>
      </c>
      <c r="H1052" t="s">
        <v>30</v>
      </c>
      <c r="I1052">
        <v>26</v>
      </c>
      <c r="J1052" t="s">
        <v>77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26</v>
      </c>
      <c r="R1052">
        <v>1</v>
      </c>
    </row>
    <row r="1053" spans="1:18">
      <c r="A1053">
        <v>953224000000000</v>
      </c>
      <c r="B1053" t="s">
        <v>28</v>
      </c>
      <c r="C1053">
        <v>28</v>
      </c>
      <c r="D1053" t="s">
        <v>37</v>
      </c>
      <c r="E1053" t="s">
        <v>45</v>
      </c>
      <c r="F1053" s="1">
        <v>42500</v>
      </c>
      <c r="G1053" s="1">
        <v>42501</v>
      </c>
      <c r="H1053" t="s">
        <v>25</v>
      </c>
      <c r="I1053">
        <v>1</v>
      </c>
      <c r="J1053" t="s">
        <v>109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23</v>
      </c>
      <c r="R1053">
        <v>0</v>
      </c>
    </row>
    <row r="1054" spans="1:18">
      <c r="A1054">
        <v>9995590000000</v>
      </c>
      <c r="B1054" t="s">
        <v>18</v>
      </c>
      <c r="C1054">
        <v>29</v>
      </c>
      <c r="D1054" t="s">
        <v>37</v>
      </c>
      <c r="E1054" t="s">
        <v>96</v>
      </c>
      <c r="F1054" s="1">
        <v>42500</v>
      </c>
      <c r="G1054" s="1">
        <v>42500</v>
      </c>
      <c r="H1054" t="s">
        <v>41</v>
      </c>
      <c r="I1054">
        <v>0</v>
      </c>
      <c r="J1054" t="s">
        <v>111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23</v>
      </c>
      <c r="R1054">
        <v>0</v>
      </c>
    </row>
    <row r="1055" spans="1:18">
      <c r="A1055">
        <v>7138110000000</v>
      </c>
      <c r="B1055" t="s">
        <v>28</v>
      </c>
      <c r="C1055">
        <v>20</v>
      </c>
      <c r="D1055" t="s">
        <v>37</v>
      </c>
      <c r="E1055" t="s">
        <v>94</v>
      </c>
      <c r="F1055" s="1">
        <v>42500</v>
      </c>
      <c r="G1055" s="1">
        <v>42500</v>
      </c>
      <c r="H1055" t="s">
        <v>41</v>
      </c>
      <c r="I1055">
        <v>0</v>
      </c>
      <c r="J1055" t="s">
        <v>111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23</v>
      </c>
      <c r="R1055">
        <v>0</v>
      </c>
    </row>
    <row r="1056" spans="1:18">
      <c r="A1056">
        <v>21122400000000</v>
      </c>
      <c r="B1056" t="s">
        <v>28</v>
      </c>
      <c r="C1056">
        <v>25</v>
      </c>
      <c r="D1056" t="s">
        <v>37</v>
      </c>
      <c r="E1056" t="s">
        <v>59</v>
      </c>
      <c r="F1056" s="1">
        <v>42500</v>
      </c>
      <c r="G1056" s="1">
        <v>42500</v>
      </c>
      <c r="H1056" t="s">
        <v>41</v>
      </c>
      <c r="I1056">
        <v>0</v>
      </c>
      <c r="J1056" t="s">
        <v>111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23</v>
      </c>
      <c r="R1056">
        <v>0</v>
      </c>
    </row>
    <row r="1057" spans="1:18">
      <c r="A1057">
        <v>95713700000000</v>
      </c>
      <c r="B1057" t="s">
        <v>18</v>
      </c>
      <c r="C1057">
        <v>34</v>
      </c>
      <c r="D1057" t="s">
        <v>37</v>
      </c>
      <c r="E1057" t="s">
        <v>29</v>
      </c>
      <c r="F1057" s="1">
        <v>42500</v>
      </c>
      <c r="G1057" s="1">
        <v>42500</v>
      </c>
      <c r="H1057" t="s">
        <v>41</v>
      </c>
      <c r="I1057">
        <v>0</v>
      </c>
      <c r="J1057" t="s">
        <v>111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23</v>
      </c>
      <c r="R1057">
        <v>0</v>
      </c>
    </row>
    <row r="1058" spans="1:18">
      <c r="A1058">
        <v>73646100000000</v>
      </c>
      <c r="B1058" t="s">
        <v>18</v>
      </c>
      <c r="C1058">
        <v>32</v>
      </c>
      <c r="D1058" t="s">
        <v>37</v>
      </c>
      <c r="E1058" t="s">
        <v>96</v>
      </c>
      <c r="F1058" s="1">
        <v>42500</v>
      </c>
      <c r="G1058" s="1">
        <v>42509</v>
      </c>
      <c r="H1058" t="s">
        <v>33</v>
      </c>
      <c r="I1058">
        <v>9</v>
      </c>
      <c r="J1058" t="s">
        <v>92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23</v>
      </c>
      <c r="R1058">
        <v>0</v>
      </c>
    </row>
    <row r="1059" spans="1:18">
      <c r="A1059">
        <v>4455620000000</v>
      </c>
      <c r="B1059" t="s">
        <v>28</v>
      </c>
      <c r="C1059">
        <v>23</v>
      </c>
      <c r="D1059" t="s">
        <v>37</v>
      </c>
      <c r="E1059" t="s">
        <v>63</v>
      </c>
      <c r="F1059" s="1">
        <v>42485</v>
      </c>
      <c r="G1059" s="1">
        <v>42495</v>
      </c>
      <c r="H1059" t="s">
        <v>33</v>
      </c>
      <c r="I1059">
        <v>10</v>
      </c>
      <c r="J1059" t="s">
        <v>92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26</v>
      </c>
      <c r="R1059">
        <v>1</v>
      </c>
    </row>
    <row r="1060" spans="1:18">
      <c r="A1060">
        <v>436194000000</v>
      </c>
      <c r="B1060" t="s">
        <v>18</v>
      </c>
      <c r="C1060">
        <v>24</v>
      </c>
      <c r="D1060" t="s">
        <v>37</v>
      </c>
      <c r="E1060" t="s">
        <v>106</v>
      </c>
      <c r="F1060" s="1">
        <v>42500</v>
      </c>
      <c r="G1060" s="1">
        <v>42500</v>
      </c>
      <c r="H1060" t="s">
        <v>41</v>
      </c>
      <c r="I1060">
        <v>0</v>
      </c>
      <c r="J1060" t="s">
        <v>111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23</v>
      </c>
      <c r="R1060">
        <v>0</v>
      </c>
    </row>
    <row r="1061" spans="1:18">
      <c r="A1061">
        <v>211620000000000</v>
      </c>
      <c r="B1061" t="s">
        <v>18</v>
      </c>
      <c r="C1061">
        <v>31</v>
      </c>
      <c r="D1061" t="s">
        <v>37</v>
      </c>
      <c r="E1061" t="s">
        <v>63</v>
      </c>
      <c r="F1061" s="1">
        <v>42500</v>
      </c>
      <c r="G1061" s="1">
        <v>42500</v>
      </c>
      <c r="H1061" t="s">
        <v>41</v>
      </c>
      <c r="I1061">
        <v>0</v>
      </c>
      <c r="J1061" t="s">
        <v>111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23</v>
      </c>
      <c r="R1061">
        <v>0</v>
      </c>
    </row>
    <row r="1062" spans="1:18">
      <c r="A1062">
        <v>653740000000000</v>
      </c>
      <c r="B1062" t="s">
        <v>28</v>
      </c>
      <c r="C1062">
        <v>25</v>
      </c>
      <c r="D1062" t="s">
        <v>37</v>
      </c>
      <c r="E1062" t="s">
        <v>20</v>
      </c>
      <c r="F1062" s="1">
        <v>42500</v>
      </c>
      <c r="G1062" s="1">
        <v>42500</v>
      </c>
      <c r="H1062" t="s">
        <v>41</v>
      </c>
      <c r="I1062">
        <v>0</v>
      </c>
      <c r="J1062" t="s">
        <v>111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23</v>
      </c>
      <c r="R1062">
        <v>0</v>
      </c>
    </row>
    <row r="1063" spans="1:18">
      <c r="A1063">
        <v>65131200000000</v>
      </c>
      <c r="B1063" t="s">
        <v>28</v>
      </c>
      <c r="C1063">
        <v>22</v>
      </c>
      <c r="D1063" t="s">
        <v>37</v>
      </c>
      <c r="E1063" t="s">
        <v>96</v>
      </c>
      <c r="F1063" s="1">
        <v>42500</v>
      </c>
      <c r="G1063" s="1">
        <v>42508</v>
      </c>
      <c r="H1063" t="s">
        <v>25</v>
      </c>
      <c r="I1063">
        <v>8</v>
      </c>
      <c r="J1063" t="s">
        <v>92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26</v>
      </c>
      <c r="R1063">
        <v>1</v>
      </c>
    </row>
    <row r="1064" spans="1:18">
      <c r="A1064">
        <v>3977330000000</v>
      </c>
      <c r="B1064" t="s">
        <v>18</v>
      </c>
      <c r="C1064">
        <v>29</v>
      </c>
      <c r="D1064" t="s">
        <v>37</v>
      </c>
      <c r="E1064" t="s">
        <v>64</v>
      </c>
      <c r="F1064" s="1">
        <v>42500</v>
      </c>
      <c r="G1064" s="1">
        <v>42510</v>
      </c>
      <c r="H1064" t="s">
        <v>21</v>
      </c>
      <c r="I1064">
        <v>10</v>
      </c>
      <c r="J1064" t="s">
        <v>92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23</v>
      </c>
      <c r="R1064">
        <v>0</v>
      </c>
    </row>
    <row r="1065" spans="1:18">
      <c r="A1065">
        <v>48784900000000</v>
      </c>
      <c r="B1065" t="s">
        <v>28</v>
      </c>
      <c r="C1065">
        <v>26</v>
      </c>
      <c r="D1065" t="s">
        <v>37</v>
      </c>
      <c r="E1065" t="s">
        <v>45</v>
      </c>
      <c r="F1065" s="1">
        <v>42500</v>
      </c>
      <c r="G1065" s="1">
        <v>42500</v>
      </c>
      <c r="H1065" t="s">
        <v>41</v>
      </c>
      <c r="I1065">
        <v>0</v>
      </c>
      <c r="J1065" t="s">
        <v>111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23</v>
      </c>
      <c r="R1065">
        <v>0</v>
      </c>
    </row>
    <row r="1066" spans="1:18">
      <c r="A1066">
        <v>46782691456</v>
      </c>
      <c r="B1066" t="s">
        <v>18</v>
      </c>
      <c r="C1066">
        <v>34</v>
      </c>
      <c r="D1066" t="s">
        <v>37</v>
      </c>
      <c r="E1066" t="s">
        <v>96</v>
      </c>
      <c r="F1066" s="1">
        <v>42500</v>
      </c>
      <c r="G1066" s="1">
        <v>42508</v>
      </c>
      <c r="H1066" t="s">
        <v>25</v>
      </c>
      <c r="I1066">
        <v>8</v>
      </c>
      <c r="J1066" t="s">
        <v>92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23</v>
      </c>
      <c r="R1066">
        <v>0</v>
      </c>
    </row>
    <row r="1067" spans="1:18">
      <c r="A1067">
        <v>75492300000000</v>
      </c>
      <c r="B1067" t="s">
        <v>28</v>
      </c>
      <c r="C1067">
        <v>20</v>
      </c>
      <c r="D1067" t="s">
        <v>37</v>
      </c>
      <c r="E1067" t="s">
        <v>84</v>
      </c>
      <c r="F1067" s="1">
        <v>42500</v>
      </c>
      <c r="G1067" s="1">
        <v>42509</v>
      </c>
      <c r="H1067" t="s">
        <v>33</v>
      </c>
      <c r="I1067">
        <v>9</v>
      </c>
      <c r="J1067" t="s">
        <v>92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23</v>
      </c>
      <c r="R1067">
        <v>0</v>
      </c>
    </row>
    <row r="1068" spans="1:18">
      <c r="A1068">
        <v>77112100000000</v>
      </c>
      <c r="B1068" t="s">
        <v>18</v>
      </c>
      <c r="C1068">
        <v>22</v>
      </c>
      <c r="D1068" t="s">
        <v>37</v>
      </c>
      <c r="E1068" t="s">
        <v>38</v>
      </c>
      <c r="F1068" s="1">
        <v>42500</v>
      </c>
      <c r="G1068" s="1">
        <v>42524</v>
      </c>
      <c r="H1068" t="s">
        <v>21</v>
      </c>
      <c r="I1068">
        <v>24</v>
      </c>
      <c r="J1068" t="s">
        <v>77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1</v>
      </c>
      <c r="Q1068" t="s">
        <v>23</v>
      </c>
      <c r="R1068">
        <v>0</v>
      </c>
    </row>
    <row r="1069" spans="1:18">
      <c r="A1069">
        <v>9376270000000</v>
      </c>
      <c r="B1069" t="s">
        <v>18</v>
      </c>
      <c r="C1069">
        <v>30</v>
      </c>
      <c r="D1069" t="s">
        <v>37</v>
      </c>
      <c r="E1069" t="s">
        <v>71</v>
      </c>
      <c r="F1069" s="1">
        <v>42500</v>
      </c>
      <c r="G1069" s="1">
        <v>42506</v>
      </c>
      <c r="H1069" t="s">
        <v>30</v>
      </c>
      <c r="I1069">
        <v>6</v>
      </c>
      <c r="J1069" t="s">
        <v>107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26</v>
      </c>
      <c r="R1069">
        <v>1</v>
      </c>
    </row>
    <row r="1070" spans="1:18">
      <c r="A1070">
        <v>1269170000000</v>
      </c>
      <c r="B1070" t="s">
        <v>18</v>
      </c>
      <c r="C1070">
        <v>34</v>
      </c>
      <c r="D1070" t="s">
        <v>37</v>
      </c>
      <c r="E1070" t="s">
        <v>50</v>
      </c>
      <c r="F1070" s="1">
        <v>42485</v>
      </c>
      <c r="G1070" s="1">
        <v>42509</v>
      </c>
      <c r="H1070" t="s">
        <v>33</v>
      </c>
      <c r="I1070">
        <v>24</v>
      </c>
      <c r="J1070" t="s">
        <v>77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26</v>
      </c>
      <c r="R1070">
        <v>1</v>
      </c>
    </row>
    <row r="1071" spans="1:18">
      <c r="A1071">
        <v>166443000000</v>
      </c>
      <c r="B1071" t="s">
        <v>28</v>
      </c>
      <c r="C1071">
        <v>22</v>
      </c>
      <c r="D1071" t="s">
        <v>37</v>
      </c>
      <c r="E1071" t="s">
        <v>39</v>
      </c>
      <c r="F1071" s="1">
        <v>42499</v>
      </c>
      <c r="G1071" s="1">
        <v>42500</v>
      </c>
      <c r="H1071" t="s">
        <v>41</v>
      </c>
      <c r="I1071">
        <v>1</v>
      </c>
      <c r="J1071" t="s">
        <v>109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26</v>
      </c>
      <c r="R1071">
        <v>1</v>
      </c>
    </row>
    <row r="1072" spans="1:18">
      <c r="A1072">
        <v>318375000000000</v>
      </c>
      <c r="B1072" t="s">
        <v>18</v>
      </c>
      <c r="C1072">
        <v>28</v>
      </c>
      <c r="D1072" t="s">
        <v>37</v>
      </c>
      <c r="E1072" t="s">
        <v>106</v>
      </c>
      <c r="F1072" s="1">
        <v>42485</v>
      </c>
      <c r="G1072" s="1">
        <v>42499</v>
      </c>
      <c r="H1072" t="s">
        <v>30</v>
      </c>
      <c r="I1072">
        <v>14</v>
      </c>
      <c r="J1072" t="s">
        <v>92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23</v>
      </c>
      <c r="R1072">
        <v>0</v>
      </c>
    </row>
    <row r="1073" spans="1:18">
      <c r="A1073">
        <v>89261800000000</v>
      </c>
      <c r="B1073" t="s">
        <v>18</v>
      </c>
      <c r="C1073">
        <v>20</v>
      </c>
      <c r="D1073" t="s">
        <v>37</v>
      </c>
      <c r="E1073" t="s">
        <v>32</v>
      </c>
      <c r="F1073" s="1">
        <v>42485</v>
      </c>
      <c r="G1073" s="1">
        <v>42492</v>
      </c>
      <c r="H1073" t="s">
        <v>30</v>
      </c>
      <c r="I1073">
        <v>7</v>
      </c>
      <c r="J1073" t="s">
        <v>107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 t="s">
        <v>23</v>
      </c>
      <c r="R1073">
        <v>0</v>
      </c>
    </row>
    <row r="1074" spans="1:18">
      <c r="A1074">
        <v>5439720000000</v>
      </c>
      <c r="B1074" t="s">
        <v>18</v>
      </c>
      <c r="C1074">
        <v>21</v>
      </c>
      <c r="D1074" t="s">
        <v>37</v>
      </c>
      <c r="E1074" t="s">
        <v>57</v>
      </c>
      <c r="F1074" s="1">
        <v>42499</v>
      </c>
      <c r="G1074" s="1">
        <v>42499</v>
      </c>
      <c r="H1074" t="s">
        <v>30</v>
      </c>
      <c r="I1074">
        <v>0</v>
      </c>
      <c r="J1074" t="s">
        <v>111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23</v>
      </c>
      <c r="R1074">
        <v>0</v>
      </c>
    </row>
    <row r="1075" spans="1:18">
      <c r="A1075">
        <v>81136800000000</v>
      </c>
      <c r="B1075" t="s">
        <v>18</v>
      </c>
      <c r="C1075">
        <v>32</v>
      </c>
      <c r="D1075" t="s">
        <v>37</v>
      </c>
      <c r="E1075" t="s">
        <v>85</v>
      </c>
      <c r="F1075" s="1">
        <v>42499</v>
      </c>
      <c r="G1075" s="1">
        <v>42528</v>
      </c>
      <c r="H1075" t="s">
        <v>41</v>
      </c>
      <c r="I1075">
        <v>29</v>
      </c>
      <c r="J1075" t="s">
        <v>77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</v>
      </c>
      <c r="Q1075" t="s">
        <v>23</v>
      </c>
      <c r="R1075">
        <v>0</v>
      </c>
    </row>
    <row r="1076" spans="1:18">
      <c r="A1076">
        <v>622975000000000</v>
      </c>
      <c r="B1076" t="s">
        <v>18</v>
      </c>
      <c r="C1076">
        <v>18</v>
      </c>
      <c r="D1076" t="s">
        <v>37</v>
      </c>
      <c r="E1076" t="s">
        <v>43</v>
      </c>
      <c r="F1076" s="1">
        <v>42485</v>
      </c>
      <c r="G1076" s="1">
        <v>42506</v>
      </c>
      <c r="H1076" t="s">
        <v>30</v>
      </c>
      <c r="I1076">
        <v>21</v>
      </c>
      <c r="J1076" t="s">
        <v>77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23</v>
      </c>
      <c r="R1076">
        <v>0</v>
      </c>
    </row>
    <row r="1077" spans="1:18">
      <c r="A1077">
        <v>314523000000000</v>
      </c>
      <c r="B1077" t="s">
        <v>18</v>
      </c>
      <c r="C1077">
        <v>35</v>
      </c>
      <c r="D1077" t="s">
        <v>37</v>
      </c>
      <c r="E1077" t="s">
        <v>29</v>
      </c>
      <c r="F1077" s="1">
        <v>42485</v>
      </c>
      <c r="G1077" s="1">
        <v>42496</v>
      </c>
      <c r="H1077" t="s">
        <v>21</v>
      </c>
      <c r="I1077">
        <v>11</v>
      </c>
      <c r="J1077" t="s">
        <v>92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</v>
      </c>
      <c r="Q1077" t="s">
        <v>26</v>
      </c>
      <c r="R1077">
        <v>1</v>
      </c>
    </row>
    <row r="1078" spans="1:18">
      <c r="A1078">
        <v>239547000000</v>
      </c>
      <c r="B1078" t="s">
        <v>18</v>
      </c>
      <c r="C1078">
        <v>30</v>
      </c>
      <c r="D1078" t="s">
        <v>37</v>
      </c>
      <c r="E1078" t="s">
        <v>105</v>
      </c>
      <c r="F1078" s="1">
        <v>42499</v>
      </c>
      <c r="G1078" s="1">
        <v>42501</v>
      </c>
      <c r="H1078" t="s">
        <v>25</v>
      </c>
      <c r="I1078">
        <v>2</v>
      </c>
      <c r="J1078" t="s">
        <v>109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26</v>
      </c>
      <c r="R1078">
        <v>1</v>
      </c>
    </row>
    <row r="1079" spans="1:18">
      <c r="A1079">
        <v>667280000000</v>
      </c>
      <c r="B1079" t="s">
        <v>18</v>
      </c>
      <c r="C1079">
        <v>33</v>
      </c>
      <c r="D1079" t="s">
        <v>37</v>
      </c>
      <c r="E1079" t="s">
        <v>50</v>
      </c>
      <c r="F1079" s="1">
        <v>42485</v>
      </c>
      <c r="G1079" s="1">
        <v>42500</v>
      </c>
      <c r="H1079" t="s">
        <v>41</v>
      </c>
      <c r="I1079">
        <v>15</v>
      </c>
      <c r="J1079" t="s">
        <v>77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</v>
      </c>
      <c r="Q1079" t="s">
        <v>26</v>
      </c>
      <c r="R1079">
        <v>1</v>
      </c>
    </row>
    <row r="1080" spans="1:18">
      <c r="A1080">
        <v>7238640000000</v>
      </c>
      <c r="B1080" t="s">
        <v>18</v>
      </c>
      <c r="C1080">
        <v>29</v>
      </c>
      <c r="D1080" t="s">
        <v>37</v>
      </c>
      <c r="E1080" t="s">
        <v>105</v>
      </c>
      <c r="F1080" s="1">
        <v>42499</v>
      </c>
      <c r="G1080" s="1">
        <v>42499</v>
      </c>
      <c r="H1080" t="s">
        <v>30</v>
      </c>
      <c r="I1080">
        <v>0</v>
      </c>
      <c r="J1080" t="s">
        <v>111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23</v>
      </c>
      <c r="R1080">
        <v>0</v>
      </c>
    </row>
    <row r="1081" spans="1:18">
      <c r="A1081">
        <v>15817400000000</v>
      </c>
      <c r="B1081" t="s">
        <v>28</v>
      </c>
      <c r="C1081">
        <v>34</v>
      </c>
      <c r="D1081" t="s">
        <v>37</v>
      </c>
      <c r="E1081" t="s">
        <v>29</v>
      </c>
      <c r="F1081" s="1">
        <v>42499</v>
      </c>
      <c r="G1081" s="1">
        <v>42499</v>
      </c>
      <c r="H1081" t="s">
        <v>30</v>
      </c>
      <c r="I1081">
        <v>0</v>
      </c>
      <c r="J1081" t="s">
        <v>111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23</v>
      </c>
      <c r="R1081">
        <v>0</v>
      </c>
    </row>
    <row r="1082" spans="1:18">
      <c r="A1082">
        <v>27957600000000</v>
      </c>
      <c r="B1082" t="s">
        <v>18</v>
      </c>
      <c r="C1082">
        <v>22</v>
      </c>
      <c r="D1082" t="s">
        <v>37</v>
      </c>
      <c r="E1082" t="s">
        <v>59</v>
      </c>
      <c r="F1082" s="1">
        <v>42499</v>
      </c>
      <c r="G1082" s="1">
        <v>42500</v>
      </c>
      <c r="H1082" t="s">
        <v>41</v>
      </c>
      <c r="I1082">
        <v>1</v>
      </c>
      <c r="J1082" t="s">
        <v>109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23</v>
      </c>
      <c r="R1082">
        <v>0</v>
      </c>
    </row>
    <row r="1083" spans="1:18">
      <c r="A1083">
        <v>13614500000000</v>
      </c>
      <c r="B1083" t="s">
        <v>18</v>
      </c>
      <c r="C1083">
        <v>32</v>
      </c>
      <c r="D1083" t="s">
        <v>37</v>
      </c>
      <c r="E1083" t="s">
        <v>51</v>
      </c>
      <c r="F1083" s="1">
        <v>42499</v>
      </c>
      <c r="G1083" s="1">
        <v>42501</v>
      </c>
      <c r="H1083" t="s">
        <v>25</v>
      </c>
      <c r="I1083">
        <v>2</v>
      </c>
      <c r="J1083" t="s">
        <v>109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23</v>
      </c>
      <c r="R1083">
        <v>0</v>
      </c>
    </row>
    <row r="1084" spans="1:18">
      <c r="A1084">
        <v>5148430000000</v>
      </c>
      <c r="B1084" t="s">
        <v>18</v>
      </c>
      <c r="C1084">
        <v>22</v>
      </c>
      <c r="D1084" t="s">
        <v>37</v>
      </c>
      <c r="E1084" t="s">
        <v>61</v>
      </c>
      <c r="F1084" s="1">
        <v>42499</v>
      </c>
      <c r="G1084" s="1">
        <v>42527</v>
      </c>
      <c r="H1084" t="s">
        <v>30</v>
      </c>
      <c r="I1084">
        <v>28</v>
      </c>
      <c r="J1084" t="s">
        <v>77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</v>
      </c>
      <c r="Q1084" t="s">
        <v>26</v>
      </c>
      <c r="R1084">
        <v>1</v>
      </c>
    </row>
    <row r="1085" spans="1:18">
      <c r="A1085">
        <v>7188420000000</v>
      </c>
      <c r="B1085" t="s">
        <v>18</v>
      </c>
      <c r="C1085">
        <v>30</v>
      </c>
      <c r="D1085" t="s">
        <v>37</v>
      </c>
      <c r="E1085" t="s">
        <v>38</v>
      </c>
      <c r="F1085" s="1">
        <v>42499</v>
      </c>
      <c r="G1085" s="1">
        <v>42501</v>
      </c>
      <c r="H1085" t="s">
        <v>25</v>
      </c>
      <c r="I1085">
        <v>2</v>
      </c>
      <c r="J1085" t="s">
        <v>109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26</v>
      </c>
      <c r="R1085">
        <v>1</v>
      </c>
    </row>
    <row r="1086" spans="1:18">
      <c r="A1086">
        <v>6771430000000</v>
      </c>
      <c r="B1086" t="s">
        <v>18</v>
      </c>
      <c r="C1086">
        <v>33</v>
      </c>
      <c r="D1086" t="s">
        <v>37</v>
      </c>
      <c r="E1086" t="s">
        <v>80</v>
      </c>
      <c r="F1086" s="1">
        <v>42499</v>
      </c>
      <c r="G1086" s="1">
        <v>42502</v>
      </c>
      <c r="H1086" t="s">
        <v>33</v>
      </c>
      <c r="I1086">
        <v>3</v>
      </c>
      <c r="J1086" t="s">
        <v>109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23</v>
      </c>
      <c r="R1086">
        <v>0</v>
      </c>
    </row>
    <row r="1087" spans="1:18">
      <c r="A1087">
        <v>344346000000000</v>
      </c>
      <c r="B1087" t="s">
        <v>18</v>
      </c>
      <c r="C1087">
        <v>25</v>
      </c>
      <c r="D1087" t="s">
        <v>37</v>
      </c>
      <c r="E1087" t="s">
        <v>73</v>
      </c>
      <c r="F1087" s="1">
        <v>42499</v>
      </c>
      <c r="G1087" s="1">
        <v>42502</v>
      </c>
      <c r="H1087" t="s">
        <v>33</v>
      </c>
      <c r="I1087">
        <v>3</v>
      </c>
      <c r="J1087" t="s">
        <v>109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23</v>
      </c>
      <c r="R1087">
        <v>0</v>
      </c>
    </row>
    <row r="1088" spans="1:18">
      <c r="A1088">
        <v>5878720000000</v>
      </c>
      <c r="B1088" t="s">
        <v>28</v>
      </c>
      <c r="C1088">
        <v>26</v>
      </c>
      <c r="D1088" t="s">
        <v>37</v>
      </c>
      <c r="E1088" t="s">
        <v>81</v>
      </c>
      <c r="F1088" s="1">
        <v>42485</v>
      </c>
      <c r="G1088" s="1">
        <v>42524</v>
      </c>
      <c r="H1088" t="s">
        <v>21</v>
      </c>
      <c r="I1088">
        <v>39</v>
      </c>
      <c r="J1088" t="s">
        <v>22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</v>
      </c>
      <c r="Q1088" t="s">
        <v>26</v>
      </c>
      <c r="R1088">
        <v>1</v>
      </c>
    </row>
    <row r="1089" spans="1:18">
      <c r="A1089">
        <v>8674460000000</v>
      </c>
      <c r="B1089" t="s">
        <v>18</v>
      </c>
      <c r="C1089">
        <v>33</v>
      </c>
      <c r="D1089" t="s">
        <v>37</v>
      </c>
      <c r="E1089" t="s">
        <v>62</v>
      </c>
      <c r="F1089" s="1">
        <v>42485</v>
      </c>
      <c r="G1089" s="1">
        <v>42496</v>
      </c>
      <c r="H1089" t="s">
        <v>21</v>
      </c>
      <c r="I1089">
        <v>11</v>
      </c>
      <c r="J1089" t="s">
        <v>92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</v>
      </c>
      <c r="Q1089" t="s">
        <v>23</v>
      </c>
      <c r="R1089">
        <v>0</v>
      </c>
    </row>
    <row r="1090" spans="1:18">
      <c r="A1090">
        <v>347853000000000</v>
      </c>
      <c r="B1090" t="s">
        <v>18</v>
      </c>
      <c r="C1090">
        <v>20</v>
      </c>
      <c r="D1090" t="s">
        <v>37</v>
      </c>
      <c r="E1090" t="s">
        <v>32</v>
      </c>
      <c r="F1090" s="1">
        <v>42485</v>
      </c>
      <c r="G1090" s="1">
        <v>42509</v>
      </c>
      <c r="H1090" t="s">
        <v>33</v>
      </c>
      <c r="I1090">
        <v>24</v>
      </c>
      <c r="J1090" t="s">
        <v>77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23</v>
      </c>
      <c r="R1090">
        <v>0</v>
      </c>
    </row>
    <row r="1091" spans="1:18">
      <c r="A1091">
        <v>6973540000000</v>
      </c>
      <c r="B1091" t="s">
        <v>18</v>
      </c>
      <c r="C1091">
        <v>24</v>
      </c>
      <c r="D1091" t="s">
        <v>37</v>
      </c>
      <c r="E1091" t="s">
        <v>40</v>
      </c>
      <c r="F1091" s="1">
        <v>42485</v>
      </c>
      <c r="G1091" s="1">
        <v>42499</v>
      </c>
      <c r="H1091" t="s">
        <v>30</v>
      </c>
      <c r="I1091">
        <v>14</v>
      </c>
      <c r="J1091" t="s">
        <v>92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26</v>
      </c>
      <c r="R1091">
        <v>1</v>
      </c>
    </row>
    <row r="1092" spans="1:18">
      <c r="A1092">
        <v>584172000000000</v>
      </c>
      <c r="B1092" t="s">
        <v>28</v>
      </c>
      <c r="C1092">
        <v>19</v>
      </c>
      <c r="D1092" t="s">
        <v>37</v>
      </c>
      <c r="E1092" t="s">
        <v>50</v>
      </c>
      <c r="F1092" s="1">
        <v>42499</v>
      </c>
      <c r="G1092" s="1">
        <v>42499</v>
      </c>
      <c r="H1092" t="s">
        <v>30</v>
      </c>
      <c r="I1092">
        <v>0</v>
      </c>
      <c r="J1092" t="s">
        <v>111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23</v>
      </c>
      <c r="R1092">
        <v>0</v>
      </c>
    </row>
    <row r="1093" spans="1:18">
      <c r="A1093">
        <v>9584250000000</v>
      </c>
      <c r="B1093" t="s">
        <v>18</v>
      </c>
      <c r="C1093">
        <v>25</v>
      </c>
      <c r="D1093" t="s">
        <v>37</v>
      </c>
      <c r="E1093" t="s">
        <v>82</v>
      </c>
      <c r="F1093" s="1">
        <v>42499</v>
      </c>
      <c r="G1093" s="1">
        <v>42515</v>
      </c>
      <c r="H1093" t="s">
        <v>25</v>
      </c>
      <c r="I1093">
        <v>16</v>
      </c>
      <c r="J1093" t="s">
        <v>77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23</v>
      </c>
      <c r="R1093">
        <v>0</v>
      </c>
    </row>
    <row r="1094" spans="1:18">
      <c r="A1094">
        <v>91129344118</v>
      </c>
      <c r="B1094" t="s">
        <v>18</v>
      </c>
      <c r="C1094">
        <v>24</v>
      </c>
      <c r="D1094" t="s">
        <v>37</v>
      </c>
      <c r="E1094" t="s">
        <v>61</v>
      </c>
      <c r="F1094" s="1">
        <v>42499</v>
      </c>
      <c r="G1094" s="1">
        <v>42521</v>
      </c>
      <c r="H1094" t="s">
        <v>41</v>
      </c>
      <c r="I1094">
        <v>22</v>
      </c>
      <c r="J1094" t="s">
        <v>77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</v>
      </c>
      <c r="Q1094" t="s">
        <v>23</v>
      </c>
      <c r="R1094">
        <v>0</v>
      </c>
    </row>
    <row r="1095" spans="1:18">
      <c r="A1095">
        <v>484689000000</v>
      </c>
      <c r="B1095" t="s">
        <v>18</v>
      </c>
      <c r="C1095">
        <v>33</v>
      </c>
      <c r="D1095" t="s">
        <v>37</v>
      </c>
      <c r="E1095" t="s">
        <v>72</v>
      </c>
      <c r="F1095" s="1">
        <v>42499</v>
      </c>
      <c r="G1095" s="1">
        <v>42508</v>
      </c>
      <c r="H1095" t="s">
        <v>25</v>
      </c>
      <c r="I1095">
        <v>9</v>
      </c>
      <c r="J1095" t="s">
        <v>92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23</v>
      </c>
      <c r="R1095">
        <v>0</v>
      </c>
    </row>
    <row r="1096" spans="1:18">
      <c r="A1096">
        <v>278712000000</v>
      </c>
      <c r="B1096" t="s">
        <v>18</v>
      </c>
      <c r="C1096">
        <v>20</v>
      </c>
      <c r="D1096" t="s">
        <v>37</v>
      </c>
      <c r="E1096" t="s">
        <v>78</v>
      </c>
      <c r="F1096" s="1">
        <v>42499</v>
      </c>
      <c r="G1096" s="1">
        <v>42502</v>
      </c>
      <c r="H1096" t="s">
        <v>33</v>
      </c>
      <c r="I1096">
        <v>3</v>
      </c>
      <c r="J1096" t="s">
        <v>109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23</v>
      </c>
      <c r="R1096">
        <v>0</v>
      </c>
    </row>
    <row r="1097" spans="1:18">
      <c r="A1097">
        <v>3485880000000</v>
      </c>
      <c r="B1097" t="s">
        <v>18</v>
      </c>
      <c r="C1097">
        <v>26</v>
      </c>
      <c r="D1097" t="s">
        <v>37</v>
      </c>
      <c r="E1097" t="s">
        <v>56</v>
      </c>
      <c r="F1097" s="1">
        <v>42499</v>
      </c>
      <c r="G1097" s="1">
        <v>42520</v>
      </c>
      <c r="H1097" t="s">
        <v>30</v>
      </c>
      <c r="I1097">
        <v>21</v>
      </c>
      <c r="J1097" t="s">
        <v>77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</v>
      </c>
      <c r="Q1097" t="s">
        <v>26</v>
      </c>
      <c r="R1097">
        <v>1</v>
      </c>
    </row>
    <row r="1098" spans="1:18">
      <c r="A1098">
        <v>48843400000000</v>
      </c>
      <c r="B1098" t="s">
        <v>28</v>
      </c>
      <c r="C1098">
        <v>18</v>
      </c>
      <c r="D1098" t="s">
        <v>37</v>
      </c>
      <c r="E1098" t="s">
        <v>43</v>
      </c>
      <c r="F1098" s="1">
        <v>42485</v>
      </c>
      <c r="G1098" s="1">
        <v>42500</v>
      </c>
      <c r="H1098" t="s">
        <v>41</v>
      </c>
      <c r="I1098">
        <v>15</v>
      </c>
      <c r="J1098" t="s">
        <v>77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</v>
      </c>
      <c r="Q1098" t="s">
        <v>26</v>
      </c>
      <c r="R1098">
        <v>1</v>
      </c>
    </row>
    <row r="1099" spans="1:18">
      <c r="A1099">
        <v>367925000000000</v>
      </c>
      <c r="B1099" t="s">
        <v>18</v>
      </c>
      <c r="C1099">
        <v>29</v>
      </c>
      <c r="D1099" t="s">
        <v>37</v>
      </c>
      <c r="E1099" t="s">
        <v>54</v>
      </c>
      <c r="F1099" s="1">
        <v>42499</v>
      </c>
      <c r="G1099" s="1">
        <v>42510</v>
      </c>
      <c r="H1099" t="s">
        <v>21</v>
      </c>
      <c r="I1099">
        <v>11</v>
      </c>
      <c r="J1099" t="s">
        <v>92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26</v>
      </c>
      <c r="R1099">
        <v>1</v>
      </c>
    </row>
    <row r="1100" spans="1:18">
      <c r="A1100">
        <v>5392280000000</v>
      </c>
      <c r="B1100" t="s">
        <v>18</v>
      </c>
      <c r="C1100">
        <v>31</v>
      </c>
      <c r="D1100" t="s">
        <v>37</v>
      </c>
      <c r="E1100" t="s">
        <v>101</v>
      </c>
      <c r="F1100" s="1">
        <v>42499</v>
      </c>
      <c r="G1100" s="1">
        <v>42503</v>
      </c>
      <c r="H1100" t="s">
        <v>21</v>
      </c>
      <c r="I1100">
        <v>4</v>
      </c>
      <c r="J1100" t="s">
        <v>107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23</v>
      </c>
      <c r="R1100">
        <v>0</v>
      </c>
    </row>
    <row r="1101" spans="1:18">
      <c r="A1101">
        <v>549874000000000</v>
      </c>
      <c r="B1101" t="s">
        <v>18</v>
      </c>
      <c r="C1101">
        <v>19</v>
      </c>
      <c r="D1101" t="s">
        <v>37</v>
      </c>
      <c r="E1101" t="s">
        <v>56</v>
      </c>
      <c r="F1101" s="1">
        <v>42499</v>
      </c>
      <c r="G1101" s="1">
        <v>42501</v>
      </c>
      <c r="H1101" t="s">
        <v>25</v>
      </c>
      <c r="I1101">
        <v>2</v>
      </c>
      <c r="J1101" t="s">
        <v>109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26</v>
      </c>
      <c r="R1101">
        <v>1</v>
      </c>
    </row>
    <row r="1102" spans="1:18">
      <c r="A1102">
        <v>663939000000</v>
      </c>
      <c r="B1102" t="s">
        <v>18</v>
      </c>
      <c r="C1102">
        <v>20</v>
      </c>
      <c r="D1102" t="s">
        <v>37</v>
      </c>
      <c r="E1102" t="s">
        <v>87</v>
      </c>
      <c r="F1102" s="1">
        <v>42499</v>
      </c>
      <c r="G1102" s="1">
        <v>42507</v>
      </c>
      <c r="H1102" t="s">
        <v>41</v>
      </c>
      <c r="I1102">
        <v>8</v>
      </c>
      <c r="J1102" t="s">
        <v>92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23</v>
      </c>
      <c r="R1102">
        <v>0</v>
      </c>
    </row>
    <row r="1103" spans="1:18">
      <c r="A1103">
        <v>669320000000000</v>
      </c>
      <c r="B1103" t="s">
        <v>18</v>
      </c>
      <c r="C1103">
        <v>32</v>
      </c>
      <c r="D1103" t="s">
        <v>37</v>
      </c>
      <c r="E1103" t="s">
        <v>43</v>
      </c>
      <c r="F1103" s="1">
        <v>42485</v>
      </c>
      <c r="G1103" s="1">
        <v>42492</v>
      </c>
      <c r="H1103" t="s">
        <v>30</v>
      </c>
      <c r="I1103">
        <v>7</v>
      </c>
      <c r="J1103" t="s">
        <v>107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</v>
      </c>
      <c r="Q1103" t="s">
        <v>23</v>
      </c>
      <c r="R1103">
        <v>0</v>
      </c>
    </row>
    <row r="1104" spans="1:18">
      <c r="A1104">
        <v>525343000000</v>
      </c>
      <c r="B1104" t="s">
        <v>28</v>
      </c>
      <c r="C1104">
        <v>27</v>
      </c>
      <c r="D1104" t="s">
        <v>37</v>
      </c>
      <c r="E1104" t="s">
        <v>50</v>
      </c>
      <c r="F1104" s="1">
        <v>42499</v>
      </c>
      <c r="G1104" s="1">
        <v>42499</v>
      </c>
      <c r="H1104" t="s">
        <v>30</v>
      </c>
      <c r="I1104">
        <v>0</v>
      </c>
      <c r="J1104" t="s">
        <v>111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23</v>
      </c>
      <c r="R1104">
        <v>0</v>
      </c>
    </row>
    <row r="1105" spans="1:18">
      <c r="A1105">
        <v>76458800000000</v>
      </c>
      <c r="B1105" t="s">
        <v>18</v>
      </c>
      <c r="C1105">
        <v>32</v>
      </c>
      <c r="D1105" t="s">
        <v>37</v>
      </c>
      <c r="E1105" t="s">
        <v>68</v>
      </c>
      <c r="F1105" s="1">
        <v>42499</v>
      </c>
      <c r="G1105" s="1">
        <v>42499</v>
      </c>
      <c r="H1105" t="s">
        <v>30</v>
      </c>
      <c r="I1105">
        <v>0</v>
      </c>
      <c r="J1105" t="s">
        <v>111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 t="s">
        <v>23</v>
      </c>
      <c r="R1105">
        <v>0</v>
      </c>
    </row>
    <row r="1106" spans="1:18">
      <c r="A1106">
        <v>9221170000000</v>
      </c>
      <c r="B1106" t="s">
        <v>18</v>
      </c>
      <c r="C1106">
        <v>21</v>
      </c>
      <c r="D1106" t="s">
        <v>37</v>
      </c>
      <c r="E1106" t="s">
        <v>38</v>
      </c>
      <c r="F1106" s="1">
        <v>42499</v>
      </c>
      <c r="G1106" s="1">
        <v>42499</v>
      </c>
      <c r="H1106" t="s">
        <v>30</v>
      </c>
      <c r="I1106">
        <v>0</v>
      </c>
      <c r="J1106" t="s">
        <v>111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23</v>
      </c>
      <c r="R1106">
        <v>0</v>
      </c>
    </row>
    <row r="1107" spans="1:18">
      <c r="A1107">
        <v>61966800000000</v>
      </c>
      <c r="B1107" t="s">
        <v>18</v>
      </c>
      <c r="C1107">
        <v>19</v>
      </c>
      <c r="D1107" t="s">
        <v>37</v>
      </c>
      <c r="E1107" t="s">
        <v>69</v>
      </c>
      <c r="F1107" s="1">
        <v>42499</v>
      </c>
      <c r="G1107" s="1">
        <v>42499</v>
      </c>
      <c r="H1107" t="s">
        <v>30</v>
      </c>
      <c r="I1107">
        <v>0</v>
      </c>
      <c r="J1107" t="s">
        <v>111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23</v>
      </c>
      <c r="R1107">
        <v>0</v>
      </c>
    </row>
    <row r="1108" spans="1:18">
      <c r="A1108">
        <v>9434120000000</v>
      </c>
      <c r="B1108" t="s">
        <v>18</v>
      </c>
      <c r="C1108">
        <v>18</v>
      </c>
      <c r="D1108" t="s">
        <v>37</v>
      </c>
      <c r="E1108" t="s">
        <v>39</v>
      </c>
      <c r="F1108" s="1">
        <v>42499</v>
      </c>
      <c r="G1108" s="1">
        <v>42499</v>
      </c>
      <c r="H1108" t="s">
        <v>30</v>
      </c>
      <c r="I1108">
        <v>0</v>
      </c>
      <c r="J1108" t="s">
        <v>111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23</v>
      </c>
      <c r="R1108">
        <v>0</v>
      </c>
    </row>
    <row r="1109" spans="1:18">
      <c r="A1109">
        <v>3936700000000</v>
      </c>
      <c r="B1109" t="s">
        <v>18</v>
      </c>
      <c r="C1109">
        <v>21</v>
      </c>
      <c r="D1109" t="s">
        <v>37</v>
      </c>
      <c r="E1109" t="s">
        <v>54</v>
      </c>
      <c r="F1109" s="1">
        <v>42485</v>
      </c>
      <c r="G1109" s="1">
        <v>42507</v>
      </c>
      <c r="H1109" t="s">
        <v>41</v>
      </c>
      <c r="I1109">
        <v>22</v>
      </c>
      <c r="J1109" t="s">
        <v>77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23</v>
      </c>
      <c r="R1109">
        <v>0</v>
      </c>
    </row>
    <row r="1110" spans="1:18">
      <c r="A1110">
        <v>927389000000000</v>
      </c>
      <c r="B1110" t="s">
        <v>18</v>
      </c>
      <c r="C1110">
        <v>22</v>
      </c>
      <c r="D1110" t="s">
        <v>37</v>
      </c>
      <c r="E1110" t="s">
        <v>47</v>
      </c>
      <c r="F1110" s="1">
        <v>42485</v>
      </c>
      <c r="G1110" s="1">
        <v>42503</v>
      </c>
      <c r="H1110" t="s">
        <v>21</v>
      </c>
      <c r="I1110">
        <v>18</v>
      </c>
      <c r="J1110" t="s">
        <v>77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23</v>
      </c>
      <c r="R1110">
        <v>0</v>
      </c>
    </row>
    <row r="1111" spans="1:18">
      <c r="A1111">
        <v>11213500000000</v>
      </c>
      <c r="B1111" t="s">
        <v>18</v>
      </c>
      <c r="C1111">
        <v>28</v>
      </c>
      <c r="D1111" t="s">
        <v>37</v>
      </c>
      <c r="E1111" t="s">
        <v>59</v>
      </c>
      <c r="F1111" s="1">
        <v>42499</v>
      </c>
      <c r="G1111" s="1">
        <v>42506</v>
      </c>
      <c r="H1111" t="s">
        <v>30</v>
      </c>
      <c r="I1111">
        <v>7</v>
      </c>
      <c r="J1111" t="s">
        <v>107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26</v>
      </c>
      <c r="R1111">
        <v>1</v>
      </c>
    </row>
    <row r="1112" spans="1:18">
      <c r="A1112">
        <v>843754000000000</v>
      </c>
      <c r="B1112" t="s">
        <v>18</v>
      </c>
      <c r="C1112">
        <v>35</v>
      </c>
      <c r="D1112" t="s">
        <v>37</v>
      </c>
      <c r="E1112" t="s">
        <v>32</v>
      </c>
      <c r="F1112" s="1">
        <v>42499</v>
      </c>
      <c r="G1112" s="1">
        <v>42499</v>
      </c>
      <c r="H1112" t="s">
        <v>30</v>
      </c>
      <c r="I1112">
        <v>0</v>
      </c>
      <c r="J1112" t="s">
        <v>111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23</v>
      </c>
      <c r="R1112">
        <v>0</v>
      </c>
    </row>
    <row r="1113" spans="1:18">
      <c r="A1113">
        <v>758766000000000</v>
      </c>
      <c r="B1113" t="s">
        <v>28</v>
      </c>
      <c r="C1113">
        <v>33</v>
      </c>
      <c r="D1113" t="s">
        <v>37</v>
      </c>
      <c r="E1113" t="s">
        <v>54</v>
      </c>
      <c r="F1113" s="1">
        <v>42499</v>
      </c>
      <c r="G1113" s="1">
        <v>42503</v>
      </c>
      <c r="H1113" t="s">
        <v>21</v>
      </c>
      <c r="I1113">
        <v>4</v>
      </c>
      <c r="J1113" t="s">
        <v>107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26</v>
      </c>
      <c r="R1113">
        <v>1</v>
      </c>
    </row>
    <row r="1114" spans="1:18">
      <c r="A1114">
        <v>673841000000000</v>
      </c>
      <c r="B1114" t="s">
        <v>28</v>
      </c>
      <c r="C1114">
        <v>21</v>
      </c>
      <c r="D1114" t="s">
        <v>37</v>
      </c>
      <c r="E1114" t="s">
        <v>71</v>
      </c>
      <c r="F1114" s="1">
        <v>42499</v>
      </c>
      <c r="G1114" s="1">
        <v>42499</v>
      </c>
      <c r="H1114" t="s">
        <v>30</v>
      </c>
      <c r="I1114">
        <v>0</v>
      </c>
      <c r="J1114" t="s">
        <v>111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23</v>
      </c>
      <c r="R1114">
        <v>0</v>
      </c>
    </row>
    <row r="1115" spans="1:18">
      <c r="A1115">
        <v>461241000000</v>
      </c>
      <c r="B1115" t="s">
        <v>18</v>
      </c>
      <c r="C1115">
        <v>23</v>
      </c>
      <c r="D1115" t="s">
        <v>37</v>
      </c>
      <c r="E1115" t="s">
        <v>39</v>
      </c>
      <c r="F1115" s="1">
        <v>42499</v>
      </c>
      <c r="G1115" s="1">
        <v>42499</v>
      </c>
      <c r="H1115" t="s">
        <v>30</v>
      </c>
      <c r="I1115">
        <v>0</v>
      </c>
      <c r="J1115" t="s">
        <v>111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23</v>
      </c>
      <c r="R1115">
        <v>0</v>
      </c>
    </row>
    <row r="1116" spans="1:18">
      <c r="A1116">
        <v>586593000000000</v>
      </c>
      <c r="B1116" t="s">
        <v>28</v>
      </c>
      <c r="C1116">
        <v>34</v>
      </c>
      <c r="D1116" t="s">
        <v>37</v>
      </c>
      <c r="E1116" t="s">
        <v>34</v>
      </c>
      <c r="F1116" s="1">
        <v>42499</v>
      </c>
      <c r="G1116" s="1">
        <v>42520</v>
      </c>
      <c r="H1116" t="s">
        <v>30</v>
      </c>
      <c r="I1116">
        <v>21</v>
      </c>
      <c r="J1116" t="s">
        <v>77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</v>
      </c>
      <c r="Q1116" t="s">
        <v>26</v>
      </c>
      <c r="R1116">
        <v>1</v>
      </c>
    </row>
    <row r="1117" spans="1:18">
      <c r="A1117">
        <v>5392280000000</v>
      </c>
      <c r="B1117" t="s">
        <v>18</v>
      </c>
      <c r="C1117">
        <v>31</v>
      </c>
      <c r="D1117" t="s">
        <v>37</v>
      </c>
      <c r="E1117" t="s">
        <v>101</v>
      </c>
      <c r="F1117" s="1">
        <v>42499</v>
      </c>
      <c r="G1117" s="1">
        <v>42499</v>
      </c>
      <c r="H1117" t="s">
        <v>30</v>
      </c>
      <c r="I1117">
        <v>0</v>
      </c>
      <c r="J1117" t="s">
        <v>111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23</v>
      </c>
      <c r="R1117">
        <v>0</v>
      </c>
    </row>
    <row r="1118" spans="1:18">
      <c r="A1118">
        <v>15448500000000</v>
      </c>
      <c r="B1118" t="s">
        <v>18</v>
      </c>
      <c r="C1118">
        <v>19</v>
      </c>
      <c r="D1118" t="s">
        <v>37</v>
      </c>
      <c r="E1118" t="s">
        <v>73</v>
      </c>
      <c r="F1118" s="1">
        <v>42485</v>
      </c>
      <c r="G1118" s="1">
        <v>42500</v>
      </c>
      <c r="H1118" t="s">
        <v>41</v>
      </c>
      <c r="I1118">
        <v>15</v>
      </c>
      <c r="J1118" t="s">
        <v>77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26</v>
      </c>
      <c r="R1118">
        <v>1</v>
      </c>
    </row>
    <row r="1119" spans="1:18">
      <c r="A1119">
        <v>59448900000000</v>
      </c>
      <c r="B1119" t="s">
        <v>18</v>
      </c>
      <c r="C1119">
        <v>33</v>
      </c>
      <c r="D1119" t="s">
        <v>37</v>
      </c>
      <c r="E1119" t="s">
        <v>32</v>
      </c>
      <c r="F1119" s="1">
        <v>42499</v>
      </c>
      <c r="G1119" s="1">
        <v>42508</v>
      </c>
      <c r="H1119" t="s">
        <v>25</v>
      </c>
      <c r="I1119">
        <v>9</v>
      </c>
      <c r="J1119" t="s">
        <v>92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26</v>
      </c>
      <c r="R1119">
        <v>1</v>
      </c>
    </row>
    <row r="1120" spans="1:18">
      <c r="A1120">
        <v>32272700000000</v>
      </c>
      <c r="B1120" t="s">
        <v>18</v>
      </c>
      <c r="C1120">
        <v>29</v>
      </c>
      <c r="D1120" t="s">
        <v>37</v>
      </c>
      <c r="E1120" t="s">
        <v>105</v>
      </c>
      <c r="F1120" s="1">
        <v>42499</v>
      </c>
      <c r="G1120" s="1">
        <v>42499</v>
      </c>
      <c r="H1120" t="s">
        <v>30</v>
      </c>
      <c r="I1120">
        <v>0</v>
      </c>
      <c r="J1120" t="s">
        <v>111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23</v>
      </c>
      <c r="R1120">
        <v>0</v>
      </c>
    </row>
    <row r="1121" spans="1:18">
      <c r="A1121">
        <v>5858980000000</v>
      </c>
      <c r="B1121" t="s">
        <v>18</v>
      </c>
      <c r="C1121">
        <v>31</v>
      </c>
      <c r="D1121" t="s">
        <v>37</v>
      </c>
      <c r="E1121" t="s">
        <v>103</v>
      </c>
      <c r="F1121" s="1">
        <v>42499</v>
      </c>
      <c r="G1121" s="1">
        <v>42500</v>
      </c>
      <c r="H1121" t="s">
        <v>41</v>
      </c>
      <c r="I1121">
        <v>1</v>
      </c>
      <c r="J1121" t="s">
        <v>109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23</v>
      </c>
      <c r="R1121">
        <v>0</v>
      </c>
    </row>
    <row r="1122" spans="1:18">
      <c r="A1122">
        <v>698225000000000</v>
      </c>
      <c r="B1122" t="s">
        <v>28</v>
      </c>
      <c r="C1122">
        <v>34</v>
      </c>
      <c r="D1122" t="s">
        <v>37</v>
      </c>
      <c r="E1122" t="s">
        <v>38</v>
      </c>
      <c r="F1122" s="1">
        <v>42499</v>
      </c>
      <c r="G1122" s="1">
        <v>42499</v>
      </c>
      <c r="H1122" t="s">
        <v>30</v>
      </c>
      <c r="I1122">
        <v>0</v>
      </c>
      <c r="J1122" t="s">
        <v>111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0</v>
      </c>
      <c r="Q1122" t="s">
        <v>23</v>
      </c>
      <c r="R1122">
        <v>0</v>
      </c>
    </row>
    <row r="1123" spans="1:18">
      <c r="A1123">
        <v>4664390000000</v>
      </c>
      <c r="B1123" t="s">
        <v>18</v>
      </c>
      <c r="C1123">
        <v>32</v>
      </c>
      <c r="D1123" t="s">
        <v>37</v>
      </c>
      <c r="E1123" t="s">
        <v>70</v>
      </c>
      <c r="F1123" s="1">
        <v>42499</v>
      </c>
      <c r="G1123" s="1">
        <v>42501</v>
      </c>
      <c r="H1123" t="s">
        <v>25</v>
      </c>
      <c r="I1123">
        <v>2</v>
      </c>
      <c r="J1123" t="s">
        <v>109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0</v>
      </c>
      <c r="Q1123" t="s">
        <v>23</v>
      </c>
      <c r="R1123">
        <v>0</v>
      </c>
    </row>
    <row r="1124" spans="1:18">
      <c r="A1124">
        <v>18615947251</v>
      </c>
      <c r="B1124" t="s">
        <v>18</v>
      </c>
      <c r="C1124">
        <v>28</v>
      </c>
      <c r="D1124" t="s">
        <v>37</v>
      </c>
      <c r="E1124" t="s">
        <v>108</v>
      </c>
      <c r="F1124" s="1">
        <v>42485</v>
      </c>
      <c r="G1124" s="1">
        <v>42494</v>
      </c>
      <c r="H1124" t="s">
        <v>25</v>
      </c>
      <c r="I1124">
        <v>9</v>
      </c>
      <c r="J1124" t="s">
        <v>92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</v>
      </c>
      <c r="Q1124" t="s">
        <v>23</v>
      </c>
      <c r="R1124">
        <v>0</v>
      </c>
    </row>
    <row r="1125" spans="1:18">
      <c r="A1125">
        <v>87823500000000</v>
      </c>
      <c r="B1125" t="s">
        <v>18</v>
      </c>
      <c r="C1125">
        <v>19</v>
      </c>
      <c r="D1125" t="s">
        <v>37</v>
      </c>
      <c r="E1125" t="s">
        <v>42</v>
      </c>
      <c r="F1125" s="1">
        <v>42485</v>
      </c>
      <c r="G1125" s="1">
        <v>42520</v>
      </c>
      <c r="H1125" t="s">
        <v>30</v>
      </c>
      <c r="I1125">
        <v>35</v>
      </c>
      <c r="J1125" t="s">
        <v>22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 t="s">
        <v>23</v>
      </c>
      <c r="R1125">
        <v>0</v>
      </c>
    </row>
    <row r="1126" spans="1:18">
      <c r="A1126">
        <v>7579400000000</v>
      </c>
      <c r="B1126" t="s">
        <v>18</v>
      </c>
      <c r="C1126">
        <v>25</v>
      </c>
      <c r="D1126" t="s">
        <v>37</v>
      </c>
      <c r="E1126" t="s">
        <v>78</v>
      </c>
      <c r="F1126" s="1">
        <v>42499</v>
      </c>
      <c r="G1126" s="1">
        <v>42501</v>
      </c>
      <c r="H1126" t="s">
        <v>25</v>
      </c>
      <c r="I1126">
        <v>2</v>
      </c>
      <c r="J1126" t="s">
        <v>109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23</v>
      </c>
      <c r="R1126">
        <v>0</v>
      </c>
    </row>
    <row r="1127" spans="1:18">
      <c r="A1127">
        <v>82613100000000</v>
      </c>
      <c r="B1127" t="s">
        <v>18</v>
      </c>
      <c r="C1127">
        <v>33</v>
      </c>
      <c r="D1127" t="s">
        <v>37</v>
      </c>
      <c r="E1127" t="s">
        <v>67</v>
      </c>
      <c r="F1127" s="1">
        <v>42499</v>
      </c>
      <c r="G1127" s="1">
        <v>42523</v>
      </c>
      <c r="H1127" t="s">
        <v>33</v>
      </c>
      <c r="I1127">
        <v>24</v>
      </c>
      <c r="J1127" t="s">
        <v>77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</v>
      </c>
      <c r="Q1127" t="s">
        <v>23</v>
      </c>
      <c r="R1127">
        <v>0</v>
      </c>
    </row>
    <row r="1128" spans="1:18">
      <c r="A1128">
        <v>11288600000000</v>
      </c>
      <c r="B1128" t="s">
        <v>18</v>
      </c>
      <c r="C1128">
        <v>29</v>
      </c>
      <c r="D1128" t="s">
        <v>37</v>
      </c>
      <c r="E1128" t="s">
        <v>66</v>
      </c>
      <c r="F1128" s="1">
        <v>42499</v>
      </c>
      <c r="G1128" s="1">
        <v>42509</v>
      </c>
      <c r="H1128" t="s">
        <v>33</v>
      </c>
      <c r="I1128">
        <v>10</v>
      </c>
      <c r="J1128" t="s">
        <v>92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23</v>
      </c>
      <c r="R1128">
        <v>0</v>
      </c>
    </row>
    <row r="1129" spans="1:18">
      <c r="A1129">
        <v>422274000000000</v>
      </c>
      <c r="B1129" t="s">
        <v>18</v>
      </c>
      <c r="C1129">
        <v>33</v>
      </c>
      <c r="D1129" t="s">
        <v>37</v>
      </c>
      <c r="E1129" t="s">
        <v>79</v>
      </c>
      <c r="F1129" s="1">
        <v>42499</v>
      </c>
      <c r="G1129" s="1">
        <v>42499</v>
      </c>
      <c r="H1129" t="s">
        <v>30</v>
      </c>
      <c r="I1129">
        <v>0</v>
      </c>
      <c r="J1129" t="s">
        <v>111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23</v>
      </c>
      <c r="R1129">
        <v>0</v>
      </c>
    </row>
    <row r="1130" spans="1:18">
      <c r="A1130">
        <v>1169330000000</v>
      </c>
      <c r="B1130" t="s">
        <v>18</v>
      </c>
      <c r="C1130">
        <v>35</v>
      </c>
      <c r="D1130" t="s">
        <v>37</v>
      </c>
      <c r="E1130" t="s">
        <v>71</v>
      </c>
      <c r="F1130" s="1">
        <v>42499</v>
      </c>
      <c r="G1130" s="1">
        <v>42528</v>
      </c>
      <c r="H1130" t="s">
        <v>41</v>
      </c>
      <c r="I1130">
        <v>29</v>
      </c>
      <c r="J1130" t="s">
        <v>77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</v>
      </c>
      <c r="Q1130" t="s">
        <v>23</v>
      </c>
      <c r="R1130">
        <v>0</v>
      </c>
    </row>
    <row r="1131" spans="1:18">
      <c r="A1131">
        <v>9668890000000</v>
      </c>
      <c r="B1131" t="s">
        <v>18</v>
      </c>
      <c r="C1131">
        <v>20</v>
      </c>
      <c r="D1131" t="s">
        <v>37</v>
      </c>
      <c r="E1131" t="s">
        <v>63</v>
      </c>
      <c r="F1131" s="1">
        <v>42499</v>
      </c>
      <c r="G1131" s="1">
        <v>42499</v>
      </c>
      <c r="H1131" t="s">
        <v>30</v>
      </c>
      <c r="I1131">
        <v>0</v>
      </c>
      <c r="J1131" t="s">
        <v>111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23</v>
      </c>
      <c r="R1131">
        <v>0</v>
      </c>
    </row>
    <row r="1132" spans="1:18">
      <c r="A1132">
        <v>89293300000000</v>
      </c>
      <c r="B1132" t="s">
        <v>18</v>
      </c>
      <c r="C1132">
        <v>21</v>
      </c>
      <c r="D1132" t="s">
        <v>37</v>
      </c>
      <c r="E1132" t="s">
        <v>47</v>
      </c>
      <c r="F1132" s="1">
        <v>42499</v>
      </c>
      <c r="G1132" s="1">
        <v>42499</v>
      </c>
      <c r="H1132" t="s">
        <v>30</v>
      </c>
      <c r="I1132">
        <v>0</v>
      </c>
      <c r="J1132" t="s">
        <v>111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23</v>
      </c>
      <c r="R1132">
        <v>0</v>
      </c>
    </row>
    <row r="1133" spans="1:18">
      <c r="A1133">
        <v>98756700000000</v>
      </c>
      <c r="B1133" t="s">
        <v>18</v>
      </c>
      <c r="C1133">
        <v>18</v>
      </c>
      <c r="D1133" t="s">
        <v>37</v>
      </c>
      <c r="E1133" t="s">
        <v>71</v>
      </c>
      <c r="F1133" s="1">
        <v>42499</v>
      </c>
      <c r="G1133" s="1">
        <v>42508</v>
      </c>
      <c r="H1133" t="s">
        <v>25</v>
      </c>
      <c r="I1133">
        <v>9</v>
      </c>
      <c r="J1133" t="s">
        <v>92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23</v>
      </c>
      <c r="R1133">
        <v>0</v>
      </c>
    </row>
    <row r="1134" spans="1:18">
      <c r="A1134">
        <v>875777000000000</v>
      </c>
      <c r="B1134" t="s">
        <v>28</v>
      </c>
      <c r="C1134">
        <v>18</v>
      </c>
      <c r="D1134" t="s">
        <v>37</v>
      </c>
      <c r="E1134" t="s">
        <v>45</v>
      </c>
      <c r="F1134" s="1">
        <v>42485</v>
      </c>
      <c r="G1134" s="1">
        <v>42507</v>
      </c>
      <c r="H1134" t="s">
        <v>41</v>
      </c>
      <c r="I1134">
        <v>22</v>
      </c>
      <c r="J1134" t="s">
        <v>77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23</v>
      </c>
      <c r="R1134">
        <v>0</v>
      </c>
    </row>
    <row r="1135" spans="1:18">
      <c r="A1135">
        <v>68656900000000</v>
      </c>
      <c r="B1135" t="s">
        <v>18</v>
      </c>
      <c r="C1135">
        <v>30</v>
      </c>
      <c r="D1135" t="s">
        <v>37</v>
      </c>
      <c r="E1135" t="s">
        <v>81</v>
      </c>
      <c r="F1135" s="1">
        <v>42499</v>
      </c>
      <c r="G1135" s="1">
        <v>42499</v>
      </c>
      <c r="H1135" t="s">
        <v>30</v>
      </c>
      <c r="I1135">
        <v>0</v>
      </c>
      <c r="J1135" t="s">
        <v>111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23</v>
      </c>
      <c r="R1135">
        <v>0</v>
      </c>
    </row>
    <row r="1136" spans="1:18">
      <c r="A1136">
        <v>916472000000000</v>
      </c>
      <c r="B1136" t="s">
        <v>18</v>
      </c>
      <c r="C1136">
        <v>28</v>
      </c>
      <c r="D1136" t="s">
        <v>37</v>
      </c>
      <c r="E1136" t="s">
        <v>40</v>
      </c>
      <c r="F1136" s="1">
        <v>42499</v>
      </c>
      <c r="G1136" s="1">
        <v>42499</v>
      </c>
      <c r="H1136" t="s">
        <v>30</v>
      </c>
      <c r="I1136">
        <v>0</v>
      </c>
      <c r="J1136" t="s">
        <v>111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23</v>
      </c>
      <c r="R1136">
        <v>0</v>
      </c>
    </row>
    <row r="1137" spans="1:18">
      <c r="A1137">
        <v>682167000000000</v>
      </c>
      <c r="B1137" t="s">
        <v>18</v>
      </c>
      <c r="C1137">
        <v>24</v>
      </c>
      <c r="D1137" t="s">
        <v>37</v>
      </c>
      <c r="E1137" t="s">
        <v>68</v>
      </c>
      <c r="F1137" s="1">
        <v>42499</v>
      </c>
      <c r="G1137" s="1">
        <v>42499</v>
      </c>
      <c r="H1137" t="s">
        <v>30</v>
      </c>
      <c r="I1137">
        <v>0</v>
      </c>
      <c r="J1137" t="s">
        <v>111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26</v>
      </c>
      <c r="R1137">
        <v>1</v>
      </c>
    </row>
    <row r="1138" spans="1:18">
      <c r="A1138">
        <v>54398500000000</v>
      </c>
      <c r="B1138" t="s">
        <v>18</v>
      </c>
      <c r="C1138">
        <v>26</v>
      </c>
      <c r="D1138" t="s">
        <v>37</v>
      </c>
      <c r="E1138" t="s">
        <v>75</v>
      </c>
      <c r="F1138" s="1">
        <v>42499</v>
      </c>
      <c r="G1138" s="1">
        <v>42499</v>
      </c>
      <c r="H1138" t="s">
        <v>30</v>
      </c>
      <c r="I1138">
        <v>0</v>
      </c>
      <c r="J1138" t="s">
        <v>111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26</v>
      </c>
      <c r="R1138">
        <v>1</v>
      </c>
    </row>
    <row r="1139" spans="1:18">
      <c r="A1139">
        <v>72811800000000</v>
      </c>
      <c r="B1139" t="s">
        <v>28</v>
      </c>
      <c r="C1139">
        <v>27</v>
      </c>
      <c r="D1139" t="s">
        <v>37</v>
      </c>
      <c r="E1139" t="s">
        <v>57</v>
      </c>
      <c r="F1139" s="1">
        <v>42499</v>
      </c>
      <c r="G1139" s="1">
        <v>42499</v>
      </c>
      <c r="H1139" t="s">
        <v>30</v>
      </c>
      <c r="I1139">
        <v>0</v>
      </c>
      <c r="J1139" t="s">
        <v>111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0</v>
      </c>
      <c r="Q1139" t="s">
        <v>23</v>
      </c>
      <c r="R1139">
        <v>0</v>
      </c>
    </row>
    <row r="1140" spans="1:18">
      <c r="A1140">
        <v>344595000000000</v>
      </c>
      <c r="B1140" t="s">
        <v>18</v>
      </c>
      <c r="C1140">
        <v>27</v>
      </c>
      <c r="D1140" t="s">
        <v>37</v>
      </c>
      <c r="E1140" t="s">
        <v>69</v>
      </c>
      <c r="F1140" s="1">
        <v>42499</v>
      </c>
      <c r="G1140" s="1">
        <v>42509</v>
      </c>
      <c r="H1140" t="s">
        <v>33</v>
      </c>
      <c r="I1140">
        <v>10</v>
      </c>
      <c r="J1140" t="s">
        <v>92</v>
      </c>
      <c r="K1140">
        <v>1</v>
      </c>
      <c r="L1140">
        <v>1</v>
      </c>
      <c r="M1140">
        <v>0</v>
      </c>
      <c r="N1140">
        <v>0</v>
      </c>
      <c r="O1140">
        <v>0</v>
      </c>
      <c r="P1140">
        <v>0</v>
      </c>
      <c r="Q1140" t="s">
        <v>26</v>
      </c>
      <c r="R1140">
        <v>1</v>
      </c>
    </row>
    <row r="1141" spans="1:18">
      <c r="A1141">
        <v>457696000000000</v>
      </c>
      <c r="B1141" t="s">
        <v>18</v>
      </c>
      <c r="C1141">
        <v>28</v>
      </c>
      <c r="D1141" t="s">
        <v>37</v>
      </c>
      <c r="E1141" t="s">
        <v>68</v>
      </c>
      <c r="F1141" s="1">
        <v>42499</v>
      </c>
      <c r="G1141" s="1">
        <v>42514</v>
      </c>
      <c r="H1141" t="s">
        <v>41</v>
      </c>
      <c r="I1141">
        <v>15</v>
      </c>
      <c r="J1141" t="s">
        <v>77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</v>
      </c>
      <c r="Q1141" t="s">
        <v>23</v>
      </c>
      <c r="R1141">
        <v>0</v>
      </c>
    </row>
    <row r="1142" spans="1:18">
      <c r="A1142">
        <v>62995000000000</v>
      </c>
      <c r="B1142" t="s">
        <v>18</v>
      </c>
      <c r="C1142">
        <v>19</v>
      </c>
      <c r="D1142" t="s">
        <v>37</v>
      </c>
      <c r="E1142" t="s">
        <v>63</v>
      </c>
      <c r="F1142" s="1">
        <v>42499</v>
      </c>
      <c r="G1142" s="1">
        <v>42499</v>
      </c>
      <c r="H1142" t="s">
        <v>30</v>
      </c>
      <c r="I1142">
        <v>0</v>
      </c>
      <c r="J1142" t="s">
        <v>111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23</v>
      </c>
      <c r="R1142">
        <v>0</v>
      </c>
    </row>
    <row r="1143" spans="1:18">
      <c r="A1143">
        <v>386927000000000</v>
      </c>
      <c r="B1143" t="s">
        <v>18</v>
      </c>
      <c r="C1143">
        <v>31</v>
      </c>
      <c r="D1143" t="s">
        <v>37</v>
      </c>
      <c r="E1143" t="s">
        <v>73</v>
      </c>
      <c r="F1143" s="1">
        <v>42499</v>
      </c>
      <c r="G1143" s="1">
        <v>42514</v>
      </c>
      <c r="H1143" t="s">
        <v>41</v>
      </c>
      <c r="I1143">
        <v>15</v>
      </c>
      <c r="J1143" t="s">
        <v>77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</v>
      </c>
      <c r="Q1143" t="s">
        <v>26</v>
      </c>
      <c r="R1143">
        <v>1</v>
      </c>
    </row>
    <row r="1144" spans="1:18">
      <c r="A1144">
        <v>96831200000000</v>
      </c>
      <c r="B1144" t="s">
        <v>18</v>
      </c>
      <c r="C1144">
        <v>33</v>
      </c>
      <c r="D1144" t="s">
        <v>37</v>
      </c>
      <c r="E1144" t="s">
        <v>20</v>
      </c>
      <c r="F1144" s="1">
        <v>42499</v>
      </c>
      <c r="G1144" s="1">
        <v>42499</v>
      </c>
      <c r="H1144" t="s">
        <v>30</v>
      </c>
      <c r="I1144">
        <v>0</v>
      </c>
      <c r="J1144" t="s">
        <v>111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23</v>
      </c>
      <c r="R1144">
        <v>0</v>
      </c>
    </row>
    <row r="1145" spans="1:18">
      <c r="A1145">
        <v>719814000000000</v>
      </c>
      <c r="B1145" t="s">
        <v>28</v>
      </c>
      <c r="C1145">
        <v>22</v>
      </c>
      <c r="D1145" t="s">
        <v>37</v>
      </c>
      <c r="E1145" t="s">
        <v>59</v>
      </c>
      <c r="F1145" s="1">
        <v>42499</v>
      </c>
      <c r="G1145" s="1">
        <v>42499</v>
      </c>
      <c r="H1145" t="s">
        <v>30</v>
      </c>
      <c r="I1145">
        <v>0</v>
      </c>
      <c r="J1145" t="s">
        <v>111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23</v>
      </c>
      <c r="R1145">
        <v>0</v>
      </c>
    </row>
    <row r="1146" spans="1:18">
      <c r="A1146">
        <v>444473000000</v>
      </c>
      <c r="B1146" t="s">
        <v>18</v>
      </c>
      <c r="C1146">
        <v>32</v>
      </c>
      <c r="D1146" t="s">
        <v>37</v>
      </c>
      <c r="E1146" t="s">
        <v>45</v>
      </c>
      <c r="F1146" s="1">
        <v>42485</v>
      </c>
      <c r="G1146" s="1">
        <v>42496</v>
      </c>
      <c r="H1146" t="s">
        <v>21</v>
      </c>
      <c r="I1146">
        <v>11</v>
      </c>
      <c r="J1146" t="s">
        <v>92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</v>
      </c>
      <c r="Q1146" t="s">
        <v>23</v>
      </c>
      <c r="R1146">
        <v>0</v>
      </c>
    </row>
    <row r="1147" spans="1:18">
      <c r="A1147">
        <v>92246200000000</v>
      </c>
      <c r="B1147" t="s">
        <v>18</v>
      </c>
      <c r="C1147">
        <v>27</v>
      </c>
      <c r="D1147" t="s">
        <v>37</v>
      </c>
      <c r="E1147" t="s">
        <v>45</v>
      </c>
      <c r="F1147" s="1">
        <v>42499</v>
      </c>
      <c r="G1147" s="1">
        <v>42499</v>
      </c>
      <c r="H1147" t="s">
        <v>30</v>
      </c>
      <c r="I1147">
        <v>0</v>
      </c>
      <c r="J1147" t="s">
        <v>111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23</v>
      </c>
      <c r="R1147">
        <v>0</v>
      </c>
    </row>
    <row r="1148" spans="1:18">
      <c r="A1148">
        <v>62682100000000</v>
      </c>
      <c r="B1148" t="s">
        <v>18</v>
      </c>
      <c r="C1148">
        <v>27</v>
      </c>
      <c r="D1148" t="s">
        <v>37</v>
      </c>
      <c r="E1148" t="s">
        <v>69</v>
      </c>
      <c r="F1148" s="1">
        <v>42499</v>
      </c>
      <c r="G1148" s="1">
        <v>42499</v>
      </c>
      <c r="H1148" t="s">
        <v>30</v>
      </c>
      <c r="I1148">
        <v>0</v>
      </c>
      <c r="J1148" t="s">
        <v>111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23</v>
      </c>
      <c r="R1148">
        <v>0</v>
      </c>
    </row>
    <row r="1149" spans="1:18">
      <c r="A1149">
        <v>6642340000000</v>
      </c>
      <c r="B1149" t="s">
        <v>28</v>
      </c>
      <c r="C1149">
        <v>23</v>
      </c>
      <c r="D1149" t="s">
        <v>37</v>
      </c>
      <c r="E1149" t="s">
        <v>50</v>
      </c>
      <c r="F1149" s="1">
        <v>42485</v>
      </c>
      <c r="G1149" s="1">
        <v>42489</v>
      </c>
      <c r="H1149" t="s">
        <v>21</v>
      </c>
      <c r="I1149">
        <v>4</v>
      </c>
      <c r="J1149" t="s">
        <v>107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23</v>
      </c>
      <c r="R1149">
        <v>0</v>
      </c>
    </row>
    <row r="1150" spans="1:18">
      <c r="A1150">
        <v>6933940000000</v>
      </c>
      <c r="B1150" t="s">
        <v>18</v>
      </c>
      <c r="C1150">
        <v>27</v>
      </c>
      <c r="D1150" t="s">
        <v>37</v>
      </c>
      <c r="E1150" t="s">
        <v>70</v>
      </c>
      <c r="F1150" s="1">
        <v>42485</v>
      </c>
      <c r="G1150" s="1">
        <v>42495</v>
      </c>
      <c r="H1150" t="s">
        <v>33</v>
      </c>
      <c r="I1150">
        <v>10</v>
      </c>
      <c r="J1150" t="s">
        <v>92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26</v>
      </c>
      <c r="R1150">
        <v>1</v>
      </c>
    </row>
    <row r="1151" spans="1:18">
      <c r="A1151">
        <v>744488000000</v>
      </c>
      <c r="B1151" t="s">
        <v>18</v>
      </c>
      <c r="C1151">
        <v>24</v>
      </c>
      <c r="D1151" t="s">
        <v>37</v>
      </c>
      <c r="E1151" t="s">
        <v>46</v>
      </c>
      <c r="F1151" s="1">
        <v>42485</v>
      </c>
      <c r="G1151" s="1">
        <v>42503</v>
      </c>
      <c r="H1151" t="s">
        <v>21</v>
      </c>
      <c r="I1151">
        <v>18</v>
      </c>
      <c r="J1151" t="s">
        <v>77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26</v>
      </c>
      <c r="R1151">
        <v>1</v>
      </c>
    </row>
    <row r="1152" spans="1:18">
      <c r="A1152">
        <v>168686000000</v>
      </c>
      <c r="B1152" t="s">
        <v>18</v>
      </c>
      <c r="C1152">
        <v>20</v>
      </c>
      <c r="D1152" t="s">
        <v>37</v>
      </c>
      <c r="E1152" t="s">
        <v>73</v>
      </c>
      <c r="F1152" s="1">
        <v>42499</v>
      </c>
      <c r="G1152" s="1">
        <v>42503</v>
      </c>
      <c r="H1152" t="s">
        <v>21</v>
      </c>
      <c r="I1152">
        <v>4</v>
      </c>
      <c r="J1152" t="s">
        <v>107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26</v>
      </c>
      <c r="R1152">
        <v>1</v>
      </c>
    </row>
    <row r="1153" spans="1:18">
      <c r="A1153">
        <v>8917950000000</v>
      </c>
      <c r="B1153" t="s">
        <v>28</v>
      </c>
      <c r="C1153">
        <v>31</v>
      </c>
      <c r="D1153" t="s">
        <v>37</v>
      </c>
      <c r="E1153" t="s">
        <v>29</v>
      </c>
      <c r="F1153" s="1">
        <v>42496</v>
      </c>
      <c r="G1153" s="1">
        <v>42496</v>
      </c>
      <c r="H1153" t="s">
        <v>21</v>
      </c>
      <c r="I1153">
        <v>0</v>
      </c>
      <c r="J1153" t="s">
        <v>111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23</v>
      </c>
      <c r="R1153">
        <v>0</v>
      </c>
    </row>
    <row r="1154" spans="1:18">
      <c r="A1154">
        <v>85642200000000</v>
      </c>
      <c r="B1154" t="s">
        <v>18</v>
      </c>
      <c r="C1154">
        <v>27</v>
      </c>
      <c r="D1154" t="s">
        <v>37</v>
      </c>
      <c r="E1154" t="s">
        <v>43</v>
      </c>
      <c r="F1154" s="1">
        <v>42485</v>
      </c>
      <c r="G1154" s="1">
        <v>42494</v>
      </c>
      <c r="H1154" t="s">
        <v>25</v>
      </c>
      <c r="I1154">
        <v>9</v>
      </c>
      <c r="J1154" t="s">
        <v>92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</v>
      </c>
      <c r="Q1154" t="s">
        <v>23</v>
      </c>
      <c r="R1154">
        <v>0</v>
      </c>
    </row>
    <row r="1155" spans="1:18">
      <c r="A1155">
        <v>38396800000000</v>
      </c>
      <c r="B1155" t="s">
        <v>18</v>
      </c>
      <c r="C1155">
        <v>23</v>
      </c>
      <c r="D1155" t="s">
        <v>37</v>
      </c>
      <c r="E1155" t="s">
        <v>67</v>
      </c>
      <c r="F1155" s="1">
        <v>42496</v>
      </c>
      <c r="G1155" s="1">
        <v>42496</v>
      </c>
      <c r="H1155" t="s">
        <v>21</v>
      </c>
      <c r="I1155">
        <v>0</v>
      </c>
      <c r="J1155" t="s">
        <v>111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23</v>
      </c>
      <c r="R1155">
        <v>0</v>
      </c>
    </row>
    <row r="1156" spans="1:18">
      <c r="A1156">
        <v>81511200000000</v>
      </c>
      <c r="B1156" t="s">
        <v>28</v>
      </c>
      <c r="C1156">
        <v>20</v>
      </c>
      <c r="D1156" t="s">
        <v>37</v>
      </c>
      <c r="E1156" t="s">
        <v>47</v>
      </c>
      <c r="F1156" s="1">
        <v>42496</v>
      </c>
      <c r="G1156" s="1">
        <v>42524</v>
      </c>
      <c r="H1156" t="s">
        <v>21</v>
      </c>
      <c r="I1156">
        <v>28</v>
      </c>
      <c r="J1156" t="s">
        <v>77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23</v>
      </c>
      <c r="R1156">
        <v>0</v>
      </c>
    </row>
    <row r="1157" spans="1:18">
      <c r="A1157">
        <v>61957777464</v>
      </c>
      <c r="B1157" t="s">
        <v>18</v>
      </c>
      <c r="C1157">
        <v>30</v>
      </c>
      <c r="D1157" t="s">
        <v>37</v>
      </c>
      <c r="E1157" t="s">
        <v>67</v>
      </c>
      <c r="F1157" s="1">
        <v>42496</v>
      </c>
      <c r="G1157" s="1">
        <v>42500</v>
      </c>
      <c r="H1157" t="s">
        <v>41</v>
      </c>
      <c r="I1157">
        <v>4</v>
      </c>
      <c r="J1157" t="s">
        <v>107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</v>
      </c>
      <c r="Q1157" t="s">
        <v>26</v>
      </c>
      <c r="R1157">
        <v>1</v>
      </c>
    </row>
    <row r="1158" spans="1:18">
      <c r="A1158">
        <v>375678000000000</v>
      </c>
      <c r="B1158" t="s">
        <v>18</v>
      </c>
      <c r="C1158">
        <v>23</v>
      </c>
      <c r="D1158" t="s">
        <v>37</v>
      </c>
      <c r="E1158" t="s">
        <v>42</v>
      </c>
      <c r="F1158" s="1">
        <v>42496</v>
      </c>
      <c r="G1158" s="1">
        <v>42503</v>
      </c>
      <c r="H1158" t="s">
        <v>21</v>
      </c>
      <c r="I1158">
        <v>7</v>
      </c>
      <c r="J1158" t="s">
        <v>107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23</v>
      </c>
      <c r="R1158">
        <v>0</v>
      </c>
    </row>
    <row r="1159" spans="1:18">
      <c r="A1159">
        <v>2573510000000</v>
      </c>
      <c r="B1159" t="s">
        <v>18</v>
      </c>
      <c r="C1159">
        <v>19</v>
      </c>
      <c r="D1159" t="s">
        <v>37</v>
      </c>
      <c r="E1159" t="s">
        <v>63</v>
      </c>
      <c r="F1159" s="1">
        <v>42496</v>
      </c>
      <c r="G1159" s="1">
        <v>42510</v>
      </c>
      <c r="H1159" t="s">
        <v>21</v>
      </c>
      <c r="I1159">
        <v>14</v>
      </c>
      <c r="J1159" t="s">
        <v>92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23</v>
      </c>
      <c r="R1159">
        <v>0</v>
      </c>
    </row>
    <row r="1160" spans="1:18">
      <c r="A1160">
        <v>72189500000000</v>
      </c>
      <c r="B1160" t="s">
        <v>18</v>
      </c>
      <c r="C1160">
        <v>33</v>
      </c>
      <c r="D1160" t="s">
        <v>37</v>
      </c>
      <c r="E1160" t="s">
        <v>32</v>
      </c>
      <c r="F1160" s="1">
        <v>42496</v>
      </c>
      <c r="G1160" s="1">
        <v>42496</v>
      </c>
      <c r="H1160" t="s">
        <v>21</v>
      </c>
      <c r="I1160">
        <v>0</v>
      </c>
      <c r="J1160" t="s">
        <v>111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23</v>
      </c>
      <c r="R1160">
        <v>0</v>
      </c>
    </row>
    <row r="1161" spans="1:18">
      <c r="A1161">
        <v>75936400000000</v>
      </c>
      <c r="B1161" t="s">
        <v>18</v>
      </c>
      <c r="C1161">
        <v>30</v>
      </c>
      <c r="D1161" t="s">
        <v>37</v>
      </c>
      <c r="E1161" t="s">
        <v>67</v>
      </c>
      <c r="F1161" s="1">
        <v>42496</v>
      </c>
      <c r="G1161" s="1">
        <v>42522</v>
      </c>
      <c r="H1161" t="s">
        <v>25</v>
      </c>
      <c r="I1161">
        <v>26</v>
      </c>
      <c r="J1161" t="s">
        <v>77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1</v>
      </c>
      <c r="Q1161" t="s">
        <v>23</v>
      </c>
      <c r="R1161">
        <v>0</v>
      </c>
    </row>
    <row r="1162" spans="1:18">
      <c r="A1162">
        <v>579721997</v>
      </c>
      <c r="B1162" t="s">
        <v>18</v>
      </c>
      <c r="C1162">
        <v>29</v>
      </c>
      <c r="D1162" t="s">
        <v>37</v>
      </c>
      <c r="E1162" t="s">
        <v>64</v>
      </c>
      <c r="F1162" s="1">
        <v>42485</v>
      </c>
      <c r="G1162" s="1">
        <v>42492</v>
      </c>
      <c r="H1162" t="s">
        <v>30</v>
      </c>
      <c r="I1162">
        <v>7</v>
      </c>
      <c r="J1162" t="s">
        <v>107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1</v>
      </c>
      <c r="Q1162" t="s">
        <v>23</v>
      </c>
      <c r="R1162">
        <v>0</v>
      </c>
    </row>
    <row r="1163" spans="1:18">
      <c r="A1163">
        <v>1428820000000</v>
      </c>
      <c r="B1163" t="s">
        <v>28</v>
      </c>
      <c r="C1163">
        <v>20</v>
      </c>
      <c r="D1163" t="s">
        <v>37</v>
      </c>
      <c r="E1163" t="s">
        <v>59</v>
      </c>
      <c r="F1163" s="1">
        <v>42485</v>
      </c>
      <c r="G1163" s="1">
        <v>42524</v>
      </c>
      <c r="H1163" t="s">
        <v>21</v>
      </c>
      <c r="I1163">
        <v>39</v>
      </c>
      <c r="J1163" t="s">
        <v>22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</v>
      </c>
      <c r="Q1163" t="s">
        <v>23</v>
      </c>
      <c r="R1163">
        <v>0</v>
      </c>
    </row>
    <row r="1164" spans="1:18">
      <c r="A1164">
        <v>62339100000000</v>
      </c>
      <c r="B1164" t="s">
        <v>18</v>
      </c>
      <c r="C1164">
        <v>27</v>
      </c>
      <c r="D1164" t="s">
        <v>37</v>
      </c>
      <c r="E1164" t="s">
        <v>105</v>
      </c>
      <c r="F1164" s="1">
        <v>42496</v>
      </c>
      <c r="G1164" s="1">
        <v>42520</v>
      </c>
      <c r="H1164" t="s">
        <v>30</v>
      </c>
      <c r="I1164">
        <v>24</v>
      </c>
      <c r="J1164" t="s">
        <v>77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1</v>
      </c>
      <c r="Q1164" t="s">
        <v>23</v>
      </c>
      <c r="R1164">
        <v>0</v>
      </c>
    </row>
    <row r="1165" spans="1:18">
      <c r="A1165">
        <v>736428000000000</v>
      </c>
      <c r="B1165" t="s">
        <v>18</v>
      </c>
      <c r="C1165">
        <v>26</v>
      </c>
      <c r="D1165" t="s">
        <v>37</v>
      </c>
      <c r="E1165" t="s">
        <v>45</v>
      </c>
      <c r="F1165" s="1">
        <v>42485</v>
      </c>
      <c r="G1165" s="1">
        <v>42495</v>
      </c>
      <c r="H1165" t="s">
        <v>33</v>
      </c>
      <c r="I1165">
        <v>10</v>
      </c>
      <c r="J1165" t="s">
        <v>92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1</v>
      </c>
      <c r="Q1165" t="s">
        <v>23</v>
      </c>
      <c r="R1165">
        <v>0</v>
      </c>
    </row>
    <row r="1166" spans="1:18">
      <c r="A1166">
        <v>172989000000000</v>
      </c>
      <c r="B1166" t="s">
        <v>18</v>
      </c>
      <c r="C1166">
        <v>26</v>
      </c>
      <c r="D1166" t="s">
        <v>37</v>
      </c>
      <c r="E1166" t="s">
        <v>84</v>
      </c>
      <c r="F1166" s="1">
        <v>42496</v>
      </c>
      <c r="G1166" s="1">
        <v>42508</v>
      </c>
      <c r="H1166" t="s">
        <v>25</v>
      </c>
      <c r="I1166">
        <v>12</v>
      </c>
      <c r="J1166" t="s">
        <v>92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23</v>
      </c>
      <c r="R1166">
        <v>0</v>
      </c>
    </row>
    <row r="1167" spans="1:18">
      <c r="A1167">
        <v>63284400000000</v>
      </c>
      <c r="B1167" t="s">
        <v>18</v>
      </c>
      <c r="C1167">
        <v>23</v>
      </c>
      <c r="D1167" t="s">
        <v>37</v>
      </c>
      <c r="E1167" t="s">
        <v>59</v>
      </c>
      <c r="F1167" s="1">
        <v>42496</v>
      </c>
      <c r="G1167" s="1">
        <v>42506</v>
      </c>
      <c r="H1167" t="s">
        <v>30</v>
      </c>
      <c r="I1167">
        <v>10</v>
      </c>
      <c r="J1167" t="s">
        <v>92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26</v>
      </c>
      <c r="R1167">
        <v>1</v>
      </c>
    </row>
    <row r="1168" spans="1:18">
      <c r="A1168">
        <v>2975370000000</v>
      </c>
      <c r="B1168" t="s">
        <v>18</v>
      </c>
      <c r="C1168">
        <v>25</v>
      </c>
      <c r="D1168" t="s">
        <v>37</v>
      </c>
      <c r="E1168" t="s">
        <v>75</v>
      </c>
      <c r="F1168" s="1">
        <v>42485</v>
      </c>
      <c r="G1168" s="1">
        <v>42492</v>
      </c>
      <c r="H1168" t="s">
        <v>30</v>
      </c>
      <c r="I1168">
        <v>7</v>
      </c>
      <c r="J1168" t="s">
        <v>107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23</v>
      </c>
      <c r="R1168">
        <v>0</v>
      </c>
    </row>
    <row r="1169" spans="1:18">
      <c r="A1169">
        <v>6857860000000</v>
      </c>
      <c r="B1169" t="s">
        <v>18</v>
      </c>
      <c r="C1169">
        <v>33</v>
      </c>
      <c r="D1169" t="s">
        <v>37</v>
      </c>
      <c r="E1169" t="s">
        <v>46</v>
      </c>
      <c r="F1169" s="1">
        <v>42485</v>
      </c>
      <c r="G1169" s="1">
        <v>42506</v>
      </c>
      <c r="H1169" t="s">
        <v>30</v>
      </c>
      <c r="I1169">
        <v>21</v>
      </c>
      <c r="J1169" t="s">
        <v>77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23</v>
      </c>
      <c r="R1169">
        <v>0</v>
      </c>
    </row>
    <row r="1170" spans="1:18">
      <c r="A1170">
        <v>756883000000</v>
      </c>
      <c r="B1170" t="s">
        <v>18</v>
      </c>
      <c r="C1170">
        <v>24</v>
      </c>
      <c r="D1170" t="s">
        <v>37</v>
      </c>
      <c r="E1170" t="s">
        <v>72</v>
      </c>
      <c r="F1170" s="1">
        <v>42496</v>
      </c>
      <c r="G1170" s="1">
        <v>42520</v>
      </c>
      <c r="H1170" t="s">
        <v>30</v>
      </c>
      <c r="I1170">
        <v>24</v>
      </c>
      <c r="J1170" t="s">
        <v>77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</v>
      </c>
      <c r="Q1170" t="s">
        <v>26</v>
      </c>
      <c r="R1170">
        <v>1</v>
      </c>
    </row>
    <row r="1171" spans="1:18">
      <c r="A1171">
        <v>59949800000000</v>
      </c>
      <c r="B1171" t="s">
        <v>28</v>
      </c>
      <c r="C1171">
        <v>31</v>
      </c>
      <c r="D1171" t="s">
        <v>37</v>
      </c>
      <c r="E1171" t="s">
        <v>50</v>
      </c>
      <c r="F1171" s="1">
        <v>42485</v>
      </c>
      <c r="G1171" s="1">
        <v>42496</v>
      </c>
      <c r="H1171" t="s">
        <v>21</v>
      </c>
      <c r="I1171">
        <v>11</v>
      </c>
      <c r="J1171" t="s">
        <v>92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</v>
      </c>
      <c r="Q1171" t="s">
        <v>23</v>
      </c>
      <c r="R1171">
        <v>0</v>
      </c>
    </row>
    <row r="1172" spans="1:18">
      <c r="A1172">
        <v>756883000000</v>
      </c>
      <c r="B1172" t="s">
        <v>18</v>
      </c>
      <c r="C1172">
        <v>24</v>
      </c>
      <c r="D1172" t="s">
        <v>37</v>
      </c>
      <c r="E1172" t="s">
        <v>72</v>
      </c>
      <c r="F1172" s="1">
        <v>42496</v>
      </c>
      <c r="G1172" s="1">
        <v>42523</v>
      </c>
      <c r="H1172" t="s">
        <v>33</v>
      </c>
      <c r="I1172">
        <v>27</v>
      </c>
      <c r="J1172" t="s">
        <v>77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  <c r="Q1172" t="s">
        <v>26</v>
      </c>
      <c r="R1172">
        <v>1</v>
      </c>
    </row>
    <row r="1173" spans="1:18">
      <c r="A1173">
        <v>468586000000000</v>
      </c>
      <c r="B1173" t="s">
        <v>28</v>
      </c>
      <c r="C1173">
        <v>30</v>
      </c>
      <c r="D1173" t="s">
        <v>37</v>
      </c>
      <c r="E1173" t="s">
        <v>70</v>
      </c>
      <c r="F1173" s="1">
        <v>42496</v>
      </c>
      <c r="G1173" s="1">
        <v>42496</v>
      </c>
      <c r="H1173" t="s">
        <v>21</v>
      </c>
      <c r="I1173">
        <v>0</v>
      </c>
      <c r="J1173" t="s">
        <v>111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23</v>
      </c>
      <c r="R1173">
        <v>0</v>
      </c>
    </row>
    <row r="1174" spans="1:18">
      <c r="A1174">
        <v>8413350000000</v>
      </c>
      <c r="B1174" t="s">
        <v>28</v>
      </c>
      <c r="C1174">
        <v>19</v>
      </c>
      <c r="D1174" t="s">
        <v>37</v>
      </c>
      <c r="E1174" t="s">
        <v>97</v>
      </c>
      <c r="F1174" s="1">
        <v>42496</v>
      </c>
      <c r="G1174" s="1">
        <v>42496</v>
      </c>
      <c r="H1174" t="s">
        <v>21</v>
      </c>
      <c r="I1174">
        <v>0</v>
      </c>
      <c r="J1174" t="s">
        <v>111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23</v>
      </c>
      <c r="R1174">
        <v>0</v>
      </c>
    </row>
    <row r="1175" spans="1:18">
      <c r="A1175">
        <v>74529200000000</v>
      </c>
      <c r="B1175" t="s">
        <v>18</v>
      </c>
      <c r="C1175">
        <v>30</v>
      </c>
      <c r="D1175" t="s">
        <v>37</v>
      </c>
      <c r="E1175" t="s">
        <v>87</v>
      </c>
      <c r="F1175" s="1">
        <v>42496</v>
      </c>
      <c r="G1175" s="1">
        <v>42500</v>
      </c>
      <c r="H1175" t="s">
        <v>41</v>
      </c>
      <c r="I1175">
        <v>4</v>
      </c>
      <c r="J1175" t="s">
        <v>107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</v>
      </c>
      <c r="Q1175" t="s">
        <v>23</v>
      </c>
      <c r="R1175">
        <v>0</v>
      </c>
    </row>
    <row r="1176" spans="1:18">
      <c r="A1176">
        <v>3319160000000</v>
      </c>
      <c r="B1176" t="s">
        <v>28</v>
      </c>
      <c r="C1176">
        <v>35</v>
      </c>
      <c r="D1176" t="s">
        <v>37</v>
      </c>
      <c r="E1176" t="s">
        <v>95</v>
      </c>
      <c r="F1176" s="1">
        <v>42485</v>
      </c>
      <c r="G1176" s="1">
        <v>42499</v>
      </c>
      <c r="H1176" t="s">
        <v>30</v>
      </c>
      <c r="I1176">
        <v>14</v>
      </c>
      <c r="J1176" t="s">
        <v>92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23</v>
      </c>
      <c r="R1176">
        <v>0</v>
      </c>
    </row>
    <row r="1177" spans="1:18">
      <c r="A1177">
        <v>932352000000000</v>
      </c>
      <c r="B1177" t="s">
        <v>28</v>
      </c>
      <c r="C1177">
        <v>22</v>
      </c>
      <c r="D1177" t="s">
        <v>37</v>
      </c>
      <c r="E1177" t="s">
        <v>75</v>
      </c>
      <c r="F1177" s="1">
        <v>42496</v>
      </c>
      <c r="G1177" s="1">
        <v>42496</v>
      </c>
      <c r="H1177" t="s">
        <v>21</v>
      </c>
      <c r="I1177">
        <v>0</v>
      </c>
      <c r="J1177" t="s">
        <v>111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23</v>
      </c>
      <c r="R1177">
        <v>0</v>
      </c>
    </row>
    <row r="1178" spans="1:18">
      <c r="A1178">
        <v>36848500000000</v>
      </c>
      <c r="B1178" t="s">
        <v>18</v>
      </c>
      <c r="C1178">
        <v>33</v>
      </c>
      <c r="D1178" t="s">
        <v>37</v>
      </c>
      <c r="E1178" t="s">
        <v>89</v>
      </c>
      <c r="F1178" s="1">
        <v>42496</v>
      </c>
      <c r="G1178" s="1">
        <v>42496</v>
      </c>
      <c r="H1178" t="s">
        <v>21</v>
      </c>
      <c r="I1178">
        <v>0</v>
      </c>
      <c r="J1178" t="s">
        <v>111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23</v>
      </c>
      <c r="R1178">
        <v>0</v>
      </c>
    </row>
    <row r="1179" spans="1:18">
      <c r="A1179">
        <v>9229630000000</v>
      </c>
      <c r="B1179" t="s">
        <v>18</v>
      </c>
      <c r="C1179">
        <v>26</v>
      </c>
      <c r="D1179" t="s">
        <v>37</v>
      </c>
      <c r="E1179" t="s">
        <v>105</v>
      </c>
      <c r="F1179" s="1">
        <v>42485</v>
      </c>
      <c r="G1179" s="1">
        <v>42496</v>
      </c>
      <c r="H1179" t="s">
        <v>21</v>
      </c>
      <c r="I1179">
        <v>11</v>
      </c>
      <c r="J1179" t="s">
        <v>92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</v>
      </c>
      <c r="Q1179" t="s">
        <v>23</v>
      </c>
      <c r="R1179">
        <v>0</v>
      </c>
    </row>
    <row r="1180" spans="1:18">
      <c r="A1180">
        <v>941364000000000</v>
      </c>
      <c r="B1180" t="s">
        <v>18</v>
      </c>
      <c r="C1180">
        <v>26</v>
      </c>
      <c r="D1180" t="s">
        <v>37</v>
      </c>
      <c r="E1180" t="s">
        <v>29</v>
      </c>
      <c r="F1180" s="1">
        <v>42485</v>
      </c>
      <c r="G1180" s="1">
        <v>42503</v>
      </c>
      <c r="H1180" t="s">
        <v>21</v>
      </c>
      <c r="I1180">
        <v>18</v>
      </c>
      <c r="J1180" t="s">
        <v>77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23</v>
      </c>
      <c r="R1180">
        <v>0</v>
      </c>
    </row>
    <row r="1181" spans="1:18">
      <c r="A1181">
        <v>32557400000000</v>
      </c>
      <c r="B1181" t="s">
        <v>18</v>
      </c>
      <c r="C1181">
        <v>31</v>
      </c>
      <c r="D1181" t="s">
        <v>37</v>
      </c>
      <c r="E1181" t="s">
        <v>63</v>
      </c>
      <c r="F1181" s="1">
        <v>42496</v>
      </c>
      <c r="G1181" s="1">
        <v>42500</v>
      </c>
      <c r="H1181" t="s">
        <v>41</v>
      </c>
      <c r="I1181">
        <v>4</v>
      </c>
      <c r="J1181" t="s">
        <v>107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</v>
      </c>
      <c r="Q1181" t="s">
        <v>26</v>
      </c>
      <c r="R1181">
        <v>1</v>
      </c>
    </row>
    <row r="1182" spans="1:18">
      <c r="A1182">
        <v>79437700000000</v>
      </c>
      <c r="B1182" t="s">
        <v>28</v>
      </c>
      <c r="C1182">
        <v>30</v>
      </c>
      <c r="D1182" t="s">
        <v>37</v>
      </c>
      <c r="E1182" t="s">
        <v>44</v>
      </c>
      <c r="F1182" s="1">
        <v>42496</v>
      </c>
      <c r="G1182" s="1">
        <v>42500</v>
      </c>
      <c r="H1182" t="s">
        <v>41</v>
      </c>
      <c r="I1182">
        <v>4</v>
      </c>
      <c r="J1182" t="s">
        <v>107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</v>
      </c>
      <c r="Q1182" t="s">
        <v>23</v>
      </c>
      <c r="R1182">
        <v>0</v>
      </c>
    </row>
    <row r="1183" spans="1:18">
      <c r="A1183">
        <v>7458180000000</v>
      </c>
      <c r="B1183" t="s">
        <v>18</v>
      </c>
      <c r="C1183">
        <v>35</v>
      </c>
      <c r="D1183" t="s">
        <v>37</v>
      </c>
      <c r="E1183" t="s">
        <v>84</v>
      </c>
      <c r="F1183" s="1">
        <v>42496</v>
      </c>
      <c r="G1183" s="1">
        <v>42496</v>
      </c>
      <c r="H1183" t="s">
        <v>21</v>
      </c>
      <c r="I1183">
        <v>0</v>
      </c>
      <c r="J1183" t="s">
        <v>111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23</v>
      </c>
      <c r="R1183">
        <v>0</v>
      </c>
    </row>
    <row r="1184" spans="1:18">
      <c r="A1184">
        <v>69236100000000</v>
      </c>
      <c r="B1184" t="s">
        <v>18</v>
      </c>
      <c r="C1184">
        <v>18</v>
      </c>
      <c r="D1184" t="s">
        <v>37</v>
      </c>
      <c r="E1184" t="s">
        <v>71</v>
      </c>
      <c r="F1184" s="1">
        <v>42496</v>
      </c>
      <c r="G1184" s="1">
        <v>42523</v>
      </c>
      <c r="H1184" t="s">
        <v>33</v>
      </c>
      <c r="I1184">
        <v>27</v>
      </c>
      <c r="J1184" t="s">
        <v>77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</v>
      </c>
      <c r="Q1184" t="s">
        <v>23</v>
      </c>
      <c r="R1184">
        <v>0</v>
      </c>
    </row>
    <row r="1185" spans="1:18">
      <c r="A1185">
        <v>1376280000000</v>
      </c>
      <c r="B1185" t="s">
        <v>18</v>
      </c>
      <c r="C1185">
        <v>24</v>
      </c>
      <c r="D1185" t="s">
        <v>37</v>
      </c>
      <c r="E1185" t="s">
        <v>40</v>
      </c>
      <c r="F1185" s="1">
        <v>42496</v>
      </c>
      <c r="G1185" s="1">
        <v>42524</v>
      </c>
      <c r="H1185" t="s">
        <v>21</v>
      </c>
      <c r="I1185">
        <v>28</v>
      </c>
      <c r="J1185" t="s">
        <v>77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</v>
      </c>
      <c r="Q1185" t="s">
        <v>23</v>
      </c>
      <c r="R1185">
        <v>0</v>
      </c>
    </row>
    <row r="1186" spans="1:18">
      <c r="A1186">
        <v>86140000000000</v>
      </c>
      <c r="B1186" t="s">
        <v>18</v>
      </c>
      <c r="C1186">
        <v>30</v>
      </c>
      <c r="D1186" t="s">
        <v>37</v>
      </c>
      <c r="E1186" t="s">
        <v>78</v>
      </c>
      <c r="F1186" s="1">
        <v>42496</v>
      </c>
      <c r="G1186" s="1">
        <v>42509</v>
      </c>
      <c r="H1186" t="s">
        <v>33</v>
      </c>
      <c r="I1186">
        <v>13</v>
      </c>
      <c r="J1186" t="s">
        <v>92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23</v>
      </c>
      <c r="R1186">
        <v>0</v>
      </c>
    </row>
    <row r="1187" spans="1:18">
      <c r="A1187">
        <v>56589900000000</v>
      </c>
      <c r="B1187" t="s">
        <v>18</v>
      </c>
      <c r="C1187">
        <v>21</v>
      </c>
      <c r="D1187" t="s">
        <v>37</v>
      </c>
      <c r="E1187" t="s">
        <v>32</v>
      </c>
      <c r="F1187" s="1">
        <v>42496</v>
      </c>
      <c r="G1187" s="1">
        <v>42510</v>
      </c>
      <c r="H1187" t="s">
        <v>21</v>
      </c>
      <c r="I1187">
        <v>14</v>
      </c>
      <c r="J1187" t="s">
        <v>92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23</v>
      </c>
      <c r="R1187">
        <v>0</v>
      </c>
    </row>
    <row r="1188" spans="1:18">
      <c r="A1188">
        <v>655824000000000</v>
      </c>
      <c r="B1188" t="s">
        <v>28</v>
      </c>
      <c r="C1188">
        <v>33</v>
      </c>
      <c r="D1188" t="s">
        <v>37</v>
      </c>
      <c r="E1188" t="s">
        <v>57</v>
      </c>
      <c r="F1188" s="1">
        <v>42496</v>
      </c>
      <c r="G1188" s="1">
        <v>42496</v>
      </c>
      <c r="H1188" t="s">
        <v>21</v>
      </c>
      <c r="I1188">
        <v>0</v>
      </c>
      <c r="J1188" t="s">
        <v>111</v>
      </c>
      <c r="K1188">
        <v>1</v>
      </c>
      <c r="L1188">
        <v>1</v>
      </c>
      <c r="M1188">
        <v>0</v>
      </c>
      <c r="N1188">
        <v>0</v>
      </c>
      <c r="O1188">
        <v>0</v>
      </c>
      <c r="P1188">
        <v>0</v>
      </c>
      <c r="Q1188" t="s">
        <v>23</v>
      </c>
      <c r="R1188">
        <v>0</v>
      </c>
    </row>
    <row r="1189" spans="1:18">
      <c r="A1189">
        <v>919415000000000</v>
      </c>
      <c r="B1189" t="s">
        <v>18</v>
      </c>
      <c r="C1189">
        <v>19</v>
      </c>
      <c r="D1189" t="s">
        <v>37</v>
      </c>
      <c r="E1189" t="s">
        <v>73</v>
      </c>
      <c r="F1189" s="1">
        <v>42496</v>
      </c>
      <c r="G1189" s="1">
        <v>42496</v>
      </c>
      <c r="H1189" t="s">
        <v>21</v>
      </c>
      <c r="I1189">
        <v>0</v>
      </c>
      <c r="J1189" t="s">
        <v>111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23</v>
      </c>
      <c r="R1189">
        <v>0</v>
      </c>
    </row>
    <row r="1190" spans="1:18">
      <c r="A1190">
        <v>38247915222</v>
      </c>
      <c r="B1190" t="s">
        <v>18</v>
      </c>
      <c r="C1190">
        <v>29</v>
      </c>
      <c r="D1190" t="s">
        <v>37</v>
      </c>
      <c r="E1190" t="s">
        <v>113</v>
      </c>
      <c r="F1190" s="1">
        <v>42496</v>
      </c>
      <c r="G1190" s="1">
        <v>42501</v>
      </c>
      <c r="H1190" t="s">
        <v>25</v>
      </c>
      <c r="I1190">
        <v>5</v>
      </c>
      <c r="J1190" t="s">
        <v>107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</v>
      </c>
      <c r="Q1190" t="s">
        <v>26</v>
      </c>
      <c r="R1190">
        <v>1</v>
      </c>
    </row>
    <row r="1191" spans="1:18">
      <c r="A1191">
        <v>95866500000000</v>
      </c>
      <c r="B1191" t="s">
        <v>28</v>
      </c>
      <c r="C1191">
        <v>28</v>
      </c>
      <c r="D1191" t="s">
        <v>37</v>
      </c>
      <c r="E1191" t="s">
        <v>96</v>
      </c>
      <c r="F1191" s="1">
        <v>42496</v>
      </c>
      <c r="G1191" s="1">
        <v>42509</v>
      </c>
      <c r="H1191" t="s">
        <v>33</v>
      </c>
      <c r="I1191">
        <v>13</v>
      </c>
      <c r="J1191" t="s">
        <v>92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23</v>
      </c>
      <c r="R1191">
        <v>0</v>
      </c>
    </row>
    <row r="1192" spans="1:18">
      <c r="A1192">
        <v>1998570000000</v>
      </c>
      <c r="B1192" t="s">
        <v>18</v>
      </c>
      <c r="C1192">
        <v>27</v>
      </c>
      <c r="D1192" t="s">
        <v>37</v>
      </c>
      <c r="E1192" t="s">
        <v>59</v>
      </c>
      <c r="F1192" s="1">
        <v>42496</v>
      </c>
      <c r="G1192" s="1">
        <v>42510</v>
      </c>
      <c r="H1192" t="s">
        <v>21</v>
      </c>
      <c r="I1192">
        <v>14</v>
      </c>
      <c r="J1192" t="s">
        <v>92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26</v>
      </c>
      <c r="R1192">
        <v>1</v>
      </c>
    </row>
    <row r="1193" spans="1:18">
      <c r="A1193">
        <v>525583000000000</v>
      </c>
      <c r="B1193" t="s">
        <v>18</v>
      </c>
      <c r="C1193">
        <v>24</v>
      </c>
      <c r="D1193" t="s">
        <v>37</v>
      </c>
      <c r="E1193" t="s">
        <v>44</v>
      </c>
      <c r="F1193" s="1">
        <v>42496</v>
      </c>
      <c r="G1193" s="1">
        <v>42521</v>
      </c>
      <c r="H1193" t="s">
        <v>41</v>
      </c>
      <c r="I1193">
        <v>25</v>
      </c>
      <c r="J1193" t="s">
        <v>77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</v>
      </c>
      <c r="Q1193" t="s">
        <v>26</v>
      </c>
      <c r="R1193">
        <v>1</v>
      </c>
    </row>
    <row r="1194" spans="1:18">
      <c r="A1194">
        <v>587488000000000</v>
      </c>
      <c r="B1194" t="s">
        <v>18</v>
      </c>
      <c r="C1194">
        <v>22</v>
      </c>
      <c r="D1194" t="s">
        <v>37</v>
      </c>
      <c r="E1194" t="s">
        <v>67</v>
      </c>
      <c r="F1194" s="1">
        <v>42496</v>
      </c>
      <c r="G1194" s="1">
        <v>42524</v>
      </c>
      <c r="H1194" t="s">
        <v>21</v>
      </c>
      <c r="I1194">
        <v>28</v>
      </c>
      <c r="J1194" t="s">
        <v>77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 t="s">
        <v>26</v>
      </c>
      <c r="R1194">
        <v>1</v>
      </c>
    </row>
    <row r="1195" spans="1:18">
      <c r="A1195">
        <v>3257550000000</v>
      </c>
      <c r="B1195" t="s">
        <v>28</v>
      </c>
      <c r="C1195">
        <v>23</v>
      </c>
      <c r="D1195" t="s">
        <v>37</v>
      </c>
      <c r="E1195" t="s">
        <v>84</v>
      </c>
      <c r="F1195" s="1">
        <v>42496</v>
      </c>
      <c r="G1195" s="1">
        <v>42496</v>
      </c>
      <c r="H1195" t="s">
        <v>21</v>
      </c>
      <c r="I1195">
        <v>0</v>
      </c>
      <c r="J1195" t="s">
        <v>111</v>
      </c>
      <c r="K1195">
        <v>0</v>
      </c>
      <c r="L1195">
        <v>0</v>
      </c>
      <c r="M1195">
        <v>0</v>
      </c>
      <c r="N1195">
        <v>1</v>
      </c>
      <c r="O1195">
        <v>0</v>
      </c>
      <c r="P1195">
        <v>0</v>
      </c>
      <c r="Q1195" t="s">
        <v>23</v>
      </c>
      <c r="R1195">
        <v>0</v>
      </c>
    </row>
    <row r="1196" spans="1:18">
      <c r="A1196">
        <v>86497739749</v>
      </c>
      <c r="B1196" t="s">
        <v>18</v>
      </c>
      <c r="C1196">
        <v>28</v>
      </c>
      <c r="D1196" t="s">
        <v>37</v>
      </c>
      <c r="E1196" t="s">
        <v>29</v>
      </c>
      <c r="F1196" s="1">
        <v>42496</v>
      </c>
      <c r="G1196" s="1">
        <v>42496</v>
      </c>
      <c r="H1196" t="s">
        <v>21</v>
      </c>
      <c r="I1196">
        <v>0</v>
      </c>
      <c r="J1196" t="s">
        <v>111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23</v>
      </c>
      <c r="R1196">
        <v>0</v>
      </c>
    </row>
    <row r="1197" spans="1:18">
      <c r="A1197">
        <v>929647000000</v>
      </c>
      <c r="B1197" t="s">
        <v>18</v>
      </c>
      <c r="C1197">
        <v>26</v>
      </c>
      <c r="D1197" t="s">
        <v>37</v>
      </c>
      <c r="E1197" t="s">
        <v>38</v>
      </c>
      <c r="F1197" s="1">
        <v>42496</v>
      </c>
      <c r="G1197" s="1">
        <v>42496</v>
      </c>
      <c r="H1197" t="s">
        <v>21</v>
      </c>
      <c r="I1197">
        <v>0</v>
      </c>
      <c r="J1197" t="s">
        <v>111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23</v>
      </c>
      <c r="R1197">
        <v>0</v>
      </c>
    </row>
    <row r="1198" spans="1:18">
      <c r="A1198">
        <v>8971800000000</v>
      </c>
      <c r="B1198" t="s">
        <v>18</v>
      </c>
      <c r="C1198">
        <v>23</v>
      </c>
      <c r="D1198" t="s">
        <v>37</v>
      </c>
      <c r="E1198" t="s">
        <v>48</v>
      </c>
      <c r="F1198" s="1">
        <v>42496</v>
      </c>
      <c r="G1198" s="1">
        <v>42503</v>
      </c>
      <c r="H1198" t="s">
        <v>21</v>
      </c>
      <c r="I1198">
        <v>7</v>
      </c>
      <c r="J1198" t="s">
        <v>107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23</v>
      </c>
      <c r="R1198">
        <v>0</v>
      </c>
    </row>
    <row r="1199" spans="1:18">
      <c r="A1199">
        <v>5295620000000</v>
      </c>
      <c r="B1199" t="s">
        <v>18</v>
      </c>
      <c r="C1199">
        <v>32</v>
      </c>
      <c r="D1199" t="s">
        <v>37</v>
      </c>
      <c r="E1199" t="s">
        <v>105</v>
      </c>
      <c r="F1199" s="1">
        <v>42496</v>
      </c>
      <c r="G1199" s="1">
        <v>42496</v>
      </c>
      <c r="H1199" t="s">
        <v>21</v>
      </c>
      <c r="I1199">
        <v>0</v>
      </c>
      <c r="J1199" t="s">
        <v>111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23</v>
      </c>
      <c r="R1199">
        <v>0</v>
      </c>
    </row>
    <row r="1200" spans="1:18">
      <c r="A1200">
        <v>41288500000000</v>
      </c>
      <c r="B1200" t="s">
        <v>18</v>
      </c>
      <c r="C1200">
        <v>23</v>
      </c>
      <c r="D1200" t="s">
        <v>37</v>
      </c>
      <c r="E1200" t="s">
        <v>79</v>
      </c>
      <c r="F1200" s="1">
        <v>42496</v>
      </c>
      <c r="G1200" s="1">
        <v>42500</v>
      </c>
      <c r="H1200" t="s">
        <v>41</v>
      </c>
      <c r="I1200">
        <v>4</v>
      </c>
      <c r="J1200" t="s">
        <v>107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</v>
      </c>
      <c r="Q1200" t="s">
        <v>23</v>
      </c>
      <c r="R1200">
        <v>0</v>
      </c>
    </row>
    <row r="1201" spans="1:18">
      <c r="A1201">
        <v>54398500000000</v>
      </c>
      <c r="B1201" t="s">
        <v>18</v>
      </c>
      <c r="C1201">
        <v>26</v>
      </c>
      <c r="D1201" t="s">
        <v>37</v>
      </c>
      <c r="E1201" t="s">
        <v>75</v>
      </c>
      <c r="F1201" s="1">
        <v>42496</v>
      </c>
      <c r="G1201" s="1">
        <v>42506</v>
      </c>
      <c r="H1201" t="s">
        <v>30</v>
      </c>
      <c r="I1201">
        <v>10</v>
      </c>
      <c r="J1201" t="s">
        <v>92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26</v>
      </c>
      <c r="R1201">
        <v>1</v>
      </c>
    </row>
    <row r="1202" spans="1:18">
      <c r="A1202">
        <v>2263960000000</v>
      </c>
      <c r="B1202" t="s">
        <v>18</v>
      </c>
      <c r="C1202">
        <v>31</v>
      </c>
      <c r="D1202" t="s">
        <v>37</v>
      </c>
      <c r="E1202" t="s">
        <v>75</v>
      </c>
      <c r="F1202" s="1">
        <v>42496</v>
      </c>
      <c r="G1202" s="1">
        <v>42506</v>
      </c>
      <c r="H1202" t="s">
        <v>30</v>
      </c>
      <c r="I1202">
        <v>10</v>
      </c>
      <c r="J1202" t="s">
        <v>92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26</v>
      </c>
      <c r="R1202">
        <v>1</v>
      </c>
    </row>
    <row r="1203" spans="1:18">
      <c r="A1203">
        <v>122578000000</v>
      </c>
      <c r="B1203" t="s">
        <v>18</v>
      </c>
      <c r="C1203">
        <v>34</v>
      </c>
      <c r="D1203" t="s">
        <v>37</v>
      </c>
      <c r="E1203" t="s">
        <v>75</v>
      </c>
      <c r="F1203" s="1">
        <v>42496</v>
      </c>
      <c r="G1203" s="1">
        <v>42506</v>
      </c>
      <c r="H1203" t="s">
        <v>30</v>
      </c>
      <c r="I1203">
        <v>10</v>
      </c>
      <c r="J1203" t="s">
        <v>92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23</v>
      </c>
      <c r="R1203">
        <v>0</v>
      </c>
    </row>
    <row r="1204" spans="1:18">
      <c r="A1204">
        <v>86445900000000</v>
      </c>
      <c r="B1204" t="s">
        <v>18</v>
      </c>
      <c r="C1204">
        <v>35</v>
      </c>
      <c r="D1204" t="s">
        <v>37</v>
      </c>
      <c r="E1204" t="s">
        <v>87</v>
      </c>
      <c r="F1204" s="1">
        <v>42496</v>
      </c>
      <c r="G1204" s="1">
        <v>42499</v>
      </c>
      <c r="H1204" t="s">
        <v>30</v>
      </c>
      <c r="I1204">
        <v>3</v>
      </c>
      <c r="J1204" t="s">
        <v>109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23</v>
      </c>
      <c r="R1204">
        <v>0</v>
      </c>
    </row>
    <row r="1205" spans="1:18">
      <c r="A1205">
        <v>5635640000000</v>
      </c>
      <c r="B1205" t="s">
        <v>18</v>
      </c>
      <c r="C1205">
        <v>35</v>
      </c>
      <c r="D1205" t="s">
        <v>37</v>
      </c>
      <c r="E1205" t="s">
        <v>29</v>
      </c>
      <c r="F1205" s="1">
        <v>42496</v>
      </c>
      <c r="G1205" s="1">
        <v>42523</v>
      </c>
      <c r="H1205" t="s">
        <v>33</v>
      </c>
      <c r="I1205">
        <v>27</v>
      </c>
      <c r="J1205" t="s">
        <v>77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23</v>
      </c>
      <c r="R1205">
        <v>0</v>
      </c>
    </row>
    <row r="1206" spans="1:18">
      <c r="A1206">
        <v>927629000000000</v>
      </c>
      <c r="B1206" t="s">
        <v>28</v>
      </c>
      <c r="C1206">
        <v>18</v>
      </c>
      <c r="D1206" t="s">
        <v>37</v>
      </c>
      <c r="E1206" t="s">
        <v>59</v>
      </c>
      <c r="F1206" s="1">
        <v>42496</v>
      </c>
      <c r="G1206" s="1">
        <v>42496</v>
      </c>
      <c r="H1206" t="s">
        <v>21</v>
      </c>
      <c r="I1206">
        <v>0</v>
      </c>
      <c r="J1206" t="s">
        <v>111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23</v>
      </c>
      <c r="R1206">
        <v>0</v>
      </c>
    </row>
    <row r="1207" spans="1:18">
      <c r="A1207">
        <v>15488699249</v>
      </c>
      <c r="B1207" t="s">
        <v>18</v>
      </c>
      <c r="C1207">
        <v>30</v>
      </c>
      <c r="D1207" t="s">
        <v>37</v>
      </c>
      <c r="E1207" t="s">
        <v>20</v>
      </c>
      <c r="F1207" s="1">
        <v>42496</v>
      </c>
      <c r="G1207" s="1">
        <v>42496</v>
      </c>
      <c r="H1207" t="s">
        <v>21</v>
      </c>
      <c r="I1207">
        <v>0</v>
      </c>
      <c r="J1207" t="s">
        <v>111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23</v>
      </c>
      <c r="R1207">
        <v>0</v>
      </c>
    </row>
    <row r="1208" spans="1:18">
      <c r="A1208">
        <v>7835940000000</v>
      </c>
      <c r="B1208" t="s">
        <v>28</v>
      </c>
      <c r="C1208">
        <v>31</v>
      </c>
      <c r="D1208" t="s">
        <v>37</v>
      </c>
      <c r="E1208" t="s">
        <v>66</v>
      </c>
      <c r="F1208" s="1">
        <v>42496</v>
      </c>
      <c r="G1208" s="1">
        <v>42499</v>
      </c>
      <c r="H1208" t="s">
        <v>30</v>
      </c>
      <c r="I1208">
        <v>3</v>
      </c>
      <c r="J1208" t="s">
        <v>109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26</v>
      </c>
      <c r="R1208">
        <v>1</v>
      </c>
    </row>
    <row r="1209" spans="1:18">
      <c r="A1209">
        <v>265948000000000</v>
      </c>
      <c r="B1209" t="s">
        <v>18</v>
      </c>
      <c r="C1209">
        <v>19</v>
      </c>
      <c r="D1209" t="s">
        <v>37</v>
      </c>
      <c r="E1209" t="s">
        <v>95</v>
      </c>
      <c r="F1209" s="1">
        <v>42496</v>
      </c>
      <c r="G1209" s="1">
        <v>42506</v>
      </c>
      <c r="H1209" t="s">
        <v>30</v>
      </c>
      <c r="I1209">
        <v>10</v>
      </c>
      <c r="J1209" t="s">
        <v>92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23</v>
      </c>
      <c r="R1209">
        <v>0</v>
      </c>
    </row>
    <row r="1210" spans="1:18">
      <c r="A1210">
        <v>2793980000000</v>
      </c>
      <c r="B1210" t="s">
        <v>18</v>
      </c>
      <c r="C1210">
        <v>24</v>
      </c>
      <c r="D1210" t="s">
        <v>37</v>
      </c>
      <c r="E1210" t="s">
        <v>63</v>
      </c>
      <c r="F1210" s="1">
        <v>42496</v>
      </c>
      <c r="G1210" s="1">
        <v>42506</v>
      </c>
      <c r="H1210" t="s">
        <v>30</v>
      </c>
      <c r="I1210">
        <v>10</v>
      </c>
      <c r="J1210" t="s">
        <v>92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23</v>
      </c>
      <c r="R1210">
        <v>0</v>
      </c>
    </row>
    <row r="1211" spans="1:18">
      <c r="A1211">
        <v>47917700000000</v>
      </c>
      <c r="B1211" t="s">
        <v>18</v>
      </c>
      <c r="C1211">
        <v>29</v>
      </c>
      <c r="D1211" t="s">
        <v>37</v>
      </c>
      <c r="E1211" t="s">
        <v>73</v>
      </c>
      <c r="F1211" s="1">
        <v>42496</v>
      </c>
      <c r="G1211" s="1">
        <v>42503</v>
      </c>
      <c r="H1211" t="s">
        <v>21</v>
      </c>
      <c r="I1211">
        <v>7</v>
      </c>
      <c r="J1211" t="s">
        <v>107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23</v>
      </c>
      <c r="R1211">
        <v>0</v>
      </c>
    </row>
    <row r="1212" spans="1:18">
      <c r="A1212">
        <v>34647687235</v>
      </c>
      <c r="B1212" t="s">
        <v>28</v>
      </c>
      <c r="C1212">
        <v>21</v>
      </c>
      <c r="D1212" t="s">
        <v>37</v>
      </c>
      <c r="E1212" t="s">
        <v>69</v>
      </c>
      <c r="F1212" s="1">
        <v>42496</v>
      </c>
      <c r="G1212" s="1">
        <v>42496</v>
      </c>
      <c r="H1212" t="s">
        <v>21</v>
      </c>
      <c r="I1212">
        <v>0</v>
      </c>
      <c r="J1212" t="s">
        <v>111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23</v>
      </c>
      <c r="R1212">
        <v>0</v>
      </c>
    </row>
    <row r="1213" spans="1:18">
      <c r="A1213">
        <v>22731734882</v>
      </c>
      <c r="B1213" t="s">
        <v>18</v>
      </c>
      <c r="C1213">
        <v>34</v>
      </c>
      <c r="D1213" t="s">
        <v>37</v>
      </c>
      <c r="E1213" t="s">
        <v>44</v>
      </c>
      <c r="F1213" s="1">
        <v>42496</v>
      </c>
      <c r="G1213" s="1">
        <v>42496</v>
      </c>
      <c r="H1213" t="s">
        <v>21</v>
      </c>
      <c r="I1213">
        <v>0</v>
      </c>
      <c r="J1213" t="s">
        <v>111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23</v>
      </c>
      <c r="R1213">
        <v>0</v>
      </c>
    </row>
    <row r="1214" spans="1:18">
      <c r="A1214">
        <v>659180000000000</v>
      </c>
      <c r="B1214" t="s">
        <v>18</v>
      </c>
      <c r="C1214">
        <v>21</v>
      </c>
      <c r="D1214" t="s">
        <v>37</v>
      </c>
      <c r="E1214" t="s">
        <v>39</v>
      </c>
      <c r="F1214" s="1">
        <v>42495</v>
      </c>
      <c r="G1214" s="1">
        <v>42499</v>
      </c>
      <c r="H1214" t="s">
        <v>30</v>
      </c>
      <c r="I1214">
        <v>4</v>
      </c>
      <c r="J1214" t="s">
        <v>107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23</v>
      </c>
      <c r="R1214">
        <v>0</v>
      </c>
    </row>
    <row r="1215" spans="1:18">
      <c r="A1215">
        <v>4747870000000</v>
      </c>
      <c r="B1215" t="s">
        <v>18</v>
      </c>
      <c r="C1215">
        <v>34</v>
      </c>
      <c r="D1215" t="s">
        <v>37</v>
      </c>
      <c r="E1215" t="s">
        <v>86</v>
      </c>
      <c r="F1215" s="1">
        <v>42486</v>
      </c>
      <c r="G1215" s="1">
        <v>42506</v>
      </c>
      <c r="H1215" t="s">
        <v>30</v>
      </c>
      <c r="I1215">
        <v>20</v>
      </c>
      <c r="J1215" t="s">
        <v>77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23</v>
      </c>
      <c r="R1215">
        <v>0</v>
      </c>
    </row>
    <row r="1216" spans="1:18">
      <c r="A1216">
        <v>74334500000000</v>
      </c>
      <c r="B1216" t="s">
        <v>18</v>
      </c>
      <c r="C1216">
        <v>35</v>
      </c>
      <c r="D1216" t="s">
        <v>37</v>
      </c>
      <c r="E1216" t="s">
        <v>50</v>
      </c>
      <c r="F1216" s="1">
        <v>42495</v>
      </c>
      <c r="G1216" s="1">
        <v>42521</v>
      </c>
      <c r="H1216" t="s">
        <v>41</v>
      </c>
      <c r="I1216">
        <v>26</v>
      </c>
      <c r="J1216" t="s">
        <v>77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23</v>
      </c>
      <c r="R1216">
        <v>0</v>
      </c>
    </row>
    <row r="1217" spans="1:18">
      <c r="A1217">
        <v>11336400000000</v>
      </c>
      <c r="B1217" t="s">
        <v>18</v>
      </c>
      <c r="C1217">
        <v>34</v>
      </c>
      <c r="D1217" t="s">
        <v>37</v>
      </c>
      <c r="E1217" t="s">
        <v>59</v>
      </c>
      <c r="F1217" s="1">
        <v>42495</v>
      </c>
      <c r="G1217" s="1">
        <v>42495</v>
      </c>
      <c r="H1217" t="s">
        <v>33</v>
      </c>
      <c r="I1217">
        <v>0</v>
      </c>
      <c r="J1217" t="s">
        <v>111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23</v>
      </c>
      <c r="R1217">
        <v>0</v>
      </c>
    </row>
    <row r="1218" spans="1:18">
      <c r="A1218">
        <v>2413350000000</v>
      </c>
      <c r="B1218" t="s">
        <v>18</v>
      </c>
      <c r="C1218">
        <v>25</v>
      </c>
      <c r="D1218" t="s">
        <v>37</v>
      </c>
      <c r="E1218" t="s">
        <v>47</v>
      </c>
      <c r="F1218" s="1">
        <v>42495</v>
      </c>
      <c r="G1218" s="1">
        <v>42520</v>
      </c>
      <c r="H1218" t="s">
        <v>30</v>
      </c>
      <c r="I1218">
        <v>25</v>
      </c>
      <c r="J1218" t="s">
        <v>77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 t="s">
        <v>23</v>
      </c>
      <c r="R1218">
        <v>0</v>
      </c>
    </row>
    <row r="1219" spans="1:18">
      <c r="A1219">
        <v>7428890000000</v>
      </c>
      <c r="B1219" t="s">
        <v>18</v>
      </c>
      <c r="C1219">
        <v>21</v>
      </c>
      <c r="D1219" t="s">
        <v>37</v>
      </c>
      <c r="E1219" t="s">
        <v>32</v>
      </c>
      <c r="F1219" s="1">
        <v>42495</v>
      </c>
      <c r="G1219" s="1">
        <v>42502</v>
      </c>
      <c r="H1219" t="s">
        <v>33</v>
      </c>
      <c r="I1219">
        <v>7</v>
      </c>
      <c r="J1219" t="s">
        <v>107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 t="s">
        <v>23</v>
      </c>
      <c r="R1219">
        <v>0</v>
      </c>
    </row>
    <row r="1220" spans="1:18">
      <c r="A1220">
        <v>7377890000000</v>
      </c>
      <c r="B1220" t="s">
        <v>18</v>
      </c>
      <c r="C1220">
        <v>26</v>
      </c>
      <c r="D1220" t="s">
        <v>37</v>
      </c>
      <c r="E1220" t="s">
        <v>71</v>
      </c>
      <c r="F1220" s="1">
        <v>42495</v>
      </c>
      <c r="G1220" s="1">
        <v>42502</v>
      </c>
      <c r="H1220" t="s">
        <v>33</v>
      </c>
      <c r="I1220">
        <v>7</v>
      </c>
      <c r="J1220" t="s">
        <v>107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</v>
      </c>
      <c r="Q1220" t="s">
        <v>23</v>
      </c>
      <c r="R1220">
        <v>0</v>
      </c>
    </row>
    <row r="1221" spans="1:18">
      <c r="A1221">
        <v>436932000000</v>
      </c>
      <c r="B1221" t="s">
        <v>18</v>
      </c>
      <c r="C1221">
        <v>28</v>
      </c>
      <c r="D1221" t="s">
        <v>37</v>
      </c>
      <c r="E1221" t="s">
        <v>32</v>
      </c>
      <c r="F1221" s="1">
        <v>42495</v>
      </c>
      <c r="G1221" s="1">
        <v>42499</v>
      </c>
      <c r="H1221" t="s">
        <v>30</v>
      </c>
      <c r="I1221">
        <v>4</v>
      </c>
      <c r="J1221" t="s">
        <v>107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23</v>
      </c>
      <c r="R1221">
        <v>0</v>
      </c>
    </row>
    <row r="1222" spans="1:18">
      <c r="A1222">
        <v>14225426642</v>
      </c>
      <c r="B1222" t="s">
        <v>18</v>
      </c>
      <c r="C1222">
        <v>33</v>
      </c>
      <c r="D1222" t="s">
        <v>37</v>
      </c>
      <c r="E1222" t="s">
        <v>59</v>
      </c>
      <c r="F1222" s="1">
        <v>42495</v>
      </c>
      <c r="G1222" s="1">
        <v>42527</v>
      </c>
      <c r="H1222" t="s">
        <v>30</v>
      </c>
      <c r="I1222">
        <v>32</v>
      </c>
      <c r="J1222" t="s">
        <v>22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23</v>
      </c>
      <c r="R1222">
        <v>0</v>
      </c>
    </row>
    <row r="1223" spans="1:18">
      <c r="A1223">
        <v>4218450000000</v>
      </c>
      <c r="B1223" t="s">
        <v>28</v>
      </c>
      <c r="C1223">
        <v>34</v>
      </c>
      <c r="D1223" t="s">
        <v>37</v>
      </c>
      <c r="E1223" t="s">
        <v>68</v>
      </c>
      <c r="F1223" s="1">
        <v>42486</v>
      </c>
      <c r="G1223" s="1">
        <v>42492</v>
      </c>
      <c r="H1223" t="s">
        <v>30</v>
      </c>
      <c r="I1223">
        <v>6</v>
      </c>
      <c r="J1223" t="s">
        <v>107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23</v>
      </c>
      <c r="R1223">
        <v>0</v>
      </c>
    </row>
    <row r="1224" spans="1:18">
      <c r="A1224">
        <v>51251300000000</v>
      </c>
      <c r="B1224" t="s">
        <v>18</v>
      </c>
      <c r="C1224">
        <v>34</v>
      </c>
      <c r="D1224" t="s">
        <v>37</v>
      </c>
      <c r="E1224" t="s">
        <v>87</v>
      </c>
      <c r="F1224" s="1">
        <v>42495</v>
      </c>
      <c r="G1224" s="1">
        <v>42499</v>
      </c>
      <c r="H1224" t="s">
        <v>30</v>
      </c>
      <c r="I1224">
        <v>4</v>
      </c>
      <c r="J1224" t="s">
        <v>107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26</v>
      </c>
      <c r="R1224">
        <v>1</v>
      </c>
    </row>
    <row r="1225" spans="1:18">
      <c r="A1225">
        <v>83718500000000</v>
      </c>
      <c r="B1225" t="s">
        <v>28</v>
      </c>
      <c r="C1225">
        <v>19</v>
      </c>
      <c r="D1225" t="s">
        <v>37</v>
      </c>
      <c r="E1225" t="s">
        <v>61</v>
      </c>
      <c r="F1225" s="1">
        <v>42495</v>
      </c>
      <c r="G1225" s="1">
        <v>42495</v>
      </c>
      <c r="H1225" t="s">
        <v>33</v>
      </c>
      <c r="I1225">
        <v>0</v>
      </c>
      <c r="J1225" t="s">
        <v>111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23</v>
      </c>
      <c r="R1225">
        <v>0</v>
      </c>
    </row>
    <row r="1226" spans="1:18">
      <c r="A1226">
        <v>332470000000</v>
      </c>
      <c r="B1226" t="s">
        <v>28</v>
      </c>
      <c r="C1226">
        <v>21</v>
      </c>
      <c r="D1226" t="s">
        <v>37</v>
      </c>
      <c r="E1226" t="s">
        <v>72</v>
      </c>
      <c r="F1226" s="1">
        <v>42495</v>
      </c>
      <c r="G1226" s="1">
        <v>42502</v>
      </c>
      <c r="H1226" t="s">
        <v>33</v>
      </c>
      <c r="I1226">
        <v>7</v>
      </c>
      <c r="J1226" t="s">
        <v>107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</v>
      </c>
      <c r="Q1226" t="s">
        <v>23</v>
      </c>
      <c r="R1226">
        <v>0</v>
      </c>
    </row>
    <row r="1227" spans="1:18">
      <c r="A1227">
        <v>52632900000000</v>
      </c>
      <c r="B1227" t="s">
        <v>28</v>
      </c>
      <c r="C1227">
        <v>35</v>
      </c>
      <c r="D1227" t="s">
        <v>37</v>
      </c>
      <c r="E1227" t="s">
        <v>43</v>
      </c>
      <c r="F1227" s="1">
        <v>42495</v>
      </c>
      <c r="G1227" s="1">
        <v>42499</v>
      </c>
      <c r="H1227" t="s">
        <v>30</v>
      </c>
      <c r="I1227">
        <v>4</v>
      </c>
      <c r="J1227" t="s">
        <v>107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23</v>
      </c>
      <c r="R1227">
        <v>0</v>
      </c>
    </row>
    <row r="1228" spans="1:18">
      <c r="A1228">
        <v>7379990000000</v>
      </c>
      <c r="B1228" t="s">
        <v>28</v>
      </c>
      <c r="C1228">
        <v>24</v>
      </c>
      <c r="D1228" t="s">
        <v>37</v>
      </c>
      <c r="E1228" t="s">
        <v>50</v>
      </c>
      <c r="F1228" s="1">
        <v>42495</v>
      </c>
      <c r="G1228" s="1">
        <v>42495</v>
      </c>
      <c r="H1228" t="s">
        <v>33</v>
      </c>
      <c r="I1228">
        <v>0</v>
      </c>
      <c r="J1228" t="s">
        <v>111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23</v>
      </c>
      <c r="R1228">
        <v>0</v>
      </c>
    </row>
    <row r="1229" spans="1:18">
      <c r="A1229">
        <v>5744200000000</v>
      </c>
      <c r="B1229" t="s">
        <v>18</v>
      </c>
      <c r="C1229">
        <v>32</v>
      </c>
      <c r="D1229" t="s">
        <v>37</v>
      </c>
      <c r="E1229" t="s">
        <v>32</v>
      </c>
      <c r="F1229" s="1">
        <v>42495</v>
      </c>
      <c r="G1229" s="1">
        <v>42495</v>
      </c>
      <c r="H1229" t="s">
        <v>33</v>
      </c>
      <c r="I1229">
        <v>0</v>
      </c>
      <c r="J1229" t="s">
        <v>111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23</v>
      </c>
      <c r="R1229">
        <v>0</v>
      </c>
    </row>
    <row r="1230" spans="1:18">
      <c r="A1230">
        <v>76363200000000</v>
      </c>
      <c r="B1230" t="s">
        <v>18</v>
      </c>
      <c r="C1230">
        <v>35</v>
      </c>
      <c r="D1230" t="s">
        <v>37</v>
      </c>
      <c r="E1230" t="s">
        <v>72</v>
      </c>
      <c r="F1230" s="1">
        <v>42495</v>
      </c>
      <c r="G1230" s="1">
        <v>42522</v>
      </c>
      <c r="H1230" t="s">
        <v>25</v>
      </c>
      <c r="I1230">
        <v>27</v>
      </c>
      <c r="J1230" t="s">
        <v>77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1</v>
      </c>
      <c r="Q1230" t="s">
        <v>26</v>
      </c>
      <c r="R1230">
        <v>1</v>
      </c>
    </row>
    <row r="1231" spans="1:18">
      <c r="A1231">
        <v>9437120000000</v>
      </c>
      <c r="B1231" t="s">
        <v>28</v>
      </c>
      <c r="C1231">
        <v>22</v>
      </c>
      <c r="D1231" t="s">
        <v>37</v>
      </c>
      <c r="E1231" t="s">
        <v>106</v>
      </c>
      <c r="F1231" s="1">
        <v>42486</v>
      </c>
      <c r="G1231" s="1">
        <v>42495</v>
      </c>
      <c r="H1231" t="s">
        <v>33</v>
      </c>
      <c r="I1231">
        <v>9</v>
      </c>
      <c r="J1231" t="s">
        <v>92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</v>
      </c>
      <c r="Q1231" t="s">
        <v>23</v>
      </c>
      <c r="R1231">
        <v>0</v>
      </c>
    </row>
    <row r="1232" spans="1:18">
      <c r="A1232">
        <v>412419000000000</v>
      </c>
      <c r="B1232" t="s">
        <v>18</v>
      </c>
      <c r="C1232">
        <v>23</v>
      </c>
      <c r="D1232" t="s">
        <v>37</v>
      </c>
      <c r="E1232" t="s">
        <v>83</v>
      </c>
      <c r="F1232" s="1">
        <v>42495</v>
      </c>
      <c r="G1232" s="1">
        <v>42495</v>
      </c>
      <c r="H1232" t="s">
        <v>33</v>
      </c>
      <c r="I1232">
        <v>0</v>
      </c>
      <c r="J1232" t="s">
        <v>111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23</v>
      </c>
      <c r="R1232">
        <v>0</v>
      </c>
    </row>
    <row r="1233" spans="1:18">
      <c r="A1233">
        <v>679777000000000</v>
      </c>
      <c r="B1233" t="s">
        <v>28</v>
      </c>
      <c r="C1233">
        <v>27</v>
      </c>
      <c r="D1233" t="s">
        <v>37</v>
      </c>
      <c r="E1233" t="s">
        <v>72</v>
      </c>
      <c r="F1233" s="1">
        <v>42495</v>
      </c>
      <c r="G1233" s="1">
        <v>42495</v>
      </c>
      <c r="H1233" t="s">
        <v>33</v>
      </c>
      <c r="I1233">
        <v>0</v>
      </c>
      <c r="J1233" t="s">
        <v>111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26</v>
      </c>
      <c r="R1233">
        <v>1</v>
      </c>
    </row>
    <row r="1234" spans="1:18">
      <c r="A1234">
        <v>54292600000000</v>
      </c>
      <c r="B1234" t="s">
        <v>18</v>
      </c>
      <c r="C1234">
        <v>19</v>
      </c>
      <c r="D1234" t="s">
        <v>37</v>
      </c>
      <c r="E1234" t="s">
        <v>105</v>
      </c>
      <c r="F1234" s="1">
        <v>42486</v>
      </c>
      <c r="G1234" s="1">
        <v>42494</v>
      </c>
      <c r="H1234" t="s">
        <v>25</v>
      </c>
      <c r="I1234">
        <v>8</v>
      </c>
      <c r="J1234" t="s">
        <v>92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1</v>
      </c>
      <c r="Q1234" t="s">
        <v>26</v>
      </c>
      <c r="R1234">
        <v>1</v>
      </c>
    </row>
    <row r="1235" spans="1:18">
      <c r="A1235">
        <v>64929000000000</v>
      </c>
      <c r="B1235" t="s">
        <v>18</v>
      </c>
      <c r="C1235">
        <v>28</v>
      </c>
      <c r="D1235" t="s">
        <v>37</v>
      </c>
      <c r="E1235" t="s">
        <v>47</v>
      </c>
      <c r="F1235" s="1">
        <v>42486</v>
      </c>
      <c r="G1235" s="1">
        <v>42499</v>
      </c>
      <c r="H1235" t="s">
        <v>30</v>
      </c>
      <c r="I1235">
        <v>13</v>
      </c>
      <c r="J1235" t="s">
        <v>92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23</v>
      </c>
      <c r="R1235">
        <v>0</v>
      </c>
    </row>
    <row r="1236" spans="1:18">
      <c r="A1236">
        <v>99599400000000</v>
      </c>
      <c r="B1236" t="s">
        <v>18</v>
      </c>
      <c r="C1236">
        <v>23</v>
      </c>
      <c r="D1236" t="s">
        <v>37</v>
      </c>
      <c r="E1236" t="s">
        <v>56</v>
      </c>
      <c r="F1236" s="1">
        <v>42495</v>
      </c>
      <c r="G1236" s="1">
        <v>42496</v>
      </c>
      <c r="H1236" t="s">
        <v>21</v>
      </c>
      <c r="I1236">
        <v>1</v>
      </c>
      <c r="J1236" t="s">
        <v>109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23</v>
      </c>
      <c r="R1236">
        <v>0</v>
      </c>
    </row>
    <row r="1237" spans="1:18">
      <c r="A1237">
        <v>2939550000000</v>
      </c>
      <c r="B1237" t="s">
        <v>28</v>
      </c>
      <c r="C1237">
        <v>21</v>
      </c>
      <c r="D1237" t="s">
        <v>37</v>
      </c>
      <c r="E1237" t="s">
        <v>45</v>
      </c>
      <c r="F1237" s="1">
        <v>42495</v>
      </c>
      <c r="G1237" s="1">
        <v>42499</v>
      </c>
      <c r="H1237" t="s">
        <v>30</v>
      </c>
      <c r="I1237">
        <v>4</v>
      </c>
      <c r="J1237" t="s">
        <v>107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26</v>
      </c>
      <c r="R1237">
        <v>1</v>
      </c>
    </row>
    <row r="1238" spans="1:18">
      <c r="A1238">
        <v>613372000000000</v>
      </c>
      <c r="B1238" t="s">
        <v>18</v>
      </c>
      <c r="C1238">
        <v>26</v>
      </c>
      <c r="D1238" t="s">
        <v>37</v>
      </c>
      <c r="E1238" t="s">
        <v>73</v>
      </c>
      <c r="F1238" s="1">
        <v>42495</v>
      </c>
      <c r="G1238" s="1">
        <v>42507</v>
      </c>
      <c r="H1238" t="s">
        <v>41</v>
      </c>
      <c r="I1238">
        <v>12</v>
      </c>
      <c r="J1238" t="s">
        <v>92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26</v>
      </c>
      <c r="R1238">
        <v>1</v>
      </c>
    </row>
    <row r="1239" spans="1:18">
      <c r="A1239">
        <v>342977000000000</v>
      </c>
      <c r="B1239" t="s">
        <v>18</v>
      </c>
      <c r="C1239">
        <v>33</v>
      </c>
      <c r="D1239" t="s">
        <v>37</v>
      </c>
      <c r="E1239" t="s">
        <v>44</v>
      </c>
      <c r="F1239" s="1">
        <v>42486</v>
      </c>
      <c r="G1239" s="1">
        <v>42500</v>
      </c>
      <c r="H1239" t="s">
        <v>41</v>
      </c>
      <c r="I1239">
        <v>14</v>
      </c>
      <c r="J1239" t="s">
        <v>92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1</v>
      </c>
      <c r="Q1239" t="s">
        <v>26</v>
      </c>
      <c r="R1239">
        <v>1</v>
      </c>
    </row>
    <row r="1240" spans="1:18">
      <c r="A1240">
        <v>8621670000000</v>
      </c>
      <c r="B1240" t="s">
        <v>28</v>
      </c>
      <c r="C1240">
        <v>29</v>
      </c>
      <c r="D1240" t="s">
        <v>37</v>
      </c>
      <c r="E1240" t="s">
        <v>58</v>
      </c>
      <c r="F1240" s="1">
        <v>42495</v>
      </c>
      <c r="G1240" s="1">
        <v>42499</v>
      </c>
      <c r="H1240" t="s">
        <v>30</v>
      </c>
      <c r="I1240">
        <v>4</v>
      </c>
      <c r="J1240" t="s">
        <v>107</v>
      </c>
      <c r="K1240">
        <v>0</v>
      </c>
      <c r="L1240">
        <v>0</v>
      </c>
      <c r="M1240">
        <v>0</v>
      </c>
      <c r="N1240">
        <v>1</v>
      </c>
      <c r="O1240">
        <v>0</v>
      </c>
      <c r="P1240">
        <v>0</v>
      </c>
      <c r="Q1240" t="s">
        <v>26</v>
      </c>
      <c r="R1240">
        <v>1</v>
      </c>
    </row>
    <row r="1241" spans="1:18">
      <c r="A1241">
        <v>235477000000000</v>
      </c>
      <c r="B1241" t="s">
        <v>18</v>
      </c>
      <c r="C1241">
        <v>24</v>
      </c>
      <c r="D1241" t="s">
        <v>37</v>
      </c>
      <c r="E1241" t="s">
        <v>67</v>
      </c>
      <c r="F1241" s="1">
        <v>42486</v>
      </c>
      <c r="G1241" s="1">
        <v>42489</v>
      </c>
      <c r="H1241" t="s">
        <v>21</v>
      </c>
      <c r="I1241">
        <v>3</v>
      </c>
      <c r="J1241" t="s">
        <v>109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</v>
      </c>
      <c r="Q1241" t="s">
        <v>26</v>
      </c>
      <c r="R1241">
        <v>1</v>
      </c>
    </row>
    <row r="1242" spans="1:18">
      <c r="A1242">
        <v>59369184137</v>
      </c>
      <c r="B1242" t="s">
        <v>18</v>
      </c>
      <c r="C1242">
        <v>20</v>
      </c>
      <c r="D1242" t="s">
        <v>37</v>
      </c>
      <c r="E1242" t="s">
        <v>64</v>
      </c>
      <c r="F1242" s="1">
        <v>42495</v>
      </c>
      <c r="G1242" s="1">
        <v>42495</v>
      </c>
      <c r="H1242" t="s">
        <v>33</v>
      </c>
      <c r="I1242">
        <v>0</v>
      </c>
      <c r="J1242" t="s">
        <v>111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23</v>
      </c>
      <c r="R1242">
        <v>0</v>
      </c>
    </row>
    <row r="1243" spans="1:18">
      <c r="A1243">
        <v>532314000000000</v>
      </c>
      <c r="B1243" t="s">
        <v>18</v>
      </c>
      <c r="C1243">
        <v>21</v>
      </c>
      <c r="D1243" t="s">
        <v>37</v>
      </c>
      <c r="E1243" t="s">
        <v>45</v>
      </c>
      <c r="F1243" s="1">
        <v>42486</v>
      </c>
      <c r="G1243" s="1">
        <v>42506</v>
      </c>
      <c r="H1243" t="s">
        <v>30</v>
      </c>
      <c r="I1243">
        <v>20</v>
      </c>
      <c r="J1243" t="s">
        <v>77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23</v>
      </c>
      <c r="R1243">
        <v>0</v>
      </c>
    </row>
    <row r="1244" spans="1:18">
      <c r="A1244">
        <v>65467500000000</v>
      </c>
      <c r="B1244" t="s">
        <v>18</v>
      </c>
      <c r="C1244">
        <v>23</v>
      </c>
      <c r="D1244" t="s">
        <v>37</v>
      </c>
      <c r="E1244" t="s">
        <v>47</v>
      </c>
      <c r="F1244" s="1">
        <v>42486</v>
      </c>
      <c r="G1244" s="1">
        <v>42495</v>
      </c>
      <c r="H1244" t="s">
        <v>33</v>
      </c>
      <c r="I1244">
        <v>9</v>
      </c>
      <c r="J1244" t="s">
        <v>92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 t="s">
        <v>26</v>
      </c>
      <c r="R1244">
        <v>1</v>
      </c>
    </row>
    <row r="1245" spans="1:18">
      <c r="A1245">
        <v>162127000000</v>
      </c>
      <c r="B1245" t="s">
        <v>18</v>
      </c>
      <c r="C1245">
        <v>19</v>
      </c>
      <c r="D1245" t="s">
        <v>37</v>
      </c>
      <c r="E1245" t="s">
        <v>47</v>
      </c>
      <c r="F1245" s="1">
        <v>42495</v>
      </c>
      <c r="G1245" s="1">
        <v>42495</v>
      </c>
      <c r="H1245" t="s">
        <v>33</v>
      </c>
      <c r="I1245">
        <v>0</v>
      </c>
      <c r="J1245" t="s">
        <v>111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23</v>
      </c>
      <c r="R1245">
        <v>0</v>
      </c>
    </row>
    <row r="1246" spans="1:18">
      <c r="A1246">
        <v>725788000000000</v>
      </c>
      <c r="B1246" t="s">
        <v>18</v>
      </c>
      <c r="C1246">
        <v>31</v>
      </c>
      <c r="D1246" t="s">
        <v>37</v>
      </c>
      <c r="E1246" t="s">
        <v>71</v>
      </c>
      <c r="F1246" s="1">
        <v>42495</v>
      </c>
      <c r="G1246" s="1">
        <v>42495</v>
      </c>
      <c r="H1246" t="s">
        <v>33</v>
      </c>
      <c r="I1246">
        <v>0</v>
      </c>
      <c r="J1246" t="s">
        <v>111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23</v>
      </c>
      <c r="R1246">
        <v>0</v>
      </c>
    </row>
    <row r="1247" spans="1:18">
      <c r="A1247">
        <v>94695800000000</v>
      </c>
      <c r="B1247" t="s">
        <v>18</v>
      </c>
      <c r="C1247">
        <v>32</v>
      </c>
      <c r="D1247" t="s">
        <v>37</v>
      </c>
      <c r="E1247" t="s">
        <v>43</v>
      </c>
      <c r="F1247" s="1">
        <v>42495</v>
      </c>
      <c r="G1247" s="1">
        <v>42495</v>
      </c>
      <c r="H1247" t="s">
        <v>33</v>
      </c>
      <c r="I1247">
        <v>0</v>
      </c>
      <c r="J1247" t="s">
        <v>111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23</v>
      </c>
      <c r="R1247">
        <v>0</v>
      </c>
    </row>
    <row r="1248" spans="1:18">
      <c r="A1248">
        <v>768729000000000</v>
      </c>
      <c r="B1248" t="s">
        <v>28</v>
      </c>
      <c r="C1248">
        <v>20</v>
      </c>
      <c r="D1248" t="s">
        <v>37</v>
      </c>
      <c r="E1248" t="s">
        <v>67</v>
      </c>
      <c r="F1248" s="1">
        <v>42495</v>
      </c>
      <c r="G1248" s="1">
        <v>42495</v>
      </c>
      <c r="H1248" t="s">
        <v>33</v>
      </c>
      <c r="I1248">
        <v>0</v>
      </c>
      <c r="J1248" t="s">
        <v>111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23</v>
      </c>
      <c r="R1248">
        <v>0</v>
      </c>
    </row>
    <row r="1249" spans="1:18">
      <c r="A1249">
        <v>8529170000000</v>
      </c>
      <c r="B1249" t="s">
        <v>28</v>
      </c>
      <c r="C1249">
        <v>35</v>
      </c>
      <c r="D1249" t="s">
        <v>37</v>
      </c>
      <c r="E1249" t="s">
        <v>29</v>
      </c>
      <c r="F1249" s="1">
        <v>42495</v>
      </c>
      <c r="G1249" s="1">
        <v>42495</v>
      </c>
      <c r="H1249" t="s">
        <v>33</v>
      </c>
      <c r="I1249">
        <v>0</v>
      </c>
      <c r="J1249" t="s">
        <v>111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23</v>
      </c>
      <c r="R1249">
        <v>0</v>
      </c>
    </row>
    <row r="1250" spans="1:18">
      <c r="A1250">
        <v>4984310000000</v>
      </c>
      <c r="B1250" t="s">
        <v>18</v>
      </c>
      <c r="C1250">
        <v>32</v>
      </c>
      <c r="D1250" t="s">
        <v>37</v>
      </c>
      <c r="E1250" t="s">
        <v>44</v>
      </c>
      <c r="F1250" s="1">
        <v>42486</v>
      </c>
      <c r="G1250" s="1">
        <v>42493</v>
      </c>
      <c r="H1250" t="s">
        <v>41</v>
      </c>
      <c r="I1250">
        <v>7</v>
      </c>
      <c r="J1250" t="s">
        <v>107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 t="s">
        <v>23</v>
      </c>
      <c r="R1250">
        <v>0</v>
      </c>
    </row>
    <row r="1251" spans="1:18">
      <c r="A1251">
        <v>3285440000000</v>
      </c>
      <c r="B1251" t="s">
        <v>18</v>
      </c>
      <c r="C1251">
        <v>26</v>
      </c>
      <c r="D1251" t="s">
        <v>37</v>
      </c>
      <c r="E1251" t="s">
        <v>44</v>
      </c>
      <c r="F1251" s="1">
        <v>42486</v>
      </c>
      <c r="G1251" s="1">
        <v>42493</v>
      </c>
      <c r="H1251" t="s">
        <v>41</v>
      </c>
      <c r="I1251">
        <v>7</v>
      </c>
      <c r="J1251" t="s">
        <v>107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 t="s">
        <v>23</v>
      </c>
      <c r="R1251">
        <v>0</v>
      </c>
    </row>
    <row r="1252" spans="1:18">
      <c r="A1252">
        <v>795612000000</v>
      </c>
      <c r="B1252" t="s">
        <v>18</v>
      </c>
      <c r="C1252">
        <v>26</v>
      </c>
      <c r="D1252" t="s">
        <v>37</v>
      </c>
      <c r="E1252" t="s">
        <v>72</v>
      </c>
      <c r="F1252" s="1">
        <v>42495</v>
      </c>
      <c r="G1252" s="1">
        <v>42514</v>
      </c>
      <c r="H1252" t="s">
        <v>41</v>
      </c>
      <c r="I1252">
        <v>19</v>
      </c>
      <c r="J1252" t="s">
        <v>77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</v>
      </c>
      <c r="Q1252" t="s">
        <v>23</v>
      </c>
      <c r="R1252">
        <v>0</v>
      </c>
    </row>
    <row r="1253" spans="1:18">
      <c r="A1253">
        <v>885355000000</v>
      </c>
      <c r="B1253" t="s">
        <v>28</v>
      </c>
      <c r="C1253">
        <v>30</v>
      </c>
      <c r="D1253" t="s">
        <v>37</v>
      </c>
      <c r="E1253" t="s">
        <v>64</v>
      </c>
      <c r="F1253" s="1">
        <v>42495</v>
      </c>
      <c r="G1253" s="1">
        <v>42501</v>
      </c>
      <c r="H1253" t="s">
        <v>25</v>
      </c>
      <c r="I1253">
        <v>6</v>
      </c>
      <c r="J1253" t="s">
        <v>107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1</v>
      </c>
      <c r="Q1253" t="s">
        <v>23</v>
      </c>
      <c r="R1253">
        <v>0</v>
      </c>
    </row>
    <row r="1254" spans="1:18">
      <c r="A1254">
        <v>67684600000000</v>
      </c>
      <c r="B1254" t="s">
        <v>18</v>
      </c>
      <c r="C1254">
        <v>27</v>
      </c>
      <c r="D1254" t="s">
        <v>37</v>
      </c>
      <c r="E1254" t="s">
        <v>44</v>
      </c>
      <c r="F1254" s="1">
        <v>42495</v>
      </c>
      <c r="G1254" s="1">
        <v>42495</v>
      </c>
      <c r="H1254" t="s">
        <v>33</v>
      </c>
      <c r="I1254">
        <v>0</v>
      </c>
      <c r="J1254" t="s">
        <v>111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26</v>
      </c>
      <c r="R1254">
        <v>1</v>
      </c>
    </row>
    <row r="1255" spans="1:18">
      <c r="A1255">
        <v>43341300000000</v>
      </c>
      <c r="B1255" t="s">
        <v>18</v>
      </c>
      <c r="C1255">
        <v>26</v>
      </c>
      <c r="D1255" t="s">
        <v>37</v>
      </c>
      <c r="E1255" t="s">
        <v>75</v>
      </c>
      <c r="F1255" s="1">
        <v>42486</v>
      </c>
      <c r="G1255" s="1">
        <v>42500</v>
      </c>
      <c r="H1255" t="s">
        <v>41</v>
      </c>
      <c r="I1255">
        <v>14</v>
      </c>
      <c r="J1255" t="s">
        <v>92</v>
      </c>
      <c r="K1255">
        <v>1</v>
      </c>
      <c r="L1255">
        <v>0</v>
      </c>
      <c r="M1255">
        <v>0</v>
      </c>
      <c r="N1255">
        <v>1</v>
      </c>
      <c r="O1255">
        <v>0</v>
      </c>
      <c r="P1255">
        <v>1</v>
      </c>
      <c r="Q1255" t="s">
        <v>26</v>
      </c>
      <c r="R1255">
        <v>1</v>
      </c>
    </row>
    <row r="1256" spans="1:18">
      <c r="A1256">
        <v>184269000000</v>
      </c>
      <c r="B1256" t="s">
        <v>18</v>
      </c>
      <c r="C1256">
        <v>24</v>
      </c>
      <c r="D1256" t="s">
        <v>37</v>
      </c>
      <c r="E1256" t="s">
        <v>72</v>
      </c>
      <c r="F1256" s="1">
        <v>42486</v>
      </c>
      <c r="G1256" s="1">
        <v>42510</v>
      </c>
      <c r="H1256" t="s">
        <v>21</v>
      </c>
      <c r="I1256">
        <v>24</v>
      </c>
      <c r="J1256" t="s">
        <v>77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26</v>
      </c>
      <c r="R1256">
        <v>1</v>
      </c>
    </row>
    <row r="1257" spans="1:18">
      <c r="A1257">
        <v>339798000000000</v>
      </c>
      <c r="B1257" t="s">
        <v>18</v>
      </c>
      <c r="C1257">
        <v>21</v>
      </c>
      <c r="D1257" t="s">
        <v>37</v>
      </c>
      <c r="E1257" t="s">
        <v>84</v>
      </c>
      <c r="F1257" s="1">
        <v>42495</v>
      </c>
      <c r="G1257" s="1">
        <v>42522</v>
      </c>
      <c r="H1257" t="s">
        <v>25</v>
      </c>
      <c r="I1257">
        <v>27</v>
      </c>
      <c r="J1257" t="s">
        <v>77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</v>
      </c>
      <c r="Q1257" t="s">
        <v>23</v>
      </c>
      <c r="R1257">
        <v>0</v>
      </c>
    </row>
    <row r="1258" spans="1:18">
      <c r="A1258">
        <v>649644000000</v>
      </c>
      <c r="B1258" t="s">
        <v>18</v>
      </c>
      <c r="C1258">
        <v>30</v>
      </c>
      <c r="D1258" t="s">
        <v>37</v>
      </c>
      <c r="E1258" t="s">
        <v>84</v>
      </c>
      <c r="F1258" s="1">
        <v>42495</v>
      </c>
      <c r="G1258" s="1">
        <v>42520</v>
      </c>
      <c r="H1258" t="s">
        <v>30</v>
      </c>
      <c r="I1258">
        <v>25</v>
      </c>
      <c r="J1258" t="s">
        <v>77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</v>
      </c>
      <c r="Q1258" t="s">
        <v>23</v>
      </c>
      <c r="R1258">
        <v>0</v>
      </c>
    </row>
    <row r="1259" spans="1:18">
      <c r="A1259">
        <v>66761500000000</v>
      </c>
      <c r="B1259" t="s">
        <v>28</v>
      </c>
      <c r="C1259">
        <v>25</v>
      </c>
      <c r="D1259" t="s">
        <v>37</v>
      </c>
      <c r="E1259" t="s">
        <v>43</v>
      </c>
      <c r="F1259" s="1">
        <v>42495</v>
      </c>
      <c r="G1259" s="1">
        <v>42495</v>
      </c>
      <c r="H1259" t="s">
        <v>33</v>
      </c>
      <c r="I1259">
        <v>0</v>
      </c>
      <c r="J1259" t="s">
        <v>111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23</v>
      </c>
      <c r="R1259">
        <v>0</v>
      </c>
    </row>
    <row r="1260" spans="1:18">
      <c r="A1260">
        <v>684813000000000</v>
      </c>
      <c r="B1260" t="s">
        <v>18</v>
      </c>
      <c r="C1260">
        <v>20</v>
      </c>
      <c r="D1260" t="s">
        <v>37</v>
      </c>
      <c r="E1260" t="s">
        <v>29</v>
      </c>
      <c r="F1260" s="1">
        <v>42495</v>
      </c>
      <c r="G1260" s="1">
        <v>42496</v>
      </c>
      <c r="H1260" t="s">
        <v>21</v>
      </c>
      <c r="I1260">
        <v>1</v>
      </c>
      <c r="J1260" t="s">
        <v>109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23</v>
      </c>
      <c r="R1260">
        <v>0</v>
      </c>
    </row>
    <row r="1261" spans="1:18">
      <c r="A1261">
        <v>613372000000000</v>
      </c>
      <c r="B1261" t="s">
        <v>18</v>
      </c>
      <c r="C1261">
        <v>26</v>
      </c>
      <c r="D1261" t="s">
        <v>37</v>
      </c>
      <c r="E1261" t="s">
        <v>73</v>
      </c>
      <c r="F1261" s="1">
        <v>42495</v>
      </c>
      <c r="G1261" s="1">
        <v>42495</v>
      </c>
      <c r="H1261" t="s">
        <v>33</v>
      </c>
      <c r="I1261">
        <v>0</v>
      </c>
      <c r="J1261" t="s">
        <v>111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23</v>
      </c>
      <c r="R1261">
        <v>0</v>
      </c>
    </row>
    <row r="1262" spans="1:18">
      <c r="A1262">
        <v>6339470000000</v>
      </c>
      <c r="B1262" t="s">
        <v>18</v>
      </c>
      <c r="C1262">
        <v>28</v>
      </c>
      <c r="D1262" t="s">
        <v>37</v>
      </c>
      <c r="E1262" t="s">
        <v>61</v>
      </c>
      <c r="F1262" s="1">
        <v>42486</v>
      </c>
      <c r="G1262" s="1">
        <v>42500</v>
      </c>
      <c r="H1262" t="s">
        <v>41</v>
      </c>
      <c r="I1262">
        <v>14</v>
      </c>
      <c r="J1262" t="s">
        <v>92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1</v>
      </c>
      <c r="Q1262" t="s">
        <v>23</v>
      </c>
      <c r="R1262">
        <v>0</v>
      </c>
    </row>
    <row r="1263" spans="1:18">
      <c r="A1263">
        <v>678439000000</v>
      </c>
      <c r="B1263" t="s">
        <v>18</v>
      </c>
      <c r="C1263">
        <v>29</v>
      </c>
      <c r="D1263" t="s">
        <v>37</v>
      </c>
      <c r="E1263" t="s">
        <v>44</v>
      </c>
      <c r="F1263" s="1">
        <v>42495</v>
      </c>
      <c r="G1263" s="1">
        <v>42496</v>
      </c>
      <c r="H1263" t="s">
        <v>21</v>
      </c>
      <c r="I1263">
        <v>1</v>
      </c>
      <c r="J1263" t="s">
        <v>109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23</v>
      </c>
      <c r="R1263">
        <v>0</v>
      </c>
    </row>
    <row r="1264" spans="1:18">
      <c r="A1264">
        <v>3866520000000</v>
      </c>
      <c r="B1264" t="s">
        <v>18</v>
      </c>
      <c r="C1264">
        <v>22</v>
      </c>
      <c r="D1264" t="s">
        <v>37</v>
      </c>
      <c r="E1264" t="s">
        <v>32</v>
      </c>
      <c r="F1264" s="1">
        <v>42495</v>
      </c>
      <c r="G1264" s="1">
        <v>42502</v>
      </c>
      <c r="H1264" t="s">
        <v>33</v>
      </c>
      <c r="I1264">
        <v>7</v>
      </c>
      <c r="J1264" t="s">
        <v>107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26</v>
      </c>
      <c r="R1264">
        <v>1</v>
      </c>
    </row>
    <row r="1265" spans="1:18">
      <c r="A1265">
        <v>88816700000000</v>
      </c>
      <c r="B1265" t="s">
        <v>18</v>
      </c>
      <c r="C1265">
        <v>33</v>
      </c>
      <c r="D1265" t="s">
        <v>37</v>
      </c>
      <c r="E1265" t="s">
        <v>50</v>
      </c>
      <c r="F1265" s="1">
        <v>42486</v>
      </c>
      <c r="G1265" s="1">
        <v>42493</v>
      </c>
      <c r="H1265" t="s">
        <v>41</v>
      </c>
      <c r="I1265">
        <v>7</v>
      </c>
      <c r="J1265" t="s">
        <v>107</v>
      </c>
      <c r="K1265">
        <v>1</v>
      </c>
      <c r="L1265">
        <v>1</v>
      </c>
      <c r="M1265">
        <v>0</v>
      </c>
      <c r="N1265">
        <v>0</v>
      </c>
      <c r="O1265">
        <v>0</v>
      </c>
      <c r="P1265">
        <v>1</v>
      </c>
      <c r="Q1265" t="s">
        <v>23</v>
      </c>
      <c r="R1265">
        <v>0</v>
      </c>
    </row>
    <row r="1266" spans="1:18">
      <c r="A1266">
        <v>75478617958</v>
      </c>
      <c r="B1266" t="s">
        <v>18</v>
      </c>
      <c r="C1266">
        <v>27</v>
      </c>
      <c r="D1266" t="s">
        <v>37</v>
      </c>
      <c r="E1266" t="s">
        <v>96</v>
      </c>
      <c r="F1266" s="1">
        <v>42495</v>
      </c>
      <c r="G1266" s="1">
        <v>42506</v>
      </c>
      <c r="H1266" t="s">
        <v>30</v>
      </c>
      <c r="I1266">
        <v>11</v>
      </c>
      <c r="J1266" t="s">
        <v>92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26</v>
      </c>
      <c r="R1266">
        <v>1</v>
      </c>
    </row>
    <row r="1267" spans="1:18">
      <c r="A1267">
        <v>944424000000</v>
      </c>
      <c r="B1267" t="s">
        <v>18</v>
      </c>
      <c r="C1267">
        <v>30</v>
      </c>
      <c r="D1267" t="s">
        <v>37</v>
      </c>
      <c r="E1267" t="s">
        <v>71</v>
      </c>
      <c r="F1267" s="1">
        <v>42486</v>
      </c>
      <c r="G1267" s="1">
        <v>42515</v>
      </c>
      <c r="H1267" t="s">
        <v>25</v>
      </c>
      <c r="I1267">
        <v>29</v>
      </c>
      <c r="J1267" t="s">
        <v>77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</v>
      </c>
      <c r="Q1267" t="s">
        <v>23</v>
      </c>
      <c r="R1267">
        <v>0</v>
      </c>
    </row>
    <row r="1268" spans="1:18">
      <c r="A1268">
        <v>43777800000000</v>
      </c>
      <c r="B1268" t="s">
        <v>18</v>
      </c>
      <c r="C1268">
        <v>28</v>
      </c>
      <c r="D1268" t="s">
        <v>37</v>
      </c>
      <c r="E1268" t="s">
        <v>45</v>
      </c>
      <c r="F1268" s="1">
        <v>42495</v>
      </c>
      <c r="G1268" s="1">
        <v>42495</v>
      </c>
      <c r="H1268" t="s">
        <v>33</v>
      </c>
      <c r="I1268">
        <v>0</v>
      </c>
      <c r="J1268" t="s">
        <v>111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23</v>
      </c>
      <c r="R1268">
        <v>0</v>
      </c>
    </row>
    <row r="1269" spans="1:18">
      <c r="A1269">
        <v>161752000000000</v>
      </c>
      <c r="B1269" t="s">
        <v>18</v>
      </c>
      <c r="C1269">
        <v>29</v>
      </c>
      <c r="D1269" t="s">
        <v>37</v>
      </c>
      <c r="E1269" t="s">
        <v>75</v>
      </c>
      <c r="F1269" s="1">
        <v>42486</v>
      </c>
      <c r="G1269" s="1">
        <v>42496</v>
      </c>
      <c r="H1269" t="s">
        <v>21</v>
      </c>
      <c r="I1269">
        <v>10</v>
      </c>
      <c r="J1269" t="s">
        <v>92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</v>
      </c>
      <c r="Q1269" t="s">
        <v>23</v>
      </c>
      <c r="R1269">
        <v>0</v>
      </c>
    </row>
    <row r="1270" spans="1:18">
      <c r="A1270">
        <v>26413400000000</v>
      </c>
      <c r="B1270" t="s">
        <v>28</v>
      </c>
      <c r="C1270">
        <v>18</v>
      </c>
      <c r="D1270" t="s">
        <v>37</v>
      </c>
      <c r="E1270" t="s">
        <v>66</v>
      </c>
      <c r="F1270" s="1">
        <v>42495</v>
      </c>
      <c r="G1270" s="1">
        <v>42509</v>
      </c>
      <c r="H1270" t="s">
        <v>33</v>
      </c>
      <c r="I1270">
        <v>14</v>
      </c>
      <c r="J1270" t="s">
        <v>92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26</v>
      </c>
      <c r="R1270">
        <v>1</v>
      </c>
    </row>
    <row r="1271" spans="1:18">
      <c r="A1271">
        <v>32944400000000</v>
      </c>
      <c r="B1271" t="s">
        <v>18</v>
      </c>
      <c r="C1271">
        <v>22</v>
      </c>
      <c r="D1271" t="s">
        <v>37</v>
      </c>
      <c r="E1271" t="s">
        <v>45</v>
      </c>
      <c r="F1271" s="1">
        <v>42495</v>
      </c>
      <c r="G1271" s="1">
        <v>42500</v>
      </c>
      <c r="H1271" t="s">
        <v>41</v>
      </c>
      <c r="I1271">
        <v>5</v>
      </c>
      <c r="J1271" t="s">
        <v>107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</v>
      </c>
      <c r="Q1271" t="s">
        <v>26</v>
      </c>
      <c r="R1271">
        <v>1</v>
      </c>
    </row>
    <row r="1272" spans="1:18">
      <c r="A1272">
        <v>6433950000000</v>
      </c>
      <c r="B1272" t="s">
        <v>18</v>
      </c>
      <c r="C1272">
        <v>22</v>
      </c>
      <c r="D1272" t="s">
        <v>37</v>
      </c>
      <c r="E1272" t="s">
        <v>65</v>
      </c>
      <c r="F1272" s="1">
        <v>42486</v>
      </c>
      <c r="G1272" s="1">
        <v>42500</v>
      </c>
      <c r="H1272" t="s">
        <v>41</v>
      </c>
      <c r="I1272">
        <v>14</v>
      </c>
      <c r="J1272" t="s">
        <v>92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</v>
      </c>
      <c r="Q1272" t="s">
        <v>23</v>
      </c>
      <c r="R1272">
        <v>0</v>
      </c>
    </row>
    <row r="1273" spans="1:18">
      <c r="A1273">
        <v>76987000000000</v>
      </c>
      <c r="B1273" t="s">
        <v>28</v>
      </c>
      <c r="C1273">
        <v>27</v>
      </c>
      <c r="D1273" t="s">
        <v>37</v>
      </c>
      <c r="E1273" t="s">
        <v>50</v>
      </c>
      <c r="F1273" s="1">
        <v>42486</v>
      </c>
      <c r="G1273" s="1">
        <v>42515</v>
      </c>
      <c r="H1273" t="s">
        <v>25</v>
      </c>
      <c r="I1273">
        <v>29</v>
      </c>
      <c r="J1273" t="s">
        <v>77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</v>
      </c>
      <c r="Q1273" t="s">
        <v>26</v>
      </c>
      <c r="R1273">
        <v>1</v>
      </c>
    </row>
    <row r="1274" spans="1:18">
      <c r="A1274">
        <v>32219600000000</v>
      </c>
      <c r="B1274" t="s">
        <v>28</v>
      </c>
      <c r="C1274">
        <v>35</v>
      </c>
      <c r="D1274" t="s">
        <v>37</v>
      </c>
      <c r="E1274" t="s">
        <v>73</v>
      </c>
      <c r="F1274" s="1">
        <v>42495</v>
      </c>
      <c r="G1274" s="1">
        <v>42520</v>
      </c>
      <c r="H1274" t="s">
        <v>30</v>
      </c>
      <c r="I1274">
        <v>25</v>
      </c>
      <c r="J1274" t="s">
        <v>77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</v>
      </c>
      <c r="Q1274" t="s">
        <v>23</v>
      </c>
      <c r="R1274">
        <v>0</v>
      </c>
    </row>
    <row r="1275" spans="1:18">
      <c r="A1275">
        <v>613372000000000</v>
      </c>
      <c r="B1275" t="s">
        <v>18</v>
      </c>
      <c r="C1275">
        <v>26</v>
      </c>
      <c r="D1275" t="s">
        <v>37</v>
      </c>
      <c r="E1275" t="s">
        <v>73</v>
      </c>
      <c r="F1275" s="1">
        <v>42495</v>
      </c>
      <c r="G1275" s="1">
        <v>42499</v>
      </c>
      <c r="H1275" t="s">
        <v>30</v>
      </c>
      <c r="I1275">
        <v>4</v>
      </c>
      <c r="J1275" t="s">
        <v>107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26</v>
      </c>
      <c r="R1275">
        <v>1</v>
      </c>
    </row>
    <row r="1276" spans="1:18">
      <c r="A1276">
        <v>932889000000</v>
      </c>
      <c r="B1276" t="s">
        <v>18</v>
      </c>
      <c r="C1276">
        <v>19</v>
      </c>
      <c r="D1276" t="s">
        <v>37</v>
      </c>
      <c r="E1276" t="s">
        <v>69</v>
      </c>
      <c r="F1276" s="1">
        <v>42495</v>
      </c>
      <c r="G1276" s="1">
        <v>42499</v>
      </c>
      <c r="H1276" t="s">
        <v>30</v>
      </c>
      <c r="I1276">
        <v>4</v>
      </c>
      <c r="J1276" t="s">
        <v>107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26</v>
      </c>
      <c r="R1276">
        <v>1</v>
      </c>
    </row>
    <row r="1277" spans="1:18">
      <c r="A1277">
        <v>2452850000000</v>
      </c>
      <c r="B1277" t="s">
        <v>18</v>
      </c>
      <c r="C1277">
        <v>33</v>
      </c>
      <c r="D1277" t="s">
        <v>37</v>
      </c>
      <c r="E1277" t="s">
        <v>34</v>
      </c>
      <c r="F1277" s="1">
        <v>42486</v>
      </c>
      <c r="G1277" s="1">
        <v>42515</v>
      </c>
      <c r="H1277" t="s">
        <v>25</v>
      </c>
      <c r="I1277">
        <v>29</v>
      </c>
      <c r="J1277" t="s">
        <v>77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</v>
      </c>
      <c r="Q1277" t="s">
        <v>23</v>
      </c>
      <c r="R1277">
        <v>0</v>
      </c>
    </row>
    <row r="1278" spans="1:18">
      <c r="A1278">
        <v>32839000000000</v>
      </c>
      <c r="B1278" t="s">
        <v>28</v>
      </c>
      <c r="C1278">
        <v>28</v>
      </c>
      <c r="D1278" t="s">
        <v>37</v>
      </c>
      <c r="E1278" t="s">
        <v>57</v>
      </c>
      <c r="F1278" s="1">
        <v>42495</v>
      </c>
      <c r="G1278" s="1">
        <v>42509</v>
      </c>
      <c r="H1278" t="s">
        <v>33</v>
      </c>
      <c r="I1278">
        <v>14</v>
      </c>
      <c r="J1278" t="s">
        <v>92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23</v>
      </c>
      <c r="R1278">
        <v>0</v>
      </c>
    </row>
    <row r="1279" spans="1:18">
      <c r="A1279">
        <v>188987000000000</v>
      </c>
      <c r="B1279" t="s">
        <v>18</v>
      </c>
      <c r="C1279">
        <v>32</v>
      </c>
      <c r="D1279" t="s">
        <v>37</v>
      </c>
      <c r="E1279" t="s">
        <v>59</v>
      </c>
      <c r="F1279" s="1">
        <v>42486</v>
      </c>
      <c r="G1279" s="1">
        <v>42492</v>
      </c>
      <c r="H1279" t="s">
        <v>30</v>
      </c>
      <c r="I1279">
        <v>6</v>
      </c>
      <c r="J1279" t="s">
        <v>107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</v>
      </c>
      <c r="Q1279" t="s">
        <v>26</v>
      </c>
      <c r="R1279">
        <v>1</v>
      </c>
    </row>
    <row r="1280" spans="1:18">
      <c r="A1280">
        <v>3428310000000</v>
      </c>
      <c r="B1280" t="s">
        <v>18</v>
      </c>
      <c r="C1280">
        <v>33</v>
      </c>
      <c r="D1280" t="s">
        <v>37</v>
      </c>
      <c r="E1280" t="s">
        <v>68</v>
      </c>
      <c r="F1280" s="1">
        <v>42495</v>
      </c>
      <c r="G1280" s="1">
        <v>42508</v>
      </c>
      <c r="H1280" t="s">
        <v>25</v>
      </c>
      <c r="I1280">
        <v>13</v>
      </c>
      <c r="J1280" t="s">
        <v>92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26</v>
      </c>
      <c r="R1280">
        <v>1</v>
      </c>
    </row>
    <row r="1281" spans="1:18">
      <c r="A1281">
        <v>425118000000</v>
      </c>
      <c r="B1281" t="s">
        <v>18</v>
      </c>
      <c r="C1281">
        <v>22</v>
      </c>
      <c r="D1281" t="s">
        <v>37</v>
      </c>
      <c r="E1281" t="s">
        <v>48</v>
      </c>
      <c r="F1281" s="1">
        <v>42486</v>
      </c>
      <c r="G1281" s="1">
        <v>42514</v>
      </c>
      <c r="H1281" t="s">
        <v>41</v>
      </c>
      <c r="I1281">
        <v>28</v>
      </c>
      <c r="J1281" t="s">
        <v>77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</v>
      </c>
      <c r="Q1281" t="s">
        <v>26</v>
      </c>
      <c r="R1281">
        <v>1</v>
      </c>
    </row>
    <row r="1282" spans="1:18">
      <c r="A1282">
        <v>933790000000000</v>
      </c>
      <c r="B1282" t="s">
        <v>18</v>
      </c>
      <c r="C1282">
        <v>31</v>
      </c>
      <c r="D1282" t="s">
        <v>37</v>
      </c>
      <c r="E1282" t="s">
        <v>32</v>
      </c>
      <c r="F1282" s="1">
        <v>42495</v>
      </c>
      <c r="G1282" s="1">
        <v>42499</v>
      </c>
      <c r="H1282" t="s">
        <v>30</v>
      </c>
      <c r="I1282">
        <v>4</v>
      </c>
      <c r="J1282" t="s">
        <v>107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0</v>
      </c>
      <c r="Q1282" t="s">
        <v>23</v>
      </c>
      <c r="R1282">
        <v>0</v>
      </c>
    </row>
    <row r="1283" spans="1:18">
      <c r="A1283">
        <v>4265690000000</v>
      </c>
      <c r="B1283" t="s">
        <v>18</v>
      </c>
      <c r="C1283">
        <v>24</v>
      </c>
      <c r="D1283" t="s">
        <v>37</v>
      </c>
      <c r="E1283" t="s">
        <v>57</v>
      </c>
      <c r="F1283" s="1">
        <v>42495</v>
      </c>
      <c r="G1283" s="1">
        <v>42510</v>
      </c>
      <c r="H1283" t="s">
        <v>21</v>
      </c>
      <c r="I1283">
        <v>15</v>
      </c>
      <c r="J1283" t="s">
        <v>77</v>
      </c>
      <c r="K1283">
        <v>0</v>
      </c>
      <c r="L1283">
        <v>0</v>
      </c>
      <c r="M1283">
        <v>0</v>
      </c>
      <c r="N1283">
        <v>1</v>
      </c>
      <c r="O1283">
        <v>0</v>
      </c>
      <c r="P1283">
        <v>0</v>
      </c>
      <c r="Q1283" t="s">
        <v>23</v>
      </c>
      <c r="R1283">
        <v>0</v>
      </c>
    </row>
    <row r="1284" spans="1:18">
      <c r="A1284">
        <v>927879000000</v>
      </c>
      <c r="B1284" t="s">
        <v>18</v>
      </c>
      <c r="C1284">
        <v>20</v>
      </c>
      <c r="D1284" t="s">
        <v>37</v>
      </c>
      <c r="E1284" t="s">
        <v>73</v>
      </c>
      <c r="F1284" s="1">
        <v>42495</v>
      </c>
      <c r="G1284" s="1">
        <v>42502</v>
      </c>
      <c r="H1284" t="s">
        <v>33</v>
      </c>
      <c r="I1284">
        <v>7</v>
      </c>
      <c r="J1284" t="s">
        <v>107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1</v>
      </c>
      <c r="Q1284" t="s">
        <v>26</v>
      </c>
      <c r="R1284">
        <v>1</v>
      </c>
    </row>
    <row r="1285" spans="1:18">
      <c r="A1285">
        <v>74131100000000</v>
      </c>
      <c r="B1285" t="s">
        <v>28</v>
      </c>
      <c r="C1285">
        <v>29</v>
      </c>
      <c r="D1285" t="s">
        <v>37</v>
      </c>
      <c r="E1285" t="s">
        <v>55</v>
      </c>
      <c r="F1285" s="1">
        <v>42495</v>
      </c>
      <c r="G1285" s="1">
        <v>42501</v>
      </c>
      <c r="H1285" t="s">
        <v>25</v>
      </c>
      <c r="I1285">
        <v>6</v>
      </c>
      <c r="J1285" t="s">
        <v>107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</v>
      </c>
      <c r="Q1285" t="s">
        <v>23</v>
      </c>
      <c r="R1285">
        <v>0</v>
      </c>
    </row>
    <row r="1286" spans="1:18">
      <c r="A1286">
        <v>7354240000000</v>
      </c>
      <c r="B1286" t="s">
        <v>18</v>
      </c>
      <c r="C1286">
        <v>29</v>
      </c>
      <c r="D1286" t="s">
        <v>37</v>
      </c>
      <c r="E1286" t="s">
        <v>61</v>
      </c>
      <c r="F1286" s="1">
        <v>42495</v>
      </c>
      <c r="G1286" s="1">
        <v>42507</v>
      </c>
      <c r="H1286" t="s">
        <v>41</v>
      </c>
      <c r="I1286">
        <v>12</v>
      </c>
      <c r="J1286" t="s">
        <v>92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23</v>
      </c>
      <c r="R1286">
        <v>0</v>
      </c>
    </row>
    <row r="1287" spans="1:18">
      <c r="A1287">
        <v>527153000000000</v>
      </c>
      <c r="B1287" t="s">
        <v>28</v>
      </c>
      <c r="C1287">
        <v>34</v>
      </c>
      <c r="D1287" t="s">
        <v>37</v>
      </c>
      <c r="E1287" t="s">
        <v>69</v>
      </c>
      <c r="F1287" s="1">
        <v>42495</v>
      </c>
      <c r="G1287" s="1">
        <v>42515</v>
      </c>
      <c r="H1287" t="s">
        <v>25</v>
      </c>
      <c r="I1287">
        <v>20</v>
      </c>
      <c r="J1287" t="s">
        <v>77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 t="s">
        <v>23</v>
      </c>
      <c r="R1287">
        <v>0</v>
      </c>
    </row>
    <row r="1288" spans="1:18">
      <c r="A1288">
        <v>53517700000000</v>
      </c>
      <c r="B1288" t="s">
        <v>18</v>
      </c>
      <c r="C1288">
        <v>34</v>
      </c>
      <c r="D1288" t="s">
        <v>37</v>
      </c>
      <c r="E1288" t="s">
        <v>57</v>
      </c>
      <c r="F1288" s="1">
        <v>42495</v>
      </c>
      <c r="G1288" s="1">
        <v>42515</v>
      </c>
      <c r="H1288" t="s">
        <v>25</v>
      </c>
      <c r="I1288">
        <v>20</v>
      </c>
      <c r="J1288" t="s">
        <v>77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1</v>
      </c>
      <c r="Q1288" t="s">
        <v>23</v>
      </c>
      <c r="R1288">
        <v>0</v>
      </c>
    </row>
    <row r="1289" spans="1:18">
      <c r="A1289">
        <v>91485600000000</v>
      </c>
      <c r="B1289" t="s">
        <v>18</v>
      </c>
      <c r="C1289">
        <v>20</v>
      </c>
      <c r="D1289" t="s">
        <v>37</v>
      </c>
      <c r="E1289" t="s">
        <v>75</v>
      </c>
      <c r="F1289" s="1">
        <v>42495</v>
      </c>
      <c r="G1289" s="1">
        <v>42495</v>
      </c>
      <c r="H1289" t="s">
        <v>33</v>
      </c>
      <c r="I1289">
        <v>0</v>
      </c>
      <c r="J1289" t="s">
        <v>111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23</v>
      </c>
      <c r="R1289">
        <v>0</v>
      </c>
    </row>
    <row r="1290" spans="1:18">
      <c r="A1290">
        <v>869892000000</v>
      </c>
      <c r="B1290" t="s">
        <v>18</v>
      </c>
      <c r="C1290">
        <v>19</v>
      </c>
      <c r="D1290" t="s">
        <v>37</v>
      </c>
      <c r="E1290" t="s">
        <v>61</v>
      </c>
      <c r="F1290" s="1">
        <v>42495</v>
      </c>
      <c r="G1290" s="1">
        <v>42495</v>
      </c>
      <c r="H1290" t="s">
        <v>33</v>
      </c>
      <c r="I1290">
        <v>0</v>
      </c>
      <c r="J1290" t="s">
        <v>111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23</v>
      </c>
      <c r="R1290">
        <v>0</v>
      </c>
    </row>
    <row r="1291" spans="1:18">
      <c r="A1291">
        <v>51888900000000</v>
      </c>
      <c r="B1291" t="s">
        <v>18</v>
      </c>
      <c r="C1291">
        <v>22</v>
      </c>
      <c r="D1291" t="s">
        <v>37</v>
      </c>
      <c r="E1291" t="s">
        <v>72</v>
      </c>
      <c r="F1291" s="1">
        <v>42495</v>
      </c>
      <c r="G1291" s="1">
        <v>42509</v>
      </c>
      <c r="H1291" t="s">
        <v>33</v>
      </c>
      <c r="I1291">
        <v>14</v>
      </c>
      <c r="J1291" t="s">
        <v>92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26</v>
      </c>
      <c r="R1291">
        <v>1</v>
      </c>
    </row>
    <row r="1292" spans="1:18">
      <c r="A1292">
        <v>99392000000000</v>
      </c>
      <c r="B1292" t="s">
        <v>18</v>
      </c>
      <c r="C1292">
        <v>32</v>
      </c>
      <c r="D1292" t="s">
        <v>37</v>
      </c>
      <c r="E1292" t="s">
        <v>50</v>
      </c>
      <c r="F1292" s="1">
        <v>42486</v>
      </c>
      <c r="G1292" s="1">
        <v>42521</v>
      </c>
      <c r="H1292" t="s">
        <v>41</v>
      </c>
      <c r="I1292">
        <v>35</v>
      </c>
      <c r="J1292" t="s">
        <v>22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23</v>
      </c>
      <c r="R1292">
        <v>0</v>
      </c>
    </row>
    <row r="1293" spans="1:18">
      <c r="A1293">
        <v>358428000000000</v>
      </c>
      <c r="B1293" t="s">
        <v>18</v>
      </c>
      <c r="C1293">
        <v>23</v>
      </c>
      <c r="D1293" t="s">
        <v>37</v>
      </c>
      <c r="E1293" t="s">
        <v>47</v>
      </c>
      <c r="F1293" s="1">
        <v>42495</v>
      </c>
      <c r="G1293" s="1">
        <v>42506</v>
      </c>
      <c r="H1293" t="s">
        <v>30</v>
      </c>
      <c r="I1293">
        <v>11</v>
      </c>
      <c r="J1293" t="s">
        <v>92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26</v>
      </c>
      <c r="R1293">
        <v>1</v>
      </c>
    </row>
    <row r="1294" spans="1:18">
      <c r="A1294">
        <v>31995800000000</v>
      </c>
      <c r="B1294" t="s">
        <v>18</v>
      </c>
      <c r="C1294">
        <v>31</v>
      </c>
      <c r="D1294" t="s">
        <v>37</v>
      </c>
      <c r="E1294" t="s">
        <v>45</v>
      </c>
      <c r="F1294" s="1">
        <v>42495</v>
      </c>
      <c r="G1294" s="1">
        <v>42495</v>
      </c>
      <c r="H1294" t="s">
        <v>33</v>
      </c>
      <c r="I1294">
        <v>0</v>
      </c>
      <c r="J1294" t="s">
        <v>111</v>
      </c>
      <c r="K1294">
        <v>1</v>
      </c>
      <c r="L1294">
        <v>1</v>
      </c>
      <c r="M1294">
        <v>0</v>
      </c>
      <c r="N1294">
        <v>0</v>
      </c>
      <c r="O1294">
        <v>0</v>
      </c>
      <c r="P1294">
        <v>0</v>
      </c>
      <c r="Q1294" t="s">
        <v>23</v>
      </c>
      <c r="R1294">
        <v>0</v>
      </c>
    </row>
    <row r="1295" spans="1:18">
      <c r="A1295">
        <v>7931130000000</v>
      </c>
      <c r="B1295" t="s">
        <v>18</v>
      </c>
      <c r="C1295">
        <v>27</v>
      </c>
      <c r="D1295" t="s">
        <v>37</v>
      </c>
      <c r="E1295" t="s">
        <v>75</v>
      </c>
      <c r="F1295" s="1">
        <v>42495</v>
      </c>
      <c r="G1295" s="1">
        <v>42495</v>
      </c>
      <c r="H1295" t="s">
        <v>33</v>
      </c>
      <c r="I1295">
        <v>0</v>
      </c>
      <c r="J1295" t="s">
        <v>111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23</v>
      </c>
      <c r="R1295">
        <v>0</v>
      </c>
    </row>
    <row r="1296" spans="1:18">
      <c r="A1296">
        <v>6321520000000</v>
      </c>
      <c r="B1296" t="s">
        <v>28</v>
      </c>
      <c r="C1296">
        <v>29</v>
      </c>
      <c r="D1296" t="s">
        <v>37</v>
      </c>
      <c r="E1296" t="s">
        <v>32</v>
      </c>
      <c r="F1296" s="1">
        <v>42495</v>
      </c>
      <c r="G1296" s="1">
        <v>42501</v>
      </c>
      <c r="H1296" t="s">
        <v>25</v>
      </c>
      <c r="I1296">
        <v>6</v>
      </c>
      <c r="J1296" t="s">
        <v>107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1</v>
      </c>
      <c r="Q1296" t="s">
        <v>23</v>
      </c>
      <c r="R1296">
        <v>0</v>
      </c>
    </row>
    <row r="1297" spans="1:18">
      <c r="A1297">
        <v>515272000000000</v>
      </c>
      <c r="B1297" t="s">
        <v>28</v>
      </c>
      <c r="C1297">
        <v>29</v>
      </c>
      <c r="D1297" t="s">
        <v>37</v>
      </c>
      <c r="E1297" t="s">
        <v>59</v>
      </c>
      <c r="F1297" s="1">
        <v>42495</v>
      </c>
      <c r="G1297" s="1">
        <v>42495</v>
      </c>
      <c r="H1297" t="s">
        <v>33</v>
      </c>
      <c r="I1297">
        <v>0</v>
      </c>
      <c r="J1297" t="s">
        <v>111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23</v>
      </c>
      <c r="R1297">
        <v>0</v>
      </c>
    </row>
    <row r="1298" spans="1:18">
      <c r="A1298">
        <v>53983800000000</v>
      </c>
      <c r="B1298" t="s">
        <v>18</v>
      </c>
      <c r="C1298">
        <v>33</v>
      </c>
      <c r="D1298" t="s">
        <v>37</v>
      </c>
      <c r="E1298" t="s">
        <v>67</v>
      </c>
      <c r="F1298" s="1">
        <v>42495</v>
      </c>
      <c r="G1298" s="1">
        <v>42495</v>
      </c>
      <c r="H1298" t="s">
        <v>33</v>
      </c>
      <c r="I1298">
        <v>0</v>
      </c>
      <c r="J1298" t="s">
        <v>111</v>
      </c>
      <c r="K1298">
        <v>1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23</v>
      </c>
      <c r="R1298">
        <v>0</v>
      </c>
    </row>
    <row r="1299" spans="1:18">
      <c r="A1299">
        <v>78613200000000</v>
      </c>
      <c r="B1299" t="s">
        <v>18</v>
      </c>
      <c r="C1299">
        <v>35</v>
      </c>
      <c r="D1299" t="s">
        <v>37</v>
      </c>
      <c r="E1299" t="s">
        <v>54</v>
      </c>
      <c r="F1299" s="1">
        <v>42495</v>
      </c>
      <c r="G1299" s="1">
        <v>42501</v>
      </c>
      <c r="H1299" t="s">
        <v>25</v>
      </c>
      <c r="I1299">
        <v>6</v>
      </c>
      <c r="J1299" t="s">
        <v>107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</v>
      </c>
      <c r="Q1299" t="s">
        <v>26</v>
      </c>
      <c r="R1299">
        <v>1</v>
      </c>
    </row>
    <row r="1300" spans="1:18">
      <c r="A1300">
        <v>677389000000</v>
      </c>
      <c r="B1300" t="s">
        <v>18</v>
      </c>
      <c r="C1300">
        <v>22</v>
      </c>
      <c r="D1300" t="s">
        <v>37</v>
      </c>
      <c r="E1300" t="s">
        <v>78</v>
      </c>
      <c r="F1300" s="1">
        <v>42486</v>
      </c>
      <c r="G1300" s="1">
        <v>42501</v>
      </c>
      <c r="H1300" t="s">
        <v>25</v>
      </c>
      <c r="I1300">
        <v>15</v>
      </c>
      <c r="J1300" t="s">
        <v>77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</v>
      </c>
      <c r="Q1300" t="s">
        <v>23</v>
      </c>
      <c r="R1300">
        <v>0</v>
      </c>
    </row>
    <row r="1301" spans="1:18">
      <c r="A1301">
        <v>116978000000000</v>
      </c>
      <c r="B1301" t="s">
        <v>18</v>
      </c>
      <c r="C1301">
        <v>19</v>
      </c>
      <c r="D1301" t="s">
        <v>37</v>
      </c>
      <c r="E1301" t="s">
        <v>47</v>
      </c>
      <c r="F1301" s="1">
        <v>42495</v>
      </c>
      <c r="G1301" s="1">
        <v>42495</v>
      </c>
      <c r="H1301" t="s">
        <v>33</v>
      </c>
      <c r="I1301">
        <v>0</v>
      </c>
      <c r="J1301" t="s">
        <v>111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23</v>
      </c>
      <c r="R1301">
        <v>0</v>
      </c>
    </row>
    <row r="1302" spans="1:18">
      <c r="A1302">
        <v>69718100000000</v>
      </c>
      <c r="B1302" t="s">
        <v>18</v>
      </c>
      <c r="C1302">
        <v>19</v>
      </c>
      <c r="D1302" t="s">
        <v>37</v>
      </c>
      <c r="E1302" t="s">
        <v>59</v>
      </c>
      <c r="F1302" s="1">
        <v>42486</v>
      </c>
      <c r="G1302" s="1">
        <v>42489</v>
      </c>
      <c r="H1302" t="s">
        <v>21</v>
      </c>
      <c r="I1302">
        <v>3</v>
      </c>
      <c r="J1302" t="s">
        <v>109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</v>
      </c>
      <c r="Q1302" t="s">
        <v>23</v>
      </c>
      <c r="R1302">
        <v>0</v>
      </c>
    </row>
    <row r="1303" spans="1:18">
      <c r="A1303">
        <v>91153400000000</v>
      </c>
      <c r="B1303" t="s">
        <v>18</v>
      </c>
      <c r="C1303">
        <v>31</v>
      </c>
      <c r="D1303" t="s">
        <v>37</v>
      </c>
      <c r="E1303" t="s">
        <v>42</v>
      </c>
      <c r="F1303" s="1">
        <v>42486</v>
      </c>
      <c r="G1303" s="1">
        <v>42493</v>
      </c>
      <c r="H1303" t="s">
        <v>41</v>
      </c>
      <c r="I1303">
        <v>7</v>
      </c>
      <c r="J1303" t="s">
        <v>107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</v>
      </c>
      <c r="Q1303" t="s">
        <v>23</v>
      </c>
      <c r="R1303">
        <v>0</v>
      </c>
    </row>
    <row r="1304" spans="1:18">
      <c r="A1304">
        <v>273996000000</v>
      </c>
      <c r="B1304" t="s">
        <v>18</v>
      </c>
      <c r="C1304">
        <v>30</v>
      </c>
      <c r="D1304" t="s">
        <v>37</v>
      </c>
      <c r="E1304" t="s">
        <v>71</v>
      </c>
      <c r="F1304" s="1">
        <v>42486</v>
      </c>
      <c r="G1304" s="1">
        <v>42501</v>
      </c>
      <c r="H1304" t="s">
        <v>25</v>
      </c>
      <c r="I1304">
        <v>15</v>
      </c>
      <c r="J1304" t="s">
        <v>77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23</v>
      </c>
      <c r="R1304">
        <v>0</v>
      </c>
    </row>
    <row r="1305" spans="1:18">
      <c r="A1305">
        <v>227585000000000</v>
      </c>
      <c r="B1305" t="s">
        <v>18</v>
      </c>
      <c r="C1305">
        <v>22</v>
      </c>
      <c r="D1305" t="s">
        <v>37</v>
      </c>
      <c r="E1305" t="s">
        <v>61</v>
      </c>
      <c r="F1305" s="1">
        <v>42495</v>
      </c>
      <c r="G1305" s="1">
        <v>42499</v>
      </c>
      <c r="H1305" t="s">
        <v>30</v>
      </c>
      <c r="I1305">
        <v>4</v>
      </c>
      <c r="J1305" t="s">
        <v>107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23</v>
      </c>
      <c r="R1305">
        <v>0</v>
      </c>
    </row>
    <row r="1306" spans="1:18">
      <c r="A1306">
        <v>619398000000</v>
      </c>
      <c r="B1306" t="s">
        <v>28</v>
      </c>
      <c r="C1306">
        <v>23</v>
      </c>
      <c r="D1306" t="s">
        <v>37</v>
      </c>
      <c r="E1306" t="s">
        <v>68</v>
      </c>
      <c r="F1306" s="1">
        <v>42495</v>
      </c>
      <c r="G1306" s="1">
        <v>42495</v>
      </c>
      <c r="H1306" t="s">
        <v>33</v>
      </c>
      <c r="I1306">
        <v>0</v>
      </c>
      <c r="J1306" t="s">
        <v>111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23</v>
      </c>
      <c r="R1306">
        <v>0</v>
      </c>
    </row>
    <row r="1307" spans="1:18">
      <c r="A1307">
        <v>68975300000000</v>
      </c>
      <c r="B1307" t="s">
        <v>18</v>
      </c>
      <c r="C1307">
        <v>22</v>
      </c>
      <c r="D1307" t="s">
        <v>37</v>
      </c>
      <c r="E1307" t="s">
        <v>72</v>
      </c>
      <c r="F1307" s="1">
        <v>42495</v>
      </c>
      <c r="G1307" s="1">
        <v>42495</v>
      </c>
      <c r="H1307" t="s">
        <v>33</v>
      </c>
      <c r="I1307">
        <v>0</v>
      </c>
      <c r="J1307" t="s">
        <v>111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23</v>
      </c>
      <c r="R1307">
        <v>0</v>
      </c>
    </row>
    <row r="1308" spans="1:18">
      <c r="A1308">
        <v>77845814766</v>
      </c>
      <c r="B1308" t="s">
        <v>28</v>
      </c>
      <c r="C1308">
        <v>22</v>
      </c>
      <c r="D1308" t="s">
        <v>37</v>
      </c>
      <c r="E1308" t="s">
        <v>105</v>
      </c>
      <c r="F1308" s="1">
        <v>42495</v>
      </c>
      <c r="G1308" s="1">
        <v>42507</v>
      </c>
      <c r="H1308" t="s">
        <v>41</v>
      </c>
      <c r="I1308">
        <v>12</v>
      </c>
      <c r="J1308" t="s">
        <v>92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26</v>
      </c>
      <c r="R1308">
        <v>1</v>
      </c>
    </row>
    <row r="1309" spans="1:18">
      <c r="A1309">
        <v>827537000000</v>
      </c>
      <c r="B1309" t="s">
        <v>18</v>
      </c>
      <c r="C1309">
        <v>34</v>
      </c>
      <c r="D1309" t="s">
        <v>37</v>
      </c>
      <c r="E1309" t="s">
        <v>103</v>
      </c>
      <c r="F1309" s="1">
        <v>42495</v>
      </c>
      <c r="G1309" s="1">
        <v>42499</v>
      </c>
      <c r="H1309" t="s">
        <v>30</v>
      </c>
      <c r="I1309">
        <v>4</v>
      </c>
      <c r="J1309" t="s">
        <v>107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23</v>
      </c>
      <c r="R1309">
        <v>0</v>
      </c>
    </row>
    <row r="1310" spans="1:18">
      <c r="A1310">
        <v>71248300000000</v>
      </c>
      <c r="B1310" t="s">
        <v>18</v>
      </c>
      <c r="C1310">
        <v>32</v>
      </c>
      <c r="D1310" t="s">
        <v>37</v>
      </c>
      <c r="E1310" t="s">
        <v>38</v>
      </c>
      <c r="F1310" s="1">
        <v>42495</v>
      </c>
      <c r="G1310" s="1">
        <v>42495</v>
      </c>
      <c r="H1310" t="s">
        <v>33</v>
      </c>
      <c r="I1310">
        <v>0</v>
      </c>
      <c r="J1310" t="s">
        <v>111</v>
      </c>
      <c r="K1310">
        <v>0</v>
      </c>
      <c r="L1310">
        <v>1</v>
      </c>
      <c r="M1310">
        <v>0</v>
      </c>
      <c r="N1310">
        <v>0</v>
      </c>
      <c r="O1310">
        <v>0</v>
      </c>
      <c r="P1310">
        <v>0</v>
      </c>
      <c r="Q1310" t="s">
        <v>23</v>
      </c>
      <c r="R1310">
        <v>0</v>
      </c>
    </row>
    <row r="1311" spans="1:18">
      <c r="A1311">
        <v>6583920000000</v>
      </c>
      <c r="B1311" t="s">
        <v>18</v>
      </c>
      <c r="C1311">
        <v>32</v>
      </c>
      <c r="D1311" t="s">
        <v>37</v>
      </c>
      <c r="E1311" t="s">
        <v>71</v>
      </c>
      <c r="F1311" s="1">
        <v>42486</v>
      </c>
      <c r="G1311" s="1">
        <v>42506</v>
      </c>
      <c r="H1311" t="s">
        <v>30</v>
      </c>
      <c r="I1311">
        <v>20</v>
      </c>
      <c r="J1311" t="s">
        <v>77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23</v>
      </c>
      <c r="R1311">
        <v>0</v>
      </c>
    </row>
    <row r="1312" spans="1:18">
      <c r="A1312">
        <v>2794660000000</v>
      </c>
      <c r="B1312" t="s">
        <v>18</v>
      </c>
      <c r="C1312">
        <v>26</v>
      </c>
      <c r="D1312" t="s">
        <v>37</v>
      </c>
      <c r="E1312" t="s">
        <v>40</v>
      </c>
      <c r="F1312" s="1">
        <v>42495</v>
      </c>
      <c r="G1312" s="1">
        <v>42495</v>
      </c>
      <c r="H1312" t="s">
        <v>33</v>
      </c>
      <c r="I1312">
        <v>0</v>
      </c>
      <c r="J1312" t="s">
        <v>111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23</v>
      </c>
      <c r="R1312">
        <v>0</v>
      </c>
    </row>
    <row r="1313" spans="1:18">
      <c r="A1313">
        <v>684164000000000</v>
      </c>
      <c r="B1313" t="s">
        <v>18</v>
      </c>
      <c r="C1313">
        <v>29</v>
      </c>
      <c r="D1313" t="s">
        <v>37</v>
      </c>
      <c r="E1313" t="s">
        <v>47</v>
      </c>
      <c r="F1313" s="1">
        <v>42486</v>
      </c>
      <c r="G1313" s="1">
        <v>42501</v>
      </c>
      <c r="H1313" t="s">
        <v>25</v>
      </c>
      <c r="I1313">
        <v>15</v>
      </c>
      <c r="J1313" t="s">
        <v>77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</v>
      </c>
      <c r="Q1313" t="s">
        <v>23</v>
      </c>
      <c r="R1313">
        <v>0</v>
      </c>
    </row>
    <row r="1314" spans="1:18">
      <c r="A1314">
        <v>89567300000000</v>
      </c>
      <c r="B1314" t="s">
        <v>18</v>
      </c>
      <c r="C1314">
        <v>24</v>
      </c>
      <c r="D1314" t="s">
        <v>37</v>
      </c>
      <c r="E1314" t="s">
        <v>48</v>
      </c>
      <c r="F1314" s="1">
        <v>42495</v>
      </c>
      <c r="G1314" s="1">
        <v>42495</v>
      </c>
      <c r="H1314" t="s">
        <v>33</v>
      </c>
      <c r="I1314">
        <v>0</v>
      </c>
      <c r="J1314" t="s">
        <v>111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23</v>
      </c>
      <c r="R1314">
        <v>0</v>
      </c>
    </row>
    <row r="1315" spans="1:18">
      <c r="A1315">
        <v>231426000000</v>
      </c>
      <c r="B1315" t="s">
        <v>18</v>
      </c>
      <c r="C1315">
        <v>25</v>
      </c>
      <c r="D1315" t="s">
        <v>37</v>
      </c>
      <c r="E1315" t="s">
        <v>39</v>
      </c>
      <c r="F1315" s="1">
        <v>42494</v>
      </c>
      <c r="G1315" s="1">
        <v>42529</v>
      </c>
      <c r="H1315" t="s">
        <v>25</v>
      </c>
      <c r="I1315">
        <v>35</v>
      </c>
      <c r="J1315" t="s">
        <v>22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</v>
      </c>
      <c r="Q1315" t="s">
        <v>23</v>
      </c>
      <c r="R1315">
        <v>0</v>
      </c>
    </row>
    <row r="1316" spans="1:18">
      <c r="A1316">
        <v>78939426492</v>
      </c>
      <c r="B1316" t="s">
        <v>18</v>
      </c>
      <c r="C1316">
        <v>33</v>
      </c>
      <c r="D1316" t="s">
        <v>37</v>
      </c>
      <c r="E1316" t="s">
        <v>61</v>
      </c>
      <c r="F1316" s="1">
        <v>42494</v>
      </c>
      <c r="G1316" s="1">
        <v>42500</v>
      </c>
      <c r="H1316" t="s">
        <v>41</v>
      </c>
      <c r="I1316">
        <v>6</v>
      </c>
      <c r="J1316" t="s">
        <v>107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</v>
      </c>
      <c r="Q1316" t="s">
        <v>26</v>
      </c>
      <c r="R1316">
        <v>1</v>
      </c>
    </row>
    <row r="1317" spans="1:18">
      <c r="A1317">
        <v>3699820000000</v>
      </c>
      <c r="B1317" t="s">
        <v>18</v>
      </c>
      <c r="C1317">
        <v>26</v>
      </c>
      <c r="D1317" t="s">
        <v>37</v>
      </c>
      <c r="E1317" t="s">
        <v>39</v>
      </c>
      <c r="F1317" s="1">
        <v>42486</v>
      </c>
      <c r="G1317" s="1">
        <v>42507</v>
      </c>
      <c r="H1317" t="s">
        <v>41</v>
      </c>
      <c r="I1317">
        <v>21</v>
      </c>
      <c r="J1317" t="s">
        <v>77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23</v>
      </c>
      <c r="R1317">
        <v>0</v>
      </c>
    </row>
    <row r="1318" spans="1:18">
      <c r="A1318">
        <v>7489750000000</v>
      </c>
      <c r="B1318" t="s">
        <v>18</v>
      </c>
      <c r="C1318">
        <v>33</v>
      </c>
      <c r="D1318" t="s">
        <v>37</v>
      </c>
      <c r="E1318" t="s">
        <v>45</v>
      </c>
      <c r="F1318" s="1">
        <v>42494</v>
      </c>
      <c r="G1318" s="1">
        <v>42524</v>
      </c>
      <c r="H1318" t="s">
        <v>21</v>
      </c>
      <c r="I1318">
        <v>30</v>
      </c>
      <c r="J1318" t="s">
        <v>77</v>
      </c>
      <c r="K1318">
        <v>1</v>
      </c>
      <c r="L1318">
        <v>0</v>
      </c>
      <c r="M1318">
        <v>0</v>
      </c>
      <c r="N1318">
        <v>0</v>
      </c>
      <c r="O1318">
        <v>0</v>
      </c>
      <c r="P1318">
        <v>1</v>
      </c>
      <c r="Q1318" t="s">
        <v>23</v>
      </c>
      <c r="R1318">
        <v>0</v>
      </c>
    </row>
    <row r="1319" spans="1:18">
      <c r="A1319">
        <v>118549000000000</v>
      </c>
      <c r="B1319" t="s">
        <v>18</v>
      </c>
      <c r="C1319">
        <v>34</v>
      </c>
      <c r="D1319" t="s">
        <v>37</v>
      </c>
      <c r="E1319" t="s">
        <v>58</v>
      </c>
      <c r="F1319" s="1">
        <v>42486</v>
      </c>
      <c r="G1319" s="1">
        <v>42522</v>
      </c>
      <c r="H1319" t="s">
        <v>25</v>
      </c>
      <c r="I1319">
        <v>36</v>
      </c>
      <c r="J1319" t="s">
        <v>22</v>
      </c>
      <c r="K1319">
        <v>1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26</v>
      </c>
      <c r="R1319">
        <v>1</v>
      </c>
    </row>
    <row r="1320" spans="1:18">
      <c r="A1320">
        <v>42154500000000</v>
      </c>
      <c r="B1320" t="s">
        <v>18</v>
      </c>
      <c r="C1320">
        <v>25</v>
      </c>
      <c r="D1320" t="s">
        <v>37</v>
      </c>
      <c r="E1320" t="s">
        <v>50</v>
      </c>
      <c r="F1320" s="1">
        <v>42494</v>
      </c>
      <c r="G1320" s="1">
        <v>42499</v>
      </c>
      <c r="H1320" t="s">
        <v>30</v>
      </c>
      <c r="I1320">
        <v>5</v>
      </c>
      <c r="J1320" t="s">
        <v>107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23</v>
      </c>
      <c r="R1320">
        <v>0</v>
      </c>
    </row>
    <row r="1321" spans="1:18">
      <c r="A1321">
        <v>1143790000000</v>
      </c>
      <c r="B1321" t="s">
        <v>18</v>
      </c>
      <c r="C1321">
        <v>19</v>
      </c>
      <c r="D1321" t="s">
        <v>37</v>
      </c>
      <c r="E1321" t="s">
        <v>44</v>
      </c>
      <c r="F1321" s="1">
        <v>42494</v>
      </c>
      <c r="G1321" s="1">
        <v>42494</v>
      </c>
      <c r="H1321" t="s">
        <v>25</v>
      </c>
      <c r="I1321">
        <v>0</v>
      </c>
      <c r="J1321" t="s">
        <v>111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23</v>
      </c>
      <c r="R1321">
        <v>0</v>
      </c>
    </row>
    <row r="1322" spans="1:18">
      <c r="A1322">
        <v>89511300000000</v>
      </c>
      <c r="B1322" t="s">
        <v>18</v>
      </c>
      <c r="C1322">
        <v>34</v>
      </c>
      <c r="D1322" t="s">
        <v>37</v>
      </c>
      <c r="E1322" t="s">
        <v>61</v>
      </c>
      <c r="F1322" s="1">
        <v>42494</v>
      </c>
      <c r="G1322" s="1">
        <v>42499</v>
      </c>
      <c r="H1322" t="s">
        <v>30</v>
      </c>
      <c r="I1322">
        <v>5</v>
      </c>
      <c r="J1322" t="s">
        <v>107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26</v>
      </c>
      <c r="R1322">
        <v>1</v>
      </c>
    </row>
    <row r="1323" spans="1:18">
      <c r="A1323">
        <v>42743600000000</v>
      </c>
      <c r="B1323" t="s">
        <v>18</v>
      </c>
      <c r="C1323">
        <v>26</v>
      </c>
      <c r="D1323" t="s">
        <v>37</v>
      </c>
      <c r="E1323" t="s">
        <v>59</v>
      </c>
      <c r="F1323" s="1">
        <v>42494</v>
      </c>
      <c r="G1323" s="1">
        <v>42508</v>
      </c>
      <c r="H1323" t="s">
        <v>25</v>
      </c>
      <c r="I1323">
        <v>14</v>
      </c>
      <c r="J1323" t="s">
        <v>92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23</v>
      </c>
      <c r="R1323">
        <v>0</v>
      </c>
    </row>
    <row r="1324" spans="1:18">
      <c r="A1324">
        <v>415862000000000</v>
      </c>
      <c r="B1324" t="s">
        <v>18</v>
      </c>
      <c r="C1324">
        <v>21</v>
      </c>
      <c r="D1324" t="s">
        <v>37</v>
      </c>
      <c r="E1324" t="s">
        <v>68</v>
      </c>
      <c r="F1324" s="1">
        <v>42494</v>
      </c>
      <c r="G1324" s="1">
        <v>42528</v>
      </c>
      <c r="H1324" t="s">
        <v>41</v>
      </c>
      <c r="I1324">
        <v>34</v>
      </c>
      <c r="J1324" t="s">
        <v>22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</v>
      </c>
      <c r="Q1324" t="s">
        <v>23</v>
      </c>
      <c r="R1324">
        <v>0</v>
      </c>
    </row>
    <row r="1325" spans="1:18">
      <c r="A1325">
        <v>64498118518</v>
      </c>
      <c r="B1325" t="s">
        <v>18</v>
      </c>
      <c r="C1325">
        <v>29</v>
      </c>
      <c r="D1325" t="s">
        <v>37</v>
      </c>
      <c r="E1325" t="s">
        <v>58</v>
      </c>
      <c r="F1325" s="1">
        <v>42494</v>
      </c>
      <c r="G1325" s="1">
        <v>42515</v>
      </c>
      <c r="H1325" t="s">
        <v>25</v>
      </c>
      <c r="I1325">
        <v>21</v>
      </c>
      <c r="J1325" t="s">
        <v>77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</v>
      </c>
      <c r="Q1325" t="s">
        <v>23</v>
      </c>
      <c r="R1325">
        <v>0</v>
      </c>
    </row>
    <row r="1326" spans="1:18">
      <c r="A1326">
        <v>419163000000</v>
      </c>
      <c r="B1326" t="s">
        <v>18</v>
      </c>
      <c r="C1326">
        <v>20</v>
      </c>
      <c r="D1326" t="s">
        <v>37</v>
      </c>
      <c r="E1326" t="s">
        <v>79</v>
      </c>
      <c r="F1326" s="1">
        <v>42494</v>
      </c>
      <c r="G1326" s="1">
        <v>42503</v>
      </c>
      <c r="H1326" t="s">
        <v>21</v>
      </c>
      <c r="I1326">
        <v>9</v>
      </c>
      <c r="J1326" t="s">
        <v>92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23</v>
      </c>
      <c r="R1326">
        <v>0</v>
      </c>
    </row>
    <row r="1327" spans="1:18">
      <c r="A1327">
        <v>7756470000000</v>
      </c>
      <c r="B1327" t="s">
        <v>28</v>
      </c>
      <c r="C1327">
        <v>27</v>
      </c>
      <c r="D1327" t="s">
        <v>37</v>
      </c>
      <c r="E1327" t="s">
        <v>57</v>
      </c>
      <c r="F1327" s="1">
        <v>42486</v>
      </c>
      <c r="G1327" s="1">
        <v>42495</v>
      </c>
      <c r="H1327" t="s">
        <v>33</v>
      </c>
      <c r="I1327">
        <v>9</v>
      </c>
      <c r="J1327" t="s">
        <v>92</v>
      </c>
      <c r="K1327">
        <v>0</v>
      </c>
      <c r="L1327">
        <v>1</v>
      </c>
      <c r="M1327">
        <v>0</v>
      </c>
      <c r="N1327">
        <v>0</v>
      </c>
      <c r="O1327">
        <v>0</v>
      </c>
      <c r="P1327">
        <v>1</v>
      </c>
      <c r="Q1327" t="s">
        <v>23</v>
      </c>
      <c r="R1327">
        <v>0</v>
      </c>
    </row>
    <row r="1328" spans="1:18">
      <c r="A1328">
        <v>47294200000000</v>
      </c>
      <c r="B1328" t="s">
        <v>18</v>
      </c>
      <c r="C1328">
        <v>24</v>
      </c>
      <c r="D1328" t="s">
        <v>37</v>
      </c>
      <c r="E1328" t="s">
        <v>82</v>
      </c>
      <c r="F1328" s="1">
        <v>42494</v>
      </c>
      <c r="G1328" s="1">
        <v>42499</v>
      </c>
      <c r="H1328" t="s">
        <v>30</v>
      </c>
      <c r="I1328">
        <v>5</v>
      </c>
      <c r="J1328" t="s">
        <v>107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23</v>
      </c>
      <c r="R1328">
        <v>0</v>
      </c>
    </row>
    <row r="1329" spans="1:18">
      <c r="A1329">
        <v>6245550000000</v>
      </c>
      <c r="B1329" t="s">
        <v>18</v>
      </c>
      <c r="C1329">
        <v>26</v>
      </c>
      <c r="D1329" t="s">
        <v>37</v>
      </c>
      <c r="E1329" t="s">
        <v>73</v>
      </c>
      <c r="F1329" s="1">
        <v>42486</v>
      </c>
      <c r="G1329" s="1">
        <v>42492</v>
      </c>
      <c r="H1329" t="s">
        <v>30</v>
      </c>
      <c r="I1329">
        <v>6</v>
      </c>
      <c r="J1329" t="s">
        <v>107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1</v>
      </c>
      <c r="Q1329" t="s">
        <v>23</v>
      </c>
      <c r="R1329">
        <v>0</v>
      </c>
    </row>
    <row r="1330" spans="1:18">
      <c r="A1330">
        <v>919415000000000</v>
      </c>
      <c r="B1330" t="s">
        <v>18</v>
      </c>
      <c r="C1330">
        <v>19</v>
      </c>
      <c r="D1330" t="s">
        <v>37</v>
      </c>
      <c r="E1330" t="s">
        <v>73</v>
      </c>
      <c r="F1330" s="1">
        <v>42494</v>
      </c>
      <c r="G1330" s="1">
        <v>42520</v>
      </c>
      <c r="H1330" t="s">
        <v>30</v>
      </c>
      <c r="I1330">
        <v>26</v>
      </c>
      <c r="J1330" t="s">
        <v>77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</v>
      </c>
      <c r="Q1330" t="s">
        <v>23</v>
      </c>
      <c r="R1330">
        <v>0</v>
      </c>
    </row>
    <row r="1331" spans="1:18">
      <c r="A1331">
        <v>85766400000000</v>
      </c>
      <c r="B1331" t="s">
        <v>18</v>
      </c>
      <c r="C1331">
        <v>23</v>
      </c>
      <c r="D1331" t="s">
        <v>37</v>
      </c>
      <c r="E1331" t="s">
        <v>71</v>
      </c>
      <c r="F1331" s="1">
        <v>42486</v>
      </c>
      <c r="G1331" s="1">
        <v>42500</v>
      </c>
      <c r="H1331" t="s">
        <v>41</v>
      </c>
      <c r="I1331">
        <v>14</v>
      </c>
      <c r="J1331" t="s">
        <v>92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1</v>
      </c>
      <c r="Q1331" t="s">
        <v>23</v>
      </c>
      <c r="R1331">
        <v>0</v>
      </c>
    </row>
    <row r="1332" spans="1:18">
      <c r="A1332">
        <v>1257286674</v>
      </c>
      <c r="B1332" t="s">
        <v>18</v>
      </c>
      <c r="C1332">
        <v>28</v>
      </c>
      <c r="D1332" t="s">
        <v>37</v>
      </c>
      <c r="E1332" t="s">
        <v>105</v>
      </c>
      <c r="F1332" s="1">
        <v>42486</v>
      </c>
      <c r="G1332" s="1">
        <v>42500</v>
      </c>
      <c r="H1332" t="s">
        <v>41</v>
      </c>
      <c r="I1332">
        <v>14</v>
      </c>
      <c r="J1332" t="s">
        <v>92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</v>
      </c>
      <c r="Q1332" t="s">
        <v>23</v>
      </c>
      <c r="R1332">
        <v>0</v>
      </c>
    </row>
    <row r="1333" spans="1:18">
      <c r="A1333">
        <v>98396600000000</v>
      </c>
      <c r="B1333" t="s">
        <v>18</v>
      </c>
      <c r="C1333">
        <v>20</v>
      </c>
      <c r="D1333" t="s">
        <v>37</v>
      </c>
      <c r="E1333" t="s">
        <v>47</v>
      </c>
      <c r="F1333" s="1">
        <v>42486</v>
      </c>
      <c r="G1333" s="1">
        <v>42489</v>
      </c>
      <c r="H1333" t="s">
        <v>21</v>
      </c>
      <c r="I1333">
        <v>3</v>
      </c>
      <c r="J1333" t="s">
        <v>109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 t="s">
        <v>23</v>
      </c>
      <c r="R1333">
        <v>0</v>
      </c>
    </row>
    <row r="1334" spans="1:18">
      <c r="A1334">
        <v>194594000000000</v>
      </c>
      <c r="B1334" t="s">
        <v>18</v>
      </c>
      <c r="C1334">
        <v>23</v>
      </c>
      <c r="D1334" t="s">
        <v>37</v>
      </c>
      <c r="E1334" t="s">
        <v>106</v>
      </c>
      <c r="F1334" s="1">
        <v>42494</v>
      </c>
      <c r="G1334" s="1">
        <v>42502</v>
      </c>
      <c r="H1334" t="s">
        <v>33</v>
      </c>
      <c r="I1334">
        <v>8</v>
      </c>
      <c r="J1334" t="s">
        <v>92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</v>
      </c>
      <c r="Q1334" t="s">
        <v>26</v>
      </c>
      <c r="R1334">
        <v>1</v>
      </c>
    </row>
    <row r="1335" spans="1:18">
      <c r="A1335">
        <v>946427000000000</v>
      </c>
      <c r="B1335" t="s">
        <v>18</v>
      </c>
      <c r="C1335">
        <v>18</v>
      </c>
      <c r="D1335" t="s">
        <v>37</v>
      </c>
      <c r="E1335" t="s">
        <v>68</v>
      </c>
      <c r="F1335" s="1">
        <v>42494</v>
      </c>
      <c r="G1335" s="1">
        <v>42502</v>
      </c>
      <c r="H1335" t="s">
        <v>33</v>
      </c>
      <c r="I1335">
        <v>8</v>
      </c>
      <c r="J1335" t="s">
        <v>92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23</v>
      </c>
      <c r="R1335">
        <v>0</v>
      </c>
    </row>
    <row r="1336" spans="1:18">
      <c r="A1336">
        <v>946427000000000</v>
      </c>
      <c r="B1336" t="s">
        <v>18</v>
      </c>
      <c r="C1336">
        <v>18</v>
      </c>
      <c r="D1336" t="s">
        <v>37</v>
      </c>
      <c r="E1336" t="s">
        <v>68</v>
      </c>
      <c r="F1336" s="1">
        <v>42494</v>
      </c>
      <c r="G1336" s="1">
        <v>42502</v>
      </c>
      <c r="H1336" t="s">
        <v>33</v>
      </c>
      <c r="I1336">
        <v>8</v>
      </c>
      <c r="J1336" t="s">
        <v>92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1</v>
      </c>
      <c r="Q1336" t="s">
        <v>23</v>
      </c>
      <c r="R1336">
        <v>0</v>
      </c>
    </row>
    <row r="1337" spans="1:18">
      <c r="A1337">
        <v>79173500000000</v>
      </c>
      <c r="B1337" t="s">
        <v>18</v>
      </c>
      <c r="C1337">
        <v>30</v>
      </c>
      <c r="D1337" t="s">
        <v>37</v>
      </c>
      <c r="E1337" t="s">
        <v>105</v>
      </c>
      <c r="F1337" s="1">
        <v>42494</v>
      </c>
      <c r="G1337" s="1">
        <v>42509</v>
      </c>
      <c r="H1337" t="s">
        <v>33</v>
      </c>
      <c r="I1337">
        <v>15</v>
      </c>
      <c r="J1337" t="s">
        <v>77</v>
      </c>
      <c r="K1337">
        <v>1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23</v>
      </c>
      <c r="R1337">
        <v>0</v>
      </c>
    </row>
    <row r="1338" spans="1:18">
      <c r="A1338">
        <v>587972000000000</v>
      </c>
      <c r="B1338" t="s">
        <v>18</v>
      </c>
      <c r="C1338">
        <v>20</v>
      </c>
      <c r="D1338" t="s">
        <v>37</v>
      </c>
      <c r="E1338" t="s">
        <v>64</v>
      </c>
      <c r="F1338" s="1">
        <v>42494</v>
      </c>
      <c r="G1338" s="1">
        <v>42500</v>
      </c>
      <c r="H1338" t="s">
        <v>41</v>
      </c>
      <c r="I1338">
        <v>6</v>
      </c>
      <c r="J1338" t="s">
        <v>107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1</v>
      </c>
      <c r="Q1338" t="s">
        <v>26</v>
      </c>
      <c r="R1338">
        <v>1</v>
      </c>
    </row>
    <row r="1339" spans="1:18">
      <c r="A1339">
        <v>89838800000000</v>
      </c>
      <c r="B1339" t="s">
        <v>18</v>
      </c>
      <c r="C1339">
        <v>29</v>
      </c>
      <c r="D1339" t="s">
        <v>37</v>
      </c>
      <c r="E1339" t="s">
        <v>63</v>
      </c>
      <c r="F1339" s="1">
        <v>42494</v>
      </c>
      <c r="G1339" s="1">
        <v>42501</v>
      </c>
      <c r="H1339" t="s">
        <v>25</v>
      </c>
      <c r="I1339">
        <v>7</v>
      </c>
      <c r="J1339" t="s">
        <v>107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23</v>
      </c>
      <c r="R1339">
        <v>0</v>
      </c>
    </row>
    <row r="1340" spans="1:18">
      <c r="A1340">
        <v>9488280000000</v>
      </c>
      <c r="B1340" t="s">
        <v>28</v>
      </c>
      <c r="C1340">
        <v>18</v>
      </c>
      <c r="D1340" t="s">
        <v>37</v>
      </c>
      <c r="E1340" t="s">
        <v>72</v>
      </c>
      <c r="F1340" s="1">
        <v>42494</v>
      </c>
      <c r="G1340" s="1">
        <v>42494</v>
      </c>
      <c r="H1340" t="s">
        <v>25</v>
      </c>
      <c r="I1340">
        <v>0</v>
      </c>
      <c r="J1340" t="s">
        <v>111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23</v>
      </c>
      <c r="R1340">
        <v>0</v>
      </c>
    </row>
    <row r="1341" spans="1:18">
      <c r="A1341">
        <v>868354000000000</v>
      </c>
      <c r="B1341" t="s">
        <v>18</v>
      </c>
      <c r="C1341">
        <v>33</v>
      </c>
      <c r="D1341" t="s">
        <v>37</v>
      </c>
      <c r="E1341" t="s">
        <v>38</v>
      </c>
      <c r="F1341" s="1">
        <v>42494</v>
      </c>
      <c r="G1341" s="1">
        <v>42494</v>
      </c>
      <c r="H1341" t="s">
        <v>25</v>
      </c>
      <c r="I1341">
        <v>0</v>
      </c>
      <c r="J1341" t="s">
        <v>111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23</v>
      </c>
      <c r="R1341">
        <v>0</v>
      </c>
    </row>
    <row r="1342" spans="1:18">
      <c r="A1342">
        <v>714362000000</v>
      </c>
      <c r="B1342" t="s">
        <v>28</v>
      </c>
      <c r="C1342">
        <v>35</v>
      </c>
      <c r="D1342" t="s">
        <v>37</v>
      </c>
      <c r="E1342" t="s">
        <v>68</v>
      </c>
      <c r="F1342" s="1">
        <v>42494</v>
      </c>
      <c r="G1342" s="1">
        <v>42502</v>
      </c>
      <c r="H1342" t="s">
        <v>33</v>
      </c>
      <c r="I1342">
        <v>8</v>
      </c>
      <c r="J1342" t="s">
        <v>92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26</v>
      </c>
      <c r="R1342">
        <v>1</v>
      </c>
    </row>
    <row r="1343" spans="1:18">
      <c r="A1343">
        <v>21331200000000</v>
      </c>
      <c r="B1343" t="s">
        <v>18</v>
      </c>
      <c r="C1343">
        <v>23</v>
      </c>
      <c r="D1343" t="s">
        <v>37</v>
      </c>
      <c r="E1343" t="s">
        <v>80</v>
      </c>
      <c r="F1343" s="1">
        <v>42494</v>
      </c>
      <c r="G1343" s="1">
        <v>42499</v>
      </c>
      <c r="H1343" t="s">
        <v>30</v>
      </c>
      <c r="I1343">
        <v>5</v>
      </c>
      <c r="J1343" t="s">
        <v>107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23</v>
      </c>
      <c r="R1343">
        <v>0</v>
      </c>
    </row>
    <row r="1344" spans="1:18">
      <c r="A1344">
        <v>332671000000</v>
      </c>
      <c r="B1344" t="s">
        <v>28</v>
      </c>
      <c r="C1344">
        <v>32</v>
      </c>
      <c r="D1344" t="s">
        <v>37</v>
      </c>
      <c r="E1344" t="s">
        <v>55</v>
      </c>
      <c r="F1344" s="1">
        <v>42494</v>
      </c>
      <c r="G1344" s="1">
        <v>42496</v>
      </c>
      <c r="H1344" t="s">
        <v>21</v>
      </c>
      <c r="I1344">
        <v>2</v>
      </c>
      <c r="J1344" t="s">
        <v>109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23</v>
      </c>
      <c r="R1344">
        <v>0</v>
      </c>
    </row>
    <row r="1345" spans="1:18">
      <c r="A1345">
        <v>7485680000000</v>
      </c>
      <c r="B1345" t="s">
        <v>18</v>
      </c>
      <c r="C1345">
        <v>19</v>
      </c>
      <c r="D1345" t="s">
        <v>37</v>
      </c>
      <c r="E1345" t="s">
        <v>70</v>
      </c>
      <c r="F1345" s="1">
        <v>42494</v>
      </c>
      <c r="G1345" s="1">
        <v>42500</v>
      </c>
      <c r="H1345" t="s">
        <v>41</v>
      </c>
      <c r="I1345">
        <v>6</v>
      </c>
      <c r="J1345" t="s">
        <v>107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</v>
      </c>
      <c r="Q1345" t="s">
        <v>23</v>
      </c>
      <c r="R1345">
        <v>0</v>
      </c>
    </row>
    <row r="1346" spans="1:18">
      <c r="A1346">
        <v>2646350000000</v>
      </c>
      <c r="B1346" t="s">
        <v>18</v>
      </c>
      <c r="C1346">
        <v>20</v>
      </c>
      <c r="D1346" t="s">
        <v>37</v>
      </c>
      <c r="E1346" t="s">
        <v>96</v>
      </c>
      <c r="F1346" s="1">
        <v>42494</v>
      </c>
      <c r="G1346" s="1">
        <v>42496</v>
      </c>
      <c r="H1346" t="s">
        <v>21</v>
      </c>
      <c r="I1346">
        <v>2</v>
      </c>
      <c r="J1346" t="s">
        <v>109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26</v>
      </c>
      <c r="R1346">
        <v>1</v>
      </c>
    </row>
    <row r="1347" spans="1:18">
      <c r="A1347">
        <v>35918900000000</v>
      </c>
      <c r="B1347" t="s">
        <v>18</v>
      </c>
      <c r="C1347">
        <v>24</v>
      </c>
      <c r="D1347" t="s">
        <v>37</v>
      </c>
      <c r="E1347" t="s">
        <v>66</v>
      </c>
      <c r="F1347" s="1">
        <v>42494</v>
      </c>
      <c r="G1347" s="1">
        <v>42508</v>
      </c>
      <c r="H1347" t="s">
        <v>25</v>
      </c>
      <c r="I1347">
        <v>14</v>
      </c>
      <c r="J1347" t="s">
        <v>92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23</v>
      </c>
      <c r="R1347">
        <v>0</v>
      </c>
    </row>
    <row r="1348" spans="1:18">
      <c r="A1348">
        <v>8393430000000</v>
      </c>
      <c r="B1348" t="s">
        <v>18</v>
      </c>
      <c r="C1348">
        <v>22</v>
      </c>
      <c r="D1348" t="s">
        <v>37</v>
      </c>
      <c r="E1348" t="s">
        <v>50</v>
      </c>
      <c r="F1348" s="1">
        <v>42494</v>
      </c>
      <c r="G1348" s="1">
        <v>42501</v>
      </c>
      <c r="H1348" t="s">
        <v>25</v>
      </c>
      <c r="I1348">
        <v>7</v>
      </c>
      <c r="J1348" t="s">
        <v>107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</v>
      </c>
      <c r="Q1348" t="s">
        <v>23</v>
      </c>
      <c r="R1348">
        <v>0</v>
      </c>
    </row>
    <row r="1349" spans="1:18">
      <c r="A1349">
        <v>917584000000000</v>
      </c>
      <c r="B1349" t="s">
        <v>28</v>
      </c>
      <c r="C1349">
        <v>28</v>
      </c>
      <c r="D1349" t="s">
        <v>37</v>
      </c>
      <c r="E1349" t="s">
        <v>49</v>
      </c>
      <c r="F1349" s="1">
        <v>42494</v>
      </c>
      <c r="G1349" s="1">
        <v>42507</v>
      </c>
      <c r="H1349" t="s">
        <v>41</v>
      </c>
      <c r="I1349">
        <v>13</v>
      </c>
      <c r="J1349" t="s">
        <v>92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23</v>
      </c>
      <c r="R1349">
        <v>0</v>
      </c>
    </row>
    <row r="1350" spans="1:18">
      <c r="A1350">
        <v>1125830000000</v>
      </c>
      <c r="B1350" t="s">
        <v>28</v>
      </c>
      <c r="C1350">
        <v>33</v>
      </c>
      <c r="D1350" t="s">
        <v>37</v>
      </c>
      <c r="E1350" t="s">
        <v>36</v>
      </c>
      <c r="F1350" s="1">
        <v>42494</v>
      </c>
      <c r="G1350" s="1">
        <v>42500</v>
      </c>
      <c r="H1350" t="s">
        <v>41</v>
      </c>
      <c r="I1350">
        <v>6</v>
      </c>
      <c r="J1350" t="s">
        <v>107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 t="s">
        <v>23</v>
      </c>
      <c r="R1350">
        <v>0</v>
      </c>
    </row>
    <row r="1351" spans="1:18">
      <c r="A1351">
        <v>87983900000000</v>
      </c>
      <c r="B1351" t="s">
        <v>18</v>
      </c>
      <c r="C1351">
        <v>31</v>
      </c>
      <c r="D1351" t="s">
        <v>37</v>
      </c>
      <c r="E1351" t="s">
        <v>50</v>
      </c>
      <c r="F1351" s="1">
        <v>42494</v>
      </c>
      <c r="G1351" s="1">
        <v>42515</v>
      </c>
      <c r="H1351" t="s">
        <v>25</v>
      </c>
      <c r="I1351">
        <v>21</v>
      </c>
      <c r="J1351" t="s">
        <v>77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</v>
      </c>
      <c r="Q1351" t="s">
        <v>23</v>
      </c>
      <c r="R1351">
        <v>0</v>
      </c>
    </row>
    <row r="1352" spans="1:18">
      <c r="A1352">
        <v>47385300000000</v>
      </c>
      <c r="B1352" t="s">
        <v>18</v>
      </c>
      <c r="C1352">
        <v>24</v>
      </c>
      <c r="D1352" t="s">
        <v>37</v>
      </c>
      <c r="E1352" t="s">
        <v>32</v>
      </c>
      <c r="F1352" s="1">
        <v>42494</v>
      </c>
      <c r="G1352" s="1">
        <v>42494</v>
      </c>
      <c r="H1352" t="s">
        <v>25</v>
      </c>
      <c r="I1352">
        <v>0</v>
      </c>
      <c r="J1352" t="s">
        <v>111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23</v>
      </c>
      <c r="R1352">
        <v>0</v>
      </c>
    </row>
    <row r="1353" spans="1:18">
      <c r="A1353">
        <v>134732000000000</v>
      </c>
      <c r="B1353" t="s">
        <v>18</v>
      </c>
      <c r="C1353">
        <v>32</v>
      </c>
      <c r="D1353" t="s">
        <v>37</v>
      </c>
      <c r="E1353" t="s">
        <v>38</v>
      </c>
      <c r="F1353" s="1">
        <v>42494</v>
      </c>
      <c r="G1353" s="1">
        <v>42501</v>
      </c>
      <c r="H1353" t="s">
        <v>25</v>
      </c>
      <c r="I1353">
        <v>7</v>
      </c>
      <c r="J1353" t="s">
        <v>107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</v>
      </c>
      <c r="Q1353" t="s">
        <v>23</v>
      </c>
      <c r="R1353">
        <v>0</v>
      </c>
    </row>
    <row r="1354" spans="1:18">
      <c r="A1354">
        <v>72733500000000</v>
      </c>
      <c r="B1354" t="s">
        <v>18</v>
      </c>
      <c r="C1354">
        <v>23</v>
      </c>
      <c r="D1354" t="s">
        <v>37</v>
      </c>
      <c r="E1354" t="s">
        <v>71</v>
      </c>
      <c r="F1354" s="1">
        <v>42494</v>
      </c>
      <c r="G1354" s="1">
        <v>42496</v>
      </c>
      <c r="H1354" t="s">
        <v>21</v>
      </c>
      <c r="I1354">
        <v>2</v>
      </c>
      <c r="J1354" t="s">
        <v>109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23</v>
      </c>
      <c r="R1354">
        <v>0</v>
      </c>
    </row>
    <row r="1355" spans="1:18">
      <c r="A1355">
        <v>7363150000000</v>
      </c>
      <c r="B1355" t="s">
        <v>18</v>
      </c>
      <c r="C1355">
        <v>27</v>
      </c>
      <c r="D1355" t="s">
        <v>37</v>
      </c>
      <c r="E1355" t="s">
        <v>72</v>
      </c>
      <c r="F1355" s="1">
        <v>42494</v>
      </c>
      <c r="G1355" s="1">
        <v>42494</v>
      </c>
      <c r="H1355" t="s">
        <v>25</v>
      </c>
      <c r="I1355">
        <v>0</v>
      </c>
      <c r="J1355" t="s">
        <v>111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23</v>
      </c>
      <c r="R1355">
        <v>0</v>
      </c>
    </row>
    <row r="1356" spans="1:18">
      <c r="A1356">
        <v>6869130000000</v>
      </c>
      <c r="B1356" t="s">
        <v>18</v>
      </c>
      <c r="C1356">
        <v>23</v>
      </c>
      <c r="D1356" t="s">
        <v>37</v>
      </c>
      <c r="E1356" t="s">
        <v>75</v>
      </c>
      <c r="F1356" s="1">
        <v>42494</v>
      </c>
      <c r="G1356" s="1">
        <v>42494</v>
      </c>
      <c r="H1356" t="s">
        <v>25</v>
      </c>
      <c r="I1356">
        <v>0</v>
      </c>
      <c r="J1356" t="s">
        <v>111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23</v>
      </c>
      <c r="R1356">
        <v>0</v>
      </c>
    </row>
    <row r="1357" spans="1:18">
      <c r="A1357">
        <v>818741000000000</v>
      </c>
      <c r="B1357" t="s">
        <v>18</v>
      </c>
      <c r="C1357">
        <v>20</v>
      </c>
      <c r="D1357" t="s">
        <v>37</v>
      </c>
      <c r="E1357" t="s">
        <v>43</v>
      </c>
      <c r="F1357" s="1">
        <v>42494</v>
      </c>
      <c r="G1357" s="1">
        <v>42501</v>
      </c>
      <c r="H1357" t="s">
        <v>25</v>
      </c>
      <c r="I1357">
        <v>7</v>
      </c>
      <c r="J1357" t="s">
        <v>107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</v>
      </c>
      <c r="Q1357" t="s">
        <v>26</v>
      </c>
      <c r="R1357">
        <v>1</v>
      </c>
    </row>
    <row r="1358" spans="1:18">
      <c r="A1358">
        <v>98492700000000</v>
      </c>
      <c r="B1358" t="s">
        <v>18</v>
      </c>
      <c r="C1358">
        <v>25</v>
      </c>
      <c r="D1358" t="s">
        <v>37</v>
      </c>
      <c r="E1358" t="s">
        <v>61</v>
      </c>
      <c r="F1358" s="1">
        <v>42494</v>
      </c>
      <c r="G1358" s="1">
        <v>42499</v>
      </c>
      <c r="H1358" t="s">
        <v>30</v>
      </c>
      <c r="I1358">
        <v>5</v>
      </c>
      <c r="J1358" t="s">
        <v>107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23</v>
      </c>
      <c r="R1358">
        <v>0</v>
      </c>
    </row>
    <row r="1359" spans="1:18">
      <c r="A1359">
        <v>6962860000000</v>
      </c>
      <c r="B1359" t="s">
        <v>28</v>
      </c>
      <c r="C1359">
        <v>21</v>
      </c>
      <c r="D1359" t="s">
        <v>37</v>
      </c>
      <c r="E1359" t="s">
        <v>71</v>
      </c>
      <c r="F1359" s="1">
        <v>42487</v>
      </c>
      <c r="G1359" s="1">
        <v>42492</v>
      </c>
      <c r="H1359" t="s">
        <v>30</v>
      </c>
      <c r="I1359">
        <v>5</v>
      </c>
      <c r="J1359" t="s">
        <v>107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 t="s">
        <v>23</v>
      </c>
      <c r="R1359">
        <v>0</v>
      </c>
    </row>
    <row r="1360" spans="1:18">
      <c r="A1360">
        <v>171300000000000</v>
      </c>
      <c r="B1360" t="s">
        <v>18</v>
      </c>
      <c r="C1360">
        <v>34</v>
      </c>
      <c r="D1360" t="s">
        <v>37</v>
      </c>
      <c r="E1360" t="s">
        <v>36</v>
      </c>
      <c r="F1360" s="1">
        <v>42487</v>
      </c>
      <c r="G1360" s="1">
        <v>42489</v>
      </c>
      <c r="H1360" t="s">
        <v>21</v>
      </c>
      <c r="I1360">
        <v>2</v>
      </c>
      <c r="J1360" t="s">
        <v>109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26</v>
      </c>
      <c r="R1360">
        <v>1</v>
      </c>
    </row>
    <row r="1361" spans="1:18">
      <c r="A1361">
        <v>5643000000000</v>
      </c>
      <c r="B1361" t="s">
        <v>18</v>
      </c>
      <c r="C1361">
        <v>22</v>
      </c>
      <c r="D1361" t="s">
        <v>37</v>
      </c>
      <c r="E1361" t="s">
        <v>39</v>
      </c>
      <c r="F1361" s="1">
        <v>42494</v>
      </c>
      <c r="G1361" s="1">
        <v>42494</v>
      </c>
      <c r="H1361" t="s">
        <v>25</v>
      </c>
      <c r="I1361">
        <v>0</v>
      </c>
      <c r="J1361" t="s">
        <v>111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23</v>
      </c>
      <c r="R1361">
        <v>0</v>
      </c>
    </row>
    <row r="1362" spans="1:18">
      <c r="A1362">
        <v>4828330000000</v>
      </c>
      <c r="B1362" t="s">
        <v>28</v>
      </c>
      <c r="C1362">
        <v>24</v>
      </c>
      <c r="D1362" t="s">
        <v>37</v>
      </c>
      <c r="E1362" t="s">
        <v>80</v>
      </c>
      <c r="F1362" s="1">
        <v>42487</v>
      </c>
      <c r="G1362" s="1">
        <v>42492</v>
      </c>
      <c r="H1362" t="s">
        <v>30</v>
      </c>
      <c r="I1362">
        <v>5</v>
      </c>
      <c r="J1362" t="s">
        <v>107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</v>
      </c>
      <c r="Q1362" t="s">
        <v>23</v>
      </c>
      <c r="R1362">
        <v>0</v>
      </c>
    </row>
    <row r="1363" spans="1:18">
      <c r="A1363">
        <v>4644120000000</v>
      </c>
      <c r="B1363" t="s">
        <v>28</v>
      </c>
      <c r="C1363">
        <v>27</v>
      </c>
      <c r="D1363" t="s">
        <v>37</v>
      </c>
      <c r="E1363" t="s">
        <v>59</v>
      </c>
      <c r="F1363" s="1">
        <v>42494</v>
      </c>
      <c r="G1363" s="1">
        <v>42494</v>
      </c>
      <c r="H1363" t="s">
        <v>25</v>
      </c>
      <c r="I1363">
        <v>0</v>
      </c>
      <c r="J1363" t="s">
        <v>111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23</v>
      </c>
      <c r="R1363">
        <v>0</v>
      </c>
    </row>
    <row r="1364" spans="1:18">
      <c r="A1364">
        <v>36556500000000</v>
      </c>
      <c r="B1364" t="s">
        <v>28</v>
      </c>
      <c r="C1364">
        <v>18</v>
      </c>
      <c r="D1364" t="s">
        <v>37</v>
      </c>
      <c r="E1364" t="s">
        <v>56</v>
      </c>
      <c r="F1364" s="1">
        <v>42494</v>
      </c>
      <c r="G1364" s="1">
        <v>42495</v>
      </c>
      <c r="H1364" t="s">
        <v>33</v>
      </c>
      <c r="I1364">
        <v>1</v>
      </c>
      <c r="J1364" t="s">
        <v>109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26</v>
      </c>
      <c r="R1364">
        <v>1</v>
      </c>
    </row>
    <row r="1365" spans="1:18">
      <c r="A1365">
        <v>91396100000000</v>
      </c>
      <c r="B1365" t="s">
        <v>28</v>
      </c>
      <c r="C1365">
        <v>34</v>
      </c>
      <c r="D1365" t="s">
        <v>37</v>
      </c>
      <c r="E1365" t="s">
        <v>96</v>
      </c>
      <c r="F1365" s="1">
        <v>42487</v>
      </c>
      <c r="G1365" s="1">
        <v>42494</v>
      </c>
      <c r="H1365" t="s">
        <v>25</v>
      </c>
      <c r="I1365">
        <v>7</v>
      </c>
      <c r="J1365" t="s">
        <v>107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 t="s">
        <v>23</v>
      </c>
      <c r="R1365">
        <v>0</v>
      </c>
    </row>
    <row r="1366" spans="1:18">
      <c r="A1366">
        <v>19677700000000</v>
      </c>
      <c r="B1366" t="s">
        <v>18</v>
      </c>
      <c r="C1366">
        <v>21</v>
      </c>
      <c r="D1366" t="s">
        <v>37</v>
      </c>
      <c r="E1366" t="s">
        <v>38</v>
      </c>
      <c r="F1366" s="1">
        <v>42494</v>
      </c>
      <c r="G1366" s="1">
        <v>42494</v>
      </c>
      <c r="H1366" t="s">
        <v>25</v>
      </c>
      <c r="I1366">
        <v>0</v>
      </c>
      <c r="J1366" t="s">
        <v>111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23</v>
      </c>
      <c r="R1366">
        <v>0</v>
      </c>
    </row>
    <row r="1367" spans="1:18">
      <c r="A1367">
        <v>375786000000000</v>
      </c>
      <c r="B1367" t="s">
        <v>18</v>
      </c>
      <c r="C1367">
        <v>23</v>
      </c>
      <c r="D1367" t="s">
        <v>37</v>
      </c>
      <c r="E1367" t="s">
        <v>78</v>
      </c>
      <c r="F1367" s="1">
        <v>42494</v>
      </c>
      <c r="G1367" s="1">
        <v>42496</v>
      </c>
      <c r="H1367" t="s">
        <v>21</v>
      </c>
      <c r="I1367">
        <v>2</v>
      </c>
      <c r="J1367" t="s">
        <v>109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23</v>
      </c>
      <c r="R1367">
        <v>0</v>
      </c>
    </row>
    <row r="1368" spans="1:18">
      <c r="A1368">
        <v>123451000000000</v>
      </c>
      <c r="B1368" t="s">
        <v>18</v>
      </c>
      <c r="C1368">
        <v>32</v>
      </c>
      <c r="D1368" t="s">
        <v>37</v>
      </c>
      <c r="E1368" t="s">
        <v>86</v>
      </c>
      <c r="F1368" s="1">
        <v>42494</v>
      </c>
      <c r="G1368" s="1">
        <v>42503</v>
      </c>
      <c r="H1368" t="s">
        <v>21</v>
      </c>
      <c r="I1368">
        <v>9</v>
      </c>
      <c r="J1368" t="s">
        <v>92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26</v>
      </c>
      <c r="R1368">
        <v>1</v>
      </c>
    </row>
    <row r="1369" spans="1:18">
      <c r="A1369">
        <v>8449150000000</v>
      </c>
      <c r="B1369" t="s">
        <v>18</v>
      </c>
      <c r="C1369">
        <v>33</v>
      </c>
      <c r="D1369" t="s">
        <v>37</v>
      </c>
      <c r="E1369" t="s">
        <v>105</v>
      </c>
      <c r="F1369" s="1">
        <v>42494</v>
      </c>
      <c r="G1369" s="1">
        <v>42502</v>
      </c>
      <c r="H1369" t="s">
        <v>33</v>
      </c>
      <c r="I1369">
        <v>8</v>
      </c>
      <c r="J1369" t="s">
        <v>92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1</v>
      </c>
      <c r="Q1369" t="s">
        <v>23</v>
      </c>
      <c r="R1369">
        <v>0</v>
      </c>
    </row>
    <row r="1370" spans="1:18">
      <c r="A1370">
        <v>885355000000</v>
      </c>
      <c r="B1370" t="s">
        <v>28</v>
      </c>
      <c r="C1370">
        <v>30</v>
      </c>
      <c r="D1370" t="s">
        <v>37</v>
      </c>
      <c r="E1370" t="s">
        <v>64</v>
      </c>
      <c r="F1370" s="1">
        <v>42487</v>
      </c>
      <c r="G1370" s="1">
        <v>42495</v>
      </c>
      <c r="H1370" t="s">
        <v>33</v>
      </c>
      <c r="I1370">
        <v>8</v>
      </c>
      <c r="J1370" t="s">
        <v>92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1</v>
      </c>
      <c r="Q1370" t="s">
        <v>23</v>
      </c>
      <c r="R1370">
        <v>0</v>
      </c>
    </row>
    <row r="1371" spans="1:18">
      <c r="A1371">
        <v>9627990000000</v>
      </c>
      <c r="B1371" t="s">
        <v>18</v>
      </c>
      <c r="C1371">
        <v>28</v>
      </c>
      <c r="D1371" t="s">
        <v>37</v>
      </c>
      <c r="E1371" t="s">
        <v>34</v>
      </c>
      <c r="F1371" s="1">
        <v>42487</v>
      </c>
      <c r="G1371" s="1">
        <v>42495</v>
      </c>
      <c r="H1371" t="s">
        <v>33</v>
      </c>
      <c r="I1371">
        <v>8</v>
      </c>
      <c r="J1371" t="s">
        <v>92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</v>
      </c>
      <c r="Q1371" t="s">
        <v>23</v>
      </c>
      <c r="R1371">
        <v>0</v>
      </c>
    </row>
    <row r="1372" spans="1:18">
      <c r="A1372">
        <v>797855000000000</v>
      </c>
      <c r="B1372" t="s">
        <v>18</v>
      </c>
      <c r="C1372">
        <v>26</v>
      </c>
      <c r="D1372" t="s">
        <v>37</v>
      </c>
      <c r="E1372" t="s">
        <v>45</v>
      </c>
      <c r="F1372" s="1">
        <v>42494</v>
      </c>
      <c r="G1372" s="1">
        <v>42520</v>
      </c>
      <c r="H1372" t="s">
        <v>30</v>
      </c>
      <c r="I1372">
        <v>26</v>
      </c>
      <c r="J1372" t="s">
        <v>77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26</v>
      </c>
      <c r="R1372">
        <v>1</v>
      </c>
    </row>
    <row r="1373" spans="1:18">
      <c r="A1373">
        <v>19345600000000</v>
      </c>
      <c r="B1373" t="s">
        <v>18</v>
      </c>
      <c r="C1373">
        <v>33</v>
      </c>
      <c r="D1373" t="s">
        <v>37</v>
      </c>
      <c r="E1373" t="s">
        <v>67</v>
      </c>
      <c r="F1373" s="1">
        <v>42494</v>
      </c>
      <c r="G1373" s="1">
        <v>42514</v>
      </c>
      <c r="H1373" t="s">
        <v>41</v>
      </c>
      <c r="I1373">
        <v>20</v>
      </c>
      <c r="J1373" t="s">
        <v>77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1</v>
      </c>
      <c r="Q1373" t="s">
        <v>23</v>
      </c>
      <c r="R1373">
        <v>0</v>
      </c>
    </row>
    <row r="1374" spans="1:18">
      <c r="A1374">
        <v>61932900000000</v>
      </c>
      <c r="B1374" t="s">
        <v>18</v>
      </c>
      <c r="C1374">
        <v>21</v>
      </c>
      <c r="D1374" t="s">
        <v>37</v>
      </c>
      <c r="E1374" t="s">
        <v>75</v>
      </c>
      <c r="F1374" s="1">
        <v>42494</v>
      </c>
      <c r="G1374" s="1">
        <v>42494</v>
      </c>
      <c r="H1374" t="s">
        <v>25</v>
      </c>
      <c r="I1374">
        <v>0</v>
      </c>
      <c r="J1374" t="s">
        <v>111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23</v>
      </c>
      <c r="R1374">
        <v>0</v>
      </c>
    </row>
    <row r="1375" spans="1:18">
      <c r="A1375">
        <v>8696612447</v>
      </c>
      <c r="B1375" t="s">
        <v>18</v>
      </c>
      <c r="C1375">
        <v>34</v>
      </c>
      <c r="D1375" t="s">
        <v>37</v>
      </c>
      <c r="E1375" t="s">
        <v>97</v>
      </c>
      <c r="F1375" s="1">
        <v>42494</v>
      </c>
      <c r="G1375" s="1">
        <v>42508</v>
      </c>
      <c r="H1375" t="s">
        <v>25</v>
      </c>
      <c r="I1375">
        <v>14</v>
      </c>
      <c r="J1375" t="s">
        <v>92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26</v>
      </c>
      <c r="R1375">
        <v>1</v>
      </c>
    </row>
    <row r="1376" spans="1:18">
      <c r="A1376">
        <v>7838390000000</v>
      </c>
      <c r="B1376" t="s">
        <v>18</v>
      </c>
      <c r="C1376">
        <v>19</v>
      </c>
      <c r="D1376" t="s">
        <v>37</v>
      </c>
      <c r="E1376" t="s">
        <v>59</v>
      </c>
      <c r="F1376" s="1">
        <v>42494</v>
      </c>
      <c r="G1376" s="1">
        <v>42494</v>
      </c>
      <c r="H1376" t="s">
        <v>25</v>
      </c>
      <c r="I1376">
        <v>0</v>
      </c>
      <c r="J1376" t="s">
        <v>111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23</v>
      </c>
      <c r="R1376">
        <v>0</v>
      </c>
    </row>
    <row r="1377" spans="1:18">
      <c r="A1377">
        <v>533578000000</v>
      </c>
      <c r="B1377" t="s">
        <v>18</v>
      </c>
      <c r="C1377">
        <v>31</v>
      </c>
      <c r="D1377" t="s">
        <v>37</v>
      </c>
      <c r="E1377" t="s">
        <v>38</v>
      </c>
      <c r="F1377" s="1">
        <v>42494</v>
      </c>
      <c r="G1377" s="1">
        <v>42508</v>
      </c>
      <c r="H1377" t="s">
        <v>25</v>
      </c>
      <c r="I1377">
        <v>14</v>
      </c>
      <c r="J1377" t="s">
        <v>92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23</v>
      </c>
      <c r="R1377">
        <v>0</v>
      </c>
    </row>
    <row r="1378" spans="1:18">
      <c r="A1378">
        <v>318479000000</v>
      </c>
      <c r="B1378" t="s">
        <v>18</v>
      </c>
      <c r="C1378">
        <v>28</v>
      </c>
      <c r="D1378" t="s">
        <v>37</v>
      </c>
      <c r="E1378" t="s">
        <v>64</v>
      </c>
      <c r="F1378" s="1">
        <v>42494</v>
      </c>
      <c r="G1378" s="1">
        <v>42494</v>
      </c>
      <c r="H1378" t="s">
        <v>25</v>
      </c>
      <c r="I1378">
        <v>0</v>
      </c>
      <c r="J1378" t="s">
        <v>111</v>
      </c>
      <c r="K1378">
        <v>1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23</v>
      </c>
      <c r="R1378">
        <v>0</v>
      </c>
    </row>
    <row r="1379" spans="1:18">
      <c r="A1379">
        <v>797499000000</v>
      </c>
      <c r="B1379" t="s">
        <v>18</v>
      </c>
      <c r="C1379">
        <v>21</v>
      </c>
      <c r="D1379" t="s">
        <v>37</v>
      </c>
      <c r="E1379" t="s">
        <v>72</v>
      </c>
      <c r="F1379" s="1">
        <v>42494</v>
      </c>
      <c r="G1379" s="1">
        <v>42509</v>
      </c>
      <c r="H1379" t="s">
        <v>33</v>
      </c>
      <c r="I1379">
        <v>15</v>
      </c>
      <c r="J1379" t="s">
        <v>77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23</v>
      </c>
      <c r="R1379">
        <v>0</v>
      </c>
    </row>
    <row r="1380" spans="1:18">
      <c r="A1380">
        <v>434954000000</v>
      </c>
      <c r="B1380" t="s">
        <v>18</v>
      </c>
      <c r="C1380">
        <v>29</v>
      </c>
      <c r="D1380" t="s">
        <v>37</v>
      </c>
      <c r="E1380" t="s">
        <v>50</v>
      </c>
      <c r="F1380" s="1">
        <v>42494</v>
      </c>
      <c r="G1380" s="1">
        <v>42501</v>
      </c>
      <c r="H1380" t="s">
        <v>25</v>
      </c>
      <c r="I1380">
        <v>7</v>
      </c>
      <c r="J1380" t="s">
        <v>107</v>
      </c>
      <c r="K1380">
        <v>0</v>
      </c>
      <c r="L1380">
        <v>1</v>
      </c>
      <c r="M1380">
        <v>1</v>
      </c>
      <c r="N1380">
        <v>0</v>
      </c>
      <c r="O1380">
        <v>0</v>
      </c>
      <c r="P1380">
        <v>1</v>
      </c>
      <c r="Q1380" t="s">
        <v>23</v>
      </c>
      <c r="R1380">
        <v>0</v>
      </c>
    </row>
    <row r="1381" spans="1:18">
      <c r="A1381">
        <v>74459500000000</v>
      </c>
      <c r="B1381" t="s">
        <v>18</v>
      </c>
      <c r="C1381">
        <v>24</v>
      </c>
      <c r="D1381" t="s">
        <v>37</v>
      </c>
      <c r="E1381" t="s">
        <v>81</v>
      </c>
      <c r="F1381" s="1">
        <v>42494</v>
      </c>
      <c r="G1381" s="1">
        <v>42524</v>
      </c>
      <c r="H1381" t="s">
        <v>21</v>
      </c>
      <c r="I1381">
        <v>30</v>
      </c>
      <c r="J1381" t="s">
        <v>77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23</v>
      </c>
      <c r="R1381">
        <v>0</v>
      </c>
    </row>
    <row r="1382" spans="1:18">
      <c r="A1382">
        <v>666742000000000</v>
      </c>
      <c r="B1382" t="s">
        <v>18</v>
      </c>
      <c r="C1382">
        <v>29</v>
      </c>
      <c r="D1382" t="s">
        <v>37</v>
      </c>
      <c r="E1382" t="s">
        <v>50</v>
      </c>
      <c r="F1382" s="1">
        <v>42494</v>
      </c>
      <c r="G1382" s="1">
        <v>42496</v>
      </c>
      <c r="H1382" t="s">
        <v>21</v>
      </c>
      <c r="I1382">
        <v>2</v>
      </c>
      <c r="J1382" t="s">
        <v>109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26</v>
      </c>
      <c r="R1382">
        <v>1</v>
      </c>
    </row>
    <row r="1383" spans="1:18">
      <c r="A1383">
        <v>3498910000000</v>
      </c>
      <c r="B1383" t="s">
        <v>18</v>
      </c>
      <c r="C1383">
        <v>34</v>
      </c>
      <c r="D1383" t="s">
        <v>37</v>
      </c>
      <c r="E1383" t="s">
        <v>78</v>
      </c>
      <c r="F1383" s="1">
        <v>42494</v>
      </c>
      <c r="G1383" s="1">
        <v>42494</v>
      </c>
      <c r="H1383" t="s">
        <v>25</v>
      </c>
      <c r="I1383">
        <v>0</v>
      </c>
      <c r="J1383" t="s">
        <v>111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23</v>
      </c>
      <c r="R1383">
        <v>0</v>
      </c>
    </row>
    <row r="1384" spans="1:18">
      <c r="A1384">
        <v>6548130000000</v>
      </c>
      <c r="B1384" t="s">
        <v>28</v>
      </c>
      <c r="C1384">
        <v>19</v>
      </c>
      <c r="D1384" t="s">
        <v>37</v>
      </c>
      <c r="E1384" t="s">
        <v>83</v>
      </c>
      <c r="F1384" s="1">
        <v>42487</v>
      </c>
      <c r="G1384" s="1">
        <v>42524</v>
      </c>
      <c r="H1384" t="s">
        <v>21</v>
      </c>
      <c r="I1384">
        <v>37</v>
      </c>
      <c r="J1384" t="s">
        <v>22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</v>
      </c>
      <c r="Q1384" t="s">
        <v>23</v>
      </c>
      <c r="R1384">
        <v>0</v>
      </c>
    </row>
    <row r="1385" spans="1:18">
      <c r="A1385">
        <v>95321400000000</v>
      </c>
      <c r="B1385" t="s">
        <v>28</v>
      </c>
      <c r="C1385">
        <v>30</v>
      </c>
      <c r="D1385" t="s">
        <v>37</v>
      </c>
      <c r="E1385" t="s">
        <v>103</v>
      </c>
      <c r="F1385" s="1">
        <v>42494</v>
      </c>
      <c r="G1385" s="1">
        <v>42496</v>
      </c>
      <c r="H1385" t="s">
        <v>21</v>
      </c>
      <c r="I1385">
        <v>2</v>
      </c>
      <c r="J1385" t="s">
        <v>109</v>
      </c>
      <c r="K1385">
        <v>0</v>
      </c>
      <c r="L1385">
        <v>1</v>
      </c>
      <c r="M1385">
        <v>1</v>
      </c>
      <c r="N1385">
        <v>0</v>
      </c>
      <c r="O1385">
        <v>0</v>
      </c>
      <c r="P1385">
        <v>0</v>
      </c>
      <c r="Q1385" t="s">
        <v>23</v>
      </c>
      <c r="R1385">
        <v>0</v>
      </c>
    </row>
    <row r="1386" spans="1:18">
      <c r="A1386">
        <v>721799000000000</v>
      </c>
      <c r="B1386" t="s">
        <v>18</v>
      </c>
      <c r="C1386">
        <v>18</v>
      </c>
      <c r="D1386" t="s">
        <v>37</v>
      </c>
      <c r="E1386" t="s">
        <v>59</v>
      </c>
      <c r="F1386" s="1">
        <v>42494</v>
      </c>
      <c r="G1386" s="1">
        <v>42494</v>
      </c>
      <c r="H1386" t="s">
        <v>25</v>
      </c>
      <c r="I1386">
        <v>0</v>
      </c>
      <c r="J1386" t="s">
        <v>111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23</v>
      </c>
      <c r="R1386">
        <v>0</v>
      </c>
    </row>
    <row r="1387" spans="1:18">
      <c r="A1387">
        <v>256165000000000</v>
      </c>
      <c r="B1387" t="s">
        <v>28</v>
      </c>
      <c r="C1387">
        <v>18</v>
      </c>
      <c r="D1387" t="s">
        <v>37</v>
      </c>
      <c r="E1387" t="s">
        <v>64</v>
      </c>
      <c r="F1387" s="1">
        <v>42494</v>
      </c>
      <c r="G1387" s="1">
        <v>42501</v>
      </c>
      <c r="H1387" t="s">
        <v>25</v>
      </c>
      <c r="I1387">
        <v>7</v>
      </c>
      <c r="J1387" t="s">
        <v>107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</v>
      </c>
      <c r="Q1387" t="s">
        <v>23</v>
      </c>
      <c r="R1387">
        <v>0</v>
      </c>
    </row>
    <row r="1388" spans="1:18">
      <c r="A1388">
        <v>31535500000000</v>
      </c>
      <c r="B1388" t="s">
        <v>28</v>
      </c>
      <c r="C1388">
        <v>23</v>
      </c>
      <c r="D1388" t="s">
        <v>37</v>
      </c>
      <c r="E1388" t="s">
        <v>59</v>
      </c>
      <c r="F1388" s="1">
        <v>42494</v>
      </c>
      <c r="G1388" s="1">
        <v>42503</v>
      </c>
      <c r="H1388" t="s">
        <v>21</v>
      </c>
      <c r="I1388">
        <v>9</v>
      </c>
      <c r="J1388" t="s">
        <v>92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26</v>
      </c>
      <c r="R1388">
        <v>1</v>
      </c>
    </row>
    <row r="1389" spans="1:18">
      <c r="A1389">
        <v>376240000000</v>
      </c>
      <c r="B1389" t="s">
        <v>18</v>
      </c>
      <c r="C1389">
        <v>24</v>
      </c>
      <c r="D1389" t="s">
        <v>37</v>
      </c>
      <c r="E1389" t="s">
        <v>54</v>
      </c>
      <c r="F1389" s="1">
        <v>42487</v>
      </c>
      <c r="G1389" s="1">
        <v>42501</v>
      </c>
      <c r="H1389" t="s">
        <v>25</v>
      </c>
      <c r="I1389">
        <v>14</v>
      </c>
      <c r="J1389" t="s">
        <v>92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</v>
      </c>
      <c r="Q1389" t="s">
        <v>26</v>
      </c>
      <c r="R1389">
        <v>1</v>
      </c>
    </row>
    <row r="1390" spans="1:18">
      <c r="A1390">
        <v>5247740000000</v>
      </c>
      <c r="B1390" t="s">
        <v>18</v>
      </c>
      <c r="C1390">
        <v>29</v>
      </c>
      <c r="D1390" t="s">
        <v>37</v>
      </c>
      <c r="E1390" t="s">
        <v>66</v>
      </c>
      <c r="F1390" s="1">
        <v>42493</v>
      </c>
      <c r="G1390" s="1">
        <v>42521</v>
      </c>
      <c r="H1390" t="s">
        <v>41</v>
      </c>
      <c r="I1390">
        <v>28</v>
      </c>
      <c r="J1390" t="s">
        <v>77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</v>
      </c>
      <c r="Q1390" t="s">
        <v>23</v>
      </c>
      <c r="R1390">
        <v>0</v>
      </c>
    </row>
    <row r="1391" spans="1:18">
      <c r="A1391">
        <v>18442900000000</v>
      </c>
      <c r="B1391" t="s">
        <v>18</v>
      </c>
      <c r="C1391">
        <v>24</v>
      </c>
      <c r="D1391" t="s">
        <v>37</v>
      </c>
      <c r="E1391" t="s">
        <v>44</v>
      </c>
      <c r="F1391" s="1">
        <v>42493</v>
      </c>
      <c r="G1391" s="1">
        <v>42506</v>
      </c>
      <c r="H1391" t="s">
        <v>30</v>
      </c>
      <c r="I1391">
        <v>13</v>
      </c>
      <c r="J1391" t="s">
        <v>92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23</v>
      </c>
      <c r="R1391">
        <v>0</v>
      </c>
    </row>
    <row r="1392" spans="1:18">
      <c r="A1392">
        <v>261125000000000</v>
      </c>
      <c r="B1392" t="s">
        <v>18</v>
      </c>
      <c r="C1392">
        <v>28</v>
      </c>
      <c r="D1392" t="s">
        <v>37</v>
      </c>
      <c r="E1392" t="s">
        <v>75</v>
      </c>
      <c r="F1392" s="1">
        <v>42493</v>
      </c>
      <c r="G1392" s="1">
        <v>42510</v>
      </c>
      <c r="H1392" t="s">
        <v>21</v>
      </c>
      <c r="I1392">
        <v>17</v>
      </c>
      <c r="J1392" t="s">
        <v>77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26</v>
      </c>
      <c r="R1392">
        <v>1</v>
      </c>
    </row>
    <row r="1393" spans="1:18">
      <c r="A1393">
        <v>71216400000000</v>
      </c>
      <c r="B1393" t="s">
        <v>28</v>
      </c>
      <c r="C1393">
        <v>28</v>
      </c>
      <c r="D1393" t="s">
        <v>37</v>
      </c>
      <c r="E1393" t="s">
        <v>39</v>
      </c>
      <c r="F1393" s="1">
        <v>42493</v>
      </c>
      <c r="G1393" s="1">
        <v>42494</v>
      </c>
      <c r="H1393" t="s">
        <v>25</v>
      </c>
      <c r="I1393">
        <v>1</v>
      </c>
      <c r="J1393" t="s">
        <v>109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23</v>
      </c>
      <c r="R1393">
        <v>0</v>
      </c>
    </row>
    <row r="1394" spans="1:18">
      <c r="A1394">
        <v>68341200000000</v>
      </c>
      <c r="B1394" t="s">
        <v>18</v>
      </c>
      <c r="C1394">
        <v>23</v>
      </c>
      <c r="D1394" t="s">
        <v>37</v>
      </c>
      <c r="E1394" t="s">
        <v>56</v>
      </c>
      <c r="F1394" s="1">
        <v>42493</v>
      </c>
      <c r="G1394" s="1">
        <v>42502</v>
      </c>
      <c r="H1394" t="s">
        <v>33</v>
      </c>
      <c r="I1394">
        <v>9</v>
      </c>
      <c r="J1394" t="s">
        <v>92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</v>
      </c>
      <c r="Q1394" t="s">
        <v>26</v>
      </c>
      <c r="R1394">
        <v>1</v>
      </c>
    </row>
    <row r="1395" spans="1:18">
      <c r="A1395">
        <v>219327000000000</v>
      </c>
      <c r="B1395" t="s">
        <v>18</v>
      </c>
      <c r="C1395">
        <v>32</v>
      </c>
      <c r="D1395" t="s">
        <v>37</v>
      </c>
      <c r="E1395" t="s">
        <v>45</v>
      </c>
      <c r="F1395" s="1">
        <v>42493</v>
      </c>
      <c r="G1395" s="1">
        <v>42508</v>
      </c>
      <c r="H1395" t="s">
        <v>25</v>
      </c>
      <c r="I1395">
        <v>15</v>
      </c>
      <c r="J1395" t="s">
        <v>77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26</v>
      </c>
      <c r="R1395">
        <v>1</v>
      </c>
    </row>
    <row r="1396" spans="1:18">
      <c r="A1396">
        <v>6945810000000</v>
      </c>
      <c r="B1396" t="s">
        <v>28</v>
      </c>
      <c r="C1396">
        <v>30</v>
      </c>
      <c r="D1396" t="s">
        <v>37</v>
      </c>
      <c r="E1396" t="s">
        <v>58</v>
      </c>
      <c r="F1396" s="1">
        <v>42493</v>
      </c>
      <c r="G1396" s="1">
        <v>42493</v>
      </c>
      <c r="H1396" t="s">
        <v>41</v>
      </c>
      <c r="I1396">
        <v>0</v>
      </c>
      <c r="J1396" t="s">
        <v>111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26</v>
      </c>
      <c r="R1396">
        <v>1</v>
      </c>
    </row>
    <row r="1397" spans="1:18">
      <c r="A1397">
        <v>31178400000000</v>
      </c>
      <c r="B1397" t="s">
        <v>28</v>
      </c>
      <c r="C1397">
        <v>34</v>
      </c>
      <c r="D1397" t="s">
        <v>37</v>
      </c>
      <c r="E1397" t="s">
        <v>29</v>
      </c>
      <c r="F1397" s="1">
        <v>42493</v>
      </c>
      <c r="G1397" s="1">
        <v>42521</v>
      </c>
      <c r="H1397" t="s">
        <v>41</v>
      </c>
      <c r="I1397">
        <v>28</v>
      </c>
      <c r="J1397" t="s">
        <v>77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1</v>
      </c>
      <c r="Q1397" t="s">
        <v>23</v>
      </c>
      <c r="R1397">
        <v>0</v>
      </c>
    </row>
    <row r="1398" spans="1:18">
      <c r="A1398">
        <v>1119680000000</v>
      </c>
      <c r="B1398" t="s">
        <v>18</v>
      </c>
      <c r="C1398">
        <v>19</v>
      </c>
      <c r="D1398" t="s">
        <v>37</v>
      </c>
      <c r="E1398" t="s">
        <v>106</v>
      </c>
      <c r="F1398" s="1">
        <v>42493</v>
      </c>
      <c r="G1398" s="1">
        <v>42503</v>
      </c>
      <c r="H1398" t="s">
        <v>21</v>
      </c>
      <c r="I1398">
        <v>10</v>
      </c>
      <c r="J1398" t="s">
        <v>92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26</v>
      </c>
      <c r="R1398">
        <v>1</v>
      </c>
    </row>
    <row r="1399" spans="1:18">
      <c r="A1399">
        <v>74218900000000</v>
      </c>
      <c r="B1399" t="s">
        <v>28</v>
      </c>
      <c r="C1399">
        <v>32</v>
      </c>
      <c r="D1399" t="s">
        <v>37</v>
      </c>
      <c r="E1399" t="s">
        <v>59</v>
      </c>
      <c r="F1399" s="1">
        <v>42487</v>
      </c>
      <c r="G1399" s="1">
        <v>42520</v>
      </c>
      <c r="H1399" t="s">
        <v>30</v>
      </c>
      <c r="I1399">
        <v>33</v>
      </c>
      <c r="J1399" t="s">
        <v>22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23</v>
      </c>
      <c r="R1399">
        <v>0</v>
      </c>
    </row>
    <row r="1400" spans="1:18">
      <c r="A1400">
        <v>731623000000000</v>
      </c>
      <c r="B1400" t="s">
        <v>18</v>
      </c>
      <c r="C1400">
        <v>22</v>
      </c>
      <c r="D1400" t="s">
        <v>37</v>
      </c>
      <c r="E1400" t="s">
        <v>100</v>
      </c>
      <c r="F1400" s="1">
        <v>42493</v>
      </c>
      <c r="G1400" s="1">
        <v>42493</v>
      </c>
      <c r="H1400" t="s">
        <v>41</v>
      </c>
      <c r="I1400">
        <v>0</v>
      </c>
      <c r="J1400" t="s">
        <v>111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23</v>
      </c>
      <c r="R1400">
        <v>0</v>
      </c>
    </row>
    <row r="1401" spans="1:18">
      <c r="A1401">
        <v>46399200000000</v>
      </c>
      <c r="B1401" t="s">
        <v>28</v>
      </c>
      <c r="C1401">
        <v>30</v>
      </c>
      <c r="D1401" t="s">
        <v>37</v>
      </c>
      <c r="E1401" t="s">
        <v>110</v>
      </c>
      <c r="F1401" s="1">
        <v>42487</v>
      </c>
      <c r="G1401" s="1">
        <v>42494</v>
      </c>
      <c r="H1401" t="s">
        <v>25</v>
      </c>
      <c r="I1401">
        <v>7</v>
      </c>
      <c r="J1401" t="s">
        <v>107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</v>
      </c>
      <c r="Q1401" t="s">
        <v>23</v>
      </c>
      <c r="R1401">
        <v>0</v>
      </c>
    </row>
    <row r="1402" spans="1:18">
      <c r="A1402">
        <v>917324000000000</v>
      </c>
      <c r="B1402" t="s">
        <v>18</v>
      </c>
      <c r="C1402">
        <v>24</v>
      </c>
      <c r="D1402" t="s">
        <v>37</v>
      </c>
      <c r="E1402" t="s">
        <v>71</v>
      </c>
      <c r="F1402" s="1">
        <v>42493</v>
      </c>
      <c r="G1402" s="1">
        <v>42524</v>
      </c>
      <c r="H1402" t="s">
        <v>21</v>
      </c>
      <c r="I1402">
        <v>31</v>
      </c>
      <c r="J1402" t="s">
        <v>22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</v>
      </c>
      <c r="Q1402" t="s">
        <v>26</v>
      </c>
      <c r="R1402">
        <v>1</v>
      </c>
    </row>
    <row r="1403" spans="1:18">
      <c r="A1403">
        <v>81894500000000</v>
      </c>
      <c r="B1403" t="s">
        <v>28</v>
      </c>
      <c r="C1403">
        <v>35</v>
      </c>
      <c r="D1403" t="s">
        <v>37</v>
      </c>
      <c r="E1403" t="s">
        <v>54</v>
      </c>
      <c r="F1403" s="1">
        <v>42493</v>
      </c>
      <c r="G1403" s="1">
        <v>42493</v>
      </c>
      <c r="H1403" t="s">
        <v>41</v>
      </c>
      <c r="I1403">
        <v>0</v>
      </c>
      <c r="J1403" t="s">
        <v>111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23</v>
      </c>
      <c r="R1403">
        <v>0</v>
      </c>
    </row>
    <row r="1404" spans="1:18">
      <c r="A1404">
        <v>27789400000000</v>
      </c>
      <c r="B1404" t="s">
        <v>28</v>
      </c>
      <c r="C1404">
        <v>35</v>
      </c>
      <c r="D1404" t="s">
        <v>37</v>
      </c>
      <c r="E1404" t="s">
        <v>72</v>
      </c>
      <c r="F1404" s="1">
        <v>42493</v>
      </c>
      <c r="G1404" s="1">
        <v>42493</v>
      </c>
      <c r="H1404" t="s">
        <v>41</v>
      </c>
      <c r="I1404">
        <v>0</v>
      </c>
      <c r="J1404" t="s">
        <v>111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23</v>
      </c>
      <c r="R1404">
        <v>0</v>
      </c>
    </row>
    <row r="1405" spans="1:18">
      <c r="A1405">
        <v>413286000000000</v>
      </c>
      <c r="B1405" t="s">
        <v>18</v>
      </c>
      <c r="C1405">
        <v>26</v>
      </c>
      <c r="D1405" t="s">
        <v>37</v>
      </c>
      <c r="E1405" t="s">
        <v>29</v>
      </c>
      <c r="F1405" s="1">
        <v>42493</v>
      </c>
      <c r="G1405" s="1">
        <v>42515</v>
      </c>
      <c r="H1405" t="s">
        <v>25</v>
      </c>
      <c r="I1405">
        <v>22</v>
      </c>
      <c r="J1405" t="s">
        <v>77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</v>
      </c>
      <c r="Q1405" t="s">
        <v>26</v>
      </c>
      <c r="R1405">
        <v>1</v>
      </c>
    </row>
    <row r="1406" spans="1:18">
      <c r="A1406">
        <v>15641567448</v>
      </c>
      <c r="B1406" t="s">
        <v>18</v>
      </c>
      <c r="C1406">
        <v>21</v>
      </c>
      <c r="D1406" t="s">
        <v>37</v>
      </c>
      <c r="E1406" t="s">
        <v>29</v>
      </c>
      <c r="F1406" s="1">
        <v>42493</v>
      </c>
      <c r="G1406" s="1">
        <v>42493</v>
      </c>
      <c r="H1406" t="s">
        <v>41</v>
      </c>
      <c r="I1406">
        <v>0</v>
      </c>
      <c r="J1406" t="s">
        <v>111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23</v>
      </c>
      <c r="R1406">
        <v>0</v>
      </c>
    </row>
    <row r="1407" spans="1:18">
      <c r="A1407">
        <v>54524600000000</v>
      </c>
      <c r="B1407" t="s">
        <v>18</v>
      </c>
      <c r="C1407">
        <v>35</v>
      </c>
      <c r="D1407" t="s">
        <v>37</v>
      </c>
      <c r="E1407" t="s">
        <v>75</v>
      </c>
      <c r="F1407" s="1">
        <v>42493</v>
      </c>
      <c r="G1407" s="1">
        <v>42495</v>
      </c>
      <c r="H1407" t="s">
        <v>33</v>
      </c>
      <c r="I1407">
        <v>2</v>
      </c>
      <c r="J1407" t="s">
        <v>109</v>
      </c>
      <c r="K1407">
        <v>0</v>
      </c>
      <c r="L1407">
        <v>1</v>
      </c>
      <c r="M1407">
        <v>1</v>
      </c>
      <c r="N1407">
        <v>0</v>
      </c>
      <c r="O1407">
        <v>1</v>
      </c>
      <c r="P1407">
        <v>0</v>
      </c>
      <c r="Q1407" t="s">
        <v>26</v>
      </c>
      <c r="R1407">
        <v>1</v>
      </c>
    </row>
    <row r="1408" spans="1:18">
      <c r="A1408">
        <v>46442500000000</v>
      </c>
      <c r="B1408" t="s">
        <v>18</v>
      </c>
      <c r="C1408">
        <v>30</v>
      </c>
      <c r="D1408" t="s">
        <v>37</v>
      </c>
      <c r="E1408" t="s">
        <v>59</v>
      </c>
      <c r="F1408" s="1">
        <v>42493</v>
      </c>
      <c r="G1408" s="1">
        <v>42500</v>
      </c>
      <c r="H1408" t="s">
        <v>41</v>
      </c>
      <c r="I1408">
        <v>7</v>
      </c>
      <c r="J1408" t="s">
        <v>107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</v>
      </c>
      <c r="Q1408" t="s">
        <v>26</v>
      </c>
      <c r="R1408">
        <v>1</v>
      </c>
    </row>
    <row r="1409" spans="1:18">
      <c r="A1409">
        <v>3628570000000</v>
      </c>
      <c r="B1409" t="s">
        <v>28</v>
      </c>
      <c r="C1409">
        <v>20</v>
      </c>
      <c r="D1409" t="s">
        <v>37</v>
      </c>
      <c r="E1409" t="s">
        <v>85</v>
      </c>
      <c r="F1409" s="1">
        <v>42493</v>
      </c>
      <c r="G1409" s="1">
        <v>42493</v>
      </c>
      <c r="H1409" t="s">
        <v>41</v>
      </c>
      <c r="I1409">
        <v>0</v>
      </c>
      <c r="J1409" t="s">
        <v>111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23</v>
      </c>
      <c r="R1409">
        <v>0</v>
      </c>
    </row>
    <row r="1410" spans="1:18">
      <c r="A1410">
        <v>26746200000000</v>
      </c>
      <c r="B1410" t="s">
        <v>18</v>
      </c>
      <c r="C1410">
        <v>18</v>
      </c>
      <c r="D1410" t="s">
        <v>37</v>
      </c>
      <c r="E1410" t="s">
        <v>39</v>
      </c>
      <c r="F1410" s="1">
        <v>42493</v>
      </c>
      <c r="G1410" s="1">
        <v>42495</v>
      </c>
      <c r="H1410" t="s">
        <v>33</v>
      </c>
      <c r="I1410">
        <v>2</v>
      </c>
      <c r="J1410" t="s">
        <v>109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23</v>
      </c>
      <c r="R1410">
        <v>0</v>
      </c>
    </row>
    <row r="1411" spans="1:18">
      <c r="A1411">
        <v>9860000000000</v>
      </c>
      <c r="B1411" t="s">
        <v>18</v>
      </c>
      <c r="C1411">
        <v>19</v>
      </c>
      <c r="D1411" t="s">
        <v>37</v>
      </c>
      <c r="E1411" t="s">
        <v>47</v>
      </c>
      <c r="F1411" s="1">
        <v>42493</v>
      </c>
      <c r="G1411" s="1">
        <v>42493</v>
      </c>
      <c r="H1411" t="s">
        <v>41</v>
      </c>
      <c r="I1411">
        <v>0</v>
      </c>
      <c r="J1411" t="s">
        <v>111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23</v>
      </c>
      <c r="R1411">
        <v>0</v>
      </c>
    </row>
    <row r="1412" spans="1:18">
      <c r="A1412">
        <v>85664200000000</v>
      </c>
      <c r="B1412" t="s">
        <v>18</v>
      </c>
      <c r="C1412">
        <v>32</v>
      </c>
      <c r="D1412" t="s">
        <v>37</v>
      </c>
      <c r="E1412" t="s">
        <v>47</v>
      </c>
      <c r="F1412" s="1">
        <v>42493</v>
      </c>
      <c r="G1412" s="1">
        <v>42502</v>
      </c>
      <c r="H1412" t="s">
        <v>33</v>
      </c>
      <c r="I1412">
        <v>9</v>
      </c>
      <c r="J1412" t="s">
        <v>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</v>
      </c>
      <c r="Q1412" t="s">
        <v>26</v>
      </c>
      <c r="R1412">
        <v>1</v>
      </c>
    </row>
    <row r="1413" spans="1:18">
      <c r="A1413">
        <v>54516500000000</v>
      </c>
      <c r="B1413" t="s">
        <v>18</v>
      </c>
      <c r="C1413">
        <v>26</v>
      </c>
      <c r="D1413" t="s">
        <v>37</v>
      </c>
      <c r="E1413" t="s">
        <v>58</v>
      </c>
      <c r="F1413" s="1">
        <v>42493</v>
      </c>
      <c r="G1413" s="1">
        <v>42502</v>
      </c>
      <c r="H1413" t="s">
        <v>33</v>
      </c>
      <c r="I1413">
        <v>9</v>
      </c>
      <c r="J1413" t="s">
        <v>92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23</v>
      </c>
      <c r="R1413">
        <v>0</v>
      </c>
    </row>
    <row r="1414" spans="1:18">
      <c r="A1414">
        <v>377372000000000</v>
      </c>
      <c r="B1414" t="s">
        <v>18</v>
      </c>
      <c r="C1414">
        <v>19</v>
      </c>
      <c r="D1414" t="s">
        <v>37</v>
      </c>
      <c r="E1414" t="s">
        <v>43</v>
      </c>
      <c r="F1414" s="1">
        <v>42493</v>
      </c>
      <c r="G1414" s="1">
        <v>42500</v>
      </c>
      <c r="H1414" t="s">
        <v>41</v>
      </c>
      <c r="I1414">
        <v>7</v>
      </c>
      <c r="J1414" t="s">
        <v>107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</v>
      </c>
      <c r="Q1414" t="s">
        <v>23</v>
      </c>
      <c r="R1414">
        <v>0</v>
      </c>
    </row>
    <row r="1415" spans="1:18">
      <c r="A1415">
        <v>98586900000000</v>
      </c>
      <c r="B1415" t="s">
        <v>18</v>
      </c>
      <c r="C1415">
        <v>20</v>
      </c>
      <c r="D1415" t="s">
        <v>37</v>
      </c>
      <c r="E1415" t="s">
        <v>71</v>
      </c>
      <c r="F1415" s="1">
        <v>42493</v>
      </c>
      <c r="G1415" s="1">
        <v>42493</v>
      </c>
      <c r="H1415" t="s">
        <v>41</v>
      </c>
      <c r="I1415">
        <v>0</v>
      </c>
      <c r="J1415" t="s">
        <v>111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23</v>
      </c>
      <c r="R1415">
        <v>0</v>
      </c>
    </row>
    <row r="1416" spans="1:18">
      <c r="A1416">
        <v>4246890000000</v>
      </c>
      <c r="B1416" t="s">
        <v>28</v>
      </c>
      <c r="C1416">
        <v>25</v>
      </c>
      <c r="D1416" t="s">
        <v>37</v>
      </c>
      <c r="E1416" t="s">
        <v>89</v>
      </c>
      <c r="F1416" s="1">
        <v>42493</v>
      </c>
      <c r="G1416" s="1">
        <v>42524</v>
      </c>
      <c r="H1416" t="s">
        <v>21</v>
      </c>
      <c r="I1416">
        <v>31</v>
      </c>
      <c r="J1416" t="s">
        <v>22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</v>
      </c>
      <c r="Q1416" t="s">
        <v>23</v>
      </c>
      <c r="R1416">
        <v>0</v>
      </c>
    </row>
    <row r="1417" spans="1:18">
      <c r="A1417">
        <v>76421400000000</v>
      </c>
      <c r="B1417" t="s">
        <v>18</v>
      </c>
      <c r="C1417">
        <v>23</v>
      </c>
      <c r="D1417" t="s">
        <v>37</v>
      </c>
      <c r="E1417" t="s">
        <v>75</v>
      </c>
      <c r="F1417" s="1">
        <v>42487</v>
      </c>
      <c r="G1417" s="1">
        <v>42503</v>
      </c>
      <c r="H1417" t="s">
        <v>21</v>
      </c>
      <c r="I1417">
        <v>16</v>
      </c>
      <c r="J1417" t="s">
        <v>77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26</v>
      </c>
      <c r="R1417">
        <v>1</v>
      </c>
    </row>
    <row r="1418" spans="1:18">
      <c r="A1418">
        <v>14152400000000</v>
      </c>
      <c r="B1418" t="s">
        <v>18</v>
      </c>
      <c r="C1418">
        <v>27</v>
      </c>
      <c r="D1418" t="s">
        <v>37</v>
      </c>
      <c r="E1418" t="s">
        <v>64</v>
      </c>
      <c r="F1418" s="1">
        <v>42487</v>
      </c>
      <c r="G1418" s="1">
        <v>42506</v>
      </c>
      <c r="H1418" t="s">
        <v>30</v>
      </c>
      <c r="I1418">
        <v>19</v>
      </c>
      <c r="J1418" t="s">
        <v>77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23</v>
      </c>
      <c r="R1418">
        <v>0</v>
      </c>
    </row>
    <row r="1419" spans="1:18">
      <c r="A1419">
        <v>388684000000</v>
      </c>
      <c r="B1419" t="s">
        <v>18</v>
      </c>
      <c r="C1419">
        <v>19</v>
      </c>
      <c r="D1419" t="s">
        <v>37</v>
      </c>
      <c r="E1419" t="s">
        <v>55</v>
      </c>
      <c r="F1419" s="1">
        <v>42493</v>
      </c>
      <c r="G1419" s="1">
        <v>42528</v>
      </c>
      <c r="H1419" t="s">
        <v>41</v>
      </c>
      <c r="I1419">
        <v>35</v>
      </c>
      <c r="J1419" t="s">
        <v>22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23</v>
      </c>
      <c r="R1419">
        <v>0</v>
      </c>
    </row>
    <row r="1420" spans="1:18">
      <c r="A1420">
        <v>77133300000000</v>
      </c>
      <c r="B1420" t="s">
        <v>18</v>
      </c>
      <c r="C1420">
        <v>26</v>
      </c>
      <c r="D1420" t="s">
        <v>37</v>
      </c>
      <c r="E1420" t="s">
        <v>32</v>
      </c>
      <c r="F1420" s="1">
        <v>42493</v>
      </c>
      <c r="G1420" s="1">
        <v>42493</v>
      </c>
      <c r="H1420" t="s">
        <v>41</v>
      </c>
      <c r="I1420">
        <v>0</v>
      </c>
      <c r="J1420" t="s">
        <v>111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23</v>
      </c>
      <c r="R1420">
        <v>0</v>
      </c>
    </row>
    <row r="1421" spans="1:18">
      <c r="A1421">
        <v>22491900000000</v>
      </c>
      <c r="B1421" t="s">
        <v>28</v>
      </c>
      <c r="C1421">
        <v>19</v>
      </c>
      <c r="D1421" t="s">
        <v>37</v>
      </c>
      <c r="E1421" t="s">
        <v>69</v>
      </c>
      <c r="F1421" s="1">
        <v>42493</v>
      </c>
      <c r="G1421" s="1">
        <v>42493</v>
      </c>
      <c r="H1421" t="s">
        <v>41</v>
      </c>
      <c r="I1421">
        <v>0</v>
      </c>
      <c r="J1421" t="s">
        <v>111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23</v>
      </c>
      <c r="R1421">
        <v>0</v>
      </c>
    </row>
    <row r="1422" spans="1:18">
      <c r="A1422">
        <v>9942680000000</v>
      </c>
      <c r="B1422" t="s">
        <v>18</v>
      </c>
      <c r="C1422">
        <v>27</v>
      </c>
      <c r="D1422" t="s">
        <v>37</v>
      </c>
      <c r="E1422" t="s">
        <v>29</v>
      </c>
      <c r="F1422" s="1">
        <v>42493</v>
      </c>
      <c r="G1422" s="1">
        <v>42521</v>
      </c>
      <c r="H1422" t="s">
        <v>41</v>
      </c>
      <c r="I1422">
        <v>28</v>
      </c>
      <c r="J1422" t="s">
        <v>77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</v>
      </c>
      <c r="Q1422" t="s">
        <v>23</v>
      </c>
      <c r="R1422">
        <v>0</v>
      </c>
    </row>
    <row r="1423" spans="1:18">
      <c r="A1423">
        <v>464450000000000</v>
      </c>
      <c r="B1423" t="s">
        <v>28</v>
      </c>
      <c r="C1423">
        <v>19</v>
      </c>
      <c r="D1423" t="s">
        <v>37</v>
      </c>
      <c r="E1423" t="s">
        <v>84</v>
      </c>
      <c r="F1423" s="1">
        <v>42493</v>
      </c>
      <c r="G1423" s="1">
        <v>42503</v>
      </c>
      <c r="H1423" t="s">
        <v>21</v>
      </c>
      <c r="I1423">
        <v>10</v>
      </c>
      <c r="J1423" t="s">
        <v>92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23</v>
      </c>
      <c r="R1423">
        <v>0</v>
      </c>
    </row>
    <row r="1424" spans="1:18">
      <c r="A1424">
        <v>35375900000000</v>
      </c>
      <c r="B1424" t="s">
        <v>18</v>
      </c>
      <c r="C1424">
        <v>26</v>
      </c>
      <c r="D1424" t="s">
        <v>37</v>
      </c>
      <c r="E1424" t="s">
        <v>63</v>
      </c>
      <c r="F1424" s="1">
        <v>42493</v>
      </c>
      <c r="G1424" s="1">
        <v>42514</v>
      </c>
      <c r="H1424" t="s">
        <v>41</v>
      </c>
      <c r="I1424">
        <v>21</v>
      </c>
      <c r="J1424" t="s">
        <v>77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</v>
      </c>
      <c r="Q1424" t="s">
        <v>26</v>
      </c>
      <c r="R1424">
        <v>1</v>
      </c>
    </row>
    <row r="1425" spans="1:18">
      <c r="A1425">
        <v>54963600000000</v>
      </c>
      <c r="B1425" t="s">
        <v>18</v>
      </c>
      <c r="C1425">
        <v>28</v>
      </c>
      <c r="D1425" t="s">
        <v>37</v>
      </c>
      <c r="E1425" t="s">
        <v>50</v>
      </c>
      <c r="F1425" s="1">
        <v>42493</v>
      </c>
      <c r="G1425" s="1">
        <v>42493</v>
      </c>
      <c r="H1425" t="s">
        <v>41</v>
      </c>
      <c r="I1425">
        <v>0</v>
      </c>
      <c r="J1425" t="s">
        <v>111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23</v>
      </c>
      <c r="R1425">
        <v>0</v>
      </c>
    </row>
    <row r="1426" spans="1:18">
      <c r="A1426">
        <v>66175200000000</v>
      </c>
      <c r="B1426" t="s">
        <v>18</v>
      </c>
      <c r="C1426">
        <v>24</v>
      </c>
      <c r="D1426" t="s">
        <v>37</v>
      </c>
      <c r="E1426" t="s">
        <v>40</v>
      </c>
      <c r="F1426" s="1">
        <v>42493</v>
      </c>
      <c r="G1426" s="1">
        <v>42528</v>
      </c>
      <c r="H1426" t="s">
        <v>41</v>
      </c>
      <c r="I1426">
        <v>35</v>
      </c>
      <c r="J1426" t="s">
        <v>22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23</v>
      </c>
      <c r="R1426">
        <v>0</v>
      </c>
    </row>
    <row r="1427" spans="1:18">
      <c r="A1427">
        <v>95426500000000</v>
      </c>
      <c r="B1427" t="s">
        <v>18</v>
      </c>
      <c r="C1427">
        <v>30</v>
      </c>
      <c r="D1427" t="s">
        <v>37</v>
      </c>
      <c r="E1427" t="s">
        <v>44</v>
      </c>
      <c r="F1427" s="1">
        <v>42493</v>
      </c>
      <c r="G1427" s="1">
        <v>42493</v>
      </c>
      <c r="H1427" t="s">
        <v>41</v>
      </c>
      <c r="I1427">
        <v>0</v>
      </c>
      <c r="J1427" t="s">
        <v>111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23</v>
      </c>
      <c r="R1427">
        <v>0</v>
      </c>
    </row>
    <row r="1428" spans="1:18">
      <c r="A1428">
        <v>74686700000000</v>
      </c>
      <c r="B1428" t="s">
        <v>28</v>
      </c>
      <c r="C1428">
        <v>25</v>
      </c>
      <c r="D1428" t="s">
        <v>37</v>
      </c>
      <c r="E1428" t="s">
        <v>47</v>
      </c>
      <c r="F1428" s="1">
        <v>42493</v>
      </c>
      <c r="G1428" s="1">
        <v>42493</v>
      </c>
      <c r="H1428" t="s">
        <v>41</v>
      </c>
      <c r="I1428">
        <v>0</v>
      </c>
      <c r="J1428" t="s">
        <v>111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23</v>
      </c>
      <c r="R1428">
        <v>0</v>
      </c>
    </row>
    <row r="1429" spans="1:18">
      <c r="A1429">
        <v>19528000000000</v>
      </c>
      <c r="B1429" t="s">
        <v>18</v>
      </c>
      <c r="C1429">
        <v>25</v>
      </c>
      <c r="D1429" t="s">
        <v>37</v>
      </c>
      <c r="E1429" t="s">
        <v>72</v>
      </c>
      <c r="F1429" s="1">
        <v>42487</v>
      </c>
      <c r="G1429" s="1">
        <v>42493</v>
      </c>
      <c r="H1429" t="s">
        <v>41</v>
      </c>
      <c r="I1429">
        <v>6</v>
      </c>
      <c r="J1429" t="s">
        <v>107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</v>
      </c>
      <c r="Q1429" t="s">
        <v>26</v>
      </c>
      <c r="R1429">
        <v>1</v>
      </c>
    </row>
    <row r="1430" spans="1:18">
      <c r="A1430">
        <v>918314000000000</v>
      </c>
      <c r="B1430" t="s">
        <v>18</v>
      </c>
      <c r="C1430">
        <v>32</v>
      </c>
      <c r="D1430" t="s">
        <v>37</v>
      </c>
      <c r="E1430" t="s">
        <v>39</v>
      </c>
      <c r="F1430" s="1">
        <v>42493</v>
      </c>
      <c r="G1430" s="1">
        <v>42493</v>
      </c>
      <c r="H1430" t="s">
        <v>41</v>
      </c>
      <c r="I1430">
        <v>0</v>
      </c>
      <c r="J1430" t="s">
        <v>111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23</v>
      </c>
      <c r="R1430">
        <v>0</v>
      </c>
    </row>
    <row r="1431" spans="1:18">
      <c r="A1431">
        <v>11424400000000</v>
      </c>
      <c r="B1431" t="s">
        <v>18</v>
      </c>
      <c r="C1431">
        <v>35</v>
      </c>
      <c r="D1431" t="s">
        <v>37</v>
      </c>
      <c r="E1431" t="s">
        <v>78</v>
      </c>
      <c r="F1431" s="1">
        <v>42493</v>
      </c>
      <c r="G1431" s="1">
        <v>42503</v>
      </c>
      <c r="H1431" t="s">
        <v>21</v>
      </c>
      <c r="I1431">
        <v>10</v>
      </c>
      <c r="J1431" t="s">
        <v>92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23</v>
      </c>
      <c r="R1431">
        <v>0</v>
      </c>
    </row>
    <row r="1432" spans="1:18">
      <c r="A1432">
        <v>289984000000000</v>
      </c>
      <c r="B1432" t="s">
        <v>18</v>
      </c>
      <c r="C1432">
        <v>25</v>
      </c>
      <c r="D1432" t="s">
        <v>37</v>
      </c>
      <c r="E1432" t="s">
        <v>45</v>
      </c>
      <c r="F1432" s="1">
        <v>42487</v>
      </c>
      <c r="G1432" s="1">
        <v>42489</v>
      </c>
      <c r="H1432" t="s">
        <v>21</v>
      </c>
      <c r="I1432">
        <v>2</v>
      </c>
      <c r="J1432" t="s">
        <v>109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23</v>
      </c>
      <c r="R1432">
        <v>0</v>
      </c>
    </row>
    <row r="1433" spans="1:18">
      <c r="A1433">
        <v>7525540000000</v>
      </c>
      <c r="B1433" t="s">
        <v>18</v>
      </c>
      <c r="C1433">
        <v>27</v>
      </c>
      <c r="D1433" t="s">
        <v>37</v>
      </c>
      <c r="E1433" t="s">
        <v>40</v>
      </c>
      <c r="F1433" s="1">
        <v>42487</v>
      </c>
      <c r="G1433" s="1">
        <v>42515</v>
      </c>
      <c r="H1433" t="s">
        <v>25</v>
      </c>
      <c r="I1433">
        <v>28</v>
      </c>
      <c r="J1433" t="s">
        <v>77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</v>
      </c>
      <c r="Q1433" t="s">
        <v>23</v>
      </c>
      <c r="R1433">
        <v>0</v>
      </c>
    </row>
    <row r="1434" spans="1:18">
      <c r="A1434">
        <v>99526400000000</v>
      </c>
      <c r="B1434" t="s">
        <v>18</v>
      </c>
      <c r="C1434">
        <v>18</v>
      </c>
      <c r="D1434" t="s">
        <v>37</v>
      </c>
      <c r="E1434" t="s">
        <v>96</v>
      </c>
      <c r="F1434" s="1">
        <v>42493</v>
      </c>
      <c r="G1434" s="1">
        <v>42493</v>
      </c>
      <c r="H1434" t="s">
        <v>41</v>
      </c>
      <c r="I1434">
        <v>0</v>
      </c>
      <c r="J1434" t="s">
        <v>111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23</v>
      </c>
      <c r="R1434">
        <v>0</v>
      </c>
    </row>
    <row r="1435" spans="1:18">
      <c r="A1435">
        <v>99987600000000</v>
      </c>
      <c r="B1435" t="s">
        <v>18</v>
      </c>
      <c r="C1435">
        <v>18</v>
      </c>
      <c r="D1435" t="s">
        <v>37</v>
      </c>
      <c r="E1435" t="s">
        <v>68</v>
      </c>
      <c r="F1435" s="1">
        <v>42487</v>
      </c>
      <c r="G1435" s="1">
        <v>42500</v>
      </c>
      <c r="H1435" t="s">
        <v>41</v>
      </c>
      <c r="I1435">
        <v>13</v>
      </c>
      <c r="J1435" t="s">
        <v>92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</v>
      </c>
      <c r="Q1435" t="s">
        <v>26</v>
      </c>
      <c r="R1435">
        <v>1</v>
      </c>
    </row>
    <row r="1436" spans="1:18">
      <c r="A1436">
        <v>98928652948</v>
      </c>
      <c r="B1436" t="s">
        <v>28</v>
      </c>
      <c r="C1436">
        <v>35</v>
      </c>
      <c r="D1436" t="s">
        <v>37</v>
      </c>
      <c r="E1436" t="s">
        <v>96</v>
      </c>
      <c r="F1436" s="1">
        <v>42493</v>
      </c>
      <c r="G1436" s="1">
        <v>42500</v>
      </c>
      <c r="H1436" t="s">
        <v>41</v>
      </c>
      <c r="I1436">
        <v>7</v>
      </c>
      <c r="J1436" t="s">
        <v>107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</v>
      </c>
      <c r="Q1436" t="s">
        <v>23</v>
      </c>
      <c r="R1436">
        <v>0</v>
      </c>
    </row>
    <row r="1437" spans="1:18">
      <c r="A1437">
        <v>62379291326</v>
      </c>
      <c r="B1437" t="s">
        <v>18</v>
      </c>
      <c r="C1437">
        <v>30</v>
      </c>
      <c r="D1437" t="s">
        <v>37</v>
      </c>
      <c r="E1437" t="s">
        <v>44</v>
      </c>
      <c r="F1437" s="1">
        <v>42487</v>
      </c>
      <c r="G1437" s="1">
        <v>42489</v>
      </c>
      <c r="H1437" t="s">
        <v>21</v>
      </c>
      <c r="I1437">
        <v>2</v>
      </c>
      <c r="J1437" t="s">
        <v>109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23</v>
      </c>
      <c r="R1437">
        <v>0</v>
      </c>
    </row>
    <row r="1438" spans="1:18">
      <c r="A1438">
        <v>275529000000000</v>
      </c>
      <c r="B1438" t="s">
        <v>28</v>
      </c>
      <c r="C1438">
        <v>35</v>
      </c>
      <c r="D1438" t="s">
        <v>37</v>
      </c>
      <c r="E1438" t="s">
        <v>20</v>
      </c>
      <c r="F1438" s="1">
        <v>42487</v>
      </c>
      <c r="G1438" s="1">
        <v>42520</v>
      </c>
      <c r="H1438" t="s">
        <v>30</v>
      </c>
      <c r="I1438">
        <v>33</v>
      </c>
      <c r="J1438" t="s">
        <v>22</v>
      </c>
      <c r="K1438">
        <v>0</v>
      </c>
      <c r="L1438">
        <v>0</v>
      </c>
      <c r="M1438">
        <v>0</v>
      </c>
      <c r="N1438">
        <v>1</v>
      </c>
      <c r="O1438">
        <v>1</v>
      </c>
      <c r="P1438">
        <v>1</v>
      </c>
      <c r="Q1438" t="s">
        <v>23</v>
      </c>
      <c r="R1438">
        <v>0</v>
      </c>
    </row>
    <row r="1439" spans="1:18">
      <c r="A1439">
        <v>438887000000000</v>
      </c>
      <c r="B1439" t="s">
        <v>18</v>
      </c>
      <c r="C1439">
        <v>31</v>
      </c>
      <c r="D1439" t="s">
        <v>37</v>
      </c>
      <c r="E1439" t="s">
        <v>45</v>
      </c>
      <c r="F1439" s="1">
        <v>42493</v>
      </c>
      <c r="G1439" s="1">
        <v>42521</v>
      </c>
      <c r="H1439" t="s">
        <v>41</v>
      </c>
      <c r="I1439">
        <v>28</v>
      </c>
      <c r="J1439" t="s">
        <v>77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</v>
      </c>
      <c r="Q1439" t="s">
        <v>23</v>
      </c>
      <c r="R1439">
        <v>0</v>
      </c>
    </row>
    <row r="1440" spans="1:18">
      <c r="A1440">
        <v>16494700000000</v>
      </c>
      <c r="B1440" t="s">
        <v>18</v>
      </c>
      <c r="C1440">
        <v>26</v>
      </c>
      <c r="D1440" t="s">
        <v>37</v>
      </c>
      <c r="E1440" t="s">
        <v>63</v>
      </c>
      <c r="F1440" s="1">
        <v>42493</v>
      </c>
      <c r="G1440" s="1">
        <v>42506</v>
      </c>
      <c r="H1440" t="s">
        <v>30</v>
      </c>
      <c r="I1440">
        <v>13</v>
      </c>
      <c r="J1440" t="s">
        <v>92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23</v>
      </c>
      <c r="R1440">
        <v>0</v>
      </c>
    </row>
    <row r="1441" spans="1:18">
      <c r="A1441">
        <v>3662940000000</v>
      </c>
      <c r="B1441" t="s">
        <v>28</v>
      </c>
      <c r="C1441">
        <v>19</v>
      </c>
      <c r="D1441" t="s">
        <v>37</v>
      </c>
      <c r="E1441" t="s">
        <v>29</v>
      </c>
      <c r="F1441" s="1">
        <v>42493</v>
      </c>
      <c r="G1441" s="1">
        <v>42500</v>
      </c>
      <c r="H1441" t="s">
        <v>41</v>
      </c>
      <c r="I1441">
        <v>7</v>
      </c>
      <c r="J1441" t="s">
        <v>107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</v>
      </c>
      <c r="Q1441" t="s">
        <v>23</v>
      </c>
      <c r="R1441">
        <v>0</v>
      </c>
    </row>
    <row r="1442" spans="1:18">
      <c r="A1442">
        <v>144761000000000</v>
      </c>
      <c r="B1442" t="s">
        <v>28</v>
      </c>
      <c r="C1442">
        <v>21</v>
      </c>
      <c r="D1442" t="s">
        <v>37</v>
      </c>
      <c r="E1442" t="s">
        <v>51</v>
      </c>
      <c r="F1442" s="1">
        <v>42493</v>
      </c>
      <c r="G1442" s="1">
        <v>42500</v>
      </c>
      <c r="H1442" t="s">
        <v>41</v>
      </c>
      <c r="I1442">
        <v>7</v>
      </c>
      <c r="J1442" t="s">
        <v>107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1</v>
      </c>
      <c r="Q1442" t="s">
        <v>23</v>
      </c>
      <c r="R1442">
        <v>0</v>
      </c>
    </row>
    <row r="1443" spans="1:18">
      <c r="A1443">
        <v>462842000000000</v>
      </c>
      <c r="B1443" t="s">
        <v>18</v>
      </c>
      <c r="C1443">
        <v>28</v>
      </c>
      <c r="D1443" t="s">
        <v>37</v>
      </c>
      <c r="E1443" t="s">
        <v>45</v>
      </c>
      <c r="F1443" s="1">
        <v>42493</v>
      </c>
      <c r="G1443" s="1">
        <v>42510</v>
      </c>
      <c r="H1443" t="s">
        <v>21</v>
      </c>
      <c r="I1443">
        <v>17</v>
      </c>
      <c r="J1443" t="s">
        <v>77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23</v>
      </c>
      <c r="R1443">
        <v>0</v>
      </c>
    </row>
    <row r="1444" spans="1:18">
      <c r="A1444">
        <v>679157000000000</v>
      </c>
      <c r="B1444" t="s">
        <v>18</v>
      </c>
      <c r="C1444">
        <v>33</v>
      </c>
      <c r="D1444" t="s">
        <v>37</v>
      </c>
      <c r="E1444" t="s">
        <v>48</v>
      </c>
      <c r="F1444" s="1">
        <v>42493</v>
      </c>
      <c r="G1444" s="1">
        <v>42493</v>
      </c>
      <c r="H1444" t="s">
        <v>41</v>
      </c>
      <c r="I1444">
        <v>0</v>
      </c>
      <c r="J1444" t="s">
        <v>111</v>
      </c>
      <c r="K1444">
        <v>0</v>
      </c>
      <c r="L1444">
        <v>1</v>
      </c>
      <c r="M1444">
        <v>0</v>
      </c>
      <c r="N1444">
        <v>0</v>
      </c>
      <c r="O1444">
        <v>0</v>
      </c>
      <c r="P1444">
        <v>0</v>
      </c>
      <c r="Q1444" t="s">
        <v>23</v>
      </c>
      <c r="R1444">
        <v>0</v>
      </c>
    </row>
    <row r="1445" spans="1:18">
      <c r="A1445">
        <v>56363300000000</v>
      </c>
      <c r="B1445" t="s">
        <v>18</v>
      </c>
      <c r="C1445">
        <v>18</v>
      </c>
      <c r="D1445" t="s">
        <v>37</v>
      </c>
      <c r="E1445" t="s">
        <v>32</v>
      </c>
      <c r="F1445" s="1">
        <v>42493</v>
      </c>
      <c r="G1445" s="1">
        <v>42493</v>
      </c>
      <c r="H1445" t="s">
        <v>41</v>
      </c>
      <c r="I1445">
        <v>0</v>
      </c>
      <c r="J1445" t="s">
        <v>111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23</v>
      </c>
      <c r="R1445">
        <v>0</v>
      </c>
    </row>
    <row r="1446" spans="1:18">
      <c r="A1446">
        <v>527495000000000</v>
      </c>
      <c r="B1446" t="s">
        <v>18</v>
      </c>
      <c r="C1446">
        <v>21</v>
      </c>
      <c r="D1446" t="s">
        <v>37</v>
      </c>
      <c r="E1446" t="s">
        <v>68</v>
      </c>
      <c r="F1446" s="1">
        <v>42493</v>
      </c>
      <c r="G1446" s="1">
        <v>42501</v>
      </c>
      <c r="H1446" t="s">
        <v>25</v>
      </c>
      <c r="I1446">
        <v>8</v>
      </c>
      <c r="J1446" t="s">
        <v>92</v>
      </c>
      <c r="K1446">
        <v>0</v>
      </c>
      <c r="L1446">
        <v>0</v>
      </c>
      <c r="M1446">
        <v>1</v>
      </c>
      <c r="N1446">
        <v>0</v>
      </c>
      <c r="O1446">
        <v>0</v>
      </c>
      <c r="P1446">
        <v>1</v>
      </c>
      <c r="Q1446" t="s">
        <v>26</v>
      </c>
      <c r="R1446">
        <v>1</v>
      </c>
    </row>
    <row r="1447" spans="1:18">
      <c r="A1447">
        <v>61146100000000</v>
      </c>
      <c r="B1447" t="s">
        <v>18</v>
      </c>
      <c r="C1447">
        <v>28</v>
      </c>
      <c r="D1447" t="s">
        <v>37</v>
      </c>
      <c r="E1447" t="s">
        <v>54</v>
      </c>
      <c r="F1447" s="1">
        <v>42487</v>
      </c>
      <c r="G1447" s="1">
        <v>42527</v>
      </c>
      <c r="H1447" t="s">
        <v>30</v>
      </c>
      <c r="I1447">
        <v>40</v>
      </c>
      <c r="J1447" t="s">
        <v>22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23</v>
      </c>
      <c r="R1447">
        <v>0</v>
      </c>
    </row>
    <row r="1448" spans="1:18">
      <c r="A1448">
        <v>81112000000000</v>
      </c>
      <c r="B1448" t="s">
        <v>18</v>
      </c>
      <c r="C1448">
        <v>18</v>
      </c>
      <c r="D1448" t="s">
        <v>37</v>
      </c>
      <c r="E1448" t="s">
        <v>61</v>
      </c>
      <c r="F1448" s="1">
        <v>42487</v>
      </c>
      <c r="G1448" s="1">
        <v>42506</v>
      </c>
      <c r="H1448" t="s">
        <v>30</v>
      </c>
      <c r="I1448">
        <v>19</v>
      </c>
      <c r="J1448" t="s">
        <v>77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23</v>
      </c>
      <c r="R1448">
        <v>0</v>
      </c>
    </row>
    <row r="1449" spans="1:18">
      <c r="A1449">
        <v>749830000000000</v>
      </c>
      <c r="B1449" t="s">
        <v>28</v>
      </c>
      <c r="C1449">
        <v>26</v>
      </c>
      <c r="D1449" t="s">
        <v>37</v>
      </c>
      <c r="E1449" t="s">
        <v>58</v>
      </c>
      <c r="F1449" s="1">
        <v>42493</v>
      </c>
      <c r="G1449" s="1">
        <v>42493</v>
      </c>
      <c r="H1449" t="s">
        <v>41</v>
      </c>
      <c r="I1449">
        <v>0</v>
      </c>
      <c r="J1449" t="s">
        <v>111</v>
      </c>
      <c r="K1449">
        <v>0</v>
      </c>
      <c r="L1449">
        <v>1</v>
      </c>
      <c r="M1449">
        <v>0</v>
      </c>
      <c r="N1449">
        <v>0</v>
      </c>
      <c r="O1449">
        <v>0</v>
      </c>
      <c r="P1449">
        <v>0</v>
      </c>
      <c r="Q1449" t="s">
        <v>23</v>
      </c>
      <c r="R1449">
        <v>0</v>
      </c>
    </row>
    <row r="1450" spans="1:18">
      <c r="A1450">
        <v>656362000000000</v>
      </c>
      <c r="B1450" t="s">
        <v>18</v>
      </c>
      <c r="C1450">
        <v>32</v>
      </c>
      <c r="D1450" t="s">
        <v>37</v>
      </c>
      <c r="E1450" t="s">
        <v>34</v>
      </c>
      <c r="F1450" s="1">
        <v>42493</v>
      </c>
      <c r="G1450" s="1">
        <v>42515</v>
      </c>
      <c r="H1450" t="s">
        <v>25</v>
      </c>
      <c r="I1450">
        <v>22</v>
      </c>
      <c r="J1450" t="s">
        <v>77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</v>
      </c>
      <c r="Q1450" t="s">
        <v>23</v>
      </c>
      <c r="R1450">
        <v>0</v>
      </c>
    </row>
    <row r="1451" spans="1:18">
      <c r="A1451">
        <v>423929000000000</v>
      </c>
      <c r="B1451" t="s">
        <v>28</v>
      </c>
      <c r="C1451">
        <v>21</v>
      </c>
      <c r="D1451" t="s">
        <v>37</v>
      </c>
      <c r="E1451" t="s">
        <v>106</v>
      </c>
      <c r="F1451" s="1">
        <v>42493</v>
      </c>
      <c r="G1451" s="1">
        <v>42510</v>
      </c>
      <c r="H1451" t="s">
        <v>21</v>
      </c>
      <c r="I1451">
        <v>17</v>
      </c>
      <c r="J1451" t="s">
        <v>77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26</v>
      </c>
      <c r="R1451">
        <v>1</v>
      </c>
    </row>
    <row r="1452" spans="1:18">
      <c r="A1452">
        <v>462842000000000</v>
      </c>
      <c r="B1452" t="s">
        <v>18</v>
      </c>
      <c r="C1452">
        <v>28</v>
      </c>
      <c r="D1452" t="s">
        <v>37</v>
      </c>
      <c r="E1452" t="s">
        <v>45</v>
      </c>
      <c r="F1452" s="1">
        <v>42493</v>
      </c>
      <c r="G1452" s="1">
        <v>42493</v>
      </c>
      <c r="H1452" t="s">
        <v>41</v>
      </c>
      <c r="I1452">
        <v>0</v>
      </c>
      <c r="J1452" t="s">
        <v>111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23</v>
      </c>
      <c r="R1452">
        <v>0</v>
      </c>
    </row>
    <row r="1453" spans="1:18">
      <c r="A1453">
        <v>784127000000000</v>
      </c>
      <c r="B1453" t="s">
        <v>18</v>
      </c>
      <c r="C1453">
        <v>24</v>
      </c>
      <c r="D1453" t="s">
        <v>37</v>
      </c>
      <c r="E1453" t="s">
        <v>32</v>
      </c>
      <c r="F1453" s="1">
        <v>42487</v>
      </c>
      <c r="G1453" s="1">
        <v>42515</v>
      </c>
      <c r="H1453" t="s">
        <v>25</v>
      </c>
      <c r="I1453">
        <v>28</v>
      </c>
      <c r="J1453" t="s">
        <v>77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1</v>
      </c>
      <c r="Q1453" t="s">
        <v>23</v>
      </c>
      <c r="R1453">
        <v>0</v>
      </c>
    </row>
    <row r="1454" spans="1:18">
      <c r="A1454">
        <v>619878000000</v>
      </c>
      <c r="B1454" t="s">
        <v>18</v>
      </c>
      <c r="C1454">
        <v>33</v>
      </c>
      <c r="D1454" t="s">
        <v>37</v>
      </c>
      <c r="E1454" t="s">
        <v>64</v>
      </c>
      <c r="F1454" s="1">
        <v>42493</v>
      </c>
      <c r="G1454" s="1">
        <v>42503</v>
      </c>
      <c r="H1454" t="s">
        <v>21</v>
      </c>
      <c r="I1454">
        <v>10</v>
      </c>
      <c r="J1454" t="s">
        <v>92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23</v>
      </c>
      <c r="R1454">
        <v>0</v>
      </c>
    </row>
    <row r="1455" spans="1:18">
      <c r="A1455">
        <v>66534400000000</v>
      </c>
      <c r="B1455" t="s">
        <v>18</v>
      </c>
      <c r="C1455">
        <v>26</v>
      </c>
      <c r="D1455" t="s">
        <v>37</v>
      </c>
      <c r="E1455" t="s">
        <v>48</v>
      </c>
      <c r="F1455" s="1">
        <v>42493</v>
      </c>
      <c r="G1455" s="1">
        <v>42495</v>
      </c>
      <c r="H1455" t="s">
        <v>33</v>
      </c>
      <c r="I1455">
        <v>2</v>
      </c>
      <c r="J1455" t="s">
        <v>109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23</v>
      </c>
      <c r="R1455">
        <v>0</v>
      </c>
    </row>
    <row r="1456" spans="1:18">
      <c r="A1456">
        <v>275922000000000</v>
      </c>
      <c r="B1456" t="s">
        <v>18</v>
      </c>
      <c r="C1456">
        <v>34</v>
      </c>
      <c r="D1456" t="s">
        <v>37</v>
      </c>
      <c r="E1456" t="s">
        <v>96</v>
      </c>
      <c r="F1456" s="1">
        <v>42493</v>
      </c>
      <c r="G1456" s="1">
        <v>42499</v>
      </c>
      <c r="H1456" t="s">
        <v>30</v>
      </c>
      <c r="I1456">
        <v>6</v>
      </c>
      <c r="J1456" t="s">
        <v>107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23</v>
      </c>
      <c r="R1456">
        <v>0</v>
      </c>
    </row>
    <row r="1457" spans="1:18">
      <c r="A1457">
        <v>86172747259</v>
      </c>
      <c r="B1457" t="s">
        <v>28</v>
      </c>
      <c r="C1457">
        <v>25</v>
      </c>
      <c r="D1457" t="s">
        <v>37</v>
      </c>
      <c r="E1457" t="s">
        <v>40</v>
      </c>
      <c r="F1457" s="1">
        <v>42493</v>
      </c>
      <c r="G1457" s="1">
        <v>42493</v>
      </c>
      <c r="H1457" t="s">
        <v>41</v>
      </c>
      <c r="I1457">
        <v>0</v>
      </c>
      <c r="J1457" t="s">
        <v>111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23</v>
      </c>
      <c r="R1457">
        <v>0</v>
      </c>
    </row>
    <row r="1458" spans="1:18">
      <c r="A1458">
        <v>8731390000000</v>
      </c>
      <c r="B1458" t="s">
        <v>18</v>
      </c>
      <c r="C1458">
        <v>32</v>
      </c>
      <c r="D1458" t="s">
        <v>37</v>
      </c>
      <c r="E1458" t="s">
        <v>34</v>
      </c>
      <c r="F1458" s="1">
        <v>42487</v>
      </c>
      <c r="G1458" s="1">
        <v>42515</v>
      </c>
      <c r="H1458" t="s">
        <v>25</v>
      </c>
      <c r="I1458">
        <v>28</v>
      </c>
      <c r="J1458" t="s">
        <v>77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1</v>
      </c>
      <c r="Q1458" t="s">
        <v>23</v>
      </c>
      <c r="R1458">
        <v>0</v>
      </c>
    </row>
    <row r="1459" spans="1:18">
      <c r="A1459">
        <v>2314360000000</v>
      </c>
      <c r="B1459" t="s">
        <v>18</v>
      </c>
      <c r="C1459">
        <v>32</v>
      </c>
      <c r="D1459" t="s">
        <v>37</v>
      </c>
      <c r="E1459" t="s">
        <v>51</v>
      </c>
      <c r="F1459" s="1">
        <v>42493</v>
      </c>
      <c r="G1459" s="1">
        <v>42523</v>
      </c>
      <c r="H1459" t="s">
        <v>33</v>
      </c>
      <c r="I1459">
        <v>30</v>
      </c>
      <c r="J1459" t="s">
        <v>77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1</v>
      </c>
      <c r="Q1459" t="s">
        <v>23</v>
      </c>
      <c r="R1459">
        <v>0</v>
      </c>
    </row>
    <row r="1460" spans="1:18">
      <c r="A1460">
        <v>7122920000000</v>
      </c>
      <c r="B1460" t="s">
        <v>18</v>
      </c>
      <c r="C1460">
        <v>26</v>
      </c>
      <c r="D1460" t="s">
        <v>37</v>
      </c>
      <c r="E1460" t="s">
        <v>39</v>
      </c>
      <c r="F1460" s="1">
        <v>42492</v>
      </c>
      <c r="G1460" s="1">
        <v>42492</v>
      </c>
      <c r="H1460" t="s">
        <v>30</v>
      </c>
      <c r="I1460">
        <v>0</v>
      </c>
      <c r="J1460" t="s">
        <v>111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23</v>
      </c>
      <c r="R1460">
        <v>0</v>
      </c>
    </row>
    <row r="1461" spans="1:18">
      <c r="A1461">
        <v>9688650000000</v>
      </c>
      <c r="B1461" t="s">
        <v>18</v>
      </c>
      <c r="C1461">
        <v>21</v>
      </c>
      <c r="D1461" t="s">
        <v>37</v>
      </c>
      <c r="E1461" t="s">
        <v>69</v>
      </c>
      <c r="F1461" s="1">
        <v>42487</v>
      </c>
      <c r="G1461" s="1">
        <v>42506</v>
      </c>
      <c r="H1461" t="s">
        <v>30</v>
      </c>
      <c r="I1461">
        <v>19</v>
      </c>
      <c r="J1461" t="s">
        <v>77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23</v>
      </c>
      <c r="R1461">
        <v>0</v>
      </c>
    </row>
    <row r="1462" spans="1:18">
      <c r="A1462">
        <v>77426400000000</v>
      </c>
      <c r="B1462" t="s">
        <v>18</v>
      </c>
      <c r="C1462">
        <v>32</v>
      </c>
      <c r="D1462" t="s">
        <v>37</v>
      </c>
      <c r="E1462" t="s">
        <v>50</v>
      </c>
      <c r="F1462" s="1">
        <v>42492</v>
      </c>
      <c r="G1462" s="1">
        <v>42493</v>
      </c>
      <c r="H1462" t="s">
        <v>41</v>
      </c>
      <c r="I1462">
        <v>1</v>
      </c>
      <c r="J1462" t="s">
        <v>109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26</v>
      </c>
      <c r="R1462">
        <v>1</v>
      </c>
    </row>
    <row r="1463" spans="1:18">
      <c r="A1463">
        <v>794466000000000</v>
      </c>
      <c r="B1463" t="s">
        <v>18</v>
      </c>
      <c r="C1463">
        <v>21</v>
      </c>
      <c r="D1463" t="s">
        <v>37</v>
      </c>
      <c r="E1463" t="s">
        <v>52</v>
      </c>
      <c r="F1463" s="1">
        <v>42492</v>
      </c>
      <c r="G1463" s="1">
        <v>42521</v>
      </c>
      <c r="H1463" t="s">
        <v>41</v>
      </c>
      <c r="I1463">
        <v>29</v>
      </c>
      <c r="J1463" t="s">
        <v>77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1</v>
      </c>
      <c r="Q1463" t="s">
        <v>23</v>
      </c>
      <c r="R1463">
        <v>0</v>
      </c>
    </row>
    <row r="1464" spans="1:18">
      <c r="A1464">
        <v>22851500000000</v>
      </c>
      <c r="B1464" t="s">
        <v>28</v>
      </c>
      <c r="C1464">
        <v>24</v>
      </c>
      <c r="D1464" t="s">
        <v>37</v>
      </c>
      <c r="E1464" t="s">
        <v>72</v>
      </c>
      <c r="F1464" s="1">
        <v>42492</v>
      </c>
      <c r="G1464" s="1">
        <v>42492</v>
      </c>
      <c r="H1464" t="s">
        <v>30</v>
      </c>
      <c r="I1464">
        <v>0</v>
      </c>
      <c r="J1464" t="s">
        <v>111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23</v>
      </c>
      <c r="R1464">
        <v>0</v>
      </c>
    </row>
    <row r="1465" spans="1:18">
      <c r="A1465">
        <v>84253400000000</v>
      </c>
      <c r="B1465" t="s">
        <v>18</v>
      </c>
      <c r="C1465">
        <v>28</v>
      </c>
      <c r="D1465" t="s">
        <v>37</v>
      </c>
      <c r="E1465" t="s">
        <v>20</v>
      </c>
      <c r="F1465" s="1">
        <v>42492</v>
      </c>
      <c r="G1465" s="1">
        <v>42501</v>
      </c>
      <c r="H1465" t="s">
        <v>25</v>
      </c>
      <c r="I1465">
        <v>9</v>
      </c>
      <c r="J1465" t="s">
        <v>92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1</v>
      </c>
      <c r="Q1465" t="s">
        <v>26</v>
      </c>
      <c r="R1465">
        <v>1</v>
      </c>
    </row>
    <row r="1466" spans="1:18">
      <c r="A1466">
        <v>631652000000000</v>
      </c>
      <c r="B1466" t="s">
        <v>28</v>
      </c>
      <c r="C1466">
        <v>30</v>
      </c>
      <c r="D1466" t="s">
        <v>37</v>
      </c>
      <c r="E1466" t="s">
        <v>73</v>
      </c>
      <c r="F1466" s="1">
        <v>42492</v>
      </c>
      <c r="G1466" s="1">
        <v>42494</v>
      </c>
      <c r="H1466" t="s">
        <v>25</v>
      </c>
      <c r="I1466">
        <v>2</v>
      </c>
      <c r="J1466" t="s">
        <v>109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23</v>
      </c>
      <c r="R1466">
        <v>0</v>
      </c>
    </row>
    <row r="1467" spans="1:18">
      <c r="A1467">
        <v>38147500000000</v>
      </c>
      <c r="B1467" t="s">
        <v>18</v>
      </c>
      <c r="C1467">
        <v>22</v>
      </c>
      <c r="D1467" t="s">
        <v>37</v>
      </c>
      <c r="E1467" t="s">
        <v>43</v>
      </c>
      <c r="F1467" s="1">
        <v>42492</v>
      </c>
      <c r="G1467" s="1">
        <v>42492</v>
      </c>
      <c r="H1467" t="s">
        <v>30</v>
      </c>
      <c r="I1467">
        <v>0</v>
      </c>
      <c r="J1467" t="s">
        <v>111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23</v>
      </c>
      <c r="R1467">
        <v>0</v>
      </c>
    </row>
    <row r="1468" spans="1:18">
      <c r="A1468">
        <v>44532700000000</v>
      </c>
      <c r="B1468" t="s">
        <v>18</v>
      </c>
      <c r="C1468">
        <v>20</v>
      </c>
      <c r="D1468" t="s">
        <v>37</v>
      </c>
      <c r="E1468" t="s">
        <v>58</v>
      </c>
      <c r="F1468" s="1">
        <v>42487</v>
      </c>
      <c r="G1468" s="1">
        <v>42515</v>
      </c>
      <c r="H1468" t="s">
        <v>25</v>
      </c>
      <c r="I1468">
        <v>28</v>
      </c>
      <c r="J1468" t="s">
        <v>77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1</v>
      </c>
      <c r="Q1468" t="s">
        <v>26</v>
      </c>
      <c r="R1468">
        <v>1</v>
      </c>
    </row>
    <row r="1469" spans="1:18">
      <c r="A1469">
        <v>76598300000000</v>
      </c>
      <c r="B1469" t="s">
        <v>18</v>
      </c>
      <c r="C1469">
        <v>25</v>
      </c>
      <c r="D1469" t="s">
        <v>37</v>
      </c>
      <c r="E1469" t="s">
        <v>106</v>
      </c>
      <c r="F1469" s="1">
        <v>42487</v>
      </c>
      <c r="G1469" s="1">
        <v>42507</v>
      </c>
      <c r="H1469" t="s">
        <v>41</v>
      </c>
      <c r="I1469">
        <v>20</v>
      </c>
      <c r="J1469" t="s">
        <v>77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23</v>
      </c>
      <c r="R1469">
        <v>0</v>
      </c>
    </row>
    <row r="1470" spans="1:18">
      <c r="A1470">
        <v>45728200000000</v>
      </c>
      <c r="B1470" t="s">
        <v>18</v>
      </c>
      <c r="C1470">
        <v>27</v>
      </c>
      <c r="D1470" t="s">
        <v>37</v>
      </c>
      <c r="E1470" t="s">
        <v>73</v>
      </c>
      <c r="F1470" s="1">
        <v>42492</v>
      </c>
      <c r="G1470" s="1">
        <v>42520</v>
      </c>
      <c r="H1470" t="s">
        <v>30</v>
      </c>
      <c r="I1470">
        <v>28</v>
      </c>
      <c r="J1470" t="s">
        <v>77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1</v>
      </c>
      <c r="Q1470" t="s">
        <v>23</v>
      </c>
      <c r="R1470">
        <v>0</v>
      </c>
    </row>
    <row r="1471" spans="1:18">
      <c r="A1471">
        <v>54963600000000</v>
      </c>
      <c r="B1471" t="s">
        <v>18</v>
      </c>
      <c r="C1471">
        <v>28</v>
      </c>
      <c r="D1471" t="s">
        <v>37</v>
      </c>
      <c r="E1471" t="s">
        <v>50</v>
      </c>
      <c r="F1471" s="1">
        <v>42492</v>
      </c>
      <c r="G1471" s="1">
        <v>42494</v>
      </c>
      <c r="H1471" t="s">
        <v>25</v>
      </c>
      <c r="I1471">
        <v>2</v>
      </c>
      <c r="J1471" t="s">
        <v>109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26</v>
      </c>
      <c r="R1471">
        <v>1</v>
      </c>
    </row>
    <row r="1472" spans="1:18">
      <c r="A1472">
        <v>99282300000000</v>
      </c>
      <c r="B1472" t="s">
        <v>28</v>
      </c>
      <c r="C1472">
        <v>29</v>
      </c>
      <c r="D1472" t="s">
        <v>37</v>
      </c>
      <c r="E1472" t="s">
        <v>66</v>
      </c>
      <c r="F1472" s="1">
        <v>42492</v>
      </c>
      <c r="G1472" s="1">
        <v>42492</v>
      </c>
      <c r="H1472" t="s">
        <v>30</v>
      </c>
      <c r="I1472">
        <v>0</v>
      </c>
      <c r="J1472" t="s">
        <v>111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26</v>
      </c>
      <c r="R1472">
        <v>1</v>
      </c>
    </row>
    <row r="1473" spans="1:18">
      <c r="A1473">
        <v>58231100000000</v>
      </c>
      <c r="B1473" t="s">
        <v>18</v>
      </c>
      <c r="C1473">
        <v>34</v>
      </c>
      <c r="D1473" t="s">
        <v>37</v>
      </c>
      <c r="E1473" t="s">
        <v>61</v>
      </c>
      <c r="F1473" s="1">
        <v>42487</v>
      </c>
      <c r="G1473" s="1">
        <v>42501</v>
      </c>
      <c r="H1473" t="s">
        <v>25</v>
      </c>
      <c r="I1473">
        <v>14</v>
      </c>
      <c r="J1473" t="s">
        <v>92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1</v>
      </c>
      <c r="Q1473" t="s">
        <v>26</v>
      </c>
      <c r="R1473">
        <v>1</v>
      </c>
    </row>
    <row r="1474" spans="1:18">
      <c r="A1474">
        <v>1658980000000</v>
      </c>
      <c r="B1474" t="s">
        <v>28</v>
      </c>
      <c r="C1474">
        <v>21</v>
      </c>
      <c r="D1474" t="s">
        <v>37</v>
      </c>
      <c r="E1474" t="s">
        <v>36</v>
      </c>
      <c r="F1474" s="1">
        <v>42492</v>
      </c>
      <c r="G1474" s="1">
        <v>42494</v>
      </c>
      <c r="H1474" t="s">
        <v>25</v>
      </c>
      <c r="I1474">
        <v>2</v>
      </c>
      <c r="J1474" t="s">
        <v>109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23</v>
      </c>
      <c r="R1474">
        <v>0</v>
      </c>
    </row>
    <row r="1475" spans="1:18">
      <c r="A1475">
        <v>87247700000000</v>
      </c>
      <c r="B1475" t="s">
        <v>18</v>
      </c>
      <c r="C1475">
        <v>25</v>
      </c>
      <c r="D1475" t="s">
        <v>37</v>
      </c>
      <c r="E1475" t="s">
        <v>47</v>
      </c>
      <c r="F1475" s="1">
        <v>42487</v>
      </c>
      <c r="G1475" s="1">
        <v>42492</v>
      </c>
      <c r="H1475" t="s">
        <v>30</v>
      </c>
      <c r="I1475">
        <v>5</v>
      </c>
      <c r="J1475" t="s">
        <v>107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1</v>
      </c>
      <c r="Q1475" t="s">
        <v>23</v>
      </c>
      <c r="R1475">
        <v>0</v>
      </c>
    </row>
    <row r="1476" spans="1:18">
      <c r="A1476">
        <v>5795318431</v>
      </c>
      <c r="B1476" t="s">
        <v>18</v>
      </c>
      <c r="C1476">
        <v>22</v>
      </c>
      <c r="D1476" t="s">
        <v>37</v>
      </c>
      <c r="E1476" t="s">
        <v>50</v>
      </c>
      <c r="F1476" s="1">
        <v>42492</v>
      </c>
      <c r="G1476" s="1">
        <v>42502</v>
      </c>
      <c r="H1476" t="s">
        <v>33</v>
      </c>
      <c r="I1476">
        <v>10</v>
      </c>
      <c r="J1476" t="s">
        <v>92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1</v>
      </c>
      <c r="Q1476" t="s">
        <v>26</v>
      </c>
      <c r="R1476">
        <v>1</v>
      </c>
    </row>
    <row r="1477" spans="1:18">
      <c r="A1477">
        <v>2167140000000</v>
      </c>
      <c r="B1477" t="s">
        <v>18</v>
      </c>
      <c r="C1477">
        <v>23</v>
      </c>
      <c r="D1477" t="s">
        <v>37</v>
      </c>
      <c r="E1477" t="s">
        <v>29</v>
      </c>
      <c r="F1477" s="1">
        <v>42492</v>
      </c>
      <c r="G1477" s="1">
        <v>42501</v>
      </c>
      <c r="H1477" t="s">
        <v>25</v>
      </c>
      <c r="I1477">
        <v>9</v>
      </c>
      <c r="J1477" t="s">
        <v>92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1</v>
      </c>
      <c r="Q1477" t="s">
        <v>26</v>
      </c>
      <c r="R1477">
        <v>1</v>
      </c>
    </row>
    <row r="1478" spans="1:18">
      <c r="A1478">
        <v>4432850000000</v>
      </c>
      <c r="B1478" t="s">
        <v>18</v>
      </c>
      <c r="C1478">
        <v>34</v>
      </c>
      <c r="D1478" t="s">
        <v>37</v>
      </c>
      <c r="E1478" t="s">
        <v>54</v>
      </c>
      <c r="F1478" s="1">
        <v>42492</v>
      </c>
      <c r="G1478" s="1">
        <v>42500</v>
      </c>
      <c r="H1478" t="s">
        <v>41</v>
      </c>
      <c r="I1478">
        <v>8</v>
      </c>
      <c r="J1478" t="s">
        <v>92</v>
      </c>
      <c r="K1478">
        <v>1</v>
      </c>
      <c r="L1478">
        <v>0</v>
      </c>
      <c r="M1478">
        <v>0</v>
      </c>
      <c r="N1478">
        <v>0</v>
      </c>
      <c r="O1478">
        <v>0</v>
      </c>
      <c r="P1478">
        <v>1</v>
      </c>
      <c r="Q1478" t="s">
        <v>26</v>
      </c>
      <c r="R1478">
        <v>1</v>
      </c>
    </row>
    <row r="1479" spans="1:18">
      <c r="A1479">
        <v>61769900000000</v>
      </c>
      <c r="B1479" t="s">
        <v>18</v>
      </c>
      <c r="C1479">
        <v>25</v>
      </c>
      <c r="D1479" t="s">
        <v>37</v>
      </c>
      <c r="E1479" t="s">
        <v>29</v>
      </c>
      <c r="F1479" s="1">
        <v>42492</v>
      </c>
      <c r="G1479" s="1">
        <v>42500</v>
      </c>
      <c r="H1479" t="s">
        <v>41</v>
      </c>
      <c r="I1479">
        <v>8</v>
      </c>
      <c r="J1479" t="s">
        <v>92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</v>
      </c>
      <c r="Q1479" t="s">
        <v>23</v>
      </c>
      <c r="R1479">
        <v>0</v>
      </c>
    </row>
    <row r="1480" spans="1:18">
      <c r="A1480">
        <v>178296000000000</v>
      </c>
      <c r="B1480" t="s">
        <v>18</v>
      </c>
      <c r="C1480">
        <v>30</v>
      </c>
      <c r="D1480" t="s">
        <v>37</v>
      </c>
      <c r="E1480" t="s">
        <v>97</v>
      </c>
      <c r="F1480" s="1">
        <v>42492</v>
      </c>
      <c r="G1480" s="1">
        <v>42501</v>
      </c>
      <c r="H1480" t="s">
        <v>25</v>
      </c>
      <c r="I1480">
        <v>9</v>
      </c>
      <c r="J1480" t="s">
        <v>92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</v>
      </c>
      <c r="Q1480" t="s">
        <v>26</v>
      </c>
      <c r="R1480">
        <v>1</v>
      </c>
    </row>
    <row r="1481" spans="1:18">
      <c r="A1481">
        <v>12648400000000</v>
      </c>
      <c r="B1481" t="s">
        <v>18</v>
      </c>
      <c r="C1481">
        <v>31</v>
      </c>
      <c r="D1481" t="s">
        <v>37</v>
      </c>
      <c r="E1481" t="s">
        <v>51</v>
      </c>
      <c r="F1481" s="1">
        <v>42492</v>
      </c>
      <c r="G1481" s="1">
        <v>42493</v>
      </c>
      <c r="H1481" t="s">
        <v>41</v>
      </c>
      <c r="I1481">
        <v>1</v>
      </c>
      <c r="J1481" t="s">
        <v>109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23</v>
      </c>
      <c r="R1481">
        <v>0</v>
      </c>
    </row>
    <row r="1482" spans="1:18">
      <c r="A1482">
        <v>58421800000000</v>
      </c>
      <c r="B1482" t="s">
        <v>28</v>
      </c>
      <c r="C1482">
        <v>31</v>
      </c>
      <c r="D1482" t="s">
        <v>37</v>
      </c>
      <c r="E1482" t="s">
        <v>40</v>
      </c>
      <c r="F1482" s="1">
        <v>42492</v>
      </c>
      <c r="G1482" s="1">
        <v>42492</v>
      </c>
      <c r="H1482" t="s">
        <v>30</v>
      </c>
      <c r="I1482">
        <v>0</v>
      </c>
      <c r="J1482" t="s">
        <v>111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23</v>
      </c>
      <c r="R1482">
        <v>0</v>
      </c>
    </row>
    <row r="1483" spans="1:18">
      <c r="A1483">
        <v>9777930000000</v>
      </c>
      <c r="B1483" t="s">
        <v>18</v>
      </c>
      <c r="C1483">
        <v>32</v>
      </c>
      <c r="D1483" t="s">
        <v>37</v>
      </c>
      <c r="E1483" t="s">
        <v>98</v>
      </c>
      <c r="F1483" s="1">
        <v>42487</v>
      </c>
      <c r="G1483" s="1">
        <v>42503</v>
      </c>
      <c r="H1483" t="s">
        <v>21</v>
      </c>
      <c r="I1483">
        <v>16</v>
      </c>
      <c r="J1483" t="s">
        <v>77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23</v>
      </c>
      <c r="R1483">
        <v>0</v>
      </c>
    </row>
    <row r="1484" spans="1:18">
      <c r="A1484">
        <v>39674000000000</v>
      </c>
      <c r="B1484" t="s">
        <v>18</v>
      </c>
      <c r="C1484">
        <v>28</v>
      </c>
      <c r="D1484" t="s">
        <v>37</v>
      </c>
      <c r="E1484" t="s">
        <v>78</v>
      </c>
      <c r="F1484" s="1">
        <v>42492</v>
      </c>
      <c r="G1484" s="1">
        <v>42503</v>
      </c>
      <c r="H1484" t="s">
        <v>21</v>
      </c>
      <c r="I1484">
        <v>11</v>
      </c>
      <c r="J1484" t="s">
        <v>92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26</v>
      </c>
      <c r="R1484">
        <v>1</v>
      </c>
    </row>
    <row r="1485" spans="1:18">
      <c r="A1485">
        <v>45269300000000</v>
      </c>
      <c r="B1485" t="s">
        <v>28</v>
      </c>
      <c r="C1485">
        <v>30</v>
      </c>
      <c r="D1485" t="s">
        <v>37</v>
      </c>
      <c r="E1485" t="s">
        <v>66</v>
      </c>
      <c r="F1485" s="1">
        <v>42492</v>
      </c>
      <c r="G1485" s="1">
        <v>42499</v>
      </c>
      <c r="H1485" t="s">
        <v>30</v>
      </c>
      <c r="I1485">
        <v>7</v>
      </c>
      <c r="J1485" t="s">
        <v>107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23</v>
      </c>
      <c r="R1485">
        <v>0</v>
      </c>
    </row>
    <row r="1486" spans="1:18">
      <c r="A1486">
        <v>9851770000000</v>
      </c>
      <c r="B1486" t="s">
        <v>28</v>
      </c>
      <c r="C1486">
        <v>23</v>
      </c>
      <c r="D1486" t="s">
        <v>37</v>
      </c>
      <c r="E1486" t="s">
        <v>45</v>
      </c>
      <c r="F1486" s="1">
        <v>42492</v>
      </c>
      <c r="G1486" s="1">
        <v>42520</v>
      </c>
      <c r="H1486" t="s">
        <v>30</v>
      </c>
      <c r="I1486">
        <v>28</v>
      </c>
      <c r="J1486" t="s">
        <v>77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26</v>
      </c>
      <c r="R1486">
        <v>1</v>
      </c>
    </row>
    <row r="1487" spans="1:18">
      <c r="A1487">
        <v>4778130000000</v>
      </c>
      <c r="B1487" t="s">
        <v>28</v>
      </c>
      <c r="C1487">
        <v>19</v>
      </c>
      <c r="D1487" t="s">
        <v>37</v>
      </c>
      <c r="E1487" t="s">
        <v>78</v>
      </c>
      <c r="F1487" s="1">
        <v>42492</v>
      </c>
      <c r="G1487" s="1">
        <v>42492</v>
      </c>
      <c r="H1487" t="s">
        <v>30</v>
      </c>
      <c r="I1487">
        <v>0</v>
      </c>
      <c r="J1487" t="s">
        <v>111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23</v>
      </c>
      <c r="R1487">
        <v>0</v>
      </c>
    </row>
    <row r="1488" spans="1:18">
      <c r="A1488">
        <v>659837000000000</v>
      </c>
      <c r="B1488" t="s">
        <v>28</v>
      </c>
      <c r="C1488">
        <v>27</v>
      </c>
      <c r="D1488" t="s">
        <v>37</v>
      </c>
      <c r="E1488" t="s">
        <v>51</v>
      </c>
      <c r="F1488" s="1">
        <v>42492</v>
      </c>
      <c r="G1488" s="1">
        <v>42492</v>
      </c>
      <c r="H1488" t="s">
        <v>30</v>
      </c>
      <c r="I1488">
        <v>0</v>
      </c>
      <c r="J1488" t="s">
        <v>111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23</v>
      </c>
      <c r="R1488">
        <v>0</v>
      </c>
    </row>
    <row r="1489" spans="1:18">
      <c r="A1489">
        <v>84324300000000</v>
      </c>
      <c r="B1489" t="s">
        <v>18</v>
      </c>
      <c r="C1489">
        <v>28</v>
      </c>
      <c r="D1489" t="s">
        <v>37</v>
      </c>
      <c r="E1489" t="s">
        <v>72</v>
      </c>
      <c r="F1489" s="1">
        <v>42487</v>
      </c>
      <c r="G1489" s="1">
        <v>42523</v>
      </c>
      <c r="H1489" t="s">
        <v>33</v>
      </c>
      <c r="I1489">
        <v>36</v>
      </c>
      <c r="J1489" t="s">
        <v>22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23</v>
      </c>
      <c r="R1489">
        <v>0</v>
      </c>
    </row>
    <row r="1490" spans="1:18">
      <c r="A1490">
        <v>151111000000</v>
      </c>
      <c r="B1490" t="s">
        <v>18</v>
      </c>
      <c r="C1490">
        <v>22</v>
      </c>
      <c r="D1490" t="s">
        <v>37</v>
      </c>
      <c r="E1490" t="s">
        <v>57</v>
      </c>
      <c r="F1490" s="1">
        <v>42492</v>
      </c>
      <c r="G1490" s="1">
        <v>42492</v>
      </c>
      <c r="H1490" t="s">
        <v>30</v>
      </c>
      <c r="I1490">
        <v>0</v>
      </c>
      <c r="J1490" t="s">
        <v>111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23</v>
      </c>
      <c r="R1490">
        <v>0</v>
      </c>
    </row>
    <row r="1491" spans="1:18">
      <c r="A1491">
        <v>98779700000000</v>
      </c>
      <c r="B1491" t="s">
        <v>18</v>
      </c>
      <c r="C1491">
        <v>31</v>
      </c>
      <c r="D1491" t="s">
        <v>37</v>
      </c>
      <c r="E1491" t="s">
        <v>106</v>
      </c>
      <c r="F1491" s="1">
        <v>42492</v>
      </c>
      <c r="G1491" s="1">
        <v>42506</v>
      </c>
      <c r="H1491" t="s">
        <v>30</v>
      </c>
      <c r="I1491">
        <v>14</v>
      </c>
      <c r="J1491" t="s">
        <v>92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23</v>
      </c>
      <c r="R1491">
        <v>0</v>
      </c>
    </row>
    <row r="1492" spans="1:18">
      <c r="A1492">
        <v>3664860000000</v>
      </c>
      <c r="B1492" t="s">
        <v>18</v>
      </c>
      <c r="C1492">
        <v>20</v>
      </c>
      <c r="D1492" t="s">
        <v>37</v>
      </c>
      <c r="E1492" t="s">
        <v>34</v>
      </c>
      <c r="F1492" s="1">
        <v>42492</v>
      </c>
      <c r="G1492" s="1">
        <v>42494</v>
      </c>
      <c r="H1492" t="s">
        <v>25</v>
      </c>
      <c r="I1492">
        <v>2</v>
      </c>
      <c r="J1492" t="s">
        <v>109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23</v>
      </c>
      <c r="R1492">
        <v>0</v>
      </c>
    </row>
    <row r="1493" spans="1:18">
      <c r="A1493">
        <v>879847000000</v>
      </c>
      <c r="B1493" t="s">
        <v>18</v>
      </c>
      <c r="C1493">
        <v>22</v>
      </c>
      <c r="D1493" t="s">
        <v>37</v>
      </c>
      <c r="E1493" t="s">
        <v>39</v>
      </c>
      <c r="F1493" s="1">
        <v>42492</v>
      </c>
      <c r="G1493" s="1">
        <v>42501</v>
      </c>
      <c r="H1493" t="s">
        <v>25</v>
      </c>
      <c r="I1493">
        <v>9</v>
      </c>
      <c r="J1493" t="s">
        <v>92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1</v>
      </c>
      <c r="Q1493" t="s">
        <v>26</v>
      </c>
      <c r="R1493">
        <v>1</v>
      </c>
    </row>
    <row r="1494" spans="1:18">
      <c r="A1494">
        <v>118991000000000</v>
      </c>
      <c r="B1494" t="s">
        <v>18</v>
      </c>
      <c r="C1494">
        <v>21</v>
      </c>
      <c r="D1494" t="s">
        <v>37</v>
      </c>
      <c r="E1494" t="s">
        <v>40</v>
      </c>
      <c r="F1494" s="1">
        <v>42492</v>
      </c>
      <c r="G1494" s="1">
        <v>42524</v>
      </c>
      <c r="H1494" t="s">
        <v>21</v>
      </c>
      <c r="I1494">
        <v>32</v>
      </c>
      <c r="J1494" t="s">
        <v>22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</v>
      </c>
      <c r="Q1494" t="s">
        <v>26</v>
      </c>
      <c r="R1494">
        <v>1</v>
      </c>
    </row>
    <row r="1495" spans="1:18">
      <c r="A1495">
        <v>55276200000000</v>
      </c>
      <c r="B1495" t="s">
        <v>18</v>
      </c>
      <c r="C1495">
        <v>34</v>
      </c>
      <c r="D1495" t="s">
        <v>37</v>
      </c>
      <c r="E1495" t="s">
        <v>44</v>
      </c>
      <c r="F1495" s="1">
        <v>42492</v>
      </c>
      <c r="G1495" s="1">
        <v>42499</v>
      </c>
      <c r="H1495" t="s">
        <v>30</v>
      </c>
      <c r="I1495">
        <v>7</v>
      </c>
      <c r="J1495" t="s">
        <v>107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26</v>
      </c>
      <c r="R1495">
        <v>1</v>
      </c>
    </row>
    <row r="1496" spans="1:18">
      <c r="A1496">
        <v>21469900000000</v>
      </c>
      <c r="B1496" t="s">
        <v>18</v>
      </c>
      <c r="C1496">
        <v>21</v>
      </c>
      <c r="D1496" t="s">
        <v>37</v>
      </c>
      <c r="E1496" t="s">
        <v>72</v>
      </c>
      <c r="F1496" s="1">
        <v>42487</v>
      </c>
      <c r="G1496" s="1">
        <v>42492</v>
      </c>
      <c r="H1496" t="s">
        <v>30</v>
      </c>
      <c r="I1496">
        <v>5</v>
      </c>
      <c r="J1496" t="s">
        <v>107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1</v>
      </c>
      <c r="Q1496" t="s">
        <v>23</v>
      </c>
      <c r="R1496">
        <v>0</v>
      </c>
    </row>
    <row r="1497" spans="1:18">
      <c r="A1497">
        <v>96436900000000</v>
      </c>
      <c r="B1497" t="s">
        <v>18</v>
      </c>
      <c r="C1497">
        <v>27</v>
      </c>
      <c r="D1497" t="s">
        <v>37</v>
      </c>
      <c r="E1497" t="s">
        <v>20</v>
      </c>
      <c r="F1497" s="1">
        <v>42487</v>
      </c>
      <c r="G1497" s="1">
        <v>42489</v>
      </c>
      <c r="H1497" t="s">
        <v>21</v>
      </c>
      <c r="I1497">
        <v>2</v>
      </c>
      <c r="J1497" t="s">
        <v>109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23</v>
      </c>
      <c r="R1497">
        <v>0</v>
      </c>
    </row>
    <row r="1498" spans="1:18">
      <c r="A1498">
        <v>191430000000000</v>
      </c>
      <c r="B1498" t="s">
        <v>28</v>
      </c>
      <c r="C1498">
        <v>34</v>
      </c>
      <c r="D1498" t="s">
        <v>37</v>
      </c>
      <c r="E1498" t="s">
        <v>68</v>
      </c>
      <c r="F1498" s="1">
        <v>42488</v>
      </c>
      <c r="G1498" s="1">
        <v>42492</v>
      </c>
      <c r="H1498" t="s">
        <v>30</v>
      </c>
      <c r="I1498">
        <v>4</v>
      </c>
      <c r="J1498" t="s">
        <v>107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1</v>
      </c>
      <c r="Q1498" t="s">
        <v>23</v>
      </c>
      <c r="R1498">
        <v>0</v>
      </c>
    </row>
    <row r="1499" spans="1:18">
      <c r="A1499">
        <v>954598000000000</v>
      </c>
      <c r="B1499" t="s">
        <v>28</v>
      </c>
      <c r="C1499">
        <v>29</v>
      </c>
      <c r="D1499" t="s">
        <v>37</v>
      </c>
      <c r="E1499" t="s">
        <v>39</v>
      </c>
      <c r="F1499" s="1">
        <v>42492</v>
      </c>
      <c r="G1499" s="1">
        <v>42492</v>
      </c>
      <c r="H1499" t="s">
        <v>30</v>
      </c>
      <c r="I1499">
        <v>0</v>
      </c>
      <c r="J1499" t="s">
        <v>111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23</v>
      </c>
      <c r="R1499">
        <v>0</v>
      </c>
    </row>
    <row r="1500" spans="1:18">
      <c r="A1500">
        <v>55925500000000</v>
      </c>
      <c r="B1500" t="s">
        <v>28</v>
      </c>
      <c r="C1500">
        <v>18</v>
      </c>
      <c r="D1500" t="s">
        <v>37</v>
      </c>
      <c r="E1500" t="s">
        <v>38</v>
      </c>
      <c r="F1500" s="1">
        <v>42492</v>
      </c>
      <c r="G1500" s="1">
        <v>42492</v>
      </c>
      <c r="H1500" t="s">
        <v>30</v>
      </c>
      <c r="I1500">
        <v>0</v>
      </c>
      <c r="J1500" t="s">
        <v>111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23</v>
      </c>
      <c r="R1500">
        <v>0</v>
      </c>
    </row>
    <row r="1501" spans="1:18">
      <c r="A1501">
        <v>9465220000000</v>
      </c>
      <c r="B1501" t="s">
        <v>28</v>
      </c>
      <c r="C1501">
        <v>27</v>
      </c>
      <c r="D1501" t="s">
        <v>37</v>
      </c>
      <c r="E1501" t="s">
        <v>84</v>
      </c>
      <c r="F1501" s="1">
        <v>42488</v>
      </c>
      <c r="G1501" s="1">
        <v>42492</v>
      </c>
      <c r="H1501" t="s">
        <v>30</v>
      </c>
      <c r="I1501">
        <v>4</v>
      </c>
      <c r="J1501" t="s">
        <v>107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</v>
      </c>
      <c r="Q1501" t="s">
        <v>23</v>
      </c>
      <c r="R1501">
        <v>0</v>
      </c>
    </row>
    <row r="1502" spans="1:18">
      <c r="A1502">
        <v>58621700000000</v>
      </c>
      <c r="B1502" t="s">
        <v>18</v>
      </c>
      <c r="C1502">
        <v>26</v>
      </c>
      <c r="D1502" t="s">
        <v>37</v>
      </c>
      <c r="E1502" t="s">
        <v>44</v>
      </c>
      <c r="F1502" s="1">
        <v>42492</v>
      </c>
      <c r="G1502" s="1">
        <v>42492</v>
      </c>
      <c r="H1502" t="s">
        <v>30</v>
      </c>
      <c r="I1502">
        <v>0</v>
      </c>
      <c r="J1502" t="s">
        <v>111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23</v>
      </c>
      <c r="R1502">
        <v>0</v>
      </c>
    </row>
    <row r="1503" spans="1:18">
      <c r="A1503">
        <v>83297400000000</v>
      </c>
      <c r="B1503" t="s">
        <v>18</v>
      </c>
      <c r="C1503">
        <v>18</v>
      </c>
      <c r="D1503" t="s">
        <v>37</v>
      </c>
      <c r="E1503" t="s">
        <v>65</v>
      </c>
      <c r="F1503" s="1">
        <v>42492</v>
      </c>
      <c r="G1503" s="1">
        <v>42510</v>
      </c>
      <c r="H1503" t="s">
        <v>21</v>
      </c>
      <c r="I1503">
        <v>18</v>
      </c>
      <c r="J1503" t="s">
        <v>77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26</v>
      </c>
      <c r="R1503">
        <v>1</v>
      </c>
    </row>
    <row r="1504" spans="1:18">
      <c r="A1504">
        <v>462221000000000</v>
      </c>
      <c r="B1504" t="s">
        <v>18</v>
      </c>
      <c r="C1504">
        <v>30</v>
      </c>
      <c r="D1504" t="s">
        <v>37</v>
      </c>
      <c r="E1504" t="s">
        <v>52</v>
      </c>
      <c r="F1504" s="1">
        <v>42492</v>
      </c>
      <c r="G1504" s="1">
        <v>42499</v>
      </c>
      <c r="H1504" t="s">
        <v>30</v>
      </c>
      <c r="I1504">
        <v>7</v>
      </c>
      <c r="J1504" t="s">
        <v>107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23</v>
      </c>
      <c r="R1504">
        <v>0</v>
      </c>
    </row>
    <row r="1505" spans="1:18">
      <c r="A1505">
        <v>69979500000000</v>
      </c>
      <c r="B1505" t="s">
        <v>18</v>
      </c>
      <c r="C1505">
        <v>28</v>
      </c>
      <c r="D1505" t="s">
        <v>37</v>
      </c>
      <c r="E1505" t="s">
        <v>69</v>
      </c>
      <c r="F1505" s="1">
        <v>42492</v>
      </c>
      <c r="G1505" s="1">
        <v>42492</v>
      </c>
      <c r="H1505" t="s">
        <v>30</v>
      </c>
      <c r="I1505">
        <v>0</v>
      </c>
      <c r="J1505" t="s">
        <v>111</v>
      </c>
      <c r="K1505">
        <v>0</v>
      </c>
      <c r="L1505">
        <v>1</v>
      </c>
      <c r="M1505">
        <v>0</v>
      </c>
      <c r="N1505">
        <v>0</v>
      </c>
      <c r="O1505">
        <v>0</v>
      </c>
      <c r="P1505">
        <v>0</v>
      </c>
      <c r="Q1505" t="s">
        <v>23</v>
      </c>
      <c r="R1505">
        <v>0</v>
      </c>
    </row>
    <row r="1506" spans="1:18">
      <c r="A1506">
        <v>498419000000</v>
      </c>
      <c r="B1506" t="s">
        <v>18</v>
      </c>
      <c r="C1506">
        <v>26</v>
      </c>
      <c r="D1506" t="s">
        <v>37</v>
      </c>
      <c r="E1506" t="s">
        <v>84</v>
      </c>
      <c r="F1506" s="1">
        <v>42492</v>
      </c>
      <c r="G1506" s="1">
        <v>42521</v>
      </c>
      <c r="H1506" t="s">
        <v>41</v>
      </c>
      <c r="I1506">
        <v>29</v>
      </c>
      <c r="J1506" t="s">
        <v>77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1</v>
      </c>
      <c r="Q1506" t="s">
        <v>23</v>
      </c>
      <c r="R1506">
        <v>0</v>
      </c>
    </row>
    <row r="1507" spans="1:18">
      <c r="A1507">
        <v>24545900000000</v>
      </c>
      <c r="B1507" t="s">
        <v>18</v>
      </c>
      <c r="C1507">
        <v>20</v>
      </c>
      <c r="D1507" t="s">
        <v>37</v>
      </c>
      <c r="E1507" t="s">
        <v>61</v>
      </c>
      <c r="F1507" s="1">
        <v>42492</v>
      </c>
      <c r="G1507" s="1">
        <v>42492</v>
      </c>
      <c r="H1507" t="s">
        <v>30</v>
      </c>
      <c r="I1507">
        <v>0</v>
      </c>
      <c r="J1507" t="s">
        <v>111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23</v>
      </c>
      <c r="R1507">
        <v>0</v>
      </c>
    </row>
    <row r="1508" spans="1:18">
      <c r="A1508">
        <v>6122220000000</v>
      </c>
      <c r="B1508" t="s">
        <v>18</v>
      </c>
      <c r="C1508">
        <v>19</v>
      </c>
      <c r="D1508" t="s">
        <v>37</v>
      </c>
      <c r="E1508" t="s">
        <v>57</v>
      </c>
      <c r="F1508" s="1">
        <v>42492</v>
      </c>
      <c r="G1508" s="1">
        <v>42495</v>
      </c>
      <c r="H1508" t="s">
        <v>33</v>
      </c>
      <c r="I1508">
        <v>3</v>
      </c>
      <c r="J1508" t="s">
        <v>109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23</v>
      </c>
      <c r="R1508">
        <v>0</v>
      </c>
    </row>
    <row r="1509" spans="1:18">
      <c r="A1509">
        <v>23378400000000</v>
      </c>
      <c r="B1509" t="s">
        <v>28</v>
      </c>
      <c r="C1509">
        <v>27</v>
      </c>
      <c r="D1509" t="s">
        <v>37</v>
      </c>
      <c r="E1509" t="s">
        <v>84</v>
      </c>
      <c r="F1509" s="1">
        <v>42488</v>
      </c>
      <c r="G1509" s="1">
        <v>42496</v>
      </c>
      <c r="H1509" t="s">
        <v>21</v>
      </c>
      <c r="I1509">
        <v>8</v>
      </c>
      <c r="J1509" t="s">
        <v>92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1</v>
      </c>
      <c r="Q1509" t="s">
        <v>23</v>
      </c>
      <c r="R1509">
        <v>0</v>
      </c>
    </row>
    <row r="1510" spans="1:18">
      <c r="A1510">
        <v>552332000000000</v>
      </c>
      <c r="B1510" t="s">
        <v>28</v>
      </c>
      <c r="C1510">
        <v>32</v>
      </c>
      <c r="D1510" t="s">
        <v>37</v>
      </c>
      <c r="E1510" t="s">
        <v>32</v>
      </c>
      <c r="F1510" s="1">
        <v>42492</v>
      </c>
      <c r="G1510" s="1">
        <v>42492</v>
      </c>
      <c r="H1510" t="s">
        <v>30</v>
      </c>
      <c r="I1510">
        <v>0</v>
      </c>
      <c r="J1510" t="s">
        <v>111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23</v>
      </c>
      <c r="R1510">
        <v>0</v>
      </c>
    </row>
    <row r="1511" spans="1:18">
      <c r="A1511">
        <v>9185960000000</v>
      </c>
      <c r="B1511" t="s">
        <v>18</v>
      </c>
      <c r="C1511">
        <v>32</v>
      </c>
      <c r="D1511" t="s">
        <v>37</v>
      </c>
      <c r="E1511" t="s">
        <v>75</v>
      </c>
      <c r="F1511" s="1">
        <v>42492</v>
      </c>
      <c r="G1511" s="1">
        <v>42492</v>
      </c>
      <c r="H1511" t="s">
        <v>30</v>
      </c>
      <c r="I1511">
        <v>0</v>
      </c>
      <c r="J1511" t="s">
        <v>111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23</v>
      </c>
      <c r="R1511">
        <v>0</v>
      </c>
    </row>
    <row r="1512" spans="1:18">
      <c r="A1512">
        <v>752283000000000</v>
      </c>
      <c r="B1512" t="s">
        <v>18</v>
      </c>
      <c r="C1512">
        <v>29</v>
      </c>
      <c r="D1512" t="s">
        <v>37</v>
      </c>
      <c r="E1512" t="s">
        <v>69</v>
      </c>
      <c r="F1512" s="1">
        <v>42488</v>
      </c>
      <c r="G1512" s="1">
        <v>42496</v>
      </c>
      <c r="H1512" t="s">
        <v>21</v>
      </c>
      <c r="I1512">
        <v>8</v>
      </c>
      <c r="J1512" t="s">
        <v>92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1</v>
      </c>
      <c r="Q1512" t="s">
        <v>26</v>
      </c>
      <c r="R1512">
        <v>1</v>
      </c>
    </row>
    <row r="1513" spans="1:18">
      <c r="A1513">
        <v>839797000000</v>
      </c>
      <c r="B1513" t="s">
        <v>18</v>
      </c>
      <c r="C1513">
        <v>27</v>
      </c>
      <c r="D1513" t="s">
        <v>37</v>
      </c>
      <c r="E1513" t="s">
        <v>84</v>
      </c>
      <c r="F1513" s="1">
        <v>42492</v>
      </c>
      <c r="G1513" s="1">
        <v>42521</v>
      </c>
      <c r="H1513" t="s">
        <v>41</v>
      </c>
      <c r="I1513">
        <v>29</v>
      </c>
      <c r="J1513" t="s">
        <v>77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1</v>
      </c>
      <c r="Q1513" t="s">
        <v>23</v>
      </c>
      <c r="R1513">
        <v>0</v>
      </c>
    </row>
    <row r="1514" spans="1:18">
      <c r="A1514">
        <v>7334250000000</v>
      </c>
      <c r="B1514" t="s">
        <v>18</v>
      </c>
      <c r="C1514">
        <v>32</v>
      </c>
      <c r="D1514" t="s">
        <v>37</v>
      </c>
      <c r="E1514" t="s">
        <v>40</v>
      </c>
      <c r="F1514" s="1">
        <v>42492</v>
      </c>
      <c r="G1514" s="1">
        <v>42521</v>
      </c>
      <c r="H1514" t="s">
        <v>41</v>
      </c>
      <c r="I1514">
        <v>29</v>
      </c>
      <c r="J1514" t="s">
        <v>77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1</v>
      </c>
      <c r="Q1514" t="s">
        <v>23</v>
      </c>
      <c r="R1514">
        <v>0</v>
      </c>
    </row>
    <row r="1515" spans="1:18">
      <c r="A1515">
        <v>364297000000</v>
      </c>
      <c r="B1515" t="s">
        <v>18</v>
      </c>
      <c r="C1515">
        <v>18</v>
      </c>
      <c r="D1515" t="s">
        <v>37</v>
      </c>
      <c r="E1515" t="s">
        <v>44</v>
      </c>
      <c r="F1515" s="1">
        <v>42492</v>
      </c>
      <c r="G1515" s="1">
        <v>42492</v>
      </c>
      <c r="H1515" t="s">
        <v>30</v>
      </c>
      <c r="I1515">
        <v>0</v>
      </c>
      <c r="J1515" t="s">
        <v>111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23</v>
      </c>
      <c r="R1515">
        <v>0</v>
      </c>
    </row>
    <row r="1516" spans="1:18">
      <c r="A1516">
        <v>795748000000000</v>
      </c>
      <c r="B1516" t="s">
        <v>28</v>
      </c>
      <c r="C1516">
        <v>22</v>
      </c>
      <c r="D1516" t="s">
        <v>37</v>
      </c>
      <c r="E1516" t="s">
        <v>56</v>
      </c>
      <c r="F1516" s="1">
        <v>42492</v>
      </c>
      <c r="G1516" s="1">
        <v>42506</v>
      </c>
      <c r="H1516" t="s">
        <v>30</v>
      </c>
      <c r="I1516">
        <v>14</v>
      </c>
      <c r="J1516" t="s">
        <v>92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23</v>
      </c>
      <c r="R1516">
        <v>0</v>
      </c>
    </row>
    <row r="1517" spans="1:18">
      <c r="A1517">
        <v>3787650000000</v>
      </c>
      <c r="B1517" t="s">
        <v>28</v>
      </c>
      <c r="C1517">
        <v>24</v>
      </c>
      <c r="D1517" t="s">
        <v>37</v>
      </c>
      <c r="E1517" t="s">
        <v>105</v>
      </c>
      <c r="F1517" s="1">
        <v>42488</v>
      </c>
      <c r="G1517" s="1">
        <v>42508</v>
      </c>
      <c r="H1517" t="s">
        <v>25</v>
      </c>
      <c r="I1517">
        <v>20</v>
      </c>
      <c r="J1517" t="s">
        <v>77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26</v>
      </c>
      <c r="R1517">
        <v>1</v>
      </c>
    </row>
    <row r="1518" spans="1:18">
      <c r="A1518">
        <v>19199000000000</v>
      </c>
      <c r="B1518" t="s">
        <v>18</v>
      </c>
      <c r="C1518">
        <v>29</v>
      </c>
      <c r="D1518" t="s">
        <v>37</v>
      </c>
      <c r="E1518" t="s">
        <v>54</v>
      </c>
      <c r="F1518" s="1">
        <v>42492</v>
      </c>
      <c r="G1518" s="1">
        <v>42496</v>
      </c>
      <c r="H1518" t="s">
        <v>21</v>
      </c>
      <c r="I1518">
        <v>4</v>
      </c>
      <c r="J1518" t="s">
        <v>107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1</v>
      </c>
      <c r="Q1518" t="s">
        <v>23</v>
      </c>
      <c r="R1518">
        <v>0</v>
      </c>
    </row>
    <row r="1519" spans="1:18">
      <c r="A1519">
        <v>31617800000000</v>
      </c>
      <c r="B1519" t="s">
        <v>18</v>
      </c>
      <c r="C1519">
        <v>25</v>
      </c>
      <c r="D1519" t="s">
        <v>37</v>
      </c>
      <c r="E1519" t="s">
        <v>36</v>
      </c>
      <c r="F1519" s="1">
        <v>42492</v>
      </c>
      <c r="G1519" s="1">
        <v>42492</v>
      </c>
      <c r="H1519" t="s">
        <v>30</v>
      </c>
      <c r="I1519">
        <v>0</v>
      </c>
      <c r="J1519" t="s">
        <v>111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23</v>
      </c>
      <c r="R1519">
        <v>0</v>
      </c>
    </row>
    <row r="1520" spans="1:18">
      <c r="A1520">
        <v>95541400000000</v>
      </c>
      <c r="B1520" t="s">
        <v>18</v>
      </c>
      <c r="C1520">
        <v>31</v>
      </c>
      <c r="D1520" t="s">
        <v>37</v>
      </c>
      <c r="E1520" t="s">
        <v>72</v>
      </c>
      <c r="F1520" s="1">
        <v>42492</v>
      </c>
      <c r="G1520" s="1">
        <v>42494</v>
      </c>
      <c r="H1520" t="s">
        <v>25</v>
      </c>
      <c r="I1520">
        <v>2</v>
      </c>
      <c r="J1520" t="s">
        <v>109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26</v>
      </c>
      <c r="R1520">
        <v>1</v>
      </c>
    </row>
    <row r="1521" spans="1:18">
      <c r="A1521">
        <v>1758980000000</v>
      </c>
      <c r="B1521" t="s">
        <v>28</v>
      </c>
      <c r="C1521">
        <v>32</v>
      </c>
      <c r="D1521" t="s">
        <v>37</v>
      </c>
      <c r="E1521" t="s">
        <v>52</v>
      </c>
      <c r="F1521" s="1">
        <v>42492</v>
      </c>
      <c r="G1521" s="1">
        <v>42492</v>
      </c>
      <c r="H1521" t="s">
        <v>30</v>
      </c>
      <c r="I1521">
        <v>0</v>
      </c>
      <c r="J1521" t="s">
        <v>111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26</v>
      </c>
      <c r="R1521">
        <v>1</v>
      </c>
    </row>
    <row r="1522" spans="1:18">
      <c r="A1522">
        <v>1334960000000</v>
      </c>
      <c r="B1522" t="s">
        <v>18</v>
      </c>
      <c r="C1522">
        <v>33</v>
      </c>
      <c r="D1522" t="s">
        <v>37</v>
      </c>
      <c r="E1522" t="s">
        <v>72</v>
      </c>
      <c r="F1522" s="1">
        <v>42488</v>
      </c>
      <c r="G1522" s="1">
        <v>42502</v>
      </c>
      <c r="H1522" t="s">
        <v>33</v>
      </c>
      <c r="I1522">
        <v>14</v>
      </c>
      <c r="J1522" t="s">
        <v>92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1</v>
      </c>
      <c r="Q1522" t="s">
        <v>26</v>
      </c>
      <c r="R1522">
        <v>1</v>
      </c>
    </row>
    <row r="1523" spans="1:18">
      <c r="A1523">
        <v>74131100000000</v>
      </c>
      <c r="B1523" t="s">
        <v>28</v>
      </c>
      <c r="C1523">
        <v>29</v>
      </c>
      <c r="D1523" t="s">
        <v>37</v>
      </c>
      <c r="E1523" t="s">
        <v>55</v>
      </c>
      <c r="F1523" s="1">
        <v>42492</v>
      </c>
      <c r="G1523" s="1">
        <v>42492</v>
      </c>
      <c r="H1523" t="s">
        <v>30</v>
      </c>
      <c r="I1523">
        <v>0</v>
      </c>
      <c r="J1523" t="s">
        <v>111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23</v>
      </c>
      <c r="R1523">
        <v>0</v>
      </c>
    </row>
    <row r="1524" spans="1:18">
      <c r="A1524">
        <v>353918000000000</v>
      </c>
      <c r="B1524" t="s">
        <v>18</v>
      </c>
      <c r="C1524">
        <v>35</v>
      </c>
      <c r="D1524" t="s">
        <v>37</v>
      </c>
      <c r="E1524" t="s">
        <v>66</v>
      </c>
      <c r="F1524" s="1">
        <v>42492</v>
      </c>
      <c r="G1524" s="1">
        <v>42492</v>
      </c>
      <c r="H1524" t="s">
        <v>30</v>
      </c>
      <c r="I1524">
        <v>0</v>
      </c>
      <c r="J1524" t="s">
        <v>111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26</v>
      </c>
      <c r="R1524">
        <v>1</v>
      </c>
    </row>
    <row r="1525" spans="1:18">
      <c r="A1525">
        <v>35615400000000</v>
      </c>
      <c r="B1525" t="s">
        <v>18</v>
      </c>
      <c r="C1525">
        <v>31</v>
      </c>
      <c r="D1525" t="s">
        <v>37</v>
      </c>
      <c r="E1525" t="s">
        <v>84</v>
      </c>
      <c r="F1525" s="1">
        <v>42492</v>
      </c>
      <c r="G1525" s="1">
        <v>42492</v>
      </c>
      <c r="H1525" t="s">
        <v>30</v>
      </c>
      <c r="I1525">
        <v>0</v>
      </c>
      <c r="J1525" t="s">
        <v>111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23</v>
      </c>
      <c r="R1525">
        <v>0</v>
      </c>
    </row>
    <row r="1526" spans="1:18">
      <c r="A1526">
        <v>692272000000</v>
      </c>
      <c r="B1526" t="s">
        <v>18</v>
      </c>
      <c r="C1526">
        <v>22</v>
      </c>
      <c r="D1526" t="s">
        <v>37</v>
      </c>
      <c r="E1526" t="s">
        <v>56</v>
      </c>
      <c r="F1526" s="1">
        <v>42489</v>
      </c>
      <c r="G1526" s="1">
        <v>42506</v>
      </c>
      <c r="H1526" t="s">
        <v>30</v>
      </c>
      <c r="I1526">
        <v>17</v>
      </c>
      <c r="J1526" t="s">
        <v>77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23</v>
      </c>
      <c r="R1526">
        <v>0</v>
      </c>
    </row>
    <row r="1527" spans="1:18">
      <c r="A1527">
        <v>83919700000000</v>
      </c>
      <c r="B1527" t="s">
        <v>28</v>
      </c>
      <c r="C1527">
        <v>27</v>
      </c>
      <c r="D1527" t="s">
        <v>37</v>
      </c>
      <c r="E1527" t="s">
        <v>68</v>
      </c>
      <c r="F1527" s="1">
        <v>42489</v>
      </c>
      <c r="G1527" s="1">
        <v>42503</v>
      </c>
      <c r="H1527" t="s">
        <v>21</v>
      </c>
      <c r="I1527">
        <v>14</v>
      </c>
      <c r="J1527" t="s">
        <v>92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26</v>
      </c>
      <c r="R1527">
        <v>1</v>
      </c>
    </row>
    <row r="1528" spans="1:18">
      <c r="A1528">
        <v>22381400000000</v>
      </c>
      <c r="B1528" t="s">
        <v>18</v>
      </c>
      <c r="C1528">
        <v>24</v>
      </c>
      <c r="D1528" t="s">
        <v>37</v>
      </c>
      <c r="E1528" t="s">
        <v>44</v>
      </c>
      <c r="F1528" s="1">
        <v>42488</v>
      </c>
      <c r="G1528" s="1">
        <v>42500</v>
      </c>
      <c r="H1528" t="s">
        <v>41</v>
      </c>
      <c r="I1528">
        <v>12</v>
      </c>
      <c r="J1528" t="s">
        <v>92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1</v>
      </c>
      <c r="Q1528" t="s">
        <v>23</v>
      </c>
      <c r="R1528">
        <v>0</v>
      </c>
    </row>
    <row r="1529" spans="1:18">
      <c r="A1529">
        <v>379218000000</v>
      </c>
      <c r="B1529" t="s">
        <v>18</v>
      </c>
      <c r="C1529">
        <v>20</v>
      </c>
      <c r="D1529" t="s">
        <v>37</v>
      </c>
      <c r="E1529" t="s">
        <v>29</v>
      </c>
      <c r="F1529" s="1">
        <v>42488</v>
      </c>
      <c r="G1529" s="1">
        <v>42510</v>
      </c>
      <c r="H1529" t="s">
        <v>21</v>
      </c>
      <c r="I1529">
        <v>22</v>
      </c>
      <c r="J1529" t="s">
        <v>77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26</v>
      </c>
      <c r="R1529">
        <v>1</v>
      </c>
    </row>
    <row r="1530" spans="1:18">
      <c r="A1530">
        <v>17896000000000</v>
      </c>
      <c r="B1530" t="s">
        <v>28</v>
      </c>
      <c r="C1530">
        <v>19</v>
      </c>
      <c r="D1530" t="s">
        <v>37</v>
      </c>
      <c r="E1530" t="s">
        <v>73</v>
      </c>
      <c r="F1530" s="1">
        <v>42488</v>
      </c>
      <c r="G1530" s="1">
        <v>42522</v>
      </c>
      <c r="H1530" t="s">
        <v>25</v>
      </c>
      <c r="I1530">
        <v>34</v>
      </c>
      <c r="J1530" t="s">
        <v>22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26</v>
      </c>
      <c r="R1530">
        <v>1</v>
      </c>
    </row>
    <row r="1531" spans="1:18">
      <c r="A1531">
        <v>99637837716</v>
      </c>
      <c r="B1531" t="s">
        <v>18</v>
      </c>
      <c r="C1531">
        <v>31</v>
      </c>
      <c r="D1531" t="s">
        <v>37</v>
      </c>
      <c r="E1531" t="s">
        <v>44</v>
      </c>
      <c r="F1531" s="1">
        <v>42489</v>
      </c>
      <c r="G1531" s="1">
        <v>42492</v>
      </c>
      <c r="H1531" t="s">
        <v>30</v>
      </c>
      <c r="I1531">
        <v>3</v>
      </c>
      <c r="J1531" t="s">
        <v>109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26</v>
      </c>
      <c r="R1531">
        <v>1</v>
      </c>
    </row>
    <row r="1532" spans="1:18">
      <c r="A1532">
        <v>15769800000000</v>
      </c>
      <c r="B1532" t="s">
        <v>18</v>
      </c>
      <c r="C1532">
        <v>19</v>
      </c>
      <c r="D1532" t="s">
        <v>37</v>
      </c>
      <c r="E1532" t="s">
        <v>32</v>
      </c>
      <c r="F1532" s="1">
        <v>42489</v>
      </c>
      <c r="G1532" s="1">
        <v>42521</v>
      </c>
      <c r="H1532" t="s">
        <v>41</v>
      </c>
      <c r="I1532">
        <v>32</v>
      </c>
      <c r="J1532" t="s">
        <v>22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 t="s">
        <v>23</v>
      </c>
      <c r="R1532">
        <v>0</v>
      </c>
    </row>
    <row r="1533" spans="1:18">
      <c r="A1533">
        <v>7746650000000</v>
      </c>
      <c r="B1533" t="s">
        <v>28</v>
      </c>
      <c r="C1533">
        <v>25</v>
      </c>
      <c r="D1533" t="s">
        <v>37</v>
      </c>
      <c r="E1533" t="s">
        <v>89</v>
      </c>
      <c r="F1533" s="1">
        <v>42489</v>
      </c>
      <c r="G1533" s="1">
        <v>42489</v>
      </c>
      <c r="H1533" t="s">
        <v>21</v>
      </c>
      <c r="I1533">
        <v>0</v>
      </c>
      <c r="J1533" t="s">
        <v>111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23</v>
      </c>
      <c r="R1533">
        <v>0</v>
      </c>
    </row>
    <row r="1534" spans="1:18">
      <c r="A1534">
        <v>37924593967</v>
      </c>
      <c r="B1534" t="s">
        <v>18</v>
      </c>
      <c r="C1534">
        <v>26</v>
      </c>
      <c r="D1534" t="s">
        <v>37</v>
      </c>
      <c r="E1534" t="s">
        <v>67</v>
      </c>
      <c r="F1534" s="1">
        <v>42488</v>
      </c>
      <c r="G1534" s="1">
        <v>42510</v>
      </c>
      <c r="H1534" t="s">
        <v>21</v>
      </c>
      <c r="I1534">
        <v>22</v>
      </c>
      <c r="J1534" t="s">
        <v>77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26</v>
      </c>
      <c r="R1534">
        <v>1</v>
      </c>
    </row>
    <row r="1535" spans="1:18">
      <c r="A1535">
        <v>219327000000000</v>
      </c>
      <c r="B1535" t="s">
        <v>18</v>
      </c>
      <c r="C1535">
        <v>32</v>
      </c>
      <c r="D1535" t="s">
        <v>37</v>
      </c>
      <c r="E1535" t="s">
        <v>45</v>
      </c>
      <c r="F1535" s="1">
        <v>42489</v>
      </c>
      <c r="G1535" s="1">
        <v>42489</v>
      </c>
      <c r="H1535" t="s">
        <v>21</v>
      </c>
      <c r="I1535">
        <v>0</v>
      </c>
      <c r="J1535" t="s">
        <v>111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23</v>
      </c>
      <c r="R1535">
        <v>0</v>
      </c>
    </row>
    <row r="1536" spans="1:18">
      <c r="A1536">
        <v>733194000000</v>
      </c>
      <c r="B1536" t="s">
        <v>18</v>
      </c>
      <c r="C1536">
        <v>18</v>
      </c>
      <c r="D1536" t="s">
        <v>37</v>
      </c>
      <c r="E1536" t="s">
        <v>66</v>
      </c>
      <c r="F1536" s="1">
        <v>42489</v>
      </c>
      <c r="G1536" s="1">
        <v>42520</v>
      </c>
      <c r="H1536" t="s">
        <v>30</v>
      </c>
      <c r="I1536">
        <v>31</v>
      </c>
      <c r="J1536" t="s">
        <v>22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23</v>
      </c>
      <c r="R1536">
        <v>0</v>
      </c>
    </row>
    <row r="1537" spans="1:18">
      <c r="A1537">
        <v>45663400000000</v>
      </c>
      <c r="B1537" t="s">
        <v>28</v>
      </c>
      <c r="C1537">
        <v>35</v>
      </c>
      <c r="D1537" t="s">
        <v>37</v>
      </c>
      <c r="E1537" t="s">
        <v>20</v>
      </c>
      <c r="F1537" s="1">
        <v>42488</v>
      </c>
      <c r="G1537" s="1">
        <v>42521</v>
      </c>
      <c r="H1537" t="s">
        <v>41</v>
      </c>
      <c r="I1537">
        <v>33</v>
      </c>
      <c r="J1537" t="s">
        <v>22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23</v>
      </c>
      <c r="R1537">
        <v>0</v>
      </c>
    </row>
    <row r="1538" spans="1:18">
      <c r="A1538">
        <v>8177730000000</v>
      </c>
      <c r="B1538" t="s">
        <v>18</v>
      </c>
      <c r="C1538">
        <v>27</v>
      </c>
      <c r="D1538" t="s">
        <v>37</v>
      </c>
      <c r="E1538" t="s">
        <v>72</v>
      </c>
      <c r="F1538" s="1">
        <v>42489</v>
      </c>
      <c r="G1538" s="1">
        <v>42507</v>
      </c>
      <c r="H1538" t="s">
        <v>41</v>
      </c>
      <c r="I1538">
        <v>18</v>
      </c>
      <c r="J1538" t="s">
        <v>77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26</v>
      </c>
      <c r="R1538">
        <v>1</v>
      </c>
    </row>
    <row r="1539" spans="1:18">
      <c r="A1539">
        <v>2396470000000</v>
      </c>
      <c r="B1539" t="s">
        <v>18</v>
      </c>
      <c r="C1539">
        <v>20</v>
      </c>
      <c r="D1539" t="s">
        <v>37</v>
      </c>
      <c r="E1539" t="s">
        <v>50</v>
      </c>
      <c r="F1539" s="1">
        <v>42489</v>
      </c>
      <c r="G1539" s="1">
        <v>42500</v>
      </c>
      <c r="H1539" t="s">
        <v>41</v>
      </c>
      <c r="I1539">
        <v>11</v>
      </c>
      <c r="J1539" t="s">
        <v>92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</v>
      </c>
      <c r="Q1539" t="s">
        <v>26</v>
      </c>
      <c r="R1539">
        <v>1</v>
      </c>
    </row>
    <row r="1540" spans="1:18">
      <c r="A1540">
        <v>9639530000000</v>
      </c>
      <c r="B1540" t="s">
        <v>18</v>
      </c>
      <c r="C1540">
        <v>35</v>
      </c>
      <c r="D1540" t="s">
        <v>37</v>
      </c>
      <c r="E1540" t="s">
        <v>72</v>
      </c>
      <c r="F1540" s="1">
        <v>42488</v>
      </c>
      <c r="G1540" s="1">
        <v>42523</v>
      </c>
      <c r="H1540" t="s">
        <v>33</v>
      </c>
      <c r="I1540">
        <v>35</v>
      </c>
      <c r="J1540" t="s">
        <v>22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23</v>
      </c>
      <c r="R1540">
        <v>0</v>
      </c>
    </row>
    <row r="1541" spans="1:18">
      <c r="A1541">
        <v>811875000000000</v>
      </c>
      <c r="B1541" t="s">
        <v>18</v>
      </c>
      <c r="C1541">
        <v>19</v>
      </c>
      <c r="D1541" t="s">
        <v>37</v>
      </c>
      <c r="E1541" t="s">
        <v>36</v>
      </c>
      <c r="F1541" s="1">
        <v>42489</v>
      </c>
      <c r="G1541" s="1">
        <v>42489</v>
      </c>
      <c r="H1541" t="s">
        <v>21</v>
      </c>
      <c r="I1541">
        <v>0</v>
      </c>
      <c r="J1541" t="s">
        <v>111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23</v>
      </c>
      <c r="R1541">
        <v>0</v>
      </c>
    </row>
    <row r="1542" spans="1:18">
      <c r="A1542">
        <v>268352000000000</v>
      </c>
      <c r="B1542" t="s">
        <v>18</v>
      </c>
      <c r="C1542">
        <v>29</v>
      </c>
      <c r="D1542" t="s">
        <v>37</v>
      </c>
      <c r="E1542" t="s">
        <v>67</v>
      </c>
      <c r="F1542" s="1">
        <v>42489</v>
      </c>
      <c r="G1542" s="1">
        <v>42515</v>
      </c>
      <c r="H1542" t="s">
        <v>25</v>
      </c>
      <c r="I1542">
        <v>26</v>
      </c>
      <c r="J1542" t="s">
        <v>77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1</v>
      </c>
      <c r="Q1542" t="s">
        <v>23</v>
      </c>
      <c r="R1542">
        <v>0</v>
      </c>
    </row>
    <row r="1543" spans="1:18">
      <c r="A1543">
        <v>9800000000000</v>
      </c>
      <c r="B1543" t="s">
        <v>18</v>
      </c>
      <c r="C1543">
        <v>34</v>
      </c>
      <c r="D1543" t="s">
        <v>37</v>
      </c>
      <c r="E1543" t="s">
        <v>38</v>
      </c>
      <c r="F1543" s="1">
        <v>42489</v>
      </c>
      <c r="G1543" s="1">
        <v>42514</v>
      </c>
      <c r="H1543" t="s">
        <v>41</v>
      </c>
      <c r="I1543">
        <v>25</v>
      </c>
      <c r="J1543" t="s">
        <v>77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1</v>
      </c>
      <c r="Q1543" t="s">
        <v>23</v>
      </c>
      <c r="R1543">
        <v>0</v>
      </c>
    </row>
    <row r="1544" spans="1:18">
      <c r="A1544">
        <v>25488700000000</v>
      </c>
      <c r="B1544" t="s">
        <v>18</v>
      </c>
      <c r="C1544">
        <v>27</v>
      </c>
      <c r="D1544" t="s">
        <v>37</v>
      </c>
      <c r="E1544" t="s">
        <v>72</v>
      </c>
      <c r="F1544" s="1">
        <v>42489</v>
      </c>
      <c r="G1544" s="1">
        <v>42495</v>
      </c>
      <c r="H1544" t="s">
        <v>33</v>
      </c>
      <c r="I1544">
        <v>6</v>
      </c>
      <c r="J1544" t="s">
        <v>107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 t="s">
        <v>26</v>
      </c>
      <c r="R1544">
        <v>1</v>
      </c>
    </row>
    <row r="1545" spans="1:18">
      <c r="A1545">
        <v>791343000000000</v>
      </c>
      <c r="B1545" t="s">
        <v>18</v>
      </c>
      <c r="C1545">
        <v>29</v>
      </c>
      <c r="D1545" t="s">
        <v>37</v>
      </c>
      <c r="E1545" t="s">
        <v>32</v>
      </c>
      <c r="F1545" s="1">
        <v>42489</v>
      </c>
      <c r="G1545" s="1">
        <v>42489</v>
      </c>
      <c r="H1545" t="s">
        <v>21</v>
      </c>
      <c r="I1545">
        <v>0</v>
      </c>
      <c r="J1545" t="s">
        <v>111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23</v>
      </c>
      <c r="R1545">
        <v>0</v>
      </c>
    </row>
    <row r="1546" spans="1:18">
      <c r="A1546">
        <v>8247350000000</v>
      </c>
      <c r="B1546" t="s">
        <v>18</v>
      </c>
      <c r="C1546">
        <v>30</v>
      </c>
      <c r="D1546" t="s">
        <v>37</v>
      </c>
      <c r="E1546" t="s">
        <v>45</v>
      </c>
      <c r="F1546" s="1">
        <v>42489</v>
      </c>
      <c r="G1546" s="1">
        <v>42492</v>
      </c>
      <c r="H1546" t="s">
        <v>30</v>
      </c>
      <c r="I1546">
        <v>3</v>
      </c>
      <c r="J1546" t="s">
        <v>109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26</v>
      </c>
      <c r="R1546">
        <v>1</v>
      </c>
    </row>
    <row r="1547" spans="1:18">
      <c r="A1547">
        <v>5618960000000</v>
      </c>
      <c r="B1547" t="s">
        <v>18</v>
      </c>
      <c r="C1547">
        <v>31</v>
      </c>
      <c r="D1547" t="s">
        <v>37</v>
      </c>
      <c r="E1547" t="s">
        <v>48</v>
      </c>
      <c r="F1547" s="1">
        <v>42489</v>
      </c>
      <c r="G1547" s="1">
        <v>42492</v>
      </c>
      <c r="H1547" t="s">
        <v>30</v>
      </c>
      <c r="I1547">
        <v>3</v>
      </c>
      <c r="J1547" t="s">
        <v>109</v>
      </c>
      <c r="K1547">
        <v>1</v>
      </c>
      <c r="L1547">
        <v>0</v>
      </c>
      <c r="M1547">
        <v>0</v>
      </c>
      <c r="N1547">
        <v>0</v>
      </c>
      <c r="O1547">
        <v>0</v>
      </c>
      <c r="P1547">
        <v>1</v>
      </c>
      <c r="Q1547" t="s">
        <v>23</v>
      </c>
      <c r="R1547">
        <v>0</v>
      </c>
    </row>
    <row r="1548" spans="1:18">
      <c r="A1548">
        <v>135762000000000</v>
      </c>
      <c r="B1548" t="s">
        <v>28</v>
      </c>
      <c r="C1548">
        <v>32</v>
      </c>
      <c r="D1548" t="s">
        <v>37</v>
      </c>
      <c r="E1548" t="s">
        <v>40</v>
      </c>
      <c r="F1548" s="1">
        <v>42489</v>
      </c>
      <c r="G1548" s="1">
        <v>42514</v>
      </c>
      <c r="H1548" t="s">
        <v>41</v>
      </c>
      <c r="I1548">
        <v>25</v>
      </c>
      <c r="J1548" t="s">
        <v>77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1</v>
      </c>
      <c r="Q1548" t="s">
        <v>23</v>
      </c>
      <c r="R1548">
        <v>0</v>
      </c>
    </row>
    <row r="1549" spans="1:18">
      <c r="A1549">
        <v>25245200000000</v>
      </c>
      <c r="B1549" t="s">
        <v>18</v>
      </c>
      <c r="C1549">
        <v>31</v>
      </c>
      <c r="D1549" t="s">
        <v>37</v>
      </c>
      <c r="E1549" t="s">
        <v>50</v>
      </c>
      <c r="F1549" s="1">
        <v>42488</v>
      </c>
      <c r="G1549" s="1">
        <v>42495</v>
      </c>
      <c r="H1549" t="s">
        <v>33</v>
      </c>
      <c r="I1549">
        <v>7</v>
      </c>
      <c r="J1549" t="s">
        <v>107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</v>
      </c>
      <c r="Q1549" t="s">
        <v>26</v>
      </c>
      <c r="R1549">
        <v>1</v>
      </c>
    </row>
    <row r="1550" spans="1:18">
      <c r="A1550">
        <v>245552000000</v>
      </c>
      <c r="B1550" t="s">
        <v>18</v>
      </c>
      <c r="C1550">
        <v>27</v>
      </c>
      <c r="D1550" t="s">
        <v>37</v>
      </c>
      <c r="E1550" t="s">
        <v>61</v>
      </c>
      <c r="F1550" s="1">
        <v>42488</v>
      </c>
      <c r="G1550" s="1">
        <v>42500</v>
      </c>
      <c r="H1550" t="s">
        <v>41</v>
      </c>
      <c r="I1550">
        <v>12</v>
      </c>
      <c r="J1550" t="s">
        <v>92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1</v>
      </c>
      <c r="Q1550" t="s">
        <v>26</v>
      </c>
      <c r="R1550">
        <v>1</v>
      </c>
    </row>
    <row r="1551" spans="1:18">
      <c r="A1551">
        <v>3716910000000</v>
      </c>
      <c r="B1551" t="s">
        <v>18</v>
      </c>
      <c r="C1551">
        <v>32</v>
      </c>
      <c r="D1551" t="s">
        <v>37</v>
      </c>
      <c r="E1551" t="s">
        <v>61</v>
      </c>
      <c r="F1551" s="1">
        <v>42489</v>
      </c>
      <c r="G1551" s="1">
        <v>42494</v>
      </c>
      <c r="H1551" t="s">
        <v>25</v>
      </c>
      <c r="I1551">
        <v>5</v>
      </c>
      <c r="J1551" t="s">
        <v>107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1</v>
      </c>
      <c r="Q1551" t="s">
        <v>23</v>
      </c>
      <c r="R1551">
        <v>0</v>
      </c>
    </row>
    <row r="1552" spans="1:18">
      <c r="A1552">
        <v>623393000000</v>
      </c>
      <c r="B1552" t="s">
        <v>28</v>
      </c>
      <c r="C1552">
        <v>32</v>
      </c>
      <c r="D1552" t="s">
        <v>37</v>
      </c>
      <c r="E1552" t="s">
        <v>66</v>
      </c>
      <c r="F1552" s="1">
        <v>42489</v>
      </c>
      <c r="G1552" s="1">
        <v>42496</v>
      </c>
      <c r="H1552" t="s">
        <v>21</v>
      </c>
      <c r="I1552">
        <v>7</v>
      </c>
      <c r="J1552" t="s">
        <v>107</v>
      </c>
      <c r="K1552">
        <v>0</v>
      </c>
      <c r="L1552">
        <v>1</v>
      </c>
      <c r="M1552">
        <v>0</v>
      </c>
      <c r="N1552">
        <v>0</v>
      </c>
      <c r="O1552">
        <v>0</v>
      </c>
      <c r="P1552">
        <v>1</v>
      </c>
      <c r="Q1552" t="s">
        <v>23</v>
      </c>
      <c r="R1552">
        <v>0</v>
      </c>
    </row>
    <row r="1553" spans="1:18">
      <c r="A1553">
        <v>66293700000000</v>
      </c>
      <c r="B1553" t="s">
        <v>18</v>
      </c>
      <c r="C1553">
        <v>26</v>
      </c>
      <c r="D1553" t="s">
        <v>37</v>
      </c>
      <c r="E1553" t="s">
        <v>67</v>
      </c>
      <c r="F1553" s="1">
        <v>42489</v>
      </c>
      <c r="G1553" s="1">
        <v>42515</v>
      </c>
      <c r="H1553" t="s">
        <v>25</v>
      </c>
      <c r="I1553">
        <v>26</v>
      </c>
      <c r="J1553" t="s">
        <v>77</v>
      </c>
      <c r="K1553">
        <v>0</v>
      </c>
      <c r="L1553">
        <v>0</v>
      </c>
      <c r="M1553">
        <v>1</v>
      </c>
      <c r="N1553">
        <v>0</v>
      </c>
      <c r="O1553">
        <v>0</v>
      </c>
      <c r="P1553">
        <v>1</v>
      </c>
      <c r="Q1553" t="s">
        <v>26</v>
      </c>
      <c r="R1553">
        <v>1</v>
      </c>
    </row>
    <row r="1554" spans="1:18">
      <c r="A1554">
        <v>948820000000000</v>
      </c>
      <c r="B1554" t="s">
        <v>28</v>
      </c>
      <c r="C1554">
        <v>35</v>
      </c>
      <c r="D1554" t="s">
        <v>37</v>
      </c>
      <c r="E1554" t="s">
        <v>40</v>
      </c>
      <c r="F1554" s="1">
        <v>42489</v>
      </c>
      <c r="G1554" s="1">
        <v>42520</v>
      </c>
      <c r="H1554" t="s">
        <v>30</v>
      </c>
      <c r="I1554">
        <v>31</v>
      </c>
      <c r="J1554" t="s">
        <v>22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23</v>
      </c>
      <c r="R1554">
        <v>0</v>
      </c>
    </row>
    <row r="1555" spans="1:18">
      <c r="A1555">
        <v>653745000000</v>
      </c>
      <c r="B1555" t="s">
        <v>18</v>
      </c>
      <c r="C1555">
        <v>33</v>
      </c>
      <c r="D1555" t="s">
        <v>37</v>
      </c>
      <c r="E1555" t="s">
        <v>58</v>
      </c>
      <c r="F1555" s="1">
        <v>42488</v>
      </c>
      <c r="G1555" s="1">
        <v>42499</v>
      </c>
      <c r="H1555" t="s">
        <v>30</v>
      </c>
      <c r="I1555">
        <v>11</v>
      </c>
      <c r="J1555" t="s">
        <v>92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23</v>
      </c>
      <c r="R1555">
        <v>0</v>
      </c>
    </row>
    <row r="1556" spans="1:18">
      <c r="A1556">
        <v>24775900000000</v>
      </c>
      <c r="B1556" t="s">
        <v>18</v>
      </c>
      <c r="C1556">
        <v>32</v>
      </c>
      <c r="D1556" t="s">
        <v>37</v>
      </c>
      <c r="E1556" t="s">
        <v>51</v>
      </c>
      <c r="F1556" s="1">
        <v>42489</v>
      </c>
      <c r="G1556" s="1">
        <v>42489</v>
      </c>
      <c r="H1556" t="s">
        <v>21</v>
      </c>
      <c r="I1556">
        <v>0</v>
      </c>
      <c r="J1556" t="s">
        <v>111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23</v>
      </c>
      <c r="R1556">
        <v>0</v>
      </c>
    </row>
    <row r="1557" spans="1:18">
      <c r="A1557">
        <v>649644000000</v>
      </c>
      <c r="B1557" t="s">
        <v>18</v>
      </c>
      <c r="C1557">
        <v>30</v>
      </c>
      <c r="D1557" t="s">
        <v>37</v>
      </c>
      <c r="E1557" t="s">
        <v>84</v>
      </c>
      <c r="F1557" s="1">
        <v>42489</v>
      </c>
      <c r="G1557" s="1">
        <v>42494</v>
      </c>
      <c r="H1557" t="s">
        <v>25</v>
      </c>
      <c r="I1557">
        <v>5</v>
      </c>
      <c r="J1557" t="s">
        <v>107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</v>
      </c>
      <c r="Q1557" t="s">
        <v>26</v>
      </c>
      <c r="R1557">
        <v>1</v>
      </c>
    </row>
    <row r="1558" spans="1:18">
      <c r="A1558">
        <v>236183000000000</v>
      </c>
      <c r="B1558" t="s">
        <v>18</v>
      </c>
      <c r="C1558">
        <v>30</v>
      </c>
      <c r="D1558" t="s">
        <v>37</v>
      </c>
      <c r="E1558" t="s">
        <v>48</v>
      </c>
      <c r="F1558" s="1">
        <v>42489</v>
      </c>
      <c r="G1558" s="1">
        <v>42489</v>
      </c>
      <c r="H1558" t="s">
        <v>21</v>
      </c>
      <c r="I1558">
        <v>0</v>
      </c>
      <c r="J1558" t="s">
        <v>111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23</v>
      </c>
      <c r="R1558">
        <v>0</v>
      </c>
    </row>
    <row r="1559" spans="1:18">
      <c r="A1559">
        <v>78161300000000</v>
      </c>
      <c r="B1559" t="s">
        <v>28</v>
      </c>
      <c r="C1559">
        <v>19</v>
      </c>
      <c r="D1559" t="s">
        <v>37</v>
      </c>
      <c r="E1559" t="s">
        <v>47</v>
      </c>
      <c r="F1559" s="1">
        <v>42489</v>
      </c>
      <c r="G1559" s="1">
        <v>42489</v>
      </c>
      <c r="H1559" t="s">
        <v>21</v>
      </c>
      <c r="I1559">
        <v>0</v>
      </c>
      <c r="J1559" t="s">
        <v>111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23</v>
      </c>
      <c r="R1559">
        <v>0</v>
      </c>
    </row>
    <row r="1560" spans="1:18">
      <c r="A1560">
        <v>4266440000000</v>
      </c>
      <c r="B1560" t="s">
        <v>18</v>
      </c>
      <c r="C1560">
        <v>31</v>
      </c>
      <c r="D1560" t="s">
        <v>37</v>
      </c>
      <c r="E1560" t="s">
        <v>40</v>
      </c>
      <c r="F1560" s="1">
        <v>42489</v>
      </c>
      <c r="G1560" s="1">
        <v>42514</v>
      </c>
      <c r="H1560" t="s">
        <v>41</v>
      </c>
      <c r="I1560">
        <v>25</v>
      </c>
      <c r="J1560" t="s">
        <v>77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1</v>
      </c>
      <c r="Q1560" t="s">
        <v>26</v>
      </c>
      <c r="R1560">
        <v>1</v>
      </c>
    </row>
    <row r="1561" spans="1:18">
      <c r="A1561">
        <v>675161000000000</v>
      </c>
      <c r="B1561" t="s">
        <v>28</v>
      </c>
      <c r="C1561">
        <v>27</v>
      </c>
      <c r="D1561" t="s">
        <v>37</v>
      </c>
      <c r="E1561" t="s">
        <v>47</v>
      </c>
      <c r="F1561" s="1">
        <v>42489</v>
      </c>
      <c r="G1561" s="1">
        <v>42493</v>
      </c>
      <c r="H1561" t="s">
        <v>41</v>
      </c>
      <c r="I1561">
        <v>4</v>
      </c>
      <c r="J1561" t="s">
        <v>107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1</v>
      </c>
      <c r="Q1561" t="s">
        <v>23</v>
      </c>
      <c r="R1561">
        <v>0</v>
      </c>
    </row>
    <row r="1562" spans="1:18">
      <c r="A1562">
        <v>11213500000000</v>
      </c>
      <c r="B1562" t="s">
        <v>18</v>
      </c>
      <c r="C1562">
        <v>28</v>
      </c>
      <c r="D1562" t="s">
        <v>37</v>
      </c>
      <c r="E1562" t="s">
        <v>59</v>
      </c>
      <c r="F1562" s="1">
        <v>42488</v>
      </c>
      <c r="G1562" s="1">
        <v>42492</v>
      </c>
      <c r="H1562" t="s">
        <v>30</v>
      </c>
      <c r="I1562">
        <v>4</v>
      </c>
      <c r="J1562" t="s">
        <v>107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1</v>
      </c>
      <c r="Q1562" t="s">
        <v>23</v>
      </c>
      <c r="R1562">
        <v>0</v>
      </c>
    </row>
    <row r="1563" spans="1:18">
      <c r="A1563">
        <v>65556286469</v>
      </c>
      <c r="B1563" t="s">
        <v>28</v>
      </c>
      <c r="C1563">
        <v>21</v>
      </c>
      <c r="D1563" t="s">
        <v>37</v>
      </c>
      <c r="E1563" t="s">
        <v>38</v>
      </c>
      <c r="F1563" s="1">
        <v>42489</v>
      </c>
      <c r="G1563" s="1">
        <v>42499</v>
      </c>
      <c r="H1563" t="s">
        <v>30</v>
      </c>
      <c r="I1563">
        <v>10</v>
      </c>
      <c r="J1563" t="s">
        <v>92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23</v>
      </c>
      <c r="R1563">
        <v>0</v>
      </c>
    </row>
    <row r="1564" spans="1:18">
      <c r="A1564">
        <v>3120000000000</v>
      </c>
      <c r="B1564" t="s">
        <v>18</v>
      </c>
      <c r="C1564">
        <v>30</v>
      </c>
      <c r="D1564" t="s">
        <v>37</v>
      </c>
      <c r="E1564" t="s">
        <v>32</v>
      </c>
      <c r="F1564" s="1">
        <v>42489</v>
      </c>
      <c r="G1564" s="1">
        <v>42529</v>
      </c>
      <c r="H1564" t="s">
        <v>25</v>
      </c>
      <c r="I1564">
        <v>40</v>
      </c>
      <c r="J1564" t="s">
        <v>22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 t="s">
        <v>26</v>
      </c>
      <c r="R1564">
        <v>1</v>
      </c>
    </row>
    <row r="1565" spans="1:18">
      <c r="A1565">
        <v>8718260000000</v>
      </c>
      <c r="B1565" t="s">
        <v>18</v>
      </c>
      <c r="C1565">
        <v>25</v>
      </c>
      <c r="D1565" t="s">
        <v>37</v>
      </c>
      <c r="E1565" t="s">
        <v>55</v>
      </c>
      <c r="F1565" s="1">
        <v>42489</v>
      </c>
      <c r="G1565" s="1">
        <v>42527</v>
      </c>
      <c r="H1565" t="s">
        <v>30</v>
      </c>
      <c r="I1565">
        <v>38</v>
      </c>
      <c r="J1565" t="s">
        <v>22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</v>
      </c>
      <c r="Q1565" t="s">
        <v>26</v>
      </c>
      <c r="R1565">
        <v>1</v>
      </c>
    </row>
    <row r="1566" spans="1:18">
      <c r="A1566">
        <v>27697300000000</v>
      </c>
      <c r="B1566" t="s">
        <v>28</v>
      </c>
      <c r="C1566">
        <v>25</v>
      </c>
      <c r="D1566" t="s">
        <v>37</v>
      </c>
      <c r="E1566" t="s">
        <v>40</v>
      </c>
      <c r="F1566" s="1">
        <v>42489</v>
      </c>
      <c r="G1566" s="1">
        <v>42508</v>
      </c>
      <c r="H1566" t="s">
        <v>25</v>
      </c>
      <c r="I1566">
        <v>19</v>
      </c>
      <c r="J1566" t="s">
        <v>77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26</v>
      </c>
      <c r="R1566">
        <v>1</v>
      </c>
    </row>
    <row r="1567" spans="1:18">
      <c r="A1567">
        <v>8343670000000</v>
      </c>
      <c r="B1567" t="s">
        <v>18</v>
      </c>
      <c r="C1567">
        <v>20</v>
      </c>
      <c r="D1567" t="s">
        <v>37</v>
      </c>
      <c r="E1567" t="s">
        <v>72</v>
      </c>
      <c r="F1567" s="1">
        <v>42488</v>
      </c>
      <c r="G1567" s="1">
        <v>42524</v>
      </c>
      <c r="H1567" t="s">
        <v>21</v>
      </c>
      <c r="I1567">
        <v>36</v>
      </c>
      <c r="J1567" t="s">
        <v>22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1</v>
      </c>
      <c r="Q1567" t="s">
        <v>26</v>
      </c>
      <c r="R1567">
        <v>1</v>
      </c>
    </row>
    <row r="1568" spans="1:18">
      <c r="A1568">
        <v>871976000000</v>
      </c>
      <c r="B1568" t="s">
        <v>18</v>
      </c>
      <c r="C1568">
        <v>18</v>
      </c>
      <c r="D1568" t="s">
        <v>37</v>
      </c>
      <c r="E1568" t="s">
        <v>93</v>
      </c>
      <c r="F1568" s="1">
        <v>42489</v>
      </c>
      <c r="G1568" s="1">
        <v>42496</v>
      </c>
      <c r="H1568" t="s">
        <v>21</v>
      </c>
      <c r="I1568">
        <v>7</v>
      </c>
      <c r="J1568" t="s">
        <v>107</v>
      </c>
      <c r="K1568">
        <v>1</v>
      </c>
      <c r="L1568">
        <v>0</v>
      </c>
      <c r="M1568">
        <v>0</v>
      </c>
      <c r="N1568">
        <v>0</v>
      </c>
      <c r="O1568">
        <v>1</v>
      </c>
      <c r="P1568">
        <v>0</v>
      </c>
      <c r="Q1568" t="s">
        <v>23</v>
      </c>
      <c r="R1568">
        <v>0</v>
      </c>
    </row>
    <row r="1569" spans="1:18">
      <c r="A1569">
        <v>24755945987</v>
      </c>
      <c r="B1569" t="s">
        <v>18</v>
      </c>
      <c r="C1569">
        <v>28</v>
      </c>
      <c r="D1569" t="s">
        <v>37</v>
      </c>
      <c r="E1569" t="s">
        <v>72</v>
      </c>
      <c r="F1569" s="1">
        <v>42488</v>
      </c>
      <c r="G1569" s="1">
        <v>42524</v>
      </c>
      <c r="H1569" t="s">
        <v>21</v>
      </c>
      <c r="I1569">
        <v>36</v>
      </c>
      <c r="J1569" t="s">
        <v>22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1</v>
      </c>
      <c r="Q1569" t="s">
        <v>23</v>
      </c>
      <c r="R1569">
        <v>0</v>
      </c>
    </row>
    <row r="1570" spans="1:18">
      <c r="A1570">
        <v>13621981994</v>
      </c>
      <c r="B1570" t="s">
        <v>18</v>
      </c>
      <c r="C1570">
        <v>27</v>
      </c>
      <c r="D1570" t="s">
        <v>37</v>
      </c>
      <c r="E1570" t="s">
        <v>76</v>
      </c>
      <c r="F1570" s="1">
        <v>42489</v>
      </c>
      <c r="G1570" s="1">
        <v>42503</v>
      </c>
      <c r="H1570" t="s">
        <v>21</v>
      </c>
      <c r="I1570">
        <v>14</v>
      </c>
      <c r="J1570" t="s">
        <v>92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23</v>
      </c>
      <c r="R1570">
        <v>0</v>
      </c>
    </row>
    <row r="1571" spans="1:18">
      <c r="A1571">
        <v>8214380000000</v>
      </c>
      <c r="B1571" t="s">
        <v>18</v>
      </c>
      <c r="C1571">
        <v>30</v>
      </c>
      <c r="D1571" t="s">
        <v>37</v>
      </c>
      <c r="E1571" t="s">
        <v>105</v>
      </c>
      <c r="F1571" s="1">
        <v>42489</v>
      </c>
      <c r="G1571" s="1">
        <v>42495</v>
      </c>
      <c r="H1571" t="s">
        <v>33</v>
      </c>
      <c r="I1571">
        <v>6</v>
      </c>
      <c r="J1571" t="s">
        <v>107</v>
      </c>
      <c r="K1571">
        <v>0</v>
      </c>
      <c r="L1571">
        <v>0</v>
      </c>
      <c r="M1571">
        <v>0</v>
      </c>
      <c r="N1571">
        <v>1</v>
      </c>
      <c r="O1571">
        <v>0</v>
      </c>
      <c r="P1571">
        <v>1</v>
      </c>
      <c r="Q1571" t="s">
        <v>23</v>
      </c>
      <c r="R1571">
        <v>0</v>
      </c>
    </row>
    <row r="1572" spans="1:18">
      <c r="A1572">
        <v>388141000000000</v>
      </c>
      <c r="B1572" t="s">
        <v>28</v>
      </c>
      <c r="C1572">
        <v>30</v>
      </c>
      <c r="D1572" t="s">
        <v>37</v>
      </c>
      <c r="E1572" t="s">
        <v>80</v>
      </c>
      <c r="F1572" s="1">
        <v>42489</v>
      </c>
      <c r="G1572" s="1">
        <v>42489</v>
      </c>
      <c r="H1572" t="s">
        <v>21</v>
      </c>
      <c r="I1572">
        <v>0</v>
      </c>
      <c r="J1572" t="s">
        <v>111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23</v>
      </c>
      <c r="R1572">
        <v>0</v>
      </c>
    </row>
    <row r="1573" spans="1:18">
      <c r="A1573">
        <v>1693480000000</v>
      </c>
      <c r="B1573" t="s">
        <v>18</v>
      </c>
      <c r="C1573">
        <v>19</v>
      </c>
      <c r="D1573" t="s">
        <v>37</v>
      </c>
      <c r="E1573" t="s">
        <v>61</v>
      </c>
      <c r="F1573" s="1">
        <v>42489</v>
      </c>
      <c r="G1573" s="1">
        <v>42493</v>
      </c>
      <c r="H1573" t="s">
        <v>41</v>
      </c>
      <c r="I1573">
        <v>4</v>
      </c>
      <c r="J1573" t="s">
        <v>107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1</v>
      </c>
      <c r="Q1573" t="s">
        <v>23</v>
      </c>
      <c r="R1573">
        <v>0</v>
      </c>
    </row>
    <row r="1574" spans="1:18">
      <c r="A1574">
        <v>356565000000000</v>
      </c>
      <c r="B1574" t="s">
        <v>28</v>
      </c>
      <c r="C1574">
        <v>18</v>
      </c>
      <c r="D1574" t="s">
        <v>37</v>
      </c>
      <c r="E1574" t="s">
        <v>39</v>
      </c>
      <c r="F1574" s="1">
        <v>42489</v>
      </c>
      <c r="G1574" s="1">
        <v>42493</v>
      </c>
      <c r="H1574" t="s">
        <v>41</v>
      </c>
      <c r="I1574">
        <v>4</v>
      </c>
      <c r="J1574" t="s">
        <v>107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</v>
      </c>
      <c r="Q1574" t="s">
        <v>23</v>
      </c>
      <c r="R1574">
        <v>0</v>
      </c>
    </row>
    <row r="1575" spans="1:18">
      <c r="A1575">
        <v>3366510000000</v>
      </c>
      <c r="B1575" t="s">
        <v>18</v>
      </c>
      <c r="C1575">
        <v>26</v>
      </c>
      <c r="D1575" t="s">
        <v>37</v>
      </c>
      <c r="E1575" t="s">
        <v>62</v>
      </c>
      <c r="F1575" s="1">
        <v>42488</v>
      </c>
      <c r="G1575" s="1">
        <v>42492</v>
      </c>
      <c r="H1575" t="s">
        <v>30</v>
      </c>
      <c r="I1575">
        <v>4</v>
      </c>
      <c r="J1575" t="s">
        <v>107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</v>
      </c>
      <c r="Q1575" t="s">
        <v>23</v>
      </c>
      <c r="R1575">
        <v>0</v>
      </c>
    </row>
    <row r="1576" spans="1:18">
      <c r="A1576">
        <v>54586200000000</v>
      </c>
      <c r="B1576" t="s">
        <v>18</v>
      </c>
      <c r="C1576">
        <v>19</v>
      </c>
      <c r="D1576" t="s">
        <v>37</v>
      </c>
      <c r="E1576" t="s">
        <v>58</v>
      </c>
      <c r="F1576" s="1">
        <v>42489</v>
      </c>
      <c r="G1576" s="1">
        <v>42492</v>
      </c>
      <c r="H1576" t="s">
        <v>30</v>
      </c>
      <c r="I1576">
        <v>3</v>
      </c>
      <c r="J1576" t="s">
        <v>109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1</v>
      </c>
      <c r="Q1576" t="s">
        <v>23</v>
      </c>
      <c r="R1576">
        <v>0</v>
      </c>
    </row>
    <row r="1577" spans="1:18">
      <c r="A1577">
        <v>23946273141</v>
      </c>
      <c r="B1577" t="s">
        <v>18</v>
      </c>
      <c r="C1577">
        <v>18</v>
      </c>
      <c r="D1577" t="s">
        <v>37</v>
      </c>
      <c r="E1577" t="s">
        <v>39</v>
      </c>
      <c r="F1577" s="1">
        <v>42489</v>
      </c>
      <c r="G1577" s="1">
        <v>42492</v>
      </c>
      <c r="H1577" t="s">
        <v>30</v>
      </c>
      <c r="I1577">
        <v>3</v>
      </c>
      <c r="J1577" t="s">
        <v>109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</v>
      </c>
      <c r="Q1577" t="s">
        <v>23</v>
      </c>
      <c r="R1577">
        <v>0</v>
      </c>
    </row>
    <row r="1578" spans="1:18">
      <c r="A1578">
        <v>28516799229</v>
      </c>
      <c r="B1578" t="s">
        <v>18</v>
      </c>
      <c r="C1578">
        <v>23</v>
      </c>
      <c r="D1578" t="s">
        <v>37</v>
      </c>
      <c r="E1578" t="s">
        <v>48</v>
      </c>
      <c r="F1578" s="1">
        <v>42488</v>
      </c>
      <c r="G1578" s="1">
        <v>42499</v>
      </c>
      <c r="H1578" t="s">
        <v>30</v>
      </c>
      <c r="I1578">
        <v>11</v>
      </c>
      <c r="J1578" t="s">
        <v>92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26</v>
      </c>
      <c r="R1578">
        <v>1</v>
      </c>
    </row>
    <row r="1579" spans="1:18">
      <c r="A1579">
        <v>91851600000000</v>
      </c>
      <c r="B1579" t="s">
        <v>18</v>
      </c>
      <c r="C1579">
        <v>33</v>
      </c>
      <c r="D1579" t="s">
        <v>37</v>
      </c>
      <c r="E1579" t="s">
        <v>69</v>
      </c>
      <c r="F1579" s="1">
        <v>42489</v>
      </c>
      <c r="G1579" s="1">
        <v>42520</v>
      </c>
      <c r="H1579" t="s">
        <v>30</v>
      </c>
      <c r="I1579">
        <v>31</v>
      </c>
      <c r="J1579" t="s">
        <v>22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1</v>
      </c>
      <c r="Q1579" t="s">
        <v>23</v>
      </c>
      <c r="R1579">
        <v>0</v>
      </c>
    </row>
    <row r="1580" spans="1:18">
      <c r="A1580">
        <v>8583140000000</v>
      </c>
      <c r="B1580" t="s">
        <v>18</v>
      </c>
      <c r="C1580">
        <v>32</v>
      </c>
      <c r="D1580" t="s">
        <v>37</v>
      </c>
      <c r="E1580" t="s">
        <v>48</v>
      </c>
      <c r="F1580" s="1">
        <v>42488</v>
      </c>
      <c r="G1580" s="1">
        <v>42496</v>
      </c>
      <c r="H1580" t="s">
        <v>21</v>
      </c>
      <c r="I1580">
        <v>8</v>
      </c>
      <c r="J1580" t="s">
        <v>92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</v>
      </c>
      <c r="Q1580" t="s">
        <v>23</v>
      </c>
      <c r="R1580">
        <v>0</v>
      </c>
    </row>
    <row r="1581" spans="1:18">
      <c r="A1581">
        <v>3688170000000</v>
      </c>
      <c r="B1581" t="s">
        <v>28</v>
      </c>
      <c r="C1581">
        <v>20</v>
      </c>
      <c r="D1581" t="s">
        <v>37</v>
      </c>
      <c r="E1581" t="s">
        <v>36</v>
      </c>
      <c r="F1581" s="1">
        <v>42489</v>
      </c>
      <c r="G1581" s="1">
        <v>42489</v>
      </c>
      <c r="H1581" t="s">
        <v>21</v>
      </c>
      <c r="I1581">
        <v>0</v>
      </c>
      <c r="J1581" t="s">
        <v>111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23</v>
      </c>
      <c r="R1581">
        <v>0</v>
      </c>
    </row>
    <row r="1582" spans="1:18">
      <c r="A1582">
        <v>65472300000000</v>
      </c>
      <c r="B1582" t="s">
        <v>28</v>
      </c>
      <c r="C1582">
        <v>21</v>
      </c>
      <c r="D1582" t="s">
        <v>37</v>
      </c>
      <c r="E1582" t="s">
        <v>48</v>
      </c>
      <c r="F1582" s="1">
        <v>42489</v>
      </c>
      <c r="G1582" s="1">
        <v>42489</v>
      </c>
      <c r="H1582" t="s">
        <v>21</v>
      </c>
      <c r="I1582">
        <v>0</v>
      </c>
      <c r="J1582" t="s">
        <v>111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23</v>
      </c>
      <c r="R1582">
        <v>0</v>
      </c>
    </row>
    <row r="1583" spans="1:18">
      <c r="A1583">
        <v>678651000000</v>
      </c>
      <c r="B1583" t="s">
        <v>28</v>
      </c>
      <c r="C1583">
        <v>25</v>
      </c>
      <c r="D1583" t="s">
        <v>37</v>
      </c>
      <c r="E1583" t="s">
        <v>40</v>
      </c>
      <c r="F1583" s="1">
        <v>42489</v>
      </c>
      <c r="G1583" s="1">
        <v>42489</v>
      </c>
      <c r="H1583" t="s">
        <v>21</v>
      </c>
      <c r="I1583">
        <v>0</v>
      </c>
      <c r="J1583" t="s">
        <v>111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23</v>
      </c>
      <c r="R1583">
        <v>0</v>
      </c>
    </row>
    <row r="1584" spans="1:18">
      <c r="A1584">
        <v>28693700000000</v>
      </c>
      <c r="B1584" t="s">
        <v>18</v>
      </c>
      <c r="C1584">
        <v>32</v>
      </c>
      <c r="D1584" t="s">
        <v>37</v>
      </c>
      <c r="E1584" t="s">
        <v>67</v>
      </c>
      <c r="F1584" s="1">
        <v>42489</v>
      </c>
      <c r="G1584" s="1">
        <v>42514</v>
      </c>
      <c r="H1584" t="s">
        <v>41</v>
      </c>
      <c r="I1584">
        <v>25</v>
      </c>
      <c r="J1584" t="s">
        <v>77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1</v>
      </c>
      <c r="Q1584" t="s">
        <v>23</v>
      </c>
      <c r="R1584">
        <v>0</v>
      </c>
    </row>
    <row r="1585" spans="1:18">
      <c r="A1585">
        <v>2983680000000</v>
      </c>
      <c r="B1585" t="s">
        <v>18</v>
      </c>
      <c r="C1585">
        <v>20</v>
      </c>
      <c r="D1585" t="s">
        <v>37</v>
      </c>
      <c r="E1585" t="s">
        <v>63</v>
      </c>
      <c r="F1585" s="1">
        <v>42489</v>
      </c>
      <c r="G1585" s="1">
        <v>42493</v>
      </c>
      <c r="H1585" t="s">
        <v>41</v>
      </c>
      <c r="I1585">
        <v>4</v>
      </c>
      <c r="J1585" t="s">
        <v>107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 t="s">
        <v>26</v>
      </c>
      <c r="R1585">
        <v>1</v>
      </c>
    </row>
    <row r="1586" spans="1:18">
      <c r="A1586">
        <v>239159000000000</v>
      </c>
      <c r="B1586" t="s">
        <v>18</v>
      </c>
      <c r="C1586">
        <v>32</v>
      </c>
      <c r="D1586" t="s">
        <v>37</v>
      </c>
      <c r="E1586" t="s">
        <v>40</v>
      </c>
      <c r="F1586" s="1">
        <v>42489</v>
      </c>
      <c r="G1586" s="1">
        <v>42489</v>
      </c>
      <c r="H1586" t="s">
        <v>21</v>
      </c>
      <c r="I1586">
        <v>0</v>
      </c>
      <c r="J1586" t="s">
        <v>111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23</v>
      </c>
      <c r="R1586">
        <v>0</v>
      </c>
    </row>
    <row r="1587" spans="1:18">
      <c r="A1587">
        <v>62475700000000</v>
      </c>
      <c r="B1587" t="s">
        <v>18</v>
      </c>
      <c r="C1587">
        <v>30</v>
      </c>
      <c r="D1587" t="s">
        <v>37</v>
      </c>
      <c r="E1587" t="s">
        <v>36</v>
      </c>
      <c r="F1587" s="1">
        <v>42488</v>
      </c>
      <c r="G1587" s="1">
        <v>42495</v>
      </c>
      <c r="H1587" t="s">
        <v>33</v>
      </c>
      <c r="I1587">
        <v>7</v>
      </c>
      <c r="J1587" t="s">
        <v>107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</v>
      </c>
      <c r="Q1587" t="s">
        <v>26</v>
      </c>
      <c r="R1587">
        <v>1</v>
      </c>
    </row>
    <row r="1588" spans="1:18">
      <c r="A1588">
        <v>723826000000</v>
      </c>
      <c r="B1588" t="s">
        <v>18</v>
      </c>
      <c r="C1588">
        <v>18</v>
      </c>
      <c r="D1588" t="s">
        <v>37</v>
      </c>
      <c r="E1588" t="s">
        <v>67</v>
      </c>
      <c r="F1588" s="1">
        <v>42489</v>
      </c>
      <c r="G1588" s="1">
        <v>42510</v>
      </c>
      <c r="H1588" t="s">
        <v>21</v>
      </c>
      <c r="I1588">
        <v>21</v>
      </c>
      <c r="J1588" t="s">
        <v>77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23</v>
      </c>
      <c r="R1588">
        <v>0</v>
      </c>
    </row>
    <row r="1589" spans="1:18">
      <c r="A1589">
        <v>4483840000000</v>
      </c>
      <c r="B1589" t="s">
        <v>28</v>
      </c>
      <c r="C1589">
        <v>33</v>
      </c>
      <c r="D1589" t="s">
        <v>37</v>
      </c>
      <c r="E1589" t="s">
        <v>45</v>
      </c>
      <c r="F1589" s="1">
        <v>42488</v>
      </c>
      <c r="G1589" s="1">
        <v>42508</v>
      </c>
      <c r="H1589" t="s">
        <v>25</v>
      </c>
      <c r="I1589">
        <v>20</v>
      </c>
      <c r="J1589" t="s">
        <v>77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0</v>
      </c>
      <c r="Q1589" t="s">
        <v>23</v>
      </c>
      <c r="R1589">
        <v>0</v>
      </c>
    </row>
    <row r="1590" spans="1:18">
      <c r="A1590">
        <v>19712000000000</v>
      </c>
      <c r="B1590" t="s">
        <v>18</v>
      </c>
      <c r="C1590">
        <v>21</v>
      </c>
      <c r="D1590" t="s">
        <v>37</v>
      </c>
      <c r="E1590" t="s">
        <v>72</v>
      </c>
      <c r="F1590" s="1">
        <v>42489</v>
      </c>
      <c r="G1590" s="1">
        <v>42489</v>
      </c>
      <c r="H1590" t="s">
        <v>21</v>
      </c>
      <c r="I1590">
        <v>0</v>
      </c>
      <c r="J1590" t="s">
        <v>111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23</v>
      </c>
      <c r="R1590">
        <v>0</v>
      </c>
    </row>
    <row r="1591" spans="1:18">
      <c r="A1591">
        <v>78874300000000</v>
      </c>
      <c r="B1591" t="s">
        <v>18</v>
      </c>
      <c r="C1591">
        <v>27</v>
      </c>
      <c r="D1591" t="s">
        <v>37</v>
      </c>
      <c r="E1591" t="s">
        <v>66</v>
      </c>
      <c r="F1591" s="1">
        <v>42489</v>
      </c>
      <c r="G1591" s="1">
        <v>42489</v>
      </c>
      <c r="H1591" t="s">
        <v>21</v>
      </c>
      <c r="I1591">
        <v>0</v>
      </c>
      <c r="J1591" t="s">
        <v>111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23</v>
      </c>
      <c r="R1591">
        <v>0</v>
      </c>
    </row>
    <row r="1592" spans="1:18">
      <c r="A1592">
        <v>46591700000000</v>
      </c>
      <c r="B1592" t="s">
        <v>28</v>
      </c>
      <c r="C1592">
        <v>28</v>
      </c>
      <c r="D1592" t="s">
        <v>37</v>
      </c>
      <c r="E1592" t="s">
        <v>65</v>
      </c>
      <c r="F1592" s="1">
        <v>42488</v>
      </c>
      <c r="G1592" s="1">
        <v>42494</v>
      </c>
      <c r="H1592" t="s">
        <v>25</v>
      </c>
      <c r="I1592">
        <v>6</v>
      </c>
      <c r="J1592" t="s">
        <v>107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 t="s">
        <v>26</v>
      </c>
      <c r="R1592">
        <v>1</v>
      </c>
    </row>
    <row r="1593" spans="1:18">
      <c r="A1593">
        <v>769183000000</v>
      </c>
      <c r="B1593" t="s">
        <v>18</v>
      </c>
      <c r="C1593">
        <v>18</v>
      </c>
      <c r="D1593" t="s">
        <v>37</v>
      </c>
      <c r="E1593" t="s">
        <v>82</v>
      </c>
      <c r="F1593" s="1">
        <v>42489</v>
      </c>
      <c r="G1593" s="1">
        <v>42493</v>
      </c>
      <c r="H1593" t="s">
        <v>41</v>
      </c>
      <c r="I1593">
        <v>4</v>
      </c>
      <c r="J1593" t="s">
        <v>107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1</v>
      </c>
      <c r="Q1593" t="s">
        <v>26</v>
      </c>
      <c r="R1593">
        <v>1</v>
      </c>
    </row>
    <row r="1594" spans="1:18">
      <c r="A1594">
        <v>38379600000000</v>
      </c>
      <c r="B1594" t="s">
        <v>18</v>
      </c>
      <c r="C1594">
        <v>22</v>
      </c>
      <c r="D1594" t="s">
        <v>37</v>
      </c>
      <c r="E1594" t="s">
        <v>84</v>
      </c>
      <c r="F1594" s="1">
        <v>42488</v>
      </c>
      <c r="G1594" s="1">
        <v>42495</v>
      </c>
      <c r="H1594" t="s">
        <v>33</v>
      </c>
      <c r="I1594">
        <v>7</v>
      </c>
      <c r="J1594" t="s">
        <v>107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1</v>
      </c>
      <c r="Q1594" t="s">
        <v>23</v>
      </c>
      <c r="R1594">
        <v>0</v>
      </c>
    </row>
    <row r="1595" spans="1:18">
      <c r="A1595">
        <v>67289400000000</v>
      </c>
      <c r="B1595" t="s">
        <v>18</v>
      </c>
      <c r="C1595">
        <v>34</v>
      </c>
      <c r="D1595" t="s">
        <v>37</v>
      </c>
      <c r="E1595" t="s">
        <v>72</v>
      </c>
      <c r="F1595" s="1">
        <v>42489</v>
      </c>
      <c r="G1595" s="1">
        <v>42493</v>
      </c>
      <c r="H1595" t="s">
        <v>41</v>
      </c>
      <c r="I1595">
        <v>4</v>
      </c>
      <c r="J1595" t="s">
        <v>107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</v>
      </c>
      <c r="Q1595" t="s">
        <v>23</v>
      </c>
      <c r="R1595">
        <v>0</v>
      </c>
    </row>
    <row r="1596" spans="1:18">
      <c r="A1596">
        <v>18493500000000</v>
      </c>
      <c r="B1596" t="s">
        <v>18</v>
      </c>
      <c r="C1596">
        <v>33</v>
      </c>
      <c r="D1596" t="s">
        <v>37</v>
      </c>
      <c r="E1596" t="s">
        <v>84</v>
      </c>
      <c r="F1596" s="1">
        <v>42489</v>
      </c>
      <c r="G1596" s="1">
        <v>42494</v>
      </c>
      <c r="H1596" t="s">
        <v>25</v>
      </c>
      <c r="I1596">
        <v>5</v>
      </c>
      <c r="J1596" t="s">
        <v>107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1</v>
      </c>
      <c r="Q1596" t="s">
        <v>23</v>
      </c>
      <c r="R1596">
        <v>0</v>
      </c>
    </row>
    <row r="1597" spans="1:18">
      <c r="A1597">
        <v>7197120000000</v>
      </c>
      <c r="B1597" t="s">
        <v>18</v>
      </c>
      <c r="C1597">
        <v>25</v>
      </c>
      <c r="D1597" t="s">
        <v>37</v>
      </c>
      <c r="E1597" t="s">
        <v>63</v>
      </c>
      <c r="F1597" s="1">
        <v>42489</v>
      </c>
      <c r="G1597" s="1">
        <v>42502</v>
      </c>
      <c r="H1597" t="s">
        <v>33</v>
      </c>
      <c r="I1597">
        <v>13</v>
      </c>
      <c r="J1597" t="s">
        <v>92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1</v>
      </c>
      <c r="Q1597" t="s">
        <v>26</v>
      </c>
      <c r="R1597">
        <v>1</v>
      </c>
    </row>
    <row r="1598" spans="1:18">
      <c r="A1598">
        <v>1174590000000</v>
      </c>
      <c r="B1598" t="s">
        <v>28</v>
      </c>
      <c r="C1598">
        <v>25</v>
      </c>
      <c r="D1598" t="s">
        <v>37</v>
      </c>
      <c r="E1598" t="s">
        <v>50</v>
      </c>
      <c r="F1598" s="1">
        <v>42488</v>
      </c>
      <c r="G1598" s="1">
        <v>42496</v>
      </c>
      <c r="H1598" t="s">
        <v>21</v>
      </c>
      <c r="I1598">
        <v>8</v>
      </c>
      <c r="J1598" t="s">
        <v>92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1</v>
      </c>
      <c r="Q1598" t="s">
        <v>23</v>
      </c>
      <c r="R1598">
        <v>0</v>
      </c>
    </row>
    <row r="1599" spans="1:18">
      <c r="A1599">
        <v>262415000000000</v>
      </c>
      <c r="B1599" t="s">
        <v>18</v>
      </c>
      <c r="C1599">
        <v>22</v>
      </c>
      <c r="D1599" t="s">
        <v>37</v>
      </c>
      <c r="E1599" t="s">
        <v>69</v>
      </c>
      <c r="F1599" s="1">
        <v>42488</v>
      </c>
      <c r="G1599" s="1">
        <v>42502</v>
      </c>
      <c r="H1599" t="s">
        <v>33</v>
      </c>
      <c r="I1599">
        <v>14</v>
      </c>
      <c r="J1599" t="s">
        <v>92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</v>
      </c>
      <c r="Q1599" t="s">
        <v>23</v>
      </c>
      <c r="R1599">
        <v>0</v>
      </c>
    </row>
    <row r="1600" spans="1:18">
      <c r="A1600">
        <v>1891920000000</v>
      </c>
      <c r="B1600" t="s">
        <v>18</v>
      </c>
      <c r="C1600">
        <v>34</v>
      </c>
      <c r="D1600" t="s">
        <v>37</v>
      </c>
      <c r="E1600" t="s">
        <v>50</v>
      </c>
      <c r="F1600" s="1">
        <v>42489</v>
      </c>
      <c r="G1600" s="1">
        <v>42489</v>
      </c>
      <c r="H1600" t="s">
        <v>21</v>
      </c>
      <c r="I1600">
        <v>0</v>
      </c>
      <c r="J1600" t="s">
        <v>111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23</v>
      </c>
      <c r="R1600">
        <v>0</v>
      </c>
    </row>
    <row r="1601" spans="1:18">
      <c r="A1601">
        <v>78162600000000</v>
      </c>
      <c r="B1601" t="s">
        <v>28</v>
      </c>
      <c r="C1601">
        <v>18</v>
      </c>
      <c r="D1601" t="s">
        <v>37</v>
      </c>
      <c r="E1601" t="s">
        <v>20</v>
      </c>
      <c r="F1601" s="1">
        <v>42489</v>
      </c>
      <c r="G1601" s="1">
        <v>42489</v>
      </c>
      <c r="H1601" t="s">
        <v>21</v>
      </c>
      <c r="I1601">
        <v>0</v>
      </c>
      <c r="J1601" t="s">
        <v>111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23</v>
      </c>
      <c r="R1601">
        <v>0</v>
      </c>
    </row>
    <row r="1602" spans="1:18">
      <c r="A1602">
        <v>6399840000000</v>
      </c>
      <c r="B1602" t="s">
        <v>28</v>
      </c>
      <c r="C1602">
        <v>27</v>
      </c>
      <c r="D1602" t="s">
        <v>37</v>
      </c>
      <c r="E1602" t="s">
        <v>61</v>
      </c>
      <c r="F1602" s="1">
        <v>42489</v>
      </c>
      <c r="G1602" s="1">
        <v>42520</v>
      </c>
      <c r="H1602" t="s">
        <v>30</v>
      </c>
      <c r="I1602">
        <v>31</v>
      </c>
      <c r="J1602" t="s">
        <v>22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</v>
      </c>
      <c r="Q1602" t="s">
        <v>23</v>
      </c>
      <c r="R1602">
        <v>0</v>
      </c>
    </row>
    <row r="1603" spans="1:18">
      <c r="A1603">
        <v>3396770000000</v>
      </c>
      <c r="B1603" t="s">
        <v>28</v>
      </c>
      <c r="C1603">
        <v>20</v>
      </c>
      <c r="D1603" t="s">
        <v>37</v>
      </c>
      <c r="E1603" t="s">
        <v>66</v>
      </c>
      <c r="F1603" s="1">
        <v>42489</v>
      </c>
      <c r="G1603" s="1">
        <v>42495</v>
      </c>
      <c r="H1603" t="s">
        <v>33</v>
      </c>
      <c r="I1603">
        <v>6</v>
      </c>
      <c r="J1603" t="s">
        <v>107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23</v>
      </c>
      <c r="R1603">
        <v>0</v>
      </c>
    </row>
    <row r="1604" spans="1:18">
      <c r="A1604">
        <v>6718330000000</v>
      </c>
      <c r="B1604" t="s">
        <v>18</v>
      </c>
      <c r="C1604">
        <v>18</v>
      </c>
      <c r="D1604" t="s">
        <v>37</v>
      </c>
      <c r="E1604" t="s">
        <v>54</v>
      </c>
      <c r="F1604" s="1">
        <v>42488</v>
      </c>
      <c r="G1604" s="1">
        <v>42507</v>
      </c>
      <c r="H1604" t="s">
        <v>41</v>
      </c>
      <c r="I1604">
        <v>19</v>
      </c>
      <c r="J1604" t="s">
        <v>77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26</v>
      </c>
      <c r="R1604">
        <v>1</v>
      </c>
    </row>
    <row r="1605" spans="1:18">
      <c r="A1605">
        <v>5489960000000</v>
      </c>
      <c r="B1605" t="s">
        <v>28</v>
      </c>
      <c r="C1605">
        <v>32</v>
      </c>
      <c r="D1605" t="s">
        <v>37</v>
      </c>
      <c r="E1605" t="s">
        <v>72</v>
      </c>
      <c r="F1605" s="1">
        <v>42489</v>
      </c>
      <c r="G1605" s="1">
        <v>42502</v>
      </c>
      <c r="H1605" t="s">
        <v>33</v>
      </c>
      <c r="I1605">
        <v>13</v>
      </c>
      <c r="J1605" t="s">
        <v>92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1</v>
      </c>
      <c r="Q1605" t="s">
        <v>23</v>
      </c>
      <c r="R1605">
        <v>0</v>
      </c>
    </row>
    <row r="1606" spans="1:18">
      <c r="A1606">
        <v>61511800000000</v>
      </c>
      <c r="B1606" t="s">
        <v>28</v>
      </c>
      <c r="C1606">
        <v>18</v>
      </c>
      <c r="D1606" t="s">
        <v>37</v>
      </c>
      <c r="E1606" t="s">
        <v>84</v>
      </c>
      <c r="F1606" s="1">
        <v>42489</v>
      </c>
      <c r="G1606" s="1">
        <v>42489</v>
      </c>
      <c r="H1606" t="s">
        <v>21</v>
      </c>
      <c r="I1606">
        <v>0</v>
      </c>
      <c r="J1606" t="s">
        <v>111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23</v>
      </c>
      <c r="R1606">
        <v>0</v>
      </c>
    </row>
    <row r="1607" spans="1:18">
      <c r="A1607">
        <v>2141540000000</v>
      </c>
      <c r="B1607" t="s">
        <v>18</v>
      </c>
      <c r="C1607">
        <v>26</v>
      </c>
      <c r="D1607" t="s">
        <v>37</v>
      </c>
      <c r="E1607" t="s">
        <v>89</v>
      </c>
      <c r="F1607" s="1">
        <v>42488</v>
      </c>
      <c r="G1607" s="1">
        <v>42499</v>
      </c>
      <c r="H1607" t="s">
        <v>30</v>
      </c>
      <c r="I1607">
        <v>11</v>
      </c>
      <c r="J1607" t="s">
        <v>92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23</v>
      </c>
      <c r="R1607">
        <v>0</v>
      </c>
    </row>
    <row r="1608" spans="1:18">
      <c r="A1608">
        <v>91933800000000</v>
      </c>
      <c r="B1608" t="s">
        <v>28</v>
      </c>
      <c r="C1608">
        <v>28</v>
      </c>
      <c r="D1608" t="s">
        <v>37</v>
      </c>
      <c r="E1608" t="s">
        <v>39</v>
      </c>
      <c r="F1608" s="1">
        <v>42488</v>
      </c>
      <c r="G1608" s="1">
        <v>42496</v>
      </c>
      <c r="H1608" t="s">
        <v>21</v>
      </c>
      <c r="I1608">
        <v>8</v>
      </c>
      <c r="J1608" t="s">
        <v>92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 t="s">
        <v>23</v>
      </c>
      <c r="R1608">
        <v>0</v>
      </c>
    </row>
    <row r="1609" spans="1:18">
      <c r="A1609">
        <v>617618000000000</v>
      </c>
      <c r="B1609" t="s">
        <v>18</v>
      </c>
      <c r="C1609">
        <v>18</v>
      </c>
      <c r="D1609" t="s">
        <v>37</v>
      </c>
      <c r="E1609" t="s">
        <v>61</v>
      </c>
      <c r="F1609" s="1">
        <v>42488</v>
      </c>
      <c r="G1609" s="1">
        <v>42495</v>
      </c>
      <c r="H1609" t="s">
        <v>33</v>
      </c>
      <c r="I1609">
        <v>7</v>
      </c>
      <c r="J1609" t="s">
        <v>107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</v>
      </c>
      <c r="Q1609" t="s">
        <v>23</v>
      </c>
      <c r="R1609">
        <v>0</v>
      </c>
    </row>
    <row r="1610" spans="1:18">
      <c r="A1610">
        <v>8776510000000</v>
      </c>
      <c r="B1610" t="s">
        <v>18</v>
      </c>
      <c r="C1610">
        <v>27</v>
      </c>
      <c r="D1610" t="s">
        <v>37</v>
      </c>
      <c r="E1610" t="s">
        <v>45</v>
      </c>
      <c r="F1610" s="1">
        <v>42488</v>
      </c>
      <c r="G1610" s="1">
        <v>42520</v>
      </c>
      <c r="H1610" t="s">
        <v>30</v>
      </c>
      <c r="I1610">
        <v>32</v>
      </c>
      <c r="J1610" t="s">
        <v>22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1</v>
      </c>
      <c r="Q1610" t="s">
        <v>23</v>
      </c>
      <c r="R1610">
        <v>0</v>
      </c>
    </row>
    <row r="1611" spans="1:18">
      <c r="A1611">
        <v>596939000000000</v>
      </c>
      <c r="B1611" t="s">
        <v>18</v>
      </c>
      <c r="C1611">
        <v>28</v>
      </c>
      <c r="D1611" t="s">
        <v>37</v>
      </c>
      <c r="E1611" t="s">
        <v>57</v>
      </c>
      <c r="F1611" s="1">
        <v>42488</v>
      </c>
      <c r="G1611" s="1">
        <v>42489</v>
      </c>
      <c r="H1611" t="s">
        <v>21</v>
      </c>
      <c r="I1611">
        <v>1</v>
      </c>
      <c r="J1611" t="s">
        <v>109</v>
      </c>
      <c r="K1611">
        <v>1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23</v>
      </c>
      <c r="R1611">
        <v>0</v>
      </c>
    </row>
    <row r="1612" spans="1:18">
      <c r="A1612">
        <v>64498118518</v>
      </c>
      <c r="B1612" t="s">
        <v>18</v>
      </c>
      <c r="C1612">
        <v>29</v>
      </c>
      <c r="D1612" t="s">
        <v>37</v>
      </c>
      <c r="E1612" t="s">
        <v>58</v>
      </c>
      <c r="F1612" s="1">
        <v>42488</v>
      </c>
      <c r="G1612" s="1">
        <v>42489</v>
      </c>
      <c r="H1612" t="s">
        <v>21</v>
      </c>
      <c r="I1612">
        <v>1</v>
      </c>
      <c r="J1612" t="s">
        <v>109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23</v>
      </c>
      <c r="R1612">
        <v>0</v>
      </c>
    </row>
    <row r="1613" spans="1:18">
      <c r="A1613">
        <v>4426670000000</v>
      </c>
      <c r="B1613" t="s">
        <v>18</v>
      </c>
      <c r="C1613">
        <v>27</v>
      </c>
      <c r="D1613" t="s">
        <v>37</v>
      </c>
      <c r="E1613" t="s">
        <v>84</v>
      </c>
      <c r="F1613" s="1">
        <v>42488</v>
      </c>
      <c r="G1613" s="1">
        <v>42502</v>
      </c>
      <c r="H1613" t="s">
        <v>33</v>
      </c>
      <c r="I1613">
        <v>14</v>
      </c>
      <c r="J1613" t="s">
        <v>92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1</v>
      </c>
      <c r="Q1613" t="s">
        <v>23</v>
      </c>
      <c r="R1613">
        <v>0</v>
      </c>
    </row>
    <row r="1614" spans="1:18">
      <c r="A1614">
        <v>93985900000000</v>
      </c>
      <c r="B1614" t="s">
        <v>28</v>
      </c>
      <c r="C1614">
        <v>21</v>
      </c>
      <c r="D1614" t="s">
        <v>37</v>
      </c>
      <c r="E1614" t="s">
        <v>61</v>
      </c>
      <c r="F1614" s="1">
        <v>42488</v>
      </c>
      <c r="G1614" s="1">
        <v>42495</v>
      </c>
      <c r="H1614" t="s">
        <v>33</v>
      </c>
      <c r="I1614">
        <v>7</v>
      </c>
      <c r="J1614" t="s">
        <v>107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1</v>
      </c>
      <c r="Q1614" t="s">
        <v>23</v>
      </c>
      <c r="R1614">
        <v>0</v>
      </c>
    </row>
    <row r="1615" spans="1:18">
      <c r="A1615">
        <v>79953300000000</v>
      </c>
      <c r="B1615" t="s">
        <v>18</v>
      </c>
      <c r="C1615">
        <v>30</v>
      </c>
      <c r="D1615" t="s">
        <v>37</v>
      </c>
      <c r="E1615" t="s">
        <v>45</v>
      </c>
      <c r="F1615" s="1">
        <v>42488</v>
      </c>
      <c r="G1615" s="1">
        <v>42510</v>
      </c>
      <c r="H1615" t="s">
        <v>21</v>
      </c>
      <c r="I1615">
        <v>22</v>
      </c>
      <c r="J1615" t="s">
        <v>77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26</v>
      </c>
      <c r="R1615">
        <v>1</v>
      </c>
    </row>
    <row r="1616" spans="1:18">
      <c r="A1616">
        <v>528279000000000</v>
      </c>
      <c r="B1616" t="s">
        <v>18</v>
      </c>
      <c r="C1616">
        <v>35</v>
      </c>
      <c r="D1616" t="s">
        <v>37</v>
      </c>
      <c r="E1616" t="s">
        <v>44</v>
      </c>
      <c r="F1616" s="1">
        <v>42488</v>
      </c>
      <c r="G1616" s="1">
        <v>42514</v>
      </c>
      <c r="H1616" t="s">
        <v>41</v>
      </c>
      <c r="I1616">
        <v>26</v>
      </c>
      <c r="J1616" t="s">
        <v>77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</v>
      </c>
      <c r="Q1616" t="s">
        <v>26</v>
      </c>
      <c r="R1616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3CA1-D39F-47A9-ADEB-B68231893339}">
  <dimension ref="A1:J23"/>
  <sheetViews>
    <sheetView workbookViewId="0">
      <selection activeCell="D25" sqref="D25"/>
    </sheetView>
  </sheetViews>
  <sheetFormatPr defaultRowHeight="14.4"/>
  <cols>
    <col min="1" max="1" width="18.5546875" bestFit="1" customWidth="1"/>
    <col min="2" max="2" width="8.77734375" bestFit="1" customWidth="1"/>
    <col min="3" max="3" width="16.88671875" bestFit="1" customWidth="1"/>
    <col min="4" max="4" width="17.5546875" bestFit="1" customWidth="1"/>
    <col min="5" max="5" width="19.33203125" bestFit="1" customWidth="1"/>
    <col min="6" max="6" width="15.5546875" bestFit="1" customWidth="1"/>
    <col min="7" max="7" width="17.33203125" bestFit="1" customWidth="1"/>
    <col min="8" max="8" width="12.88671875" bestFit="1" customWidth="1"/>
    <col min="9" max="9" width="19.77734375" bestFit="1" customWidth="1"/>
    <col min="10" max="10" width="8.33203125" bestFit="1" customWidth="1"/>
    <col min="11" max="11" width="8" bestFit="1" customWidth="1"/>
    <col min="12" max="12" width="9" bestFit="1" customWidth="1"/>
    <col min="13" max="13" width="9.21875" bestFit="1" customWidth="1"/>
    <col min="14" max="14" width="18.77734375" bestFit="1" customWidth="1"/>
    <col min="15" max="15" width="10" bestFit="1" customWidth="1"/>
    <col min="16" max="16" width="8.33203125" bestFit="1" customWidth="1"/>
    <col min="17" max="17" width="8" bestFit="1" customWidth="1"/>
    <col min="18" max="18" width="9" bestFit="1" customWidth="1"/>
    <col min="19" max="19" width="9.21875" bestFit="1" customWidth="1"/>
    <col min="20" max="20" width="14.6640625" bestFit="1" customWidth="1"/>
    <col min="21" max="21" width="10" bestFit="1" customWidth="1"/>
    <col min="22" max="22" width="8.33203125" bestFit="1" customWidth="1"/>
    <col min="23" max="23" width="8" bestFit="1" customWidth="1"/>
    <col min="24" max="24" width="9" bestFit="1" customWidth="1"/>
    <col min="25" max="25" width="9.21875" bestFit="1" customWidth="1"/>
    <col min="26" max="26" width="16.5546875" bestFit="1" customWidth="1"/>
    <col min="27" max="27" width="10" bestFit="1" customWidth="1"/>
    <col min="28" max="28" width="8.33203125" bestFit="1" customWidth="1"/>
    <col min="29" max="29" width="8" bestFit="1" customWidth="1"/>
    <col min="30" max="30" width="9" bestFit="1" customWidth="1"/>
    <col min="31" max="31" width="9.21875" bestFit="1" customWidth="1"/>
    <col min="32" max="32" width="19.44140625" bestFit="1" customWidth="1"/>
    <col min="33" max="33" width="10" bestFit="1" customWidth="1"/>
    <col min="34" max="34" width="8.33203125" bestFit="1" customWidth="1"/>
    <col min="35" max="35" width="8" bestFit="1" customWidth="1"/>
    <col min="36" max="36" width="9" bestFit="1" customWidth="1"/>
    <col min="37" max="37" width="9.21875" bestFit="1" customWidth="1"/>
    <col min="38" max="38" width="19" bestFit="1" customWidth="1"/>
    <col min="39" max="39" width="10" bestFit="1" customWidth="1"/>
    <col min="40" max="40" width="8.33203125" bestFit="1" customWidth="1"/>
    <col min="41" max="41" width="8" bestFit="1" customWidth="1"/>
    <col min="42" max="42" width="9" bestFit="1" customWidth="1"/>
    <col min="43" max="43" width="9.21875" bestFit="1" customWidth="1"/>
    <col min="44" max="44" width="20.77734375" bestFit="1" customWidth="1"/>
    <col min="45" max="45" width="24.5546875" bestFit="1" customWidth="1"/>
    <col min="46" max="46" width="23.5546875" bestFit="1" customWidth="1"/>
    <col min="47" max="47" width="19.44140625" bestFit="1" customWidth="1"/>
    <col min="48" max="48" width="21.44140625" bestFit="1" customWidth="1"/>
    <col min="49" max="49" width="24.21875" bestFit="1" customWidth="1"/>
    <col min="50" max="50" width="23.77734375" bestFit="1" customWidth="1"/>
    <col min="51" max="90" width="3" bestFit="1" customWidth="1"/>
    <col min="91" max="96" width="4" bestFit="1" customWidth="1"/>
    <col min="97" max="97" width="10.77734375" bestFit="1" customWidth="1"/>
  </cols>
  <sheetData>
    <row r="1" spans="1:10">
      <c r="A1" s="8" t="s">
        <v>2</v>
      </c>
      <c r="B1" t="s">
        <v>128</v>
      </c>
    </row>
    <row r="3" spans="1:10">
      <c r="A3" s="8" t="s">
        <v>3</v>
      </c>
      <c r="B3" s="8" t="s">
        <v>1</v>
      </c>
      <c r="C3" t="s">
        <v>138</v>
      </c>
      <c r="D3" t="s">
        <v>139</v>
      </c>
      <c r="E3" s="11" t="s">
        <v>140</v>
      </c>
      <c r="F3" t="s">
        <v>141</v>
      </c>
      <c r="G3" t="s">
        <v>118</v>
      </c>
      <c r="H3" s="11" t="s">
        <v>137</v>
      </c>
      <c r="I3" t="s">
        <v>142</v>
      </c>
    </row>
    <row r="4" spans="1:10">
      <c r="A4" t="s">
        <v>31</v>
      </c>
      <c r="B4" t="s">
        <v>18</v>
      </c>
      <c r="C4" s="3">
        <v>10.1483771251932</v>
      </c>
      <c r="D4" s="11">
        <v>0</v>
      </c>
      <c r="E4" s="11">
        <v>0</v>
      </c>
      <c r="F4" s="11">
        <v>1.5455950540958269E-3</v>
      </c>
      <c r="G4">
        <v>647</v>
      </c>
      <c r="H4" s="11">
        <v>0.20401854714064915</v>
      </c>
      <c r="I4" s="11">
        <v>0.29057187017001546</v>
      </c>
      <c r="J4" s="7"/>
    </row>
    <row r="5" spans="1:10">
      <c r="B5" t="s">
        <v>28</v>
      </c>
      <c r="C5" s="3">
        <v>8.8533145275035263</v>
      </c>
      <c r="D5" s="11">
        <v>1.4104372355430183E-3</v>
      </c>
      <c r="E5" s="11">
        <v>0</v>
      </c>
      <c r="F5" s="11">
        <v>0</v>
      </c>
      <c r="G5">
        <v>709</v>
      </c>
      <c r="H5" s="11">
        <v>0.20733427362482371</v>
      </c>
      <c r="I5" s="11">
        <v>0.28631875881523272</v>
      </c>
      <c r="J5" s="7"/>
    </row>
    <row r="6" spans="1:10">
      <c r="A6" t="s">
        <v>131</v>
      </c>
      <c r="C6" s="3">
        <v>9.4712389380530979</v>
      </c>
      <c r="D6" s="11">
        <v>7.3746312684365781E-4</v>
      </c>
      <c r="E6" s="11">
        <v>0</v>
      </c>
      <c r="F6" s="11">
        <v>7.3746312684365781E-4</v>
      </c>
      <c r="G6">
        <v>1356</v>
      </c>
      <c r="H6" s="11">
        <v>0.20575221238938052</v>
      </c>
      <c r="I6" s="11">
        <v>0.28834808259587019</v>
      </c>
      <c r="J6" s="7"/>
    </row>
    <row r="7" spans="1:10">
      <c r="A7" t="s">
        <v>60</v>
      </c>
      <c r="B7" t="s">
        <v>18</v>
      </c>
      <c r="C7" s="3">
        <v>9.2709163346613543</v>
      </c>
      <c r="D7" s="11">
        <v>7.9681274900398405E-3</v>
      </c>
      <c r="E7" s="11">
        <v>0</v>
      </c>
      <c r="F7" s="11">
        <v>0</v>
      </c>
      <c r="G7">
        <v>251</v>
      </c>
      <c r="H7" s="11">
        <v>0.24302788844621515</v>
      </c>
      <c r="I7" s="11">
        <v>0.28685258964143429</v>
      </c>
      <c r="J7" s="7"/>
    </row>
    <row r="8" spans="1:10">
      <c r="B8" t="s">
        <v>28</v>
      </c>
      <c r="C8" s="3">
        <v>7.1216216216216219</v>
      </c>
      <c r="D8" s="11">
        <v>0</v>
      </c>
      <c r="E8" s="11">
        <v>0</v>
      </c>
      <c r="F8" s="11">
        <v>0</v>
      </c>
      <c r="G8">
        <v>148</v>
      </c>
      <c r="H8" s="11">
        <v>0.29054054054054052</v>
      </c>
      <c r="I8" s="11">
        <v>0.1891891891891892</v>
      </c>
      <c r="J8" s="7"/>
    </row>
    <row r="9" spans="1:10">
      <c r="A9" t="s">
        <v>132</v>
      </c>
      <c r="C9" s="3">
        <v>8.473684210526315</v>
      </c>
      <c r="D9" s="11">
        <v>5.0125313283208017E-3</v>
      </c>
      <c r="E9" s="11">
        <v>0</v>
      </c>
      <c r="F9" s="11">
        <v>0</v>
      </c>
      <c r="G9">
        <v>399</v>
      </c>
      <c r="H9" s="11">
        <v>0.26065162907268169</v>
      </c>
      <c r="I9" s="11">
        <v>0.25062656641604009</v>
      </c>
      <c r="J9" s="7"/>
    </row>
    <row r="10" spans="1:10">
      <c r="A10" t="s">
        <v>37</v>
      </c>
      <c r="B10" t="s">
        <v>18</v>
      </c>
      <c r="C10" s="3">
        <v>10.20896785109983</v>
      </c>
      <c r="D10" s="11">
        <v>1.6920473773265651E-2</v>
      </c>
      <c r="E10" s="11">
        <v>2.2842639593908629E-2</v>
      </c>
      <c r="F10" s="11">
        <v>1.015228426395939E-2</v>
      </c>
      <c r="G10">
        <v>1182</v>
      </c>
      <c r="H10" s="11">
        <v>0.24111675126903553</v>
      </c>
      <c r="I10" s="11">
        <v>0.34771573604060912</v>
      </c>
      <c r="J10" s="7"/>
    </row>
    <row r="11" spans="1:10">
      <c r="B11" t="s">
        <v>28</v>
      </c>
      <c r="C11" s="3">
        <v>9.4593967517401385</v>
      </c>
      <c r="D11" s="11">
        <v>2.5522041763341066E-2</v>
      </c>
      <c r="E11" s="11">
        <v>4.8723897911832945E-2</v>
      </c>
      <c r="F11" s="11">
        <v>6.9605568445475635E-3</v>
      </c>
      <c r="G11">
        <v>431</v>
      </c>
      <c r="H11" s="11">
        <v>0.21809744779582366</v>
      </c>
      <c r="I11" s="11">
        <v>0.29466357308584684</v>
      </c>
      <c r="J11" s="7"/>
    </row>
    <row r="12" spans="1:10">
      <c r="A12" t="s">
        <v>133</v>
      </c>
      <c r="C12" s="3">
        <v>10.008679479231246</v>
      </c>
      <c r="D12" s="11">
        <v>1.9218846869187848E-2</v>
      </c>
      <c r="E12" s="11">
        <v>2.9758214507129573E-2</v>
      </c>
      <c r="F12" s="11">
        <v>9.299442033477991E-3</v>
      </c>
      <c r="G12">
        <v>1613</v>
      </c>
      <c r="H12" s="11">
        <v>0.23496590204587725</v>
      </c>
      <c r="I12" s="11">
        <v>0.33353998760074394</v>
      </c>
      <c r="J12" s="7"/>
    </row>
    <row r="13" spans="1:10">
      <c r="A13" t="s">
        <v>27</v>
      </c>
      <c r="B13" t="s">
        <v>18</v>
      </c>
      <c r="C13" s="3">
        <v>10.938335046248715</v>
      </c>
      <c r="D13" s="11">
        <v>3.4943473792394653E-2</v>
      </c>
      <c r="E13" s="11">
        <v>0.19116135662898254</v>
      </c>
      <c r="F13" s="11">
        <v>4.2137718396711203E-2</v>
      </c>
      <c r="G13">
        <v>973</v>
      </c>
      <c r="H13" s="11">
        <v>0.2065775950668037</v>
      </c>
      <c r="I13" s="11">
        <v>0.33710174717368963</v>
      </c>
      <c r="J13" s="7"/>
    </row>
    <row r="14" spans="1:10">
      <c r="B14" t="s">
        <v>28</v>
      </c>
      <c r="C14" s="3">
        <v>8.793838862559241</v>
      </c>
      <c r="D14" s="11">
        <v>9.004739336492891E-2</v>
      </c>
      <c r="E14" s="11">
        <v>0.16824644549763032</v>
      </c>
      <c r="F14" s="11">
        <v>4.9763033175355451E-2</v>
      </c>
      <c r="G14">
        <v>422</v>
      </c>
      <c r="H14" s="11">
        <v>0.17535545023696683</v>
      </c>
      <c r="I14" s="11">
        <v>0.28672985781990523</v>
      </c>
      <c r="J14" s="7"/>
    </row>
    <row r="15" spans="1:10">
      <c r="A15" t="s">
        <v>134</v>
      </c>
      <c r="C15" s="3">
        <v>10.289605734767026</v>
      </c>
      <c r="D15" s="11">
        <v>5.1612903225806452E-2</v>
      </c>
      <c r="E15" s="11">
        <v>0.18422939068100358</v>
      </c>
      <c r="F15" s="11">
        <v>4.4444444444444446E-2</v>
      </c>
      <c r="G15">
        <v>1395</v>
      </c>
      <c r="H15" s="11">
        <v>0.1971326164874552</v>
      </c>
      <c r="I15" s="11">
        <v>0.32186379928315412</v>
      </c>
      <c r="J15" s="7"/>
    </row>
    <row r="16" spans="1:10">
      <c r="A16" t="s">
        <v>35</v>
      </c>
      <c r="B16" t="s">
        <v>18</v>
      </c>
      <c r="C16" s="3">
        <v>11.17497456765005</v>
      </c>
      <c r="D16" s="11">
        <v>2.6449643947100712E-2</v>
      </c>
      <c r="E16" s="11">
        <v>0.3977619532044761</v>
      </c>
      <c r="F16" s="11">
        <v>0.13936927772126145</v>
      </c>
      <c r="G16">
        <v>983</v>
      </c>
      <c r="H16" s="11">
        <v>0.17090539165818922</v>
      </c>
      <c r="I16" s="11">
        <v>0.36317395727365209</v>
      </c>
      <c r="J16" s="7"/>
    </row>
    <row r="17" spans="1:10">
      <c r="B17" t="s">
        <v>28</v>
      </c>
      <c r="C17" s="3">
        <v>10.495391705069125</v>
      </c>
      <c r="D17" s="11">
        <v>0.10368663594470046</v>
      </c>
      <c r="E17" s="11">
        <v>0.35023041474654376</v>
      </c>
      <c r="F17" s="11">
        <v>0.13364055299539171</v>
      </c>
      <c r="G17">
        <v>434</v>
      </c>
      <c r="H17" s="11">
        <v>0.13824884792626729</v>
      </c>
      <c r="I17" s="11">
        <v>0.29493087557603687</v>
      </c>
      <c r="J17" s="7"/>
    </row>
    <row r="18" spans="1:10">
      <c r="A18" t="s">
        <v>135</v>
      </c>
      <c r="C18" s="3">
        <v>10.96683133380381</v>
      </c>
      <c r="D18" s="11">
        <v>5.0105857445306989E-2</v>
      </c>
      <c r="E18" s="11">
        <v>0.38320395201129148</v>
      </c>
      <c r="F18" s="11">
        <v>0.13761467889908258</v>
      </c>
      <c r="G18">
        <v>1417</v>
      </c>
      <c r="H18" s="11">
        <v>0.16090331686661963</v>
      </c>
      <c r="I18" s="11">
        <v>0.34227240649259</v>
      </c>
      <c r="J18" s="7"/>
    </row>
    <row r="19" spans="1:10">
      <c r="A19" t="s">
        <v>19</v>
      </c>
      <c r="B19" t="s">
        <v>18</v>
      </c>
      <c r="C19" s="3">
        <v>11.958974358974359</v>
      </c>
      <c r="D19" s="11">
        <v>1.7094017094017094E-3</v>
      </c>
      <c r="E19" s="11">
        <v>0.61538461538461542</v>
      </c>
      <c r="F19" s="11">
        <v>0.25128205128205128</v>
      </c>
      <c r="G19">
        <v>585</v>
      </c>
      <c r="H19" s="11">
        <v>0.15555555555555556</v>
      </c>
      <c r="I19" s="11">
        <v>0.29572649572649573</v>
      </c>
      <c r="J19" s="7"/>
    </row>
    <row r="20" spans="1:10">
      <c r="B20" t="s">
        <v>28</v>
      </c>
      <c r="C20" s="3">
        <v>9.7319148936170219</v>
      </c>
      <c r="D20" s="11">
        <v>4.6808510638297871E-2</v>
      </c>
      <c r="E20" s="11">
        <v>0.58297872340425527</v>
      </c>
      <c r="F20" s="11">
        <v>0.25531914893617019</v>
      </c>
      <c r="G20">
        <v>235</v>
      </c>
      <c r="H20" s="11">
        <v>0.15319148936170213</v>
      </c>
      <c r="I20" s="11">
        <v>0.26808510638297872</v>
      </c>
      <c r="J20" s="7"/>
    </row>
    <row r="21" spans="1:10">
      <c r="A21" t="s">
        <v>136</v>
      </c>
      <c r="C21" s="3">
        <v>11.320731707317073</v>
      </c>
      <c r="D21" s="11">
        <v>1.4634146341463415E-2</v>
      </c>
      <c r="E21" s="11">
        <v>0.60609756097560974</v>
      </c>
      <c r="F21" s="11">
        <v>0.2524390243902439</v>
      </c>
      <c r="G21">
        <v>820</v>
      </c>
      <c r="H21" s="11">
        <v>0.1548780487804878</v>
      </c>
      <c r="I21" s="11">
        <v>0.28780487804878047</v>
      </c>
      <c r="J21" s="7"/>
    </row>
    <row r="22" spans="1:10">
      <c r="A22" t="s">
        <v>126</v>
      </c>
      <c r="C22" s="3">
        <v>10.220714285714285</v>
      </c>
      <c r="D22" s="11">
        <v>2.7E-2</v>
      </c>
      <c r="E22" s="11">
        <v>0.19214285714285714</v>
      </c>
      <c r="F22" s="11">
        <v>6.8571428571428575E-2</v>
      </c>
      <c r="G22">
        <v>7000</v>
      </c>
      <c r="H22" s="11">
        <v>0.19885714285714284</v>
      </c>
      <c r="I22" s="11">
        <v>0.31414285714285717</v>
      </c>
      <c r="J22" s="7"/>
    </row>
    <row r="23" spans="1:10">
      <c r="I23" s="7"/>
      <c r="J2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71AA-FCCE-4DF9-832E-8F584E75F29B}">
  <dimension ref="A3:D10"/>
  <sheetViews>
    <sheetView workbookViewId="0">
      <selection activeCell="D17" sqref="D17"/>
    </sheetView>
  </sheetViews>
  <sheetFormatPr defaultRowHeight="14.4"/>
  <cols>
    <col min="1" max="1" width="12.5546875" bestFit="1" customWidth="1"/>
    <col min="2" max="2" width="19.44140625" bestFit="1" customWidth="1"/>
    <col min="3" max="3" width="16.5546875" bestFit="1" customWidth="1"/>
    <col min="4" max="4" width="22.6640625" bestFit="1" customWidth="1"/>
  </cols>
  <sheetData>
    <row r="3" spans="1:4">
      <c r="A3" s="8" t="s">
        <v>125</v>
      </c>
      <c r="B3" t="s">
        <v>130</v>
      </c>
      <c r="C3" t="s">
        <v>129</v>
      </c>
      <c r="D3" t="s">
        <v>143</v>
      </c>
    </row>
    <row r="4" spans="1:4">
      <c r="A4" s="9" t="s">
        <v>30</v>
      </c>
      <c r="B4">
        <v>281</v>
      </c>
      <c r="C4">
        <v>1440</v>
      </c>
      <c r="D4" s="10">
        <v>0.19513888888888889</v>
      </c>
    </row>
    <row r="5" spans="1:4">
      <c r="A5" s="9" t="s">
        <v>41</v>
      </c>
      <c r="B5">
        <v>317</v>
      </c>
      <c r="C5">
        <v>1598</v>
      </c>
      <c r="D5" s="10">
        <v>0.19837296620775971</v>
      </c>
    </row>
    <row r="6" spans="1:4">
      <c r="A6" s="9" t="s">
        <v>25</v>
      </c>
      <c r="B6">
        <v>306</v>
      </c>
      <c r="C6">
        <v>1611</v>
      </c>
      <c r="D6" s="10">
        <v>0.18994413407821228</v>
      </c>
    </row>
    <row r="7" spans="1:4">
      <c r="A7" s="9" t="s">
        <v>33</v>
      </c>
      <c r="B7">
        <v>216</v>
      </c>
      <c r="C7">
        <v>1084</v>
      </c>
      <c r="D7" s="10">
        <v>0.19926199261992619</v>
      </c>
    </row>
    <row r="8" spans="1:4">
      <c r="A8" s="9" t="s">
        <v>21</v>
      </c>
      <c r="B8">
        <v>272</v>
      </c>
      <c r="C8">
        <v>1261</v>
      </c>
      <c r="D8" s="10">
        <v>0.21570182394924664</v>
      </c>
    </row>
    <row r="9" spans="1:4">
      <c r="A9" s="9" t="s">
        <v>114</v>
      </c>
      <c r="B9">
        <v>0</v>
      </c>
      <c r="C9">
        <v>6</v>
      </c>
      <c r="D9" s="10">
        <v>0</v>
      </c>
    </row>
    <row r="10" spans="1:4">
      <c r="A10" s="9" t="s">
        <v>126</v>
      </c>
      <c r="B10">
        <v>1392</v>
      </c>
      <c r="C10">
        <v>7000</v>
      </c>
      <c r="D10" s="10">
        <v>0.19885714285714284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A41C-9D4D-4789-BD40-5B1CC497F6CA}">
  <dimension ref="A1:R7001"/>
  <sheetViews>
    <sheetView workbookViewId="0">
      <pane ySplit="1" topLeftCell="A2" activePane="bottomLeft" state="frozen"/>
      <selection pane="bottomLeft" activeCell="A6" sqref="A6"/>
    </sheetView>
  </sheetViews>
  <sheetFormatPr defaultRowHeight="14.4"/>
  <cols>
    <col min="1" max="1" width="16.44140625" style="4" customWidth="1"/>
    <col min="2" max="2" width="11.44140625" customWidth="1"/>
    <col min="5" max="5" width="11.88671875" customWidth="1"/>
    <col min="6" max="6" width="16" customWidth="1"/>
    <col min="7" max="7" width="16.21875" customWidth="1"/>
    <col min="8" max="8" width="18.6640625" customWidth="1"/>
    <col min="9" max="9" width="15.33203125" customWidth="1"/>
    <col min="10" max="10" width="11.33203125" customWidth="1"/>
    <col min="11" max="11" width="13.21875" customWidth="1"/>
    <col min="12" max="12" width="12.33203125" customWidth="1"/>
    <col min="13" max="13" width="14" customWidth="1"/>
    <col min="14" max="14" width="10" customWidth="1"/>
    <col min="15" max="15" width="11.88671875" customWidth="1"/>
    <col min="16" max="16" width="14.77734375" customWidth="1"/>
    <col min="17" max="17" width="14.21875" customWidth="1"/>
    <col min="18" max="18" width="15.109375" customWidth="1"/>
    <col min="19" max="19" width="14.6640625" customWidth="1"/>
  </cols>
  <sheetData>
    <row r="1" spans="1:18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4">
        <v>9582230000000</v>
      </c>
      <c r="B2" t="s">
        <v>18</v>
      </c>
      <c r="C2">
        <v>80</v>
      </c>
      <c r="D2" t="s">
        <v>19</v>
      </c>
      <c r="E2" t="s">
        <v>20</v>
      </c>
      <c r="F2" s="1">
        <v>42345</v>
      </c>
      <c r="G2" s="1">
        <v>42524</v>
      </c>
      <c r="H2" t="s">
        <v>21</v>
      </c>
      <c r="I2">
        <v>179</v>
      </c>
      <c r="J2" t="s">
        <v>22</v>
      </c>
      <c r="K2">
        <v>0</v>
      </c>
      <c r="L2">
        <v>1</v>
      </c>
      <c r="M2">
        <v>1</v>
      </c>
      <c r="N2">
        <v>0</v>
      </c>
      <c r="O2">
        <v>0</v>
      </c>
      <c r="P2">
        <v>1</v>
      </c>
      <c r="Q2" t="s">
        <v>23</v>
      </c>
      <c r="R2">
        <v>0</v>
      </c>
    </row>
    <row r="3" spans="1:18">
      <c r="A3" s="4">
        <v>188900000000000</v>
      </c>
      <c r="B3" t="s">
        <v>18</v>
      </c>
      <c r="C3">
        <v>76</v>
      </c>
      <c r="D3" t="s">
        <v>19</v>
      </c>
      <c r="E3" t="s">
        <v>24</v>
      </c>
      <c r="F3" s="1">
        <v>42346</v>
      </c>
      <c r="G3" s="1">
        <v>42501</v>
      </c>
      <c r="H3" t="s">
        <v>25</v>
      </c>
      <c r="I3">
        <v>155</v>
      </c>
      <c r="J3" t="s">
        <v>22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 t="s">
        <v>23</v>
      </c>
      <c r="R3">
        <v>0</v>
      </c>
    </row>
    <row r="4" spans="1:18">
      <c r="A4" s="4">
        <v>939919000000000</v>
      </c>
      <c r="B4" t="s">
        <v>18</v>
      </c>
      <c r="C4">
        <v>76</v>
      </c>
      <c r="D4" t="s">
        <v>19</v>
      </c>
      <c r="E4" t="s">
        <v>24</v>
      </c>
      <c r="F4" s="1">
        <v>42346</v>
      </c>
      <c r="G4" s="1">
        <v>42522</v>
      </c>
      <c r="H4" t="s">
        <v>25</v>
      </c>
      <c r="I4">
        <v>176</v>
      </c>
      <c r="J4" t="s">
        <v>22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 t="s">
        <v>26</v>
      </c>
      <c r="R4">
        <v>1</v>
      </c>
    </row>
    <row r="5" spans="1:18">
      <c r="A5" s="4">
        <v>456682000000000</v>
      </c>
      <c r="B5" t="s">
        <v>18</v>
      </c>
      <c r="C5">
        <v>44</v>
      </c>
      <c r="D5" t="s">
        <v>27</v>
      </c>
      <c r="E5" t="s">
        <v>24</v>
      </c>
      <c r="F5" s="1">
        <v>42352</v>
      </c>
      <c r="G5" s="1">
        <v>42494</v>
      </c>
      <c r="H5" t="s">
        <v>25</v>
      </c>
      <c r="I5">
        <v>142</v>
      </c>
      <c r="J5" t="s">
        <v>22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 t="s">
        <v>23</v>
      </c>
      <c r="R5">
        <v>0</v>
      </c>
    </row>
    <row r="6" spans="1:18">
      <c r="A6" s="4">
        <v>2925910000000</v>
      </c>
      <c r="B6" t="s">
        <v>28</v>
      </c>
      <c r="C6">
        <v>83</v>
      </c>
      <c r="D6" t="s">
        <v>19</v>
      </c>
      <c r="E6" t="s">
        <v>29</v>
      </c>
      <c r="F6" s="1">
        <v>42391</v>
      </c>
      <c r="G6" s="1">
        <v>42499</v>
      </c>
      <c r="H6" t="s">
        <v>30</v>
      </c>
      <c r="I6">
        <v>108</v>
      </c>
      <c r="J6" t="s">
        <v>22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 t="s">
        <v>23</v>
      </c>
      <c r="R6">
        <v>0</v>
      </c>
    </row>
    <row r="7" spans="1:18">
      <c r="A7" s="4">
        <v>96467700000000</v>
      </c>
      <c r="B7" t="s">
        <v>18</v>
      </c>
      <c r="C7">
        <v>1</v>
      </c>
      <c r="D7" t="s">
        <v>31</v>
      </c>
      <c r="E7" t="s">
        <v>32</v>
      </c>
      <c r="F7" s="1">
        <v>42398</v>
      </c>
      <c r="G7" s="1">
        <v>42489</v>
      </c>
      <c r="H7" t="s">
        <v>21</v>
      </c>
      <c r="I7">
        <v>91</v>
      </c>
      <c r="J7" t="s">
        <v>22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 t="s">
        <v>23</v>
      </c>
      <c r="R7">
        <v>0</v>
      </c>
    </row>
    <row r="8" spans="1:18">
      <c r="A8" s="4">
        <v>4821340000000</v>
      </c>
      <c r="B8" t="s">
        <v>18</v>
      </c>
      <c r="C8">
        <v>41</v>
      </c>
      <c r="D8" t="s">
        <v>27</v>
      </c>
      <c r="E8" t="s">
        <v>32</v>
      </c>
      <c r="F8" s="1">
        <v>42401</v>
      </c>
      <c r="G8" s="1">
        <v>42495</v>
      </c>
      <c r="H8" t="s">
        <v>33</v>
      </c>
      <c r="I8">
        <v>94</v>
      </c>
      <c r="J8" t="s">
        <v>22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 t="s">
        <v>23</v>
      </c>
      <c r="R8">
        <v>0</v>
      </c>
    </row>
    <row r="9" spans="1:18">
      <c r="A9" s="4">
        <v>41181400000000</v>
      </c>
      <c r="B9" t="s">
        <v>18</v>
      </c>
      <c r="C9">
        <v>66</v>
      </c>
      <c r="D9" t="s">
        <v>19</v>
      </c>
      <c r="E9" t="s">
        <v>34</v>
      </c>
      <c r="F9" s="1">
        <v>42405</v>
      </c>
      <c r="G9" s="1">
        <v>42503</v>
      </c>
      <c r="H9" t="s">
        <v>21</v>
      </c>
      <c r="I9">
        <v>98</v>
      </c>
      <c r="J9" t="s">
        <v>22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 t="s">
        <v>23</v>
      </c>
      <c r="R9">
        <v>0</v>
      </c>
    </row>
    <row r="10" spans="1:18">
      <c r="A10" s="4">
        <v>794143000000000</v>
      </c>
      <c r="B10" t="s">
        <v>18</v>
      </c>
      <c r="C10">
        <v>64</v>
      </c>
      <c r="D10" t="s">
        <v>35</v>
      </c>
      <c r="E10" t="s">
        <v>20</v>
      </c>
      <c r="F10" s="1">
        <v>42405</v>
      </c>
      <c r="G10" s="1">
        <v>42522</v>
      </c>
      <c r="H10" t="s">
        <v>25</v>
      </c>
      <c r="I10">
        <v>117</v>
      </c>
      <c r="J10" t="s">
        <v>22</v>
      </c>
      <c r="K10">
        <v>0</v>
      </c>
      <c r="L10">
        <v>1</v>
      </c>
      <c r="M10">
        <v>1</v>
      </c>
      <c r="N10">
        <v>0</v>
      </c>
      <c r="O10">
        <v>0</v>
      </c>
      <c r="P10">
        <v>1</v>
      </c>
      <c r="Q10" t="s">
        <v>23</v>
      </c>
      <c r="R10">
        <v>0</v>
      </c>
    </row>
    <row r="11" spans="1:18">
      <c r="A11" s="4">
        <v>688679000000000</v>
      </c>
      <c r="B11" t="s">
        <v>18</v>
      </c>
      <c r="C11">
        <v>75</v>
      </c>
      <c r="D11" t="s">
        <v>19</v>
      </c>
      <c r="E11" t="s">
        <v>36</v>
      </c>
      <c r="F11" s="1">
        <v>42412</v>
      </c>
      <c r="G11" s="1">
        <v>42503</v>
      </c>
      <c r="H11" t="s">
        <v>21</v>
      </c>
      <c r="I11">
        <v>91</v>
      </c>
      <c r="J11" t="s">
        <v>22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 t="s">
        <v>23</v>
      </c>
      <c r="R11">
        <v>0</v>
      </c>
    </row>
    <row r="12" spans="1:18">
      <c r="A12" s="4">
        <v>7592950000000</v>
      </c>
      <c r="B12" t="s">
        <v>18</v>
      </c>
      <c r="C12">
        <v>77</v>
      </c>
      <c r="D12" t="s">
        <v>19</v>
      </c>
      <c r="E12" t="s">
        <v>32</v>
      </c>
      <c r="F12" s="1">
        <v>42417</v>
      </c>
      <c r="G12" s="1">
        <v>42495</v>
      </c>
      <c r="H12" t="s">
        <v>33</v>
      </c>
      <c r="I12">
        <v>78</v>
      </c>
      <c r="J12" t="s">
        <v>22</v>
      </c>
      <c r="K12">
        <v>0</v>
      </c>
      <c r="L12">
        <v>1</v>
      </c>
      <c r="M12">
        <v>0</v>
      </c>
      <c r="N12">
        <v>0</v>
      </c>
      <c r="O12">
        <v>0</v>
      </c>
      <c r="P12">
        <v>1</v>
      </c>
      <c r="Q12" t="s">
        <v>26</v>
      </c>
      <c r="R12">
        <v>1</v>
      </c>
    </row>
    <row r="13" spans="1:18">
      <c r="A13" s="4">
        <v>558799000000000</v>
      </c>
      <c r="B13" t="s">
        <v>28</v>
      </c>
      <c r="C13">
        <v>24</v>
      </c>
      <c r="D13" t="s">
        <v>37</v>
      </c>
      <c r="E13" t="s">
        <v>38</v>
      </c>
      <c r="F13" s="1">
        <v>42422</v>
      </c>
      <c r="G13" s="1">
        <v>42489</v>
      </c>
      <c r="H13" t="s">
        <v>21</v>
      </c>
      <c r="I13">
        <v>67</v>
      </c>
      <c r="J13" t="s">
        <v>22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 t="s">
        <v>23</v>
      </c>
      <c r="R13">
        <v>0</v>
      </c>
    </row>
    <row r="14" spans="1:18">
      <c r="A14" s="4">
        <v>47385300000000</v>
      </c>
      <c r="B14" t="s">
        <v>18</v>
      </c>
      <c r="C14">
        <v>24</v>
      </c>
      <c r="D14" t="s">
        <v>37</v>
      </c>
      <c r="E14" t="s">
        <v>32</v>
      </c>
      <c r="F14" s="1">
        <v>42424</v>
      </c>
      <c r="G14" s="1">
        <v>42503</v>
      </c>
      <c r="H14" t="s">
        <v>21</v>
      </c>
      <c r="I14">
        <v>79</v>
      </c>
      <c r="J14" t="s">
        <v>22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23</v>
      </c>
      <c r="R14">
        <v>0</v>
      </c>
    </row>
    <row r="15" spans="1:18">
      <c r="A15" s="4">
        <v>28867300000000</v>
      </c>
      <c r="B15" t="s">
        <v>28</v>
      </c>
      <c r="C15">
        <v>79</v>
      </c>
      <c r="D15" t="s">
        <v>19</v>
      </c>
      <c r="E15" t="s">
        <v>39</v>
      </c>
      <c r="F15" s="1">
        <v>42424</v>
      </c>
      <c r="G15" s="1">
        <v>42508</v>
      </c>
      <c r="H15" t="s">
        <v>25</v>
      </c>
      <c r="I15">
        <v>84</v>
      </c>
      <c r="J15" t="s">
        <v>22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 t="s">
        <v>23</v>
      </c>
      <c r="R15">
        <v>0</v>
      </c>
    </row>
    <row r="16" spans="1:18">
      <c r="A16" s="4">
        <v>5443250000000</v>
      </c>
      <c r="B16" t="s">
        <v>18</v>
      </c>
      <c r="C16">
        <v>80</v>
      </c>
      <c r="D16" t="s">
        <v>19</v>
      </c>
      <c r="E16" t="s">
        <v>40</v>
      </c>
      <c r="F16" s="1">
        <v>42425</v>
      </c>
      <c r="G16" s="1">
        <v>42500</v>
      </c>
      <c r="H16" t="s">
        <v>41</v>
      </c>
      <c r="I16">
        <v>75</v>
      </c>
      <c r="J16" t="s">
        <v>22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 t="s">
        <v>26</v>
      </c>
      <c r="R16">
        <v>1</v>
      </c>
    </row>
    <row r="17" spans="1:18">
      <c r="A17" s="4">
        <v>2753470000000</v>
      </c>
      <c r="B17" t="s">
        <v>28</v>
      </c>
      <c r="C17">
        <v>55</v>
      </c>
      <c r="D17" t="s">
        <v>35</v>
      </c>
      <c r="E17" t="s">
        <v>32</v>
      </c>
      <c r="F17" s="1">
        <v>42425</v>
      </c>
      <c r="G17" s="1">
        <v>42493</v>
      </c>
      <c r="H17" t="s">
        <v>41</v>
      </c>
      <c r="I17">
        <v>68</v>
      </c>
      <c r="J17" t="s">
        <v>22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 t="s">
        <v>23</v>
      </c>
      <c r="R17">
        <v>0</v>
      </c>
    </row>
    <row r="18" spans="1:18">
      <c r="A18" s="4">
        <v>15369300000000</v>
      </c>
      <c r="B18" t="s">
        <v>18</v>
      </c>
      <c r="C18">
        <v>90</v>
      </c>
      <c r="D18" t="s">
        <v>19</v>
      </c>
      <c r="E18" t="s">
        <v>42</v>
      </c>
      <c r="F18" s="1">
        <v>42425</v>
      </c>
      <c r="G18" s="1">
        <v>42514</v>
      </c>
      <c r="H18" t="s">
        <v>41</v>
      </c>
      <c r="I18">
        <v>89</v>
      </c>
      <c r="J18" t="s">
        <v>22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 t="s">
        <v>26</v>
      </c>
      <c r="R18">
        <v>1</v>
      </c>
    </row>
    <row r="19" spans="1:18">
      <c r="A19" s="4">
        <v>615676000000</v>
      </c>
      <c r="B19" t="s">
        <v>18</v>
      </c>
      <c r="C19">
        <v>60</v>
      </c>
      <c r="D19" t="s">
        <v>35</v>
      </c>
      <c r="E19" t="s">
        <v>43</v>
      </c>
      <c r="F19" s="1">
        <v>42426</v>
      </c>
      <c r="G19" s="1">
        <v>42489</v>
      </c>
      <c r="H19" t="s">
        <v>21</v>
      </c>
      <c r="I19">
        <v>63</v>
      </c>
      <c r="J19" t="s">
        <v>22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 t="s">
        <v>23</v>
      </c>
      <c r="R19">
        <v>0</v>
      </c>
    </row>
    <row r="20" spans="1:18">
      <c r="A20" s="4">
        <v>7238000000000</v>
      </c>
      <c r="B20" t="s">
        <v>18</v>
      </c>
      <c r="C20">
        <v>56</v>
      </c>
      <c r="D20" t="s">
        <v>35</v>
      </c>
      <c r="E20" t="s">
        <v>44</v>
      </c>
      <c r="F20" s="1">
        <v>42426</v>
      </c>
      <c r="G20" s="1">
        <v>42514</v>
      </c>
      <c r="H20" t="s">
        <v>41</v>
      </c>
      <c r="I20">
        <v>88</v>
      </c>
      <c r="J20" t="s">
        <v>22</v>
      </c>
      <c r="K20">
        <v>0</v>
      </c>
      <c r="L20">
        <v>1</v>
      </c>
      <c r="M20">
        <v>0</v>
      </c>
      <c r="N20">
        <v>0</v>
      </c>
      <c r="O20">
        <v>0</v>
      </c>
      <c r="P20">
        <v>1</v>
      </c>
      <c r="Q20" t="s">
        <v>23</v>
      </c>
      <c r="R20">
        <v>0</v>
      </c>
    </row>
    <row r="21" spans="1:18">
      <c r="A21" s="4">
        <v>9386790000000</v>
      </c>
      <c r="B21" t="s">
        <v>18</v>
      </c>
      <c r="C21">
        <v>48</v>
      </c>
      <c r="D21" t="s">
        <v>27</v>
      </c>
      <c r="E21" t="s">
        <v>45</v>
      </c>
      <c r="F21" s="1">
        <v>42426</v>
      </c>
      <c r="G21" s="1">
        <v>42493</v>
      </c>
      <c r="H21" t="s">
        <v>41</v>
      </c>
      <c r="I21">
        <v>67</v>
      </c>
      <c r="J21" t="s">
        <v>22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 t="s">
        <v>23</v>
      </c>
      <c r="R21">
        <v>0</v>
      </c>
    </row>
    <row r="22" spans="1:18">
      <c r="A22" s="4">
        <v>44148300000000</v>
      </c>
      <c r="B22" t="s">
        <v>18</v>
      </c>
      <c r="C22">
        <v>32</v>
      </c>
      <c r="D22" t="s">
        <v>37</v>
      </c>
      <c r="E22" t="s">
        <v>44</v>
      </c>
      <c r="F22" s="1">
        <v>42429</v>
      </c>
      <c r="G22" s="1">
        <v>42489</v>
      </c>
      <c r="H22" t="s">
        <v>21</v>
      </c>
      <c r="I22">
        <v>60</v>
      </c>
      <c r="J22" t="s">
        <v>22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 t="s">
        <v>26</v>
      </c>
      <c r="R22">
        <v>1</v>
      </c>
    </row>
    <row r="23" spans="1:18">
      <c r="A23" s="4">
        <v>56864900000000</v>
      </c>
      <c r="B23" t="s">
        <v>18</v>
      </c>
      <c r="C23">
        <v>83</v>
      </c>
      <c r="D23" t="s">
        <v>19</v>
      </c>
      <c r="E23" t="s">
        <v>39</v>
      </c>
      <c r="F23" s="1">
        <v>42430</v>
      </c>
      <c r="G23" s="1">
        <v>42492</v>
      </c>
      <c r="H23" t="s">
        <v>30</v>
      </c>
      <c r="I23">
        <v>62</v>
      </c>
      <c r="J23" t="s">
        <v>22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 t="s">
        <v>23</v>
      </c>
      <c r="R23">
        <v>0</v>
      </c>
    </row>
    <row r="24" spans="1:18">
      <c r="A24" s="4">
        <v>357498000000000</v>
      </c>
      <c r="B24" t="s">
        <v>18</v>
      </c>
      <c r="C24">
        <v>56</v>
      </c>
      <c r="D24" t="s">
        <v>35</v>
      </c>
      <c r="E24" t="s">
        <v>39</v>
      </c>
      <c r="F24" s="1">
        <v>42430</v>
      </c>
      <c r="G24" s="1">
        <v>42492</v>
      </c>
      <c r="H24" t="s">
        <v>30</v>
      </c>
      <c r="I24">
        <v>62</v>
      </c>
      <c r="J24" t="s">
        <v>22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 t="s">
        <v>23</v>
      </c>
      <c r="R24">
        <v>0</v>
      </c>
    </row>
    <row r="25" spans="1:18">
      <c r="A25" s="4">
        <v>495557000000</v>
      </c>
      <c r="B25" t="s">
        <v>18</v>
      </c>
      <c r="C25">
        <v>68</v>
      </c>
      <c r="D25" t="s">
        <v>19</v>
      </c>
      <c r="E25" t="s">
        <v>39</v>
      </c>
      <c r="F25" s="1">
        <v>42430</v>
      </c>
      <c r="G25" s="1">
        <v>42492</v>
      </c>
      <c r="H25" t="s">
        <v>30</v>
      </c>
      <c r="I25">
        <v>62</v>
      </c>
      <c r="J25" t="s">
        <v>22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23</v>
      </c>
      <c r="R25">
        <v>0</v>
      </c>
    </row>
    <row r="26" spans="1:18">
      <c r="A26" s="4">
        <v>691418000000000</v>
      </c>
      <c r="B26" t="s">
        <v>28</v>
      </c>
      <c r="C26">
        <v>55</v>
      </c>
      <c r="D26" t="s">
        <v>35</v>
      </c>
      <c r="E26" t="s">
        <v>39</v>
      </c>
      <c r="F26" s="1">
        <v>42430</v>
      </c>
      <c r="G26" s="1">
        <v>42492</v>
      </c>
      <c r="H26" t="s">
        <v>30</v>
      </c>
      <c r="I26">
        <v>62</v>
      </c>
      <c r="J26" t="s">
        <v>22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 t="s">
        <v>23</v>
      </c>
      <c r="R26">
        <v>0</v>
      </c>
    </row>
    <row r="27" spans="1:18">
      <c r="A27" s="4">
        <v>1579250000000</v>
      </c>
      <c r="B27" t="s">
        <v>18</v>
      </c>
      <c r="C27">
        <v>11</v>
      </c>
      <c r="D27" t="s">
        <v>31</v>
      </c>
      <c r="E27" t="s">
        <v>46</v>
      </c>
      <c r="F27" s="1">
        <v>42430</v>
      </c>
      <c r="G27" s="1">
        <v>42500</v>
      </c>
      <c r="H27" t="s">
        <v>41</v>
      </c>
      <c r="I27">
        <v>70</v>
      </c>
      <c r="J27" t="s">
        <v>22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 t="s">
        <v>23</v>
      </c>
      <c r="R27">
        <v>0</v>
      </c>
    </row>
    <row r="28" spans="1:18">
      <c r="A28" s="4">
        <v>89889700000000</v>
      </c>
      <c r="B28" t="s">
        <v>18</v>
      </c>
      <c r="C28">
        <v>67</v>
      </c>
      <c r="D28" t="s">
        <v>19</v>
      </c>
      <c r="E28" t="s">
        <v>39</v>
      </c>
      <c r="F28" s="1">
        <v>42430</v>
      </c>
      <c r="G28" s="1">
        <v>42520</v>
      </c>
      <c r="H28" t="s">
        <v>30</v>
      </c>
      <c r="I28">
        <v>90</v>
      </c>
      <c r="J28" t="s">
        <v>22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 t="s">
        <v>23</v>
      </c>
      <c r="R28">
        <v>0</v>
      </c>
    </row>
    <row r="29" spans="1:18">
      <c r="A29" s="4">
        <v>411343000000</v>
      </c>
      <c r="B29" t="s">
        <v>18</v>
      </c>
      <c r="C29">
        <v>50</v>
      </c>
      <c r="D29" t="s">
        <v>27</v>
      </c>
      <c r="E29" t="s">
        <v>39</v>
      </c>
      <c r="F29" s="1">
        <v>42430</v>
      </c>
      <c r="G29" s="1">
        <v>42492</v>
      </c>
      <c r="H29" t="s">
        <v>30</v>
      </c>
      <c r="I29">
        <v>62</v>
      </c>
      <c r="J29" t="s">
        <v>22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 t="s">
        <v>23</v>
      </c>
      <c r="R29">
        <v>0</v>
      </c>
    </row>
    <row r="30" spans="1:18">
      <c r="A30" s="4">
        <v>1525990000000</v>
      </c>
      <c r="B30" t="s">
        <v>18</v>
      </c>
      <c r="C30">
        <v>19</v>
      </c>
      <c r="D30" t="s">
        <v>37</v>
      </c>
      <c r="E30" t="s">
        <v>39</v>
      </c>
      <c r="F30" s="1">
        <v>42430</v>
      </c>
      <c r="G30" s="1">
        <v>42492</v>
      </c>
      <c r="H30" t="s">
        <v>30</v>
      </c>
      <c r="I30">
        <v>62</v>
      </c>
      <c r="J30" t="s">
        <v>22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 t="s">
        <v>23</v>
      </c>
      <c r="R30">
        <v>0</v>
      </c>
    </row>
    <row r="31" spans="1:18">
      <c r="A31" s="4">
        <v>2687360000000</v>
      </c>
      <c r="B31" t="s">
        <v>18</v>
      </c>
      <c r="C31">
        <v>58</v>
      </c>
      <c r="D31" t="s">
        <v>35</v>
      </c>
      <c r="E31" t="s">
        <v>39</v>
      </c>
      <c r="F31" s="1">
        <v>42430</v>
      </c>
      <c r="G31" s="1">
        <v>42520</v>
      </c>
      <c r="H31" t="s">
        <v>30</v>
      </c>
      <c r="I31">
        <v>90</v>
      </c>
      <c r="J31" t="s">
        <v>22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 t="s">
        <v>23</v>
      </c>
      <c r="R31">
        <v>0</v>
      </c>
    </row>
    <row r="32" spans="1:18">
      <c r="A32" s="4">
        <v>89132200000000</v>
      </c>
      <c r="B32" t="s">
        <v>18</v>
      </c>
      <c r="C32">
        <v>49</v>
      </c>
      <c r="D32" t="s">
        <v>27</v>
      </c>
      <c r="E32" t="s">
        <v>39</v>
      </c>
      <c r="F32" s="1">
        <v>42430</v>
      </c>
      <c r="G32" s="1">
        <v>42499</v>
      </c>
      <c r="H32" t="s">
        <v>30</v>
      </c>
      <c r="I32">
        <v>69</v>
      </c>
      <c r="J32" t="s">
        <v>22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26</v>
      </c>
      <c r="R32">
        <v>1</v>
      </c>
    </row>
    <row r="33" spans="1:18">
      <c r="A33" s="4">
        <v>92549300000000</v>
      </c>
      <c r="B33" t="s">
        <v>18</v>
      </c>
      <c r="C33">
        <v>55</v>
      </c>
      <c r="D33" t="s">
        <v>35</v>
      </c>
      <c r="E33" t="s">
        <v>39</v>
      </c>
      <c r="F33" s="1">
        <v>42430</v>
      </c>
      <c r="G33" s="1">
        <v>42494</v>
      </c>
      <c r="H33" t="s">
        <v>25</v>
      </c>
      <c r="I33">
        <v>64</v>
      </c>
      <c r="J33" t="s">
        <v>22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 t="s">
        <v>23</v>
      </c>
      <c r="R33">
        <v>0</v>
      </c>
    </row>
    <row r="34" spans="1:18">
      <c r="A34" s="4">
        <v>48685300000000</v>
      </c>
      <c r="B34" t="s">
        <v>18</v>
      </c>
      <c r="C34">
        <v>33</v>
      </c>
      <c r="D34" t="s">
        <v>37</v>
      </c>
      <c r="E34" t="s">
        <v>39</v>
      </c>
      <c r="F34" s="1">
        <v>42430</v>
      </c>
      <c r="G34" s="1">
        <v>42492</v>
      </c>
      <c r="H34" t="s">
        <v>30</v>
      </c>
      <c r="I34">
        <v>62</v>
      </c>
      <c r="J34" t="s">
        <v>22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 t="s">
        <v>23</v>
      </c>
      <c r="R34">
        <v>0</v>
      </c>
    </row>
    <row r="35" spans="1:18">
      <c r="A35" s="4">
        <v>8158840000000</v>
      </c>
      <c r="B35" t="s">
        <v>18</v>
      </c>
      <c r="C35">
        <v>68</v>
      </c>
      <c r="D35" t="s">
        <v>19</v>
      </c>
      <c r="E35" t="s">
        <v>47</v>
      </c>
      <c r="F35" s="1">
        <v>42430</v>
      </c>
      <c r="G35" s="1">
        <v>42495</v>
      </c>
      <c r="H35" t="s">
        <v>33</v>
      </c>
      <c r="I35">
        <v>65</v>
      </c>
      <c r="J35" t="s">
        <v>22</v>
      </c>
      <c r="K35">
        <v>0</v>
      </c>
      <c r="L35">
        <v>1</v>
      </c>
      <c r="M35">
        <v>0</v>
      </c>
      <c r="N35">
        <v>0</v>
      </c>
      <c r="O35">
        <v>0</v>
      </c>
      <c r="P35">
        <v>1</v>
      </c>
      <c r="Q35" t="s">
        <v>26</v>
      </c>
      <c r="R35">
        <v>1</v>
      </c>
    </row>
    <row r="36" spans="1:18">
      <c r="A36" s="4">
        <v>61555200000000</v>
      </c>
      <c r="B36" t="s">
        <v>28</v>
      </c>
      <c r="C36">
        <v>70</v>
      </c>
      <c r="D36" t="s">
        <v>19</v>
      </c>
      <c r="E36" t="s">
        <v>39</v>
      </c>
      <c r="F36" s="1">
        <v>42430</v>
      </c>
      <c r="G36" s="1">
        <v>42492</v>
      </c>
      <c r="H36" t="s">
        <v>30</v>
      </c>
      <c r="I36">
        <v>62</v>
      </c>
      <c r="J36" t="s">
        <v>22</v>
      </c>
      <c r="K36">
        <v>0</v>
      </c>
      <c r="L36">
        <v>1</v>
      </c>
      <c r="M36">
        <v>1</v>
      </c>
      <c r="N36">
        <v>0</v>
      </c>
      <c r="O36">
        <v>0</v>
      </c>
      <c r="P36">
        <v>1</v>
      </c>
      <c r="Q36" t="s">
        <v>23</v>
      </c>
      <c r="R36">
        <v>0</v>
      </c>
    </row>
    <row r="37" spans="1:18">
      <c r="A37" s="4">
        <v>2328560000000</v>
      </c>
      <c r="B37" t="s">
        <v>18</v>
      </c>
      <c r="C37">
        <v>62</v>
      </c>
      <c r="D37" t="s">
        <v>35</v>
      </c>
      <c r="E37" t="s">
        <v>39</v>
      </c>
      <c r="F37" s="1">
        <v>42430</v>
      </c>
      <c r="G37" s="1">
        <v>42496</v>
      </c>
      <c r="H37" t="s">
        <v>21</v>
      </c>
      <c r="I37">
        <v>66</v>
      </c>
      <c r="J37" t="s">
        <v>22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23</v>
      </c>
      <c r="R37">
        <v>0</v>
      </c>
    </row>
    <row r="38" spans="1:18">
      <c r="A38" s="4">
        <v>2328560000000</v>
      </c>
      <c r="B38" t="s">
        <v>18</v>
      </c>
      <c r="C38">
        <v>62</v>
      </c>
      <c r="D38" t="s">
        <v>35</v>
      </c>
      <c r="E38" t="s">
        <v>39</v>
      </c>
      <c r="F38" s="1">
        <v>42430</v>
      </c>
      <c r="G38" s="1">
        <v>42496</v>
      </c>
      <c r="H38" t="s">
        <v>21</v>
      </c>
      <c r="I38">
        <v>66</v>
      </c>
      <c r="J38" t="s">
        <v>22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 t="s">
        <v>23</v>
      </c>
      <c r="R38">
        <v>0</v>
      </c>
    </row>
    <row r="39" spans="1:18">
      <c r="A39" s="4">
        <v>778556000000000</v>
      </c>
      <c r="B39" t="s">
        <v>28</v>
      </c>
      <c r="C39">
        <v>63</v>
      </c>
      <c r="D39" t="s">
        <v>35</v>
      </c>
      <c r="E39" t="s">
        <v>39</v>
      </c>
      <c r="F39" s="1">
        <v>42430</v>
      </c>
      <c r="G39" s="1">
        <v>42496</v>
      </c>
      <c r="H39" t="s">
        <v>21</v>
      </c>
      <c r="I39">
        <v>66</v>
      </c>
      <c r="J39" t="s">
        <v>22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 t="s">
        <v>23</v>
      </c>
      <c r="R39">
        <v>0</v>
      </c>
    </row>
    <row r="40" spans="1:18">
      <c r="A40" s="4">
        <v>26528600000000</v>
      </c>
      <c r="B40" t="s">
        <v>18</v>
      </c>
      <c r="C40">
        <v>62</v>
      </c>
      <c r="D40" t="s">
        <v>35</v>
      </c>
      <c r="E40" t="s">
        <v>39</v>
      </c>
      <c r="F40" s="1">
        <v>42430</v>
      </c>
      <c r="G40" s="1">
        <v>42521</v>
      </c>
      <c r="H40" t="s">
        <v>41</v>
      </c>
      <c r="I40">
        <v>91</v>
      </c>
      <c r="J40" t="s">
        <v>22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 t="s">
        <v>23</v>
      </c>
      <c r="R40">
        <v>0</v>
      </c>
    </row>
    <row r="41" spans="1:18">
      <c r="A41" s="4">
        <v>9336630000000</v>
      </c>
      <c r="B41" t="s">
        <v>18</v>
      </c>
      <c r="C41">
        <v>75</v>
      </c>
      <c r="D41" t="s">
        <v>19</v>
      </c>
      <c r="E41" t="s">
        <v>39</v>
      </c>
      <c r="F41" s="1">
        <v>42430</v>
      </c>
      <c r="G41" s="1">
        <v>42495</v>
      </c>
      <c r="H41" t="s">
        <v>33</v>
      </c>
      <c r="I41">
        <v>65</v>
      </c>
      <c r="J41" t="s">
        <v>22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 t="s">
        <v>23</v>
      </c>
      <c r="R41">
        <v>0</v>
      </c>
    </row>
    <row r="42" spans="1:18">
      <c r="A42" s="4">
        <v>79297000000000</v>
      </c>
      <c r="B42" t="s">
        <v>18</v>
      </c>
      <c r="C42">
        <v>63</v>
      </c>
      <c r="D42" t="s">
        <v>35</v>
      </c>
      <c r="E42" t="s">
        <v>39</v>
      </c>
      <c r="F42" s="1">
        <v>42430</v>
      </c>
      <c r="G42" s="1">
        <v>42496</v>
      </c>
      <c r="H42" t="s">
        <v>21</v>
      </c>
      <c r="I42">
        <v>66</v>
      </c>
      <c r="J42" t="s">
        <v>22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 t="s">
        <v>23</v>
      </c>
      <c r="R42">
        <v>0</v>
      </c>
    </row>
    <row r="43" spans="1:18">
      <c r="A43" s="4">
        <v>2367830000000</v>
      </c>
      <c r="B43" t="s">
        <v>18</v>
      </c>
      <c r="C43">
        <v>54</v>
      </c>
      <c r="D43" t="s">
        <v>35</v>
      </c>
      <c r="E43" t="s">
        <v>39</v>
      </c>
      <c r="F43" s="1">
        <v>42430</v>
      </c>
      <c r="G43" s="1">
        <v>42521</v>
      </c>
      <c r="H43" t="s">
        <v>41</v>
      </c>
      <c r="I43">
        <v>91</v>
      </c>
      <c r="J43" t="s">
        <v>22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 t="s">
        <v>26</v>
      </c>
      <c r="R43">
        <v>1</v>
      </c>
    </row>
    <row r="44" spans="1:18">
      <c r="A44" s="4">
        <v>824433000000000</v>
      </c>
      <c r="B44" t="s">
        <v>18</v>
      </c>
      <c r="C44">
        <v>49</v>
      </c>
      <c r="D44" t="s">
        <v>27</v>
      </c>
      <c r="E44" t="s">
        <v>39</v>
      </c>
      <c r="F44" s="1">
        <v>42430</v>
      </c>
      <c r="G44" s="1">
        <v>42494</v>
      </c>
      <c r="H44" t="s">
        <v>25</v>
      </c>
      <c r="I44">
        <v>64</v>
      </c>
      <c r="J44" t="s">
        <v>22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 t="s">
        <v>23</v>
      </c>
      <c r="R44">
        <v>0</v>
      </c>
    </row>
    <row r="45" spans="1:18">
      <c r="A45" s="4">
        <v>2367830000000</v>
      </c>
      <c r="B45" t="s">
        <v>18</v>
      </c>
      <c r="C45">
        <v>54</v>
      </c>
      <c r="D45" t="s">
        <v>35</v>
      </c>
      <c r="E45" t="s">
        <v>39</v>
      </c>
      <c r="F45" s="1">
        <v>42430</v>
      </c>
      <c r="G45" s="1">
        <v>42494</v>
      </c>
      <c r="H45" t="s">
        <v>25</v>
      </c>
      <c r="I45">
        <v>64</v>
      </c>
      <c r="J45" t="s">
        <v>22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 t="s">
        <v>26</v>
      </c>
      <c r="R45">
        <v>1</v>
      </c>
    </row>
    <row r="46" spans="1:18">
      <c r="A46" s="4">
        <v>265269000000</v>
      </c>
      <c r="B46" t="s">
        <v>28</v>
      </c>
      <c r="C46">
        <v>57</v>
      </c>
      <c r="D46" t="s">
        <v>35</v>
      </c>
      <c r="E46" t="s">
        <v>39</v>
      </c>
      <c r="F46" s="1">
        <v>42430</v>
      </c>
      <c r="G46" s="1">
        <v>42493</v>
      </c>
      <c r="H46" t="s">
        <v>41</v>
      </c>
      <c r="I46">
        <v>63</v>
      </c>
      <c r="J46" t="s">
        <v>22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 t="s">
        <v>23</v>
      </c>
      <c r="R46">
        <v>0</v>
      </c>
    </row>
    <row r="47" spans="1:18">
      <c r="A47" s="4">
        <v>51394500000000</v>
      </c>
      <c r="B47" t="s">
        <v>28</v>
      </c>
      <c r="C47">
        <v>39</v>
      </c>
      <c r="D47" t="s">
        <v>27</v>
      </c>
      <c r="E47" t="s">
        <v>39</v>
      </c>
      <c r="F47" s="1">
        <v>42430</v>
      </c>
      <c r="G47" s="1">
        <v>42494</v>
      </c>
      <c r="H47" t="s">
        <v>25</v>
      </c>
      <c r="I47">
        <v>64</v>
      </c>
      <c r="J47" t="s">
        <v>22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 t="s">
        <v>23</v>
      </c>
      <c r="R47">
        <v>0</v>
      </c>
    </row>
    <row r="48" spans="1:18">
      <c r="A48" s="4">
        <v>164163000000000</v>
      </c>
      <c r="B48" t="s">
        <v>18</v>
      </c>
      <c r="C48">
        <v>39</v>
      </c>
      <c r="D48" t="s">
        <v>27</v>
      </c>
      <c r="E48" t="s">
        <v>39</v>
      </c>
      <c r="F48" s="1">
        <v>42430</v>
      </c>
      <c r="G48" s="1">
        <v>42499</v>
      </c>
      <c r="H48" t="s">
        <v>30</v>
      </c>
      <c r="I48">
        <v>69</v>
      </c>
      <c r="J48" t="s">
        <v>22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26</v>
      </c>
      <c r="R48">
        <v>1</v>
      </c>
    </row>
    <row r="49" spans="1:18">
      <c r="A49" s="4">
        <v>23939400000000</v>
      </c>
      <c r="B49" t="s">
        <v>18</v>
      </c>
      <c r="C49">
        <v>21</v>
      </c>
      <c r="D49" t="s">
        <v>37</v>
      </c>
      <c r="E49" t="s">
        <v>39</v>
      </c>
      <c r="F49" s="1">
        <v>42430</v>
      </c>
      <c r="G49" s="1">
        <v>42506</v>
      </c>
      <c r="H49" t="s">
        <v>30</v>
      </c>
      <c r="I49">
        <v>76</v>
      </c>
      <c r="J49" t="s">
        <v>22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23</v>
      </c>
      <c r="R49">
        <v>0</v>
      </c>
    </row>
    <row r="50" spans="1:18">
      <c r="A50" s="4">
        <v>22615228532</v>
      </c>
      <c r="B50" t="s">
        <v>28</v>
      </c>
      <c r="C50">
        <v>56</v>
      </c>
      <c r="D50" t="s">
        <v>35</v>
      </c>
      <c r="E50" t="s">
        <v>39</v>
      </c>
      <c r="F50" s="1">
        <v>42430</v>
      </c>
      <c r="G50" s="1">
        <v>42508</v>
      </c>
      <c r="H50" t="s">
        <v>25</v>
      </c>
      <c r="I50">
        <v>78</v>
      </c>
      <c r="J50" t="s">
        <v>22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 t="s">
        <v>23</v>
      </c>
      <c r="R50">
        <v>0</v>
      </c>
    </row>
    <row r="51" spans="1:18">
      <c r="A51" s="4">
        <v>533748000000000</v>
      </c>
      <c r="B51" t="s">
        <v>18</v>
      </c>
      <c r="C51">
        <v>35</v>
      </c>
      <c r="D51" t="s">
        <v>37</v>
      </c>
      <c r="E51" t="s">
        <v>39</v>
      </c>
      <c r="F51" s="1">
        <v>42430</v>
      </c>
      <c r="G51" s="1">
        <v>42493</v>
      </c>
      <c r="H51" t="s">
        <v>41</v>
      </c>
      <c r="I51">
        <v>63</v>
      </c>
      <c r="J51" t="s">
        <v>22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 t="s">
        <v>23</v>
      </c>
      <c r="R51">
        <v>0</v>
      </c>
    </row>
    <row r="52" spans="1:18">
      <c r="A52" s="4">
        <v>17385400000000</v>
      </c>
      <c r="B52" t="s">
        <v>18</v>
      </c>
      <c r="C52">
        <v>32</v>
      </c>
      <c r="D52" t="s">
        <v>37</v>
      </c>
      <c r="E52" t="s">
        <v>39</v>
      </c>
      <c r="F52" s="1">
        <v>42430</v>
      </c>
      <c r="G52" s="1">
        <v>42501</v>
      </c>
      <c r="H52" t="s">
        <v>25</v>
      </c>
      <c r="I52">
        <v>71</v>
      </c>
      <c r="J52" t="s">
        <v>22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 t="s">
        <v>23</v>
      </c>
      <c r="R52">
        <v>0</v>
      </c>
    </row>
    <row r="53" spans="1:18">
      <c r="A53" s="4">
        <v>4633930000000</v>
      </c>
      <c r="B53" t="s">
        <v>18</v>
      </c>
      <c r="C53">
        <v>66</v>
      </c>
      <c r="D53" t="s">
        <v>19</v>
      </c>
      <c r="E53" t="s">
        <v>39</v>
      </c>
      <c r="F53" s="1">
        <v>42430</v>
      </c>
      <c r="G53" s="1">
        <v>42499</v>
      </c>
      <c r="H53" t="s">
        <v>30</v>
      </c>
      <c r="I53">
        <v>69</v>
      </c>
      <c r="J53" t="s">
        <v>22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23</v>
      </c>
      <c r="R53">
        <v>0</v>
      </c>
    </row>
    <row r="54" spans="1:18">
      <c r="A54" s="4">
        <v>9379320000000</v>
      </c>
      <c r="B54" t="s">
        <v>18</v>
      </c>
      <c r="C54">
        <v>73</v>
      </c>
      <c r="D54" t="s">
        <v>19</v>
      </c>
      <c r="E54" t="s">
        <v>39</v>
      </c>
      <c r="F54" s="1">
        <v>42430</v>
      </c>
      <c r="G54" s="1">
        <v>42499</v>
      </c>
      <c r="H54" t="s">
        <v>30</v>
      </c>
      <c r="I54">
        <v>69</v>
      </c>
      <c r="J54" t="s">
        <v>22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23</v>
      </c>
      <c r="R54">
        <v>0</v>
      </c>
    </row>
    <row r="55" spans="1:18">
      <c r="A55" s="4">
        <v>458923000000000</v>
      </c>
      <c r="B55" t="s">
        <v>28</v>
      </c>
      <c r="C55">
        <v>32</v>
      </c>
      <c r="D55" t="s">
        <v>37</v>
      </c>
      <c r="E55" t="s">
        <v>39</v>
      </c>
      <c r="F55" s="1">
        <v>42430</v>
      </c>
      <c r="G55" s="1">
        <v>42500</v>
      </c>
      <c r="H55" t="s">
        <v>41</v>
      </c>
      <c r="I55">
        <v>70</v>
      </c>
      <c r="J55" t="s">
        <v>22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 t="s">
        <v>23</v>
      </c>
      <c r="R55">
        <v>0</v>
      </c>
    </row>
    <row r="56" spans="1:18">
      <c r="A56" s="4">
        <v>826528000000000</v>
      </c>
      <c r="B56" t="s">
        <v>18</v>
      </c>
      <c r="C56">
        <v>89</v>
      </c>
      <c r="D56" t="s">
        <v>19</v>
      </c>
      <c r="E56" t="s">
        <v>39</v>
      </c>
      <c r="F56" s="1">
        <v>42430</v>
      </c>
      <c r="G56" s="1">
        <v>42496</v>
      </c>
      <c r="H56" t="s">
        <v>21</v>
      </c>
      <c r="I56">
        <v>66</v>
      </c>
      <c r="J56" t="s">
        <v>22</v>
      </c>
      <c r="K56">
        <v>0</v>
      </c>
      <c r="L56">
        <v>1</v>
      </c>
      <c r="M56">
        <v>0</v>
      </c>
      <c r="N56">
        <v>0</v>
      </c>
      <c r="O56">
        <v>0</v>
      </c>
      <c r="P56">
        <v>1</v>
      </c>
      <c r="Q56" t="s">
        <v>23</v>
      </c>
      <c r="R56">
        <v>0</v>
      </c>
    </row>
    <row r="57" spans="1:18">
      <c r="A57" s="4">
        <v>958632000000</v>
      </c>
      <c r="B57" t="s">
        <v>28</v>
      </c>
      <c r="C57">
        <v>60</v>
      </c>
      <c r="D57" t="s">
        <v>35</v>
      </c>
      <c r="E57" t="s">
        <v>39</v>
      </c>
      <c r="F57" s="1">
        <v>42430</v>
      </c>
      <c r="G57" s="1">
        <v>42501</v>
      </c>
      <c r="H57" t="s">
        <v>25</v>
      </c>
      <c r="I57">
        <v>71</v>
      </c>
      <c r="J57" t="s">
        <v>22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 t="s">
        <v>23</v>
      </c>
      <c r="R57">
        <v>0</v>
      </c>
    </row>
    <row r="58" spans="1:18">
      <c r="A58" s="4">
        <v>27194500000000</v>
      </c>
      <c r="B58" t="s">
        <v>18</v>
      </c>
      <c r="C58">
        <v>59</v>
      </c>
      <c r="D58" t="s">
        <v>35</v>
      </c>
      <c r="E58" t="s">
        <v>39</v>
      </c>
      <c r="F58" s="1">
        <v>42430</v>
      </c>
      <c r="G58" s="1">
        <v>42503</v>
      </c>
      <c r="H58" t="s">
        <v>21</v>
      </c>
      <c r="I58">
        <v>73</v>
      </c>
      <c r="J58" t="s">
        <v>22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23</v>
      </c>
      <c r="R58">
        <v>0</v>
      </c>
    </row>
    <row r="59" spans="1:18">
      <c r="A59" s="4">
        <v>9693970000000</v>
      </c>
      <c r="B59" t="s">
        <v>18</v>
      </c>
      <c r="C59">
        <v>64</v>
      </c>
      <c r="D59" t="s">
        <v>35</v>
      </c>
      <c r="E59" t="s">
        <v>39</v>
      </c>
      <c r="F59" s="1">
        <v>42430</v>
      </c>
      <c r="G59" s="1">
        <v>42495</v>
      </c>
      <c r="H59" t="s">
        <v>33</v>
      </c>
      <c r="I59">
        <v>65</v>
      </c>
      <c r="J59" t="s">
        <v>22</v>
      </c>
      <c r="K59">
        <v>0</v>
      </c>
      <c r="L59">
        <v>1</v>
      </c>
      <c r="M59">
        <v>1</v>
      </c>
      <c r="N59">
        <v>0</v>
      </c>
      <c r="O59">
        <v>0</v>
      </c>
      <c r="P59">
        <v>1</v>
      </c>
      <c r="Q59" t="s">
        <v>23</v>
      </c>
      <c r="R59">
        <v>0</v>
      </c>
    </row>
    <row r="60" spans="1:18">
      <c r="A60" s="4">
        <v>618833000000000</v>
      </c>
      <c r="B60" t="s">
        <v>28</v>
      </c>
      <c r="C60">
        <v>52</v>
      </c>
      <c r="D60" t="s">
        <v>35</v>
      </c>
      <c r="E60" t="s">
        <v>39</v>
      </c>
      <c r="F60" s="1">
        <v>42430</v>
      </c>
      <c r="G60" s="1">
        <v>42500</v>
      </c>
      <c r="H60" t="s">
        <v>41</v>
      </c>
      <c r="I60">
        <v>70</v>
      </c>
      <c r="J60" t="s">
        <v>22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 t="s">
        <v>23</v>
      </c>
      <c r="R60">
        <v>0</v>
      </c>
    </row>
    <row r="61" spans="1:18">
      <c r="A61" s="4">
        <v>8856700000000</v>
      </c>
      <c r="B61" t="s">
        <v>18</v>
      </c>
      <c r="C61">
        <v>26</v>
      </c>
      <c r="D61" t="s">
        <v>37</v>
      </c>
      <c r="E61" t="s">
        <v>39</v>
      </c>
      <c r="F61" s="1">
        <v>42430</v>
      </c>
      <c r="G61" s="1">
        <v>42520</v>
      </c>
      <c r="H61" t="s">
        <v>30</v>
      </c>
      <c r="I61">
        <v>90</v>
      </c>
      <c r="J61" t="s">
        <v>22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 t="s">
        <v>26</v>
      </c>
      <c r="R61">
        <v>1</v>
      </c>
    </row>
    <row r="62" spans="1:18">
      <c r="A62" s="4">
        <v>364246000000000</v>
      </c>
      <c r="B62" t="s">
        <v>18</v>
      </c>
      <c r="C62">
        <v>62</v>
      </c>
      <c r="D62" t="s">
        <v>35</v>
      </c>
      <c r="E62" t="s">
        <v>39</v>
      </c>
      <c r="F62" s="1">
        <v>42430</v>
      </c>
      <c r="G62" s="1">
        <v>42501</v>
      </c>
      <c r="H62" t="s">
        <v>25</v>
      </c>
      <c r="I62">
        <v>71</v>
      </c>
      <c r="J62" t="s">
        <v>22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 t="s">
        <v>23</v>
      </c>
      <c r="R62">
        <v>0</v>
      </c>
    </row>
    <row r="63" spans="1:18">
      <c r="A63" s="4">
        <v>4668780000000</v>
      </c>
      <c r="B63" t="s">
        <v>18</v>
      </c>
      <c r="C63">
        <v>24</v>
      </c>
      <c r="D63" t="s">
        <v>37</v>
      </c>
      <c r="E63" t="s">
        <v>32</v>
      </c>
      <c r="F63" s="1">
        <v>42431</v>
      </c>
      <c r="G63" s="1">
        <v>42510</v>
      </c>
      <c r="H63" t="s">
        <v>21</v>
      </c>
      <c r="I63">
        <v>79</v>
      </c>
      <c r="J63" t="s">
        <v>22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23</v>
      </c>
      <c r="R63">
        <v>0</v>
      </c>
    </row>
    <row r="64" spans="1:18">
      <c r="A64" s="4">
        <v>619254000000000</v>
      </c>
      <c r="B64" t="s">
        <v>28</v>
      </c>
      <c r="C64">
        <v>28</v>
      </c>
      <c r="D64" t="s">
        <v>37</v>
      </c>
      <c r="E64" t="s">
        <v>48</v>
      </c>
      <c r="F64" s="1">
        <v>42431</v>
      </c>
      <c r="G64" s="1">
        <v>42521</v>
      </c>
      <c r="H64" t="s">
        <v>41</v>
      </c>
      <c r="I64">
        <v>90</v>
      </c>
      <c r="J64" t="s">
        <v>22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 t="s">
        <v>23</v>
      </c>
      <c r="R64">
        <v>0</v>
      </c>
    </row>
    <row r="65" spans="1:18">
      <c r="A65" s="4">
        <v>335837000000</v>
      </c>
      <c r="B65" t="s">
        <v>18</v>
      </c>
      <c r="C65">
        <v>36</v>
      </c>
      <c r="D65" t="s">
        <v>27</v>
      </c>
      <c r="E65" t="s">
        <v>39</v>
      </c>
      <c r="F65" s="1">
        <v>42431</v>
      </c>
      <c r="G65" s="1">
        <v>42502</v>
      </c>
      <c r="H65" t="s">
        <v>33</v>
      </c>
      <c r="I65">
        <v>71</v>
      </c>
      <c r="J65" t="s">
        <v>22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 t="s">
        <v>23</v>
      </c>
      <c r="R65">
        <v>0</v>
      </c>
    </row>
    <row r="66" spans="1:18">
      <c r="A66" s="4">
        <v>9132510000000</v>
      </c>
      <c r="B66" t="s">
        <v>18</v>
      </c>
      <c r="C66">
        <v>62</v>
      </c>
      <c r="D66" t="s">
        <v>35</v>
      </c>
      <c r="E66" t="s">
        <v>39</v>
      </c>
      <c r="F66" s="1">
        <v>42431</v>
      </c>
      <c r="G66" s="1">
        <v>42501</v>
      </c>
      <c r="H66" t="s">
        <v>25</v>
      </c>
      <c r="I66">
        <v>70</v>
      </c>
      <c r="J66" t="s">
        <v>22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 t="s">
        <v>23</v>
      </c>
      <c r="R66">
        <v>0</v>
      </c>
    </row>
    <row r="67" spans="1:18">
      <c r="A67" s="4">
        <v>87757800000000</v>
      </c>
      <c r="B67" t="s">
        <v>18</v>
      </c>
      <c r="C67">
        <v>30</v>
      </c>
      <c r="D67" t="s">
        <v>37</v>
      </c>
      <c r="E67" t="s">
        <v>39</v>
      </c>
      <c r="F67" s="1">
        <v>42431</v>
      </c>
      <c r="G67" s="1">
        <v>42503</v>
      </c>
      <c r="H67" t="s">
        <v>21</v>
      </c>
      <c r="I67">
        <v>72</v>
      </c>
      <c r="J67" t="s">
        <v>22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23</v>
      </c>
      <c r="R67">
        <v>0</v>
      </c>
    </row>
    <row r="68" spans="1:18">
      <c r="A68" s="4">
        <v>89636500000000</v>
      </c>
      <c r="B68" t="s">
        <v>18</v>
      </c>
      <c r="C68">
        <v>75</v>
      </c>
      <c r="D68" t="s">
        <v>19</v>
      </c>
      <c r="E68" t="s">
        <v>40</v>
      </c>
      <c r="F68" s="1">
        <v>42431</v>
      </c>
      <c r="G68" s="1">
        <v>42496</v>
      </c>
      <c r="H68" t="s">
        <v>21</v>
      </c>
      <c r="I68">
        <v>65</v>
      </c>
      <c r="J68" t="s">
        <v>22</v>
      </c>
      <c r="K68">
        <v>0</v>
      </c>
      <c r="L68">
        <v>1</v>
      </c>
      <c r="M68">
        <v>1</v>
      </c>
      <c r="N68">
        <v>0</v>
      </c>
      <c r="O68">
        <v>0</v>
      </c>
      <c r="P68">
        <v>1</v>
      </c>
      <c r="Q68" t="s">
        <v>23</v>
      </c>
      <c r="R68">
        <v>0</v>
      </c>
    </row>
    <row r="69" spans="1:18">
      <c r="A69" s="4">
        <v>321486000000</v>
      </c>
      <c r="B69" t="s">
        <v>18</v>
      </c>
      <c r="C69">
        <v>51</v>
      </c>
      <c r="D69" t="s">
        <v>35</v>
      </c>
      <c r="E69" t="s">
        <v>39</v>
      </c>
      <c r="F69" s="1">
        <v>42431</v>
      </c>
      <c r="G69" s="1">
        <v>42492</v>
      </c>
      <c r="H69" t="s">
        <v>30</v>
      </c>
      <c r="I69">
        <v>61</v>
      </c>
      <c r="J69" t="s">
        <v>22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23</v>
      </c>
      <c r="R69">
        <v>0</v>
      </c>
    </row>
    <row r="70" spans="1:18">
      <c r="A70" s="4">
        <v>8831446545</v>
      </c>
      <c r="B70" t="s">
        <v>18</v>
      </c>
      <c r="C70">
        <v>30</v>
      </c>
      <c r="D70" t="s">
        <v>37</v>
      </c>
      <c r="E70" t="s">
        <v>39</v>
      </c>
      <c r="F70" s="1">
        <v>42431</v>
      </c>
      <c r="G70" s="1">
        <v>42507</v>
      </c>
      <c r="H70" t="s">
        <v>41</v>
      </c>
      <c r="I70">
        <v>76</v>
      </c>
      <c r="J70" t="s">
        <v>22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26</v>
      </c>
      <c r="R70">
        <v>1</v>
      </c>
    </row>
    <row r="71" spans="1:18">
      <c r="A71" s="4">
        <v>72347800000000</v>
      </c>
      <c r="B71" t="s">
        <v>28</v>
      </c>
      <c r="C71">
        <v>50</v>
      </c>
      <c r="D71" t="s">
        <v>27</v>
      </c>
      <c r="E71" t="s">
        <v>39</v>
      </c>
      <c r="F71" s="1">
        <v>42431</v>
      </c>
      <c r="G71" s="1">
        <v>42501</v>
      </c>
      <c r="H71" t="s">
        <v>25</v>
      </c>
      <c r="I71">
        <v>70</v>
      </c>
      <c r="J71" t="s">
        <v>22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 t="s">
        <v>23</v>
      </c>
      <c r="R71">
        <v>0</v>
      </c>
    </row>
    <row r="72" spans="1:18">
      <c r="A72" s="4">
        <v>3114640000000</v>
      </c>
      <c r="B72" t="s">
        <v>18</v>
      </c>
      <c r="C72">
        <v>41</v>
      </c>
      <c r="D72" t="s">
        <v>27</v>
      </c>
      <c r="E72" t="s">
        <v>46</v>
      </c>
      <c r="F72" s="1">
        <v>42432</v>
      </c>
      <c r="G72" s="1">
        <v>42501</v>
      </c>
      <c r="H72" t="s">
        <v>25</v>
      </c>
      <c r="I72">
        <v>69</v>
      </c>
      <c r="J72" t="s">
        <v>22</v>
      </c>
      <c r="K72">
        <v>1</v>
      </c>
      <c r="L72">
        <v>0</v>
      </c>
      <c r="M72">
        <v>0</v>
      </c>
      <c r="N72">
        <v>0</v>
      </c>
      <c r="O72">
        <v>0</v>
      </c>
      <c r="P72">
        <v>1</v>
      </c>
      <c r="Q72" t="s">
        <v>23</v>
      </c>
      <c r="R72">
        <v>0</v>
      </c>
    </row>
    <row r="73" spans="1:18">
      <c r="A73" s="4">
        <v>377278000000</v>
      </c>
      <c r="B73" t="s">
        <v>18</v>
      </c>
      <c r="C73">
        <v>63</v>
      </c>
      <c r="D73" t="s">
        <v>35</v>
      </c>
      <c r="E73" t="s">
        <v>46</v>
      </c>
      <c r="F73" s="1">
        <v>42432</v>
      </c>
      <c r="G73" s="1">
        <v>42493</v>
      </c>
      <c r="H73" t="s">
        <v>41</v>
      </c>
      <c r="I73">
        <v>61</v>
      </c>
      <c r="J73" t="s">
        <v>22</v>
      </c>
      <c r="K73">
        <v>0</v>
      </c>
      <c r="L73">
        <v>1</v>
      </c>
      <c r="M73">
        <v>0</v>
      </c>
      <c r="N73">
        <v>0</v>
      </c>
      <c r="O73">
        <v>0</v>
      </c>
      <c r="P73">
        <v>1</v>
      </c>
      <c r="Q73" t="s">
        <v>23</v>
      </c>
      <c r="R73">
        <v>0</v>
      </c>
    </row>
    <row r="74" spans="1:18">
      <c r="A74" s="4">
        <v>3622430000000</v>
      </c>
      <c r="B74" t="s">
        <v>28</v>
      </c>
      <c r="C74">
        <v>32</v>
      </c>
      <c r="D74" t="s">
        <v>37</v>
      </c>
      <c r="E74" t="s">
        <v>39</v>
      </c>
      <c r="F74" s="1">
        <v>42432</v>
      </c>
      <c r="G74" s="1">
        <v>42520</v>
      </c>
      <c r="H74" t="s">
        <v>30</v>
      </c>
      <c r="I74">
        <v>88</v>
      </c>
      <c r="J74" t="s">
        <v>22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 t="s">
        <v>26</v>
      </c>
      <c r="R74">
        <v>1</v>
      </c>
    </row>
    <row r="75" spans="1:18">
      <c r="A75" s="4">
        <v>1656200000000</v>
      </c>
      <c r="B75" t="s">
        <v>18</v>
      </c>
      <c r="C75">
        <v>60</v>
      </c>
      <c r="D75" t="s">
        <v>35</v>
      </c>
      <c r="E75" t="s">
        <v>39</v>
      </c>
      <c r="F75" s="1">
        <v>42432</v>
      </c>
      <c r="G75" s="1">
        <v>42503</v>
      </c>
      <c r="H75" t="s">
        <v>21</v>
      </c>
      <c r="I75">
        <v>71</v>
      </c>
      <c r="J75" t="s">
        <v>22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23</v>
      </c>
      <c r="R75">
        <v>0</v>
      </c>
    </row>
    <row r="76" spans="1:18">
      <c r="A76" s="4">
        <v>1428930000000</v>
      </c>
      <c r="B76" t="s">
        <v>28</v>
      </c>
      <c r="C76">
        <v>56</v>
      </c>
      <c r="D76" t="s">
        <v>35</v>
      </c>
      <c r="E76" t="s">
        <v>49</v>
      </c>
      <c r="F76" s="1">
        <v>42432</v>
      </c>
      <c r="G76" s="1">
        <v>42494</v>
      </c>
      <c r="H76" t="s">
        <v>25</v>
      </c>
      <c r="I76">
        <v>62</v>
      </c>
      <c r="J76" t="s">
        <v>22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 t="s">
        <v>23</v>
      </c>
      <c r="R76">
        <v>0</v>
      </c>
    </row>
    <row r="77" spans="1:18">
      <c r="A77" s="4">
        <v>788719000000000</v>
      </c>
      <c r="B77" t="s">
        <v>28</v>
      </c>
      <c r="C77">
        <v>59</v>
      </c>
      <c r="D77" t="s">
        <v>35</v>
      </c>
      <c r="E77" t="s">
        <v>45</v>
      </c>
      <c r="F77" s="1">
        <v>42432</v>
      </c>
      <c r="G77" s="1">
        <v>42503</v>
      </c>
      <c r="H77" t="s">
        <v>21</v>
      </c>
      <c r="I77">
        <v>71</v>
      </c>
      <c r="J77" t="s">
        <v>22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26</v>
      </c>
      <c r="R77">
        <v>1</v>
      </c>
    </row>
    <row r="78" spans="1:18">
      <c r="A78" s="4">
        <v>5396820000000</v>
      </c>
      <c r="B78" t="s">
        <v>18</v>
      </c>
      <c r="C78">
        <v>55</v>
      </c>
      <c r="D78" t="s">
        <v>35</v>
      </c>
      <c r="E78" t="s">
        <v>49</v>
      </c>
      <c r="F78" s="1">
        <v>42432</v>
      </c>
      <c r="G78" s="1">
        <v>42494</v>
      </c>
      <c r="H78" t="s">
        <v>25</v>
      </c>
      <c r="I78">
        <v>62</v>
      </c>
      <c r="J78" t="s">
        <v>22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 t="s">
        <v>23</v>
      </c>
      <c r="R78">
        <v>0</v>
      </c>
    </row>
    <row r="79" spans="1:18">
      <c r="A79" s="4">
        <v>428475000000000</v>
      </c>
      <c r="B79" t="s">
        <v>18</v>
      </c>
      <c r="C79">
        <v>68</v>
      </c>
      <c r="D79" t="s">
        <v>19</v>
      </c>
      <c r="E79" t="s">
        <v>39</v>
      </c>
      <c r="F79" s="1">
        <v>42432</v>
      </c>
      <c r="G79" s="1">
        <v>42510</v>
      </c>
      <c r="H79" t="s">
        <v>21</v>
      </c>
      <c r="I79">
        <v>78</v>
      </c>
      <c r="J79" t="s">
        <v>22</v>
      </c>
      <c r="K79">
        <v>0</v>
      </c>
      <c r="L79">
        <v>1</v>
      </c>
      <c r="M79">
        <v>1</v>
      </c>
      <c r="N79">
        <v>0</v>
      </c>
      <c r="O79">
        <v>0</v>
      </c>
      <c r="P79">
        <v>0</v>
      </c>
      <c r="Q79" t="s">
        <v>23</v>
      </c>
      <c r="R79">
        <v>0</v>
      </c>
    </row>
    <row r="80" spans="1:18">
      <c r="A80" s="4">
        <v>84136800000000</v>
      </c>
      <c r="B80" t="s">
        <v>28</v>
      </c>
      <c r="C80">
        <v>8</v>
      </c>
      <c r="D80" t="s">
        <v>31</v>
      </c>
      <c r="E80" t="s">
        <v>39</v>
      </c>
      <c r="F80" s="1">
        <v>42433</v>
      </c>
      <c r="G80" s="1">
        <v>42492</v>
      </c>
      <c r="H80" t="s">
        <v>30</v>
      </c>
      <c r="I80">
        <v>59</v>
      </c>
      <c r="J80" t="s">
        <v>22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 t="s">
        <v>23</v>
      </c>
      <c r="R80">
        <v>0</v>
      </c>
    </row>
    <row r="81" spans="1:18">
      <c r="A81" s="4">
        <v>828687000000000</v>
      </c>
      <c r="B81" t="s">
        <v>28</v>
      </c>
      <c r="C81">
        <v>55</v>
      </c>
      <c r="D81" t="s">
        <v>35</v>
      </c>
      <c r="E81" t="s">
        <v>46</v>
      </c>
      <c r="F81" s="1">
        <v>42433</v>
      </c>
      <c r="G81" s="1">
        <v>42496</v>
      </c>
      <c r="H81" t="s">
        <v>21</v>
      </c>
      <c r="I81">
        <v>63</v>
      </c>
      <c r="J81" t="s">
        <v>22</v>
      </c>
      <c r="K81">
        <v>1</v>
      </c>
      <c r="L81">
        <v>1</v>
      </c>
      <c r="M81">
        <v>0</v>
      </c>
      <c r="N81">
        <v>0</v>
      </c>
      <c r="O81">
        <v>0</v>
      </c>
      <c r="P81">
        <v>1</v>
      </c>
      <c r="Q81" t="s">
        <v>23</v>
      </c>
      <c r="R81">
        <v>0</v>
      </c>
    </row>
    <row r="82" spans="1:18">
      <c r="A82" s="4">
        <v>7489770000000</v>
      </c>
      <c r="B82" t="s">
        <v>28</v>
      </c>
      <c r="C82">
        <v>57</v>
      </c>
      <c r="D82" t="s">
        <v>35</v>
      </c>
      <c r="E82" t="s">
        <v>50</v>
      </c>
      <c r="F82" s="1">
        <v>42433</v>
      </c>
      <c r="G82" s="1">
        <v>42495</v>
      </c>
      <c r="H82" t="s">
        <v>33</v>
      </c>
      <c r="I82">
        <v>62</v>
      </c>
      <c r="J82" t="s">
        <v>22</v>
      </c>
      <c r="K82">
        <v>0</v>
      </c>
      <c r="L82">
        <v>0</v>
      </c>
      <c r="M82">
        <v>0</v>
      </c>
      <c r="N82">
        <v>0</v>
      </c>
      <c r="O82">
        <v>1</v>
      </c>
      <c r="P82">
        <v>1</v>
      </c>
      <c r="Q82" t="s">
        <v>23</v>
      </c>
      <c r="R82">
        <v>0</v>
      </c>
    </row>
    <row r="83" spans="1:18">
      <c r="A83" s="4">
        <v>6424110000000</v>
      </c>
      <c r="B83" t="s">
        <v>18</v>
      </c>
      <c r="C83">
        <v>52</v>
      </c>
      <c r="D83" t="s">
        <v>35</v>
      </c>
      <c r="E83" t="s">
        <v>39</v>
      </c>
      <c r="F83" s="1">
        <v>42433</v>
      </c>
      <c r="G83" s="1">
        <v>42508</v>
      </c>
      <c r="H83" t="s">
        <v>25</v>
      </c>
      <c r="I83">
        <v>75</v>
      </c>
      <c r="J83" t="s">
        <v>22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23</v>
      </c>
      <c r="R83">
        <v>0</v>
      </c>
    </row>
    <row r="84" spans="1:18">
      <c r="A84" s="4">
        <v>31263700000000</v>
      </c>
      <c r="B84" t="s">
        <v>18</v>
      </c>
      <c r="C84">
        <v>55</v>
      </c>
      <c r="D84" t="s">
        <v>35</v>
      </c>
      <c r="E84" t="s">
        <v>39</v>
      </c>
      <c r="F84" s="1">
        <v>42433</v>
      </c>
      <c r="G84" s="1">
        <v>42508</v>
      </c>
      <c r="H84" t="s">
        <v>25</v>
      </c>
      <c r="I84">
        <v>75</v>
      </c>
      <c r="J84" t="s">
        <v>22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23</v>
      </c>
      <c r="R84">
        <v>0</v>
      </c>
    </row>
    <row r="85" spans="1:18">
      <c r="A85" s="4">
        <v>53192100000000</v>
      </c>
      <c r="B85" t="s">
        <v>28</v>
      </c>
      <c r="C85">
        <v>22</v>
      </c>
      <c r="D85" t="s">
        <v>37</v>
      </c>
      <c r="E85" t="s">
        <v>32</v>
      </c>
      <c r="F85" s="1">
        <v>42433</v>
      </c>
      <c r="G85" s="1">
        <v>42492</v>
      </c>
      <c r="H85" t="s">
        <v>30</v>
      </c>
      <c r="I85">
        <v>59</v>
      </c>
      <c r="J85" t="s">
        <v>22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 t="s">
        <v>23</v>
      </c>
      <c r="R85">
        <v>0</v>
      </c>
    </row>
    <row r="86" spans="1:18">
      <c r="A86" s="4">
        <v>62526600000000</v>
      </c>
      <c r="B86" t="s">
        <v>18</v>
      </c>
      <c r="C86">
        <v>59</v>
      </c>
      <c r="D86" t="s">
        <v>35</v>
      </c>
      <c r="E86" t="s">
        <v>39</v>
      </c>
      <c r="F86" s="1">
        <v>42433</v>
      </c>
      <c r="G86" s="1">
        <v>42508</v>
      </c>
      <c r="H86" t="s">
        <v>25</v>
      </c>
      <c r="I86">
        <v>75</v>
      </c>
      <c r="J86" t="s">
        <v>22</v>
      </c>
      <c r="K86">
        <v>0</v>
      </c>
      <c r="L86">
        <v>1</v>
      </c>
      <c r="M86">
        <v>1</v>
      </c>
      <c r="N86">
        <v>0</v>
      </c>
      <c r="O86">
        <v>0</v>
      </c>
      <c r="P86">
        <v>0</v>
      </c>
      <c r="Q86" t="s">
        <v>23</v>
      </c>
      <c r="R86">
        <v>0</v>
      </c>
    </row>
    <row r="87" spans="1:18">
      <c r="A87" s="4">
        <v>534157000000000</v>
      </c>
      <c r="B87" t="s">
        <v>18</v>
      </c>
      <c r="C87">
        <v>79</v>
      </c>
      <c r="D87" t="s">
        <v>19</v>
      </c>
      <c r="E87" t="s">
        <v>51</v>
      </c>
      <c r="F87" s="1">
        <v>42433</v>
      </c>
      <c r="G87" s="1">
        <v>42496</v>
      </c>
      <c r="H87" t="s">
        <v>21</v>
      </c>
      <c r="I87">
        <v>63</v>
      </c>
      <c r="J87" t="s">
        <v>22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 t="s">
        <v>26</v>
      </c>
      <c r="R87">
        <v>1</v>
      </c>
    </row>
    <row r="88" spans="1:18">
      <c r="A88" s="4">
        <v>33112500000000</v>
      </c>
      <c r="B88" t="s">
        <v>18</v>
      </c>
      <c r="C88">
        <v>45</v>
      </c>
      <c r="D88" t="s">
        <v>27</v>
      </c>
      <c r="E88" t="s">
        <v>39</v>
      </c>
      <c r="F88" s="1">
        <v>42433</v>
      </c>
      <c r="G88" s="1">
        <v>42502</v>
      </c>
      <c r="H88" t="s">
        <v>33</v>
      </c>
      <c r="I88">
        <v>69</v>
      </c>
      <c r="J88" t="s">
        <v>22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 t="s">
        <v>23</v>
      </c>
      <c r="R88">
        <v>0</v>
      </c>
    </row>
    <row r="89" spans="1:18">
      <c r="A89" s="4">
        <v>22351300000000</v>
      </c>
      <c r="B89" t="s">
        <v>28</v>
      </c>
      <c r="C89">
        <v>62</v>
      </c>
      <c r="D89" t="s">
        <v>35</v>
      </c>
      <c r="E89" t="s">
        <v>39</v>
      </c>
      <c r="F89" s="1">
        <v>42433</v>
      </c>
      <c r="G89" s="1">
        <v>42510</v>
      </c>
      <c r="H89" t="s">
        <v>21</v>
      </c>
      <c r="I89">
        <v>77</v>
      </c>
      <c r="J89" t="s">
        <v>22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23</v>
      </c>
      <c r="R89">
        <v>0</v>
      </c>
    </row>
    <row r="90" spans="1:18">
      <c r="A90" s="4">
        <v>263783000000</v>
      </c>
      <c r="B90" t="s">
        <v>28</v>
      </c>
      <c r="C90">
        <v>0</v>
      </c>
      <c r="D90" t="s">
        <v>31</v>
      </c>
      <c r="E90" t="s">
        <v>39</v>
      </c>
      <c r="F90" s="1">
        <v>42433</v>
      </c>
      <c r="G90" s="1">
        <v>42510</v>
      </c>
      <c r="H90" t="s">
        <v>21</v>
      </c>
      <c r="I90">
        <v>77</v>
      </c>
      <c r="J90" t="s">
        <v>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26</v>
      </c>
      <c r="R90">
        <v>1</v>
      </c>
    </row>
    <row r="91" spans="1:18">
      <c r="A91" s="4">
        <v>828436000000000</v>
      </c>
      <c r="B91" t="s">
        <v>18</v>
      </c>
      <c r="C91">
        <v>70</v>
      </c>
      <c r="D91" t="s">
        <v>19</v>
      </c>
      <c r="E91" t="s">
        <v>39</v>
      </c>
      <c r="F91" s="1">
        <v>42433</v>
      </c>
      <c r="G91" s="1">
        <v>42509</v>
      </c>
      <c r="H91" t="s">
        <v>33</v>
      </c>
      <c r="I91">
        <v>76</v>
      </c>
      <c r="J91" t="s">
        <v>22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23</v>
      </c>
      <c r="R91">
        <v>0</v>
      </c>
    </row>
    <row r="92" spans="1:18">
      <c r="A92" s="4">
        <v>47748900000000</v>
      </c>
      <c r="B92" t="s">
        <v>18</v>
      </c>
      <c r="C92">
        <v>18</v>
      </c>
      <c r="D92" t="s">
        <v>37</v>
      </c>
      <c r="E92" t="s">
        <v>39</v>
      </c>
      <c r="F92" s="1">
        <v>42433</v>
      </c>
      <c r="G92" s="1">
        <v>42509</v>
      </c>
      <c r="H92" t="s">
        <v>33</v>
      </c>
      <c r="I92">
        <v>76</v>
      </c>
      <c r="J92" t="s">
        <v>22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23</v>
      </c>
      <c r="R92">
        <v>0</v>
      </c>
    </row>
    <row r="93" spans="1:18">
      <c r="A93" s="4">
        <v>42216300000000</v>
      </c>
      <c r="B93" t="s">
        <v>28</v>
      </c>
      <c r="C93">
        <v>0</v>
      </c>
      <c r="D93" t="s">
        <v>31</v>
      </c>
      <c r="E93" t="s">
        <v>32</v>
      </c>
      <c r="F93" s="1">
        <v>42436</v>
      </c>
      <c r="G93" s="1">
        <v>42524</v>
      </c>
      <c r="H93" t="s">
        <v>21</v>
      </c>
      <c r="I93">
        <v>88</v>
      </c>
      <c r="J93" t="s">
        <v>22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 t="s">
        <v>23</v>
      </c>
      <c r="R93">
        <v>0</v>
      </c>
    </row>
    <row r="94" spans="1:18">
      <c r="A94" s="4">
        <v>517145000000000</v>
      </c>
      <c r="B94" t="s">
        <v>28</v>
      </c>
      <c r="C94">
        <v>8</v>
      </c>
      <c r="D94" t="s">
        <v>31</v>
      </c>
      <c r="E94" t="s">
        <v>45</v>
      </c>
      <c r="F94" s="1">
        <v>42436</v>
      </c>
      <c r="G94" s="1">
        <v>42510</v>
      </c>
      <c r="H94" t="s">
        <v>21</v>
      </c>
      <c r="I94">
        <v>74</v>
      </c>
      <c r="J94" t="s">
        <v>22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26</v>
      </c>
      <c r="R94">
        <v>1</v>
      </c>
    </row>
    <row r="95" spans="1:18">
      <c r="A95" s="4">
        <v>54883500000000</v>
      </c>
      <c r="B95" t="s">
        <v>18</v>
      </c>
      <c r="C95">
        <v>58</v>
      </c>
      <c r="D95" t="s">
        <v>35</v>
      </c>
      <c r="E95" t="s">
        <v>52</v>
      </c>
      <c r="F95" s="1">
        <v>42436</v>
      </c>
      <c r="G95" s="1">
        <v>42495</v>
      </c>
      <c r="H95" t="s">
        <v>33</v>
      </c>
      <c r="I95">
        <v>59</v>
      </c>
      <c r="J95" t="s">
        <v>22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 t="s">
        <v>23</v>
      </c>
      <c r="R95">
        <v>0</v>
      </c>
    </row>
    <row r="96" spans="1:18">
      <c r="A96" s="4">
        <v>44242800000000</v>
      </c>
      <c r="B96" t="s">
        <v>18</v>
      </c>
      <c r="C96">
        <v>68</v>
      </c>
      <c r="D96" t="s">
        <v>19</v>
      </c>
      <c r="E96" t="s">
        <v>46</v>
      </c>
      <c r="F96" s="1">
        <v>42436</v>
      </c>
      <c r="G96" s="1">
        <v>42496</v>
      </c>
      <c r="H96" t="s">
        <v>21</v>
      </c>
      <c r="I96">
        <v>60</v>
      </c>
      <c r="J96" t="s">
        <v>22</v>
      </c>
      <c r="K96">
        <v>0</v>
      </c>
      <c r="L96">
        <v>1</v>
      </c>
      <c r="M96">
        <v>1</v>
      </c>
      <c r="N96">
        <v>0</v>
      </c>
      <c r="O96">
        <v>0</v>
      </c>
      <c r="P96">
        <v>1</v>
      </c>
      <c r="Q96" t="s">
        <v>23</v>
      </c>
      <c r="R96">
        <v>0</v>
      </c>
    </row>
    <row r="97" spans="1:18">
      <c r="A97" s="4">
        <v>799833000000000</v>
      </c>
      <c r="B97" t="s">
        <v>28</v>
      </c>
      <c r="C97">
        <v>61</v>
      </c>
      <c r="D97" t="s">
        <v>35</v>
      </c>
      <c r="E97" t="s">
        <v>52</v>
      </c>
      <c r="F97" s="1">
        <v>42436</v>
      </c>
      <c r="G97" s="1">
        <v>42495</v>
      </c>
      <c r="H97" t="s">
        <v>33</v>
      </c>
      <c r="I97">
        <v>59</v>
      </c>
      <c r="J97" t="s">
        <v>22</v>
      </c>
      <c r="K97">
        <v>0</v>
      </c>
      <c r="L97">
        <v>0</v>
      </c>
      <c r="M97">
        <v>0</v>
      </c>
      <c r="N97">
        <v>1</v>
      </c>
      <c r="O97">
        <v>0</v>
      </c>
      <c r="P97">
        <v>1</v>
      </c>
      <c r="Q97" t="s">
        <v>23</v>
      </c>
      <c r="R97">
        <v>0</v>
      </c>
    </row>
    <row r="98" spans="1:18">
      <c r="A98" s="4">
        <v>8244270000000</v>
      </c>
      <c r="B98" t="s">
        <v>18</v>
      </c>
      <c r="C98">
        <v>29</v>
      </c>
      <c r="D98" t="s">
        <v>37</v>
      </c>
      <c r="E98" t="s">
        <v>53</v>
      </c>
      <c r="F98" s="1">
        <v>42436</v>
      </c>
      <c r="G98" s="1">
        <v>42493</v>
      </c>
      <c r="H98" t="s">
        <v>41</v>
      </c>
      <c r="I98">
        <v>57</v>
      </c>
      <c r="J98" t="s">
        <v>22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 t="s">
        <v>23</v>
      </c>
      <c r="R98">
        <v>0</v>
      </c>
    </row>
    <row r="99" spans="1:18">
      <c r="A99" s="4">
        <v>2173197679</v>
      </c>
      <c r="B99" t="s">
        <v>28</v>
      </c>
      <c r="C99">
        <v>48</v>
      </c>
      <c r="D99" t="s">
        <v>27</v>
      </c>
      <c r="E99" t="s">
        <v>39</v>
      </c>
      <c r="F99" s="1">
        <v>42436</v>
      </c>
      <c r="G99" s="1">
        <v>42521</v>
      </c>
      <c r="H99" t="s">
        <v>41</v>
      </c>
      <c r="I99">
        <v>85</v>
      </c>
      <c r="J99" t="s">
        <v>22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 t="s">
        <v>26</v>
      </c>
      <c r="R99">
        <v>1</v>
      </c>
    </row>
    <row r="100" spans="1:18">
      <c r="A100" s="4">
        <v>83463200000000</v>
      </c>
      <c r="B100" t="s">
        <v>18</v>
      </c>
      <c r="C100">
        <v>8</v>
      </c>
      <c r="D100" t="s">
        <v>31</v>
      </c>
      <c r="E100" t="s">
        <v>39</v>
      </c>
      <c r="F100" s="1">
        <v>42436</v>
      </c>
      <c r="G100" s="1">
        <v>42492</v>
      </c>
      <c r="H100" t="s">
        <v>30</v>
      </c>
      <c r="I100">
        <v>56</v>
      </c>
      <c r="J100" t="s">
        <v>22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 t="s">
        <v>23</v>
      </c>
      <c r="R100">
        <v>0</v>
      </c>
    </row>
    <row r="101" spans="1:18">
      <c r="A101" s="4">
        <v>91466629612</v>
      </c>
      <c r="B101" t="s">
        <v>18</v>
      </c>
      <c r="C101">
        <v>67</v>
      </c>
      <c r="D101" t="s">
        <v>19</v>
      </c>
      <c r="E101" t="s">
        <v>39</v>
      </c>
      <c r="F101" s="1">
        <v>42436</v>
      </c>
      <c r="G101" s="1">
        <v>42520</v>
      </c>
      <c r="H101" t="s">
        <v>30</v>
      </c>
      <c r="I101">
        <v>84</v>
      </c>
      <c r="J101" t="s">
        <v>22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23</v>
      </c>
      <c r="R101">
        <v>0</v>
      </c>
    </row>
    <row r="102" spans="1:18">
      <c r="A102" s="4">
        <v>8755450000000</v>
      </c>
      <c r="B102" t="s">
        <v>18</v>
      </c>
      <c r="C102">
        <v>18</v>
      </c>
      <c r="D102" t="s">
        <v>37</v>
      </c>
      <c r="E102" t="s">
        <v>39</v>
      </c>
      <c r="F102" s="1">
        <v>42436</v>
      </c>
      <c r="G102" s="1">
        <v>42521</v>
      </c>
      <c r="H102" t="s">
        <v>41</v>
      </c>
      <c r="I102">
        <v>85</v>
      </c>
      <c r="J102" t="s">
        <v>22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 t="s">
        <v>23</v>
      </c>
      <c r="R102">
        <v>0</v>
      </c>
    </row>
    <row r="103" spans="1:18">
      <c r="A103" s="4">
        <v>92622400000000</v>
      </c>
      <c r="B103" t="s">
        <v>18</v>
      </c>
      <c r="C103">
        <v>68</v>
      </c>
      <c r="D103" t="s">
        <v>19</v>
      </c>
      <c r="E103" t="s">
        <v>46</v>
      </c>
      <c r="F103" s="1">
        <v>42436</v>
      </c>
      <c r="G103" s="1">
        <v>42503</v>
      </c>
      <c r="H103" t="s">
        <v>21</v>
      </c>
      <c r="I103">
        <v>67</v>
      </c>
      <c r="J103" t="s">
        <v>22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 t="s">
        <v>26</v>
      </c>
      <c r="R103">
        <v>1</v>
      </c>
    </row>
    <row r="104" spans="1:18">
      <c r="A104" s="4">
        <v>285911000000000</v>
      </c>
      <c r="B104" t="s">
        <v>18</v>
      </c>
      <c r="C104">
        <v>76</v>
      </c>
      <c r="D104" t="s">
        <v>19</v>
      </c>
      <c r="E104" t="s">
        <v>39</v>
      </c>
      <c r="F104" s="1">
        <v>42436</v>
      </c>
      <c r="G104" s="1">
        <v>42502</v>
      </c>
      <c r="H104" t="s">
        <v>33</v>
      </c>
      <c r="I104">
        <v>66</v>
      </c>
      <c r="J104" t="s">
        <v>22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 t="s">
        <v>23</v>
      </c>
      <c r="R104">
        <v>0</v>
      </c>
    </row>
    <row r="105" spans="1:18">
      <c r="A105" s="4">
        <v>9457460000000</v>
      </c>
      <c r="B105" t="s">
        <v>18</v>
      </c>
      <c r="C105">
        <v>37</v>
      </c>
      <c r="D105" t="s">
        <v>27</v>
      </c>
      <c r="E105" t="s">
        <v>39</v>
      </c>
      <c r="F105" s="1">
        <v>42436</v>
      </c>
      <c r="G105" s="1">
        <v>42521</v>
      </c>
      <c r="H105" t="s">
        <v>41</v>
      </c>
      <c r="I105">
        <v>85</v>
      </c>
      <c r="J105" t="s">
        <v>22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 t="s">
        <v>23</v>
      </c>
      <c r="R105">
        <v>0</v>
      </c>
    </row>
    <row r="106" spans="1:18">
      <c r="A106" s="4">
        <v>66567400000000</v>
      </c>
      <c r="B106" t="s">
        <v>18</v>
      </c>
      <c r="C106">
        <v>67</v>
      </c>
      <c r="D106" t="s">
        <v>19</v>
      </c>
      <c r="E106" t="s">
        <v>39</v>
      </c>
      <c r="F106" s="1">
        <v>42436</v>
      </c>
      <c r="G106" s="1">
        <v>42499</v>
      </c>
      <c r="H106" t="s">
        <v>30</v>
      </c>
      <c r="I106">
        <v>63</v>
      </c>
      <c r="J106" t="s">
        <v>22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23</v>
      </c>
      <c r="R106">
        <v>0</v>
      </c>
    </row>
    <row r="107" spans="1:18">
      <c r="A107" s="4">
        <v>951454000000</v>
      </c>
      <c r="B107" t="s">
        <v>18</v>
      </c>
      <c r="C107">
        <v>10</v>
      </c>
      <c r="D107" t="s">
        <v>31</v>
      </c>
      <c r="E107" t="s">
        <v>39</v>
      </c>
      <c r="F107" s="1">
        <v>42437</v>
      </c>
      <c r="G107" s="1">
        <v>42493</v>
      </c>
      <c r="H107" t="s">
        <v>41</v>
      </c>
      <c r="I107">
        <v>56</v>
      </c>
      <c r="J107" t="s">
        <v>22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 t="s">
        <v>26</v>
      </c>
      <c r="R107">
        <v>1</v>
      </c>
    </row>
    <row r="108" spans="1:18">
      <c r="A108" s="4">
        <v>734244000000000</v>
      </c>
      <c r="B108" t="s">
        <v>28</v>
      </c>
      <c r="C108">
        <v>30</v>
      </c>
      <c r="D108" t="s">
        <v>37</v>
      </c>
      <c r="E108" t="s">
        <v>46</v>
      </c>
      <c r="F108" s="1">
        <v>42437</v>
      </c>
      <c r="G108" s="1">
        <v>42507</v>
      </c>
      <c r="H108" t="s">
        <v>41</v>
      </c>
      <c r="I108">
        <v>70</v>
      </c>
      <c r="J108" t="s">
        <v>22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26</v>
      </c>
      <c r="R108">
        <v>1</v>
      </c>
    </row>
    <row r="109" spans="1:18">
      <c r="A109" s="4">
        <v>459592000000</v>
      </c>
      <c r="B109" t="s">
        <v>28</v>
      </c>
      <c r="C109">
        <v>2</v>
      </c>
      <c r="D109" t="s">
        <v>31</v>
      </c>
      <c r="E109" t="s">
        <v>39</v>
      </c>
      <c r="F109" s="1">
        <v>42437</v>
      </c>
      <c r="G109" s="1">
        <v>42495</v>
      </c>
      <c r="H109" t="s">
        <v>33</v>
      </c>
      <c r="I109">
        <v>58</v>
      </c>
      <c r="J109" t="s">
        <v>22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1</v>
      </c>
      <c r="Q109" t="s">
        <v>23</v>
      </c>
      <c r="R109">
        <v>0</v>
      </c>
    </row>
    <row r="110" spans="1:18">
      <c r="A110" s="4">
        <v>669575000000000</v>
      </c>
      <c r="B110" t="s">
        <v>28</v>
      </c>
      <c r="C110">
        <v>81</v>
      </c>
      <c r="D110" t="s">
        <v>19</v>
      </c>
      <c r="E110" t="s">
        <v>54</v>
      </c>
      <c r="F110" s="1">
        <v>42437</v>
      </c>
      <c r="G110" s="1">
        <v>42524</v>
      </c>
      <c r="H110" t="s">
        <v>21</v>
      </c>
      <c r="I110">
        <v>87</v>
      </c>
      <c r="J110" t="s">
        <v>22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1</v>
      </c>
      <c r="Q110" t="s">
        <v>23</v>
      </c>
      <c r="R110">
        <v>0</v>
      </c>
    </row>
    <row r="111" spans="1:18">
      <c r="A111" s="4">
        <v>54344000000000</v>
      </c>
      <c r="B111" t="s">
        <v>18</v>
      </c>
      <c r="C111">
        <v>73</v>
      </c>
      <c r="D111" t="s">
        <v>19</v>
      </c>
      <c r="E111" t="s">
        <v>40</v>
      </c>
      <c r="F111" s="1">
        <v>42437</v>
      </c>
      <c r="G111" s="1">
        <v>42507</v>
      </c>
      <c r="H111" t="s">
        <v>41</v>
      </c>
      <c r="I111">
        <v>70</v>
      </c>
      <c r="J111" t="s">
        <v>22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26</v>
      </c>
      <c r="R111">
        <v>1</v>
      </c>
    </row>
    <row r="112" spans="1:18">
      <c r="A112" s="4">
        <v>158288000000000</v>
      </c>
      <c r="B112" t="s">
        <v>18</v>
      </c>
      <c r="C112">
        <v>37</v>
      </c>
      <c r="D112" t="s">
        <v>27</v>
      </c>
      <c r="E112" t="s">
        <v>36</v>
      </c>
      <c r="F112" s="1">
        <v>42438</v>
      </c>
      <c r="G112" s="1">
        <v>42496</v>
      </c>
      <c r="H112" t="s">
        <v>21</v>
      </c>
      <c r="I112">
        <v>58</v>
      </c>
      <c r="J112" t="s">
        <v>22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 t="s">
        <v>26</v>
      </c>
      <c r="R112">
        <v>1</v>
      </c>
    </row>
    <row r="113" spans="1:18">
      <c r="A113" s="4">
        <v>8632710000000</v>
      </c>
      <c r="B113" t="s">
        <v>28</v>
      </c>
      <c r="C113">
        <v>64</v>
      </c>
      <c r="D113" t="s">
        <v>35</v>
      </c>
      <c r="E113" t="s">
        <v>48</v>
      </c>
      <c r="F113" s="1">
        <v>42438</v>
      </c>
      <c r="G113" s="1">
        <v>42489</v>
      </c>
      <c r="H113" t="s">
        <v>21</v>
      </c>
      <c r="I113">
        <v>51</v>
      </c>
      <c r="J113" t="s">
        <v>22</v>
      </c>
      <c r="K113">
        <v>0</v>
      </c>
      <c r="L113">
        <v>1</v>
      </c>
      <c r="M113">
        <v>1</v>
      </c>
      <c r="N113">
        <v>0</v>
      </c>
      <c r="O113">
        <v>0</v>
      </c>
      <c r="P113">
        <v>1</v>
      </c>
      <c r="Q113" t="s">
        <v>23</v>
      </c>
      <c r="R113">
        <v>0</v>
      </c>
    </row>
    <row r="114" spans="1:18">
      <c r="A114" s="4">
        <v>1459420000000</v>
      </c>
      <c r="B114" t="s">
        <v>28</v>
      </c>
      <c r="C114">
        <v>43</v>
      </c>
      <c r="D114" t="s">
        <v>27</v>
      </c>
      <c r="E114" t="s">
        <v>40</v>
      </c>
      <c r="F114" s="1">
        <v>42438</v>
      </c>
      <c r="G114" s="1">
        <v>42503</v>
      </c>
      <c r="H114" t="s">
        <v>21</v>
      </c>
      <c r="I114">
        <v>65</v>
      </c>
      <c r="J114" t="s">
        <v>22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 t="s">
        <v>26</v>
      </c>
      <c r="R114">
        <v>1</v>
      </c>
    </row>
    <row r="115" spans="1:18">
      <c r="A115" s="4">
        <v>13344600000000</v>
      </c>
      <c r="B115" t="s">
        <v>28</v>
      </c>
      <c r="C115">
        <v>55</v>
      </c>
      <c r="D115" t="s">
        <v>35</v>
      </c>
      <c r="E115" t="s">
        <v>39</v>
      </c>
      <c r="F115" s="1">
        <v>42438</v>
      </c>
      <c r="G115" s="1">
        <v>42506</v>
      </c>
      <c r="H115" t="s">
        <v>30</v>
      </c>
      <c r="I115">
        <v>68</v>
      </c>
      <c r="J115" t="s">
        <v>22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 t="s">
        <v>23</v>
      </c>
      <c r="R115">
        <v>0</v>
      </c>
    </row>
    <row r="116" spans="1:18">
      <c r="A116" s="4">
        <v>46871600000000</v>
      </c>
      <c r="B116" t="s">
        <v>18</v>
      </c>
      <c r="C116">
        <v>10</v>
      </c>
      <c r="D116" t="s">
        <v>31</v>
      </c>
      <c r="E116" t="s">
        <v>39</v>
      </c>
      <c r="F116" s="1">
        <v>42439</v>
      </c>
      <c r="G116" s="1">
        <v>42499</v>
      </c>
      <c r="H116" t="s">
        <v>30</v>
      </c>
      <c r="I116">
        <v>60</v>
      </c>
      <c r="J116" t="s">
        <v>22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26</v>
      </c>
      <c r="R116">
        <v>1</v>
      </c>
    </row>
    <row r="117" spans="1:18">
      <c r="A117" s="4">
        <v>313412000000</v>
      </c>
      <c r="B117" t="s">
        <v>18</v>
      </c>
      <c r="C117">
        <v>7</v>
      </c>
      <c r="D117" t="s">
        <v>31</v>
      </c>
      <c r="E117" t="s">
        <v>55</v>
      </c>
      <c r="F117" s="1">
        <v>42439</v>
      </c>
      <c r="G117" s="1">
        <v>42492</v>
      </c>
      <c r="H117" t="s">
        <v>30</v>
      </c>
      <c r="I117">
        <v>53</v>
      </c>
      <c r="J117" t="s">
        <v>22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23</v>
      </c>
      <c r="R117">
        <v>0</v>
      </c>
    </row>
    <row r="118" spans="1:18">
      <c r="A118" s="4">
        <v>4812620000000</v>
      </c>
      <c r="B118" t="s">
        <v>18</v>
      </c>
      <c r="C118">
        <v>49</v>
      </c>
      <c r="D118" t="s">
        <v>27</v>
      </c>
      <c r="E118" t="s">
        <v>55</v>
      </c>
      <c r="F118" s="1">
        <v>42439</v>
      </c>
      <c r="G118" s="1">
        <v>42489</v>
      </c>
      <c r="H118" t="s">
        <v>21</v>
      </c>
      <c r="I118">
        <v>50</v>
      </c>
      <c r="J118" t="s">
        <v>22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 t="s">
        <v>23</v>
      </c>
      <c r="R118">
        <v>0</v>
      </c>
    </row>
    <row r="119" spans="1:18">
      <c r="A119" s="4">
        <v>6761870000000</v>
      </c>
      <c r="B119" t="s">
        <v>18</v>
      </c>
      <c r="C119">
        <v>50</v>
      </c>
      <c r="D119" t="s">
        <v>27</v>
      </c>
      <c r="E119" t="s">
        <v>56</v>
      </c>
      <c r="F119" s="1">
        <v>42439</v>
      </c>
      <c r="G119" s="1">
        <v>42501</v>
      </c>
      <c r="H119" t="s">
        <v>25</v>
      </c>
      <c r="I119">
        <v>62</v>
      </c>
      <c r="J119" t="s">
        <v>22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 t="s">
        <v>23</v>
      </c>
      <c r="R119">
        <v>0</v>
      </c>
    </row>
    <row r="120" spans="1:18">
      <c r="A120" s="4">
        <v>861519000000</v>
      </c>
      <c r="B120" t="s">
        <v>18</v>
      </c>
      <c r="C120">
        <v>21</v>
      </c>
      <c r="D120" t="s">
        <v>37</v>
      </c>
      <c r="E120" t="s">
        <v>32</v>
      </c>
      <c r="F120" s="1">
        <v>42439</v>
      </c>
      <c r="G120" s="1">
        <v>42496</v>
      </c>
      <c r="H120" t="s">
        <v>21</v>
      </c>
      <c r="I120">
        <v>57</v>
      </c>
      <c r="J120" t="s">
        <v>22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23</v>
      </c>
      <c r="R120">
        <v>0</v>
      </c>
    </row>
    <row r="121" spans="1:18">
      <c r="A121" s="4">
        <v>116589000000</v>
      </c>
      <c r="B121" t="s">
        <v>18</v>
      </c>
      <c r="C121">
        <v>63</v>
      </c>
      <c r="D121" t="s">
        <v>35</v>
      </c>
      <c r="E121" t="s">
        <v>40</v>
      </c>
      <c r="F121" s="1">
        <v>42440</v>
      </c>
      <c r="G121" s="1">
        <v>42514</v>
      </c>
      <c r="H121" t="s">
        <v>41</v>
      </c>
      <c r="I121">
        <v>74</v>
      </c>
      <c r="J121" t="s">
        <v>22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 t="s">
        <v>23</v>
      </c>
      <c r="R121">
        <v>0</v>
      </c>
    </row>
    <row r="122" spans="1:18">
      <c r="A122" s="4">
        <v>5339140000000</v>
      </c>
      <c r="B122" t="s">
        <v>28</v>
      </c>
      <c r="C122">
        <v>57</v>
      </c>
      <c r="D122" t="s">
        <v>35</v>
      </c>
      <c r="E122" t="s">
        <v>40</v>
      </c>
      <c r="F122" s="1">
        <v>42443</v>
      </c>
      <c r="G122" s="1">
        <v>42503</v>
      </c>
      <c r="H122" t="s">
        <v>21</v>
      </c>
      <c r="I122">
        <v>60</v>
      </c>
      <c r="J122" t="s">
        <v>22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 t="s">
        <v>26</v>
      </c>
      <c r="R122">
        <v>1</v>
      </c>
    </row>
    <row r="123" spans="1:18">
      <c r="A123" s="4">
        <v>54565500000000</v>
      </c>
      <c r="B123" t="s">
        <v>18</v>
      </c>
      <c r="C123">
        <v>38</v>
      </c>
      <c r="D123" t="s">
        <v>27</v>
      </c>
      <c r="E123" t="s">
        <v>57</v>
      </c>
      <c r="F123" s="1">
        <v>42443</v>
      </c>
      <c r="G123" s="1">
        <v>42496</v>
      </c>
      <c r="H123" t="s">
        <v>21</v>
      </c>
      <c r="I123">
        <v>53</v>
      </c>
      <c r="J123" t="s">
        <v>22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 t="s">
        <v>26</v>
      </c>
      <c r="R123">
        <v>1</v>
      </c>
    </row>
    <row r="124" spans="1:18">
      <c r="A124" s="4">
        <v>975942000000000</v>
      </c>
      <c r="B124" t="s">
        <v>18</v>
      </c>
      <c r="C124">
        <v>49</v>
      </c>
      <c r="D124" t="s">
        <v>27</v>
      </c>
      <c r="E124" t="s">
        <v>42</v>
      </c>
      <c r="F124" s="1">
        <v>42443</v>
      </c>
      <c r="G124" s="1">
        <v>42489</v>
      </c>
      <c r="H124" t="s">
        <v>21</v>
      </c>
      <c r="I124">
        <v>46</v>
      </c>
      <c r="J124" t="s">
        <v>22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 t="s">
        <v>23</v>
      </c>
      <c r="R124">
        <v>0</v>
      </c>
    </row>
    <row r="125" spans="1:18">
      <c r="A125" s="4">
        <v>5126550000000</v>
      </c>
      <c r="B125" t="s">
        <v>18</v>
      </c>
      <c r="C125">
        <v>6</v>
      </c>
      <c r="D125" t="s">
        <v>31</v>
      </c>
      <c r="E125" t="s">
        <v>45</v>
      </c>
      <c r="F125" s="1">
        <v>42443</v>
      </c>
      <c r="G125" s="1">
        <v>42503</v>
      </c>
      <c r="H125" t="s">
        <v>21</v>
      </c>
      <c r="I125">
        <v>60</v>
      </c>
      <c r="J125" t="s">
        <v>22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26</v>
      </c>
      <c r="R125">
        <v>1</v>
      </c>
    </row>
    <row r="126" spans="1:18">
      <c r="A126" s="4">
        <v>92351789352</v>
      </c>
      <c r="B126" t="s">
        <v>18</v>
      </c>
      <c r="C126">
        <v>64</v>
      </c>
      <c r="D126" t="s">
        <v>35</v>
      </c>
      <c r="E126" t="s">
        <v>36</v>
      </c>
      <c r="F126" s="1">
        <v>42443</v>
      </c>
      <c r="G126" s="1">
        <v>42492</v>
      </c>
      <c r="H126" t="s">
        <v>30</v>
      </c>
      <c r="I126">
        <v>49</v>
      </c>
      <c r="J126" t="s">
        <v>22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1</v>
      </c>
      <c r="Q126" t="s">
        <v>23</v>
      </c>
      <c r="R126">
        <v>0</v>
      </c>
    </row>
    <row r="127" spans="1:18">
      <c r="A127" s="4">
        <v>12528300000000</v>
      </c>
      <c r="B127" t="s">
        <v>18</v>
      </c>
      <c r="C127">
        <v>78</v>
      </c>
      <c r="D127" t="s">
        <v>19</v>
      </c>
      <c r="E127" t="s">
        <v>39</v>
      </c>
      <c r="F127" s="1">
        <v>42443</v>
      </c>
      <c r="G127" s="1">
        <v>42510</v>
      </c>
      <c r="H127" t="s">
        <v>21</v>
      </c>
      <c r="I127">
        <v>67</v>
      </c>
      <c r="J127" t="s">
        <v>22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23</v>
      </c>
      <c r="R127">
        <v>0</v>
      </c>
    </row>
    <row r="128" spans="1:18">
      <c r="A128" s="4">
        <v>63527300000000</v>
      </c>
      <c r="B128" t="s">
        <v>18</v>
      </c>
      <c r="C128">
        <v>60</v>
      </c>
      <c r="D128" t="s">
        <v>35</v>
      </c>
      <c r="E128" t="s">
        <v>43</v>
      </c>
      <c r="F128" s="1">
        <v>42444</v>
      </c>
      <c r="G128" s="1">
        <v>42493</v>
      </c>
      <c r="H128" t="s">
        <v>41</v>
      </c>
      <c r="I128">
        <v>49</v>
      </c>
      <c r="J128" t="s">
        <v>22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 t="s">
        <v>23</v>
      </c>
      <c r="R128">
        <v>0</v>
      </c>
    </row>
    <row r="129" spans="1:18">
      <c r="A129" s="4">
        <v>254885000000000</v>
      </c>
      <c r="B129" t="s">
        <v>18</v>
      </c>
      <c r="C129">
        <v>54</v>
      </c>
      <c r="D129" t="s">
        <v>35</v>
      </c>
      <c r="E129" t="s">
        <v>39</v>
      </c>
      <c r="F129" s="1">
        <v>42444</v>
      </c>
      <c r="G129" s="1">
        <v>42501</v>
      </c>
      <c r="H129" t="s">
        <v>25</v>
      </c>
      <c r="I129">
        <v>57</v>
      </c>
      <c r="J129" t="s">
        <v>22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1</v>
      </c>
      <c r="Q129" t="s">
        <v>23</v>
      </c>
      <c r="R129">
        <v>0</v>
      </c>
    </row>
    <row r="130" spans="1:18">
      <c r="A130" s="4">
        <v>1485670000000</v>
      </c>
      <c r="B130" t="s">
        <v>18</v>
      </c>
      <c r="C130">
        <v>29</v>
      </c>
      <c r="D130" t="s">
        <v>37</v>
      </c>
      <c r="E130" t="s">
        <v>42</v>
      </c>
      <c r="F130" s="1">
        <v>42444</v>
      </c>
      <c r="G130" s="1">
        <v>42493</v>
      </c>
      <c r="H130" t="s">
        <v>41</v>
      </c>
      <c r="I130">
        <v>49</v>
      </c>
      <c r="J130" t="s">
        <v>22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 t="s">
        <v>26</v>
      </c>
      <c r="R130">
        <v>1</v>
      </c>
    </row>
    <row r="131" spans="1:18">
      <c r="A131" s="4">
        <v>41312900000000</v>
      </c>
      <c r="B131" t="s">
        <v>18</v>
      </c>
      <c r="C131">
        <v>2</v>
      </c>
      <c r="D131" t="s">
        <v>31</v>
      </c>
      <c r="E131" t="s">
        <v>39</v>
      </c>
      <c r="F131" s="1">
        <v>42444</v>
      </c>
      <c r="G131" s="1">
        <v>42506</v>
      </c>
      <c r="H131" t="s">
        <v>30</v>
      </c>
      <c r="I131">
        <v>62</v>
      </c>
      <c r="J131" t="s">
        <v>22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26</v>
      </c>
      <c r="R131">
        <v>1</v>
      </c>
    </row>
    <row r="132" spans="1:18">
      <c r="A132" s="4">
        <v>73372900000000</v>
      </c>
      <c r="B132" t="s">
        <v>18</v>
      </c>
      <c r="C132">
        <v>5</v>
      </c>
      <c r="D132" t="s">
        <v>31</v>
      </c>
      <c r="E132" t="s">
        <v>39</v>
      </c>
      <c r="F132" s="1">
        <v>42445</v>
      </c>
      <c r="G132" s="1">
        <v>42500</v>
      </c>
      <c r="H132" t="s">
        <v>41</v>
      </c>
      <c r="I132">
        <v>55</v>
      </c>
      <c r="J132" t="s">
        <v>22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 t="s">
        <v>26</v>
      </c>
      <c r="R132">
        <v>1</v>
      </c>
    </row>
    <row r="133" spans="1:18">
      <c r="A133" s="4">
        <v>98228900000000</v>
      </c>
      <c r="B133" t="s">
        <v>28</v>
      </c>
      <c r="C133">
        <v>4</v>
      </c>
      <c r="D133" t="s">
        <v>31</v>
      </c>
      <c r="E133" t="s">
        <v>39</v>
      </c>
      <c r="F133" s="1">
        <v>42445</v>
      </c>
      <c r="G133" s="1">
        <v>42502</v>
      </c>
      <c r="H133" t="s">
        <v>33</v>
      </c>
      <c r="I133">
        <v>57</v>
      </c>
      <c r="J133" t="s">
        <v>22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 t="s">
        <v>26</v>
      </c>
      <c r="R133">
        <v>1</v>
      </c>
    </row>
    <row r="134" spans="1:18">
      <c r="A134" s="4">
        <v>7317140000000</v>
      </c>
      <c r="B134" t="s">
        <v>28</v>
      </c>
      <c r="C134">
        <v>0</v>
      </c>
      <c r="D134" t="s">
        <v>31</v>
      </c>
      <c r="E134" t="s">
        <v>39</v>
      </c>
      <c r="F134" s="1">
        <v>42445</v>
      </c>
      <c r="G134" s="1">
        <v>42503</v>
      </c>
      <c r="H134" t="s">
        <v>21</v>
      </c>
      <c r="I134">
        <v>58</v>
      </c>
      <c r="J134" t="s">
        <v>22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23</v>
      </c>
      <c r="R134">
        <v>0</v>
      </c>
    </row>
    <row r="135" spans="1:18">
      <c r="A135" s="4">
        <v>418496000000000</v>
      </c>
      <c r="B135" t="s">
        <v>18</v>
      </c>
      <c r="C135">
        <v>42</v>
      </c>
      <c r="D135" t="s">
        <v>27</v>
      </c>
      <c r="E135" t="s">
        <v>39</v>
      </c>
      <c r="F135" s="1">
        <v>42445</v>
      </c>
      <c r="G135" s="1">
        <v>42501</v>
      </c>
      <c r="H135" t="s">
        <v>25</v>
      </c>
      <c r="I135">
        <v>56</v>
      </c>
      <c r="J135" t="s">
        <v>22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 t="s">
        <v>23</v>
      </c>
      <c r="R135">
        <v>0</v>
      </c>
    </row>
    <row r="136" spans="1:18">
      <c r="A136" s="4">
        <v>96638900000000</v>
      </c>
      <c r="B136" t="s">
        <v>28</v>
      </c>
      <c r="C136">
        <v>1</v>
      </c>
      <c r="D136" t="s">
        <v>31</v>
      </c>
      <c r="E136" t="s">
        <v>45</v>
      </c>
      <c r="F136" s="1">
        <v>42445</v>
      </c>
      <c r="G136" s="1">
        <v>42522</v>
      </c>
      <c r="H136" t="s">
        <v>25</v>
      </c>
      <c r="I136">
        <v>77</v>
      </c>
      <c r="J136" t="s">
        <v>22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 t="s">
        <v>26</v>
      </c>
      <c r="R136">
        <v>1</v>
      </c>
    </row>
    <row r="137" spans="1:18">
      <c r="A137" s="4">
        <v>78134000000000</v>
      </c>
      <c r="B137" t="s">
        <v>18</v>
      </c>
      <c r="C137">
        <v>0</v>
      </c>
      <c r="D137" t="s">
        <v>31</v>
      </c>
      <c r="E137" t="s">
        <v>39</v>
      </c>
      <c r="F137" s="1">
        <v>42445</v>
      </c>
      <c r="G137" s="1">
        <v>42501</v>
      </c>
      <c r="H137" t="s">
        <v>25</v>
      </c>
      <c r="I137">
        <v>56</v>
      </c>
      <c r="J137" t="s">
        <v>22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 t="s">
        <v>26</v>
      </c>
      <c r="R137">
        <v>1</v>
      </c>
    </row>
    <row r="138" spans="1:18">
      <c r="A138" s="4">
        <v>962395000000</v>
      </c>
      <c r="B138" t="s">
        <v>18</v>
      </c>
      <c r="C138">
        <v>18</v>
      </c>
      <c r="D138" t="s">
        <v>37</v>
      </c>
      <c r="E138" t="s">
        <v>58</v>
      </c>
      <c r="F138" s="1">
        <v>42445</v>
      </c>
      <c r="G138" s="1">
        <v>42489</v>
      </c>
      <c r="H138" t="s">
        <v>21</v>
      </c>
      <c r="I138">
        <v>44</v>
      </c>
      <c r="J138" t="s">
        <v>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 t="s">
        <v>26</v>
      </c>
      <c r="R138">
        <v>1</v>
      </c>
    </row>
    <row r="139" spans="1:18">
      <c r="A139" s="4">
        <v>545136000000000</v>
      </c>
      <c r="B139" t="s">
        <v>18</v>
      </c>
      <c r="C139">
        <v>53</v>
      </c>
      <c r="D139" t="s">
        <v>35</v>
      </c>
      <c r="E139" t="s">
        <v>39</v>
      </c>
      <c r="F139" s="1">
        <v>42445</v>
      </c>
      <c r="G139" s="1">
        <v>42493</v>
      </c>
      <c r="H139" t="s">
        <v>41</v>
      </c>
      <c r="I139">
        <v>48</v>
      </c>
      <c r="J139" t="s">
        <v>22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 t="s">
        <v>23</v>
      </c>
      <c r="R139">
        <v>0</v>
      </c>
    </row>
    <row r="140" spans="1:18">
      <c r="A140" s="4">
        <v>73148900000000</v>
      </c>
      <c r="B140" t="s">
        <v>28</v>
      </c>
      <c r="C140">
        <v>19</v>
      </c>
      <c r="D140" t="s">
        <v>37</v>
      </c>
      <c r="E140" t="s">
        <v>54</v>
      </c>
      <c r="F140" s="1">
        <v>42445</v>
      </c>
      <c r="G140" s="1">
        <v>42489</v>
      </c>
      <c r="H140" t="s">
        <v>21</v>
      </c>
      <c r="I140">
        <v>44</v>
      </c>
      <c r="J140" t="s">
        <v>22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 t="s">
        <v>23</v>
      </c>
      <c r="R140">
        <v>0</v>
      </c>
    </row>
    <row r="141" spans="1:18">
      <c r="A141" s="4">
        <v>64928200000000</v>
      </c>
      <c r="B141" t="s">
        <v>18</v>
      </c>
      <c r="C141">
        <v>72</v>
      </c>
      <c r="D141" t="s">
        <v>19</v>
      </c>
      <c r="E141" t="s">
        <v>58</v>
      </c>
      <c r="F141" s="1">
        <v>42445</v>
      </c>
      <c r="G141" s="1">
        <v>42489</v>
      </c>
      <c r="H141" t="s">
        <v>21</v>
      </c>
      <c r="I141">
        <v>44</v>
      </c>
      <c r="J141" t="s">
        <v>22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 t="s">
        <v>26</v>
      </c>
      <c r="R141">
        <v>1</v>
      </c>
    </row>
    <row r="142" spans="1:18">
      <c r="A142" s="4">
        <v>58484372618</v>
      </c>
      <c r="B142" t="s">
        <v>18</v>
      </c>
      <c r="C142">
        <v>8</v>
      </c>
      <c r="D142" t="s">
        <v>31</v>
      </c>
      <c r="E142" t="s">
        <v>54</v>
      </c>
      <c r="F142" s="1">
        <v>42445</v>
      </c>
      <c r="G142" s="1">
        <v>42489</v>
      </c>
      <c r="H142" t="s">
        <v>21</v>
      </c>
      <c r="I142">
        <v>44</v>
      </c>
      <c r="J142" t="s">
        <v>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 t="s">
        <v>23</v>
      </c>
      <c r="R142">
        <v>0</v>
      </c>
    </row>
    <row r="143" spans="1:18">
      <c r="A143" s="4">
        <v>646819000000000</v>
      </c>
      <c r="B143" t="s">
        <v>28</v>
      </c>
      <c r="C143">
        <v>65</v>
      </c>
      <c r="D143" t="s">
        <v>35</v>
      </c>
      <c r="E143" t="s">
        <v>58</v>
      </c>
      <c r="F143" s="1">
        <v>42445</v>
      </c>
      <c r="G143" s="1">
        <v>42489</v>
      </c>
      <c r="H143" t="s">
        <v>21</v>
      </c>
      <c r="I143">
        <v>44</v>
      </c>
      <c r="J143" t="s">
        <v>22</v>
      </c>
      <c r="K143">
        <v>0</v>
      </c>
      <c r="L143">
        <v>1</v>
      </c>
      <c r="M143">
        <v>0</v>
      </c>
      <c r="N143">
        <v>1</v>
      </c>
      <c r="O143">
        <v>0</v>
      </c>
      <c r="P143">
        <v>1</v>
      </c>
      <c r="Q143" t="s">
        <v>26</v>
      </c>
      <c r="R143">
        <v>1</v>
      </c>
    </row>
    <row r="144" spans="1:18">
      <c r="A144" s="4">
        <v>6844780000000</v>
      </c>
      <c r="B144" t="s">
        <v>28</v>
      </c>
      <c r="C144">
        <v>3</v>
      </c>
      <c r="D144" t="s">
        <v>31</v>
      </c>
      <c r="E144" t="s">
        <v>32</v>
      </c>
      <c r="F144" s="1">
        <v>42445</v>
      </c>
      <c r="G144" s="1">
        <v>42489</v>
      </c>
      <c r="H144" t="s">
        <v>21</v>
      </c>
      <c r="I144">
        <v>44</v>
      </c>
      <c r="J144" t="s">
        <v>22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 t="s">
        <v>23</v>
      </c>
      <c r="R144">
        <v>0</v>
      </c>
    </row>
    <row r="145" spans="1:18">
      <c r="A145" s="4">
        <v>96627900000000</v>
      </c>
      <c r="B145" t="s">
        <v>28</v>
      </c>
      <c r="C145">
        <v>55</v>
      </c>
      <c r="D145" t="s">
        <v>35</v>
      </c>
      <c r="E145" t="s">
        <v>39</v>
      </c>
      <c r="F145" s="1">
        <v>42446</v>
      </c>
      <c r="G145" s="1">
        <v>42496</v>
      </c>
      <c r="H145" t="s">
        <v>21</v>
      </c>
      <c r="I145">
        <v>50</v>
      </c>
      <c r="J145" t="s">
        <v>22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 t="s">
        <v>23</v>
      </c>
      <c r="R145">
        <v>0</v>
      </c>
    </row>
    <row r="146" spans="1:18">
      <c r="A146" s="4">
        <v>351182000000000</v>
      </c>
      <c r="B146" t="s">
        <v>28</v>
      </c>
      <c r="C146">
        <v>0</v>
      </c>
      <c r="D146" t="s">
        <v>31</v>
      </c>
      <c r="E146" t="s">
        <v>32</v>
      </c>
      <c r="F146" s="1">
        <v>42446</v>
      </c>
      <c r="G146" s="1">
        <v>42489</v>
      </c>
      <c r="H146" t="s">
        <v>21</v>
      </c>
      <c r="I146">
        <v>43</v>
      </c>
      <c r="J146" t="s">
        <v>22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 t="s">
        <v>23</v>
      </c>
      <c r="R146">
        <v>0</v>
      </c>
    </row>
    <row r="147" spans="1:18">
      <c r="A147" s="4">
        <v>692517000000</v>
      </c>
      <c r="B147" t="s">
        <v>18</v>
      </c>
      <c r="C147">
        <v>50</v>
      </c>
      <c r="D147" t="s">
        <v>27</v>
      </c>
      <c r="E147" t="s">
        <v>42</v>
      </c>
      <c r="F147" s="1">
        <v>42446</v>
      </c>
      <c r="G147" s="1">
        <v>42494</v>
      </c>
      <c r="H147" t="s">
        <v>25</v>
      </c>
      <c r="I147">
        <v>48</v>
      </c>
      <c r="J147" t="s">
        <v>22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 t="s">
        <v>26</v>
      </c>
      <c r="R147">
        <v>1</v>
      </c>
    </row>
    <row r="148" spans="1:18">
      <c r="A148" s="4">
        <v>5957620000000</v>
      </c>
      <c r="B148" t="s">
        <v>18</v>
      </c>
      <c r="C148">
        <v>9</v>
      </c>
      <c r="D148" t="s">
        <v>31</v>
      </c>
      <c r="E148" t="s">
        <v>56</v>
      </c>
      <c r="F148" s="1">
        <v>42446</v>
      </c>
      <c r="G148" s="1">
        <v>42503</v>
      </c>
      <c r="H148" t="s">
        <v>21</v>
      </c>
      <c r="I148">
        <v>57</v>
      </c>
      <c r="J148" t="s">
        <v>22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26</v>
      </c>
      <c r="R148">
        <v>1</v>
      </c>
    </row>
    <row r="149" spans="1:18">
      <c r="A149" s="4">
        <v>3972150000000</v>
      </c>
      <c r="B149" t="s">
        <v>28</v>
      </c>
      <c r="C149">
        <v>54</v>
      </c>
      <c r="D149" t="s">
        <v>35</v>
      </c>
      <c r="E149" t="s">
        <v>32</v>
      </c>
      <c r="F149" s="1">
        <v>42446</v>
      </c>
      <c r="G149" s="1">
        <v>42500</v>
      </c>
      <c r="H149" t="s">
        <v>41</v>
      </c>
      <c r="I149">
        <v>54</v>
      </c>
      <c r="J149" t="s">
        <v>22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 t="s">
        <v>26</v>
      </c>
      <c r="R149">
        <v>1</v>
      </c>
    </row>
    <row r="150" spans="1:18">
      <c r="A150" s="4">
        <v>59548300000000</v>
      </c>
      <c r="B150" t="s">
        <v>18</v>
      </c>
      <c r="C150">
        <v>25</v>
      </c>
      <c r="D150" t="s">
        <v>37</v>
      </c>
      <c r="E150" t="s">
        <v>48</v>
      </c>
      <c r="F150" s="1">
        <v>42446</v>
      </c>
      <c r="G150" s="1">
        <v>42489</v>
      </c>
      <c r="H150" t="s">
        <v>21</v>
      </c>
      <c r="I150">
        <v>43</v>
      </c>
      <c r="J150" t="s">
        <v>22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 t="s">
        <v>26</v>
      </c>
      <c r="R150">
        <v>1</v>
      </c>
    </row>
    <row r="151" spans="1:18">
      <c r="A151" s="4">
        <v>6385850000000</v>
      </c>
      <c r="B151" t="s">
        <v>18</v>
      </c>
      <c r="C151">
        <v>53</v>
      </c>
      <c r="D151" t="s">
        <v>35</v>
      </c>
      <c r="E151" t="s">
        <v>24</v>
      </c>
      <c r="F151" s="1">
        <v>42446</v>
      </c>
      <c r="G151" s="1">
        <v>42499</v>
      </c>
      <c r="H151" t="s">
        <v>30</v>
      </c>
      <c r="I151">
        <v>53</v>
      </c>
      <c r="J151" t="s">
        <v>22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26</v>
      </c>
      <c r="R151">
        <v>1</v>
      </c>
    </row>
    <row r="152" spans="1:18">
      <c r="A152" s="4">
        <v>112874000000000</v>
      </c>
      <c r="B152" t="s">
        <v>18</v>
      </c>
      <c r="C152">
        <v>52</v>
      </c>
      <c r="D152" t="s">
        <v>35</v>
      </c>
      <c r="E152" t="s">
        <v>32</v>
      </c>
      <c r="F152" s="1">
        <v>42446</v>
      </c>
      <c r="G152" s="1">
        <v>42524</v>
      </c>
      <c r="H152" t="s">
        <v>21</v>
      </c>
      <c r="I152">
        <v>78</v>
      </c>
      <c r="J152" t="s">
        <v>22</v>
      </c>
      <c r="K152">
        <v>1</v>
      </c>
      <c r="L152">
        <v>1</v>
      </c>
      <c r="M152">
        <v>1</v>
      </c>
      <c r="N152">
        <v>0</v>
      </c>
      <c r="O152">
        <v>0</v>
      </c>
      <c r="P152">
        <v>1</v>
      </c>
      <c r="Q152" t="s">
        <v>26</v>
      </c>
      <c r="R152">
        <v>1</v>
      </c>
    </row>
    <row r="153" spans="1:18">
      <c r="A153" s="4">
        <v>8577440000000</v>
      </c>
      <c r="B153" t="s">
        <v>18</v>
      </c>
      <c r="C153">
        <v>48</v>
      </c>
      <c r="D153" t="s">
        <v>27</v>
      </c>
      <c r="E153" t="s">
        <v>56</v>
      </c>
      <c r="F153" s="1">
        <v>42446</v>
      </c>
      <c r="G153" s="1">
        <v>42499</v>
      </c>
      <c r="H153" t="s">
        <v>30</v>
      </c>
      <c r="I153">
        <v>53</v>
      </c>
      <c r="J153" t="s">
        <v>22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 t="s">
        <v>23</v>
      </c>
      <c r="R153">
        <v>0</v>
      </c>
    </row>
    <row r="154" spans="1:18">
      <c r="A154" s="4">
        <v>635389000000000</v>
      </c>
      <c r="B154" t="s">
        <v>18</v>
      </c>
      <c r="C154">
        <v>20</v>
      </c>
      <c r="D154" t="s">
        <v>37</v>
      </c>
      <c r="E154" t="s">
        <v>45</v>
      </c>
      <c r="F154" s="1">
        <v>42446</v>
      </c>
      <c r="G154" s="1">
        <v>42492</v>
      </c>
      <c r="H154" t="s">
        <v>30</v>
      </c>
      <c r="I154">
        <v>46</v>
      </c>
      <c r="J154" t="s">
        <v>22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 t="s">
        <v>26</v>
      </c>
      <c r="R154">
        <v>1</v>
      </c>
    </row>
    <row r="155" spans="1:18">
      <c r="A155" s="4">
        <v>717788000000</v>
      </c>
      <c r="B155" t="s">
        <v>18</v>
      </c>
      <c r="C155">
        <v>34</v>
      </c>
      <c r="D155" t="s">
        <v>37</v>
      </c>
      <c r="E155" t="s">
        <v>59</v>
      </c>
      <c r="F155" s="1">
        <v>42447</v>
      </c>
      <c r="G155" s="1">
        <v>42489</v>
      </c>
      <c r="H155" t="s">
        <v>21</v>
      </c>
      <c r="I155">
        <v>42</v>
      </c>
      <c r="J155" t="s">
        <v>22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 t="s">
        <v>26</v>
      </c>
      <c r="R155">
        <v>1</v>
      </c>
    </row>
    <row r="156" spans="1:18">
      <c r="A156" s="4">
        <v>726685000000000</v>
      </c>
      <c r="B156" t="s">
        <v>18</v>
      </c>
      <c r="C156">
        <v>15</v>
      </c>
      <c r="D156" t="s">
        <v>60</v>
      </c>
      <c r="E156" t="s">
        <v>48</v>
      </c>
      <c r="F156" s="1">
        <v>42447</v>
      </c>
      <c r="G156" s="1">
        <v>42489</v>
      </c>
      <c r="H156" t="s">
        <v>21</v>
      </c>
      <c r="I156">
        <v>42</v>
      </c>
      <c r="J156" t="s">
        <v>22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23</v>
      </c>
      <c r="R156">
        <v>0</v>
      </c>
    </row>
    <row r="157" spans="1:18">
      <c r="A157" s="4">
        <v>62974300000000</v>
      </c>
      <c r="B157" t="s">
        <v>28</v>
      </c>
      <c r="C157">
        <v>51</v>
      </c>
      <c r="D157" t="s">
        <v>35</v>
      </c>
      <c r="E157" t="s">
        <v>20</v>
      </c>
      <c r="F157" s="1">
        <v>42447</v>
      </c>
      <c r="G157" s="1">
        <v>42489</v>
      </c>
      <c r="H157" t="s">
        <v>21</v>
      </c>
      <c r="I157">
        <v>42</v>
      </c>
      <c r="J157" t="s">
        <v>22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23</v>
      </c>
      <c r="R157">
        <v>0</v>
      </c>
    </row>
    <row r="158" spans="1:18">
      <c r="A158" s="4">
        <v>13528600000000</v>
      </c>
      <c r="B158" t="s">
        <v>18</v>
      </c>
      <c r="C158">
        <v>3</v>
      </c>
      <c r="D158" t="s">
        <v>31</v>
      </c>
      <c r="E158" t="s">
        <v>32</v>
      </c>
      <c r="F158" s="1">
        <v>42447</v>
      </c>
      <c r="G158" s="1">
        <v>42508</v>
      </c>
      <c r="H158" t="s">
        <v>25</v>
      </c>
      <c r="I158">
        <v>61</v>
      </c>
      <c r="J158" t="s">
        <v>22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26</v>
      </c>
      <c r="R158">
        <v>1</v>
      </c>
    </row>
    <row r="159" spans="1:18">
      <c r="A159" s="4">
        <v>99676396336</v>
      </c>
      <c r="B159" t="s">
        <v>28</v>
      </c>
      <c r="C159">
        <v>0</v>
      </c>
      <c r="D159" t="s">
        <v>31</v>
      </c>
      <c r="E159" t="s">
        <v>39</v>
      </c>
      <c r="F159" s="1">
        <v>42447</v>
      </c>
      <c r="G159" s="1">
        <v>42501</v>
      </c>
      <c r="H159" t="s">
        <v>25</v>
      </c>
      <c r="I159">
        <v>54</v>
      </c>
      <c r="J159" t="s">
        <v>22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 t="s">
        <v>26</v>
      </c>
      <c r="R159">
        <v>1</v>
      </c>
    </row>
    <row r="160" spans="1:18">
      <c r="A160" s="4">
        <v>42641200000000</v>
      </c>
      <c r="B160" t="s">
        <v>18</v>
      </c>
      <c r="C160">
        <v>31</v>
      </c>
      <c r="D160" t="s">
        <v>37</v>
      </c>
      <c r="E160" t="s">
        <v>32</v>
      </c>
      <c r="F160" s="1">
        <v>42447</v>
      </c>
      <c r="G160" s="1">
        <v>42489</v>
      </c>
      <c r="H160" t="s">
        <v>21</v>
      </c>
      <c r="I160">
        <v>42</v>
      </c>
      <c r="J160" t="s">
        <v>22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 t="s">
        <v>23</v>
      </c>
      <c r="R160">
        <v>0</v>
      </c>
    </row>
    <row r="161" spans="1:18">
      <c r="A161" s="4">
        <v>411584000000000</v>
      </c>
      <c r="B161" t="s">
        <v>28</v>
      </c>
      <c r="C161">
        <v>36</v>
      </c>
      <c r="D161" t="s">
        <v>27</v>
      </c>
      <c r="E161" t="s">
        <v>61</v>
      </c>
      <c r="F161" s="1">
        <v>42450</v>
      </c>
      <c r="G161" s="1">
        <v>42489</v>
      </c>
      <c r="H161" t="s">
        <v>21</v>
      </c>
      <c r="I161">
        <v>39</v>
      </c>
      <c r="J161" t="s">
        <v>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 t="s">
        <v>26</v>
      </c>
      <c r="R161">
        <v>1</v>
      </c>
    </row>
    <row r="162" spans="1:18">
      <c r="A162" s="4">
        <v>325647000000</v>
      </c>
      <c r="B162" t="s">
        <v>18</v>
      </c>
      <c r="C162">
        <v>36</v>
      </c>
      <c r="D162" t="s">
        <v>27</v>
      </c>
      <c r="E162" t="s">
        <v>39</v>
      </c>
      <c r="F162" s="1">
        <v>42450</v>
      </c>
      <c r="G162" s="1">
        <v>42494</v>
      </c>
      <c r="H162" t="s">
        <v>25</v>
      </c>
      <c r="I162">
        <v>44</v>
      </c>
      <c r="J162" t="s">
        <v>22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 t="s">
        <v>23</v>
      </c>
      <c r="R162">
        <v>0</v>
      </c>
    </row>
    <row r="163" spans="1:18">
      <c r="A163" s="4">
        <v>9314500000000</v>
      </c>
      <c r="B163" t="s">
        <v>18</v>
      </c>
      <c r="C163">
        <v>14</v>
      </c>
      <c r="D163" t="s">
        <v>60</v>
      </c>
      <c r="E163" t="s">
        <v>24</v>
      </c>
      <c r="F163" s="1">
        <v>42450</v>
      </c>
      <c r="G163" s="1">
        <v>42500</v>
      </c>
      <c r="H163" t="s">
        <v>41</v>
      </c>
      <c r="I163">
        <v>50</v>
      </c>
      <c r="J163" t="s">
        <v>22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26</v>
      </c>
      <c r="R163">
        <v>1</v>
      </c>
    </row>
    <row r="164" spans="1:18">
      <c r="A164" s="4">
        <v>8612880000000</v>
      </c>
      <c r="B164" t="s">
        <v>18</v>
      </c>
      <c r="C164">
        <v>43</v>
      </c>
      <c r="D164" t="s">
        <v>27</v>
      </c>
      <c r="E164" t="s">
        <v>61</v>
      </c>
      <c r="F164" s="1">
        <v>42450</v>
      </c>
      <c r="G164" s="1">
        <v>42489</v>
      </c>
      <c r="H164" t="s">
        <v>21</v>
      </c>
      <c r="I164">
        <v>39</v>
      </c>
      <c r="J164" t="s">
        <v>22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 t="s">
        <v>26</v>
      </c>
      <c r="R164">
        <v>1</v>
      </c>
    </row>
    <row r="165" spans="1:18">
      <c r="A165" s="4">
        <v>8727890000000</v>
      </c>
      <c r="B165" t="s">
        <v>18</v>
      </c>
      <c r="C165">
        <v>72</v>
      </c>
      <c r="D165" t="s">
        <v>19</v>
      </c>
      <c r="E165" t="s">
        <v>36</v>
      </c>
      <c r="F165" s="1">
        <v>42450</v>
      </c>
      <c r="G165" s="1">
        <v>42506</v>
      </c>
      <c r="H165" t="s">
        <v>30</v>
      </c>
      <c r="I165">
        <v>56</v>
      </c>
      <c r="J165" t="s">
        <v>22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 t="s">
        <v>23</v>
      </c>
      <c r="R165">
        <v>0</v>
      </c>
    </row>
    <row r="166" spans="1:18">
      <c r="A166" s="4">
        <v>977416000000</v>
      </c>
      <c r="B166" t="s">
        <v>28</v>
      </c>
      <c r="C166">
        <v>24</v>
      </c>
      <c r="D166" t="s">
        <v>37</v>
      </c>
      <c r="E166" t="s">
        <v>39</v>
      </c>
      <c r="F166" s="1">
        <v>42450</v>
      </c>
      <c r="G166" s="1">
        <v>42507</v>
      </c>
      <c r="H166" t="s">
        <v>41</v>
      </c>
      <c r="I166">
        <v>57</v>
      </c>
      <c r="J166" t="s">
        <v>22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23</v>
      </c>
      <c r="R166">
        <v>0</v>
      </c>
    </row>
    <row r="167" spans="1:18">
      <c r="A167" s="4">
        <v>1719320000000</v>
      </c>
      <c r="B167" t="s">
        <v>28</v>
      </c>
      <c r="C167">
        <v>15</v>
      </c>
      <c r="D167" t="s">
        <v>60</v>
      </c>
      <c r="E167" t="s">
        <v>61</v>
      </c>
      <c r="F167" s="1">
        <v>42450</v>
      </c>
      <c r="G167" s="1">
        <v>42489</v>
      </c>
      <c r="H167" t="s">
        <v>21</v>
      </c>
      <c r="I167">
        <v>39</v>
      </c>
      <c r="J167" t="s">
        <v>22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26</v>
      </c>
      <c r="R167">
        <v>1</v>
      </c>
    </row>
    <row r="168" spans="1:18">
      <c r="A168" s="4">
        <v>127395000000000</v>
      </c>
      <c r="B168" t="s">
        <v>18</v>
      </c>
      <c r="C168">
        <v>31</v>
      </c>
      <c r="D168" t="s">
        <v>37</v>
      </c>
      <c r="E168" t="s">
        <v>42</v>
      </c>
      <c r="F168" s="1">
        <v>42450</v>
      </c>
      <c r="G168" s="1">
        <v>42496</v>
      </c>
      <c r="H168" t="s">
        <v>21</v>
      </c>
      <c r="I168">
        <v>46</v>
      </c>
      <c r="J168" t="s">
        <v>22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 t="s">
        <v>23</v>
      </c>
      <c r="R168">
        <v>0</v>
      </c>
    </row>
    <row r="169" spans="1:18">
      <c r="A169" s="4">
        <v>3741540000000</v>
      </c>
      <c r="B169" t="s">
        <v>28</v>
      </c>
      <c r="C169">
        <v>22</v>
      </c>
      <c r="D169" t="s">
        <v>37</v>
      </c>
      <c r="E169" t="s">
        <v>59</v>
      </c>
      <c r="F169" s="1">
        <v>42450</v>
      </c>
      <c r="G169" s="1">
        <v>42489</v>
      </c>
      <c r="H169" t="s">
        <v>21</v>
      </c>
      <c r="I169">
        <v>39</v>
      </c>
      <c r="J169" t="s">
        <v>22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 t="s">
        <v>23</v>
      </c>
      <c r="R169">
        <v>0</v>
      </c>
    </row>
    <row r="170" spans="1:18">
      <c r="A170" s="4">
        <v>4263660000000</v>
      </c>
      <c r="B170" t="s">
        <v>18</v>
      </c>
      <c r="C170">
        <v>65</v>
      </c>
      <c r="D170" t="s">
        <v>35</v>
      </c>
      <c r="E170" t="s">
        <v>42</v>
      </c>
      <c r="F170" s="1">
        <v>42450</v>
      </c>
      <c r="G170" s="1">
        <v>42496</v>
      </c>
      <c r="H170" t="s">
        <v>21</v>
      </c>
      <c r="I170">
        <v>46</v>
      </c>
      <c r="J170" t="s">
        <v>22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 t="s">
        <v>26</v>
      </c>
      <c r="R170">
        <v>1</v>
      </c>
    </row>
    <row r="171" spans="1:18">
      <c r="A171" s="4">
        <v>35854200000000</v>
      </c>
      <c r="B171" t="s">
        <v>18</v>
      </c>
      <c r="C171">
        <v>59</v>
      </c>
      <c r="D171" t="s">
        <v>35</v>
      </c>
      <c r="E171" t="s">
        <v>62</v>
      </c>
      <c r="F171" s="1">
        <v>42450</v>
      </c>
      <c r="G171" s="1">
        <v>42509</v>
      </c>
      <c r="H171" t="s">
        <v>33</v>
      </c>
      <c r="I171">
        <v>59</v>
      </c>
      <c r="J171" t="s">
        <v>22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23</v>
      </c>
      <c r="R171">
        <v>0</v>
      </c>
    </row>
    <row r="172" spans="1:18">
      <c r="A172" s="4">
        <v>96482200000000</v>
      </c>
      <c r="B172" t="s">
        <v>18</v>
      </c>
      <c r="C172">
        <v>27</v>
      </c>
      <c r="D172" t="s">
        <v>37</v>
      </c>
      <c r="E172" t="s">
        <v>63</v>
      </c>
      <c r="F172" s="1">
        <v>42451</v>
      </c>
      <c r="G172" s="1">
        <v>42493</v>
      </c>
      <c r="H172" t="s">
        <v>41</v>
      </c>
      <c r="I172">
        <v>42</v>
      </c>
      <c r="J172" t="s">
        <v>22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 t="s">
        <v>23</v>
      </c>
      <c r="R172">
        <v>0</v>
      </c>
    </row>
    <row r="173" spans="1:18">
      <c r="A173" s="4">
        <v>126632000000000</v>
      </c>
      <c r="B173" t="s">
        <v>18</v>
      </c>
      <c r="C173">
        <v>50</v>
      </c>
      <c r="D173" t="s">
        <v>27</v>
      </c>
      <c r="E173" t="s">
        <v>47</v>
      </c>
      <c r="F173" s="1">
        <v>42451</v>
      </c>
      <c r="G173" s="1">
        <v>42493</v>
      </c>
      <c r="H173" t="s">
        <v>41</v>
      </c>
      <c r="I173">
        <v>42</v>
      </c>
      <c r="J173" t="s">
        <v>22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 t="s">
        <v>23</v>
      </c>
      <c r="R173">
        <v>0</v>
      </c>
    </row>
    <row r="174" spans="1:18">
      <c r="A174" s="4">
        <v>31214600000000</v>
      </c>
      <c r="B174" t="s">
        <v>18</v>
      </c>
      <c r="C174">
        <v>33</v>
      </c>
      <c r="D174" t="s">
        <v>37</v>
      </c>
      <c r="E174" t="s">
        <v>45</v>
      </c>
      <c r="F174" s="1">
        <v>42451</v>
      </c>
      <c r="G174" s="1">
        <v>42492</v>
      </c>
      <c r="H174" t="s">
        <v>30</v>
      </c>
      <c r="I174">
        <v>41</v>
      </c>
      <c r="J174" t="s">
        <v>22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 t="s">
        <v>26</v>
      </c>
      <c r="R174">
        <v>1</v>
      </c>
    </row>
    <row r="175" spans="1:18">
      <c r="A175" s="4">
        <v>476781000000000</v>
      </c>
      <c r="B175" t="s">
        <v>18</v>
      </c>
      <c r="C175">
        <v>63</v>
      </c>
      <c r="D175" t="s">
        <v>35</v>
      </c>
      <c r="E175" t="s">
        <v>39</v>
      </c>
      <c r="F175" s="1">
        <v>42451</v>
      </c>
      <c r="G175" s="1">
        <v>42501</v>
      </c>
      <c r="H175" t="s">
        <v>25</v>
      </c>
      <c r="I175">
        <v>50</v>
      </c>
      <c r="J175" t="s">
        <v>22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23</v>
      </c>
      <c r="R175">
        <v>0</v>
      </c>
    </row>
    <row r="176" spans="1:18">
      <c r="A176" s="4">
        <v>18865100000000</v>
      </c>
      <c r="B176" t="s">
        <v>18</v>
      </c>
      <c r="C176">
        <v>22</v>
      </c>
      <c r="D176" t="s">
        <v>37</v>
      </c>
      <c r="E176" t="s">
        <v>62</v>
      </c>
      <c r="F176" s="1">
        <v>42451</v>
      </c>
      <c r="G176" s="1">
        <v>42500</v>
      </c>
      <c r="H176" t="s">
        <v>41</v>
      </c>
      <c r="I176">
        <v>49</v>
      </c>
      <c r="J176" t="s">
        <v>22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 t="s">
        <v>23</v>
      </c>
      <c r="R176">
        <v>0</v>
      </c>
    </row>
    <row r="177" spans="1:18">
      <c r="A177" s="4">
        <v>5947650000000</v>
      </c>
      <c r="B177" t="s">
        <v>18</v>
      </c>
      <c r="C177">
        <v>0</v>
      </c>
      <c r="D177" t="s">
        <v>31</v>
      </c>
      <c r="E177" t="s">
        <v>39</v>
      </c>
      <c r="F177" s="1">
        <v>42451</v>
      </c>
      <c r="G177" s="1">
        <v>42509</v>
      </c>
      <c r="H177" t="s">
        <v>33</v>
      </c>
      <c r="I177">
        <v>58</v>
      </c>
      <c r="J177" t="s">
        <v>22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26</v>
      </c>
      <c r="R177">
        <v>1</v>
      </c>
    </row>
    <row r="178" spans="1:18">
      <c r="A178" s="4">
        <v>95196400000000</v>
      </c>
      <c r="B178" t="s">
        <v>18</v>
      </c>
      <c r="C178">
        <v>0</v>
      </c>
      <c r="D178" t="s">
        <v>31</v>
      </c>
      <c r="E178" t="s">
        <v>39</v>
      </c>
      <c r="F178" s="1">
        <v>42451</v>
      </c>
      <c r="G178" s="1">
        <v>42495</v>
      </c>
      <c r="H178" t="s">
        <v>33</v>
      </c>
      <c r="I178">
        <v>44</v>
      </c>
      <c r="J178" t="s">
        <v>22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 t="s">
        <v>23</v>
      </c>
      <c r="R178">
        <v>0</v>
      </c>
    </row>
    <row r="179" spans="1:18">
      <c r="A179" s="4">
        <v>522549000000000</v>
      </c>
      <c r="B179" t="s">
        <v>18</v>
      </c>
      <c r="C179">
        <v>56</v>
      </c>
      <c r="D179" t="s">
        <v>35</v>
      </c>
      <c r="E179" t="s">
        <v>43</v>
      </c>
      <c r="F179" s="1">
        <v>42451</v>
      </c>
      <c r="G179" s="1">
        <v>42501</v>
      </c>
      <c r="H179" t="s">
        <v>25</v>
      </c>
      <c r="I179">
        <v>50</v>
      </c>
      <c r="J179" t="s">
        <v>22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 t="s">
        <v>23</v>
      </c>
      <c r="R179">
        <v>0</v>
      </c>
    </row>
    <row r="180" spans="1:18">
      <c r="A180" s="4">
        <v>711634000000000</v>
      </c>
      <c r="B180" t="s">
        <v>18</v>
      </c>
      <c r="C180">
        <v>56</v>
      </c>
      <c r="D180" t="s">
        <v>35</v>
      </c>
      <c r="E180" t="s">
        <v>32</v>
      </c>
      <c r="F180" s="1">
        <v>42451</v>
      </c>
      <c r="G180" s="1">
        <v>42489</v>
      </c>
      <c r="H180" t="s">
        <v>21</v>
      </c>
      <c r="I180">
        <v>38</v>
      </c>
      <c r="J180" t="s">
        <v>22</v>
      </c>
      <c r="K180">
        <v>0</v>
      </c>
      <c r="L180">
        <v>1</v>
      </c>
      <c r="M180">
        <v>1</v>
      </c>
      <c r="N180">
        <v>0</v>
      </c>
      <c r="O180">
        <v>0</v>
      </c>
      <c r="P180">
        <v>1</v>
      </c>
      <c r="Q180" t="s">
        <v>23</v>
      </c>
      <c r="R180">
        <v>0</v>
      </c>
    </row>
    <row r="181" spans="1:18">
      <c r="A181" s="4">
        <v>56691900000000</v>
      </c>
      <c r="B181" t="s">
        <v>28</v>
      </c>
      <c r="C181">
        <v>26</v>
      </c>
      <c r="D181" t="s">
        <v>37</v>
      </c>
      <c r="E181" t="s">
        <v>39</v>
      </c>
      <c r="F181" s="1">
        <v>42451</v>
      </c>
      <c r="G181" s="1">
        <v>42500</v>
      </c>
      <c r="H181" t="s">
        <v>41</v>
      </c>
      <c r="I181">
        <v>49</v>
      </c>
      <c r="J181" t="s">
        <v>22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26</v>
      </c>
      <c r="R181">
        <v>1</v>
      </c>
    </row>
    <row r="182" spans="1:18">
      <c r="A182" s="4">
        <v>39223800000000</v>
      </c>
      <c r="B182" t="s">
        <v>18</v>
      </c>
      <c r="C182">
        <v>5</v>
      </c>
      <c r="D182" t="s">
        <v>31</v>
      </c>
      <c r="E182" t="s">
        <v>49</v>
      </c>
      <c r="F182" s="1">
        <v>42452</v>
      </c>
      <c r="G182" s="1">
        <v>42494</v>
      </c>
      <c r="H182" t="s">
        <v>25</v>
      </c>
      <c r="I182">
        <v>42</v>
      </c>
      <c r="J182" t="s">
        <v>22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 t="s">
        <v>26</v>
      </c>
      <c r="R182">
        <v>1</v>
      </c>
    </row>
    <row r="183" spans="1:18">
      <c r="A183" s="4">
        <v>1731654939</v>
      </c>
      <c r="B183" t="s">
        <v>18</v>
      </c>
      <c r="C183">
        <v>36</v>
      </c>
      <c r="D183" t="s">
        <v>27</v>
      </c>
      <c r="E183" t="s">
        <v>62</v>
      </c>
      <c r="F183" s="1">
        <v>42452</v>
      </c>
      <c r="G183" s="1">
        <v>42503</v>
      </c>
      <c r="H183" t="s">
        <v>21</v>
      </c>
      <c r="I183">
        <v>51</v>
      </c>
      <c r="J183" t="s">
        <v>22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26</v>
      </c>
      <c r="R183">
        <v>1</v>
      </c>
    </row>
    <row r="184" spans="1:18">
      <c r="A184" s="4">
        <v>78432500000000</v>
      </c>
      <c r="B184" t="s">
        <v>28</v>
      </c>
      <c r="C184">
        <v>14</v>
      </c>
      <c r="D184" t="s">
        <v>60</v>
      </c>
      <c r="E184" t="s">
        <v>39</v>
      </c>
      <c r="F184" s="1">
        <v>42452</v>
      </c>
      <c r="G184" s="1">
        <v>42500</v>
      </c>
      <c r="H184" t="s">
        <v>41</v>
      </c>
      <c r="I184">
        <v>48</v>
      </c>
      <c r="J184" t="s">
        <v>22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 t="s">
        <v>23</v>
      </c>
      <c r="R184">
        <v>0</v>
      </c>
    </row>
    <row r="185" spans="1:18">
      <c r="A185" s="4">
        <v>4399920000000</v>
      </c>
      <c r="B185" t="s">
        <v>28</v>
      </c>
      <c r="C185">
        <v>39</v>
      </c>
      <c r="D185" t="s">
        <v>27</v>
      </c>
      <c r="E185" t="s">
        <v>62</v>
      </c>
      <c r="F185" s="1">
        <v>42452</v>
      </c>
      <c r="G185" s="1">
        <v>42510</v>
      </c>
      <c r="H185" t="s">
        <v>21</v>
      </c>
      <c r="I185">
        <v>58</v>
      </c>
      <c r="J185" t="s">
        <v>22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23</v>
      </c>
      <c r="R185">
        <v>0</v>
      </c>
    </row>
    <row r="186" spans="1:18">
      <c r="A186" s="4">
        <v>94535400000000</v>
      </c>
      <c r="B186" t="s">
        <v>18</v>
      </c>
      <c r="C186">
        <v>47</v>
      </c>
      <c r="D186" t="s">
        <v>27</v>
      </c>
      <c r="E186" t="s">
        <v>39</v>
      </c>
      <c r="F186" s="1">
        <v>42452</v>
      </c>
      <c r="G186" s="1">
        <v>42502</v>
      </c>
      <c r="H186" t="s">
        <v>33</v>
      </c>
      <c r="I186">
        <v>50</v>
      </c>
      <c r="J186" t="s">
        <v>22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26</v>
      </c>
      <c r="R186">
        <v>1</v>
      </c>
    </row>
    <row r="187" spans="1:18">
      <c r="A187" s="4">
        <v>2651670000000</v>
      </c>
      <c r="B187" t="s">
        <v>18</v>
      </c>
      <c r="C187">
        <v>9</v>
      </c>
      <c r="D187" t="s">
        <v>31</v>
      </c>
      <c r="E187" t="s">
        <v>50</v>
      </c>
      <c r="F187" s="1">
        <v>42452</v>
      </c>
      <c r="G187" s="1">
        <v>42496</v>
      </c>
      <c r="H187" t="s">
        <v>21</v>
      </c>
      <c r="I187">
        <v>44</v>
      </c>
      <c r="J187" t="s">
        <v>22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 t="s">
        <v>26</v>
      </c>
      <c r="R187">
        <v>1</v>
      </c>
    </row>
    <row r="188" spans="1:18">
      <c r="A188" s="4">
        <v>32875600000000</v>
      </c>
      <c r="B188" t="s">
        <v>28</v>
      </c>
      <c r="C188">
        <v>47</v>
      </c>
      <c r="D188" t="s">
        <v>27</v>
      </c>
      <c r="E188" t="s">
        <v>64</v>
      </c>
      <c r="F188" s="1">
        <v>42452</v>
      </c>
      <c r="G188" s="1">
        <v>42489</v>
      </c>
      <c r="H188" t="s">
        <v>21</v>
      </c>
      <c r="I188">
        <v>37</v>
      </c>
      <c r="J188" t="s">
        <v>22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 t="s">
        <v>23</v>
      </c>
      <c r="R188">
        <v>0</v>
      </c>
    </row>
    <row r="189" spans="1:18">
      <c r="A189" s="4">
        <v>99576000000000</v>
      </c>
      <c r="B189" t="s">
        <v>18</v>
      </c>
      <c r="C189">
        <v>43</v>
      </c>
      <c r="D189" t="s">
        <v>27</v>
      </c>
      <c r="E189" t="s">
        <v>62</v>
      </c>
      <c r="F189" s="1">
        <v>42452</v>
      </c>
      <c r="G189" s="1">
        <v>42503</v>
      </c>
      <c r="H189" t="s">
        <v>21</v>
      </c>
      <c r="I189">
        <v>51</v>
      </c>
      <c r="J189" t="s">
        <v>22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23</v>
      </c>
      <c r="R189">
        <v>0</v>
      </c>
    </row>
    <row r="190" spans="1:18">
      <c r="A190" s="4">
        <v>7293590000000</v>
      </c>
      <c r="B190" t="s">
        <v>28</v>
      </c>
      <c r="C190">
        <v>0</v>
      </c>
      <c r="D190" t="s">
        <v>31</v>
      </c>
      <c r="E190" t="s">
        <v>51</v>
      </c>
      <c r="F190" s="1">
        <v>42452</v>
      </c>
      <c r="G190" s="1">
        <v>42509</v>
      </c>
      <c r="H190" t="s">
        <v>33</v>
      </c>
      <c r="I190">
        <v>57</v>
      </c>
      <c r="J190" t="s">
        <v>22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23</v>
      </c>
      <c r="R190">
        <v>0</v>
      </c>
    </row>
    <row r="191" spans="1:18">
      <c r="A191" s="4">
        <v>3669410000000</v>
      </c>
      <c r="B191" t="s">
        <v>18</v>
      </c>
      <c r="C191">
        <v>41</v>
      </c>
      <c r="D191" t="s">
        <v>27</v>
      </c>
      <c r="E191" t="s">
        <v>65</v>
      </c>
      <c r="F191" s="1">
        <v>42452</v>
      </c>
      <c r="G191" s="1">
        <v>42496</v>
      </c>
      <c r="H191" t="s">
        <v>21</v>
      </c>
      <c r="I191">
        <v>44</v>
      </c>
      <c r="J191" t="s">
        <v>22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1</v>
      </c>
      <c r="Q191" t="s">
        <v>23</v>
      </c>
      <c r="R191">
        <v>0</v>
      </c>
    </row>
    <row r="192" spans="1:18">
      <c r="A192" s="4">
        <v>31335100000000</v>
      </c>
      <c r="B192" t="s">
        <v>18</v>
      </c>
      <c r="C192">
        <v>62</v>
      </c>
      <c r="D192" t="s">
        <v>35</v>
      </c>
      <c r="E192" t="s">
        <v>66</v>
      </c>
      <c r="F192" s="1">
        <v>42452</v>
      </c>
      <c r="G192" s="1">
        <v>42495</v>
      </c>
      <c r="H192" t="s">
        <v>33</v>
      </c>
      <c r="I192">
        <v>43</v>
      </c>
      <c r="J192" t="s">
        <v>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 t="s">
        <v>26</v>
      </c>
      <c r="R192">
        <v>1</v>
      </c>
    </row>
    <row r="193" spans="1:18">
      <c r="A193" s="4">
        <v>232442000000000</v>
      </c>
      <c r="B193" t="s">
        <v>18</v>
      </c>
      <c r="C193">
        <v>64</v>
      </c>
      <c r="D193" t="s">
        <v>35</v>
      </c>
      <c r="E193" t="s">
        <v>67</v>
      </c>
      <c r="F193" s="1">
        <v>42452</v>
      </c>
      <c r="G193" s="1">
        <v>42489</v>
      </c>
      <c r="H193" t="s">
        <v>21</v>
      </c>
      <c r="I193">
        <v>37</v>
      </c>
      <c r="J193" t="s">
        <v>22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23</v>
      </c>
      <c r="R193">
        <v>0</v>
      </c>
    </row>
    <row r="194" spans="1:18">
      <c r="A194" s="4">
        <v>76496500000000</v>
      </c>
      <c r="B194" t="s">
        <v>28</v>
      </c>
      <c r="C194">
        <v>36</v>
      </c>
      <c r="D194" t="s">
        <v>27</v>
      </c>
      <c r="E194" t="s">
        <v>39</v>
      </c>
      <c r="F194" s="1">
        <v>42452</v>
      </c>
      <c r="G194" s="1">
        <v>42503</v>
      </c>
      <c r="H194" t="s">
        <v>21</v>
      </c>
      <c r="I194">
        <v>51</v>
      </c>
      <c r="J194" t="s">
        <v>22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26</v>
      </c>
      <c r="R194">
        <v>1</v>
      </c>
    </row>
    <row r="195" spans="1:18">
      <c r="A195" s="4">
        <v>4634890000000</v>
      </c>
      <c r="B195" t="s">
        <v>18</v>
      </c>
      <c r="C195">
        <v>45</v>
      </c>
      <c r="D195" t="s">
        <v>27</v>
      </c>
      <c r="E195" t="s">
        <v>39</v>
      </c>
      <c r="F195" s="1">
        <v>42452</v>
      </c>
      <c r="G195" s="1">
        <v>42495</v>
      </c>
      <c r="H195" t="s">
        <v>33</v>
      </c>
      <c r="I195">
        <v>43</v>
      </c>
      <c r="J195" t="s">
        <v>22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 t="s">
        <v>23</v>
      </c>
      <c r="R195">
        <v>0</v>
      </c>
    </row>
    <row r="196" spans="1:18">
      <c r="A196" s="4">
        <v>47239300000000</v>
      </c>
      <c r="B196" t="s">
        <v>18</v>
      </c>
      <c r="C196">
        <v>36</v>
      </c>
      <c r="D196" t="s">
        <v>27</v>
      </c>
      <c r="E196" t="s">
        <v>54</v>
      </c>
      <c r="F196" s="1">
        <v>42457</v>
      </c>
      <c r="G196" s="1">
        <v>42496</v>
      </c>
      <c r="H196" t="s">
        <v>21</v>
      </c>
      <c r="I196">
        <v>39</v>
      </c>
      <c r="J196" t="s">
        <v>22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 t="s">
        <v>26</v>
      </c>
      <c r="R196">
        <v>1</v>
      </c>
    </row>
    <row r="197" spans="1:18">
      <c r="A197" s="4">
        <v>77497500000000</v>
      </c>
      <c r="B197" t="s">
        <v>18</v>
      </c>
      <c r="C197">
        <v>13</v>
      </c>
      <c r="D197" t="s">
        <v>60</v>
      </c>
      <c r="E197" t="s">
        <v>45</v>
      </c>
      <c r="F197" s="1">
        <v>42457</v>
      </c>
      <c r="G197" s="1">
        <v>42494</v>
      </c>
      <c r="H197" t="s">
        <v>25</v>
      </c>
      <c r="I197">
        <v>37</v>
      </c>
      <c r="J197" t="s">
        <v>22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 t="s">
        <v>26</v>
      </c>
      <c r="R197">
        <v>1</v>
      </c>
    </row>
    <row r="198" spans="1:18">
      <c r="A198" s="4">
        <v>9757610000000</v>
      </c>
      <c r="B198" t="s">
        <v>18</v>
      </c>
      <c r="C198">
        <v>61</v>
      </c>
      <c r="D198" t="s">
        <v>35</v>
      </c>
      <c r="E198" t="s">
        <v>45</v>
      </c>
      <c r="F198" s="1">
        <v>42457</v>
      </c>
      <c r="G198" s="1">
        <v>42496</v>
      </c>
      <c r="H198" t="s">
        <v>21</v>
      </c>
      <c r="I198">
        <v>39</v>
      </c>
      <c r="J198" t="s">
        <v>22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 t="s">
        <v>23</v>
      </c>
      <c r="R198">
        <v>0</v>
      </c>
    </row>
    <row r="199" spans="1:18">
      <c r="A199" s="4">
        <v>538567000000000</v>
      </c>
      <c r="B199" t="s">
        <v>28</v>
      </c>
      <c r="C199">
        <v>41</v>
      </c>
      <c r="D199" t="s">
        <v>27</v>
      </c>
      <c r="E199" t="s">
        <v>65</v>
      </c>
      <c r="F199" s="1">
        <v>42457</v>
      </c>
      <c r="G199" s="1">
        <v>42489</v>
      </c>
      <c r="H199" t="s">
        <v>21</v>
      </c>
      <c r="I199">
        <v>32</v>
      </c>
      <c r="J199" t="s">
        <v>22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1</v>
      </c>
      <c r="Q199" t="s">
        <v>23</v>
      </c>
      <c r="R199">
        <v>0</v>
      </c>
    </row>
    <row r="200" spans="1:18">
      <c r="A200" s="4">
        <v>497517000000000</v>
      </c>
      <c r="B200" t="s">
        <v>18</v>
      </c>
      <c r="C200">
        <v>58</v>
      </c>
      <c r="D200" t="s">
        <v>35</v>
      </c>
      <c r="E200" t="s">
        <v>45</v>
      </c>
      <c r="F200" s="1">
        <v>42457</v>
      </c>
      <c r="G200" s="1">
        <v>42508</v>
      </c>
      <c r="H200" t="s">
        <v>25</v>
      </c>
      <c r="I200">
        <v>51</v>
      </c>
      <c r="J200" t="s">
        <v>22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23</v>
      </c>
      <c r="R200">
        <v>0</v>
      </c>
    </row>
    <row r="201" spans="1:18">
      <c r="A201" s="4">
        <v>33389400000000</v>
      </c>
      <c r="B201" t="s">
        <v>18</v>
      </c>
      <c r="C201">
        <v>31</v>
      </c>
      <c r="D201" t="s">
        <v>37</v>
      </c>
      <c r="E201" t="s">
        <v>43</v>
      </c>
      <c r="F201" s="1">
        <v>42457</v>
      </c>
      <c r="G201" s="1">
        <v>42507</v>
      </c>
      <c r="H201" t="s">
        <v>41</v>
      </c>
      <c r="I201">
        <v>50</v>
      </c>
      <c r="J201" t="s">
        <v>22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23</v>
      </c>
      <c r="R201">
        <v>0</v>
      </c>
    </row>
    <row r="202" spans="1:18">
      <c r="A202" s="4">
        <v>93666300000000</v>
      </c>
      <c r="B202" t="s">
        <v>18</v>
      </c>
      <c r="C202">
        <v>58</v>
      </c>
      <c r="D202" t="s">
        <v>35</v>
      </c>
      <c r="E202" t="s">
        <v>42</v>
      </c>
      <c r="F202" s="1">
        <v>42457</v>
      </c>
      <c r="G202" s="1">
        <v>42506</v>
      </c>
      <c r="H202" t="s">
        <v>30</v>
      </c>
      <c r="I202">
        <v>49</v>
      </c>
      <c r="J202" t="s">
        <v>22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23</v>
      </c>
      <c r="R202">
        <v>0</v>
      </c>
    </row>
    <row r="203" spans="1:18">
      <c r="A203" s="4">
        <v>66812200000000</v>
      </c>
      <c r="B203" t="s">
        <v>18</v>
      </c>
      <c r="C203">
        <v>43</v>
      </c>
      <c r="D203" t="s">
        <v>27</v>
      </c>
      <c r="E203" t="s">
        <v>32</v>
      </c>
      <c r="F203" s="1">
        <v>42457</v>
      </c>
      <c r="G203" s="1">
        <v>42494</v>
      </c>
      <c r="H203" t="s">
        <v>25</v>
      </c>
      <c r="I203">
        <v>37</v>
      </c>
      <c r="J203" t="s">
        <v>22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1</v>
      </c>
      <c r="Q203" t="s">
        <v>23</v>
      </c>
      <c r="R203">
        <v>0</v>
      </c>
    </row>
    <row r="204" spans="1:18">
      <c r="A204" s="4">
        <v>4968150000000</v>
      </c>
      <c r="B204" t="s">
        <v>18</v>
      </c>
      <c r="C204">
        <v>57</v>
      </c>
      <c r="D204" t="s">
        <v>35</v>
      </c>
      <c r="E204" t="s">
        <v>65</v>
      </c>
      <c r="F204" s="1">
        <v>42457</v>
      </c>
      <c r="G204" s="1">
        <v>42489</v>
      </c>
      <c r="H204" t="s">
        <v>21</v>
      </c>
      <c r="I204">
        <v>32</v>
      </c>
      <c r="J204" t="s">
        <v>22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26</v>
      </c>
      <c r="R204">
        <v>1</v>
      </c>
    </row>
    <row r="205" spans="1:18">
      <c r="A205" s="4">
        <v>66898300000000</v>
      </c>
      <c r="B205" t="s">
        <v>28</v>
      </c>
      <c r="C205">
        <v>15</v>
      </c>
      <c r="D205" t="s">
        <v>60</v>
      </c>
      <c r="E205" t="s">
        <v>58</v>
      </c>
      <c r="F205" s="1">
        <v>42457</v>
      </c>
      <c r="G205" s="1">
        <v>42493</v>
      </c>
      <c r="H205" t="s">
        <v>41</v>
      </c>
      <c r="I205">
        <v>36</v>
      </c>
      <c r="J205" t="s">
        <v>22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26</v>
      </c>
      <c r="R205">
        <v>1</v>
      </c>
    </row>
    <row r="206" spans="1:18">
      <c r="A206" s="4">
        <v>267788000000000</v>
      </c>
      <c r="B206" t="s">
        <v>18</v>
      </c>
      <c r="C206">
        <v>72</v>
      </c>
      <c r="D206" t="s">
        <v>19</v>
      </c>
      <c r="E206" t="s">
        <v>68</v>
      </c>
      <c r="F206" s="1">
        <v>42457</v>
      </c>
      <c r="G206" s="1">
        <v>42524</v>
      </c>
      <c r="H206" t="s">
        <v>21</v>
      </c>
      <c r="I206">
        <v>67</v>
      </c>
      <c r="J206" t="s">
        <v>22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 t="s">
        <v>23</v>
      </c>
      <c r="R206">
        <v>0</v>
      </c>
    </row>
    <row r="207" spans="1:18">
      <c r="A207" s="4">
        <v>7976160000000</v>
      </c>
      <c r="B207" t="s">
        <v>18</v>
      </c>
      <c r="C207">
        <v>18</v>
      </c>
      <c r="D207" t="s">
        <v>37</v>
      </c>
      <c r="E207" t="s">
        <v>69</v>
      </c>
      <c r="F207" s="1">
        <v>42457</v>
      </c>
      <c r="G207" s="1">
        <v>42489</v>
      </c>
      <c r="H207" t="s">
        <v>21</v>
      </c>
      <c r="I207">
        <v>32</v>
      </c>
      <c r="J207" t="s">
        <v>22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 t="s">
        <v>23</v>
      </c>
      <c r="R207">
        <v>0</v>
      </c>
    </row>
    <row r="208" spans="1:18">
      <c r="A208" s="4">
        <v>781845000000000</v>
      </c>
      <c r="B208" t="s">
        <v>28</v>
      </c>
      <c r="C208">
        <v>42</v>
      </c>
      <c r="D208" t="s">
        <v>27</v>
      </c>
      <c r="E208" t="s">
        <v>70</v>
      </c>
      <c r="F208" s="1">
        <v>42457</v>
      </c>
      <c r="G208" s="1">
        <v>42529</v>
      </c>
      <c r="H208" t="s">
        <v>25</v>
      </c>
      <c r="I208">
        <v>72</v>
      </c>
      <c r="J208" t="s">
        <v>22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 t="s">
        <v>26</v>
      </c>
      <c r="R208">
        <v>1</v>
      </c>
    </row>
    <row r="209" spans="1:18">
      <c r="A209" s="4">
        <v>32882971673</v>
      </c>
      <c r="B209" t="s">
        <v>18</v>
      </c>
      <c r="C209">
        <v>15</v>
      </c>
      <c r="D209" t="s">
        <v>60</v>
      </c>
      <c r="E209" t="s">
        <v>57</v>
      </c>
      <c r="F209" s="1">
        <v>42457</v>
      </c>
      <c r="G209" s="1">
        <v>42499</v>
      </c>
      <c r="H209" t="s">
        <v>30</v>
      </c>
      <c r="I209">
        <v>42</v>
      </c>
      <c r="J209" t="s">
        <v>22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26</v>
      </c>
      <c r="R209">
        <v>1</v>
      </c>
    </row>
    <row r="210" spans="1:18">
      <c r="A210" s="4">
        <v>42396300000000</v>
      </c>
      <c r="B210" t="s">
        <v>18</v>
      </c>
      <c r="C210">
        <v>26</v>
      </c>
      <c r="D210" t="s">
        <v>37</v>
      </c>
      <c r="E210" t="s">
        <v>43</v>
      </c>
      <c r="F210" s="1">
        <v>42457</v>
      </c>
      <c r="G210" s="1">
        <v>42502</v>
      </c>
      <c r="H210" t="s">
        <v>33</v>
      </c>
      <c r="I210">
        <v>45</v>
      </c>
      <c r="J210" t="s">
        <v>22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 t="s">
        <v>23</v>
      </c>
      <c r="R210">
        <v>0</v>
      </c>
    </row>
    <row r="211" spans="1:18">
      <c r="A211" s="4">
        <v>648598000000000</v>
      </c>
      <c r="B211" t="s">
        <v>28</v>
      </c>
      <c r="C211">
        <v>2</v>
      </c>
      <c r="D211" t="s">
        <v>31</v>
      </c>
      <c r="E211" t="s">
        <v>50</v>
      </c>
      <c r="F211" s="1">
        <v>42457</v>
      </c>
      <c r="G211" s="1">
        <v>42501</v>
      </c>
      <c r="H211" t="s">
        <v>25</v>
      </c>
      <c r="I211">
        <v>44</v>
      </c>
      <c r="J211" t="s">
        <v>22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 t="s">
        <v>23</v>
      </c>
      <c r="R211">
        <v>0</v>
      </c>
    </row>
    <row r="212" spans="1:18">
      <c r="A212" s="4">
        <v>8978870000000</v>
      </c>
      <c r="B212" t="s">
        <v>28</v>
      </c>
      <c r="C212">
        <v>2</v>
      </c>
      <c r="D212" t="s">
        <v>31</v>
      </c>
      <c r="E212" t="s">
        <v>71</v>
      </c>
      <c r="F212" s="1">
        <v>42457</v>
      </c>
      <c r="G212" s="1">
        <v>42489</v>
      </c>
      <c r="H212" t="s">
        <v>21</v>
      </c>
      <c r="I212">
        <v>32</v>
      </c>
      <c r="J212" t="s">
        <v>22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 t="s">
        <v>23</v>
      </c>
      <c r="R212">
        <v>0</v>
      </c>
    </row>
    <row r="213" spans="1:18">
      <c r="A213" s="4">
        <v>517621000000000</v>
      </c>
      <c r="B213" t="s">
        <v>18</v>
      </c>
      <c r="C213">
        <v>0</v>
      </c>
      <c r="D213" t="s">
        <v>31</v>
      </c>
      <c r="E213" t="s">
        <v>32</v>
      </c>
      <c r="F213" s="1">
        <v>42457</v>
      </c>
      <c r="G213" s="1">
        <v>42499</v>
      </c>
      <c r="H213" t="s">
        <v>30</v>
      </c>
      <c r="I213">
        <v>42</v>
      </c>
      <c r="J213" t="s">
        <v>22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23</v>
      </c>
      <c r="R213">
        <v>0</v>
      </c>
    </row>
    <row r="214" spans="1:18">
      <c r="A214" s="4">
        <v>6478730000000</v>
      </c>
      <c r="B214" t="s">
        <v>18</v>
      </c>
      <c r="C214">
        <v>51</v>
      </c>
      <c r="D214" t="s">
        <v>35</v>
      </c>
      <c r="E214" t="s">
        <v>32</v>
      </c>
      <c r="F214" s="1">
        <v>42457</v>
      </c>
      <c r="G214" s="1">
        <v>42514</v>
      </c>
      <c r="H214" t="s">
        <v>41</v>
      </c>
      <c r="I214">
        <v>57</v>
      </c>
      <c r="J214" t="s">
        <v>22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 t="s">
        <v>26</v>
      </c>
      <c r="R214">
        <v>1</v>
      </c>
    </row>
    <row r="215" spans="1:18">
      <c r="A215" s="4">
        <v>52586800000000</v>
      </c>
      <c r="B215" t="s">
        <v>28</v>
      </c>
      <c r="C215">
        <v>49</v>
      </c>
      <c r="D215" t="s">
        <v>27</v>
      </c>
      <c r="E215" t="s">
        <v>72</v>
      </c>
      <c r="F215" s="1">
        <v>42457</v>
      </c>
      <c r="G215" s="1">
        <v>42493</v>
      </c>
      <c r="H215" t="s">
        <v>41</v>
      </c>
      <c r="I215">
        <v>36</v>
      </c>
      <c r="J215" t="s">
        <v>22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 t="s">
        <v>26</v>
      </c>
      <c r="R215">
        <v>1</v>
      </c>
    </row>
    <row r="216" spans="1:18">
      <c r="A216" s="4">
        <v>35854200000000</v>
      </c>
      <c r="B216" t="s">
        <v>28</v>
      </c>
      <c r="C216">
        <v>61</v>
      </c>
      <c r="D216" t="s">
        <v>35</v>
      </c>
      <c r="E216" t="s">
        <v>56</v>
      </c>
      <c r="F216" s="1">
        <v>42457</v>
      </c>
      <c r="G216" s="1">
        <v>42506</v>
      </c>
      <c r="H216" t="s">
        <v>30</v>
      </c>
      <c r="I216">
        <v>49</v>
      </c>
      <c r="J216" t="s">
        <v>22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26</v>
      </c>
      <c r="R216">
        <v>1</v>
      </c>
    </row>
    <row r="217" spans="1:18">
      <c r="A217" s="4">
        <v>842562000000</v>
      </c>
      <c r="B217" t="s">
        <v>18</v>
      </c>
      <c r="C217">
        <v>33</v>
      </c>
      <c r="D217" t="s">
        <v>37</v>
      </c>
      <c r="E217" t="s">
        <v>67</v>
      </c>
      <c r="F217" s="1">
        <v>42457</v>
      </c>
      <c r="G217" s="1">
        <v>42493</v>
      </c>
      <c r="H217" t="s">
        <v>41</v>
      </c>
      <c r="I217">
        <v>36</v>
      </c>
      <c r="J217" t="s">
        <v>22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 t="s">
        <v>23</v>
      </c>
      <c r="R217">
        <v>0</v>
      </c>
    </row>
    <row r="218" spans="1:18">
      <c r="A218" s="4">
        <v>466647000000000</v>
      </c>
      <c r="B218" t="s">
        <v>18</v>
      </c>
      <c r="C218">
        <v>45</v>
      </c>
      <c r="D218" t="s">
        <v>27</v>
      </c>
      <c r="E218" t="s">
        <v>43</v>
      </c>
      <c r="F218" s="1">
        <v>42458</v>
      </c>
      <c r="G218" s="1">
        <v>42508</v>
      </c>
      <c r="H218" t="s">
        <v>25</v>
      </c>
      <c r="I218">
        <v>50</v>
      </c>
      <c r="J218" t="s">
        <v>22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23</v>
      </c>
      <c r="R218">
        <v>0</v>
      </c>
    </row>
    <row r="219" spans="1:18">
      <c r="A219" s="4">
        <v>38964500000000</v>
      </c>
      <c r="B219" t="s">
        <v>18</v>
      </c>
      <c r="C219">
        <v>47</v>
      </c>
      <c r="D219" t="s">
        <v>27</v>
      </c>
      <c r="E219" t="s">
        <v>32</v>
      </c>
      <c r="F219" s="1">
        <v>42458</v>
      </c>
      <c r="G219" s="1">
        <v>42494</v>
      </c>
      <c r="H219" t="s">
        <v>25</v>
      </c>
      <c r="I219">
        <v>36</v>
      </c>
      <c r="J219" t="s">
        <v>22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1</v>
      </c>
      <c r="Q219" t="s">
        <v>26</v>
      </c>
      <c r="R219">
        <v>1</v>
      </c>
    </row>
    <row r="220" spans="1:18">
      <c r="A220" s="4">
        <v>9469730000000</v>
      </c>
      <c r="B220" t="s">
        <v>18</v>
      </c>
      <c r="C220">
        <v>34</v>
      </c>
      <c r="D220" t="s">
        <v>37</v>
      </c>
      <c r="E220" t="s">
        <v>73</v>
      </c>
      <c r="F220" s="1">
        <v>42458</v>
      </c>
      <c r="G220" s="1">
        <v>42489</v>
      </c>
      <c r="H220" t="s">
        <v>21</v>
      </c>
      <c r="I220">
        <v>31</v>
      </c>
      <c r="J220" t="s">
        <v>22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 t="s">
        <v>23</v>
      </c>
      <c r="R220">
        <v>0</v>
      </c>
    </row>
    <row r="221" spans="1:18">
      <c r="A221" s="4">
        <v>125322000000</v>
      </c>
      <c r="B221" t="s">
        <v>18</v>
      </c>
      <c r="C221">
        <v>60</v>
      </c>
      <c r="D221" t="s">
        <v>35</v>
      </c>
      <c r="E221" t="s">
        <v>51</v>
      </c>
      <c r="F221" s="1">
        <v>42458</v>
      </c>
      <c r="G221" s="1">
        <v>42508</v>
      </c>
      <c r="H221" t="s">
        <v>25</v>
      </c>
      <c r="I221">
        <v>50</v>
      </c>
      <c r="J221" t="s">
        <v>22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23</v>
      </c>
      <c r="R221">
        <v>0</v>
      </c>
    </row>
    <row r="222" spans="1:18">
      <c r="A222" s="4">
        <v>488644000000</v>
      </c>
      <c r="B222" t="s">
        <v>18</v>
      </c>
      <c r="C222">
        <v>36</v>
      </c>
      <c r="D222" t="s">
        <v>27</v>
      </c>
      <c r="E222" t="s">
        <v>32</v>
      </c>
      <c r="F222" s="1">
        <v>42458</v>
      </c>
      <c r="G222" s="1">
        <v>42489</v>
      </c>
      <c r="H222" t="s">
        <v>21</v>
      </c>
      <c r="I222">
        <v>31</v>
      </c>
      <c r="J222" t="s">
        <v>22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 t="s">
        <v>23</v>
      </c>
      <c r="R222">
        <v>0</v>
      </c>
    </row>
    <row r="223" spans="1:18">
      <c r="A223" s="4">
        <v>95938100000000</v>
      </c>
      <c r="B223" t="s">
        <v>18</v>
      </c>
      <c r="C223">
        <v>51</v>
      </c>
      <c r="D223" t="s">
        <v>35</v>
      </c>
      <c r="E223" t="s">
        <v>50</v>
      </c>
      <c r="F223" s="1">
        <v>42458</v>
      </c>
      <c r="G223" s="1">
        <v>42515</v>
      </c>
      <c r="H223" t="s">
        <v>25</v>
      </c>
      <c r="I223">
        <v>57</v>
      </c>
      <c r="J223" t="s">
        <v>22</v>
      </c>
      <c r="K223">
        <v>1</v>
      </c>
      <c r="L223">
        <v>0</v>
      </c>
      <c r="M223">
        <v>0</v>
      </c>
      <c r="N223">
        <v>0</v>
      </c>
      <c r="O223">
        <v>1</v>
      </c>
      <c r="P223">
        <v>1</v>
      </c>
      <c r="Q223" t="s">
        <v>26</v>
      </c>
      <c r="R223">
        <v>1</v>
      </c>
    </row>
    <row r="224" spans="1:18">
      <c r="A224" s="4">
        <v>9844240000000</v>
      </c>
      <c r="B224" t="s">
        <v>28</v>
      </c>
      <c r="C224">
        <v>68</v>
      </c>
      <c r="D224" t="s">
        <v>19</v>
      </c>
      <c r="E224" t="s">
        <v>73</v>
      </c>
      <c r="F224" s="1">
        <v>42458</v>
      </c>
      <c r="G224" s="1">
        <v>42500</v>
      </c>
      <c r="H224" t="s">
        <v>41</v>
      </c>
      <c r="I224">
        <v>42</v>
      </c>
      <c r="J224" t="s">
        <v>22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 t="s">
        <v>26</v>
      </c>
      <c r="R224">
        <v>1</v>
      </c>
    </row>
    <row r="225" spans="1:18">
      <c r="A225" s="4">
        <v>9153240000000</v>
      </c>
      <c r="B225" t="s">
        <v>28</v>
      </c>
      <c r="C225">
        <v>71</v>
      </c>
      <c r="D225" t="s">
        <v>19</v>
      </c>
      <c r="E225" t="s">
        <v>73</v>
      </c>
      <c r="F225" s="1">
        <v>42458</v>
      </c>
      <c r="G225" s="1">
        <v>42521</v>
      </c>
      <c r="H225" t="s">
        <v>41</v>
      </c>
      <c r="I225">
        <v>63</v>
      </c>
      <c r="J225" t="s">
        <v>22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1</v>
      </c>
      <c r="Q225" t="s">
        <v>23</v>
      </c>
      <c r="R225">
        <v>0</v>
      </c>
    </row>
    <row r="226" spans="1:18">
      <c r="A226" s="4">
        <v>8691830000000</v>
      </c>
      <c r="B226" t="s">
        <v>28</v>
      </c>
      <c r="C226">
        <v>43</v>
      </c>
      <c r="D226" t="s">
        <v>27</v>
      </c>
      <c r="E226" t="s">
        <v>73</v>
      </c>
      <c r="F226" s="1">
        <v>42458</v>
      </c>
      <c r="G226" s="1">
        <v>42521</v>
      </c>
      <c r="H226" t="s">
        <v>41</v>
      </c>
      <c r="I226">
        <v>63</v>
      </c>
      <c r="J226" t="s">
        <v>22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1</v>
      </c>
      <c r="Q226" t="s">
        <v>23</v>
      </c>
      <c r="R226">
        <v>0</v>
      </c>
    </row>
    <row r="227" spans="1:18">
      <c r="A227" s="4">
        <v>56331700000000</v>
      </c>
      <c r="B227" t="s">
        <v>28</v>
      </c>
      <c r="C227">
        <v>1</v>
      </c>
      <c r="D227" t="s">
        <v>31</v>
      </c>
      <c r="E227" t="s">
        <v>56</v>
      </c>
      <c r="F227" s="1">
        <v>42458</v>
      </c>
      <c r="G227" s="1">
        <v>42489</v>
      </c>
      <c r="H227" t="s">
        <v>21</v>
      </c>
      <c r="I227">
        <v>31</v>
      </c>
      <c r="J227" t="s">
        <v>22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 t="s">
        <v>23</v>
      </c>
      <c r="R227">
        <v>0</v>
      </c>
    </row>
    <row r="228" spans="1:18">
      <c r="A228" s="4">
        <v>3183716914</v>
      </c>
      <c r="B228" t="s">
        <v>18</v>
      </c>
      <c r="C228">
        <v>29</v>
      </c>
      <c r="D228" t="s">
        <v>37</v>
      </c>
      <c r="E228" t="s">
        <v>55</v>
      </c>
      <c r="F228" s="1">
        <v>42458</v>
      </c>
      <c r="G228" s="1">
        <v>42489</v>
      </c>
      <c r="H228" t="s">
        <v>21</v>
      </c>
      <c r="I228">
        <v>31</v>
      </c>
      <c r="J228" t="s">
        <v>22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23</v>
      </c>
      <c r="R228">
        <v>0</v>
      </c>
    </row>
    <row r="229" spans="1:18">
      <c r="A229" s="4">
        <v>94755700000000</v>
      </c>
      <c r="B229" t="s">
        <v>18</v>
      </c>
      <c r="C229">
        <v>50</v>
      </c>
      <c r="D229" t="s">
        <v>27</v>
      </c>
      <c r="E229" t="s">
        <v>72</v>
      </c>
      <c r="F229" s="1">
        <v>42458</v>
      </c>
      <c r="G229" s="1">
        <v>42489</v>
      </c>
      <c r="H229" t="s">
        <v>21</v>
      </c>
      <c r="I229">
        <v>31</v>
      </c>
      <c r="J229" t="s">
        <v>22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23</v>
      </c>
      <c r="R229">
        <v>0</v>
      </c>
    </row>
    <row r="230" spans="1:18">
      <c r="A230" s="4">
        <v>92987300000000</v>
      </c>
      <c r="B230" t="s">
        <v>18</v>
      </c>
      <c r="C230">
        <v>30</v>
      </c>
      <c r="D230" t="s">
        <v>37</v>
      </c>
      <c r="E230" t="s">
        <v>57</v>
      </c>
      <c r="F230" s="1">
        <v>42458</v>
      </c>
      <c r="G230" s="1">
        <v>42489</v>
      </c>
      <c r="H230" t="s">
        <v>21</v>
      </c>
      <c r="I230">
        <v>31</v>
      </c>
      <c r="J230" t="s">
        <v>22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 t="s">
        <v>26</v>
      </c>
      <c r="R230">
        <v>1</v>
      </c>
    </row>
    <row r="231" spans="1:18">
      <c r="A231" s="4">
        <v>545589000000</v>
      </c>
      <c r="B231" t="s">
        <v>28</v>
      </c>
      <c r="C231">
        <v>11</v>
      </c>
      <c r="D231" t="s">
        <v>31</v>
      </c>
      <c r="E231" t="s">
        <v>32</v>
      </c>
      <c r="F231" s="1">
        <v>42458</v>
      </c>
      <c r="G231" s="1">
        <v>42496</v>
      </c>
      <c r="H231" t="s">
        <v>21</v>
      </c>
      <c r="I231">
        <v>38</v>
      </c>
      <c r="J231" t="s">
        <v>22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 t="s">
        <v>23</v>
      </c>
      <c r="R231">
        <v>0</v>
      </c>
    </row>
    <row r="232" spans="1:18">
      <c r="A232" s="4">
        <v>77316900000000</v>
      </c>
      <c r="B232" t="s">
        <v>28</v>
      </c>
      <c r="C232">
        <v>23</v>
      </c>
      <c r="D232" t="s">
        <v>37</v>
      </c>
      <c r="E232" t="s">
        <v>54</v>
      </c>
      <c r="F232" s="1">
        <v>42458</v>
      </c>
      <c r="G232" s="1">
        <v>42495</v>
      </c>
      <c r="H232" t="s">
        <v>33</v>
      </c>
      <c r="I232">
        <v>37</v>
      </c>
      <c r="J232" t="s">
        <v>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23</v>
      </c>
      <c r="R232">
        <v>0</v>
      </c>
    </row>
    <row r="233" spans="1:18">
      <c r="A233" s="4">
        <v>47271300000000</v>
      </c>
      <c r="B233" t="s">
        <v>18</v>
      </c>
      <c r="C233">
        <v>25</v>
      </c>
      <c r="D233" t="s">
        <v>37</v>
      </c>
      <c r="E233" t="s">
        <v>61</v>
      </c>
      <c r="F233" s="1">
        <v>42458</v>
      </c>
      <c r="G233" s="1">
        <v>42492</v>
      </c>
      <c r="H233" t="s">
        <v>30</v>
      </c>
      <c r="I233">
        <v>34</v>
      </c>
      <c r="J233" t="s">
        <v>22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 t="s">
        <v>23</v>
      </c>
      <c r="R233">
        <v>0</v>
      </c>
    </row>
    <row r="234" spans="1:18">
      <c r="A234" s="4">
        <v>574472000000000</v>
      </c>
      <c r="B234" t="s">
        <v>18</v>
      </c>
      <c r="C234">
        <v>74</v>
      </c>
      <c r="D234" t="s">
        <v>19</v>
      </c>
      <c r="E234" t="s">
        <v>74</v>
      </c>
      <c r="F234" s="1">
        <v>42458</v>
      </c>
      <c r="G234" s="1">
        <v>42492</v>
      </c>
      <c r="H234" t="s">
        <v>30</v>
      </c>
      <c r="I234">
        <v>34</v>
      </c>
      <c r="J234" t="s">
        <v>22</v>
      </c>
      <c r="K234">
        <v>0</v>
      </c>
      <c r="L234">
        <v>1</v>
      </c>
      <c r="M234">
        <v>1</v>
      </c>
      <c r="N234">
        <v>0</v>
      </c>
      <c r="O234">
        <v>0</v>
      </c>
      <c r="P234">
        <v>1</v>
      </c>
      <c r="Q234" t="s">
        <v>23</v>
      </c>
      <c r="R234">
        <v>0</v>
      </c>
    </row>
    <row r="235" spans="1:18">
      <c r="A235" s="4">
        <v>37565700000000</v>
      </c>
      <c r="B235" t="s">
        <v>18</v>
      </c>
      <c r="C235">
        <v>45</v>
      </c>
      <c r="D235" t="s">
        <v>27</v>
      </c>
      <c r="E235" t="s">
        <v>51</v>
      </c>
      <c r="F235" s="1">
        <v>42458</v>
      </c>
      <c r="G235" s="1">
        <v>42492</v>
      </c>
      <c r="H235" t="s">
        <v>30</v>
      </c>
      <c r="I235">
        <v>34</v>
      </c>
      <c r="J235" t="s">
        <v>22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 t="s">
        <v>23</v>
      </c>
      <c r="R235">
        <v>0</v>
      </c>
    </row>
    <row r="236" spans="1:18">
      <c r="A236" s="4">
        <v>61575800000000</v>
      </c>
      <c r="B236" t="s">
        <v>18</v>
      </c>
      <c r="C236">
        <v>24</v>
      </c>
      <c r="D236" t="s">
        <v>37</v>
      </c>
      <c r="E236" t="s">
        <v>69</v>
      </c>
      <c r="F236" s="1">
        <v>42458</v>
      </c>
      <c r="G236" s="1">
        <v>42492</v>
      </c>
      <c r="H236" t="s">
        <v>30</v>
      </c>
      <c r="I236">
        <v>34</v>
      </c>
      <c r="J236" t="s">
        <v>22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26</v>
      </c>
      <c r="R236">
        <v>1</v>
      </c>
    </row>
    <row r="237" spans="1:18">
      <c r="A237" s="4">
        <v>912363000000</v>
      </c>
      <c r="B237" t="s">
        <v>28</v>
      </c>
      <c r="C237">
        <v>0</v>
      </c>
      <c r="D237" t="s">
        <v>31</v>
      </c>
      <c r="E237" t="s">
        <v>75</v>
      </c>
      <c r="F237" s="1">
        <v>42458</v>
      </c>
      <c r="G237" s="1">
        <v>42489</v>
      </c>
      <c r="H237" t="s">
        <v>21</v>
      </c>
      <c r="I237">
        <v>31</v>
      </c>
      <c r="J237" t="s">
        <v>22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 t="s">
        <v>23</v>
      </c>
      <c r="R237">
        <v>0</v>
      </c>
    </row>
    <row r="238" spans="1:18">
      <c r="A238" s="4">
        <v>48962300000000</v>
      </c>
      <c r="B238" t="s">
        <v>28</v>
      </c>
      <c r="C238">
        <v>1</v>
      </c>
      <c r="D238" t="s">
        <v>31</v>
      </c>
      <c r="E238" t="s">
        <v>57</v>
      </c>
      <c r="F238" s="1">
        <v>42458</v>
      </c>
      <c r="G238" s="1">
        <v>42494</v>
      </c>
      <c r="H238" t="s">
        <v>25</v>
      </c>
      <c r="I238">
        <v>36</v>
      </c>
      <c r="J238" t="s">
        <v>22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 t="s">
        <v>26</v>
      </c>
      <c r="R238">
        <v>1</v>
      </c>
    </row>
    <row r="239" spans="1:18">
      <c r="A239" s="4">
        <v>967319000000000</v>
      </c>
      <c r="B239" t="s">
        <v>18</v>
      </c>
      <c r="C239">
        <v>37</v>
      </c>
      <c r="D239" t="s">
        <v>27</v>
      </c>
      <c r="E239" t="s">
        <v>32</v>
      </c>
      <c r="F239" s="1">
        <v>42458</v>
      </c>
      <c r="G239" s="1">
        <v>42493</v>
      </c>
      <c r="H239" t="s">
        <v>41</v>
      </c>
      <c r="I239">
        <v>35</v>
      </c>
      <c r="J239" t="s">
        <v>22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 t="s">
        <v>23</v>
      </c>
      <c r="R239">
        <v>0</v>
      </c>
    </row>
    <row r="240" spans="1:18">
      <c r="A240" s="4">
        <v>81939500000000</v>
      </c>
      <c r="B240" t="s">
        <v>18</v>
      </c>
      <c r="C240">
        <v>17</v>
      </c>
      <c r="D240" t="s">
        <v>60</v>
      </c>
      <c r="E240" t="s">
        <v>72</v>
      </c>
      <c r="F240" s="1">
        <v>42458</v>
      </c>
      <c r="G240" s="1">
        <v>42489</v>
      </c>
      <c r="H240" t="s">
        <v>21</v>
      </c>
      <c r="I240">
        <v>31</v>
      </c>
      <c r="J240" t="s">
        <v>22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 t="s">
        <v>23</v>
      </c>
      <c r="R240">
        <v>0</v>
      </c>
    </row>
    <row r="241" spans="1:18">
      <c r="A241" s="4">
        <v>137742000000</v>
      </c>
      <c r="B241" t="s">
        <v>18</v>
      </c>
      <c r="C241">
        <v>44</v>
      </c>
      <c r="D241" t="s">
        <v>27</v>
      </c>
      <c r="E241" t="s">
        <v>76</v>
      </c>
      <c r="F241" s="1">
        <v>42458</v>
      </c>
      <c r="G241" s="1">
        <v>42489</v>
      </c>
      <c r="H241" t="s">
        <v>21</v>
      </c>
      <c r="I241">
        <v>31</v>
      </c>
      <c r="J241" t="s">
        <v>22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1</v>
      </c>
      <c r="Q241" t="s">
        <v>23</v>
      </c>
      <c r="R241">
        <v>0</v>
      </c>
    </row>
    <row r="242" spans="1:18">
      <c r="A242" s="4">
        <v>8118170000000</v>
      </c>
      <c r="B242" t="s">
        <v>18</v>
      </c>
      <c r="C242">
        <v>27</v>
      </c>
      <c r="D242" t="s">
        <v>37</v>
      </c>
      <c r="E242" t="s">
        <v>72</v>
      </c>
      <c r="F242" s="1">
        <v>42459</v>
      </c>
      <c r="G242" s="1">
        <v>42489</v>
      </c>
      <c r="H242" t="s">
        <v>21</v>
      </c>
      <c r="I242">
        <v>30</v>
      </c>
      <c r="J242" t="s">
        <v>77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 t="s">
        <v>26</v>
      </c>
      <c r="R242">
        <v>1</v>
      </c>
    </row>
    <row r="243" spans="1:18">
      <c r="A243" s="4">
        <v>2267640000000</v>
      </c>
      <c r="B243" t="s">
        <v>18</v>
      </c>
      <c r="C243">
        <v>17</v>
      </c>
      <c r="D243" t="s">
        <v>60</v>
      </c>
      <c r="E243" t="s">
        <v>24</v>
      </c>
      <c r="F243" s="1">
        <v>42459</v>
      </c>
      <c r="G243" s="1">
        <v>42506</v>
      </c>
      <c r="H243" t="s">
        <v>30</v>
      </c>
      <c r="I243">
        <v>47</v>
      </c>
      <c r="J243" t="s">
        <v>22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26</v>
      </c>
      <c r="R243">
        <v>1</v>
      </c>
    </row>
    <row r="244" spans="1:18">
      <c r="A244" s="4">
        <v>183432000000000</v>
      </c>
      <c r="B244" t="s">
        <v>28</v>
      </c>
      <c r="C244">
        <v>53</v>
      </c>
      <c r="D244" t="s">
        <v>35</v>
      </c>
      <c r="E244" t="s">
        <v>39</v>
      </c>
      <c r="F244" s="1">
        <v>42459</v>
      </c>
      <c r="G244" s="1">
        <v>42508</v>
      </c>
      <c r="H244" t="s">
        <v>25</v>
      </c>
      <c r="I244">
        <v>49</v>
      </c>
      <c r="J244" t="s">
        <v>22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23</v>
      </c>
      <c r="R244">
        <v>0</v>
      </c>
    </row>
    <row r="245" spans="1:18">
      <c r="A245" s="4">
        <v>81126000000000</v>
      </c>
      <c r="B245" t="s">
        <v>18</v>
      </c>
      <c r="C245">
        <v>77</v>
      </c>
      <c r="D245" t="s">
        <v>19</v>
      </c>
      <c r="E245" t="s">
        <v>54</v>
      </c>
      <c r="F245" s="1">
        <v>42459</v>
      </c>
      <c r="G245" s="1">
        <v>42524</v>
      </c>
      <c r="H245" t="s">
        <v>21</v>
      </c>
      <c r="I245">
        <v>65</v>
      </c>
      <c r="J245" t="s">
        <v>22</v>
      </c>
      <c r="K245">
        <v>0</v>
      </c>
      <c r="L245">
        <v>1</v>
      </c>
      <c r="M245">
        <v>0</v>
      </c>
      <c r="N245">
        <v>0</v>
      </c>
      <c r="O245">
        <v>1</v>
      </c>
      <c r="P245">
        <v>1</v>
      </c>
      <c r="Q245" t="s">
        <v>23</v>
      </c>
      <c r="R245">
        <v>0</v>
      </c>
    </row>
    <row r="246" spans="1:18">
      <c r="A246" s="4">
        <v>838214000000000</v>
      </c>
      <c r="B246" t="s">
        <v>18</v>
      </c>
      <c r="C246">
        <v>58</v>
      </c>
      <c r="D246" t="s">
        <v>35</v>
      </c>
      <c r="E246" t="s">
        <v>72</v>
      </c>
      <c r="F246" s="1">
        <v>42459</v>
      </c>
      <c r="G246" s="1">
        <v>42495</v>
      </c>
      <c r="H246" t="s">
        <v>33</v>
      </c>
      <c r="I246">
        <v>36</v>
      </c>
      <c r="J246" t="s">
        <v>22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 t="s">
        <v>26</v>
      </c>
      <c r="R246">
        <v>1</v>
      </c>
    </row>
    <row r="247" spans="1:18">
      <c r="A247" s="4">
        <v>43576300000000</v>
      </c>
      <c r="B247" t="s">
        <v>18</v>
      </c>
      <c r="C247">
        <v>3</v>
      </c>
      <c r="D247" t="s">
        <v>31</v>
      </c>
      <c r="E247" t="s">
        <v>36</v>
      </c>
      <c r="F247" s="1">
        <v>42459</v>
      </c>
      <c r="G247" s="1">
        <v>42489</v>
      </c>
      <c r="H247" t="s">
        <v>21</v>
      </c>
      <c r="I247">
        <v>30</v>
      </c>
      <c r="J247" t="s">
        <v>77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23</v>
      </c>
      <c r="R247">
        <v>0</v>
      </c>
    </row>
    <row r="248" spans="1:18">
      <c r="A248" s="4">
        <v>8985160000000</v>
      </c>
      <c r="B248" t="s">
        <v>18</v>
      </c>
      <c r="C248">
        <v>12</v>
      </c>
      <c r="D248" t="s">
        <v>31</v>
      </c>
      <c r="E248" t="s">
        <v>40</v>
      </c>
      <c r="F248" s="1">
        <v>42459</v>
      </c>
      <c r="G248" s="1">
        <v>42495</v>
      </c>
      <c r="H248" t="s">
        <v>33</v>
      </c>
      <c r="I248">
        <v>36</v>
      </c>
      <c r="J248" t="s">
        <v>22</v>
      </c>
      <c r="K248">
        <v>1</v>
      </c>
      <c r="L248">
        <v>0</v>
      </c>
      <c r="M248">
        <v>0</v>
      </c>
      <c r="N248">
        <v>0</v>
      </c>
      <c r="O248">
        <v>1</v>
      </c>
      <c r="P248">
        <v>0</v>
      </c>
      <c r="Q248" t="s">
        <v>26</v>
      </c>
      <c r="R248">
        <v>1</v>
      </c>
    </row>
    <row r="249" spans="1:18">
      <c r="A249" s="4">
        <v>6634980000000</v>
      </c>
      <c r="B249" t="s">
        <v>28</v>
      </c>
      <c r="C249">
        <v>23</v>
      </c>
      <c r="D249" t="s">
        <v>37</v>
      </c>
      <c r="E249" t="s">
        <v>72</v>
      </c>
      <c r="F249" s="1">
        <v>42459</v>
      </c>
      <c r="G249" s="1">
        <v>42492</v>
      </c>
      <c r="H249" t="s">
        <v>30</v>
      </c>
      <c r="I249">
        <v>33</v>
      </c>
      <c r="J249" t="s">
        <v>22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23</v>
      </c>
      <c r="R249">
        <v>0</v>
      </c>
    </row>
    <row r="250" spans="1:18">
      <c r="A250" s="4">
        <v>366436000000000</v>
      </c>
      <c r="B250" t="s">
        <v>18</v>
      </c>
      <c r="C250">
        <v>50</v>
      </c>
      <c r="D250" t="s">
        <v>27</v>
      </c>
      <c r="E250" t="s">
        <v>40</v>
      </c>
      <c r="F250" s="1">
        <v>42460</v>
      </c>
      <c r="G250" s="1">
        <v>42489</v>
      </c>
      <c r="H250" t="s">
        <v>21</v>
      </c>
      <c r="I250">
        <v>29</v>
      </c>
      <c r="J250" t="s">
        <v>77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1</v>
      </c>
      <c r="Q250" t="s">
        <v>23</v>
      </c>
      <c r="R250">
        <v>0</v>
      </c>
    </row>
    <row r="251" spans="1:18">
      <c r="A251" s="4">
        <v>322343000000</v>
      </c>
      <c r="B251" t="s">
        <v>18</v>
      </c>
      <c r="C251">
        <v>38</v>
      </c>
      <c r="D251" t="s">
        <v>27</v>
      </c>
      <c r="E251" t="s">
        <v>71</v>
      </c>
      <c r="F251" s="1">
        <v>42460</v>
      </c>
      <c r="G251" s="1">
        <v>42489</v>
      </c>
      <c r="H251" t="s">
        <v>21</v>
      </c>
      <c r="I251">
        <v>29</v>
      </c>
      <c r="J251" t="s">
        <v>77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1</v>
      </c>
      <c r="Q251" t="s">
        <v>23</v>
      </c>
      <c r="R251">
        <v>0</v>
      </c>
    </row>
    <row r="252" spans="1:18">
      <c r="A252" s="4">
        <v>67917200000000</v>
      </c>
      <c r="B252" t="s">
        <v>18</v>
      </c>
      <c r="C252">
        <v>63</v>
      </c>
      <c r="D252" t="s">
        <v>35</v>
      </c>
      <c r="E252" t="s">
        <v>59</v>
      </c>
      <c r="F252" s="1">
        <v>42460</v>
      </c>
      <c r="G252" s="1">
        <v>42489</v>
      </c>
      <c r="H252" t="s">
        <v>21</v>
      </c>
      <c r="I252">
        <v>29</v>
      </c>
      <c r="J252" t="s">
        <v>77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1</v>
      </c>
      <c r="Q252" t="s">
        <v>23</v>
      </c>
      <c r="R252">
        <v>0</v>
      </c>
    </row>
    <row r="253" spans="1:18">
      <c r="A253" s="4">
        <v>8551680000000</v>
      </c>
      <c r="B253" t="s">
        <v>28</v>
      </c>
      <c r="C253">
        <v>31</v>
      </c>
      <c r="D253" t="s">
        <v>37</v>
      </c>
      <c r="E253" t="s">
        <v>39</v>
      </c>
      <c r="F253" s="1">
        <v>42460</v>
      </c>
      <c r="G253" s="1">
        <v>42509</v>
      </c>
      <c r="H253" t="s">
        <v>33</v>
      </c>
      <c r="I253">
        <v>49</v>
      </c>
      <c r="J253" t="s">
        <v>22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23</v>
      </c>
      <c r="R253">
        <v>0</v>
      </c>
    </row>
    <row r="254" spans="1:18">
      <c r="A254" s="4">
        <v>4783890000000</v>
      </c>
      <c r="B254" t="s">
        <v>18</v>
      </c>
      <c r="C254">
        <v>13</v>
      </c>
      <c r="D254" t="s">
        <v>60</v>
      </c>
      <c r="E254" t="s">
        <v>72</v>
      </c>
      <c r="F254" s="1">
        <v>42460</v>
      </c>
      <c r="G254" s="1">
        <v>42494</v>
      </c>
      <c r="H254" t="s">
        <v>25</v>
      </c>
      <c r="I254">
        <v>34</v>
      </c>
      <c r="J254" t="s">
        <v>22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 t="s">
        <v>23</v>
      </c>
      <c r="R254">
        <v>0</v>
      </c>
    </row>
    <row r="255" spans="1:18">
      <c r="A255" s="4">
        <v>49839400000000</v>
      </c>
      <c r="B255" t="s">
        <v>18</v>
      </c>
      <c r="C255">
        <v>49</v>
      </c>
      <c r="D255" t="s">
        <v>27</v>
      </c>
      <c r="E255" t="s">
        <v>72</v>
      </c>
      <c r="F255" s="1">
        <v>42460</v>
      </c>
      <c r="G255" s="1">
        <v>42493</v>
      </c>
      <c r="H255" t="s">
        <v>41</v>
      </c>
      <c r="I255">
        <v>33</v>
      </c>
      <c r="J255" t="s">
        <v>22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 t="s">
        <v>26</v>
      </c>
      <c r="R255">
        <v>1</v>
      </c>
    </row>
    <row r="256" spans="1:18">
      <c r="A256" s="4">
        <v>33466200000000</v>
      </c>
      <c r="B256" t="s">
        <v>18</v>
      </c>
      <c r="C256">
        <v>54</v>
      </c>
      <c r="D256" t="s">
        <v>35</v>
      </c>
      <c r="E256" t="s">
        <v>56</v>
      </c>
      <c r="F256" s="1">
        <v>42460</v>
      </c>
      <c r="G256" s="1">
        <v>42492</v>
      </c>
      <c r="H256" t="s">
        <v>30</v>
      </c>
      <c r="I256">
        <v>32</v>
      </c>
      <c r="J256" t="s">
        <v>22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1</v>
      </c>
      <c r="Q256" t="s">
        <v>23</v>
      </c>
      <c r="R256">
        <v>0</v>
      </c>
    </row>
    <row r="257" spans="1:18">
      <c r="A257" s="4">
        <v>266555000000</v>
      </c>
      <c r="B257" t="s">
        <v>28</v>
      </c>
      <c r="C257">
        <v>32</v>
      </c>
      <c r="D257" t="s">
        <v>37</v>
      </c>
      <c r="E257" t="s">
        <v>73</v>
      </c>
      <c r="F257" s="1">
        <v>42460</v>
      </c>
      <c r="G257" s="1">
        <v>42493</v>
      </c>
      <c r="H257" t="s">
        <v>41</v>
      </c>
      <c r="I257">
        <v>33</v>
      </c>
      <c r="J257" t="s">
        <v>22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 t="s">
        <v>23</v>
      </c>
      <c r="R257">
        <v>0</v>
      </c>
    </row>
    <row r="258" spans="1:18">
      <c r="A258" s="4">
        <v>154699000000</v>
      </c>
      <c r="B258" t="s">
        <v>18</v>
      </c>
      <c r="C258">
        <v>18</v>
      </c>
      <c r="D258" t="s">
        <v>37</v>
      </c>
      <c r="E258" t="s">
        <v>67</v>
      </c>
      <c r="F258" s="1">
        <v>42460</v>
      </c>
      <c r="G258" s="1">
        <v>42489</v>
      </c>
      <c r="H258" t="s">
        <v>21</v>
      </c>
      <c r="I258">
        <v>29</v>
      </c>
      <c r="J258" t="s">
        <v>77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 t="s">
        <v>26</v>
      </c>
      <c r="R258">
        <v>1</v>
      </c>
    </row>
    <row r="259" spans="1:18">
      <c r="A259" s="4">
        <v>21783000000000</v>
      </c>
      <c r="B259" t="s">
        <v>18</v>
      </c>
      <c r="C259">
        <v>56</v>
      </c>
      <c r="D259" t="s">
        <v>35</v>
      </c>
      <c r="E259" t="s">
        <v>55</v>
      </c>
      <c r="F259" s="1">
        <v>42460</v>
      </c>
      <c r="G259" s="1">
        <v>42489</v>
      </c>
      <c r="H259" t="s">
        <v>21</v>
      </c>
      <c r="I259">
        <v>29</v>
      </c>
      <c r="J259" t="s">
        <v>77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 t="s">
        <v>23</v>
      </c>
      <c r="R259">
        <v>0</v>
      </c>
    </row>
    <row r="260" spans="1:18">
      <c r="A260" s="4">
        <v>785739000000</v>
      </c>
      <c r="B260" t="s">
        <v>18</v>
      </c>
      <c r="C260">
        <v>31</v>
      </c>
      <c r="D260" t="s">
        <v>37</v>
      </c>
      <c r="E260" t="s">
        <v>78</v>
      </c>
      <c r="F260" s="1">
        <v>42460</v>
      </c>
      <c r="G260" s="1">
        <v>42489</v>
      </c>
      <c r="H260" t="s">
        <v>21</v>
      </c>
      <c r="I260">
        <v>29</v>
      </c>
      <c r="J260" t="s">
        <v>77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 t="s">
        <v>23</v>
      </c>
      <c r="R260">
        <v>0</v>
      </c>
    </row>
    <row r="261" spans="1:18">
      <c r="A261" s="4">
        <v>5231880000000</v>
      </c>
      <c r="B261" t="s">
        <v>18</v>
      </c>
      <c r="C261">
        <v>57</v>
      </c>
      <c r="D261" t="s">
        <v>35</v>
      </c>
      <c r="E261" t="s">
        <v>78</v>
      </c>
      <c r="F261" s="1">
        <v>42460</v>
      </c>
      <c r="G261" s="1">
        <v>42489</v>
      </c>
      <c r="H261" t="s">
        <v>21</v>
      </c>
      <c r="I261">
        <v>29</v>
      </c>
      <c r="J261" t="s">
        <v>77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 t="s">
        <v>23</v>
      </c>
      <c r="R261">
        <v>0</v>
      </c>
    </row>
    <row r="262" spans="1:18">
      <c r="A262" s="4">
        <v>92392600000000</v>
      </c>
      <c r="B262" t="s">
        <v>18</v>
      </c>
      <c r="C262">
        <v>16</v>
      </c>
      <c r="D262" t="s">
        <v>60</v>
      </c>
      <c r="E262" t="s">
        <v>72</v>
      </c>
      <c r="F262" s="1">
        <v>42460</v>
      </c>
      <c r="G262" s="1">
        <v>42495</v>
      </c>
      <c r="H262" t="s">
        <v>33</v>
      </c>
      <c r="I262">
        <v>35</v>
      </c>
      <c r="J262" t="s">
        <v>22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23</v>
      </c>
      <c r="R262">
        <v>0</v>
      </c>
    </row>
    <row r="263" spans="1:18">
      <c r="A263" s="4">
        <v>49374400000000</v>
      </c>
      <c r="B263" t="s">
        <v>28</v>
      </c>
      <c r="C263">
        <v>67</v>
      </c>
      <c r="D263" t="s">
        <v>19</v>
      </c>
      <c r="E263" t="s">
        <v>72</v>
      </c>
      <c r="F263" s="1">
        <v>42460</v>
      </c>
      <c r="G263" s="1">
        <v>42492</v>
      </c>
      <c r="H263" t="s">
        <v>30</v>
      </c>
      <c r="I263">
        <v>32</v>
      </c>
      <c r="J263" t="s">
        <v>22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 t="s">
        <v>23</v>
      </c>
      <c r="R263">
        <v>0</v>
      </c>
    </row>
    <row r="264" spans="1:18">
      <c r="A264" s="4">
        <v>281953000000</v>
      </c>
      <c r="B264" t="s">
        <v>18</v>
      </c>
      <c r="C264">
        <v>36</v>
      </c>
      <c r="D264" t="s">
        <v>27</v>
      </c>
      <c r="E264" t="s">
        <v>54</v>
      </c>
      <c r="F264" s="1">
        <v>42460</v>
      </c>
      <c r="G264" s="1">
        <v>42499</v>
      </c>
      <c r="H264" t="s">
        <v>30</v>
      </c>
      <c r="I264">
        <v>39</v>
      </c>
      <c r="J264" t="s">
        <v>22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 t="s">
        <v>26</v>
      </c>
      <c r="R264">
        <v>1</v>
      </c>
    </row>
    <row r="265" spans="1:18">
      <c r="A265" s="4">
        <v>4787250000000</v>
      </c>
      <c r="B265" t="s">
        <v>18</v>
      </c>
      <c r="C265">
        <v>52</v>
      </c>
      <c r="D265" t="s">
        <v>35</v>
      </c>
      <c r="E265" t="s">
        <v>39</v>
      </c>
      <c r="F265" s="1">
        <v>42460</v>
      </c>
      <c r="G265" s="1">
        <v>42510</v>
      </c>
      <c r="H265" t="s">
        <v>21</v>
      </c>
      <c r="I265">
        <v>50</v>
      </c>
      <c r="J265" t="s">
        <v>22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23</v>
      </c>
      <c r="R265">
        <v>0</v>
      </c>
    </row>
    <row r="266" spans="1:18">
      <c r="A266" s="4">
        <v>7831760000000</v>
      </c>
      <c r="B266" t="s">
        <v>18</v>
      </c>
      <c r="C266">
        <v>64</v>
      </c>
      <c r="D266" t="s">
        <v>35</v>
      </c>
      <c r="E266" t="s">
        <v>72</v>
      </c>
      <c r="F266" s="1">
        <v>42460</v>
      </c>
      <c r="G266" s="1">
        <v>42492</v>
      </c>
      <c r="H266" t="s">
        <v>30</v>
      </c>
      <c r="I266">
        <v>32</v>
      </c>
      <c r="J266" t="s">
        <v>22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 t="s">
        <v>26</v>
      </c>
      <c r="R266">
        <v>1</v>
      </c>
    </row>
    <row r="267" spans="1:18">
      <c r="A267" s="4">
        <v>39497800000000</v>
      </c>
      <c r="B267" t="s">
        <v>18</v>
      </c>
      <c r="C267">
        <v>1</v>
      </c>
      <c r="D267" t="s">
        <v>31</v>
      </c>
      <c r="E267" t="s">
        <v>39</v>
      </c>
      <c r="F267" s="1">
        <v>42460</v>
      </c>
      <c r="G267" s="1">
        <v>42520</v>
      </c>
      <c r="H267" t="s">
        <v>30</v>
      </c>
      <c r="I267">
        <v>60</v>
      </c>
      <c r="J267" t="s">
        <v>22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 t="s">
        <v>23</v>
      </c>
      <c r="R267">
        <v>0</v>
      </c>
    </row>
    <row r="268" spans="1:18">
      <c r="A268" s="4">
        <v>45294800000000</v>
      </c>
      <c r="B268" t="s">
        <v>18</v>
      </c>
      <c r="C268">
        <v>25</v>
      </c>
      <c r="D268" t="s">
        <v>37</v>
      </c>
      <c r="E268" t="s">
        <v>73</v>
      </c>
      <c r="F268" s="1">
        <v>42460</v>
      </c>
      <c r="G268" s="1">
        <v>42494</v>
      </c>
      <c r="H268" t="s">
        <v>25</v>
      </c>
      <c r="I268">
        <v>34</v>
      </c>
      <c r="J268" t="s">
        <v>22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 t="s">
        <v>26</v>
      </c>
      <c r="R268">
        <v>1</v>
      </c>
    </row>
    <row r="269" spans="1:18">
      <c r="A269" s="4">
        <v>32350000000000</v>
      </c>
      <c r="B269" t="s">
        <v>28</v>
      </c>
      <c r="C269">
        <v>4</v>
      </c>
      <c r="D269" t="s">
        <v>31</v>
      </c>
      <c r="E269" t="s">
        <v>72</v>
      </c>
      <c r="F269" s="1">
        <v>42460</v>
      </c>
      <c r="G269" s="1">
        <v>42492</v>
      </c>
      <c r="H269" t="s">
        <v>30</v>
      </c>
      <c r="I269">
        <v>32</v>
      </c>
      <c r="J269" t="s">
        <v>22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 t="s">
        <v>26</v>
      </c>
      <c r="R269">
        <v>1</v>
      </c>
    </row>
    <row r="270" spans="1:18">
      <c r="A270" s="4">
        <v>623462000000000</v>
      </c>
      <c r="B270" t="s">
        <v>18</v>
      </c>
      <c r="C270">
        <v>27</v>
      </c>
      <c r="D270" t="s">
        <v>37</v>
      </c>
      <c r="E270" t="s">
        <v>51</v>
      </c>
      <c r="F270" s="1">
        <v>42460</v>
      </c>
      <c r="G270" s="1">
        <v>42489</v>
      </c>
      <c r="H270" t="s">
        <v>21</v>
      </c>
      <c r="I270">
        <v>29</v>
      </c>
      <c r="J270" t="s">
        <v>77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 t="s">
        <v>26</v>
      </c>
      <c r="R270">
        <v>1</v>
      </c>
    </row>
    <row r="271" spans="1:18">
      <c r="A271" s="4">
        <v>6522360000000</v>
      </c>
      <c r="B271" t="s">
        <v>18</v>
      </c>
      <c r="C271">
        <v>23</v>
      </c>
      <c r="D271" t="s">
        <v>37</v>
      </c>
      <c r="E271" t="s">
        <v>45</v>
      </c>
      <c r="F271" s="1">
        <v>42460</v>
      </c>
      <c r="G271" s="1">
        <v>42520</v>
      </c>
      <c r="H271" t="s">
        <v>30</v>
      </c>
      <c r="I271">
        <v>60</v>
      </c>
      <c r="J271" t="s">
        <v>22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 t="s">
        <v>23</v>
      </c>
      <c r="R271">
        <v>0</v>
      </c>
    </row>
    <row r="272" spans="1:18">
      <c r="A272" s="4">
        <v>21358500000000</v>
      </c>
      <c r="B272" t="s">
        <v>18</v>
      </c>
      <c r="C272">
        <v>47</v>
      </c>
      <c r="D272" t="s">
        <v>27</v>
      </c>
      <c r="E272" t="s">
        <v>36</v>
      </c>
      <c r="F272" s="1">
        <v>42460</v>
      </c>
      <c r="G272" s="1">
        <v>42507</v>
      </c>
      <c r="H272" t="s">
        <v>41</v>
      </c>
      <c r="I272">
        <v>47</v>
      </c>
      <c r="J272" t="s">
        <v>22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23</v>
      </c>
      <c r="R272">
        <v>0</v>
      </c>
    </row>
    <row r="273" spans="1:18">
      <c r="A273" s="4">
        <v>676839000000000</v>
      </c>
      <c r="B273" t="s">
        <v>18</v>
      </c>
      <c r="C273">
        <v>91</v>
      </c>
      <c r="D273" t="s">
        <v>19</v>
      </c>
      <c r="E273" t="s">
        <v>39</v>
      </c>
      <c r="F273" s="1">
        <v>42461</v>
      </c>
      <c r="G273" s="1">
        <v>42522</v>
      </c>
      <c r="H273" t="s">
        <v>25</v>
      </c>
      <c r="I273">
        <v>61</v>
      </c>
      <c r="J273" t="s">
        <v>22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 t="s">
        <v>23</v>
      </c>
      <c r="R273">
        <v>0</v>
      </c>
    </row>
    <row r="274" spans="1:18">
      <c r="A274" s="4">
        <v>46818500000000</v>
      </c>
      <c r="B274" t="s">
        <v>18</v>
      </c>
      <c r="C274">
        <v>32</v>
      </c>
      <c r="D274" t="s">
        <v>37</v>
      </c>
      <c r="E274" t="s">
        <v>54</v>
      </c>
      <c r="F274" s="1">
        <v>42461</v>
      </c>
      <c r="G274" s="1">
        <v>42499</v>
      </c>
      <c r="H274" t="s">
        <v>30</v>
      </c>
      <c r="I274">
        <v>38</v>
      </c>
      <c r="J274" t="s">
        <v>22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23</v>
      </c>
      <c r="R274">
        <v>0</v>
      </c>
    </row>
    <row r="275" spans="1:18">
      <c r="A275" s="4">
        <v>1918670000000</v>
      </c>
      <c r="B275" t="s">
        <v>18</v>
      </c>
      <c r="C275">
        <v>63</v>
      </c>
      <c r="D275" t="s">
        <v>35</v>
      </c>
      <c r="E275" t="s">
        <v>39</v>
      </c>
      <c r="F275" s="1">
        <v>42461</v>
      </c>
      <c r="G275" s="1">
        <v>42522</v>
      </c>
      <c r="H275" t="s">
        <v>25</v>
      </c>
      <c r="I275">
        <v>61</v>
      </c>
      <c r="J275" t="s">
        <v>22</v>
      </c>
      <c r="K275">
        <v>0</v>
      </c>
      <c r="L275">
        <v>1</v>
      </c>
      <c r="M275">
        <v>1</v>
      </c>
      <c r="N275">
        <v>0</v>
      </c>
      <c r="O275">
        <v>0</v>
      </c>
      <c r="P275">
        <v>1</v>
      </c>
      <c r="Q275" t="s">
        <v>23</v>
      </c>
      <c r="R275">
        <v>0</v>
      </c>
    </row>
    <row r="276" spans="1:18">
      <c r="A276" s="4">
        <v>1176230000000</v>
      </c>
      <c r="B276" t="s">
        <v>18</v>
      </c>
      <c r="C276">
        <v>66</v>
      </c>
      <c r="D276" t="s">
        <v>19</v>
      </c>
      <c r="E276" t="s">
        <v>29</v>
      </c>
      <c r="F276" s="1">
        <v>42461</v>
      </c>
      <c r="G276" s="1">
        <v>42489</v>
      </c>
      <c r="H276" t="s">
        <v>21</v>
      </c>
      <c r="I276">
        <v>28</v>
      </c>
      <c r="J276" t="s">
        <v>77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 t="s">
        <v>23</v>
      </c>
      <c r="R276">
        <v>0</v>
      </c>
    </row>
    <row r="277" spans="1:18">
      <c r="A277" s="4">
        <v>46311500000000</v>
      </c>
      <c r="B277" t="s">
        <v>18</v>
      </c>
      <c r="C277">
        <v>0</v>
      </c>
      <c r="D277" t="s">
        <v>31</v>
      </c>
      <c r="E277" t="s">
        <v>43</v>
      </c>
      <c r="F277" s="1">
        <v>42461</v>
      </c>
      <c r="G277" s="1">
        <v>42493</v>
      </c>
      <c r="H277" t="s">
        <v>41</v>
      </c>
      <c r="I277">
        <v>32</v>
      </c>
      <c r="J277" t="s">
        <v>22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 t="s">
        <v>26</v>
      </c>
      <c r="R277">
        <v>1</v>
      </c>
    </row>
    <row r="278" spans="1:18">
      <c r="A278" s="4">
        <v>588269000000</v>
      </c>
      <c r="B278" t="s">
        <v>18</v>
      </c>
      <c r="C278">
        <v>61</v>
      </c>
      <c r="D278" t="s">
        <v>35</v>
      </c>
      <c r="E278" t="s">
        <v>39</v>
      </c>
      <c r="F278" s="1">
        <v>42461</v>
      </c>
      <c r="G278" s="1">
        <v>42522</v>
      </c>
      <c r="H278" t="s">
        <v>25</v>
      </c>
      <c r="I278">
        <v>61</v>
      </c>
      <c r="J278" t="s">
        <v>22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 t="s">
        <v>23</v>
      </c>
      <c r="R278">
        <v>0</v>
      </c>
    </row>
    <row r="279" spans="1:18">
      <c r="A279" s="4">
        <v>61687321977</v>
      </c>
      <c r="B279" t="s">
        <v>18</v>
      </c>
      <c r="C279">
        <v>8</v>
      </c>
      <c r="D279" t="s">
        <v>31</v>
      </c>
      <c r="E279" t="s">
        <v>39</v>
      </c>
      <c r="F279" s="1">
        <v>42461</v>
      </c>
      <c r="G279" s="1">
        <v>42527</v>
      </c>
      <c r="H279" t="s">
        <v>30</v>
      </c>
      <c r="I279">
        <v>66</v>
      </c>
      <c r="J279" t="s">
        <v>22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 t="s">
        <v>23</v>
      </c>
      <c r="R279">
        <v>0</v>
      </c>
    </row>
    <row r="280" spans="1:18">
      <c r="A280" s="4">
        <v>9587370000000</v>
      </c>
      <c r="B280" t="s">
        <v>28</v>
      </c>
      <c r="C280">
        <v>59</v>
      </c>
      <c r="D280" t="s">
        <v>35</v>
      </c>
      <c r="E280" t="s">
        <v>36</v>
      </c>
      <c r="F280" s="1">
        <v>42461</v>
      </c>
      <c r="G280" s="1">
        <v>42492</v>
      </c>
      <c r="H280" t="s">
        <v>30</v>
      </c>
      <c r="I280">
        <v>31</v>
      </c>
      <c r="J280" t="s">
        <v>22</v>
      </c>
      <c r="K280">
        <v>0</v>
      </c>
      <c r="L280">
        <v>0</v>
      </c>
      <c r="M280">
        <v>1</v>
      </c>
      <c r="N280">
        <v>1</v>
      </c>
      <c r="O280">
        <v>0</v>
      </c>
      <c r="P280">
        <v>1</v>
      </c>
      <c r="Q280" t="s">
        <v>23</v>
      </c>
      <c r="R280">
        <v>0</v>
      </c>
    </row>
    <row r="281" spans="1:18">
      <c r="A281" s="4">
        <v>499516000000000</v>
      </c>
      <c r="B281" t="s">
        <v>18</v>
      </c>
      <c r="C281">
        <v>41</v>
      </c>
      <c r="D281" t="s">
        <v>27</v>
      </c>
      <c r="E281" t="s">
        <v>72</v>
      </c>
      <c r="F281" s="1">
        <v>42461</v>
      </c>
      <c r="G281" s="1">
        <v>42494</v>
      </c>
      <c r="H281" t="s">
        <v>25</v>
      </c>
      <c r="I281">
        <v>33</v>
      </c>
      <c r="J281" t="s">
        <v>22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 t="s">
        <v>23</v>
      </c>
      <c r="R281">
        <v>0</v>
      </c>
    </row>
    <row r="282" spans="1:18">
      <c r="A282" s="4">
        <v>417779000000000</v>
      </c>
      <c r="B282" t="s">
        <v>18</v>
      </c>
      <c r="C282">
        <v>47</v>
      </c>
      <c r="D282" t="s">
        <v>27</v>
      </c>
      <c r="E282" t="s">
        <v>39</v>
      </c>
      <c r="F282" s="1">
        <v>42461</v>
      </c>
      <c r="G282" s="1">
        <v>42522</v>
      </c>
      <c r="H282" t="s">
        <v>25</v>
      </c>
      <c r="I282">
        <v>61</v>
      </c>
      <c r="J282" t="s">
        <v>22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 t="s">
        <v>23</v>
      </c>
      <c r="R282">
        <v>0</v>
      </c>
    </row>
    <row r="283" spans="1:18">
      <c r="A283" s="4">
        <v>428629000000</v>
      </c>
      <c r="B283" t="s">
        <v>28</v>
      </c>
      <c r="C283">
        <v>37</v>
      </c>
      <c r="D283" t="s">
        <v>27</v>
      </c>
      <c r="E283" t="s">
        <v>32</v>
      </c>
      <c r="F283" s="1">
        <v>42461</v>
      </c>
      <c r="G283" s="1">
        <v>42522</v>
      </c>
      <c r="H283" t="s">
        <v>25</v>
      </c>
      <c r="I283">
        <v>61</v>
      </c>
      <c r="J283" t="s">
        <v>22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 t="s">
        <v>26</v>
      </c>
      <c r="R283">
        <v>1</v>
      </c>
    </row>
    <row r="284" spans="1:18">
      <c r="A284" s="4">
        <v>717177000000000</v>
      </c>
      <c r="B284" t="s">
        <v>18</v>
      </c>
      <c r="C284">
        <v>52</v>
      </c>
      <c r="D284" t="s">
        <v>35</v>
      </c>
      <c r="E284" t="s">
        <v>39</v>
      </c>
      <c r="F284" s="1">
        <v>42461</v>
      </c>
      <c r="G284" s="1">
        <v>42527</v>
      </c>
      <c r="H284" t="s">
        <v>30</v>
      </c>
      <c r="I284">
        <v>66</v>
      </c>
      <c r="J284" t="s">
        <v>22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 t="s">
        <v>26</v>
      </c>
      <c r="R284">
        <v>1</v>
      </c>
    </row>
    <row r="285" spans="1:18">
      <c r="A285" s="4">
        <v>5995930000000</v>
      </c>
      <c r="B285" t="s">
        <v>18</v>
      </c>
      <c r="C285">
        <v>75</v>
      </c>
      <c r="D285" t="s">
        <v>19</v>
      </c>
      <c r="E285" t="s">
        <v>39</v>
      </c>
      <c r="F285" s="1">
        <v>42461</v>
      </c>
      <c r="G285" s="1">
        <v>42489</v>
      </c>
      <c r="H285" t="s">
        <v>21</v>
      </c>
      <c r="I285">
        <v>28</v>
      </c>
      <c r="J285" t="s">
        <v>77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 t="s">
        <v>23</v>
      </c>
      <c r="R285">
        <v>0</v>
      </c>
    </row>
    <row r="286" spans="1:18">
      <c r="A286" s="4">
        <v>592838000000000</v>
      </c>
      <c r="B286" t="s">
        <v>18</v>
      </c>
      <c r="C286">
        <v>45</v>
      </c>
      <c r="D286" t="s">
        <v>27</v>
      </c>
      <c r="E286" t="s">
        <v>39</v>
      </c>
      <c r="F286" s="1">
        <v>42461</v>
      </c>
      <c r="G286" s="1">
        <v>42527</v>
      </c>
      <c r="H286" t="s">
        <v>30</v>
      </c>
      <c r="I286">
        <v>66</v>
      </c>
      <c r="J286" t="s">
        <v>22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 t="s">
        <v>23</v>
      </c>
      <c r="R286">
        <v>0</v>
      </c>
    </row>
    <row r="287" spans="1:18">
      <c r="A287" s="4">
        <v>97952900000000</v>
      </c>
      <c r="B287" t="s">
        <v>18</v>
      </c>
      <c r="C287">
        <v>64</v>
      </c>
      <c r="D287" t="s">
        <v>35</v>
      </c>
      <c r="E287" t="s">
        <v>55</v>
      </c>
      <c r="F287" s="1">
        <v>42461</v>
      </c>
      <c r="G287" s="1">
        <v>42496</v>
      </c>
      <c r="H287" t="s">
        <v>21</v>
      </c>
      <c r="I287">
        <v>35</v>
      </c>
      <c r="J287" t="s">
        <v>22</v>
      </c>
      <c r="K287">
        <v>0</v>
      </c>
      <c r="L287">
        <v>1</v>
      </c>
      <c r="M287">
        <v>1</v>
      </c>
      <c r="N287">
        <v>0</v>
      </c>
      <c r="O287">
        <v>0</v>
      </c>
      <c r="P287">
        <v>1</v>
      </c>
      <c r="Q287" t="s">
        <v>23</v>
      </c>
      <c r="R287">
        <v>0</v>
      </c>
    </row>
    <row r="288" spans="1:18">
      <c r="A288" s="4">
        <v>2318920000000</v>
      </c>
      <c r="B288" t="s">
        <v>28</v>
      </c>
      <c r="C288">
        <v>70</v>
      </c>
      <c r="D288" t="s">
        <v>19</v>
      </c>
      <c r="E288" t="s">
        <v>39</v>
      </c>
      <c r="F288" s="1">
        <v>42461</v>
      </c>
      <c r="G288" s="1">
        <v>42527</v>
      </c>
      <c r="H288" t="s">
        <v>30</v>
      </c>
      <c r="I288">
        <v>66</v>
      </c>
      <c r="J288" t="s">
        <v>22</v>
      </c>
      <c r="K288">
        <v>0</v>
      </c>
      <c r="L288">
        <v>1</v>
      </c>
      <c r="M288">
        <v>1</v>
      </c>
      <c r="N288">
        <v>0</v>
      </c>
      <c r="O288">
        <v>0</v>
      </c>
      <c r="P288">
        <v>1</v>
      </c>
      <c r="Q288" t="s">
        <v>23</v>
      </c>
      <c r="R288">
        <v>0</v>
      </c>
    </row>
    <row r="289" spans="1:18">
      <c r="A289" s="4">
        <v>33153900000000</v>
      </c>
      <c r="B289" t="s">
        <v>28</v>
      </c>
      <c r="C289">
        <v>49</v>
      </c>
      <c r="D289" t="s">
        <v>27</v>
      </c>
      <c r="E289" t="s">
        <v>39</v>
      </c>
      <c r="F289" s="1">
        <v>42461</v>
      </c>
      <c r="G289" s="1">
        <v>42527</v>
      </c>
      <c r="H289" t="s">
        <v>30</v>
      </c>
      <c r="I289">
        <v>66</v>
      </c>
      <c r="J289" t="s">
        <v>22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 t="s">
        <v>23</v>
      </c>
      <c r="R289">
        <v>0</v>
      </c>
    </row>
    <row r="290" spans="1:18">
      <c r="A290" s="4">
        <v>35672756311</v>
      </c>
      <c r="B290" t="s">
        <v>28</v>
      </c>
      <c r="C290">
        <v>32</v>
      </c>
      <c r="D290" t="s">
        <v>37</v>
      </c>
      <c r="E290" t="s">
        <v>32</v>
      </c>
      <c r="F290" s="1">
        <v>42461</v>
      </c>
      <c r="G290" s="1">
        <v>42523</v>
      </c>
      <c r="H290" t="s">
        <v>33</v>
      </c>
      <c r="I290">
        <v>62</v>
      </c>
      <c r="J290" t="s">
        <v>22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26</v>
      </c>
      <c r="R290">
        <v>1</v>
      </c>
    </row>
    <row r="291" spans="1:18">
      <c r="A291" s="4">
        <v>51753800000000</v>
      </c>
      <c r="B291" t="s">
        <v>18</v>
      </c>
      <c r="C291">
        <v>63</v>
      </c>
      <c r="D291" t="s">
        <v>35</v>
      </c>
      <c r="E291" t="s">
        <v>39</v>
      </c>
      <c r="F291" s="1">
        <v>42461</v>
      </c>
      <c r="G291" s="1">
        <v>42523</v>
      </c>
      <c r="H291" t="s">
        <v>33</v>
      </c>
      <c r="I291">
        <v>62</v>
      </c>
      <c r="J291" t="s">
        <v>22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1</v>
      </c>
      <c r="Q291" t="s">
        <v>23</v>
      </c>
      <c r="R291">
        <v>0</v>
      </c>
    </row>
    <row r="292" spans="1:18">
      <c r="A292" s="4">
        <v>75365900000000</v>
      </c>
      <c r="B292" t="s">
        <v>28</v>
      </c>
      <c r="C292">
        <v>44</v>
      </c>
      <c r="D292" t="s">
        <v>27</v>
      </c>
      <c r="E292" t="s">
        <v>36</v>
      </c>
      <c r="F292" s="1">
        <v>42461</v>
      </c>
      <c r="G292" s="1">
        <v>42492</v>
      </c>
      <c r="H292" t="s">
        <v>30</v>
      </c>
      <c r="I292">
        <v>31</v>
      </c>
      <c r="J292" t="s">
        <v>22</v>
      </c>
      <c r="K292">
        <v>1</v>
      </c>
      <c r="L292">
        <v>1</v>
      </c>
      <c r="M292">
        <v>1</v>
      </c>
      <c r="N292">
        <v>0</v>
      </c>
      <c r="O292">
        <v>0</v>
      </c>
      <c r="P292">
        <v>1</v>
      </c>
      <c r="Q292" t="s">
        <v>23</v>
      </c>
      <c r="R292">
        <v>0</v>
      </c>
    </row>
    <row r="293" spans="1:18">
      <c r="A293" s="4">
        <v>4695830000000</v>
      </c>
      <c r="B293" t="s">
        <v>18</v>
      </c>
      <c r="C293">
        <v>58</v>
      </c>
      <c r="D293" t="s">
        <v>35</v>
      </c>
      <c r="E293" t="s">
        <v>36</v>
      </c>
      <c r="F293" s="1">
        <v>42461</v>
      </c>
      <c r="G293" s="1">
        <v>42492</v>
      </c>
      <c r="H293" t="s">
        <v>30</v>
      </c>
      <c r="I293">
        <v>31</v>
      </c>
      <c r="J293" t="s">
        <v>22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 t="s">
        <v>26</v>
      </c>
      <c r="R293">
        <v>1</v>
      </c>
    </row>
    <row r="294" spans="1:18">
      <c r="A294" s="4">
        <v>141699000000000</v>
      </c>
      <c r="B294" t="s">
        <v>28</v>
      </c>
      <c r="C294">
        <v>23</v>
      </c>
      <c r="D294" t="s">
        <v>37</v>
      </c>
      <c r="E294" t="s">
        <v>57</v>
      </c>
      <c r="F294" s="1">
        <v>42461</v>
      </c>
      <c r="G294" s="1">
        <v>42493</v>
      </c>
      <c r="H294" t="s">
        <v>41</v>
      </c>
      <c r="I294">
        <v>32</v>
      </c>
      <c r="J294" t="s">
        <v>22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1</v>
      </c>
      <c r="Q294" t="s">
        <v>23</v>
      </c>
      <c r="R294">
        <v>0</v>
      </c>
    </row>
    <row r="295" spans="1:18">
      <c r="A295" s="4">
        <v>92187884835</v>
      </c>
      <c r="B295" t="s">
        <v>28</v>
      </c>
      <c r="C295">
        <v>63</v>
      </c>
      <c r="D295" t="s">
        <v>35</v>
      </c>
      <c r="E295" t="s">
        <v>39</v>
      </c>
      <c r="F295" s="1">
        <v>42461</v>
      </c>
      <c r="G295" s="1">
        <v>42522</v>
      </c>
      <c r="H295" t="s">
        <v>25</v>
      </c>
      <c r="I295">
        <v>61</v>
      </c>
      <c r="J295" t="s">
        <v>22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 t="s">
        <v>23</v>
      </c>
      <c r="R295">
        <v>0</v>
      </c>
    </row>
    <row r="296" spans="1:18">
      <c r="A296" s="4">
        <v>74233900000000</v>
      </c>
      <c r="B296" t="s">
        <v>28</v>
      </c>
      <c r="C296">
        <v>31</v>
      </c>
      <c r="D296" t="s">
        <v>37</v>
      </c>
      <c r="E296" t="s">
        <v>39</v>
      </c>
      <c r="F296" s="1">
        <v>42461</v>
      </c>
      <c r="G296" s="1">
        <v>42523</v>
      </c>
      <c r="H296" t="s">
        <v>33</v>
      </c>
      <c r="I296">
        <v>62</v>
      </c>
      <c r="J296" t="s">
        <v>22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 t="s">
        <v>23</v>
      </c>
      <c r="R296">
        <v>0</v>
      </c>
    </row>
    <row r="297" spans="1:18">
      <c r="A297" s="4">
        <v>135980000000000</v>
      </c>
      <c r="B297" t="s">
        <v>18</v>
      </c>
      <c r="C297">
        <v>60</v>
      </c>
      <c r="D297" t="s">
        <v>35</v>
      </c>
      <c r="E297" t="s">
        <v>39</v>
      </c>
      <c r="F297" s="1">
        <v>42461</v>
      </c>
      <c r="G297" s="1">
        <v>42527</v>
      </c>
      <c r="H297" t="s">
        <v>30</v>
      </c>
      <c r="I297">
        <v>66</v>
      </c>
      <c r="J297" t="s">
        <v>22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 t="s">
        <v>23</v>
      </c>
      <c r="R297">
        <v>0</v>
      </c>
    </row>
    <row r="298" spans="1:18">
      <c r="A298" s="4">
        <v>959644000000000</v>
      </c>
      <c r="B298" t="s">
        <v>28</v>
      </c>
      <c r="C298">
        <v>19</v>
      </c>
      <c r="D298" t="s">
        <v>37</v>
      </c>
      <c r="E298" t="s">
        <v>39</v>
      </c>
      <c r="F298" s="1">
        <v>42461</v>
      </c>
      <c r="G298" s="1">
        <v>42523</v>
      </c>
      <c r="H298" t="s">
        <v>33</v>
      </c>
      <c r="I298">
        <v>62</v>
      </c>
      <c r="J298" t="s">
        <v>22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 t="s">
        <v>23</v>
      </c>
      <c r="R298">
        <v>0</v>
      </c>
    </row>
    <row r="299" spans="1:18">
      <c r="A299" s="4">
        <v>2285200000000</v>
      </c>
      <c r="B299" t="s">
        <v>18</v>
      </c>
      <c r="C299">
        <v>57</v>
      </c>
      <c r="D299" t="s">
        <v>35</v>
      </c>
      <c r="E299" t="s">
        <v>39</v>
      </c>
      <c r="F299" s="1">
        <v>42461</v>
      </c>
      <c r="G299" s="1">
        <v>42527</v>
      </c>
      <c r="H299" t="s">
        <v>30</v>
      </c>
      <c r="I299">
        <v>66</v>
      </c>
      <c r="J299" t="s">
        <v>22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 t="s">
        <v>23</v>
      </c>
      <c r="R299">
        <v>0</v>
      </c>
    </row>
    <row r="300" spans="1:18">
      <c r="A300" s="4">
        <v>34433700000000</v>
      </c>
      <c r="B300" t="s">
        <v>18</v>
      </c>
      <c r="C300">
        <v>66</v>
      </c>
      <c r="D300" t="s">
        <v>19</v>
      </c>
      <c r="E300" t="s">
        <v>39</v>
      </c>
      <c r="F300" s="1">
        <v>42461</v>
      </c>
      <c r="G300" s="1">
        <v>42527</v>
      </c>
      <c r="H300" t="s">
        <v>30</v>
      </c>
      <c r="I300">
        <v>66</v>
      </c>
      <c r="J300" t="s">
        <v>22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 t="s">
        <v>23</v>
      </c>
      <c r="R300">
        <v>0</v>
      </c>
    </row>
    <row r="301" spans="1:18">
      <c r="A301" s="4">
        <v>543986000000000</v>
      </c>
      <c r="B301" t="s">
        <v>18</v>
      </c>
      <c r="C301">
        <v>53</v>
      </c>
      <c r="D301" t="s">
        <v>35</v>
      </c>
      <c r="E301" t="s">
        <v>39</v>
      </c>
      <c r="F301" s="1">
        <v>42461</v>
      </c>
      <c r="G301" s="1">
        <v>42528</v>
      </c>
      <c r="H301" t="s">
        <v>41</v>
      </c>
      <c r="I301">
        <v>67</v>
      </c>
      <c r="J301" t="s">
        <v>22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 t="s">
        <v>23</v>
      </c>
      <c r="R301">
        <v>0</v>
      </c>
    </row>
    <row r="302" spans="1:18">
      <c r="A302" s="4">
        <v>93413700000000</v>
      </c>
      <c r="B302" t="s">
        <v>18</v>
      </c>
      <c r="C302">
        <v>55</v>
      </c>
      <c r="D302" t="s">
        <v>35</v>
      </c>
      <c r="E302" t="s">
        <v>39</v>
      </c>
      <c r="F302" s="1">
        <v>42461</v>
      </c>
      <c r="G302" s="1">
        <v>42527</v>
      </c>
      <c r="H302" t="s">
        <v>30</v>
      </c>
      <c r="I302">
        <v>66</v>
      </c>
      <c r="J302" t="s">
        <v>22</v>
      </c>
      <c r="K302">
        <v>0</v>
      </c>
      <c r="L302">
        <v>1</v>
      </c>
      <c r="M302">
        <v>1</v>
      </c>
      <c r="N302">
        <v>0</v>
      </c>
      <c r="O302">
        <v>0</v>
      </c>
      <c r="P302">
        <v>1</v>
      </c>
      <c r="Q302" t="s">
        <v>23</v>
      </c>
      <c r="R302">
        <v>0</v>
      </c>
    </row>
    <row r="303" spans="1:18">
      <c r="A303" s="4">
        <v>66494969535</v>
      </c>
      <c r="B303" t="s">
        <v>18</v>
      </c>
      <c r="C303">
        <v>62</v>
      </c>
      <c r="D303" t="s">
        <v>35</v>
      </c>
      <c r="E303" t="s">
        <v>29</v>
      </c>
      <c r="F303" s="1">
        <v>42461</v>
      </c>
      <c r="G303" s="1">
        <v>42489</v>
      </c>
      <c r="H303" t="s">
        <v>21</v>
      </c>
      <c r="I303">
        <v>28</v>
      </c>
      <c r="J303" t="s">
        <v>77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 t="s">
        <v>23</v>
      </c>
      <c r="R303">
        <v>0</v>
      </c>
    </row>
    <row r="304" spans="1:18">
      <c r="A304" s="4">
        <v>287593000000</v>
      </c>
      <c r="B304" t="s">
        <v>18</v>
      </c>
      <c r="C304">
        <v>71</v>
      </c>
      <c r="D304" t="s">
        <v>19</v>
      </c>
      <c r="E304" t="s">
        <v>39</v>
      </c>
      <c r="F304" s="1">
        <v>42461</v>
      </c>
      <c r="G304" s="1">
        <v>42528</v>
      </c>
      <c r="H304" t="s">
        <v>41</v>
      </c>
      <c r="I304">
        <v>67</v>
      </c>
      <c r="J304" t="s">
        <v>22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1</v>
      </c>
      <c r="Q304" t="s">
        <v>23</v>
      </c>
      <c r="R304">
        <v>0</v>
      </c>
    </row>
    <row r="305" spans="1:18">
      <c r="A305" s="4">
        <v>77919600000000</v>
      </c>
      <c r="B305" t="s">
        <v>18</v>
      </c>
      <c r="C305">
        <v>37</v>
      </c>
      <c r="D305" t="s">
        <v>27</v>
      </c>
      <c r="E305" t="s">
        <v>79</v>
      </c>
      <c r="F305" s="1">
        <v>42461</v>
      </c>
      <c r="G305" s="1">
        <v>42489</v>
      </c>
      <c r="H305" t="s">
        <v>21</v>
      </c>
      <c r="I305">
        <v>28</v>
      </c>
      <c r="J305" t="s">
        <v>77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1</v>
      </c>
      <c r="Q305" t="s">
        <v>23</v>
      </c>
      <c r="R305">
        <v>0</v>
      </c>
    </row>
    <row r="306" spans="1:18">
      <c r="A306" s="4">
        <v>55838400000000</v>
      </c>
      <c r="B306" t="s">
        <v>28</v>
      </c>
      <c r="C306">
        <v>63</v>
      </c>
      <c r="D306" t="s">
        <v>35</v>
      </c>
      <c r="E306" t="s">
        <v>50</v>
      </c>
      <c r="F306" s="1">
        <v>42461</v>
      </c>
      <c r="G306" s="1">
        <v>42489</v>
      </c>
      <c r="H306" t="s">
        <v>21</v>
      </c>
      <c r="I306">
        <v>28</v>
      </c>
      <c r="J306" t="s">
        <v>77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1</v>
      </c>
      <c r="Q306" t="s">
        <v>23</v>
      </c>
      <c r="R306">
        <v>0</v>
      </c>
    </row>
    <row r="307" spans="1:18">
      <c r="A307" s="4">
        <v>25687200000000</v>
      </c>
      <c r="B307" t="s">
        <v>28</v>
      </c>
      <c r="C307">
        <v>18</v>
      </c>
      <c r="D307" t="s">
        <v>37</v>
      </c>
      <c r="E307" t="s">
        <v>39</v>
      </c>
      <c r="F307" s="1">
        <v>42461</v>
      </c>
      <c r="G307" s="1">
        <v>42529</v>
      </c>
      <c r="H307" t="s">
        <v>25</v>
      </c>
      <c r="I307">
        <v>68</v>
      </c>
      <c r="J307" t="s">
        <v>22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 t="s">
        <v>23</v>
      </c>
      <c r="R307">
        <v>0</v>
      </c>
    </row>
    <row r="308" spans="1:18">
      <c r="A308" s="4">
        <v>759917000000</v>
      </c>
      <c r="B308" t="s">
        <v>28</v>
      </c>
      <c r="C308">
        <v>39</v>
      </c>
      <c r="D308" t="s">
        <v>27</v>
      </c>
      <c r="E308" t="s">
        <v>39</v>
      </c>
      <c r="F308" s="1">
        <v>42461</v>
      </c>
      <c r="G308" s="1">
        <v>42529</v>
      </c>
      <c r="H308" t="s">
        <v>25</v>
      </c>
      <c r="I308">
        <v>68</v>
      </c>
      <c r="J308" t="s">
        <v>22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 t="s">
        <v>23</v>
      </c>
      <c r="R308">
        <v>0</v>
      </c>
    </row>
    <row r="309" spans="1:18">
      <c r="A309" s="4">
        <v>343168000000000</v>
      </c>
      <c r="B309" t="s">
        <v>18</v>
      </c>
      <c r="C309">
        <v>41</v>
      </c>
      <c r="D309" t="s">
        <v>27</v>
      </c>
      <c r="E309" t="s">
        <v>32</v>
      </c>
      <c r="F309" s="1">
        <v>42461</v>
      </c>
      <c r="G309" s="1">
        <v>42503</v>
      </c>
      <c r="H309" t="s">
        <v>21</v>
      </c>
      <c r="I309">
        <v>42</v>
      </c>
      <c r="J309" t="s">
        <v>22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26</v>
      </c>
      <c r="R309">
        <v>1</v>
      </c>
    </row>
    <row r="310" spans="1:18">
      <c r="A310" s="4">
        <v>221193000000000</v>
      </c>
      <c r="B310" t="s">
        <v>18</v>
      </c>
      <c r="C310">
        <v>78</v>
      </c>
      <c r="D310" t="s">
        <v>19</v>
      </c>
      <c r="E310" t="s">
        <v>39</v>
      </c>
      <c r="F310" s="1">
        <v>42461</v>
      </c>
      <c r="G310" s="1">
        <v>42528</v>
      </c>
      <c r="H310" t="s">
        <v>41</v>
      </c>
      <c r="I310">
        <v>67</v>
      </c>
      <c r="J310" t="s">
        <v>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 t="s">
        <v>23</v>
      </c>
      <c r="R310">
        <v>0</v>
      </c>
    </row>
    <row r="311" spans="1:18">
      <c r="A311" s="4">
        <v>1566480000000</v>
      </c>
      <c r="B311" t="s">
        <v>18</v>
      </c>
      <c r="C311">
        <v>47</v>
      </c>
      <c r="D311" t="s">
        <v>27</v>
      </c>
      <c r="E311" t="s">
        <v>51</v>
      </c>
      <c r="F311" s="1">
        <v>42465</v>
      </c>
      <c r="G311" s="1">
        <v>42515</v>
      </c>
      <c r="H311" t="s">
        <v>25</v>
      </c>
      <c r="I311">
        <v>50</v>
      </c>
      <c r="J311" t="s">
        <v>22</v>
      </c>
      <c r="K311">
        <v>1</v>
      </c>
      <c r="L311">
        <v>0</v>
      </c>
      <c r="M311">
        <v>0</v>
      </c>
      <c r="N311">
        <v>1</v>
      </c>
      <c r="O311">
        <v>0</v>
      </c>
      <c r="P311">
        <v>0</v>
      </c>
      <c r="Q311" t="s">
        <v>23</v>
      </c>
      <c r="R311">
        <v>0</v>
      </c>
    </row>
    <row r="312" spans="1:18">
      <c r="A312" s="4">
        <v>12485500000000</v>
      </c>
      <c r="B312" t="s">
        <v>28</v>
      </c>
      <c r="C312">
        <v>60</v>
      </c>
      <c r="D312" t="s">
        <v>35</v>
      </c>
      <c r="E312" t="s">
        <v>51</v>
      </c>
      <c r="F312" s="1">
        <v>42465</v>
      </c>
      <c r="G312" s="1">
        <v>42492</v>
      </c>
      <c r="H312" t="s">
        <v>30</v>
      </c>
      <c r="I312">
        <v>27</v>
      </c>
      <c r="J312" t="s">
        <v>77</v>
      </c>
      <c r="K312">
        <v>0</v>
      </c>
      <c r="L312">
        <v>1</v>
      </c>
      <c r="M312">
        <v>1</v>
      </c>
      <c r="N312">
        <v>0</v>
      </c>
      <c r="O312">
        <v>0</v>
      </c>
      <c r="P312">
        <v>1</v>
      </c>
      <c r="Q312" t="s">
        <v>23</v>
      </c>
      <c r="R312">
        <v>0</v>
      </c>
    </row>
    <row r="313" spans="1:18">
      <c r="A313" s="4">
        <v>8444600000000</v>
      </c>
      <c r="B313" t="s">
        <v>18</v>
      </c>
      <c r="C313">
        <v>50</v>
      </c>
      <c r="D313" t="s">
        <v>27</v>
      </c>
      <c r="E313" t="s">
        <v>39</v>
      </c>
      <c r="F313" s="1">
        <v>42465</v>
      </c>
      <c r="G313" s="1">
        <v>42522</v>
      </c>
      <c r="H313" t="s">
        <v>25</v>
      </c>
      <c r="I313">
        <v>57</v>
      </c>
      <c r="J313" t="s">
        <v>22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 t="s">
        <v>26</v>
      </c>
      <c r="R313">
        <v>1</v>
      </c>
    </row>
    <row r="314" spans="1:18">
      <c r="A314" s="4">
        <v>839668000000000</v>
      </c>
      <c r="B314" t="s">
        <v>18</v>
      </c>
      <c r="C314">
        <v>52</v>
      </c>
      <c r="D314" t="s">
        <v>35</v>
      </c>
      <c r="E314" t="s">
        <v>57</v>
      </c>
      <c r="F314" s="1">
        <v>42465</v>
      </c>
      <c r="G314" s="1">
        <v>42492</v>
      </c>
      <c r="H314" t="s">
        <v>30</v>
      </c>
      <c r="I314">
        <v>27</v>
      </c>
      <c r="J314" t="s">
        <v>77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 t="s">
        <v>26</v>
      </c>
      <c r="R314">
        <v>1</v>
      </c>
    </row>
    <row r="315" spans="1:18">
      <c r="A315" s="4">
        <v>7852440000000</v>
      </c>
      <c r="B315" t="s">
        <v>18</v>
      </c>
      <c r="C315">
        <v>43</v>
      </c>
      <c r="D315" t="s">
        <v>27</v>
      </c>
      <c r="E315" t="s">
        <v>80</v>
      </c>
      <c r="F315" s="1">
        <v>42465</v>
      </c>
      <c r="G315" s="1">
        <v>42496</v>
      </c>
      <c r="H315" t="s">
        <v>21</v>
      </c>
      <c r="I315">
        <v>31</v>
      </c>
      <c r="J315" t="s">
        <v>22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23</v>
      </c>
      <c r="R315">
        <v>0</v>
      </c>
    </row>
    <row r="316" spans="1:18">
      <c r="A316" s="4">
        <v>8565970000000</v>
      </c>
      <c r="B316" t="s">
        <v>18</v>
      </c>
      <c r="C316">
        <v>69</v>
      </c>
      <c r="D316" t="s">
        <v>19</v>
      </c>
      <c r="E316" t="s">
        <v>51</v>
      </c>
      <c r="F316" s="1">
        <v>42465</v>
      </c>
      <c r="G316" s="1">
        <v>42495</v>
      </c>
      <c r="H316" t="s">
        <v>33</v>
      </c>
      <c r="I316">
        <v>30</v>
      </c>
      <c r="J316" t="s">
        <v>77</v>
      </c>
      <c r="K316">
        <v>0</v>
      </c>
      <c r="L316">
        <v>1</v>
      </c>
      <c r="M316">
        <v>1</v>
      </c>
      <c r="N316">
        <v>0</v>
      </c>
      <c r="O316">
        <v>0</v>
      </c>
      <c r="P316">
        <v>1</v>
      </c>
      <c r="Q316" t="s">
        <v>23</v>
      </c>
      <c r="R316">
        <v>0</v>
      </c>
    </row>
    <row r="317" spans="1:18">
      <c r="A317" s="4">
        <v>27392000000000</v>
      </c>
      <c r="B317" t="s">
        <v>18</v>
      </c>
      <c r="C317">
        <v>46</v>
      </c>
      <c r="D317" t="s">
        <v>27</v>
      </c>
      <c r="E317" t="s">
        <v>81</v>
      </c>
      <c r="F317" s="1">
        <v>42465</v>
      </c>
      <c r="G317" s="1">
        <v>42499</v>
      </c>
      <c r="H317" t="s">
        <v>30</v>
      </c>
      <c r="I317">
        <v>34</v>
      </c>
      <c r="J317" t="s">
        <v>22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23</v>
      </c>
      <c r="R317">
        <v>0</v>
      </c>
    </row>
    <row r="318" spans="1:18">
      <c r="A318" s="4">
        <v>377433000000000</v>
      </c>
      <c r="B318" t="s">
        <v>18</v>
      </c>
      <c r="C318">
        <v>25</v>
      </c>
      <c r="D318" t="s">
        <v>37</v>
      </c>
      <c r="E318" t="s">
        <v>51</v>
      </c>
      <c r="F318" s="1">
        <v>42465</v>
      </c>
      <c r="G318" s="1">
        <v>42508</v>
      </c>
      <c r="H318" t="s">
        <v>25</v>
      </c>
      <c r="I318">
        <v>43</v>
      </c>
      <c r="J318" t="s">
        <v>22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23</v>
      </c>
      <c r="R318">
        <v>0</v>
      </c>
    </row>
    <row r="319" spans="1:18">
      <c r="A319" s="4">
        <v>66919500000000</v>
      </c>
      <c r="B319" t="s">
        <v>18</v>
      </c>
      <c r="C319">
        <v>48</v>
      </c>
      <c r="D319" t="s">
        <v>27</v>
      </c>
      <c r="E319" t="s">
        <v>51</v>
      </c>
      <c r="F319" s="1">
        <v>42465</v>
      </c>
      <c r="G319" s="1">
        <v>42510</v>
      </c>
      <c r="H319" t="s">
        <v>21</v>
      </c>
      <c r="I319">
        <v>45</v>
      </c>
      <c r="J319" t="s">
        <v>22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23</v>
      </c>
      <c r="R319">
        <v>0</v>
      </c>
    </row>
    <row r="320" spans="1:18">
      <c r="A320" s="4">
        <v>134942000000000</v>
      </c>
      <c r="B320" t="s">
        <v>18</v>
      </c>
      <c r="C320">
        <v>68</v>
      </c>
      <c r="D320" t="s">
        <v>19</v>
      </c>
      <c r="E320" t="s">
        <v>62</v>
      </c>
      <c r="F320" s="1">
        <v>42465</v>
      </c>
      <c r="G320" s="1">
        <v>42521</v>
      </c>
      <c r="H320" t="s">
        <v>41</v>
      </c>
      <c r="I320">
        <v>56</v>
      </c>
      <c r="J320" t="s">
        <v>22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 t="s">
        <v>23</v>
      </c>
      <c r="R320">
        <v>0</v>
      </c>
    </row>
    <row r="321" spans="1:18">
      <c r="A321" s="4">
        <v>13668000000000</v>
      </c>
      <c r="B321" t="s">
        <v>28</v>
      </c>
      <c r="C321">
        <v>35</v>
      </c>
      <c r="D321" t="s">
        <v>37</v>
      </c>
      <c r="E321" t="s">
        <v>51</v>
      </c>
      <c r="F321" s="1">
        <v>42465</v>
      </c>
      <c r="G321" s="1">
        <v>42495</v>
      </c>
      <c r="H321" t="s">
        <v>33</v>
      </c>
      <c r="I321">
        <v>30</v>
      </c>
      <c r="J321" t="s">
        <v>77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1</v>
      </c>
      <c r="Q321" t="s">
        <v>23</v>
      </c>
      <c r="R321">
        <v>0</v>
      </c>
    </row>
    <row r="322" spans="1:18">
      <c r="A322" s="4">
        <v>4317290000000</v>
      </c>
      <c r="B322" t="s">
        <v>28</v>
      </c>
      <c r="C322">
        <v>62</v>
      </c>
      <c r="D322" t="s">
        <v>35</v>
      </c>
      <c r="E322" t="s">
        <v>64</v>
      </c>
      <c r="F322" s="1">
        <v>42465</v>
      </c>
      <c r="G322" s="1">
        <v>42493</v>
      </c>
      <c r="H322" t="s">
        <v>41</v>
      </c>
      <c r="I322">
        <v>28</v>
      </c>
      <c r="J322" t="s">
        <v>77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 t="s">
        <v>23</v>
      </c>
      <c r="R322">
        <v>0</v>
      </c>
    </row>
    <row r="323" spans="1:18">
      <c r="A323" s="4">
        <v>11719800000000</v>
      </c>
      <c r="B323" t="s">
        <v>18</v>
      </c>
      <c r="C323">
        <v>37</v>
      </c>
      <c r="D323" t="s">
        <v>27</v>
      </c>
      <c r="E323" t="s">
        <v>56</v>
      </c>
      <c r="F323" s="1">
        <v>42465</v>
      </c>
      <c r="G323" s="1">
        <v>42507</v>
      </c>
      <c r="H323" t="s">
        <v>41</v>
      </c>
      <c r="I323">
        <v>42</v>
      </c>
      <c r="J323" t="s">
        <v>22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23</v>
      </c>
      <c r="R323">
        <v>0</v>
      </c>
    </row>
    <row r="324" spans="1:18">
      <c r="A324" s="4">
        <v>1324450000000</v>
      </c>
      <c r="B324" t="s">
        <v>18</v>
      </c>
      <c r="C324">
        <v>20</v>
      </c>
      <c r="D324" t="s">
        <v>37</v>
      </c>
      <c r="E324" t="s">
        <v>45</v>
      </c>
      <c r="F324" s="1">
        <v>42465</v>
      </c>
      <c r="G324" s="1">
        <v>42509</v>
      </c>
      <c r="H324" t="s">
        <v>33</v>
      </c>
      <c r="I324">
        <v>44</v>
      </c>
      <c r="J324" t="s">
        <v>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23</v>
      </c>
      <c r="R324">
        <v>0</v>
      </c>
    </row>
    <row r="325" spans="1:18">
      <c r="A325" s="4">
        <v>63716300000000</v>
      </c>
      <c r="B325" t="s">
        <v>28</v>
      </c>
      <c r="C325">
        <v>69</v>
      </c>
      <c r="D325" t="s">
        <v>19</v>
      </c>
      <c r="E325" t="s">
        <v>74</v>
      </c>
      <c r="F325" s="1">
        <v>42465</v>
      </c>
      <c r="G325" s="1">
        <v>42501</v>
      </c>
      <c r="H325" t="s">
        <v>25</v>
      </c>
      <c r="I325">
        <v>36</v>
      </c>
      <c r="J325" t="s">
        <v>22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 t="s">
        <v>23</v>
      </c>
      <c r="R325">
        <v>0</v>
      </c>
    </row>
    <row r="326" spans="1:18">
      <c r="A326" s="4">
        <v>9983380000000</v>
      </c>
      <c r="B326" t="s">
        <v>18</v>
      </c>
      <c r="C326">
        <v>30</v>
      </c>
      <c r="D326" t="s">
        <v>37</v>
      </c>
      <c r="E326" t="s">
        <v>81</v>
      </c>
      <c r="F326" s="1">
        <v>42465</v>
      </c>
      <c r="G326" s="1">
        <v>42506</v>
      </c>
      <c r="H326" t="s">
        <v>30</v>
      </c>
      <c r="I326">
        <v>41</v>
      </c>
      <c r="J326" t="s">
        <v>22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26</v>
      </c>
      <c r="R326">
        <v>1</v>
      </c>
    </row>
    <row r="327" spans="1:18">
      <c r="A327" s="4">
        <v>8224580000000</v>
      </c>
      <c r="B327" t="s">
        <v>18</v>
      </c>
      <c r="C327">
        <v>2</v>
      </c>
      <c r="D327" t="s">
        <v>31</v>
      </c>
      <c r="E327" t="s">
        <v>74</v>
      </c>
      <c r="F327" s="1">
        <v>42465</v>
      </c>
      <c r="G327" s="1">
        <v>42495</v>
      </c>
      <c r="H327" t="s">
        <v>33</v>
      </c>
      <c r="I327">
        <v>30</v>
      </c>
      <c r="J327" t="s">
        <v>77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 t="s">
        <v>23</v>
      </c>
      <c r="R327">
        <v>0</v>
      </c>
    </row>
    <row r="328" spans="1:18">
      <c r="A328" s="4">
        <v>1866190000000</v>
      </c>
      <c r="B328" t="s">
        <v>18</v>
      </c>
      <c r="C328">
        <v>15</v>
      </c>
      <c r="D328" t="s">
        <v>60</v>
      </c>
      <c r="E328" t="s">
        <v>74</v>
      </c>
      <c r="F328" s="1">
        <v>42465</v>
      </c>
      <c r="G328" s="1">
        <v>42494</v>
      </c>
      <c r="H328" t="s">
        <v>25</v>
      </c>
      <c r="I328">
        <v>29</v>
      </c>
      <c r="J328" t="s">
        <v>77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 t="s">
        <v>23</v>
      </c>
      <c r="R328">
        <v>0</v>
      </c>
    </row>
    <row r="329" spans="1:18">
      <c r="A329" s="4">
        <v>23124500000000</v>
      </c>
      <c r="B329" t="s">
        <v>28</v>
      </c>
      <c r="C329">
        <v>70</v>
      </c>
      <c r="D329" t="s">
        <v>19</v>
      </c>
      <c r="E329" t="s">
        <v>51</v>
      </c>
      <c r="F329" s="1">
        <v>42465</v>
      </c>
      <c r="G329" s="1">
        <v>42508</v>
      </c>
      <c r="H329" t="s">
        <v>25</v>
      </c>
      <c r="I329">
        <v>43</v>
      </c>
      <c r="J329" t="s">
        <v>22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23</v>
      </c>
      <c r="R329">
        <v>0</v>
      </c>
    </row>
    <row r="330" spans="1:18">
      <c r="A330" s="4">
        <v>38591300000000</v>
      </c>
      <c r="B330" t="s">
        <v>28</v>
      </c>
      <c r="C330">
        <v>65</v>
      </c>
      <c r="D330" t="s">
        <v>35</v>
      </c>
      <c r="E330" t="s">
        <v>80</v>
      </c>
      <c r="F330" s="1">
        <v>42465</v>
      </c>
      <c r="G330" s="1">
        <v>42499</v>
      </c>
      <c r="H330" t="s">
        <v>30</v>
      </c>
      <c r="I330">
        <v>34</v>
      </c>
      <c r="J330" t="s">
        <v>22</v>
      </c>
      <c r="K330">
        <v>0</v>
      </c>
      <c r="L330">
        <v>1</v>
      </c>
      <c r="M330">
        <v>1</v>
      </c>
      <c r="N330">
        <v>0</v>
      </c>
      <c r="O330">
        <v>0</v>
      </c>
      <c r="P330">
        <v>0</v>
      </c>
      <c r="Q330" t="s">
        <v>23</v>
      </c>
      <c r="R330">
        <v>0</v>
      </c>
    </row>
    <row r="331" spans="1:18">
      <c r="A331" s="4">
        <v>51162700000000</v>
      </c>
      <c r="B331" t="s">
        <v>18</v>
      </c>
      <c r="C331">
        <v>0</v>
      </c>
      <c r="D331" t="s">
        <v>31</v>
      </c>
      <c r="E331" t="s">
        <v>51</v>
      </c>
      <c r="F331" s="1">
        <v>42465</v>
      </c>
      <c r="G331" s="1">
        <v>42493</v>
      </c>
      <c r="H331" t="s">
        <v>41</v>
      </c>
      <c r="I331">
        <v>28</v>
      </c>
      <c r="J331" t="s">
        <v>77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 t="s">
        <v>23</v>
      </c>
      <c r="R331">
        <v>0</v>
      </c>
    </row>
    <row r="332" spans="1:18">
      <c r="A332" s="4">
        <v>3663940000000</v>
      </c>
      <c r="B332" t="s">
        <v>28</v>
      </c>
      <c r="C332">
        <v>45</v>
      </c>
      <c r="D332" t="s">
        <v>27</v>
      </c>
      <c r="E332" t="s">
        <v>71</v>
      </c>
      <c r="F332" s="1">
        <v>42465</v>
      </c>
      <c r="G332" s="1">
        <v>42489</v>
      </c>
      <c r="H332" t="s">
        <v>21</v>
      </c>
      <c r="I332">
        <v>24</v>
      </c>
      <c r="J332" t="s">
        <v>77</v>
      </c>
      <c r="K332">
        <v>0</v>
      </c>
      <c r="L332">
        <v>1</v>
      </c>
      <c r="M332">
        <v>1</v>
      </c>
      <c r="N332">
        <v>0</v>
      </c>
      <c r="O332">
        <v>0</v>
      </c>
      <c r="P332">
        <v>1</v>
      </c>
      <c r="Q332" t="s">
        <v>23</v>
      </c>
      <c r="R332">
        <v>0</v>
      </c>
    </row>
    <row r="333" spans="1:18">
      <c r="A333" s="4">
        <v>415862000000000</v>
      </c>
      <c r="B333" t="s">
        <v>18</v>
      </c>
      <c r="C333">
        <v>20</v>
      </c>
      <c r="D333" t="s">
        <v>37</v>
      </c>
      <c r="E333" t="s">
        <v>68</v>
      </c>
      <c r="F333" s="1">
        <v>42465</v>
      </c>
      <c r="G333" s="1">
        <v>42494</v>
      </c>
      <c r="H333" t="s">
        <v>25</v>
      </c>
      <c r="I333">
        <v>29</v>
      </c>
      <c r="J333" t="s">
        <v>77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 t="s">
        <v>23</v>
      </c>
      <c r="R333">
        <v>0</v>
      </c>
    </row>
    <row r="334" spans="1:18">
      <c r="A334" s="4">
        <v>15415300000000</v>
      </c>
      <c r="B334" t="s">
        <v>18</v>
      </c>
      <c r="C334">
        <v>37</v>
      </c>
      <c r="D334" t="s">
        <v>27</v>
      </c>
      <c r="E334" t="s">
        <v>74</v>
      </c>
      <c r="F334" s="1">
        <v>42465</v>
      </c>
      <c r="G334" s="1">
        <v>42503</v>
      </c>
      <c r="H334" t="s">
        <v>21</v>
      </c>
      <c r="I334">
        <v>38</v>
      </c>
      <c r="J334" t="s">
        <v>22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23</v>
      </c>
      <c r="R334">
        <v>0</v>
      </c>
    </row>
    <row r="335" spans="1:18">
      <c r="A335" s="4">
        <v>789884000000000</v>
      </c>
      <c r="B335" t="s">
        <v>18</v>
      </c>
      <c r="C335">
        <v>49</v>
      </c>
      <c r="D335" t="s">
        <v>27</v>
      </c>
      <c r="E335" t="s">
        <v>39</v>
      </c>
      <c r="F335" s="1">
        <v>42465</v>
      </c>
      <c r="G335" s="1">
        <v>42527</v>
      </c>
      <c r="H335" t="s">
        <v>30</v>
      </c>
      <c r="I335">
        <v>62</v>
      </c>
      <c r="J335" t="s">
        <v>22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 t="s">
        <v>23</v>
      </c>
      <c r="R335">
        <v>0</v>
      </c>
    </row>
    <row r="336" spans="1:18">
      <c r="A336" s="4">
        <v>4764870000000</v>
      </c>
      <c r="B336" t="s">
        <v>18</v>
      </c>
      <c r="C336">
        <v>22</v>
      </c>
      <c r="D336" t="s">
        <v>37</v>
      </c>
      <c r="E336" t="s">
        <v>51</v>
      </c>
      <c r="F336" s="1">
        <v>42465</v>
      </c>
      <c r="G336" s="1">
        <v>42503</v>
      </c>
      <c r="H336" t="s">
        <v>21</v>
      </c>
      <c r="I336">
        <v>38</v>
      </c>
      <c r="J336" t="s">
        <v>22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26</v>
      </c>
      <c r="R336">
        <v>1</v>
      </c>
    </row>
    <row r="337" spans="1:18">
      <c r="A337" s="4">
        <v>45922100000000</v>
      </c>
      <c r="B337" t="s">
        <v>28</v>
      </c>
      <c r="C337">
        <v>7</v>
      </c>
      <c r="D337" t="s">
        <v>31</v>
      </c>
      <c r="E337" t="s">
        <v>74</v>
      </c>
      <c r="F337" s="1">
        <v>42465</v>
      </c>
      <c r="G337" s="1">
        <v>42496</v>
      </c>
      <c r="H337" t="s">
        <v>21</v>
      </c>
      <c r="I337">
        <v>31</v>
      </c>
      <c r="J337" t="s">
        <v>22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 t="s">
        <v>23</v>
      </c>
      <c r="R337">
        <v>0</v>
      </c>
    </row>
    <row r="338" spans="1:18">
      <c r="A338" s="4">
        <v>92391700000000</v>
      </c>
      <c r="B338" t="s">
        <v>18</v>
      </c>
      <c r="C338">
        <v>2</v>
      </c>
      <c r="D338" t="s">
        <v>31</v>
      </c>
      <c r="E338" t="s">
        <v>32</v>
      </c>
      <c r="F338" s="1">
        <v>42465</v>
      </c>
      <c r="G338" s="1">
        <v>42495</v>
      </c>
      <c r="H338" t="s">
        <v>33</v>
      </c>
      <c r="I338">
        <v>30</v>
      </c>
      <c r="J338" t="s">
        <v>77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 t="s">
        <v>26</v>
      </c>
      <c r="R338">
        <v>1</v>
      </c>
    </row>
    <row r="339" spans="1:18">
      <c r="A339" s="4">
        <v>51749700000000</v>
      </c>
      <c r="B339" t="s">
        <v>28</v>
      </c>
      <c r="C339">
        <v>16</v>
      </c>
      <c r="D339" t="s">
        <v>60</v>
      </c>
      <c r="E339" t="s">
        <v>39</v>
      </c>
      <c r="F339" s="1">
        <v>42465</v>
      </c>
      <c r="G339" s="1">
        <v>42509</v>
      </c>
      <c r="H339" t="s">
        <v>33</v>
      </c>
      <c r="I339">
        <v>44</v>
      </c>
      <c r="J339" t="s">
        <v>22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26</v>
      </c>
      <c r="R339">
        <v>1</v>
      </c>
    </row>
    <row r="340" spans="1:18">
      <c r="A340" s="4">
        <v>776179000000000</v>
      </c>
      <c r="B340" t="s">
        <v>18</v>
      </c>
      <c r="C340">
        <v>38</v>
      </c>
      <c r="D340" t="s">
        <v>27</v>
      </c>
      <c r="E340" t="s">
        <v>55</v>
      </c>
      <c r="F340" s="1">
        <v>42465</v>
      </c>
      <c r="G340" s="1">
        <v>42524</v>
      </c>
      <c r="H340" t="s">
        <v>21</v>
      </c>
      <c r="I340">
        <v>59</v>
      </c>
      <c r="J340" t="s">
        <v>22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1</v>
      </c>
      <c r="Q340" t="s">
        <v>23</v>
      </c>
      <c r="R340">
        <v>0</v>
      </c>
    </row>
    <row r="341" spans="1:18">
      <c r="A341" s="4">
        <v>637678000000000</v>
      </c>
      <c r="B341" t="s">
        <v>18</v>
      </c>
      <c r="C341">
        <v>3</v>
      </c>
      <c r="D341" t="s">
        <v>31</v>
      </c>
      <c r="E341" t="s">
        <v>32</v>
      </c>
      <c r="F341" s="1">
        <v>42465</v>
      </c>
      <c r="G341" s="1">
        <v>42508</v>
      </c>
      <c r="H341" t="s">
        <v>25</v>
      </c>
      <c r="I341">
        <v>43</v>
      </c>
      <c r="J341" t="s">
        <v>22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23</v>
      </c>
      <c r="R341">
        <v>0</v>
      </c>
    </row>
    <row r="342" spans="1:18">
      <c r="A342" s="4">
        <v>684172000000000</v>
      </c>
      <c r="B342" t="s">
        <v>28</v>
      </c>
      <c r="C342">
        <v>1</v>
      </c>
      <c r="D342" t="s">
        <v>31</v>
      </c>
      <c r="E342" t="s">
        <v>32</v>
      </c>
      <c r="F342" s="1">
        <v>42465</v>
      </c>
      <c r="G342" s="1">
        <v>42508</v>
      </c>
      <c r="H342" t="s">
        <v>25</v>
      </c>
      <c r="I342">
        <v>43</v>
      </c>
      <c r="J342" t="s">
        <v>22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23</v>
      </c>
      <c r="R342">
        <v>0</v>
      </c>
    </row>
    <row r="343" spans="1:18">
      <c r="A343" s="4">
        <v>3811890000000</v>
      </c>
      <c r="B343" t="s">
        <v>18</v>
      </c>
      <c r="C343">
        <v>48</v>
      </c>
      <c r="D343" t="s">
        <v>27</v>
      </c>
      <c r="E343" t="s">
        <v>72</v>
      </c>
      <c r="F343" s="1">
        <v>42465</v>
      </c>
      <c r="G343" s="1">
        <v>42496</v>
      </c>
      <c r="H343" t="s">
        <v>21</v>
      </c>
      <c r="I343">
        <v>31</v>
      </c>
      <c r="J343" t="s">
        <v>22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 t="s">
        <v>26</v>
      </c>
      <c r="R343">
        <v>1</v>
      </c>
    </row>
    <row r="344" spans="1:18">
      <c r="A344" s="4">
        <v>9135930000000</v>
      </c>
      <c r="B344" t="s">
        <v>28</v>
      </c>
      <c r="C344">
        <v>55</v>
      </c>
      <c r="D344" t="s">
        <v>35</v>
      </c>
      <c r="E344" t="s">
        <v>72</v>
      </c>
      <c r="F344" s="1">
        <v>42465</v>
      </c>
      <c r="G344" s="1">
        <v>42496</v>
      </c>
      <c r="H344" t="s">
        <v>21</v>
      </c>
      <c r="I344">
        <v>31</v>
      </c>
      <c r="J344" t="s">
        <v>22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 t="s">
        <v>26</v>
      </c>
      <c r="R344">
        <v>1</v>
      </c>
    </row>
    <row r="345" spans="1:18">
      <c r="A345" s="4">
        <v>7974620000000</v>
      </c>
      <c r="B345" t="s">
        <v>18</v>
      </c>
      <c r="C345">
        <v>53</v>
      </c>
      <c r="D345" t="s">
        <v>35</v>
      </c>
      <c r="E345" t="s">
        <v>39</v>
      </c>
      <c r="F345" s="1">
        <v>42465</v>
      </c>
      <c r="G345" s="1">
        <v>42520</v>
      </c>
      <c r="H345" t="s">
        <v>30</v>
      </c>
      <c r="I345">
        <v>55</v>
      </c>
      <c r="J345" t="s">
        <v>22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 t="s">
        <v>23</v>
      </c>
      <c r="R345">
        <v>0</v>
      </c>
    </row>
    <row r="346" spans="1:18">
      <c r="A346" s="4">
        <v>15122500000000</v>
      </c>
      <c r="B346" t="s">
        <v>18</v>
      </c>
      <c r="C346">
        <v>16</v>
      </c>
      <c r="D346" t="s">
        <v>60</v>
      </c>
      <c r="E346" t="s">
        <v>63</v>
      </c>
      <c r="F346" s="1">
        <v>42465</v>
      </c>
      <c r="G346" s="1">
        <v>42493</v>
      </c>
      <c r="H346" t="s">
        <v>41</v>
      </c>
      <c r="I346">
        <v>28</v>
      </c>
      <c r="J346" t="s">
        <v>77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 t="s">
        <v>23</v>
      </c>
      <c r="R346">
        <v>0</v>
      </c>
    </row>
    <row r="347" spans="1:18">
      <c r="A347" s="4">
        <v>95537784493</v>
      </c>
      <c r="B347" t="s">
        <v>18</v>
      </c>
      <c r="C347">
        <v>0</v>
      </c>
      <c r="D347" t="s">
        <v>31</v>
      </c>
      <c r="E347" t="s">
        <v>39</v>
      </c>
      <c r="F347" s="1">
        <v>42465</v>
      </c>
      <c r="G347" s="1">
        <v>42523</v>
      </c>
      <c r="H347" t="s">
        <v>33</v>
      </c>
      <c r="I347">
        <v>58</v>
      </c>
      <c r="J347" t="s">
        <v>22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 t="s">
        <v>23</v>
      </c>
      <c r="R347">
        <v>0</v>
      </c>
    </row>
    <row r="348" spans="1:18">
      <c r="A348" s="4">
        <v>72942800000000</v>
      </c>
      <c r="B348" t="s">
        <v>18</v>
      </c>
      <c r="C348">
        <v>2</v>
      </c>
      <c r="D348" t="s">
        <v>31</v>
      </c>
      <c r="E348" t="s">
        <v>69</v>
      </c>
      <c r="F348" s="1">
        <v>42465</v>
      </c>
      <c r="G348" s="1">
        <v>42495</v>
      </c>
      <c r="H348" t="s">
        <v>33</v>
      </c>
      <c r="I348">
        <v>30</v>
      </c>
      <c r="J348" t="s">
        <v>77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1</v>
      </c>
      <c r="Q348" t="s">
        <v>23</v>
      </c>
      <c r="R348">
        <v>0</v>
      </c>
    </row>
    <row r="349" spans="1:18">
      <c r="A349" s="4">
        <v>12835200000000</v>
      </c>
      <c r="B349" t="s">
        <v>18</v>
      </c>
      <c r="C349">
        <v>23</v>
      </c>
      <c r="D349" t="s">
        <v>37</v>
      </c>
      <c r="E349" t="s">
        <v>45</v>
      </c>
      <c r="F349" s="1">
        <v>42465</v>
      </c>
      <c r="G349" s="1">
        <v>42510</v>
      </c>
      <c r="H349" t="s">
        <v>21</v>
      </c>
      <c r="I349">
        <v>45</v>
      </c>
      <c r="J349" t="s">
        <v>22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 t="s">
        <v>23</v>
      </c>
      <c r="R349">
        <v>0</v>
      </c>
    </row>
    <row r="350" spans="1:18">
      <c r="A350" s="4">
        <v>327964000000000</v>
      </c>
      <c r="B350" t="s">
        <v>18</v>
      </c>
      <c r="C350">
        <v>21</v>
      </c>
      <c r="D350" t="s">
        <v>37</v>
      </c>
      <c r="E350" t="s">
        <v>70</v>
      </c>
      <c r="F350" s="1">
        <v>42465</v>
      </c>
      <c r="G350" s="1">
        <v>42492</v>
      </c>
      <c r="H350" t="s">
        <v>30</v>
      </c>
      <c r="I350">
        <v>27</v>
      </c>
      <c r="J350" t="s">
        <v>77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 t="s">
        <v>26</v>
      </c>
      <c r="R350">
        <v>1</v>
      </c>
    </row>
    <row r="351" spans="1:18">
      <c r="A351" s="4">
        <v>38467900000000</v>
      </c>
      <c r="B351" t="s">
        <v>28</v>
      </c>
      <c r="C351">
        <v>38</v>
      </c>
      <c r="D351" t="s">
        <v>27</v>
      </c>
      <c r="E351" t="s">
        <v>39</v>
      </c>
      <c r="F351" s="1">
        <v>42465</v>
      </c>
      <c r="G351" s="1">
        <v>42514</v>
      </c>
      <c r="H351" t="s">
        <v>41</v>
      </c>
      <c r="I351">
        <v>49</v>
      </c>
      <c r="J351" t="s">
        <v>22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 t="s">
        <v>23</v>
      </c>
      <c r="R351">
        <v>0</v>
      </c>
    </row>
    <row r="352" spans="1:18">
      <c r="A352" s="4">
        <v>46656234314</v>
      </c>
      <c r="B352" t="s">
        <v>18</v>
      </c>
      <c r="C352">
        <v>48</v>
      </c>
      <c r="D352" t="s">
        <v>27</v>
      </c>
      <c r="E352" t="s">
        <v>74</v>
      </c>
      <c r="F352" s="1">
        <v>42465</v>
      </c>
      <c r="G352" s="1">
        <v>42508</v>
      </c>
      <c r="H352" t="s">
        <v>25</v>
      </c>
      <c r="I352">
        <v>43</v>
      </c>
      <c r="J352" t="s">
        <v>22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 t="s">
        <v>23</v>
      </c>
      <c r="R352">
        <v>0</v>
      </c>
    </row>
    <row r="353" spans="1:18">
      <c r="A353" s="4">
        <v>587538000000000</v>
      </c>
      <c r="B353" t="s">
        <v>18</v>
      </c>
      <c r="C353">
        <v>25</v>
      </c>
      <c r="D353" t="s">
        <v>37</v>
      </c>
      <c r="E353" t="s">
        <v>70</v>
      </c>
      <c r="F353" s="1">
        <v>42465</v>
      </c>
      <c r="G353" s="1">
        <v>42495</v>
      </c>
      <c r="H353" t="s">
        <v>33</v>
      </c>
      <c r="I353">
        <v>30</v>
      </c>
      <c r="J353" t="s">
        <v>77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 t="s">
        <v>23</v>
      </c>
      <c r="R353">
        <v>0</v>
      </c>
    </row>
    <row r="354" spans="1:18">
      <c r="A354" s="4">
        <v>9367890000000</v>
      </c>
      <c r="B354" t="s">
        <v>28</v>
      </c>
      <c r="C354">
        <v>32</v>
      </c>
      <c r="D354" t="s">
        <v>37</v>
      </c>
      <c r="E354" t="s">
        <v>38</v>
      </c>
      <c r="F354" s="1">
        <v>42465</v>
      </c>
      <c r="G354" s="1">
        <v>42495</v>
      </c>
      <c r="H354" t="s">
        <v>33</v>
      </c>
      <c r="I354">
        <v>30</v>
      </c>
      <c r="J354" t="s">
        <v>77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 t="s">
        <v>23</v>
      </c>
      <c r="R354">
        <v>0</v>
      </c>
    </row>
    <row r="355" spans="1:18">
      <c r="A355" s="4">
        <v>22482400000000</v>
      </c>
      <c r="B355" t="s">
        <v>18</v>
      </c>
      <c r="C355">
        <v>59</v>
      </c>
      <c r="D355" t="s">
        <v>35</v>
      </c>
      <c r="E355" t="s">
        <v>82</v>
      </c>
      <c r="F355" s="1">
        <v>42465</v>
      </c>
      <c r="G355" s="1">
        <v>42495</v>
      </c>
      <c r="H355" t="s">
        <v>33</v>
      </c>
      <c r="I355">
        <v>30</v>
      </c>
      <c r="J355" t="s">
        <v>77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 t="s">
        <v>23</v>
      </c>
      <c r="R355">
        <v>0</v>
      </c>
    </row>
    <row r="356" spans="1:18">
      <c r="A356" s="4">
        <v>715332000000</v>
      </c>
      <c r="B356" t="s">
        <v>28</v>
      </c>
      <c r="C356">
        <v>9</v>
      </c>
      <c r="D356" t="s">
        <v>31</v>
      </c>
      <c r="E356" t="s">
        <v>51</v>
      </c>
      <c r="F356" s="1">
        <v>42465</v>
      </c>
      <c r="G356" s="1">
        <v>42499</v>
      </c>
      <c r="H356" t="s">
        <v>30</v>
      </c>
      <c r="I356">
        <v>34</v>
      </c>
      <c r="J356" t="s">
        <v>22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23</v>
      </c>
      <c r="R356">
        <v>0</v>
      </c>
    </row>
    <row r="357" spans="1:18">
      <c r="A357" s="4">
        <v>6466380000000</v>
      </c>
      <c r="B357" t="s">
        <v>18</v>
      </c>
      <c r="C357">
        <v>48</v>
      </c>
      <c r="D357" t="s">
        <v>27</v>
      </c>
      <c r="E357" t="s">
        <v>43</v>
      </c>
      <c r="F357" s="1">
        <v>42465</v>
      </c>
      <c r="G357" s="1">
        <v>42509</v>
      </c>
      <c r="H357" t="s">
        <v>33</v>
      </c>
      <c r="I357">
        <v>44</v>
      </c>
      <c r="J357" t="s">
        <v>22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23</v>
      </c>
      <c r="R357">
        <v>0</v>
      </c>
    </row>
    <row r="358" spans="1:18">
      <c r="A358" s="4">
        <v>32975400000000</v>
      </c>
      <c r="B358" t="s">
        <v>18</v>
      </c>
      <c r="C358">
        <v>61</v>
      </c>
      <c r="D358" t="s">
        <v>35</v>
      </c>
      <c r="E358" t="s">
        <v>55</v>
      </c>
      <c r="F358" s="1">
        <v>42465</v>
      </c>
      <c r="G358" s="1">
        <v>42508</v>
      </c>
      <c r="H358" t="s">
        <v>25</v>
      </c>
      <c r="I358">
        <v>43</v>
      </c>
      <c r="J358" t="s">
        <v>22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23</v>
      </c>
      <c r="R358">
        <v>0</v>
      </c>
    </row>
    <row r="359" spans="1:18">
      <c r="A359" s="4">
        <v>68485500000000</v>
      </c>
      <c r="B359" t="s">
        <v>18</v>
      </c>
      <c r="C359">
        <v>23</v>
      </c>
      <c r="D359" t="s">
        <v>37</v>
      </c>
      <c r="E359" t="s">
        <v>72</v>
      </c>
      <c r="F359" s="1">
        <v>42465</v>
      </c>
      <c r="G359" s="1">
        <v>42493</v>
      </c>
      <c r="H359" t="s">
        <v>41</v>
      </c>
      <c r="I359">
        <v>28</v>
      </c>
      <c r="J359" t="s">
        <v>77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 t="s">
        <v>23</v>
      </c>
      <c r="R359">
        <v>0</v>
      </c>
    </row>
    <row r="360" spans="1:18">
      <c r="A360" s="4">
        <v>3995370000000</v>
      </c>
      <c r="B360" t="s">
        <v>18</v>
      </c>
      <c r="C360">
        <v>41</v>
      </c>
      <c r="D360" t="s">
        <v>27</v>
      </c>
      <c r="E360" t="s">
        <v>72</v>
      </c>
      <c r="F360" s="1">
        <v>42465</v>
      </c>
      <c r="G360" s="1">
        <v>42489</v>
      </c>
      <c r="H360" t="s">
        <v>21</v>
      </c>
      <c r="I360">
        <v>24</v>
      </c>
      <c r="J360" t="s">
        <v>77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 t="s">
        <v>23</v>
      </c>
      <c r="R360">
        <v>0</v>
      </c>
    </row>
    <row r="361" spans="1:18">
      <c r="A361" s="4">
        <v>787840000000000</v>
      </c>
      <c r="B361" t="s">
        <v>18</v>
      </c>
      <c r="C361">
        <v>22</v>
      </c>
      <c r="D361" t="s">
        <v>37</v>
      </c>
      <c r="E361" t="s">
        <v>55</v>
      </c>
      <c r="F361" s="1">
        <v>42465</v>
      </c>
      <c r="G361" s="1">
        <v>42492</v>
      </c>
      <c r="H361" t="s">
        <v>30</v>
      </c>
      <c r="I361">
        <v>27</v>
      </c>
      <c r="J361" t="s">
        <v>77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 t="s">
        <v>23</v>
      </c>
      <c r="R361">
        <v>0</v>
      </c>
    </row>
    <row r="362" spans="1:18">
      <c r="A362" s="4">
        <v>65258900000000</v>
      </c>
      <c r="B362" t="s">
        <v>18</v>
      </c>
      <c r="C362">
        <v>29</v>
      </c>
      <c r="D362" t="s">
        <v>37</v>
      </c>
      <c r="E362" t="s">
        <v>72</v>
      </c>
      <c r="F362" s="1">
        <v>42465</v>
      </c>
      <c r="G362" s="1">
        <v>42500</v>
      </c>
      <c r="H362" t="s">
        <v>41</v>
      </c>
      <c r="I362">
        <v>35</v>
      </c>
      <c r="J362" t="s">
        <v>22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 t="s">
        <v>23</v>
      </c>
      <c r="R362">
        <v>0</v>
      </c>
    </row>
    <row r="363" spans="1:18">
      <c r="A363" s="4">
        <v>462345000000</v>
      </c>
      <c r="B363" t="s">
        <v>18</v>
      </c>
      <c r="C363">
        <v>55</v>
      </c>
      <c r="D363" t="s">
        <v>35</v>
      </c>
      <c r="E363" t="s">
        <v>67</v>
      </c>
      <c r="F363" s="1">
        <v>42465</v>
      </c>
      <c r="G363" s="1">
        <v>42495</v>
      </c>
      <c r="H363" t="s">
        <v>33</v>
      </c>
      <c r="I363">
        <v>30</v>
      </c>
      <c r="J363" t="s">
        <v>77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 t="s">
        <v>23</v>
      </c>
      <c r="R363">
        <v>0</v>
      </c>
    </row>
    <row r="364" spans="1:18">
      <c r="A364" s="4">
        <v>663696000000000</v>
      </c>
      <c r="B364" t="s">
        <v>18</v>
      </c>
      <c r="C364">
        <v>50</v>
      </c>
      <c r="D364" t="s">
        <v>27</v>
      </c>
      <c r="E364" t="s">
        <v>83</v>
      </c>
      <c r="F364" s="1">
        <v>42465</v>
      </c>
      <c r="G364" s="1">
        <v>42509</v>
      </c>
      <c r="H364" t="s">
        <v>33</v>
      </c>
      <c r="I364">
        <v>44</v>
      </c>
      <c r="J364" t="s">
        <v>22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26</v>
      </c>
      <c r="R364">
        <v>1</v>
      </c>
    </row>
    <row r="365" spans="1:18">
      <c r="A365" s="4">
        <v>3913442752</v>
      </c>
      <c r="B365" t="s">
        <v>28</v>
      </c>
      <c r="C365">
        <v>55</v>
      </c>
      <c r="D365" t="s">
        <v>35</v>
      </c>
      <c r="E365" t="s">
        <v>67</v>
      </c>
      <c r="F365" s="1">
        <v>42465</v>
      </c>
      <c r="G365" s="1">
        <v>42500</v>
      </c>
      <c r="H365" t="s">
        <v>41</v>
      </c>
      <c r="I365">
        <v>35</v>
      </c>
      <c r="J365" t="s">
        <v>22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 t="s">
        <v>23</v>
      </c>
      <c r="R365">
        <v>0</v>
      </c>
    </row>
    <row r="366" spans="1:18">
      <c r="A366" s="4">
        <v>48255800000000</v>
      </c>
      <c r="B366" t="s">
        <v>28</v>
      </c>
      <c r="C366">
        <v>5</v>
      </c>
      <c r="D366" t="s">
        <v>31</v>
      </c>
      <c r="E366" t="s">
        <v>38</v>
      </c>
      <c r="F366" s="1">
        <v>42466</v>
      </c>
      <c r="G366" s="1">
        <v>42496</v>
      </c>
      <c r="H366" t="s">
        <v>21</v>
      </c>
      <c r="I366">
        <v>30</v>
      </c>
      <c r="J366" t="s">
        <v>77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23</v>
      </c>
      <c r="R366">
        <v>0</v>
      </c>
    </row>
    <row r="367" spans="1:18">
      <c r="A367" s="4">
        <v>447545000000000</v>
      </c>
      <c r="B367" t="s">
        <v>18</v>
      </c>
      <c r="C367">
        <v>47</v>
      </c>
      <c r="D367" t="s">
        <v>27</v>
      </c>
      <c r="E367" t="s">
        <v>38</v>
      </c>
      <c r="F367" s="1">
        <v>42466</v>
      </c>
      <c r="G367" s="1">
        <v>42503</v>
      </c>
      <c r="H367" t="s">
        <v>21</v>
      </c>
      <c r="I367">
        <v>37</v>
      </c>
      <c r="J367" t="s">
        <v>22</v>
      </c>
      <c r="K367">
        <v>0</v>
      </c>
      <c r="L367">
        <v>1</v>
      </c>
      <c r="M367">
        <v>1</v>
      </c>
      <c r="N367">
        <v>0</v>
      </c>
      <c r="O367">
        <v>0</v>
      </c>
      <c r="P367">
        <v>0</v>
      </c>
      <c r="Q367" t="s">
        <v>23</v>
      </c>
      <c r="R367">
        <v>0</v>
      </c>
    </row>
    <row r="368" spans="1:18">
      <c r="A368" s="4">
        <v>1984960000000</v>
      </c>
      <c r="B368" t="s">
        <v>18</v>
      </c>
      <c r="C368">
        <v>3</v>
      </c>
      <c r="D368" t="s">
        <v>31</v>
      </c>
      <c r="E368" t="s">
        <v>80</v>
      </c>
      <c r="F368" s="1">
        <v>42466</v>
      </c>
      <c r="G368" s="1">
        <v>42495</v>
      </c>
      <c r="H368" t="s">
        <v>33</v>
      </c>
      <c r="I368">
        <v>29</v>
      </c>
      <c r="J368" t="s">
        <v>77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 t="s">
        <v>26</v>
      </c>
      <c r="R368">
        <v>1</v>
      </c>
    </row>
    <row r="369" spans="1:18">
      <c r="A369" s="4">
        <v>77738500000000</v>
      </c>
      <c r="B369" t="s">
        <v>18</v>
      </c>
      <c r="C369">
        <v>6</v>
      </c>
      <c r="D369" t="s">
        <v>31</v>
      </c>
      <c r="E369" t="s">
        <v>80</v>
      </c>
      <c r="F369" s="1">
        <v>42466</v>
      </c>
      <c r="G369" s="1">
        <v>42501</v>
      </c>
      <c r="H369" t="s">
        <v>25</v>
      </c>
      <c r="I369">
        <v>35</v>
      </c>
      <c r="J369" t="s">
        <v>22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 t="s">
        <v>23</v>
      </c>
      <c r="R369">
        <v>0</v>
      </c>
    </row>
    <row r="370" spans="1:18">
      <c r="A370" s="4">
        <v>4859650000000</v>
      </c>
      <c r="B370" t="s">
        <v>18</v>
      </c>
      <c r="C370">
        <v>41</v>
      </c>
      <c r="D370" t="s">
        <v>27</v>
      </c>
      <c r="E370" t="s">
        <v>72</v>
      </c>
      <c r="F370" s="1">
        <v>42466</v>
      </c>
      <c r="G370" s="1">
        <v>42499</v>
      </c>
      <c r="H370" t="s">
        <v>30</v>
      </c>
      <c r="I370">
        <v>33</v>
      </c>
      <c r="J370" t="s">
        <v>22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26</v>
      </c>
      <c r="R370">
        <v>1</v>
      </c>
    </row>
    <row r="371" spans="1:18">
      <c r="A371" s="4">
        <v>1578610000000</v>
      </c>
      <c r="B371" t="s">
        <v>18</v>
      </c>
      <c r="C371">
        <v>50</v>
      </c>
      <c r="D371" t="s">
        <v>27</v>
      </c>
      <c r="E371" t="s">
        <v>39</v>
      </c>
      <c r="F371" s="1">
        <v>42466</v>
      </c>
      <c r="G371" s="1">
        <v>42524</v>
      </c>
      <c r="H371" t="s">
        <v>21</v>
      </c>
      <c r="I371">
        <v>58</v>
      </c>
      <c r="J371" t="s">
        <v>22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</v>
      </c>
      <c r="Q371" t="s">
        <v>23</v>
      </c>
      <c r="R371">
        <v>0</v>
      </c>
    </row>
    <row r="372" spans="1:18">
      <c r="A372" s="4">
        <v>649939000000000</v>
      </c>
      <c r="B372" t="s">
        <v>18</v>
      </c>
      <c r="C372">
        <v>65</v>
      </c>
      <c r="D372" t="s">
        <v>35</v>
      </c>
      <c r="E372" t="s">
        <v>72</v>
      </c>
      <c r="F372" s="1">
        <v>42466</v>
      </c>
      <c r="G372" s="1">
        <v>42499</v>
      </c>
      <c r="H372" t="s">
        <v>30</v>
      </c>
      <c r="I372">
        <v>33</v>
      </c>
      <c r="J372" t="s">
        <v>22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 t="s">
        <v>23</v>
      </c>
      <c r="R372">
        <v>0</v>
      </c>
    </row>
    <row r="373" spans="1:18">
      <c r="A373" s="4">
        <v>9214780000000</v>
      </c>
      <c r="B373" t="s">
        <v>18</v>
      </c>
      <c r="C373">
        <v>65</v>
      </c>
      <c r="D373" t="s">
        <v>35</v>
      </c>
      <c r="E373" t="s">
        <v>55</v>
      </c>
      <c r="F373" s="1">
        <v>42466</v>
      </c>
      <c r="G373" s="1">
        <v>42509</v>
      </c>
      <c r="H373" t="s">
        <v>33</v>
      </c>
      <c r="I373">
        <v>43</v>
      </c>
      <c r="J373" t="s">
        <v>22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23</v>
      </c>
      <c r="R373">
        <v>0</v>
      </c>
    </row>
    <row r="374" spans="1:18">
      <c r="A374" s="4">
        <v>551597000000000</v>
      </c>
      <c r="B374" t="s">
        <v>18</v>
      </c>
      <c r="C374">
        <v>8</v>
      </c>
      <c r="D374" t="s">
        <v>31</v>
      </c>
      <c r="E374" t="s">
        <v>80</v>
      </c>
      <c r="F374" s="1">
        <v>42466</v>
      </c>
      <c r="G374" s="1">
        <v>42493</v>
      </c>
      <c r="H374" t="s">
        <v>41</v>
      </c>
      <c r="I374">
        <v>27</v>
      </c>
      <c r="J374" t="s">
        <v>77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 t="s">
        <v>23</v>
      </c>
      <c r="R374">
        <v>0</v>
      </c>
    </row>
    <row r="375" spans="1:18">
      <c r="A375" s="4">
        <v>25376700000000</v>
      </c>
      <c r="B375" t="s">
        <v>18</v>
      </c>
      <c r="C375">
        <v>57</v>
      </c>
      <c r="D375" t="s">
        <v>35</v>
      </c>
      <c r="E375" t="s">
        <v>67</v>
      </c>
      <c r="F375" s="1">
        <v>42466</v>
      </c>
      <c r="G375" s="1">
        <v>42499</v>
      </c>
      <c r="H375" t="s">
        <v>30</v>
      </c>
      <c r="I375">
        <v>33</v>
      </c>
      <c r="J375" t="s">
        <v>22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23</v>
      </c>
      <c r="R375">
        <v>0</v>
      </c>
    </row>
    <row r="376" spans="1:18">
      <c r="A376" s="4">
        <v>5871360000000</v>
      </c>
      <c r="B376" t="s">
        <v>18</v>
      </c>
      <c r="C376">
        <v>53</v>
      </c>
      <c r="D376" t="s">
        <v>35</v>
      </c>
      <c r="E376" t="s">
        <v>67</v>
      </c>
      <c r="F376" s="1">
        <v>42466</v>
      </c>
      <c r="G376" s="1">
        <v>42499</v>
      </c>
      <c r="H376" t="s">
        <v>30</v>
      </c>
      <c r="I376">
        <v>33</v>
      </c>
      <c r="J376" t="s">
        <v>22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 t="s">
        <v>23</v>
      </c>
      <c r="R376">
        <v>0</v>
      </c>
    </row>
    <row r="377" spans="1:18">
      <c r="A377" s="4">
        <v>88196900000000</v>
      </c>
      <c r="B377" t="s">
        <v>18</v>
      </c>
      <c r="C377">
        <v>16</v>
      </c>
      <c r="D377" t="s">
        <v>60</v>
      </c>
      <c r="E377" t="s">
        <v>72</v>
      </c>
      <c r="F377" s="1">
        <v>42466</v>
      </c>
      <c r="G377" s="1">
        <v>42501</v>
      </c>
      <c r="H377" t="s">
        <v>25</v>
      </c>
      <c r="I377">
        <v>35</v>
      </c>
      <c r="J377" t="s">
        <v>22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 t="s">
        <v>23</v>
      </c>
      <c r="R377">
        <v>0</v>
      </c>
    </row>
    <row r="378" spans="1:18">
      <c r="A378" s="4">
        <v>24311600000000</v>
      </c>
      <c r="B378" t="s">
        <v>18</v>
      </c>
      <c r="C378">
        <v>25</v>
      </c>
      <c r="D378" t="s">
        <v>37</v>
      </c>
      <c r="E378" t="s">
        <v>84</v>
      </c>
      <c r="F378" s="1">
        <v>42466</v>
      </c>
      <c r="G378" s="1">
        <v>42494</v>
      </c>
      <c r="H378" t="s">
        <v>25</v>
      </c>
      <c r="I378">
        <v>28</v>
      </c>
      <c r="J378" t="s">
        <v>77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 t="s">
        <v>23</v>
      </c>
      <c r="R378">
        <v>0</v>
      </c>
    </row>
    <row r="379" spans="1:18">
      <c r="A379" s="4">
        <v>121923000000</v>
      </c>
      <c r="B379" t="s">
        <v>18</v>
      </c>
      <c r="C379">
        <v>58</v>
      </c>
      <c r="D379" t="s">
        <v>35</v>
      </c>
      <c r="E379" t="s">
        <v>32</v>
      </c>
      <c r="F379" s="1">
        <v>42466</v>
      </c>
      <c r="G379" s="1">
        <v>42502</v>
      </c>
      <c r="H379" t="s">
        <v>33</v>
      </c>
      <c r="I379">
        <v>36</v>
      </c>
      <c r="J379" t="s">
        <v>22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1</v>
      </c>
      <c r="Q379" t="s">
        <v>26</v>
      </c>
      <c r="R379">
        <v>1</v>
      </c>
    </row>
    <row r="380" spans="1:18">
      <c r="A380" s="4">
        <v>53372200000000</v>
      </c>
      <c r="B380" t="s">
        <v>28</v>
      </c>
      <c r="C380">
        <v>78</v>
      </c>
      <c r="D380" t="s">
        <v>19</v>
      </c>
      <c r="E380" t="s">
        <v>57</v>
      </c>
      <c r="F380" s="1">
        <v>42466</v>
      </c>
      <c r="G380" s="1">
        <v>42494</v>
      </c>
      <c r="H380" t="s">
        <v>25</v>
      </c>
      <c r="I380">
        <v>28</v>
      </c>
      <c r="J380" t="s">
        <v>77</v>
      </c>
      <c r="K380">
        <v>0</v>
      </c>
      <c r="L380">
        <v>1</v>
      </c>
      <c r="M380">
        <v>0</v>
      </c>
      <c r="N380">
        <v>1</v>
      </c>
      <c r="O380">
        <v>1</v>
      </c>
      <c r="P380">
        <v>0</v>
      </c>
      <c r="Q380" t="s">
        <v>23</v>
      </c>
      <c r="R380">
        <v>0</v>
      </c>
    </row>
    <row r="381" spans="1:18">
      <c r="A381" s="4">
        <v>55549699458</v>
      </c>
      <c r="B381" t="s">
        <v>18</v>
      </c>
      <c r="C381">
        <v>60</v>
      </c>
      <c r="D381" t="s">
        <v>35</v>
      </c>
      <c r="E381" t="s">
        <v>39</v>
      </c>
      <c r="F381" s="1">
        <v>42466</v>
      </c>
      <c r="G381" s="1">
        <v>42524</v>
      </c>
      <c r="H381" t="s">
        <v>21</v>
      </c>
      <c r="I381">
        <v>58</v>
      </c>
      <c r="J381" t="s">
        <v>22</v>
      </c>
      <c r="K381">
        <v>0</v>
      </c>
      <c r="L381">
        <v>1</v>
      </c>
      <c r="M381">
        <v>1</v>
      </c>
      <c r="N381">
        <v>0</v>
      </c>
      <c r="O381">
        <v>0</v>
      </c>
      <c r="P381">
        <v>1</v>
      </c>
      <c r="Q381" t="s">
        <v>23</v>
      </c>
      <c r="R381">
        <v>0</v>
      </c>
    </row>
    <row r="382" spans="1:18">
      <c r="A382" s="4">
        <v>151664000000000</v>
      </c>
      <c r="B382" t="s">
        <v>28</v>
      </c>
      <c r="C382">
        <v>43</v>
      </c>
      <c r="D382" t="s">
        <v>27</v>
      </c>
      <c r="E382" t="s">
        <v>39</v>
      </c>
      <c r="F382" s="1">
        <v>42466</v>
      </c>
      <c r="G382" s="1">
        <v>42514</v>
      </c>
      <c r="H382" t="s">
        <v>41</v>
      </c>
      <c r="I382">
        <v>48</v>
      </c>
      <c r="J382" t="s">
        <v>22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 t="s">
        <v>26</v>
      </c>
      <c r="R382">
        <v>1</v>
      </c>
    </row>
    <row r="383" spans="1:18">
      <c r="A383" s="4">
        <v>4276680000000</v>
      </c>
      <c r="B383" t="s">
        <v>18</v>
      </c>
      <c r="C383">
        <v>42</v>
      </c>
      <c r="D383" t="s">
        <v>27</v>
      </c>
      <c r="E383" t="s">
        <v>45</v>
      </c>
      <c r="F383" s="1">
        <v>42466</v>
      </c>
      <c r="G383" s="1">
        <v>42489</v>
      </c>
      <c r="H383" t="s">
        <v>21</v>
      </c>
      <c r="I383">
        <v>23</v>
      </c>
      <c r="J383" t="s">
        <v>77</v>
      </c>
      <c r="K383">
        <v>1</v>
      </c>
      <c r="L383">
        <v>1</v>
      </c>
      <c r="M383">
        <v>0</v>
      </c>
      <c r="N383">
        <v>1</v>
      </c>
      <c r="O383">
        <v>0</v>
      </c>
      <c r="P383">
        <v>1</v>
      </c>
      <c r="Q383" t="s">
        <v>23</v>
      </c>
      <c r="R383">
        <v>0</v>
      </c>
    </row>
    <row r="384" spans="1:18">
      <c r="A384" s="4">
        <v>1795200000000</v>
      </c>
      <c r="B384" t="s">
        <v>18</v>
      </c>
      <c r="C384">
        <v>31</v>
      </c>
      <c r="D384" t="s">
        <v>37</v>
      </c>
      <c r="E384" t="s">
        <v>32</v>
      </c>
      <c r="F384" s="1">
        <v>42466</v>
      </c>
      <c r="G384" s="1">
        <v>42502</v>
      </c>
      <c r="H384" t="s">
        <v>33</v>
      </c>
      <c r="I384">
        <v>36</v>
      </c>
      <c r="J384" t="s">
        <v>22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1</v>
      </c>
      <c r="Q384" t="s">
        <v>23</v>
      </c>
      <c r="R384">
        <v>0</v>
      </c>
    </row>
    <row r="385" spans="1:18">
      <c r="A385" s="4">
        <v>3227170000000</v>
      </c>
      <c r="B385" t="s">
        <v>28</v>
      </c>
      <c r="C385">
        <v>19</v>
      </c>
      <c r="D385" t="s">
        <v>37</v>
      </c>
      <c r="E385" t="s">
        <v>72</v>
      </c>
      <c r="F385" s="1">
        <v>42466</v>
      </c>
      <c r="G385" s="1">
        <v>42499</v>
      </c>
      <c r="H385" t="s">
        <v>30</v>
      </c>
      <c r="I385">
        <v>33</v>
      </c>
      <c r="J385" t="s">
        <v>22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26</v>
      </c>
      <c r="R385">
        <v>1</v>
      </c>
    </row>
    <row r="386" spans="1:18">
      <c r="A386" s="4">
        <v>758827000000000</v>
      </c>
      <c r="B386" t="s">
        <v>18</v>
      </c>
      <c r="C386">
        <v>23</v>
      </c>
      <c r="D386" t="s">
        <v>37</v>
      </c>
      <c r="E386" t="s">
        <v>29</v>
      </c>
      <c r="F386" s="1">
        <v>42466</v>
      </c>
      <c r="G386" s="1">
        <v>42492</v>
      </c>
      <c r="H386" t="s">
        <v>30</v>
      </c>
      <c r="I386">
        <v>26</v>
      </c>
      <c r="J386" t="s">
        <v>77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 t="s">
        <v>26</v>
      </c>
      <c r="R386">
        <v>1</v>
      </c>
    </row>
    <row r="387" spans="1:18">
      <c r="A387" s="4">
        <v>4716580000000</v>
      </c>
      <c r="B387" t="s">
        <v>18</v>
      </c>
      <c r="C387">
        <v>43</v>
      </c>
      <c r="D387" t="s">
        <v>27</v>
      </c>
      <c r="E387" t="s">
        <v>36</v>
      </c>
      <c r="F387" s="1">
        <v>42466</v>
      </c>
      <c r="G387" s="1">
        <v>42502</v>
      </c>
      <c r="H387" t="s">
        <v>33</v>
      </c>
      <c r="I387">
        <v>36</v>
      </c>
      <c r="J387" t="s">
        <v>22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 t="s">
        <v>23</v>
      </c>
      <c r="R387">
        <v>0</v>
      </c>
    </row>
    <row r="388" spans="1:18">
      <c r="A388" s="4">
        <v>459984000000000</v>
      </c>
      <c r="B388" t="s">
        <v>18</v>
      </c>
      <c r="C388">
        <v>69</v>
      </c>
      <c r="D388" t="s">
        <v>19</v>
      </c>
      <c r="E388" t="s">
        <v>39</v>
      </c>
      <c r="F388" s="1">
        <v>42466</v>
      </c>
      <c r="G388" s="1">
        <v>42515</v>
      </c>
      <c r="H388" t="s">
        <v>25</v>
      </c>
      <c r="I388">
        <v>49</v>
      </c>
      <c r="J388" t="s">
        <v>22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 t="s">
        <v>23</v>
      </c>
      <c r="R388">
        <v>0</v>
      </c>
    </row>
    <row r="389" spans="1:18">
      <c r="A389" s="4">
        <v>45264200000000</v>
      </c>
      <c r="B389" t="s">
        <v>18</v>
      </c>
      <c r="C389">
        <v>18</v>
      </c>
      <c r="D389" t="s">
        <v>37</v>
      </c>
      <c r="E389" t="s">
        <v>54</v>
      </c>
      <c r="F389" s="1">
        <v>42466</v>
      </c>
      <c r="G389" s="1">
        <v>42496</v>
      </c>
      <c r="H389" t="s">
        <v>21</v>
      </c>
      <c r="I389">
        <v>30</v>
      </c>
      <c r="J389" t="s">
        <v>77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 t="s">
        <v>26</v>
      </c>
      <c r="R389">
        <v>1</v>
      </c>
    </row>
    <row r="390" spans="1:18">
      <c r="A390" s="4">
        <v>85773500000000</v>
      </c>
      <c r="B390" t="s">
        <v>18</v>
      </c>
      <c r="C390">
        <v>76</v>
      </c>
      <c r="D390" t="s">
        <v>19</v>
      </c>
      <c r="E390" t="s">
        <v>72</v>
      </c>
      <c r="F390" s="1">
        <v>42466</v>
      </c>
      <c r="G390" s="1">
        <v>42500</v>
      </c>
      <c r="H390" t="s">
        <v>41</v>
      </c>
      <c r="I390">
        <v>34</v>
      </c>
      <c r="J390" t="s">
        <v>22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 t="s">
        <v>26</v>
      </c>
      <c r="R390">
        <v>1</v>
      </c>
    </row>
    <row r="391" spans="1:18">
      <c r="A391" s="4">
        <v>79442800000000</v>
      </c>
      <c r="B391" t="s">
        <v>18</v>
      </c>
      <c r="C391">
        <v>52</v>
      </c>
      <c r="D391" t="s">
        <v>35</v>
      </c>
      <c r="E391" t="s">
        <v>42</v>
      </c>
      <c r="F391" s="1">
        <v>42466</v>
      </c>
      <c r="G391" s="1">
        <v>42529</v>
      </c>
      <c r="H391" t="s">
        <v>25</v>
      </c>
      <c r="I391">
        <v>63</v>
      </c>
      <c r="J391" t="s">
        <v>22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23</v>
      </c>
      <c r="R391">
        <v>0</v>
      </c>
    </row>
    <row r="392" spans="1:18">
      <c r="A392" s="4">
        <v>1189380000000</v>
      </c>
      <c r="B392" t="s">
        <v>18</v>
      </c>
      <c r="C392">
        <v>56</v>
      </c>
      <c r="D392" t="s">
        <v>35</v>
      </c>
      <c r="E392" t="s">
        <v>36</v>
      </c>
      <c r="F392" s="1">
        <v>42466</v>
      </c>
      <c r="G392" s="1">
        <v>42500</v>
      </c>
      <c r="H392" t="s">
        <v>41</v>
      </c>
      <c r="I392">
        <v>34</v>
      </c>
      <c r="J392" t="s">
        <v>22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 t="s">
        <v>23</v>
      </c>
      <c r="R392">
        <v>0</v>
      </c>
    </row>
    <row r="393" spans="1:18">
      <c r="A393" s="4">
        <v>14581400000000</v>
      </c>
      <c r="B393" t="s">
        <v>18</v>
      </c>
      <c r="C393">
        <v>50</v>
      </c>
      <c r="D393" t="s">
        <v>27</v>
      </c>
      <c r="E393" t="s">
        <v>64</v>
      </c>
      <c r="F393" s="1">
        <v>42466</v>
      </c>
      <c r="G393" s="1">
        <v>42500</v>
      </c>
      <c r="H393" t="s">
        <v>41</v>
      </c>
      <c r="I393">
        <v>34</v>
      </c>
      <c r="J393" t="s">
        <v>22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1</v>
      </c>
      <c r="Q393" t="s">
        <v>26</v>
      </c>
      <c r="R393">
        <v>1</v>
      </c>
    </row>
    <row r="394" spans="1:18">
      <c r="A394" s="4">
        <v>8377570000000</v>
      </c>
      <c r="B394" t="s">
        <v>18</v>
      </c>
      <c r="C394">
        <v>36</v>
      </c>
      <c r="D394" t="s">
        <v>27</v>
      </c>
      <c r="E394" t="s">
        <v>43</v>
      </c>
      <c r="F394" s="1">
        <v>42466</v>
      </c>
      <c r="G394" s="1">
        <v>42495</v>
      </c>
      <c r="H394" t="s">
        <v>33</v>
      </c>
      <c r="I394">
        <v>29</v>
      </c>
      <c r="J394" t="s">
        <v>77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 t="s">
        <v>26</v>
      </c>
      <c r="R394">
        <v>1</v>
      </c>
    </row>
    <row r="395" spans="1:18">
      <c r="A395" s="4">
        <v>7841640000000</v>
      </c>
      <c r="B395" t="s">
        <v>18</v>
      </c>
      <c r="C395">
        <v>3</v>
      </c>
      <c r="D395" t="s">
        <v>31</v>
      </c>
      <c r="E395" t="s">
        <v>45</v>
      </c>
      <c r="F395" s="1">
        <v>42466</v>
      </c>
      <c r="G395" s="1">
        <v>42493</v>
      </c>
      <c r="H395" t="s">
        <v>41</v>
      </c>
      <c r="I395">
        <v>27</v>
      </c>
      <c r="J395" t="s">
        <v>77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 t="s">
        <v>23</v>
      </c>
      <c r="R395">
        <v>0</v>
      </c>
    </row>
    <row r="396" spans="1:18">
      <c r="A396" s="4">
        <v>9246920000000</v>
      </c>
      <c r="B396" t="s">
        <v>28</v>
      </c>
      <c r="C396">
        <v>11</v>
      </c>
      <c r="D396" t="s">
        <v>31</v>
      </c>
      <c r="E396" t="s">
        <v>72</v>
      </c>
      <c r="F396" s="1">
        <v>42466</v>
      </c>
      <c r="G396" s="1">
        <v>42501</v>
      </c>
      <c r="H396" t="s">
        <v>25</v>
      </c>
      <c r="I396">
        <v>35</v>
      </c>
      <c r="J396" t="s">
        <v>22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 t="s">
        <v>26</v>
      </c>
      <c r="R396">
        <v>1</v>
      </c>
    </row>
    <row r="397" spans="1:18">
      <c r="A397" s="4">
        <v>26748483438</v>
      </c>
      <c r="B397" t="s">
        <v>28</v>
      </c>
      <c r="C397">
        <v>48</v>
      </c>
      <c r="D397" t="s">
        <v>27</v>
      </c>
      <c r="E397" t="s">
        <v>72</v>
      </c>
      <c r="F397" s="1">
        <v>42466</v>
      </c>
      <c r="G397" s="1">
        <v>42500</v>
      </c>
      <c r="H397" t="s">
        <v>41</v>
      </c>
      <c r="I397">
        <v>34</v>
      </c>
      <c r="J397" t="s">
        <v>22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26</v>
      </c>
      <c r="R397">
        <v>1</v>
      </c>
    </row>
    <row r="398" spans="1:18">
      <c r="A398" s="4">
        <v>24329800000000</v>
      </c>
      <c r="B398" t="s">
        <v>18</v>
      </c>
      <c r="C398">
        <v>3</v>
      </c>
      <c r="D398" t="s">
        <v>31</v>
      </c>
      <c r="E398" t="s">
        <v>67</v>
      </c>
      <c r="F398" s="1">
        <v>42466</v>
      </c>
      <c r="G398" s="1">
        <v>42495</v>
      </c>
      <c r="H398" t="s">
        <v>33</v>
      </c>
      <c r="I398">
        <v>29</v>
      </c>
      <c r="J398" t="s">
        <v>77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 t="s">
        <v>23</v>
      </c>
      <c r="R398">
        <v>0</v>
      </c>
    </row>
    <row r="399" spans="1:18">
      <c r="A399" s="4">
        <v>39885900000000</v>
      </c>
      <c r="B399" t="s">
        <v>18</v>
      </c>
      <c r="C399">
        <v>29</v>
      </c>
      <c r="D399" t="s">
        <v>37</v>
      </c>
      <c r="E399" t="s">
        <v>72</v>
      </c>
      <c r="F399" s="1">
        <v>42466</v>
      </c>
      <c r="G399" s="1">
        <v>42502</v>
      </c>
      <c r="H399" t="s">
        <v>33</v>
      </c>
      <c r="I399">
        <v>36</v>
      </c>
      <c r="J399" t="s">
        <v>22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 t="s">
        <v>26</v>
      </c>
      <c r="R399">
        <v>1</v>
      </c>
    </row>
    <row r="400" spans="1:18">
      <c r="A400" s="4">
        <v>32570000000000</v>
      </c>
      <c r="B400" t="s">
        <v>28</v>
      </c>
      <c r="C400">
        <v>77</v>
      </c>
      <c r="D400" t="s">
        <v>19</v>
      </c>
      <c r="E400" t="s">
        <v>39</v>
      </c>
      <c r="F400" s="1">
        <v>42466</v>
      </c>
      <c r="G400" s="1">
        <v>42495</v>
      </c>
      <c r="H400" t="s">
        <v>33</v>
      </c>
      <c r="I400">
        <v>29</v>
      </c>
      <c r="J400" t="s">
        <v>77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 t="s">
        <v>23</v>
      </c>
      <c r="R400">
        <v>0</v>
      </c>
    </row>
    <row r="401" spans="1:18">
      <c r="A401" s="4">
        <v>67144900000000</v>
      </c>
      <c r="B401" t="s">
        <v>28</v>
      </c>
      <c r="C401">
        <v>62</v>
      </c>
      <c r="D401" t="s">
        <v>35</v>
      </c>
      <c r="E401" t="s">
        <v>76</v>
      </c>
      <c r="F401" s="1">
        <v>42466</v>
      </c>
      <c r="G401" s="1">
        <v>42489</v>
      </c>
      <c r="H401" t="s">
        <v>21</v>
      </c>
      <c r="I401">
        <v>23</v>
      </c>
      <c r="J401" t="s">
        <v>77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23</v>
      </c>
      <c r="R401">
        <v>0</v>
      </c>
    </row>
    <row r="402" spans="1:18">
      <c r="A402" s="4">
        <v>926485000000000</v>
      </c>
      <c r="B402" t="s">
        <v>18</v>
      </c>
      <c r="C402">
        <v>34</v>
      </c>
      <c r="D402" t="s">
        <v>37</v>
      </c>
      <c r="E402" t="s">
        <v>39</v>
      </c>
      <c r="F402" s="1">
        <v>42466</v>
      </c>
      <c r="G402" s="1">
        <v>42494</v>
      </c>
      <c r="H402" t="s">
        <v>25</v>
      </c>
      <c r="I402">
        <v>28</v>
      </c>
      <c r="J402" t="s">
        <v>77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 t="s">
        <v>23</v>
      </c>
      <c r="R402">
        <v>0</v>
      </c>
    </row>
    <row r="403" spans="1:18">
      <c r="A403" s="4">
        <v>7352540000000</v>
      </c>
      <c r="B403" t="s">
        <v>28</v>
      </c>
      <c r="C403">
        <v>30</v>
      </c>
      <c r="D403" t="s">
        <v>37</v>
      </c>
      <c r="E403" t="s">
        <v>29</v>
      </c>
      <c r="F403" s="1">
        <v>42466</v>
      </c>
      <c r="G403" s="1">
        <v>42493</v>
      </c>
      <c r="H403" t="s">
        <v>41</v>
      </c>
      <c r="I403">
        <v>27</v>
      </c>
      <c r="J403" t="s">
        <v>77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1</v>
      </c>
      <c r="Q403" t="s">
        <v>23</v>
      </c>
      <c r="R403">
        <v>0</v>
      </c>
    </row>
    <row r="404" spans="1:18">
      <c r="A404" s="4">
        <v>67858900000000</v>
      </c>
      <c r="B404" t="s">
        <v>18</v>
      </c>
      <c r="C404">
        <v>35</v>
      </c>
      <c r="D404" t="s">
        <v>37</v>
      </c>
      <c r="E404" t="s">
        <v>32</v>
      </c>
      <c r="F404" s="1">
        <v>42467</v>
      </c>
      <c r="G404" s="1">
        <v>42507</v>
      </c>
      <c r="H404" t="s">
        <v>41</v>
      </c>
      <c r="I404">
        <v>40</v>
      </c>
      <c r="J404" t="s">
        <v>22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26</v>
      </c>
      <c r="R404">
        <v>1</v>
      </c>
    </row>
    <row r="405" spans="1:18">
      <c r="A405" s="4">
        <v>412599000000000</v>
      </c>
      <c r="B405" t="s">
        <v>18</v>
      </c>
      <c r="C405">
        <v>42</v>
      </c>
      <c r="D405" t="s">
        <v>27</v>
      </c>
      <c r="E405" t="s">
        <v>67</v>
      </c>
      <c r="F405" s="1">
        <v>42467</v>
      </c>
      <c r="G405" s="1">
        <v>42493</v>
      </c>
      <c r="H405" t="s">
        <v>41</v>
      </c>
      <c r="I405">
        <v>26</v>
      </c>
      <c r="J405" t="s">
        <v>77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 t="s">
        <v>26</v>
      </c>
      <c r="R405">
        <v>1</v>
      </c>
    </row>
    <row r="406" spans="1:18">
      <c r="A406" s="4">
        <v>48964900000000</v>
      </c>
      <c r="B406" t="s">
        <v>18</v>
      </c>
      <c r="C406">
        <v>46</v>
      </c>
      <c r="D406" t="s">
        <v>27</v>
      </c>
      <c r="E406" t="s">
        <v>42</v>
      </c>
      <c r="F406" s="1">
        <v>42467</v>
      </c>
      <c r="G406" s="1">
        <v>42493</v>
      </c>
      <c r="H406" t="s">
        <v>41</v>
      </c>
      <c r="I406">
        <v>26</v>
      </c>
      <c r="J406" t="s">
        <v>77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 t="s">
        <v>26</v>
      </c>
      <c r="R406">
        <v>1</v>
      </c>
    </row>
    <row r="407" spans="1:18">
      <c r="A407" s="4">
        <v>1559616249</v>
      </c>
      <c r="B407" t="s">
        <v>28</v>
      </c>
      <c r="C407">
        <v>14</v>
      </c>
      <c r="D407" t="s">
        <v>60</v>
      </c>
      <c r="E407" t="s">
        <v>56</v>
      </c>
      <c r="F407" s="1">
        <v>42467</v>
      </c>
      <c r="G407" s="1">
        <v>42493</v>
      </c>
      <c r="H407" t="s">
        <v>41</v>
      </c>
      <c r="I407">
        <v>26</v>
      </c>
      <c r="J407" t="s">
        <v>77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 t="s">
        <v>23</v>
      </c>
      <c r="R407">
        <v>0</v>
      </c>
    </row>
    <row r="408" spans="1:18">
      <c r="A408" s="4">
        <v>94242737547</v>
      </c>
      <c r="B408" t="s">
        <v>18</v>
      </c>
      <c r="C408">
        <v>8</v>
      </c>
      <c r="D408" t="s">
        <v>31</v>
      </c>
      <c r="E408" t="s">
        <v>73</v>
      </c>
      <c r="F408" s="1">
        <v>42467</v>
      </c>
      <c r="G408" s="1">
        <v>42510</v>
      </c>
      <c r="H408" t="s">
        <v>21</v>
      </c>
      <c r="I408">
        <v>43</v>
      </c>
      <c r="J408" t="s">
        <v>22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26</v>
      </c>
      <c r="R408">
        <v>1</v>
      </c>
    </row>
    <row r="409" spans="1:18">
      <c r="A409" s="4">
        <v>9939890000000</v>
      </c>
      <c r="B409" t="s">
        <v>18</v>
      </c>
      <c r="C409">
        <v>36</v>
      </c>
      <c r="D409" t="s">
        <v>27</v>
      </c>
      <c r="E409" t="s">
        <v>67</v>
      </c>
      <c r="F409" s="1">
        <v>42467</v>
      </c>
      <c r="G409" s="1">
        <v>42495</v>
      </c>
      <c r="H409" t="s">
        <v>33</v>
      </c>
      <c r="I409">
        <v>28</v>
      </c>
      <c r="J409" t="s">
        <v>77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23</v>
      </c>
      <c r="R409">
        <v>0</v>
      </c>
    </row>
    <row r="410" spans="1:18">
      <c r="A410" s="4">
        <v>838343000000</v>
      </c>
      <c r="B410" t="s">
        <v>18</v>
      </c>
      <c r="C410">
        <v>85</v>
      </c>
      <c r="D410" t="s">
        <v>19</v>
      </c>
      <c r="E410" t="s">
        <v>72</v>
      </c>
      <c r="F410" s="1">
        <v>42467</v>
      </c>
      <c r="G410" s="1">
        <v>42500</v>
      </c>
      <c r="H410" t="s">
        <v>41</v>
      </c>
      <c r="I410">
        <v>33</v>
      </c>
      <c r="J410" t="s">
        <v>22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 t="s">
        <v>23</v>
      </c>
      <c r="R410">
        <v>0</v>
      </c>
    </row>
    <row r="411" spans="1:18">
      <c r="A411" s="4">
        <v>247153000000</v>
      </c>
      <c r="B411" t="s">
        <v>18</v>
      </c>
      <c r="C411">
        <v>22</v>
      </c>
      <c r="D411" t="s">
        <v>37</v>
      </c>
      <c r="E411" t="s">
        <v>72</v>
      </c>
      <c r="F411" s="1">
        <v>42467</v>
      </c>
      <c r="G411" s="1">
        <v>42495</v>
      </c>
      <c r="H411" t="s">
        <v>33</v>
      </c>
      <c r="I411">
        <v>28</v>
      </c>
      <c r="J411" t="s">
        <v>77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 t="s">
        <v>23</v>
      </c>
      <c r="R411">
        <v>0</v>
      </c>
    </row>
    <row r="412" spans="1:18">
      <c r="A412" s="4">
        <v>65676500000000</v>
      </c>
      <c r="B412" t="s">
        <v>18</v>
      </c>
      <c r="C412">
        <v>53</v>
      </c>
      <c r="D412" t="s">
        <v>35</v>
      </c>
      <c r="E412" t="s">
        <v>67</v>
      </c>
      <c r="F412" s="1">
        <v>42467</v>
      </c>
      <c r="G412" s="1">
        <v>42492</v>
      </c>
      <c r="H412" t="s">
        <v>30</v>
      </c>
      <c r="I412">
        <v>25</v>
      </c>
      <c r="J412" t="s">
        <v>77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 t="s">
        <v>23</v>
      </c>
      <c r="R412">
        <v>0</v>
      </c>
    </row>
    <row r="413" spans="1:18">
      <c r="A413" s="4">
        <v>41627300000000</v>
      </c>
      <c r="B413" t="s">
        <v>18</v>
      </c>
      <c r="C413">
        <v>26</v>
      </c>
      <c r="D413" t="s">
        <v>37</v>
      </c>
      <c r="E413" t="s">
        <v>57</v>
      </c>
      <c r="F413" s="1">
        <v>42467</v>
      </c>
      <c r="G413" s="1">
        <v>42495</v>
      </c>
      <c r="H413" t="s">
        <v>33</v>
      </c>
      <c r="I413">
        <v>28</v>
      </c>
      <c r="J413" t="s">
        <v>77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 t="s">
        <v>23</v>
      </c>
      <c r="R413">
        <v>0</v>
      </c>
    </row>
    <row r="414" spans="1:18">
      <c r="A414" s="4">
        <v>2224900000000</v>
      </c>
      <c r="B414" t="s">
        <v>28</v>
      </c>
      <c r="C414">
        <v>58</v>
      </c>
      <c r="D414" t="s">
        <v>35</v>
      </c>
      <c r="E414" t="s">
        <v>29</v>
      </c>
      <c r="F414" s="1">
        <v>42467</v>
      </c>
      <c r="G414" s="1">
        <v>42495</v>
      </c>
      <c r="H414" t="s">
        <v>33</v>
      </c>
      <c r="I414">
        <v>28</v>
      </c>
      <c r="J414" t="s">
        <v>77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 t="s">
        <v>26</v>
      </c>
      <c r="R414">
        <v>1</v>
      </c>
    </row>
    <row r="415" spans="1:18">
      <c r="A415" s="4">
        <v>875695000000000</v>
      </c>
      <c r="B415" t="s">
        <v>18</v>
      </c>
      <c r="C415">
        <v>0</v>
      </c>
      <c r="D415" t="s">
        <v>31</v>
      </c>
      <c r="E415" t="s">
        <v>29</v>
      </c>
      <c r="F415" s="1">
        <v>42467</v>
      </c>
      <c r="G415" s="1">
        <v>42495</v>
      </c>
      <c r="H415" t="s">
        <v>33</v>
      </c>
      <c r="I415">
        <v>28</v>
      </c>
      <c r="J415" t="s">
        <v>77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23</v>
      </c>
      <c r="R415">
        <v>0</v>
      </c>
    </row>
    <row r="416" spans="1:18">
      <c r="A416" s="4">
        <v>28279000000000</v>
      </c>
      <c r="B416" t="s">
        <v>18</v>
      </c>
      <c r="C416">
        <v>1</v>
      </c>
      <c r="D416" t="s">
        <v>31</v>
      </c>
      <c r="E416" t="s">
        <v>43</v>
      </c>
      <c r="F416" s="1">
        <v>42467</v>
      </c>
      <c r="G416" s="1">
        <v>42500</v>
      </c>
      <c r="H416" t="s">
        <v>41</v>
      </c>
      <c r="I416">
        <v>33</v>
      </c>
      <c r="J416" t="s">
        <v>22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26</v>
      </c>
      <c r="R416">
        <v>1</v>
      </c>
    </row>
    <row r="417" spans="1:18">
      <c r="A417" s="4">
        <v>52413500000000</v>
      </c>
      <c r="B417" t="s">
        <v>18</v>
      </c>
      <c r="C417">
        <v>1</v>
      </c>
      <c r="D417" t="s">
        <v>31</v>
      </c>
      <c r="E417" t="s">
        <v>43</v>
      </c>
      <c r="F417" s="1">
        <v>42467</v>
      </c>
      <c r="G417" s="1">
        <v>42501</v>
      </c>
      <c r="H417" t="s">
        <v>25</v>
      </c>
      <c r="I417">
        <v>34</v>
      </c>
      <c r="J417" t="s">
        <v>22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 t="s">
        <v>26</v>
      </c>
      <c r="R417">
        <v>1</v>
      </c>
    </row>
    <row r="418" spans="1:18">
      <c r="A418" s="4">
        <v>21755500000000</v>
      </c>
      <c r="B418" t="s">
        <v>28</v>
      </c>
      <c r="C418">
        <v>6</v>
      </c>
      <c r="D418" t="s">
        <v>31</v>
      </c>
      <c r="E418" t="s">
        <v>32</v>
      </c>
      <c r="F418" s="1">
        <v>42467</v>
      </c>
      <c r="G418" s="1">
        <v>42514</v>
      </c>
      <c r="H418" t="s">
        <v>41</v>
      </c>
      <c r="I418">
        <v>47</v>
      </c>
      <c r="J418" t="s">
        <v>22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26</v>
      </c>
      <c r="R418">
        <v>1</v>
      </c>
    </row>
    <row r="419" spans="1:18">
      <c r="A419" s="4">
        <v>216644000000000</v>
      </c>
      <c r="B419" t="s">
        <v>18</v>
      </c>
      <c r="C419">
        <v>58</v>
      </c>
      <c r="D419" t="s">
        <v>35</v>
      </c>
      <c r="E419" t="s">
        <v>68</v>
      </c>
      <c r="F419" s="1">
        <v>42467</v>
      </c>
      <c r="G419" s="1">
        <v>42495</v>
      </c>
      <c r="H419" t="s">
        <v>33</v>
      </c>
      <c r="I419">
        <v>28</v>
      </c>
      <c r="J419" t="s">
        <v>77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 t="s">
        <v>23</v>
      </c>
      <c r="R419">
        <v>0</v>
      </c>
    </row>
    <row r="420" spans="1:18">
      <c r="A420" s="4">
        <v>815773000000</v>
      </c>
      <c r="B420" t="s">
        <v>18</v>
      </c>
      <c r="C420">
        <v>20</v>
      </c>
      <c r="D420" t="s">
        <v>37</v>
      </c>
      <c r="E420" t="s">
        <v>57</v>
      </c>
      <c r="F420" s="1">
        <v>42467</v>
      </c>
      <c r="G420" s="1">
        <v>42500</v>
      </c>
      <c r="H420" t="s">
        <v>41</v>
      </c>
      <c r="I420">
        <v>33</v>
      </c>
      <c r="J420" t="s">
        <v>22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 t="s">
        <v>23</v>
      </c>
      <c r="R420">
        <v>0</v>
      </c>
    </row>
    <row r="421" spans="1:18">
      <c r="A421" s="4">
        <v>942480000000000</v>
      </c>
      <c r="B421" t="s">
        <v>18</v>
      </c>
      <c r="C421">
        <v>50</v>
      </c>
      <c r="D421" t="s">
        <v>27</v>
      </c>
      <c r="E421" t="s">
        <v>72</v>
      </c>
      <c r="F421" s="1">
        <v>42467</v>
      </c>
      <c r="G421" s="1">
        <v>42500</v>
      </c>
      <c r="H421" t="s">
        <v>41</v>
      </c>
      <c r="I421">
        <v>33</v>
      </c>
      <c r="J421" t="s">
        <v>22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 t="s">
        <v>23</v>
      </c>
      <c r="R421">
        <v>0</v>
      </c>
    </row>
    <row r="422" spans="1:18">
      <c r="A422" s="4">
        <v>14654300000000</v>
      </c>
      <c r="B422" t="s">
        <v>18</v>
      </c>
      <c r="C422">
        <v>12</v>
      </c>
      <c r="D422" t="s">
        <v>31</v>
      </c>
      <c r="E422" t="s">
        <v>85</v>
      </c>
      <c r="F422" s="1">
        <v>42467</v>
      </c>
      <c r="G422" s="1">
        <v>42502</v>
      </c>
      <c r="H422" t="s">
        <v>33</v>
      </c>
      <c r="I422">
        <v>35</v>
      </c>
      <c r="J422" t="s">
        <v>22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 t="s">
        <v>23</v>
      </c>
      <c r="R422">
        <v>0</v>
      </c>
    </row>
    <row r="423" spans="1:18">
      <c r="A423" s="4">
        <v>478334000000</v>
      </c>
      <c r="B423" t="s">
        <v>28</v>
      </c>
      <c r="C423">
        <v>4</v>
      </c>
      <c r="D423" t="s">
        <v>31</v>
      </c>
      <c r="E423" t="s">
        <v>73</v>
      </c>
      <c r="F423" s="1">
        <v>42467</v>
      </c>
      <c r="G423" s="1">
        <v>42501</v>
      </c>
      <c r="H423" t="s">
        <v>25</v>
      </c>
      <c r="I423">
        <v>34</v>
      </c>
      <c r="J423" t="s">
        <v>22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 t="s">
        <v>23</v>
      </c>
      <c r="R423">
        <v>0</v>
      </c>
    </row>
    <row r="424" spans="1:18">
      <c r="A424" s="4">
        <v>29586200000000</v>
      </c>
      <c r="B424" t="s">
        <v>18</v>
      </c>
      <c r="C424">
        <v>81</v>
      </c>
      <c r="D424" t="s">
        <v>19</v>
      </c>
      <c r="E424" t="s">
        <v>58</v>
      </c>
      <c r="F424" s="1">
        <v>42467</v>
      </c>
      <c r="G424" s="1">
        <v>42500</v>
      </c>
      <c r="H424" t="s">
        <v>41</v>
      </c>
      <c r="I424">
        <v>33</v>
      </c>
      <c r="J424" t="s">
        <v>22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1</v>
      </c>
      <c r="Q424" t="s">
        <v>26</v>
      </c>
      <c r="R424">
        <v>1</v>
      </c>
    </row>
    <row r="425" spans="1:18">
      <c r="A425" s="4">
        <v>64954100000000</v>
      </c>
      <c r="B425" t="s">
        <v>18</v>
      </c>
      <c r="C425">
        <v>1</v>
      </c>
      <c r="D425" t="s">
        <v>31</v>
      </c>
      <c r="E425" t="s">
        <v>39</v>
      </c>
      <c r="F425" s="1">
        <v>42467</v>
      </c>
      <c r="G425" s="1">
        <v>42523</v>
      </c>
      <c r="H425" t="s">
        <v>33</v>
      </c>
      <c r="I425">
        <v>56</v>
      </c>
      <c r="J425" t="s">
        <v>22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 t="s">
        <v>26</v>
      </c>
      <c r="R425">
        <v>1</v>
      </c>
    </row>
    <row r="426" spans="1:18">
      <c r="A426" s="4">
        <v>25176000000000</v>
      </c>
      <c r="B426" t="s">
        <v>18</v>
      </c>
      <c r="C426">
        <v>17</v>
      </c>
      <c r="D426" t="s">
        <v>60</v>
      </c>
      <c r="E426" t="s">
        <v>72</v>
      </c>
      <c r="F426" s="1">
        <v>42467</v>
      </c>
      <c r="G426" s="1">
        <v>42502</v>
      </c>
      <c r="H426" t="s">
        <v>33</v>
      </c>
      <c r="I426">
        <v>35</v>
      </c>
      <c r="J426" t="s">
        <v>22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 t="s">
        <v>26</v>
      </c>
      <c r="R426">
        <v>1</v>
      </c>
    </row>
    <row r="427" spans="1:18">
      <c r="A427" s="4">
        <v>27394900000000</v>
      </c>
      <c r="B427" t="s">
        <v>18</v>
      </c>
      <c r="C427">
        <v>0</v>
      </c>
      <c r="D427" t="s">
        <v>31</v>
      </c>
      <c r="E427" t="s">
        <v>32</v>
      </c>
      <c r="F427" s="1">
        <v>42467</v>
      </c>
      <c r="G427" s="1">
        <v>42527</v>
      </c>
      <c r="H427" t="s">
        <v>30</v>
      </c>
      <c r="I427">
        <v>60</v>
      </c>
      <c r="J427" t="s">
        <v>22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 t="s">
        <v>23</v>
      </c>
      <c r="R427">
        <v>0</v>
      </c>
    </row>
    <row r="428" spans="1:18">
      <c r="A428" s="4">
        <v>5758290000000</v>
      </c>
      <c r="B428" t="s">
        <v>18</v>
      </c>
      <c r="C428">
        <v>28</v>
      </c>
      <c r="D428" t="s">
        <v>37</v>
      </c>
      <c r="E428" t="s">
        <v>57</v>
      </c>
      <c r="F428" s="1">
        <v>42467</v>
      </c>
      <c r="G428" s="1">
        <v>42495</v>
      </c>
      <c r="H428" t="s">
        <v>33</v>
      </c>
      <c r="I428">
        <v>28</v>
      </c>
      <c r="J428" t="s">
        <v>77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 t="s">
        <v>26</v>
      </c>
      <c r="R428">
        <v>1</v>
      </c>
    </row>
    <row r="429" spans="1:18">
      <c r="A429" s="4">
        <v>711694000000000</v>
      </c>
      <c r="B429" t="s">
        <v>18</v>
      </c>
      <c r="C429">
        <v>50</v>
      </c>
      <c r="D429" t="s">
        <v>27</v>
      </c>
      <c r="E429" t="s">
        <v>57</v>
      </c>
      <c r="F429" s="1">
        <v>42467</v>
      </c>
      <c r="G429" s="1">
        <v>42500</v>
      </c>
      <c r="H429" t="s">
        <v>41</v>
      </c>
      <c r="I429">
        <v>33</v>
      </c>
      <c r="J429" t="s">
        <v>22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 t="s">
        <v>26</v>
      </c>
      <c r="R429">
        <v>1</v>
      </c>
    </row>
    <row r="430" spans="1:18">
      <c r="A430" s="4">
        <v>17658300000000</v>
      </c>
      <c r="B430" t="s">
        <v>28</v>
      </c>
      <c r="C430">
        <v>9</v>
      </c>
      <c r="D430" t="s">
        <v>31</v>
      </c>
      <c r="E430" t="s">
        <v>74</v>
      </c>
      <c r="F430" s="1">
        <v>42467</v>
      </c>
      <c r="G430" s="1">
        <v>42503</v>
      </c>
      <c r="H430" t="s">
        <v>21</v>
      </c>
      <c r="I430">
        <v>36</v>
      </c>
      <c r="J430" t="s">
        <v>22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23</v>
      </c>
      <c r="R430">
        <v>0</v>
      </c>
    </row>
    <row r="431" spans="1:18">
      <c r="A431" s="4">
        <v>8663660000000</v>
      </c>
      <c r="B431" t="s">
        <v>18</v>
      </c>
      <c r="C431">
        <v>62</v>
      </c>
      <c r="D431" t="s">
        <v>35</v>
      </c>
      <c r="E431" t="s">
        <v>45</v>
      </c>
      <c r="F431" s="1">
        <v>42467</v>
      </c>
      <c r="G431" s="1">
        <v>42492</v>
      </c>
      <c r="H431" t="s">
        <v>30</v>
      </c>
      <c r="I431">
        <v>25</v>
      </c>
      <c r="J431" t="s">
        <v>77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1</v>
      </c>
      <c r="Q431" t="s">
        <v>26</v>
      </c>
      <c r="R431">
        <v>1</v>
      </c>
    </row>
    <row r="432" spans="1:18">
      <c r="A432" s="4">
        <v>816425000000</v>
      </c>
      <c r="B432" t="s">
        <v>18</v>
      </c>
      <c r="C432">
        <v>43</v>
      </c>
      <c r="D432" t="s">
        <v>27</v>
      </c>
      <c r="E432" t="s">
        <v>65</v>
      </c>
      <c r="F432" s="1">
        <v>42467</v>
      </c>
      <c r="G432" s="1">
        <v>42489</v>
      </c>
      <c r="H432" t="s">
        <v>21</v>
      </c>
      <c r="I432">
        <v>22</v>
      </c>
      <c r="J432" t="s">
        <v>77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 t="s">
        <v>23</v>
      </c>
      <c r="R432">
        <v>0</v>
      </c>
    </row>
    <row r="433" spans="1:18">
      <c r="A433" s="4">
        <v>7288180000000</v>
      </c>
      <c r="B433" t="s">
        <v>28</v>
      </c>
      <c r="C433">
        <v>35</v>
      </c>
      <c r="D433" t="s">
        <v>37</v>
      </c>
      <c r="E433" t="s">
        <v>45</v>
      </c>
      <c r="F433" s="1">
        <v>42467</v>
      </c>
      <c r="G433" s="1">
        <v>42495</v>
      </c>
      <c r="H433" t="s">
        <v>33</v>
      </c>
      <c r="I433">
        <v>28</v>
      </c>
      <c r="J433" t="s">
        <v>77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 t="s">
        <v>23</v>
      </c>
      <c r="R433">
        <v>0</v>
      </c>
    </row>
    <row r="434" spans="1:18">
      <c r="A434" s="4">
        <v>2438370000000</v>
      </c>
      <c r="B434" t="s">
        <v>18</v>
      </c>
      <c r="C434">
        <v>24</v>
      </c>
      <c r="D434" t="s">
        <v>37</v>
      </c>
      <c r="E434" t="s">
        <v>44</v>
      </c>
      <c r="F434" s="1">
        <v>42467</v>
      </c>
      <c r="G434" s="1">
        <v>42502</v>
      </c>
      <c r="H434" t="s">
        <v>33</v>
      </c>
      <c r="I434">
        <v>35</v>
      </c>
      <c r="J434" t="s">
        <v>22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 t="s">
        <v>26</v>
      </c>
      <c r="R434">
        <v>1</v>
      </c>
    </row>
    <row r="435" spans="1:18">
      <c r="A435" s="4">
        <v>333369000000000</v>
      </c>
      <c r="B435" t="s">
        <v>28</v>
      </c>
      <c r="C435">
        <v>21</v>
      </c>
      <c r="D435" t="s">
        <v>37</v>
      </c>
      <c r="E435" t="s">
        <v>72</v>
      </c>
      <c r="F435" s="1">
        <v>42467</v>
      </c>
      <c r="G435" s="1">
        <v>42499</v>
      </c>
      <c r="H435" t="s">
        <v>30</v>
      </c>
      <c r="I435">
        <v>32</v>
      </c>
      <c r="J435" t="s">
        <v>22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26</v>
      </c>
      <c r="R435">
        <v>1</v>
      </c>
    </row>
    <row r="436" spans="1:18">
      <c r="A436" s="4">
        <v>1283690000000</v>
      </c>
      <c r="B436" t="s">
        <v>18</v>
      </c>
      <c r="C436">
        <v>5</v>
      </c>
      <c r="D436" t="s">
        <v>31</v>
      </c>
      <c r="E436" t="s">
        <v>68</v>
      </c>
      <c r="F436" s="1">
        <v>42467</v>
      </c>
      <c r="G436" s="1">
        <v>42492</v>
      </c>
      <c r="H436" t="s">
        <v>30</v>
      </c>
      <c r="I436">
        <v>25</v>
      </c>
      <c r="J436" t="s">
        <v>77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26</v>
      </c>
      <c r="R436">
        <v>1</v>
      </c>
    </row>
    <row r="437" spans="1:18">
      <c r="A437" s="4">
        <v>95379800000000</v>
      </c>
      <c r="B437" t="s">
        <v>18</v>
      </c>
      <c r="C437">
        <v>56</v>
      </c>
      <c r="D437" t="s">
        <v>35</v>
      </c>
      <c r="E437" t="s">
        <v>43</v>
      </c>
      <c r="F437" s="1">
        <v>42467</v>
      </c>
      <c r="G437" s="1">
        <v>42515</v>
      </c>
      <c r="H437" t="s">
        <v>25</v>
      </c>
      <c r="I437">
        <v>48</v>
      </c>
      <c r="J437" t="s">
        <v>22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 t="s">
        <v>23</v>
      </c>
      <c r="R437">
        <v>0</v>
      </c>
    </row>
    <row r="438" spans="1:18">
      <c r="A438" s="4">
        <v>737464000000</v>
      </c>
      <c r="B438" t="s">
        <v>18</v>
      </c>
      <c r="C438">
        <v>52</v>
      </c>
      <c r="D438" t="s">
        <v>35</v>
      </c>
      <c r="E438" t="s">
        <v>38</v>
      </c>
      <c r="F438" s="1">
        <v>42467</v>
      </c>
      <c r="G438" s="1">
        <v>42489</v>
      </c>
      <c r="H438" t="s">
        <v>21</v>
      </c>
      <c r="I438">
        <v>22</v>
      </c>
      <c r="J438" t="s">
        <v>77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 t="s">
        <v>23</v>
      </c>
      <c r="R438">
        <v>0</v>
      </c>
    </row>
    <row r="439" spans="1:18">
      <c r="A439" s="4">
        <v>5777390000000</v>
      </c>
      <c r="B439" t="s">
        <v>18</v>
      </c>
      <c r="C439">
        <v>20</v>
      </c>
      <c r="D439" t="s">
        <v>37</v>
      </c>
      <c r="E439" t="s">
        <v>50</v>
      </c>
      <c r="F439" s="1">
        <v>42467</v>
      </c>
      <c r="G439" s="1">
        <v>42494</v>
      </c>
      <c r="H439" t="s">
        <v>25</v>
      </c>
      <c r="I439">
        <v>27</v>
      </c>
      <c r="J439" t="s">
        <v>77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 t="s">
        <v>23</v>
      </c>
      <c r="R439">
        <v>0</v>
      </c>
    </row>
    <row r="440" spans="1:18">
      <c r="A440" s="4">
        <v>4547340000000</v>
      </c>
      <c r="B440" t="s">
        <v>28</v>
      </c>
      <c r="C440">
        <v>13</v>
      </c>
      <c r="D440" t="s">
        <v>60</v>
      </c>
      <c r="E440" t="s">
        <v>72</v>
      </c>
      <c r="F440" s="1">
        <v>42467</v>
      </c>
      <c r="G440" s="1">
        <v>42502</v>
      </c>
      <c r="H440" t="s">
        <v>33</v>
      </c>
      <c r="I440">
        <v>35</v>
      </c>
      <c r="J440" t="s">
        <v>22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 t="s">
        <v>23</v>
      </c>
      <c r="R440">
        <v>0</v>
      </c>
    </row>
    <row r="441" spans="1:18">
      <c r="A441" s="4">
        <v>67463500000000</v>
      </c>
      <c r="B441" t="s">
        <v>18</v>
      </c>
      <c r="C441">
        <v>14</v>
      </c>
      <c r="D441" t="s">
        <v>60</v>
      </c>
      <c r="E441" t="s">
        <v>72</v>
      </c>
      <c r="F441" s="1">
        <v>42467</v>
      </c>
      <c r="G441" s="1">
        <v>42502</v>
      </c>
      <c r="H441" t="s">
        <v>33</v>
      </c>
      <c r="I441">
        <v>35</v>
      </c>
      <c r="J441" t="s">
        <v>22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 t="s">
        <v>26</v>
      </c>
      <c r="R441">
        <v>1</v>
      </c>
    </row>
    <row r="442" spans="1:18">
      <c r="A442" s="4">
        <v>67634700000000</v>
      </c>
      <c r="B442" t="s">
        <v>28</v>
      </c>
      <c r="C442">
        <v>81</v>
      </c>
      <c r="D442" t="s">
        <v>19</v>
      </c>
      <c r="E442" t="s">
        <v>72</v>
      </c>
      <c r="F442" s="1">
        <v>42468</v>
      </c>
      <c r="G442" s="1">
        <v>42502</v>
      </c>
      <c r="H442" t="s">
        <v>33</v>
      </c>
      <c r="I442">
        <v>34</v>
      </c>
      <c r="J442" t="s">
        <v>22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 t="s">
        <v>23</v>
      </c>
      <c r="R442">
        <v>0</v>
      </c>
    </row>
    <row r="443" spans="1:18">
      <c r="A443" s="4">
        <v>17539400000000</v>
      </c>
      <c r="B443" t="s">
        <v>18</v>
      </c>
      <c r="C443">
        <v>28</v>
      </c>
      <c r="D443" t="s">
        <v>37</v>
      </c>
      <c r="E443" t="s">
        <v>54</v>
      </c>
      <c r="F443" s="1">
        <v>42468</v>
      </c>
      <c r="G443" s="1">
        <v>42501</v>
      </c>
      <c r="H443" t="s">
        <v>25</v>
      </c>
      <c r="I443">
        <v>33</v>
      </c>
      <c r="J443" t="s">
        <v>22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1</v>
      </c>
      <c r="Q443" t="s">
        <v>26</v>
      </c>
      <c r="R443">
        <v>1</v>
      </c>
    </row>
    <row r="444" spans="1:18">
      <c r="A444" s="4">
        <v>941486000000000</v>
      </c>
      <c r="B444" t="s">
        <v>18</v>
      </c>
      <c r="C444">
        <v>39</v>
      </c>
      <c r="D444" t="s">
        <v>27</v>
      </c>
      <c r="E444" t="s">
        <v>54</v>
      </c>
      <c r="F444" s="1">
        <v>42468</v>
      </c>
      <c r="G444" s="1">
        <v>42509</v>
      </c>
      <c r="H444" t="s">
        <v>33</v>
      </c>
      <c r="I444">
        <v>41</v>
      </c>
      <c r="J444" t="s">
        <v>22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23</v>
      </c>
      <c r="R444">
        <v>0</v>
      </c>
    </row>
    <row r="445" spans="1:18">
      <c r="A445" s="4">
        <v>62143100000000</v>
      </c>
      <c r="B445" t="s">
        <v>28</v>
      </c>
      <c r="C445">
        <v>43</v>
      </c>
      <c r="D445" t="s">
        <v>27</v>
      </c>
      <c r="E445" t="s">
        <v>55</v>
      </c>
      <c r="F445" s="1">
        <v>42468</v>
      </c>
      <c r="G445" s="1">
        <v>42520</v>
      </c>
      <c r="H445" t="s">
        <v>30</v>
      </c>
      <c r="I445">
        <v>52</v>
      </c>
      <c r="J445" t="s">
        <v>22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 t="s">
        <v>23</v>
      </c>
      <c r="R445">
        <v>0</v>
      </c>
    </row>
    <row r="446" spans="1:18">
      <c r="A446" s="4">
        <v>4445140000000</v>
      </c>
      <c r="B446" t="s">
        <v>18</v>
      </c>
      <c r="C446">
        <v>63</v>
      </c>
      <c r="D446" t="s">
        <v>35</v>
      </c>
      <c r="E446" t="s">
        <v>32</v>
      </c>
      <c r="F446" s="1">
        <v>42468</v>
      </c>
      <c r="G446" s="1">
        <v>42501</v>
      </c>
      <c r="H446" t="s">
        <v>25</v>
      </c>
      <c r="I446">
        <v>33</v>
      </c>
      <c r="J446" t="s">
        <v>22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1</v>
      </c>
      <c r="Q446" t="s">
        <v>23</v>
      </c>
      <c r="R446">
        <v>0</v>
      </c>
    </row>
    <row r="447" spans="1:18">
      <c r="A447" s="4">
        <v>758819000000000</v>
      </c>
      <c r="B447" t="s">
        <v>18</v>
      </c>
      <c r="C447">
        <v>76</v>
      </c>
      <c r="D447" t="s">
        <v>19</v>
      </c>
      <c r="E447" t="s">
        <v>67</v>
      </c>
      <c r="F447" s="1">
        <v>42468</v>
      </c>
      <c r="G447" s="1">
        <v>42500</v>
      </c>
      <c r="H447" t="s">
        <v>41</v>
      </c>
      <c r="I447">
        <v>32</v>
      </c>
      <c r="J447" t="s">
        <v>22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 t="s">
        <v>23</v>
      </c>
      <c r="R447">
        <v>0</v>
      </c>
    </row>
    <row r="448" spans="1:18">
      <c r="A448" s="4">
        <v>7611590000000</v>
      </c>
      <c r="B448" t="s">
        <v>28</v>
      </c>
      <c r="C448">
        <v>30</v>
      </c>
      <c r="D448" t="s">
        <v>37</v>
      </c>
      <c r="E448" t="s">
        <v>65</v>
      </c>
      <c r="F448" s="1">
        <v>42468</v>
      </c>
      <c r="G448" s="1">
        <v>42489</v>
      </c>
      <c r="H448" t="s">
        <v>21</v>
      </c>
      <c r="I448">
        <v>21</v>
      </c>
      <c r="J448" t="s">
        <v>77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 t="s">
        <v>26</v>
      </c>
      <c r="R448">
        <v>1</v>
      </c>
    </row>
    <row r="449" spans="1:18">
      <c r="A449" s="4">
        <v>588686000000</v>
      </c>
      <c r="B449" t="s">
        <v>18</v>
      </c>
      <c r="C449">
        <v>6</v>
      </c>
      <c r="D449" t="s">
        <v>31</v>
      </c>
      <c r="E449" t="s">
        <v>86</v>
      </c>
      <c r="F449" s="1">
        <v>42468</v>
      </c>
      <c r="G449" s="1">
        <v>42489</v>
      </c>
      <c r="H449" t="s">
        <v>21</v>
      </c>
      <c r="I449">
        <v>21</v>
      </c>
      <c r="J449" t="s">
        <v>77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 t="s">
        <v>23</v>
      </c>
      <c r="R449">
        <v>0</v>
      </c>
    </row>
    <row r="450" spans="1:18">
      <c r="A450" s="4">
        <v>216876000000000</v>
      </c>
      <c r="B450" t="s">
        <v>18</v>
      </c>
      <c r="C450">
        <v>22</v>
      </c>
      <c r="D450" t="s">
        <v>37</v>
      </c>
      <c r="E450" t="s">
        <v>32</v>
      </c>
      <c r="F450" s="1">
        <v>42468</v>
      </c>
      <c r="G450" s="1">
        <v>42496</v>
      </c>
      <c r="H450" t="s">
        <v>21</v>
      </c>
      <c r="I450">
        <v>28</v>
      </c>
      <c r="J450" t="s">
        <v>77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26</v>
      </c>
      <c r="R450">
        <v>1</v>
      </c>
    </row>
    <row r="451" spans="1:18">
      <c r="A451" s="4">
        <v>216876000000000</v>
      </c>
      <c r="B451" t="s">
        <v>18</v>
      </c>
      <c r="C451">
        <v>22</v>
      </c>
      <c r="D451" t="s">
        <v>37</v>
      </c>
      <c r="E451" t="s">
        <v>32</v>
      </c>
      <c r="F451" s="1">
        <v>42468</v>
      </c>
      <c r="G451" s="1">
        <v>42503</v>
      </c>
      <c r="H451" t="s">
        <v>21</v>
      </c>
      <c r="I451">
        <v>35</v>
      </c>
      <c r="J451" t="s">
        <v>22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26</v>
      </c>
      <c r="R451">
        <v>1</v>
      </c>
    </row>
    <row r="452" spans="1:18">
      <c r="A452" s="4">
        <v>74632700000000</v>
      </c>
      <c r="B452" t="s">
        <v>28</v>
      </c>
      <c r="C452">
        <v>22</v>
      </c>
      <c r="D452" t="s">
        <v>37</v>
      </c>
      <c r="E452" t="s">
        <v>43</v>
      </c>
      <c r="F452" s="1">
        <v>42468</v>
      </c>
      <c r="G452" s="1">
        <v>42503</v>
      </c>
      <c r="H452" t="s">
        <v>21</v>
      </c>
      <c r="I452">
        <v>35</v>
      </c>
      <c r="J452" t="s">
        <v>22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26</v>
      </c>
      <c r="R452">
        <v>1</v>
      </c>
    </row>
    <row r="453" spans="1:18">
      <c r="A453" s="4">
        <v>44542900000000</v>
      </c>
      <c r="B453" t="s">
        <v>18</v>
      </c>
      <c r="C453">
        <v>0</v>
      </c>
      <c r="D453" t="s">
        <v>31</v>
      </c>
      <c r="E453" t="s">
        <v>56</v>
      </c>
      <c r="F453" s="1">
        <v>42468</v>
      </c>
      <c r="G453" s="1">
        <v>42500</v>
      </c>
      <c r="H453" t="s">
        <v>41</v>
      </c>
      <c r="I453">
        <v>32</v>
      </c>
      <c r="J453" t="s">
        <v>22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 t="s">
        <v>23</v>
      </c>
      <c r="R453">
        <v>0</v>
      </c>
    </row>
    <row r="454" spans="1:18">
      <c r="A454" s="4">
        <v>47229400000000</v>
      </c>
      <c r="B454" t="s">
        <v>18</v>
      </c>
      <c r="C454">
        <v>28</v>
      </c>
      <c r="D454" t="s">
        <v>37</v>
      </c>
      <c r="E454" t="s">
        <v>32</v>
      </c>
      <c r="F454" s="1">
        <v>42468</v>
      </c>
      <c r="G454" s="1">
        <v>42501</v>
      </c>
      <c r="H454" t="s">
        <v>25</v>
      </c>
      <c r="I454">
        <v>33</v>
      </c>
      <c r="J454" t="s">
        <v>22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 t="s">
        <v>23</v>
      </c>
      <c r="R454">
        <v>0</v>
      </c>
    </row>
    <row r="455" spans="1:18">
      <c r="A455" s="4">
        <v>4224170000000</v>
      </c>
      <c r="B455" t="s">
        <v>28</v>
      </c>
      <c r="C455">
        <v>42</v>
      </c>
      <c r="D455" t="s">
        <v>27</v>
      </c>
      <c r="E455" t="s">
        <v>65</v>
      </c>
      <c r="F455" s="1">
        <v>42468</v>
      </c>
      <c r="G455" s="1">
        <v>42489</v>
      </c>
      <c r="H455" t="s">
        <v>21</v>
      </c>
      <c r="I455">
        <v>21</v>
      </c>
      <c r="J455" t="s">
        <v>77</v>
      </c>
      <c r="K455">
        <v>0</v>
      </c>
      <c r="L455">
        <v>1</v>
      </c>
      <c r="M455">
        <v>1</v>
      </c>
      <c r="N455">
        <v>0</v>
      </c>
      <c r="O455">
        <v>0</v>
      </c>
      <c r="P455">
        <v>1</v>
      </c>
      <c r="Q455" t="s">
        <v>23</v>
      </c>
      <c r="R455">
        <v>0</v>
      </c>
    </row>
    <row r="456" spans="1:18">
      <c r="A456" s="4">
        <v>9624610000000</v>
      </c>
      <c r="B456" t="s">
        <v>28</v>
      </c>
      <c r="C456">
        <v>4</v>
      </c>
      <c r="D456" t="s">
        <v>31</v>
      </c>
      <c r="E456" t="s">
        <v>65</v>
      </c>
      <c r="F456" s="1">
        <v>42468</v>
      </c>
      <c r="G456" s="1">
        <v>42495</v>
      </c>
      <c r="H456" t="s">
        <v>33</v>
      </c>
      <c r="I456">
        <v>27</v>
      </c>
      <c r="J456" t="s">
        <v>77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 t="s">
        <v>26</v>
      </c>
      <c r="R456">
        <v>1</v>
      </c>
    </row>
    <row r="457" spans="1:18">
      <c r="A457" s="4">
        <v>121323000000000</v>
      </c>
      <c r="B457" t="s">
        <v>28</v>
      </c>
      <c r="C457">
        <v>0</v>
      </c>
      <c r="D457" t="s">
        <v>31</v>
      </c>
      <c r="E457" t="s">
        <v>87</v>
      </c>
      <c r="F457" s="1">
        <v>42468</v>
      </c>
      <c r="G457" s="1">
        <v>42489</v>
      </c>
      <c r="H457" t="s">
        <v>21</v>
      </c>
      <c r="I457">
        <v>21</v>
      </c>
      <c r="J457" t="s">
        <v>77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 t="s">
        <v>26</v>
      </c>
      <c r="R457">
        <v>1</v>
      </c>
    </row>
    <row r="458" spans="1:18">
      <c r="A458" s="4">
        <v>4641580000000</v>
      </c>
      <c r="B458" t="s">
        <v>18</v>
      </c>
      <c r="C458">
        <v>78</v>
      </c>
      <c r="D458" t="s">
        <v>19</v>
      </c>
      <c r="E458" t="s">
        <v>46</v>
      </c>
      <c r="F458" s="1">
        <v>42468</v>
      </c>
      <c r="G458" s="1">
        <v>42489</v>
      </c>
      <c r="H458" t="s">
        <v>21</v>
      </c>
      <c r="I458">
        <v>21</v>
      </c>
      <c r="J458" t="s">
        <v>77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1</v>
      </c>
      <c r="Q458" t="s">
        <v>23</v>
      </c>
      <c r="R458">
        <v>0</v>
      </c>
    </row>
    <row r="459" spans="1:18">
      <c r="A459" s="4">
        <v>277674000000000</v>
      </c>
      <c r="B459" t="s">
        <v>18</v>
      </c>
      <c r="C459">
        <v>11</v>
      </c>
      <c r="D459" t="s">
        <v>31</v>
      </c>
      <c r="E459" t="s">
        <v>72</v>
      </c>
      <c r="F459" s="1">
        <v>42468</v>
      </c>
      <c r="G459" s="1">
        <v>42500</v>
      </c>
      <c r="H459" t="s">
        <v>41</v>
      </c>
      <c r="I459">
        <v>32</v>
      </c>
      <c r="J459" t="s">
        <v>22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 t="s">
        <v>26</v>
      </c>
      <c r="R459">
        <v>1</v>
      </c>
    </row>
    <row r="460" spans="1:18">
      <c r="A460" s="4">
        <v>53171500000000</v>
      </c>
      <c r="B460" t="s">
        <v>28</v>
      </c>
      <c r="C460">
        <v>75</v>
      </c>
      <c r="D460" t="s">
        <v>19</v>
      </c>
      <c r="E460" t="s">
        <v>29</v>
      </c>
      <c r="F460" s="1">
        <v>42468</v>
      </c>
      <c r="G460" s="1">
        <v>42493</v>
      </c>
      <c r="H460" t="s">
        <v>41</v>
      </c>
      <c r="I460">
        <v>25</v>
      </c>
      <c r="J460" t="s">
        <v>77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1</v>
      </c>
      <c r="Q460" t="s">
        <v>26</v>
      </c>
      <c r="R460">
        <v>1</v>
      </c>
    </row>
    <row r="461" spans="1:18">
      <c r="A461" s="4">
        <v>67864000000000</v>
      </c>
      <c r="B461" t="s">
        <v>28</v>
      </c>
      <c r="C461">
        <v>75</v>
      </c>
      <c r="D461" t="s">
        <v>19</v>
      </c>
      <c r="E461" t="s">
        <v>39</v>
      </c>
      <c r="F461" s="1">
        <v>42468</v>
      </c>
      <c r="G461" s="1">
        <v>42506</v>
      </c>
      <c r="H461" t="s">
        <v>30</v>
      </c>
      <c r="I461">
        <v>38</v>
      </c>
      <c r="J461" t="s">
        <v>22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23</v>
      </c>
      <c r="R461">
        <v>0</v>
      </c>
    </row>
    <row r="462" spans="1:18">
      <c r="A462" s="4">
        <v>83684000000000</v>
      </c>
      <c r="B462" t="s">
        <v>18</v>
      </c>
      <c r="C462">
        <v>6</v>
      </c>
      <c r="D462" t="s">
        <v>31</v>
      </c>
      <c r="E462" t="s">
        <v>57</v>
      </c>
      <c r="F462" s="1">
        <v>42468</v>
      </c>
      <c r="G462" s="1">
        <v>42496</v>
      </c>
      <c r="H462" t="s">
        <v>21</v>
      </c>
      <c r="I462">
        <v>28</v>
      </c>
      <c r="J462" t="s">
        <v>77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 t="s">
        <v>26</v>
      </c>
      <c r="R462">
        <v>1</v>
      </c>
    </row>
    <row r="463" spans="1:18">
      <c r="A463" s="4">
        <v>966850000000</v>
      </c>
      <c r="B463" t="s">
        <v>18</v>
      </c>
      <c r="C463">
        <v>16</v>
      </c>
      <c r="D463" t="s">
        <v>60</v>
      </c>
      <c r="E463" t="s">
        <v>45</v>
      </c>
      <c r="F463" s="1">
        <v>42468</v>
      </c>
      <c r="G463" s="1">
        <v>42489</v>
      </c>
      <c r="H463" t="s">
        <v>21</v>
      </c>
      <c r="I463">
        <v>21</v>
      </c>
      <c r="J463" t="s">
        <v>77</v>
      </c>
      <c r="K463">
        <v>1</v>
      </c>
      <c r="L463">
        <v>0</v>
      </c>
      <c r="M463">
        <v>0</v>
      </c>
      <c r="N463">
        <v>1</v>
      </c>
      <c r="O463">
        <v>0</v>
      </c>
      <c r="P463">
        <v>1</v>
      </c>
      <c r="Q463" t="s">
        <v>26</v>
      </c>
      <c r="R463">
        <v>1</v>
      </c>
    </row>
    <row r="464" spans="1:18">
      <c r="A464" s="4">
        <v>966850000000</v>
      </c>
      <c r="B464" t="s">
        <v>18</v>
      </c>
      <c r="C464">
        <v>16</v>
      </c>
      <c r="D464" t="s">
        <v>60</v>
      </c>
      <c r="E464" t="s">
        <v>45</v>
      </c>
      <c r="F464" s="1">
        <v>42468</v>
      </c>
      <c r="G464" s="1">
        <v>42493</v>
      </c>
      <c r="H464" t="s">
        <v>41</v>
      </c>
      <c r="I464">
        <v>25</v>
      </c>
      <c r="J464" t="s">
        <v>77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1</v>
      </c>
      <c r="Q464" t="s">
        <v>26</v>
      </c>
      <c r="R464">
        <v>1</v>
      </c>
    </row>
    <row r="465" spans="1:18">
      <c r="A465" s="4">
        <v>671369000000000</v>
      </c>
      <c r="B465" t="s">
        <v>18</v>
      </c>
      <c r="C465">
        <v>28</v>
      </c>
      <c r="D465" t="s">
        <v>37</v>
      </c>
      <c r="E465" t="s">
        <v>48</v>
      </c>
      <c r="F465" s="1">
        <v>42468</v>
      </c>
      <c r="G465" s="1">
        <v>42502</v>
      </c>
      <c r="H465" t="s">
        <v>33</v>
      </c>
      <c r="I465">
        <v>34</v>
      </c>
      <c r="J465" t="s">
        <v>22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 t="s">
        <v>26</v>
      </c>
      <c r="R465">
        <v>1</v>
      </c>
    </row>
    <row r="466" spans="1:18">
      <c r="A466" s="4">
        <v>5931960000000</v>
      </c>
      <c r="B466" t="s">
        <v>28</v>
      </c>
      <c r="C466">
        <v>19</v>
      </c>
      <c r="D466" t="s">
        <v>37</v>
      </c>
      <c r="E466" t="s">
        <v>46</v>
      </c>
      <c r="F466" s="1">
        <v>42468</v>
      </c>
      <c r="G466" s="1">
        <v>42489</v>
      </c>
      <c r="H466" t="s">
        <v>21</v>
      </c>
      <c r="I466">
        <v>21</v>
      </c>
      <c r="J466" t="s">
        <v>77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1</v>
      </c>
      <c r="Q466" t="s">
        <v>26</v>
      </c>
      <c r="R466">
        <v>1</v>
      </c>
    </row>
    <row r="467" spans="1:18">
      <c r="A467" s="4">
        <v>56982764159</v>
      </c>
      <c r="B467" t="s">
        <v>28</v>
      </c>
      <c r="C467">
        <v>38</v>
      </c>
      <c r="D467" t="s">
        <v>27</v>
      </c>
      <c r="E467" t="s">
        <v>71</v>
      </c>
      <c r="F467" s="1">
        <v>42468</v>
      </c>
      <c r="G467" s="1">
        <v>42496</v>
      </c>
      <c r="H467" t="s">
        <v>21</v>
      </c>
      <c r="I467">
        <v>28</v>
      </c>
      <c r="J467" t="s">
        <v>77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 t="s">
        <v>23</v>
      </c>
      <c r="R467">
        <v>0</v>
      </c>
    </row>
    <row r="468" spans="1:18">
      <c r="A468" s="4">
        <v>59333852786</v>
      </c>
      <c r="B468" t="s">
        <v>18</v>
      </c>
      <c r="C468">
        <v>4</v>
      </c>
      <c r="D468" t="s">
        <v>31</v>
      </c>
      <c r="E468" t="s">
        <v>32</v>
      </c>
      <c r="F468" s="1">
        <v>42468</v>
      </c>
      <c r="G468" s="1">
        <v>42515</v>
      </c>
      <c r="H468" t="s">
        <v>25</v>
      </c>
      <c r="I468">
        <v>47</v>
      </c>
      <c r="J468" t="s">
        <v>22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 t="s">
        <v>26</v>
      </c>
      <c r="R468">
        <v>1</v>
      </c>
    </row>
    <row r="469" spans="1:18">
      <c r="A469" s="4">
        <v>67518200000000</v>
      </c>
      <c r="B469" t="s">
        <v>18</v>
      </c>
      <c r="C469">
        <v>20</v>
      </c>
      <c r="D469" t="s">
        <v>37</v>
      </c>
      <c r="E469" t="s">
        <v>32</v>
      </c>
      <c r="F469" s="1">
        <v>42468</v>
      </c>
      <c r="G469" s="1">
        <v>42496</v>
      </c>
      <c r="H469" t="s">
        <v>21</v>
      </c>
      <c r="I469">
        <v>28</v>
      </c>
      <c r="J469" t="s">
        <v>77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 t="s">
        <v>26</v>
      </c>
      <c r="R469">
        <v>1</v>
      </c>
    </row>
    <row r="470" spans="1:18">
      <c r="A470" s="4">
        <v>9353770000000</v>
      </c>
      <c r="B470" t="s">
        <v>18</v>
      </c>
      <c r="C470">
        <v>27</v>
      </c>
      <c r="D470" t="s">
        <v>37</v>
      </c>
      <c r="E470" t="s">
        <v>83</v>
      </c>
      <c r="F470" s="1">
        <v>42468</v>
      </c>
      <c r="G470" s="1">
        <v>42492</v>
      </c>
      <c r="H470" t="s">
        <v>30</v>
      </c>
      <c r="I470">
        <v>24</v>
      </c>
      <c r="J470" t="s">
        <v>77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 t="s">
        <v>23</v>
      </c>
      <c r="R470">
        <v>0</v>
      </c>
    </row>
    <row r="471" spans="1:18">
      <c r="A471" s="4">
        <v>751216000000</v>
      </c>
      <c r="B471" t="s">
        <v>28</v>
      </c>
      <c r="C471">
        <v>11</v>
      </c>
      <c r="D471" t="s">
        <v>31</v>
      </c>
      <c r="E471" t="s">
        <v>56</v>
      </c>
      <c r="F471" s="1">
        <v>42468</v>
      </c>
      <c r="G471" s="1">
        <v>42495</v>
      </c>
      <c r="H471" t="s">
        <v>33</v>
      </c>
      <c r="I471">
        <v>27</v>
      </c>
      <c r="J471" t="s">
        <v>77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1</v>
      </c>
      <c r="Q471" t="s">
        <v>23</v>
      </c>
      <c r="R471">
        <v>0</v>
      </c>
    </row>
    <row r="472" spans="1:18">
      <c r="A472" s="4">
        <v>163152000000000</v>
      </c>
      <c r="B472" t="s">
        <v>18</v>
      </c>
      <c r="C472">
        <v>21</v>
      </c>
      <c r="D472" t="s">
        <v>37</v>
      </c>
      <c r="E472" t="s">
        <v>39</v>
      </c>
      <c r="F472" s="1">
        <v>42468</v>
      </c>
      <c r="G472" s="1">
        <v>42521</v>
      </c>
      <c r="H472" t="s">
        <v>41</v>
      </c>
      <c r="I472">
        <v>53</v>
      </c>
      <c r="J472" t="s">
        <v>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 t="s">
        <v>23</v>
      </c>
      <c r="R472">
        <v>0</v>
      </c>
    </row>
    <row r="473" spans="1:18">
      <c r="A473" s="4">
        <v>47998200000000</v>
      </c>
      <c r="B473" t="s">
        <v>28</v>
      </c>
      <c r="C473">
        <v>26</v>
      </c>
      <c r="D473" t="s">
        <v>37</v>
      </c>
      <c r="E473" t="s">
        <v>73</v>
      </c>
      <c r="F473" s="1">
        <v>42468</v>
      </c>
      <c r="G473" s="1">
        <v>42503</v>
      </c>
      <c r="H473" t="s">
        <v>21</v>
      </c>
      <c r="I473">
        <v>35</v>
      </c>
      <c r="J473" t="s">
        <v>22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26</v>
      </c>
      <c r="R473">
        <v>1</v>
      </c>
    </row>
    <row r="474" spans="1:18">
      <c r="A474" s="4">
        <v>76138900000000</v>
      </c>
      <c r="B474" t="s">
        <v>18</v>
      </c>
      <c r="C474">
        <v>9</v>
      </c>
      <c r="D474" t="s">
        <v>31</v>
      </c>
      <c r="E474" t="s">
        <v>56</v>
      </c>
      <c r="F474" s="1">
        <v>42468</v>
      </c>
      <c r="G474" s="1">
        <v>42495</v>
      </c>
      <c r="H474" t="s">
        <v>33</v>
      </c>
      <c r="I474">
        <v>27</v>
      </c>
      <c r="J474" t="s">
        <v>77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1</v>
      </c>
      <c r="Q474" t="s">
        <v>23</v>
      </c>
      <c r="R474">
        <v>0</v>
      </c>
    </row>
    <row r="475" spans="1:18">
      <c r="A475" s="4">
        <v>37151900000000</v>
      </c>
      <c r="B475" t="s">
        <v>18</v>
      </c>
      <c r="C475">
        <v>18</v>
      </c>
      <c r="D475" t="s">
        <v>37</v>
      </c>
      <c r="E475" t="s">
        <v>32</v>
      </c>
      <c r="F475" s="1">
        <v>42468</v>
      </c>
      <c r="G475" s="1">
        <v>42496</v>
      </c>
      <c r="H475" t="s">
        <v>21</v>
      </c>
      <c r="I475">
        <v>28</v>
      </c>
      <c r="J475" t="s">
        <v>77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 t="s">
        <v>23</v>
      </c>
      <c r="R475">
        <v>0</v>
      </c>
    </row>
    <row r="476" spans="1:18">
      <c r="A476" s="4">
        <v>8229340000000</v>
      </c>
      <c r="B476" t="s">
        <v>18</v>
      </c>
      <c r="C476">
        <v>34</v>
      </c>
      <c r="D476" t="s">
        <v>37</v>
      </c>
      <c r="E476" t="s">
        <v>76</v>
      </c>
      <c r="F476" s="1">
        <v>42468</v>
      </c>
      <c r="G476" s="1">
        <v>42496</v>
      </c>
      <c r="H476" t="s">
        <v>21</v>
      </c>
      <c r="I476">
        <v>28</v>
      </c>
      <c r="J476" t="s">
        <v>77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 t="s">
        <v>23</v>
      </c>
      <c r="R476">
        <v>0</v>
      </c>
    </row>
    <row r="477" spans="1:18">
      <c r="A477" s="4">
        <v>3442390000000</v>
      </c>
      <c r="B477" t="s">
        <v>18</v>
      </c>
      <c r="C477">
        <v>48</v>
      </c>
      <c r="D477" t="s">
        <v>27</v>
      </c>
      <c r="E477" t="s">
        <v>62</v>
      </c>
      <c r="F477" s="1">
        <v>42468</v>
      </c>
      <c r="G477" s="1">
        <v>42502</v>
      </c>
      <c r="H477" t="s">
        <v>33</v>
      </c>
      <c r="I477">
        <v>34</v>
      </c>
      <c r="J477" t="s">
        <v>22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 t="s">
        <v>23</v>
      </c>
      <c r="R477">
        <v>0</v>
      </c>
    </row>
    <row r="478" spans="1:18">
      <c r="A478" s="4">
        <v>53398400000000</v>
      </c>
      <c r="B478" t="s">
        <v>18</v>
      </c>
      <c r="C478">
        <v>50</v>
      </c>
      <c r="D478" t="s">
        <v>27</v>
      </c>
      <c r="E478" t="s">
        <v>42</v>
      </c>
      <c r="F478" s="1">
        <v>42468</v>
      </c>
      <c r="G478" s="1">
        <v>42502</v>
      </c>
      <c r="H478" t="s">
        <v>33</v>
      </c>
      <c r="I478">
        <v>34</v>
      </c>
      <c r="J478" t="s">
        <v>22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 t="s">
        <v>23</v>
      </c>
      <c r="R478">
        <v>0</v>
      </c>
    </row>
    <row r="479" spans="1:18">
      <c r="A479" s="4">
        <v>32694700000000</v>
      </c>
      <c r="B479" t="s">
        <v>18</v>
      </c>
      <c r="C479">
        <v>36</v>
      </c>
      <c r="D479" t="s">
        <v>27</v>
      </c>
      <c r="E479" t="s">
        <v>57</v>
      </c>
      <c r="F479" s="1">
        <v>42468</v>
      </c>
      <c r="G479" s="1">
        <v>42499</v>
      </c>
      <c r="H479" t="s">
        <v>30</v>
      </c>
      <c r="I479">
        <v>31</v>
      </c>
      <c r="J479" t="s">
        <v>22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 t="s">
        <v>23</v>
      </c>
      <c r="R479">
        <v>0</v>
      </c>
    </row>
    <row r="480" spans="1:18">
      <c r="A480" s="4">
        <v>59983300000000</v>
      </c>
      <c r="B480" t="s">
        <v>18</v>
      </c>
      <c r="C480">
        <v>56</v>
      </c>
      <c r="D480" t="s">
        <v>35</v>
      </c>
      <c r="E480" t="s">
        <v>72</v>
      </c>
      <c r="F480" s="1">
        <v>42468</v>
      </c>
      <c r="G480" s="1">
        <v>42493</v>
      </c>
      <c r="H480" t="s">
        <v>41</v>
      </c>
      <c r="I480">
        <v>25</v>
      </c>
      <c r="J480" t="s">
        <v>77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 t="s">
        <v>26</v>
      </c>
      <c r="R480">
        <v>1</v>
      </c>
    </row>
    <row r="481" spans="1:18">
      <c r="A481" s="4">
        <v>8497570000000</v>
      </c>
      <c r="B481" t="s">
        <v>28</v>
      </c>
      <c r="C481">
        <v>1</v>
      </c>
      <c r="D481" t="s">
        <v>31</v>
      </c>
      <c r="E481" t="s">
        <v>72</v>
      </c>
      <c r="F481" s="1">
        <v>42468</v>
      </c>
      <c r="G481" s="1">
        <v>42502</v>
      </c>
      <c r="H481" t="s">
        <v>33</v>
      </c>
      <c r="I481">
        <v>34</v>
      </c>
      <c r="J481" t="s">
        <v>22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 t="s">
        <v>26</v>
      </c>
      <c r="R481">
        <v>1</v>
      </c>
    </row>
    <row r="482" spans="1:18">
      <c r="A482" s="4">
        <v>933485000000</v>
      </c>
      <c r="B482" t="s">
        <v>28</v>
      </c>
      <c r="C482">
        <v>19</v>
      </c>
      <c r="D482" t="s">
        <v>37</v>
      </c>
      <c r="E482" t="s">
        <v>20</v>
      </c>
      <c r="F482" s="1">
        <v>42471</v>
      </c>
      <c r="G482" s="1">
        <v>42489</v>
      </c>
      <c r="H482" t="s">
        <v>21</v>
      </c>
      <c r="I482">
        <v>18</v>
      </c>
      <c r="J482" t="s">
        <v>77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 t="s">
        <v>26</v>
      </c>
      <c r="R482">
        <v>1</v>
      </c>
    </row>
    <row r="483" spans="1:18">
      <c r="A483" s="4">
        <v>14781900000000</v>
      </c>
      <c r="B483" t="s">
        <v>18</v>
      </c>
      <c r="C483">
        <v>73</v>
      </c>
      <c r="D483" t="s">
        <v>19</v>
      </c>
      <c r="E483" t="s">
        <v>52</v>
      </c>
      <c r="F483" s="1">
        <v>42471</v>
      </c>
      <c r="G483" s="1">
        <v>42495</v>
      </c>
      <c r="H483" t="s">
        <v>33</v>
      </c>
      <c r="I483">
        <v>24</v>
      </c>
      <c r="J483" t="s">
        <v>77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 t="s">
        <v>26</v>
      </c>
      <c r="R483">
        <v>1</v>
      </c>
    </row>
    <row r="484" spans="1:18">
      <c r="A484" s="4">
        <v>892861000000000</v>
      </c>
      <c r="B484" t="s">
        <v>18</v>
      </c>
      <c r="C484">
        <v>13</v>
      </c>
      <c r="D484" t="s">
        <v>60</v>
      </c>
      <c r="E484" t="s">
        <v>20</v>
      </c>
      <c r="F484" s="1">
        <v>42471</v>
      </c>
      <c r="G484" s="1">
        <v>42495</v>
      </c>
      <c r="H484" t="s">
        <v>33</v>
      </c>
      <c r="I484">
        <v>24</v>
      </c>
      <c r="J484" t="s">
        <v>77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 t="s">
        <v>26</v>
      </c>
      <c r="R484">
        <v>1</v>
      </c>
    </row>
    <row r="485" spans="1:18">
      <c r="A485" s="4">
        <v>4164552617</v>
      </c>
      <c r="B485" t="s">
        <v>28</v>
      </c>
      <c r="C485">
        <v>17</v>
      </c>
      <c r="D485" t="s">
        <v>60</v>
      </c>
      <c r="E485" t="s">
        <v>68</v>
      </c>
      <c r="F485" s="1">
        <v>42471</v>
      </c>
      <c r="G485" s="1">
        <v>42499</v>
      </c>
      <c r="H485" t="s">
        <v>30</v>
      </c>
      <c r="I485">
        <v>28</v>
      </c>
      <c r="J485" t="s">
        <v>77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26</v>
      </c>
      <c r="R485">
        <v>1</v>
      </c>
    </row>
    <row r="486" spans="1:18">
      <c r="A486" s="4">
        <v>23794400000000</v>
      </c>
      <c r="B486" t="s">
        <v>18</v>
      </c>
      <c r="C486">
        <v>72</v>
      </c>
      <c r="D486" t="s">
        <v>19</v>
      </c>
      <c r="E486" t="s">
        <v>49</v>
      </c>
      <c r="F486" s="1">
        <v>42471</v>
      </c>
      <c r="G486" s="1">
        <v>42502</v>
      </c>
      <c r="H486" t="s">
        <v>33</v>
      </c>
      <c r="I486">
        <v>31</v>
      </c>
      <c r="J486" t="s">
        <v>22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1</v>
      </c>
      <c r="Q486" t="s">
        <v>23</v>
      </c>
      <c r="R486">
        <v>0</v>
      </c>
    </row>
    <row r="487" spans="1:18">
      <c r="A487" s="4">
        <v>18731500000000</v>
      </c>
      <c r="B487" t="s">
        <v>28</v>
      </c>
      <c r="C487">
        <v>16</v>
      </c>
      <c r="D487" t="s">
        <v>60</v>
      </c>
      <c r="E487" t="s">
        <v>68</v>
      </c>
      <c r="F487" s="1">
        <v>42471</v>
      </c>
      <c r="G487" s="1">
        <v>42499</v>
      </c>
      <c r="H487" t="s">
        <v>30</v>
      </c>
      <c r="I487">
        <v>28</v>
      </c>
      <c r="J487" t="s">
        <v>77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23</v>
      </c>
      <c r="R487">
        <v>0</v>
      </c>
    </row>
    <row r="488" spans="1:18">
      <c r="A488" s="4">
        <v>8144360000000</v>
      </c>
      <c r="B488" t="s">
        <v>28</v>
      </c>
      <c r="C488">
        <v>21</v>
      </c>
      <c r="D488" t="s">
        <v>37</v>
      </c>
      <c r="E488" t="s">
        <v>46</v>
      </c>
      <c r="F488" s="1">
        <v>42471</v>
      </c>
      <c r="G488" s="1">
        <v>42492</v>
      </c>
      <c r="H488" t="s">
        <v>30</v>
      </c>
      <c r="I488">
        <v>21</v>
      </c>
      <c r="J488" t="s">
        <v>77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23</v>
      </c>
      <c r="R488">
        <v>0</v>
      </c>
    </row>
    <row r="489" spans="1:18">
      <c r="A489" s="4">
        <v>51718600000000</v>
      </c>
      <c r="B489" t="s">
        <v>18</v>
      </c>
      <c r="C489">
        <v>41</v>
      </c>
      <c r="D489" t="s">
        <v>27</v>
      </c>
      <c r="E489" t="s">
        <v>53</v>
      </c>
      <c r="F489" s="1">
        <v>42471</v>
      </c>
      <c r="G489" s="1">
        <v>42501</v>
      </c>
      <c r="H489" t="s">
        <v>25</v>
      </c>
      <c r="I489">
        <v>30</v>
      </c>
      <c r="J489" t="s">
        <v>77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23</v>
      </c>
      <c r="R489">
        <v>0</v>
      </c>
    </row>
    <row r="490" spans="1:18">
      <c r="A490" s="4">
        <v>3648360000000</v>
      </c>
      <c r="B490" t="s">
        <v>28</v>
      </c>
      <c r="C490">
        <v>19</v>
      </c>
      <c r="D490" t="s">
        <v>37</v>
      </c>
      <c r="E490" t="s">
        <v>53</v>
      </c>
      <c r="F490" s="1">
        <v>42471</v>
      </c>
      <c r="G490" s="1">
        <v>42502</v>
      </c>
      <c r="H490" t="s">
        <v>33</v>
      </c>
      <c r="I490">
        <v>31</v>
      </c>
      <c r="J490" t="s">
        <v>22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23</v>
      </c>
      <c r="R490">
        <v>0</v>
      </c>
    </row>
    <row r="491" spans="1:18">
      <c r="A491" s="4">
        <v>598422000000000</v>
      </c>
      <c r="B491" t="s">
        <v>18</v>
      </c>
      <c r="C491">
        <v>9</v>
      </c>
      <c r="D491" t="s">
        <v>31</v>
      </c>
      <c r="E491" t="s">
        <v>40</v>
      </c>
      <c r="F491" s="1">
        <v>42471</v>
      </c>
      <c r="G491" s="1">
        <v>42489</v>
      </c>
      <c r="H491" t="s">
        <v>21</v>
      </c>
      <c r="I491">
        <v>18</v>
      </c>
      <c r="J491" t="s">
        <v>77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1</v>
      </c>
      <c r="Q491" t="s">
        <v>23</v>
      </c>
      <c r="R491">
        <v>0</v>
      </c>
    </row>
    <row r="492" spans="1:18">
      <c r="A492" s="4">
        <v>22734800000000</v>
      </c>
      <c r="B492" t="s">
        <v>18</v>
      </c>
      <c r="C492">
        <v>23</v>
      </c>
      <c r="D492" t="s">
        <v>37</v>
      </c>
      <c r="E492" t="s">
        <v>72</v>
      </c>
      <c r="F492" s="1">
        <v>42471</v>
      </c>
      <c r="G492" s="1">
        <v>42492</v>
      </c>
      <c r="H492" t="s">
        <v>30</v>
      </c>
      <c r="I492">
        <v>21</v>
      </c>
      <c r="J492" t="s">
        <v>77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 t="s">
        <v>26</v>
      </c>
      <c r="R492">
        <v>1</v>
      </c>
    </row>
    <row r="493" spans="1:18">
      <c r="A493" s="4">
        <v>484598000000</v>
      </c>
      <c r="B493" t="s">
        <v>18</v>
      </c>
      <c r="C493">
        <v>58</v>
      </c>
      <c r="D493" t="s">
        <v>35</v>
      </c>
      <c r="E493" t="s">
        <v>52</v>
      </c>
      <c r="F493" s="1">
        <v>42471</v>
      </c>
      <c r="G493" s="1">
        <v>42502</v>
      </c>
      <c r="H493" t="s">
        <v>33</v>
      </c>
      <c r="I493">
        <v>31</v>
      </c>
      <c r="J493" t="s">
        <v>22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 t="s">
        <v>23</v>
      </c>
      <c r="R493">
        <v>0</v>
      </c>
    </row>
    <row r="494" spans="1:18">
      <c r="A494" s="4">
        <v>639531000000</v>
      </c>
      <c r="B494" t="s">
        <v>28</v>
      </c>
      <c r="C494">
        <v>60</v>
      </c>
      <c r="D494" t="s">
        <v>35</v>
      </c>
      <c r="E494" t="s">
        <v>42</v>
      </c>
      <c r="F494" s="1">
        <v>42471</v>
      </c>
      <c r="G494" s="1">
        <v>42503</v>
      </c>
      <c r="H494" t="s">
        <v>21</v>
      </c>
      <c r="I494">
        <v>32</v>
      </c>
      <c r="J494" t="s">
        <v>22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26</v>
      </c>
      <c r="R494">
        <v>1</v>
      </c>
    </row>
    <row r="495" spans="1:18">
      <c r="A495" s="4">
        <v>586458000000</v>
      </c>
      <c r="B495" t="s">
        <v>18</v>
      </c>
      <c r="C495">
        <v>62</v>
      </c>
      <c r="D495" t="s">
        <v>35</v>
      </c>
      <c r="E495" t="s">
        <v>72</v>
      </c>
      <c r="F495" s="1">
        <v>42471</v>
      </c>
      <c r="G495" s="1">
        <v>42493</v>
      </c>
      <c r="H495" t="s">
        <v>41</v>
      </c>
      <c r="I495">
        <v>22</v>
      </c>
      <c r="J495" t="s">
        <v>77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 t="s">
        <v>26</v>
      </c>
      <c r="R495">
        <v>1</v>
      </c>
    </row>
    <row r="496" spans="1:18">
      <c r="A496" s="4">
        <v>97413800000000</v>
      </c>
      <c r="B496" t="s">
        <v>18</v>
      </c>
      <c r="C496">
        <v>4</v>
      </c>
      <c r="D496" t="s">
        <v>31</v>
      </c>
      <c r="E496" t="s">
        <v>29</v>
      </c>
      <c r="F496" s="1">
        <v>42471</v>
      </c>
      <c r="G496" s="1">
        <v>42494</v>
      </c>
      <c r="H496" t="s">
        <v>25</v>
      </c>
      <c r="I496">
        <v>23</v>
      </c>
      <c r="J496" t="s">
        <v>77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1</v>
      </c>
      <c r="Q496" t="s">
        <v>23</v>
      </c>
      <c r="R496">
        <v>0</v>
      </c>
    </row>
    <row r="497" spans="1:18">
      <c r="A497" s="4">
        <v>18968900000000</v>
      </c>
      <c r="B497" t="s">
        <v>18</v>
      </c>
      <c r="C497">
        <v>23</v>
      </c>
      <c r="D497" t="s">
        <v>37</v>
      </c>
      <c r="E497" t="s">
        <v>84</v>
      </c>
      <c r="F497" s="1">
        <v>42471</v>
      </c>
      <c r="G497" s="1">
        <v>42492</v>
      </c>
      <c r="H497" t="s">
        <v>30</v>
      </c>
      <c r="I497">
        <v>21</v>
      </c>
      <c r="J497" t="s">
        <v>77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 t="s">
        <v>23</v>
      </c>
      <c r="R497">
        <v>0</v>
      </c>
    </row>
    <row r="498" spans="1:18">
      <c r="A498" s="4">
        <v>3236880000000</v>
      </c>
      <c r="B498" t="s">
        <v>18</v>
      </c>
      <c r="C498">
        <v>49</v>
      </c>
      <c r="D498" t="s">
        <v>27</v>
      </c>
      <c r="E498" t="s">
        <v>72</v>
      </c>
      <c r="F498" s="1">
        <v>42471</v>
      </c>
      <c r="G498" s="1">
        <v>42495</v>
      </c>
      <c r="H498" t="s">
        <v>33</v>
      </c>
      <c r="I498">
        <v>24</v>
      </c>
      <c r="J498" t="s">
        <v>77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 t="s">
        <v>26</v>
      </c>
      <c r="R498">
        <v>1</v>
      </c>
    </row>
    <row r="499" spans="1:18">
      <c r="A499" s="4">
        <v>6826600000000</v>
      </c>
      <c r="B499" t="s">
        <v>18</v>
      </c>
      <c r="C499">
        <v>50</v>
      </c>
      <c r="D499" t="s">
        <v>27</v>
      </c>
      <c r="E499" t="s">
        <v>72</v>
      </c>
      <c r="F499" s="1">
        <v>42471</v>
      </c>
      <c r="G499" s="1">
        <v>42499</v>
      </c>
      <c r="H499" t="s">
        <v>30</v>
      </c>
      <c r="I499">
        <v>28</v>
      </c>
      <c r="J499" t="s">
        <v>77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26</v>
      </c>
      <c r="R499">
        <v>1</v>
      </c>
    </row>
    <row r="500" spans="1:18">
      <c r="A500" s="4">
        <v>851789000000</v>
      </c>
      <c r="B500" t="s">
        <v>28</v>
      </c>
      <c r="C500">
        <v>26</v>
      </c>
      <c r="D500" t="s">
        <v>37</v>
      </c>
      <c r="E500" t="s">
        <v>53</v>
      </c>
      <c r="F500" s="1">
        <v>42471</v>
      </c>
      <c r="G500" s="1">
        <v>42509</v>
      </c>
      <c r="H500" t="s">
        <v>33</v>
      </c>
      <c r="I500">
        <v>38</v>
      </c>
      <c r="J500" t="s">
        <v>22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23</v>
      </c>
      <c r="R500">
        <v>0</v>
      </c>
    </row>
    <row r="501" spans="1:18">
      <c r="A501" s="4">
        <v>457567000000</v>
      </c>
      <c r="B501" t="s">
        <v>18</v>
      </c>
      <c r="C501">
        <v>0</v>
      </c>
      <c r="D501" t="s">
        <v>31</v>
      </c>
      <c r="E501" t="s">
        <v>74</v>
      </c>
      <c r="F501" s="1">
        <v>42471</v>
      </c>
      <c r="G501" s="1">
        <v>42501</v>
      </c>
      <c r="H501" t="s">
        <v>25</v>
      </c>
      <c r="I501">
        <v>30</v>
      </c>
      <c r="J501" t="s">
        <v>77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 t="s">
        <v>23</v>
      </c>
      <c r="R501">
        <v>0</v>
      </c>
    </row>
    <row r="502" spans="1:18">
      <c r="A502" s="4">
        <v>832218000000000</v>
      </c>
      <c r="B502" t="s">
        <v>28</v>
      </c>
      <c r="C502">
        <v>74</v>
      </c>
      <c r="D502" t="s">
        <v>19</v>
      </c>
      <c r="E502" t="s">
        <v>42</v>
      </c>
      <c r="F502" s="1">
        <v>42471</v>
      </c>
      <c r="G502" s="1">
        <v>42501</v>
      </c>
      <c r="H502" t="s">
        <v>25</v>
      </c>
      <c r="I502">
        <v>30</v>
      </c>
      <c r="J502" t="s">
        <v>77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 t="s">
        <v>23</v>
      </c>
      <c r="R502">
        <v>0</v>
      </c>
    </row>
    <row r="503" spans="1:18">
      <c r="A503" s="4">
        <v>64934400000000</v>
      </c>
      <c r="B503" t="s">
        <v>18</v>
      </c>
      <c r="C503">
        <v>44</v>
      </c>
      <c r="D503" t="s">
        <v>27</v>
      </c>
      <c r="E503" t="s">
        <v>54</v>
      </c>
      <c r="F503" s="1">
        <v>42471</v>
      </c>
      <c r="G503" s="1">
        <v>42507</v>
      </c>
      <c r="H503" t="s">
        <v>41</v>
      </c>
      <c r="I503">
        <v>36</v>
      </c>
      <c r="J503" t="s">
        <v>22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23</v>
      </c>
      <c r="R503">
        <v>0</v>
      </c>
    </row>
    <row r="504" spans="1:18">
      <c r="A504" s="4">
        <v>55916900000000</v>
      </c>
      <c r="B504" t="s">
        <v>28</v>
      </c>
      <c r="C504">
        <v>56</v>
      </c>
      <c r="D504" t="s">
        <v>35</v>
      </c>
      <c r="E504" t="s">
        <v>68</v>
      </c>
      <c r="F504" s="1">
        <v>42471</v>
      </c>
      <c r="G504" s="1">
        <v>42503</v>
      </c>
      <c r="H504" t="s">
        <v>21</v>
      </c>
      <c r="I504">
        <v>32</v>
      </c>
      <c r="J504" t="s">
        <v>22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 t="s">
        <v>23</v>
      </c>
      <c r="R504">
        <v>0</v>
      </c>
    </row>
    <row r="505" spans="1:18">
      <c r="A505" s="4">
        <v>2956850000000</v>
      </c>
      <c r="B505" t="s">
        <v>18</v>
      </c>
      <c r="C505">
        <v>70</v>
      </c>
      <c r="D505" t="s">
        <v>19</v>
      </c>
      <c r="E505" t="s">
        <v>36</v>
      </c>
      <c r="F505" s="1">
        <v>42471</v>
      </c>
      <c r="G505" s="1">
        <v>42492</v>
      </c>
      <c r="H505" t="s">
        <v>30</v>
      </c>
      <c r="I505">
        <v>21</v>
      </c>
      <c r="J505" t="s">
        <v>77</v>
      </c>
      <c r="K505">
        <v>0</v>
      </c>
      <c r="L505">
        <v>1</v>
      </c>
      <c r="M505">
        <v>1</v>
      </c>
      <c r="N505">
        <v>0</v>
      </c>
      <c r="O505">
        <v>0</v>
      </c>
      <c r="P505">
        <v>1</v>
      </c>
      <c r="Q505" t="s">
        <v>23</v>
      </c>
      <c r="R505">
        <v>0</v>
      </c>
    </row>
    <row r="506" spans="1:18">
      <c r="A506" s="4">
        <v>715665000000000</v>
      </c>
      <c r="B506" t="s">
        <v>18</v>
      </c>
      <c r="C506">
        <v>36</v>
      </c>
      <c r="D506" t="s">
        <v>27</v>
      </c>
      <c r="E506" t="s">
        <v>68</v>
      </c>
      <c r="F506" s="1">
        <v>42471</v>
      </c>
      <c r="G506" s="1">
        <v>42502</v>
      </c>
      <c r="H506" t="s">
        <v>33</v>
      </c>
      <c r="I506">
        <v>31</v>
      </c>
      <c r="J506" t="s">
        <v>22</v>
      </c>
      <c r="K506">
        <v>0</v>
      </c>
      <c r="L506">
        <v>1</v>
      </c>
      <c r="M506">
        <v>0</v>
      </c>
      <c r="N506">
        <v>1</v>
      </c>
      <c r="O506">
        <v>0</v>
      </c>
      <c r="P506">
        <v>1</v>
      </c>
      <c r="Q506" t="s">
        <v>26</v>
      </c>
      <c r="R506">
        <v>1</v>
      </c>
    </row>
    <row r="507" spans="1:18">
      <c r="A507" s="4">
        <v>593898000000</v>
      </c>
      <c r="B507" t="s">
        <v>18</v>
      </c>
      <c r="C507">
        <v>21</v>
      </c>
      <c r="D507" t="s">
        <v>37</v>
      </c>
      <c r="E507" t="s">
        <v>76</v>
      </c>
      <c r="F507" s="1">
        <v>42471</v>
      </c>
      <c r="G507" s="1">
        <v>42500</v>
      </c>
      <c r="H507" t="s">
        <v>41</v>
      </c>
      <c r="I507">
        <v>29</v>
      </c>
      <c r="J507" t="s">
        <v>77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1</v>
      </c>
      <c r="Q507" t="s">
        <v>23</v>
      </c>
      <c r="R507">
        <v>0</v>
      </c>
    </row>
    <row r="508" spans="1:18">
      <c r="A508" s="4">
        <v>25338600000000</v>
      </c>
      <c r="B508" t="s">
        <v>18</v>
      </c>
      <c r="C508">
        <v>37</v>
      </c>
      <c r="D508" t="s">
        <v>27</v>
      </c>
      <c r="E508" t="s">
        <v>45</v>
      </c>
      <c r="F508" s="1">
        <v>42471</v>
      </c>
      <c r="G508" s="1">
        <v>42493</v>
      </c>
      <c r="H508" t="s">
        <v>41</v>
      </c>
      <c r="I508">
        <v>22</v>
      </c>
      <c r="J508" t="s">
        <v>77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1</v>
      </c>
      <c r="Q508" t="s">
        <v>26</v>
      </c>
      <c r="R508">
        <v>1</v>
      </c>
    </row>
    <row r="509" spans="1:18">
      <c r="A509" s="4">
        <v>88668900000000</v>
      </c>
      <c r="B509" t="s">
        <v>28</v>
      </c>
      <c r="C509">
        <v>27</v>
      </c>
      <c r="D509" t="s">
        <v>37</v>
      </c>
      <c r="E509" t="s">
        <v>43</v>
      </c>
      <c r="F509" s="1">
        <v>42471</v>
      </c>
      <c r="G509" s="1">
        <v>42502</v>
      </c>
      <c r="H509" t="s">
        <v>33</v>
      </c>
      <c r="I509">
        <v>31</v>
      </c>
      <c r="J509" t="s">
        <v>22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 t="s">
        <v>23</v>
      </c>
      <c r="R509">
        <v>0</v>
      </c>
    </row>
    <row r="510" spans="1:18">
      <c r="A510" s="4">
        <v>4846890000000</v>
      </c>
      <c r="B510" t="s">
        <v>18</v>
      </c>
      <c r="C510">
        <v>43</v>
      </c>
      <c r="D510" t="s">
        <v>27</v>
      </c>
      <c r="E510" t="s">
        <v>39</v>
      </c>
      <c r="F510" s="1">
        <v>42471</v>
      </c>
      <c r="G510" s="1">
        <v>42509</v>
      </c>
      <c r="H510" t="s">
        <v>33</v>
      </c>
      <c r="I510">
        <v>38</v>
      </c>
      <c r="J510" t="s">
        <v>22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23</v>
      </c>
      <c r="R510">
        <v>0</v>
      </c>
    </row>
    <row r="511" spans="1:18">
      <c r="A511" s="4">
        <v>1779000000000</v>
      </c>
      <c r="B511" t="s">
        <v>28</v>
      </c>
      <c r="C511">
        <v>52</v>
      </c>
      <c r="D511" t="s">
        <v>35</v>
      </c>
      <c r="E511" t="s">
        <v>76</v>
      </c>
      <c r="F511" s="1">
        <v>42471</v>
      </c>
      <c r="G511" s="1">
        <v>42502</v>
      </c>
      <c r="H511" t="s">
        <v>33</v>
      </c>
      <c r="I511">
        <v>31</v>
      </c>
      <c r="J511" t="s">
        <v>22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23</v>
      </c>
      <c r="R511">
        <v>0</v>
      </c>
    </row>
    <row r="512" spans="1:18">
      <c r="A512" s="4">
        <v>77153500000000</v>
      </c>
      <c r="B512" t="s">
        <v>18</v>
      </c>
      <c r="C512">
        <v>1</v>
      </c>
      <c r="D512" t="s">
        <v>31</v>
      </c>
      <c r="E512" t="s">
        <v>72</v>
      </c>
      <c r="F512" s="1">
        <v>42471</v>
      </c>
      <c r="G512" s="1">
        <v>42501</v>
      </c>
      <c r="H512" t="s">
        <v>25</v>
      </c>
      <c r="I512">
        <v>30</v>
      </c>
      <c r="J512" t="s">
        <v>77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 t="s">
        <v>26</v>
      </c>
      <c r="R512">
        <v>1</v>
      </c>
    </row>
    <row r="513" spans="1:18">
      <c r="A513" s="4">
        <v>55462300000000</v>
      </c>
      <c r="B513" t="s">
        <v>28</v>
      </c>
      <c r="C513">
        <v>6</v>
      </c>
      <c r="D513" t="s">
        <v>31</v>
      </c>
      <c r="E513" t="s">
        <v>54</v>
      </c>
      <c r="F513" s="1">
        <v>42471</v>
      </c>
      <c r="G513" s="1">
        <v>42508</v>
      </c>
      <c r="H513" t="s">
        <v>25</v>
      </c>
      <c r="I513">
        <v>37</v>
      </c>
      <c r="J513" t="s">
        <v>22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23</v>
      </c>
      <c r="R513">
        <v>0</v>
      </c>
    </row>
    <row r="514" spans="1:18">
      <c r="A514" s="4">
        <v>9678430000000</v>
      </c>
      <c r="B514" t="s">
        <v>28</v>
      </c>
      <c r="C514">
        <v>16</v>
      </c>
      <c r="D514" t="s">
        <v>60</v>
      </c>
      <c r="E514" t="s">
        <v>73</v>
      </c>
      <c r="F514" s="1">
        <v>42471</v>
      </c>
      <c r="G514" s="1">
        <v>42503</v>
      </c>
      <c r="H514" t="s">
        <v>21</v>
      </c>
      <c r="I514">
        <v>32</v>
      </c>
      <c r="J514" t="s">
        <v>22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23</v>
      </c>
      <c r="R514">
        <v>0</v>
      </c>
    </row>
    <row r="515" spans="1:18">
      <c r="A515" s="4">
        <v>64724700000000</v>
      </c>
      <c r="B515" t="s">
        <v>18</v>
      </c>
      <c r="C515">
        <v>57</v>
      </c>
      <c r="D515" t="s">
        <v>35</v>
      </c>
      <c r="E515" t="s">
        <v>76</v>
      </c>
      <c r="F515" s="1">
        <v>42471</v>
      </c>
      <c r="G515" s="1">
        <v>42501</v>
      </c>
      <c r="H515" t="s">
        <v>25</v>
      </c>
      <c r="I515">
        <v>30</v>
      </c>
      <c r="J515" t="s">
        <v>77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26</v>
      </c>
      <c r="R515">
        <v>1</v>
      </c>
    </row>
    <row r="516" spans="1:18">
      <c r="A516" s="4">
        <v>66925500000000</v>
      </c>
      <c r="B516" t="s">
        <v>18</v>
      </c>
      <c r="C516">
        <v>6</v>
      </c>
      <c r="D516" t="s">
        <v>31</v>
      </c>
      <c r="E516" t="s">
        <v>40</v>
      </c>
      <c r="F516" s="1">
        <v>42471</v>
      </c>
      <c r="G516" s="1">
        <v>42496</v>
      </c>
      <c r="H516" t="s">
        <v>21</v>
      </c>
      <c r="I516">
        <v>25</v>
      </c>
      <c r="J516" t="s">
        <v>77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1</v>
      </c>
      <c r="Q516" t="s">
        <v>23</v>
      </c>
      <c r="R516">
        <v>0</v>
      </c>
    </row>
    <row r="517" spans="1:18">
      <c r="A517" s="4">
        <v>8578230000000</v>
      </c>
      <c r="B517" t="s">
        <v>28</v>
      </c>
      <c r="C517">
        <v>53</v>
      </c>
      <c r="D517" t="s">
        <v>35</v>
      </c>
      <c r="E517" t="s">
        <v>67</v>
      </c>
      <c r="F517" s="1">
        <v>42471</v>
      </c>
      <c r="G517" s="1">
        <v>42502</v>
      </c>
      <c r="H517" t="s">
        <v>33</v>
      </c>
      <c r="I517">
        <v>31</v>
      </c>
      <c r="J517" t="s">
        <v>22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 t="s">
        <v>26</v>
      </c>
      <c r="R517">
        <v>1</v>
      </c>
    </row>
    <row r="518" spans="1:18">
      <c r="A518" s="4">
        <v>115800000000</v>
      </c>
      <c r="B518" t="s">
        <v>18</v>
      </c>
      <c r="C518">
        <v>7</v>
      </c>
      <c r="D518" t="s">
        <v>31</v>
      </c>
      <c r="E518" t="s">
        <v>39</v>
      </c>
      <c r="F518" s="1">
        <v>42471</v>
      </c>
      <c r="G518" s="1">
        <v>42524</v>
      </c>
      <c r="H518" t="s">
        <v>21</v>
      </c>
      <c r="I518">
        <v>53</v>
      </c>
      <c r="J518" t="s">
        <v>22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 t="s">
        <v>26</v>
      </c>
      <c r="R518">
        <v>1</v>
      </c>
    </row>
    <row r="519" spans="1:18">
      <c r="A519" s="4">
        <v>23643900000000</v>
      </c>
      <c r="B519" t="s">
        <v>18</v>
      </c>
      <c r="C519">
        <v>38</v>
      </c>
      <c r="D519" t="s">
        <v>27</v>
      </c>
      <c r="E519" t="s">
        <v>32</v>
      </c>
      <c r="F519" s="1">
        <v>42471</v>
      </c>
      <c r="G519" s="1">
        <v>42506</v>
      </c>
      <c r="H519" t="s">
        <v>30</v>
      </c>
      <c r="I519">
        <v>35</v>
      </c>
      <c r="J519" t="s">
        <v>22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23</v>
      </c>
      <c r="R519">
        <v>0</v>
      </c>
    </row>
    <row r="520" spans="1:18">
      <c r="A520" s="4">
        <v>2234320000000</v>
      </c>
      <c r="B520" t="s">
        <v>18</v>
      </c>
      <c r="C520">
        <v>22</v>
      </c>
      <c r="D520" t="s">
        <v>37</v>
      </c>
      <c r="E520" t="s">
        <v>39</v>
      </c>
      <c r="F520" s="1">
        <v>42471</v>
      </c>
      <c r="G520" s="1">
        <v>42520</v>
      </c>
      <c r="H520" t="s">
        <v>30</v>
      </c>
      <c r="I520">
        <v>49</v>
      </c>
      <c r="J520" t="s">
        <v>22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 t="s">
        <v>23</v>
      </c>
      <c r="R520">
        <v>0</v>
      </c>
    </row>
    <row r="521" spans="1:18">
      <c r="A521" s="4">
        <v>817373000000000</v>
      </c>
      <c r="B521" t="s">
        <v>28</v>
      </c>
      <c r="C521">
        <v>58</v>
      </c>
      <c r="D521" t="s">
        <v>35</v>
      </c>
      <c r="E521" t="s">
        <v>67</v>
      </c>
      <c r="F521" s="1">
        <v>42471</v>
      </c>
      <c r="G521" s="1">
        <v>42503</v>
      </c>
      <c r="H521" t="s">
        <v>21</v>
      </c>
      <c r="I521">
        <v>32</v>
      </c>
      <c r="J521" t="s">
        <v>22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23</v>
      </c>
      <c r="R521">
        <v>0</v>
      </c>
    </row>
    <row r="522" spans="1:18">
      <c r="A522" s="4">
        <v>22314300000000</v>
      </c>
      <c r="B522" t="s">
        <v>18</v>
      </c>
      <c r="C522">
        <v>94</v>
      </c>
      <c r="D522" t="s">
        <v>19</v>
      </c>
      <c r="E522" t="s">
        <v>76</v>
      </c>
      <c r="F522" s="1">
        <v>42471</v>
      </c>
      <c r="G522" s="1">
        <v>42503</v>
      </c>
      <c r="H522" t="s">
        <v>21</v>
      </c>
      <c r="I522">
        <v>32</v>
      </c>
      <c r="J522" t="s">
        <v>22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26</v>
      </c>
      <c r="R522">
        <v>1</v>
      </c>
    </row>
    <row r="523" spans="1:18">
      <c r="A523" s="4">
        <v>148332000000000</v>
      </c>
      <c r="B523" t="s">
        <v>18</v>
      </c>
      <c r="C523">
        <v>53</v>
      </c>
      <c r="D523" t="s">
        <v>35</v>
      </c>
      <c r="E523" t="s">
        <v>56</v>
      </c>
      <c r="F523" s="1">
        <v>42471</v>
      </c>
      <c r="G523" s="1">
        <v>42492</v>
      </c>
      <c r="H523" t="s">
        <v>30</v>
      </c>
      <c r="I523">
        <v>21</v>
      </c>
      <c r="J523" t="s">
        <v>77</v>
      </c>
      <c r="K523">
        <v>1</v>
      </c>
      <c r="L523">
        <v>1</v>
      </c>
      <c r="M523">
        <v>0</v>
      </c>
      <c r="N523">
        <v>0</v>
      </c>
      <c r="O523">
        <v>0</v>
      </c>
      <c r="P523">
        <v>1</v>
      </c>
      <c r="Q523" t="s">
        <v>23</v>
      </c>
      <c r="R523">
        <v>0</v>
      </c>
    </row>
    <row r="524" spans="1:18">
      <c r="A524" s="4">
        <v>99153528447</v>
      </c>
      <c r="B524" t="s">
        <v>18</v>
      </c>
      <c r="C524">
        <v>46</v>
      </c>
      <c r="D524" t="s">
        <v>27</v>
      </c>
      <c r="E524" t="s">
        <v>32</v>
      </c>
      <c r="F524" s="1">
        <v>42471</v>
      </c>
      <c r="G524" s="1">
        <v>42520</v>
      </c>
      <c r="H524" t="s">
        <v>30</v>
      </c>
      <c r="I524">
        <v>49</v>
      </c>
      <c r="J524" t="s">
        <v>22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 t="s">
        <v>23</v>
      </c>
      <c r="R524">
        <v>0</v>
      </c>
    </row>
    <row r="525" spans="1:18">
      <c r="A525" s="4">
        <v>4372560000000</v>
      </c>
      <c r="B525" t="s">
        <v>18</v>
      </c>
      <c r="C525">
        <v>62</v>
      </c>
      <c r="D525" t="s">
        <v>35</v>
      </c>
      <c r="E525" t="s">
        <v>36</v>
      </c>
      <c r="F525" s="1">
        <v>42471</v>
      </c>
      <c r="G525" s="1">
        <v>42501</v>
      </c>
      <c r="H525" t="s">
        <v>25</v>
      </c>
      <c r="I525">
        <v>30</v>
      </c>
      <c r="J525" t="s">
        <v>77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 t="s">
        <v>26</v>
      </c>
      <c r="R525">
        <v>1</v>
      </c>
    </row>
    <row r="526" spans="1:18">
      <c r="A526" s="4">
        <v>754529000000</v>
      </c>
      <c r="B526" t="s">
        <v>18</v>
      </c>
      <c r="C526">
        <v>48</v>
      </c>
      <c r="D526" t="s">
        <v>27</v>
      </c>
      <c r="E526" t="s">
        <v>39</v>
      </c>
      <c r="F526" s="1">
        <v>42471</v>
      </c>
      <c r="G526" s="1">
        <v>42496</v>
      </c>
      <c r="H526" t="s">
        <v>21</v>
      </c>
      <c r="I526">
        <v>25</v>
      </c>
      <c r="J526" t="s">
        <v>77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 t="s">
        <v>23</v>
      </c>
      <c r="R526">
        <v>0</v>
      </c>
    </row>
    <row r="527" spans="1:18">
      <c r="A527" s="4">
        <v>579169000000000</v>
      </c>
      <c r="B527" t="s">
        <v>18</v>
      </c>
      <c r="C527">
        <v>89</v>
      </c>
      <c r="D527" t="s">
        <v>19</v>
      </c>
      <c r="E527" t="s">
        <v>29</v>
      </c>
      <c r="F527" s="1">
        <v>42471</v>
      </c>
      <c r="G527" s="1">
        <v>42500</v>
      </c>
      <c r="H527" t="s">
        <v>41</v>
      </c>
      <c r="I527">
        <v>29</v>
      </c>
      <c r="J527" t="s">
        <v>77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1</v>
      </c>
      <c r="Q527" t="s">
        <v>23</v>
      </c>
      <c r="R527">
        <v>0</v>
      </c>
    </row>
    <row r="528" spans="1:18">
      <c r="A528" s="4">
        <v>14177400000000</v>
      </c>
      <c r="B528" t="s">
        <v>18</v>
      </c>
      <c r="C528">
        <v>40</v>
      </c>
      <c r="D528" t="s">
        <v>27</v>
      </c>
      <c r="E528" t="s">
        <v>69</v>
      </c>
      <c r="F528" s="1">
        <v>42471</v>
      </c>
      <c r="G528" s="1">
        <v>42489</v>
      </c>
      <c r="H528" t="s">
        <v>21</v>
      </c>
      <c r="I528">
        <v>18</v>
      </c>
      <c r="J528" t="s">
        <v>77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26</v>
      </c>
      <c r="R528">
        <v>1</v>
      </c>
    </row>
    <row r="529" spans="1:18">
      <c r="A529" s="4">
        <v>2689680000000</v>
      </c>
      <c r="B529" t="s">
        <v>18</v>
      </c>
      <c r="C529">
        <v>29</v>
      </c>
      <c r="D529" t="s">
        <v>37</v>
      </c>
      <c r="E529" t="s">
        <v>20</v>
      </c>
      <c r="F529" s="1">
        <v>42471</v>
      </c>
      <c r="G529" s="1">
        <v>42496</v>
      </c>
      <c r="H529" t="s">
        <v>21</v>
      </c>
      <c r="I529">
        <v>25</v>
      </c>
      <c r="J529" t="s">
        <v>77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 t="s">
        <v>26</v>
      </c>
      <c r="R529">
        <v>1</v>
      </c>
    </row>
    <row r="530" spans="1:18">
      <c r="A530" s="4">
        <v>737128000000000</v>
      </c>
      <c r="B530" t="s">
        <v>18</v>
      </c>
      <c r="C530">
        <v>39</v>
      </c>
      <c r="D530" t="s">
        <v>27</v>
      </c>
      <c r="E530" t="s">
        <v>24</v>
      </c>
      <c r="F530" s="1">
        <v>42471</v>
      </c>
      <c r="G530" s="1">
        <v>42492</v>
      </c>
      <c r="H530" t="s">
        <v>30</v>
      </c>
      <c r="I530">
        <v>21</v>
      </c>
      <c r="J530" t="s">
        <v>77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 t="s">
        <v>26</v>
      </c>
      <c r="R530">
        <v>1</v>
      </c>
    </row>
    <row r="531" spans="1:18">
      <c r="A531" s="4">
        <v>436763000000000</v>
      </c>
      <c r="B531" t="s">
        <v>18</v>
      </c>
      <c r="C531">
        <v>22</v>
      </c>
      <c r="D531" t="s">
        <v>37</v>
      </c>
      <c r="E531" t="s">
        <v>29</v>
      </c>
      <c r="F531" s="1">
        <v>42471</v>
      </c>
      <c r="G531" s="1">
        <v>42496</v>
      </c>
      <c r="H531" t="s">
        <v>21</v>
      </c>
      <c r="I531">
        <v>25</v>
      </c>
      <c r="J531" t="s">
        <v>77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 t="s">
        <v>23</v>
      </c>
      <c r="R531">
        <v>0</v>
      </c>
    </row>
    <row r="532" spans="1:18">
      <c r="A532" s="4">
        <v>6524640000000</v>
      </c>
      <c r="B532" t="s">
        <v>18</v>
      </c>
      <c r="C532">
        <v>38</v>
      </c>
      <c r="D532" t="s">
        <v>27</v>
      </c>
      <c r="E532" t="s">
        <v>71</v>
      </c>
      <c r="F532" s="1">
        <v>42471</v>
      </c>
      <c r="G532" s="1">
        <v>42489</v>
      </c>
      <c r="H532" t="s">
        <v>21</v>
      </c>
      <c r="I532">
        <v>18</v>
      </c>
      <c r="J532" t="s">
        <v>77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1</v>
      </c>
      <c r="Q532" t="s">
        <v>23</v>
      </c>
      <c r="R532">
        <v>0</v>
      </c>
    </row>
    <row r="533" spans="1:18">
      <c r="A533" s="4">
        <v>692339000000</v>
      </c>
      <c r="B533" t="s">
        <v>18</v>
      </c>
      <c r="C533">
        <v>42</v>
      </c>
      <c r="D533" t="s">
        <v>27</v>
      </c>
      <c r="E533" t="s">
        <v>48</v>
      </c>
      <c r="F533" s="1">
        <v>42472</v>
      </c>
      <c r="G533" s="1">
        <v>42500</v>
      </c>
      <c r="H533" t="s">
        <v>41</v>
      </c>
      <c r="I533">
        <v>28</v>
      </c>
      <c r="J533" t="s">
        <v>77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 t="s">
        <v>23</v>
      </c>
      <c r="R533">
        <v>0</v>
      </c>
    </row>
    <row r="534" spans="1:18">
      <c r="A534" s="4">
        <v>66416200000000</v>
      </c>
      <c r="B534" t="s">
        <v>18</v>
      </c>
      <c r="C534">
        <v>22</v>
      </c>
      <c r="D534" t="s">
        <v>37</v>
      </c>
      <c r="E534" t="s">
        <v>29</v>
      </c>
      <c r="F534" s="1">
        <v>42472</v>
      </c>
      <c r="G534" s="1">
        <v>42503</v>
      </c>
      <c r="H534" t="s">
        <v>21</v>
      </c>
      <c r="I534">
        <v>31</v>
      </c>
      <c r="J534" t="s">
        <v>22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26</v>
      </c>
      <c r="R534">
        <v>1</v>
      </c>
    </row>
    <row r="535" spans="1:18">
      <c r="A535" s="4">
        <v>766465000000</v>
      </c>
      <c r="B535" t="s">
        <v>18</v>
      </c>
      <c r="C535">
        <v>36</v>
      </c>
      <c r="D535" t="s">
        <v>27</v>
      </c>
      <c r="E535" t="s">
        <v>42</v>
      </c>
      <c r="F535" s="1">
        <v>42472</v>
      </c>
      <c r="G535" s="1">
        <v>42507</v>
      </c>
      <c r="H535" t="s">
        <v>41</v>
      </c>
      <c r="I535">
        <v>35</v>
      </c>
      <c r="J535" t="s">
        <v>22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23</v>
      </c>
      <c r="R535">
        <v>0</v>
      </c>
    </row>
    <row r="536" spans="1:18">
      <c r="A536" s="4">
        <v>8378980000000</v>
      </c>
      <c r="B536" t="s">
        <v>18</v>
      </c>
      <c r="C536">
        <v>19</v>
      </c>
      <c r="D536" t="s">
        <v>37</v>
      </c>
      <c r="E536" t="s">
        <v>36</v>
      </c>
      <c r="F536" s="1">
        <v>42472</v>
      </c>
      <c r="G536" s="1">
        <v>42494</v>
      </c>
      <c r="H536" t="s">
        <v>25</v>
      </c>
      <c r="I536">
        <v>22</v>
      </c>
      <c r="J536" t="s">
        <v>77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 t="s">
        <v>23</v>
      </c>
      <c r="R536">
        <v>0</v>
      </c>
    </row>
    <row r="537" spans="1:18">
      <c r="A537" s="4">
        <v>18321100000000</v>
      </c>
      <c r="B537" t="s">
        <v>18</v>
      </c>
      <c r="C537">
        <v>29</v>
      </c>
      <c r="D537" t="s">
        <v>37</v>
      </c>
      <c r="E537" t="s">
        <v>57</v>
      </c>
      <c r="F537" s="1">
        <v>42472</v>
      </c>
      <c r="G537" s="1">
        <v>42503</v>
      </c>
      <c r="H537" t="s">
        <v>21</v>
      </c>
      <c r="I537">
        <v>31</v>
      </c>
      <c r="J537" t="s">
        <v>22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23</v>
      </c>
      <c r="R537">
        <v>0</v>
      </c>
    </row>
    <row r="538" spans="1:18">
      <c r="A538" s="4">
        <v>74643000000000</v>
      </c>
      <c r="B538" t="s">
        <v>18</v>
      </c>
      <c r="C538">
        <v>41</v>
      </c>
      <c r="D538" t="s">
        <v>27</v>
      </c>
      <c r="E538" t="s">
        <v>36</v>
      </c>
      <c r="F538" s="1">
        <v>42472</v>
      </c>
      <c r="G538" s="1">
        <v>42496</v>
      </c>
      <c r="H538" t="s">
        <v>21</v>
      </c>
      <c r="I538">
        <v>24</v>
      </c>
      <c r="J538" t="s">
        <v>77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26</v>
      </c>
      <c r="R538">
        <v>1</v>
      </c>
    </row>
    <row r="539" spans="1:18">
      <c r="A539" s="4">
        <v>233945000000000</v>
      </c>
      <c r="B539" t="s">
        <v>18</v>
      </c>
      <c r="C539">
        <v>23</v>
      </c>
      <c r="D539" t="s">
        <v>37</v>
      </c>
      <c r="E539" t="s">
        <v>50</v>
      </c>
      <c r="F539" s="1">
        <v>42472</v>
      </c>
      <c r="G539" s="1">
        <v>42500</v>
      </c>
      <c r="H539" t="s">
        <v>41</v>
      </c>
      <c r="I539">
        <v>28</v>
      </c>
      <c r="J539" t="s">
        <v>77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1</v>
      </c>
      <c r="Q539" t="s">
        <v>26</v>
      </c>
      <c r="R539">
        <v>1</v>
      </c>
    </row>
    <row r="540" spans="1:18">
      <c r="A540" s="4">
        <v>34457200000000</v>
      </c>
      <c r="B540" t="s">
        <v>18</v>
      </c>
      <c r="C540">
        <v>38</v>
      </c>
      <c r="D540" t="s">
        <v>27</v>
      </c>
      <c r="E540" t="s">
        <v>36</v>
      </c>
      <c r="F540" s="1">
        <v>42472</v>
      </c>
      <c r="G540" s="1">
        <v>42494</v>
      </c>
      <c r="H540" t="s">
        <v>25</v>
      </c>
      <c r="I540">
        <v>22</v>
      </c>
      <c r="J540" t="s">
        <v>77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1</v>
      </c>
      <c r="Q540" t="s">
        <v>23</v>
      </c>
      <c r="R540">
        <v>0</v>
      </c>
    </row>
    <row r="541" spans="1:18">
      <c r="A541" s="4">
        <v>966825000000000</v>
      </c>
      <c r="B541" t="s">
        <v>18</v>
      </c>
      <c r="C541">
        <v>50</v>
      </c>
      <c r="D541" t="s">
        <v>27</v>
      </c>
      <c r="E541" t="s">
        <v>32</v>
      </c>
      <c r="F541" s="1">
        <v>42472</v>
      </c>
      <c r="G541" s="1">
        <v>42506</v>
      </c>
      <c r="H541" t="s">
        <v>30</v>
      </c>
      <c r="I541">
        <v>34</v>
      </c>
      <c r="J541" t="s">
        <v>22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26</v>
      </c>
      <c r="R541">
        <v>1</v>
      </c>
    </row>
    <row r="542" spans="1:18">
      <c r="A542" s="4">
        <v>992385000000000</v>
      </c>
      <c r="B542" t="s">
        <v>18</v>
      </c>
      <c r="C542">
        <v>49</v>
      </c>
      <c r="D542" t="s">
        <v>27</v>
      </c>
      <c r="E542" t="s">
        <v>38</v>
      </c>
      <c r="F542" s="1">
        <v>42472</v>
      </c>
      <c r="G542" s="1">
        <v>42489</v>
      </c>
      <c r="H542" t="s">
        <v>21</v>
      </c>
      <c r="I542">
        <v>17</v>
      </c>
      <c r="J542" t="s">
        <v>77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 t="s">
        <v>26</v>
      </c>
      <c r="R542">
        <v>1</v>
      </c>
    </row>
    <row r="543" spans="1:18">
      <c r="A543" s="4">
        <v>9217540000000</v>
      </c>
      <c r="B543" t="s">
        <v>18</v>
      </c>
      <c r="C543">
        <v>56</v>
      </c>
      <c r="D543" t="s">
        <v>35</v>
      </c>
      <c r="E543" t="s">
        <v>72</v>
      </c>
      <c r="F543" s="1">
        <v>42472</v>
      </c>
      <c r="G543" s="1">
        <v>42502</v>
      </c>
      <c r="H543" t="s">
        <v>33</v>
      </c>
      <c r="I543">
        <v>30</v>
      </c>
      <c r="J543" t="s">
        <v>77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 t="s">
        <v>23</v>
      </c>
      <c r="R543">
        <v>0</v>
      </c>
    </row>
    <row r="544" spans="1:18">
      <c r="A544" s="4">
        <v>365336000000</v>
      </c>
      <c r="B544" t="s">
        <v>18</v>
      </c>
      <c r="C544">
        <v>27</v>
      </c>
      <c r="D544" t="s">
        <v>37</v>
      </c>
      <c r="E544" t="s">
        <v>57</v>
      </c>
      <c r="F544" s="1">
        <v>42472</v>
      </c>
      <c r="G544" s="1">
        <v>42514</v>
      </c>
      <c r="H544" t="s">
        <v>41</v>
      </c>
      <c r="I544">
        <v>42</v>
      </c>
      <c r="J544" t="s">
        <v>22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 t="s">
        <v>26</v>
      </c>
      <c r="R544">
        <v>1</v>
      </c>
    </row>
    <row r="545" spans="1:18">
      <c r="A545" s="4">
        <v>8145540000000</v>
      </c>
      <c r="B545" t="s">
        <v>18</v>
      </c>
      <c r="C545">
        <v>19</v>
      </c>
      <c r="D545" t="s">
        <v>37</v>
      </c>
      <c r="E545" t="s">
        <v>38</v>
      </c>
      <c r="F545" s="1">
        <v>42472</v>
      </c>
      <c r="G545" s="1">
        <v>42493</v>
      </c>
      <c r="H545" t="s">
        <v>41</v>
      </c>
      <c r="I545">
        <v>21</v>
      </c>
      <c r="J545" t="s">
        <v>77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 t="s">
        <v>26</v>
      </c>
      <c r="R545">
        <v>1</v>
      </c>
    </row>
    <row r="546" spans="1:18">
      <c r="A546" s="4">
        <v>43566400000000</v>
      </c>
      <c r="B546" t="s">
        <v>18</v>
      </c>
      <c r="C546">
        <v>72</v>
      </c>
      <c r="D546" t="s">
        <v>19</v>
      </c>
      <c r="E546" t="s">
        <v>62</v>
      </c>
      <c r="F546" s="1">
        <v>42472</v>
      </c>
      <c r="G546" s="1">
        <v>42500</v>
      </c>
      <c r="H546" t="s">
        <v>41</v>
      </c>
      <c r="I546">
        <v>28</v>
      </c>
      <c r="J546" t="s">
        <v>77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 t="s">
        <v>23</v>
      </c>
      <c r="R546">
        <v>0</v>
      </c>
    </row>
    <row r="547" spans="1:18">
      <c r="A547" s="4">
        <v>14188400000000</v>
      </c>
      <c r="B547" t="s">
        <v>18</v>
      </c>
      <c r="C547">
        <v>67</v>
      </c>
      <c r="D547" t="s">
        <v>19</v>
      </c>
      <c r="E547" t="s">
        <v>64</v>
      </c>
      <c r="F547" s="1">
        <v>42472</v>
      </c>
      <c r="G547" s="1">
        <v>42495</v>
      </c>
      <c r="H547" t="s">
        <v>33</v>
      </c>
      <c r="I547">
        <v>23</v>
      </c>
      <c r="J547" t="s">
        <v>77</v>
      </c>
      <c r="K547">
        <v>0</v>
      </c>
      <c r="L547">
        <v>1</v>
      </c>
      <c r="M547">
        <v>1</v>
      </c>
      <c r="N547">
        <v>0</v>
      </c>
      <c r="O547">
        <v>0</v>
      </c>
      <c r="P547">
        <v>1</v>
      </c>
      <c r="Q547" t="s">
        <v>23</v>
      </c>
      <c r="R547">
        <v>0</v>
      </c>
    </row>
    <row r="548" spans="1:18">
      <c r="A548" s="4">
        <v>2177192956</v>
      </c>
      <c r="B548" t="s">
        <v>28</v>
      </c>
      <c r="C548">
        <v>3</v>
      </c>
      <c r="D548" t="s">
        <v>31</v>
      </c>
      <c r="E548" t="s">
        <v>51</v>
      </c>
      <c r="F548" s="1">
        <v>42472</v>
      </c>
      <c r="G548" s="1">
        <v>42508</v>
      </c>
      <c r="H548" t="s">
        <v>25</v>
      </c>
      <c r="I548">
        <v>36</v>
      </c>
      <c r="J548" t="s">
        <v>22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26</v>
      </c>
      <c r="R548">
        <v>1</v>
      </c>
    </row>
    <row r="549" spans="1:18">
      <c r="A549" s="4">
        <v>797855000000000</v>
      </c>
      <c r="B549" t="s">
        <v>18</v>
      </c>
      <c r="C549">
        <v>26</v>
      </c>
      <c r="D549" t="s">
        <v>37</v>
      </c>
      <c r="E549" t="s">
        <v>45</v>
      </c>
      <c r="F549" s="1">
        <v>42472</v>
      </c>
      <c r="G549" s="1">
        <v>42494</v>
      </c>
      <c r="H549" t="s">
        <v>25</v>
      </c>
      <c r="I549">
        <v>22</v>
      </c>
      <c r="J549" t="s">
        <v>77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23</v>
      </c>
      <c r="R549">
        <v>0</v>
      </c>
    </row>
    <row r="550" spans="1:18">
      <c r="A550" s="4">
        <v>3562720000000</v>
      </c>
      <c r="B550" t="s">
        <v>18</v>
      </c>
      <c r="C550">
        <v>10</v>
      </c>
      <c r="D550" t="s">
        <v>31</v>
      </c>
      <c r="E550" t="s">
        <v>82</v>
      </c>
      <c r="F550" s="1">
        <v>42472</v>
      </c>
      <c r="G550" s="1">
        <v>42502</v>
      </c>
      <c r="H550" t="s">
        <v>33</v>
      </c>
      <c r="I550">
        <v>30</v>
      </c>
      <c r="J550" t="s">
        <v>77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 t="s">
        <v>23</v>
      </c>
      <c r="R550">
        <v>0</v>
      </c>
    </row>
    <row r="551" spans="1:18">
      <c r="A551" s="4">
        <v>16817400000000</v>
      </c>
      <c r="B551" t="s">
        <v>28</v>
      </c>
      <c r="C551">
        <v>56</v>
      </c>
      <c r="D551" t="s">
        <v>35</v>
      </c>
      <c r="E551" t="s">
        <v>72</v>
      </c>
      <c r="F551" s="1">
        <v>42472</v>
      </c>
      <c r="G551" s="1">
        <v>42503</v>
      </c>
      <c r="H551" t="s">
        <v>21</v>
      </c>
      <c r="I551">
        <v>31</v>
      </c>
      <c r="J551" t="s">
        <v>22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23</v>
      </c>
      <c r="R551">
        <v>0</v>
      </c>
    </row>
    <row r="552" spans="1:18">
      <c r="A552" s="4">
        <v>426254000000</v>
      </c>
      <c r="B552" t="s">
        <v>18</v>
      </c>
      <c r="C552">
        <v>52</v>
      </c>
      <c r="D552" t="s">
        <v>35</v>
      </c>
      <c r="E552" t="s">
        <v>55</v>
      </c>
      <c r="F552" s="1">
        <v>42472</v>
      </c>
      <c r="G552" s="1">
        <v>42500</v>
      </c>
      <c r="H552" t="s">
        <v>41</v>
      </c>
      <c r="I552">
        <v>28</v>
      </c>
      <c r="J552" t="s">
        <v>77</v>
      </c>
      <c r="K552">
        <v>1</v>
      </c>
      <c r="L552">
        <v>1</v>
      </c>
      <c r="M552">
        <v>0</v>
      </c>
      <c r="N552">
        <v>0</v>
      </c>
      <c r="O552">
        <v>0</v>
      </c>
      <c r="P552">
        <v>1</v>
      </c>
      <c r="Q552" t="s">
        <v>23</v>
      </c>
      <c r="R552">
        <v>0</v>
      </c>
    </row>
    <row r="553" spans="1:18">
      <c r="A553" s="4">
        <v>1848570000000</v>
      </c>
      <c r="B553" t="s">
        <v>18</v>
      </c>
      <c r="C553">
        <v>21</v>
      </c>
      <c r="D553" t="s">
        <v>37</v>
      </c>
      <c r="E553" t="s">
        <v>68</v>
      </c>
      <c r="F553" s="1">
        <v>42472</v>
      </c>
      <c r="G553" s="1">
        <v>42493</v>
      </c>
      <c r="H553" t="s">
        <v>41</v>
      </c>
      <c r="I553">
        <v>21</v>
      </c>
      <c r="J553" t="s">
        <v>77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 t="s">
        <v>26</v>
      </c>
      <c r="R553">
        <v>1</v>
      </c>
    </row>
    <row r="554" spans="1:18">
      <c r="A554" s="4">
        <v>3793170000000</v>
      </c>
      <c r="B554" t="s">
        <v>18</v>
      </c>
      <c r="C554">
        <v>35</v>
      </c>
      <c r="D554" t="s">
        <v>37</v>
      </c>
      <c r="E554" t="s">
        <v>57</v>
      </c>
      <c r="F554" s="1">
        <v>42472</v>
      </c>
      <c r="G554" s="1">
        <v>42500</v>
      </c>
      <c r="H554" t="s">
        <v>41</v>
      </c>
      <c r="I554">
        <v>28</v>
      </c>
      <c r="J554" t="s">
        <v>77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1</v>
      </c>
      <c r="Q554" t="s">
        <v>23</v>
      </c>
      <c r="R554">
        <v>0</v>
      </c>
    </row>
    <row r="555" spans="1:18">
      <c r="A555" s="4">
        <v>51811800000000</v>
      </c>
      <c r="B555" t="s">
        <v>28</v>
      </c>
      <c r="C555">
        <v>3</v>
      </c>
      <c r="D555" t="s">
        <v>31</v>
      </c>
      <c r="E555" t="s">
        <v>42</v>
      </c>
      <c r="F555" s="1">
        <v>42472</v>
      </c>
      <c r="G555" s="1">
        <v>42506</v>
      </c>
      <c r="H555" t="s">
        <v>30</v>
      </c>
      <c r="I555">
        <v>34</v>
      </c>
      <c r="J555" t="s">
        <v>22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26</v>
      </c>
      <c r="R555">
        <v>1</v>
      </c>
    </row>
    <row r="556" spans="1:18">
      <c r="A556" s="4">
        <v>33258000000000</v>
      </c>
      <c r="B556" t="s">
        <v>18</v>
      </c>
      <c r="C556">
        <v>60</v>
      </c>
      <c r="D556" t="s">
        <v>35</v>
      </c>
      <c r="E556" t="s">
        <v>50</v>
      </c>
      <c r="F556" s="1">
        <v>42472</v>
      </c>
      <c r="G556" s="1">
        <v>42493</v>
      </c>
      <c r="H556" t="s">
        <v>41</v>
      </c>
      <c r="I556">
        <v>21</v>
      </c>
      <c r="J556" t="s">
        <v>77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1</v>
      </c>
      <c r="Q556" t="s">
        <v>23</v>
      </c>
      <c r="R556">
        <v>0</v>
      </c>
    </row>
    <row r="557" spans="1:18">
      <c r="A557" s="4">
        <v>7435540000000</v>
      </c>
      <c r="B557" t="s">
        <v>18</v>
      </c>
      <c r="C557">
        <v>54</v>
      </c>
      <c r="D557" t="s">
        <v>35</v>
      </c>
      <c r="E557" t="s">
        <v>88</v>
      </c>
      <c r="F557" s="1">
        <v>42472</v>
      </c>
      <c r="G557" s="1">
        <v>42527</v>
      </c>
      <c r="H557" t="s">
        <v>30</v>
      </c>
      <c r="I557">
        <v>55</v>
      </c>
      <c r="J557" t="s">
        <v>22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 t="s">
        <v>23</v>
      </c>
      <c r="R557">
        <v>0</v>
      </c>
    </row>
    <row r="558" spans="1:18">
      <c r="A558" s="4">
        <v>958632000000</v>
      </c>
      <c r="B558" t="s">
        <v>28</v>
      </c>
      <c r="C558">
        <v>60</v>
      </c>
      <c r="D558" t="s">
        <v>35</v>
      </c>
      <c r="E558" t="s">
        <v>39</v>
      </c>
      <c r="F558" s="1">
        <v>42472</v>
      </c>
      <c r="G558" s="1">
        <v>42515</v>
      </c>
      <c r="H558" t="s">
        <v>25</v>
      </c>
      <c r="I558">
        <v>43</v>
      </c>
      <c r="J558" t="s">
        <v>22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 t="s">
        <v>23</v>
      </c>
      <c r="R558">
        <v>0</v>
      </c>
    </row>
    <row r="559" spans="1:18">
      <c r="A559" s="4">
        <v>253866000000000</v>
      </c>
      <c r="B559" t="s">
        <v>18</v>
      </c>
      <c r="C559">
        <v>52</v>
      </c>
      <c r="D559" t="s">
        <v>35</v>
      </c>
      <c r="E559" t="s">
        <v>74</v>
      </c>
      <c r="F559" s="1">
        <v>42472</v>
      </c>
      <c r="G559" s="1">
        <v>42500</v>
      </c>
      <c r="H559" t="s">
        <v>41</v>
      </c>
      <c r="I559">
        <v>28</v>
      </c>
      <c r="J559" t="s">
        <v>77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</v>
      </c>
      <c r="Q559" t="s">
        <v>23</v>
      </c>
      <c r="R559">
        <v>0</v>
      </c>
    </row>
    <row r="560" spans="1:18">
      <c r="A560" s="4">
        <v>983692000000000</v>
      </c>
      <c r="B560" t="s">
        <v>28</v>
      </c>
      <c r="C560">
        <v>30</v>
      </c>
      <c r="D560" t="s">
        <v>37</v>
      </c>
      <c r="E560" t="s">
        <v>80</v>
      </c>
      <c r="F560" s="1">
        <v>42472</v>
      </c>
      <c r="G560" s="1">
        <v>42500</v>
      </c>
      <c r="H560" t="s">
        <v>41</v>
      </c>
      <c r="I560">
        <v>28</v>
      </c>
      <c r="J560" t="s">
        <v>77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1</v>
      </c>
      <c r="Q560" t="s">
        <v>23</v>
      </c>
      <c r="R560">
        <v>0</v>
      </c>
    </row>
    <row r="561" spans="1:18">
      <c r="A561" s="4">
        <v>75659400000000</v>
      </c>
      <c r="B561" t="s">
        <v>18</v>
      </c>
      <c r="C561">
        <v>44</v>
      </c>
      <c r="D561" t="s">
        <v>27</v>
      </c>
      <c r="E561" t="s">
        <v>29</v>
      </c>
      <c r="F561" s="1">
        <v>42472</v>
      </c>
      <c r="G561" s="1">
        <v>42499</v>
      </c>
      <c r="H561" t="s">
        <v>30</v>
      </c>
      <c r="I561">
        <v>27</v>
      </c>
      <c r="J561" t="s">
        <v>77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23</v>
      </c>
      <c r="R561">
        <v>0</v>
      </c>
    </row>
    <row r="562" spans="1:18">
      <c r="A562" s="4">
        <v>44645800000000</v>
      </c>
      <c r="B562" t="s">
        <v>18</v>
      </c>
      <c r="C562">
        <v>57</v>
      </c>
      <c r="D562" t="s">
        <v>35</v>
      </c>
      <c r="E562" t="s">
        <v>40</v>
      </c>
      <c r="F562" s="1">
        <v>42472</v>
      </c>
      <c r="G562" s="1">
        <v>42500</v>
      </c>
      <c r="H562" t="s">
        <v>41</v>
      </c>
      <c r="I562">
        <v>28</v>
      </c>
      <c r="J562" t="s">
        <v>77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 t="s">
        <v>23</v>
      </c>
      <c r="R562">
        <v>0</v>
      </c>
    </row>
    <row r="563" spans="1:18">
      <c r="A563" s="4">
        <v>5297420000000</v>
      </c>
      <c r="B563" t="s">
        <v>18</v>
      </c>
      <c r="C563">
        <v>1</v>
      </c>
      <c r="D563" t="s">
        <v>31</v>
      </c>
      <c r="E563" t="s">
        <v>51</v>
      </c>
      <c r="F563" s="1">
        <v>42472</v>
      </c>
      <c r="G563" s="1">
        <v>42509</v>
      </c>
      <c r="H563" t="s">
        <v>33</v>
      </c>
      <c r="I563">
        <v>37</v>
      </c>
      <c r="J563" t="s">
        <v>22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26</v>
      </c>
      <c r="R563">
        <v>1</v>
      </c>
    </row>
    <row r="564" spans="1:18">
      <c r="A564" s="4">
        <v>243535000000000</v>
      </c>
      <c r="B564" t="s">
        <v>28</v>
      </c>
      <c r="C564">
        <v>52</v>
      </c>
      <c r="D564" t="s">
        <v>35</v>
      </c>
      <c r="E564" t="s">
        <v>74</v>
      </c>
      <c r="F564" s="1">
        <v>42472</v>
      </c>
      <c r="G564" s="1">
        <v>42506</v>
      </c>
      <c r="H564" t="s">
        <v>30</v>
      </c>
      <c r="I564">
        <v>34</v>
      </c>
      <c r="J564" t="s">
        <v>22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23</v>
      </c>
      <c r="R564">
        <v>0</v>
      </c>
    </row>
    <row r="565" spans="1:18">
      <c r="A565" s="4">
        <v>2327630000000</v>
      </c>
      <c r="B565" t="s">
        <v>18</v>
      </c>
      <c r="C565">
        <v>6</v>
      </c>
      <c r="D565" t="s">
        <v>31</v>
      </c>
      <c r="E565" t="s">
        <v>72</v>
      </c>
      <c r="F565" s="1">
        <v>42472</v>
      </c>
      <c r="G565" s="1">
        <v>42492</v>
      </c>
      <c r="H565" t="s">
        <v>30</v>
      </c>
      <c r="I565">
        <v>20</v>
      </c>
      <c r="J565" t="s">
        <v>77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 t="s">
        <v>23</v>
      </c>
      <c r="R565">
        <v>0</v>
      </c>
    </row>
    <row r="566" spans="1:18">
      <c r="A566" s="4">
        <v>45588300000000</v>
      </c>
      <c r="B566" t="s">
        <v>18</v>
      </c>
      <c r="C566">
        <v>6</v>
      </c>
      <c r="D566" t="s">
        <v>31</v>
      </c>
      <c r="E566" t="s">
        <v>84</v>
      </c>
      <c r="F566" s="1">
        <v>42472</v>
      </c>
      <c r="G566" s="1">
        <v>42492</v>
      </c>
      <c r="H566" t="s">
        <v>30</v>
      </c>
      <c r="I566">
        <v>20</v>
      </c>
      <c r="J566" t="s">
        <v>77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 t="s">
        <v>26</v>
      </c>
      <c r="R566">
        <v>1</v>
      </c>
    </row>
    <row r="567" spans="1:18">
      <c r="A567" s="4">
        <v>818755000000000</v>
      </c>
      <c r="B567" t="s">
        <v>28</v>
      </c>
      <c r="C567">
        <v>39</v>
      </c>
      <c r="D567" t="s">
        <v>27</v>
      </c>
      <c r="E567" t="s">
        <v>45</v>
      </c>
      <c r="F567" s="1">
        <v>42472</v>
      </c>
      <c r="G567" s="1">
        <v>42493</v>
      </c>
      <c r="H567" t="s">
        <v>41</v>
      </c>
      <c r="I567">
        <v>21</v>
      </c>
      <c r="J567" t="s">
        <v>77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23</v>
      </c>
      <c r="R567">
        <v>0</v>
      </c>
    </row>
    <row r="568" spans="1:18">
      <c r="A568" s="4">
        <v>832375000000000</v>
      </c>
      <c r="B568" t="s">
        <v>18</v>
      </c>
      <c r="C568">
        <v>8</v>
      </c>
      <c r="D568" t="s">
        <v>31</v>
      </c>
      <c r="E568" t="s">
        <v>39</v>
      </c>
      <c r="F568" s="1">
        <v>42472</v>
      </c>
      <c r="G568" s="1">
        <v>42508</v>
      </c>
      <c r="H568" t="s">
        <v>25</v>
      </c>
      <c r="I568">
        <v>36</v>
      </c>
      <c r="J568" t="s">
        <v>22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23</v>
      </c>
      <c r="R568">
        <v>0</v>
      </c>
    </row>
    <row r="569" spans="1:18">
      <c r="A569" s="4">
        <v>617464000000000</v>
      </c>
      <c r="B569" t="s">
        <v>18</v>
      </c>
      <c r="C569">
        <v>15</v>
      </c>
      <c r="D569" t="s">
        <v>60</v>
      </c>
      <c r="E569" t="s">
        <v>72</v>
      </c>
      <c r="F569" s="1">
        <v>42472</v>
      </c>
      <c r="G569" s="1">
        <v>42507</v>
      </c>
      <c r="H569" t="s">
        <v>41</v>
      </c>
      <c r="I569">
        <v>35</v>
      </c>
      <c r="J569" t="s">
        <v>22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26</v>
      </c>
      <c r="R569">
        <v>1</v>
      </c>
    </row>
    <row r="570" spans="1:18">
      <c r="A570" s="4">
        <v>33159400000000</v>
      </c>
      <c r="B570" t="s">
        <v>18</v>
      </c>
      <c r="C570">
        <v>50</v>
      </c>
      <c r="D570" t="s">
        <v>27</v>
      </c>
      <c r="E570" t="s">
        <v>29</v>
      </c>
      <c r="F570" s="1">
        <v>42472</v>
      </c>
      <c r="G570" s="1">
        <v>42494</v>
      </c>
      <c r="H570" t="s">
        <v>25</v>
      </c>
      <c r="I570">
        <v>22</v>
      </c>
      <c r="J570" t="s">
        <v>77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1</v>
      </c>
      <c r="Q570" t="s">
        <v>26</v>
      </c>
      <c r="R570">
        <v>1</v>
      </c>
    </row>
    <row r="571" spans="1:18">
      <c r="A571" s="4">
        <v>3241460000000</v>
      </c>
      <c r="B571" t="s">
        <v>28</v>
      </c>
      <c r="C571">
        <v>12</v>
      </c>
      <c r="D571" t="s">
        <v>31</v>
      </c>
      <c r="E571" t="s">
        <v>36</v>
      </c>
      <c r="F571" s="1">
        <v>42472</v>
      </c>
      <c r="G571" s="1">
        <v>42495</v>
      </c>
      <c r="H571" t="s">
        <v>33</v>
      </c>
      <c r="I571">
        <v>23</v>
      </c>
      <c r="J571" t="s">
        <v>77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 t="s">
        <v>23</v>
      </c>
      <c r="R571">
        <v>0</v>
      </c>
    </row>
    <row r="572" spans="1:18">
      <c r="A572" s="4">
        <v>465921000000000</v>
      </c>
      <c r="B572" t="s">
        <v>18</v>
      </c>
      <c r="C572">
        <v>2</v>
      </c>
      <c r="D572" t="s">
        <v>31</v>
      </c>
      <c r="E572" t="s">
        <v>24</v>
      </c>
      <c r="F572" s="1">
        <v>42472</v>
      </c>
      <c r="G572" s="1">
        <v>42506</v>
      </c>
      <c r="H572" t="s">
        <v>30</v>
      </c>
      <c r="I572">
        <v>34</v>
      </c>
      <c r="J572" t="s">
        <v>22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23</v>
      </c>
      <c r="R572">
        <v>0</v>
      </c>
    </row>
    <row r="573" spans="1:18">
      <c r="A573" s="4">
        <v>274349000000000</v>
      </c>
      <c r="B573" t="s">
        <v>18</v>
      </c>
      <c r="C573">
        <v>15</v>
      </c>
      <c r="D573" t="s">
        <v>60</v>
      </c>
      <c r="E573" t="s">
        <v>57</v>
      </c>
      <c r="F573" s="1">
        <v>42472</v>
      </c>
      <c r="G573" s="1">
        <v>42495</v>
      </c>
      <c r="H573" t="s">
        <v>33</v>
      </c>
      <c r="I573">
        <v>23</v>
      </c>
      <c r="J573" t="s">
        <v>77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1</v>
      </c>
      <c r="Q573" t="s">
        <v>26</v>
      </c>
      <c r="R573">
        <v>1</v>
      </c>
    </row>
    <row r="574" spans="1:18">
      <c r="A574" s="4">
        <v>35384600000000</v>
      </c>
      <c r="B574" t="s">
        <v>28</v>
      </c>
      <c r="C574">
        <v>74</v>
      </c>
      <c r="D574" t="s">
        <v>19</v>
      </c>
      <c r="E574" t="s">
        <v>29</v>
      </c>
      <c r="F574" s="1">
        <v>42472</v>
      </c>
      <c r="G574" s="1">
        <v>42494</v>
      </c>
      <c r="H574" t="s">
        <v>25</v>
      </c>
      <c r="I574">
        <v>22</v>
      </c>
      <c r="J574" t="s">
        <v>77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 t="s">
        <v>26</v>
      </c>
      <c r="R574">
        <v>1</v>
      </c>
    </row>
    <row r="575" spans="1:18">
      <c r="A575" s="4">
        <v>434250000000000</v>
      </c>
      <c r="B575" t="s">
        <v>18</v>
      </c>
      <c r="C575">
        <v>64</v>
      </c>
      <c r="D575" t="s">
        <v>35</v>
      </c>
      <c r="E575" t="s">
        <v>71</v>
      </c>
      <c r="F575" s="1">
        <v>42472</v>
      </c>
      <c r="G575" s="1">
        <v>42489</v>
      </c>
      <c r="H575" t="s">
        <v>21</v>
      </c>
      <c r="I575">
        <v>17</v>
      </c>
      <c r="J575" t="s">
        <v>77</v>
      </c>
      <c r="K575">
        <v>1</v>
      </c>
      <c r="L575">
        <v>1</v>
      </c>
      <c r="M575">
        <v>0</v>
      </c>
      <c r="N575">
        <v>0</v>
      </c>
      <c r="O575">
        <v>0</v>
      </c>
      <c r="P575">
        <v>1</v>
      </c>
      <c r="Q575" t="s">
        <v>23</v>
      </c>
      <c r="R575">
        <v>0</v>
      </c>
    </row>
    <row r="576" spans="1:18">
      <c r="A576" s="4">
        <v>14225426642</v>
      </c>
      <c r="B576" t="s">
        <v>18</v>
      </c>
      <c r="C576">
        <v>33</v>
      </c>
      <c r="D576" t="s">
        <v>37</v>
      </c>
      <c r="E576" t="s">
        <v>59</v>
      </c>
      <c r="F576" s="1">
        <v>42472</v>
      </c>
      <c r="G576" s="1">
        <v>42495</v>
      </c>
      <c r="H576" t="s">
        <v>33</v>
      </c>
      <c r="I576">
        <v>23</v>
      </c>
      <c r="J576" t="s">
        <v>77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23</v>
      </c>
      <c r="R576">
        <v>0</v>
      </c>
    </row>
    <row r="577" spans="1:18">
      <c r="A577" s="4">
        <v>8957000000000</v>
      </c>
      <c r="B577" t="s">
        <v>28</v>
      </c>
      <c r="C577">
        <v>9</v>
      </c>
      <c r="D577" t="s">
        <v>31</v>
      </c>
      <c r="E577" t="s">
        <v>32</v>
      </c>
      <c r="F577" s="1">
        <v>42472</v>
      </c>
      <c r="G577" s="1">
        <v>42499</v>
      </c>
      <c r="H577" t="s">
        <v>30</v>
      </c>
      <c r="I577">
        <v>27</v>
      </c>
      <c r="J577" t="s">
        <v>77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23</v>
      </c>
      <c r="R577">
        <v>0</v>
      </c>
    </row>
    <row r="578" spans="1:18">
      <c r="A578" s="4">
        <v>79772800000000</v>
      </c>
      <c r="B578" t="s">
        <v>28</v>
      </c>
      <c r="C578">
        <v>5</v>
      </c>
      <c r="D578" t="s">
        <v>31</v>
      </c>
      <c r="E578" t="s">
        <v>69</v>
      </c>
      <c r="F578" s="1">
        <v>42472</v>
      </c>
      <c r="G578" s="1">
        <v>42493</v>
      </c>
      <c r="H578" t="s">
        <v>41</v>
      </c>
      <c r="I578">
        <v>21</v>
      </c>
      <c r="J578" t="s">
        <v>77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1</v>
      </c>
      <c r="Q578" t="s">
        <v>23</v>
      </c>
      <c r="R578">
        <v>0</v>
      </c>
    </row>
    <row r="579" spans="1:18">
      <c r="A579" s="4">
        <v>63298600000000</v>
      </c>
      <c r="B579" t="s">
        <v>18</v>
      </c>
      <c r="C579">
        <v>71</v>
      </c>
      <c r="D579" t="s">
        <v>19</v>
      </c>
      <c r="E579" t="s">
        <v>72</v>
      </c>
      <c r="F579" s="1">
        <v>42472</v>
      </c>
      <c r="G579" s="1">
        <v>42506</v>
      </c>
      <c r="H579" t="s">
        <v>30</v>
      </c>
      <c r="I579">
        <v>34</v>
      </c>
      <c r="J579" t="s">
        <v>22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23</v>
      </c>
      <c r="R579">
        <v>0</v>
      </c>
    </row>
    <row r="580" spans="1:18">
      <c r="A580" s="4">
        <v>41852900000000</v>
      </c>
      <c r="B580" t="s">
        <v>18</v>
      </c>
      <c r="C580">
        <v>78</v>
      </c>
      <c r="D580" t="s">
        <v>19</v>
      </c>
      <c r="E580" t="s">
        <v>89</v>
      </c>
      <c r="F580" s="1">
        <v>42472</v>
      </c>
      <c r="G580" s="1">
        <v>42492</v>
      </c>
      <c r="H580" t="s">
        <v>30</v>
      </c>
      <c r="I580">
        <v>20</v>
      </c>
      <c r="J580" t="s">
        <v>77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1</v>
      </c>
      <c r="Q580" t="s">
        <v>26</v>
      </c>
      <c r="R580">
        <v>1</v>
      </c>
    </row>
    <row r="581" spans="1:18">
      <c r="A581" s="4">
        <v>74228000000000</v>
      </c>
      <c r="B581" t="s">
        <v>18</v>
      </c>
      <c r="C581">
        <v>1</v>
      </c>
      <c r="D581" t="s">
        <v>31</v>
      </c>
      <c r="E581" t="s">
        <v>59</v>
      </c>
      <c r="F581" s="1">
        <v>42472</v>
      </c>
      <c r="G581" s="1">
        <v>42489</v>
      </c>
      <c r="H581" t="s">
        <v>21</v>
      </c>
      <c r="I581">
        <v>17</v>
      </c>
      <c r="J581" t="s">
        <v>77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23</v>
      </c>
      <c r="R581">
        <v>0</v>
      </c>
    </row>
    <row r="582" spans="1:18">
      <c r="A582" s="4">
        <v>74764700000000</v>
      </c>
      <c r="B582" t="s">
        <v>18</v>
      </c>
      <c r="C582">
        <v>38</v>
      </c>
      <c r="D582" t="s">
        <v>27</v>
      </c>
      <c r="E582" t="s">
        <v>72</v>
      </c>
      <c r="F582" s="1">
        <v>42472</v>
      </c>
      <c r="G582" s="1">
        <v>42489</v>
      </c>
      <c r="H582" t="s">
        <v>21</v>
      </c>
      <c r="I582">
        <v>17</v>
      </c>
      <c r="J582" t="s">
        <v>77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 t="s">
        <v>23</v>
      </c>
      <c r="R582">
        <v>0</v>
      </c>
    </row>
    <row r="583" spans="1:18">
      <c r="A583" s="4">
        <v>52551500000000</v>
      </c>
      <c r="B583" t="s">
        <v>18</v>
      </c>
      <c r="C583">
        <v>9</v>
      </c>
      <c r="D583" t="s">
        <v>31</v>
      </c>
      <c r="E583" t="s">
        <v>29</v>
      </c>
      <c r="F583" s="1">
        <v>42472</v>
      </c>
      <c r="G583" s="1">
        <v>42499</v>
      </c>
      <c r="H583" t="s">
        <v>30</v>
      </c>
      <c r="I583">
        <v>27</v>
      </c>
      <c r="J583" t="s">
        <v>77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23</v>
      </c>
      <c r="R583">
        <v>0</v>
      </c>
    </row>
    <row r="584" spans="1:18">
      <c r="A584" s="4">
        <v>9326820000000</v>
      </c>
      <c r="B584" t="s">
        <v>28</v>
      </c>
      <c r="C584">
        <v>28</v>
      </c>
      <c r="D584" t="s">
        <v>37</v>
      </c>
      <c r="E584" t="s">
        <v>29</v>
      </c>
      <c r="F584" s="1">
        <v>42472</v>
      </c>
      <c r="G584" s="1">
        <v>42499</v>
      </c>
      <c r="H584" t="s">
        <v>30</v>
      </c>
      <c r="I584">
        <v>27</v>
      </c>
      <c r="J584" t="s">
        <v>77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26</v>
      </c>
      <c r="R584">
        <v>1</v>
      </c>
    </row>
    <row r="585" spans="1:18">
      <c r="A585" s="4">
        <v>22351100000000</v>
      </c>
      <c r="B585" t="s">
        <v>28</v>
      </c>
      <c r="C585">
        <v>7</v>
      </c>
      <c r="D585" t="s">
        <v>31</v>
      </c>
      <c r="E585" t="s">
        <v>36</v>
      </c>
      <c r="F585" s="1">
        <v>42473</v>
      </c>
      <c r="G585" s="1">
        <v>42506</v>
      </c>
      <c r="H585" t="s">
        <v>30</v>
      </c>
      <c r="I585">
        <v>33</v>
      </c>
      <c r="J585" t="s">
        <v>22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23</v>
      </c>
      <c r="R585">
        <v>0</v>
      </c>
    </row>
    <row r="586" spans="1:18">
      <c r="A586" s="4">
        <v>82529200000000</v>
      </c>
      <c r="B586" t="s">
        <v>18</v>
      </c>
      <c r="C586">
        <v>33</v>
      </c>
      <c r="D586" t="s">
        <v>37</v>
      </c>
      <c r="E586" t="s">
        <v>54</v>
      </c>
      <c r="F586" s="1">
        <v>42473</v>
      </c>
      <c r="G586" s="1">
        <v>42492</v>
      </c>
      <c r="H586" t="s">
        <v>30</v>
      </c>
      <c r="I586">
        <v>19</v>
      </c>
      <c r="J586" t="s">
        <v>77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 t="s">
        <v>26</v>
      </c>
      <c r="R586">
        <v>1</v>
      </c>
    </row>
    <row r="587" spans="1:18">
      <c r="A587" s="4">
        <v>92684300000000</v>
      </c>
      <c r="B587" t="s">
        <v>28</v>
      </c>
      <c r="C587">
        <v>49</v>
      </c>
      <c r="D587" t="s">
        <v>27</v>
      </c>
      <c r="E587" t="s">
        <v>72</v>
      </c>
      <c r="F587" s="1">
        <v>42473</v>
      </c>
      <c r="G587" s="1">
        <v>42506</v>
      </c>
      <c r="H587" t="s">
        <v>30</v>
      </c>
      <c r="I587">
        <v>33</v>
      </c>
      <c r="J587" t="s">
        <v>22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23</v>
      </c>
      <c r="R587">
        <v>0</v>
      </c>
    </row>
    <row r="588" spans="1:18">
      <c r="A588" s="4">
        <v>67475400000000</v>
      </c>
      <c r="B588" t="s">
        <v>18</v>
      </c>
      <c r="C588">
        <v>42</v>
      </c>
      <c r="D588" t="s">
        <v>27</v>
      </c>
      <c r="E588" t="s">
        <v>36</v>
      </c>
      <c r="F588" s="1">
        <v>42473</v>
      </c>
      <c r="G588" s="1">
        <v>42527</v>
      </c>
      <c r="H588" t="s">
        <v>30</v>
      </c>
      <c r="I588">
        <v>54</v>
      </c>
      <c r="J588" t="s">
        <v>22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 t="s">
        <v>26</v>
      </c>
      <c r="R588">
        <v>1</v>
      </c>
    </row>
    <row r="589" spans="1:18">
      <c r="A589" s="4">
        <v>748329000000000</v>
      </c>
      <c r="B589" t="s">
        <v>28</v>
      </c>
      <c r="C589">
        <v>36</v>
      </c>
      <c r="D589" t="s">
        <v>27</v>
      </c>
      <c r="E589" t="s">
        <v>32</v>
      </c>
      <c r="F589" s="1">
        <v>42473</v>
      </c>
      <c r="G589" s="1">
        <v>42515</v>
      </c>
      <c r="H589" t="s">
        <v>25</v>
      </c>
      <c r="I589">
        <v>42</v>
      </c>
      <c r="J589" t="s">
        <v>22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 t="s">
        <v>23</v>
      </c>
      <c r="R589">
        <v>0</v>
      </c>
    </row>
    <row r="590" spans="1:18">
      <c r="A590" s="4">
        <v>3251950000000</v>
      </c>
      <c r="B590" t="s">
        <v>28</v>
      </c>
      <c r="C590">
        <v>1</v>
      </c>
      <c r="D590" t="s">
        <v>31</v>
      </c>
      <c r="E590" t="s">
        <v>56</v>
      </c>
      <c r="F590" s="1">
        <v>42473</v>
      </c>
      <c r="G590" s="1">
        <v>42489</v>
      </c>
      <c r="H590" t="s">
        <v>21</v>
      </c>
      <c r="I590">
        <v>16</v>
      </c>
      <c r="J590" t="s">
        <v>77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 t="s">
        <v>26</v>
      </c>
      <c r="R590">
        <v>1</v>
      </c>
    </row>
    <row r="591" spans="1:18">
      <c r="A591" s="4">
        <v>3579290000000</v>
      </c>
      <c r="B591" t="s">
        <v>28</v>
      </c>
      <c r="C591">
        <v>56</v>
      </c>
      <c r="D591" t="s">
        <v>35</v>
      </c>
      <c r="E591" t="s">
        <v>40</v>
      </c>
      <c r="F591" s="1">
        <v>42473</v>
      </c>
      <c r="G591" s="1">
        <v>42500</v>
      </c>
      <c r="H591" t="s">
        <v>41</v>
      </c>
      <c r="I591">
        <v>27</v>
      </c>
      <c r="J591" t="s">
        <v>77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 t="s">
        <v>23</v>
      </c>
      <c r="R591">
        <v>0</v>
      </c>
    </row>
    <row r="592" spans="1:18">
      <c r="A592" s="4">
        <v>6317490000000</v>
      </c>
      <c r="B592" t="s">
        <v>28</v>
      </c>
      <c r="C592">
        <v>69</v>
      </c>
      <c r="D592" t="s">
        <v>19</v>
      </c>
      <c r="E592" t="s">
        <v>66</v>
      </c>
      <c r="F592" s="1">
        <v>42473</v>
      </c>
      <c r="G592" s="1">
        <v>42493</v>
      </c>
      <c r="H592" t="s">
        <v>41</v>
      </c>
      <c r="I592">
        <v>20</v>
      </c>
      <c r="J592" t="s">
        <v>77</v>
      </c>
      <c r="K592">
        <v>0</v>
      </c>
      <c r="L592">
        <v>1</v>
      </c>
      <c r="M592">
        <v>1</v>
      </c>
      <c r="N592">
        <v>0</v>
      </c>
      <c r="O592">
        <v>0</v>
      </c>
      <c r="P592">
        <v>1</v>
      </c>
      <c r="Q592" t="s">
        <v>26</v>
      </c>
      <c r="R592">
        <v>1</v>
      </c>
    </row>
    <row r="593" spans="1:18">
      <c r="A593" s="4">
        <v>92339900000000</v>
      </c>
      <c r="B593" t="s">
        <v>28</v>
      </c>
      <c r="C593">
        <v>2</v>
      </c>
      <c r="D593" t="s">
        <v>31</v>
      </c>
      <c r="E593" t="s">
        <v>72</v>
      </c>
      <c r="F593" s="1">
        <v>42473</v>
      </c>
      <c r="G593" s="1">
        <v>42492</v>
      </c>
      <c r="H593" t="s">
        <v>30</v>
      </c>
      <c r="I593">
        <v>19</v>
      </c>
      <c r="J593" t="s">
        <v>77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 t="s">
        <v>23</v>
      </c>
      <c r="R593">
        <v>0</v>
      </c>
    </row>
    <row r="594" spans="1:18">
      <c r="A594" s="4">
        <v>51528900000000</v>
      </c>
      <c r="B594" t="s">
        <v>28</v>
      </c>
      <c r="C594">
        <v>28</v>
      </c>
      <c r="D594" t="s">
        <v>37</v>
      </c>
      <c r="E594" t="s">
        <v>72</v>
      </c>
      <c r="F594" s="1">
        <v>42473</v>
      </c>
      <c r="G594" s="1">
        <v>42520</v>
      </c>
      <c r="H594" t="s">
        <v>30</v>
      </c>
      <c r="I594">
        <v>47</v>
      </c>
      <c r="J594" t="s">
        <v>22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 t="s">
        <v>23</v>
      </c>
      <c r="R594">
        <v>0</v>
      </c>
    </row>
    <row r="595" spans="1:18">
      <c r="A595" s="4">
        <v>41168300000000</v>
      </c>
      <c r="B595" t="s">
        <v>28</v>
      </c>
      <c r="C595">
        <v>50</v>
      </c>
      <c r="D595" t="s">
        <v>27</v>
      </c>
      <c r="E595" t="s">
        <v>47</v>
      </c>
      <c r="F595" s="1">
        <v>42473</v>
      </c>
      <c r="G595" s="1">
        <v>42489</v>
      </c>
      <c r="H595" t="s">
        <v>21</v>
      </c>
      <c r="I595">
        <v>16</v>
      </c>
      <c r="J595" t="s">
        <v>77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1</v>
      </c>
      <c r="Q595" t="s">
        <v>23</v>
      </c>
      <c r="R595">
        <v>0</v>
      </c>
    </row>
    <row r="596" spans="1:18">
      <c r="A596" s="4">
        <v>746497000000</v>
      </c>
      <c r="B596" t="s">
        <v>18</v>
      </c>
      <c r="C596">
        <v>6</v>
      </c>
      <c r="D596" t="s">
        <v>31</v>
      </c>
      <c r="E596" t="s">
        <v>72</v>
      </c>
      <c r="F596" s="1">
        <v>42473</v>
      </c>
      <c r="G596" s="1">
        <v>42508</v>
      </c>
      <c r="H596" t="s">
        <v>25</v>
      </c>
      <c r="I596">
        <v>35</v>
      </c>
      <c r="J596" t="s">
        <v>22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23</v>
      </c>
      <c r="R596">
        <v>0</v>
      </c>
    </row>
    <row r="597" spans="1:18">
      <c r="A597" s="4">
        <v>29278600000000</v>
      </c>
      <c r="B597" t="s">
        <v>28</v>
      </c>
      <c r="C597">
        <v>38</v>
      </c>
      <c r="D597" t="s">
        <v>27</v>
      </c>
      <c r="E597" t="s">
        <v>90</v>
      </c>
      <c r="F597" s="1">
        <v>42473</v>
      </c>
      <c r="G597" s="1">
        <v>42496</v>
      </c>
      <c r="H597" t="s">
        <v>21</v>
      </c>
      <c r="I597">
        <v>23</v>
      </c>
      <c r="J597" t="s">
        <v>77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 t="s">
        <v>26</v>
      </c>
      <c r="R597">
        <v>1</v>
      </c>
    </row>
    <row r="598" spans="1:18">
      <c r="A598" s="4">
        <v>31338317217</v>
      </c>
      <c r="B598" t="s">
        <v>18</v>
      </c>
      <c r="C598">
        <v>7</v>
      </c>
      <c r="D598" t="s">
        <v>31</v>
      </c>
      <c r="E598" t="s">
        <v>71</v>
      </c>
      <c r="F598" s="1">
        <v>42473</v>
      </c>
      <c r="G598" s="1">
        <v>42495</v>
      </c>
      <c r="H598" t="s">
        <v>33</v>
      </c>
      <c r="I598">
        <v>22</v>
      </c>
      <c r="J598" t="s">
        <v>77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23</v>
      </c>
      <c r="R598">
        <v>0</v>
      </c>
    </row>
    <row r="599" spans="1:18">
      <c r="A599" s="4">
        <v>776627000000000</v>
      </c>
      <c r="B599" t="s">
        <v>18</v>
      </c>
      <c r="C599">
        <v>72</v>
      </c>
      <c r="D599" t="s">
        <v>19</v>
      </c>
      <c r="E599" t="s">
        <v>39</v>
      </c>
      <c r="F599" s="1">
        <v>42473</v>
      </c>
      <c r="G599" s="1">
        <v>42529</v>
      </c>
      <c r="H599" t="s">
        <v>25</v>
      </c>
      <c r="I599">
        <v>56</v>
      </c>
      <c r="J599" t="s">
        <v>22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 t="s">
        <v>23</v>
      </c>
      <c r="R599">
        <v>0</v>
      </c>
    </row>
    <row r="600" spans="1:18">
      <c r="A600" s="4">
        <v>68789300000000</v>
      </c>
      <c r="B600" t="s">
        <v>18</v>
      </c>
      <c r="C600">
        <v>56</v>
      </c>
      <c r="D600" t="s">
        <v>35</v>
      </c>
      <c r="E600" t="s">
        <v>72</v>
      </c>
      <c r="F600" s="1">
        <v>42473</v>
      </c>
      <c r="G600" s="1">
        <v>42506</v>
      </c>
      <c r="H600" t="s">
        <v>30</v>
      </c>
      <c r="I600">
        <v>33</v>
      </c>
      <c r="J600" t="s">
        <v>22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23</v>
      </c>
      <c r="R600">
        <v>0</v>
      </c>
    </row>
    <row r="601" spans="1:18">
      <c r="A601" s="4">
        <v>83998100000000</v>
      </c>
      <c r="B601" t="s">
        <v>18</v>
      </c>
      <c r="C601">
        <v>68</v>
      </c>
      <c r="D601" t="s">
        <v>19</v>
      </c>
      <c r="E601" t="s">
        <v>68</v>
      </c>
      <c r="F601" s="1">
        <v>42473</v>
      </c>
      <c r="G601" s="1">
        <v>42503</v>
      </c>
      <c r="H601" t="s">
        <v>21</v>
      </c>
      <c r="I601">
        <v>30</v>
      </c>
      <c r="J601" t="s">
        <v>77</v>
      </c>
      <c r="K601">
        <v>0</v>
      </c>
      <c r="L601">
        <v>1</v>
      </c>
      <c r="M601">
        <v>1</v>
      </c>
      <c r="N601">
        <v>0</v>
      </c>
      <c r="O601">
        <v>0</v>
      </c>
      <c r="P601">
        <v>0</v>
      </c>
      <c r="Q601" t="s">
        <v>26</v>
      </c>
      <c r="R601">
        <v>1</v>
      </c>
    </row>
    <row r="602" spans="1:18">
      <c r="A602" s="4">
        <v>18875363788</v>
      </c>
      <c r="B602" t="s">
        <v>18</v>
      </c>
      <c r="C602">
        <v>30</v>
      </c>
      <c r="D602" t="s">
        <v>37</v>
      </c>
      <c r="E602" t="s">
        <v>32</v>
      </c>
      <c r="F602" s="1">
        <v>42473</v>
      </c>
      <c r="G602" s="1">
        <v>42507</v>
      </c>
      <c r="H602" t="s">
        <v>41</v>
      </c>
      <c r="I602">
        <v>34</v>
      </c>
      <c r="J602" t="s">
        <v>22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23</v>
      </c>
      <c r="R602">
        <v>0</v>
      </c>
    </row>
    <row r="603" spans="1:18">
      <c r="A603" s="4">
        <v>91139300000000</v>
      </c>
      <c r="B603" t="s">
        <v>28</v>
      </c>
      <c r="C603">
        <v>17</v>
      </c>
      <c r="D603" t="s">
        <v>60</v>
      </c>
      <c r="E603" t="s">
        <v>57</v>
      </c>
      <c r="F603" s="1">
        <v>42473</v>
      </c>
      <c r="G603" s="1">
        <v>42510</v>
      </c>
      <c r="H603" t="s">
        <v>21</v>
      </c>
      <c r="I603">
        <v>37</v>
      </c>
      <c r="J603" t="s">
        <v>22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26</v>
      </c>
      <c r="R603">
        <v>1</v>
      </c>
    </row>
    <row r="604" spans="1:18">
      <c r="A604" s="4">
        <v>55785700000000</v>
      </c>
      <c r="B604" t="s">
        <v>28</v>
      </c>
      <c r="C604">
        <v>9</v>
      </c>
      <c r="D604" t="s">
        <v>31</v>
      </c>
      <c r="E604" t="s">
        <v>64</v>
      </c>
      <c r="F604" s="1">
        <v>42473</v>
      </c>
      <c r="G604" s="1">
        <v>42503</v>
      </c>
      <c r="H604" t="s">
        <v>21</v>
      </c>
      <c r="I604">
        <v>30</v>
      </c>
      <c r="J604" t="s">
        <v>77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23</v>
      </c>
      <c r="R604">
        <v>0</v>
      </c>
    </row>
    <row r="605" spans="1:18">
      <c r="A605" s="4">
        <v>87823500000000</v>
      </c>
      <c r="B605" t="s">
        <v>18</v>
      </c>
      <c r="C605">
        <v>19</v>
      </c>
      <c r="D605" t="s">
        <v>37</v>
      </c>
      <c r="E605" t="s">
        <v>42</v>
      </c>
      <c r="F605" s="1">
        <v>42473</v>
      </c>
      <c r="G605" s="1">
        <v>42494</v>
      </c>
      <c r="H605" t="s">
        <v>25</v>
      </c>
      <c r="I605">
        <v>21</v>
      </c>
      <c r="J605" t="s">
        <v>77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 t="s">
        <v>26</v>
      </c>
      <c r="R605">
        <v>1</v>
      </c>
    </row>
    <row r="606" spans="1:18">
      <c r="A606" s="4">
        <v>23895000000000</v>
      </c>
      <c r="B606" t="s">
        <v>18</v>
      </c>
      <c r="C606">
        <v>39</v>
      </c>
      <c r="D606" t="s">
        <v>27</v>
      </c>
      <c r="E606" t="s">
        <v>72</v>
      </c>
      <c r="F606" s="1">
        <v>42473</v>
      </c>
      <c r="G606" s="1">
        <v>42503</v>
      </c>
      <c r="H606" t="s">
        <v>21</v>
      </c>
      <c r="I606">
        <v>30</v>
      </c>
      <c r="J606" t="s">
        <v>77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23</v>
      </c>
      <c r="R606">
        <v>0</v>
      </c>
    </row>
    <row r="607" spans="1:18">
      <c r="A607" s="4">
        <v>121375000000</v>
      </c>
      <c r="B607" t="s">
        <v>18</v>
      </c>
      <c r="C607">
        <v>49</v>
      </c>
      <c r="D607" t="s">
        <v>27</v>
      </c>
      <c r="E607" t="s">
        <v>40</v>
      </c>
      <c r="F607" s="1">
        <v>42473</v>
      </c>
      <c r="G607" s="1">
        <v>42499</v>
      </c>
      <c r="H607" t="s">
        <v>30</v>
      </c>
      <c r="I607">
        <v>26</v>
      </c>
      <c r="J607" t="s">
        <v>77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23</v>
      </c>
      <c r="R607">
        <v>0</v>
      </c>
    </row>
    <row r="608" spans="1:18">
      <c r="A608" s="4">
        <v>29145400000000</v>
      </c>
      <c r="B608" t="s">
        <v>18</v>
      </c>
      <c r="C608">
        <v>72</v>
      </c>
      <c r="D608" t="s">
        <v>19</v>
      </c>
      <c r="E608" t="s">
        <v>58</v>
      </c>
      <c r="F608" s="1">
        <v>42473</v>
      </c>
      <c r="G608" s="1">
        <v>42501</v>
      </c>
      <c r="H608" t="s">
        <v>25</v>
      </c>
      <c r="I608">
        <v>28</v>
      </c>
      <c r="J608" t="s">
        <v>77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 t="s">
        <v>23</v>
      </c>
      <c r="R608">
        <v>0</v>
      </c>
    </row>
    <row r="609" spans="1:18">
      <c r="A609" s="4">
        <v>25274900000000</v>
      </c>
      <c r="B609" t="s">
        <v>28</v>
      </c>
      <c r="C609">
        <v>10</v>
      </c>
      <c r="D609" t="s">
        <v>31</v>
      </c>
      <c r="E609" t="s">
        <v>89</v>
      </c>
      <c r="F609" s="1">
        <v>42473</v>
      </c>
      <c r="G609" s="1">
        <v>42494</v>
      </c>
      <c r="H609" t="s">
        <v>25</v>
      </c>
      <c r="I609">
        <v>21</v>
      </c>
      <c r="J609" t="s">
        <v>77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 t="s">
        <v>26</v>
      </c>
      <c r="R609">
        <v>1</v>
      </c>
    </row>
    <row r="610" spans="1:18">
      <c r="A610" s="4">
        <v>396844000000</v>
      </c>
      <c r="B610" t="s">
        <v>28</v>
      </c>
      <c r="C610">
        <v>0</v>
      </c>
      <c r="D610" t="s">
        <v>31</v>
      </c>
      <c r="E610" t="s">
        <v>39</v>
      </c>
      <c r="F610" s="1">
        <v>42473</v>
      </c>
      <c r="G610" s="1">
        <v>42529</v>
      </c>
      <c r="H610" t="s">
        <v>25</v>
      </c>
      <c r="I610">
        <v>56</v>
      </c>
      <c r="J610" t="s">
        <v>22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 t="s">
        <v>23</v>
      </c>
      <c r="R610">
        <v>0</v>
      </c>
    </row>
    <row r="611" spans="1:18">
      <c r="A611" s="4">
        <v>1931640000000</v>
      </c>
      <c r="B611" t="s">
        <v>18</v>
      </c>
      <c r="C611">
        <v>44</v>
      </c>
      <c r="D611" t="s">
        <v>27</v>
      </c>
      <c r="E611" t="s">
        <v>76</v>
      </c>
      <c r="F611" s="1">
        <v>42473</v>
      </c>
      <c r="G611" s="1">
        <v>42507</v>
      </c>
      <c r="H611" t="s">
        <v>41</v>
      </c>
      <c r="I611">
        <v>34</v>
      </c>
      <c r="J611" t="s">
        <v>22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26</v>
      </c>
      <c r="R611">
        <v>1</v>
      </c>
    </row>
    <row r="612" spans="1:18">
      <c r="A612" s="4">
        <v>96546100000000</v>
      </c>
      <c r="B612" t="s">
        <v>28</v>
      </c>
      <c r="C612">
        <v>0</v>
      </c>
      <c r="D612" t="s">
        <v>31</v>
      </c>
      <c r="E612" t="s">
        <v>72</v>
      </c>
      <c r="F612" s="1">
        <v>42473</v>
      </c>
      <c r="G612" s="1">
        <v>42506</v>
      </c>
      <c r="H612" t="s">
        <v>30</v>
      </c>
      <c r="I612">
        <v>33</v>
      </c>
      <c r="J612" t="s">
        <v>22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26</v>
      </c>
      <c r="R612">
        <v>1</v>
      </c>
    </row>
    <row r="613" spans="1:18">
      <c r="A613" s="4">
        <v>94864200000000</v>
      </c>
      <c r="B613" t="s">
        <v>18</v>
      </c>
      <c r="C613">
        <v>14</v>
      </c>
      <c r="D613" t="s">
        <v>60</v>
      </c>
      <c r="E613" t="s">
        <v>20</v>
      </c>
      <c r="F613" s="1">
        <v>42473</v>
      </c>
      <c r="G613" s="1">
        <v>42489</v>
      </c>
      <c r="H613" t="s">
        <v>21</v>
      </c>
      <c r="I613">
        <v>16</v>
      </c>
      <c r="J613" t="s">
        <v>77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 t="s">
        <v>23</v>
      </c>
      <c r="R613">
        <v>0</v>
      </c>
    </row>
    <row r="614" spans="1:18">
      <c r="A614" s="4">
        <v>51499300000000</v>
      </c>
      <c r="B614" t="s">
        <v>18</v>
      </c>
      <c r="C614">
        <v>49</v>
      </c>
      <c r="D614" t="s">
        <v>27</v>
      </c>
      <c r="E614" t="s">
        <v>72</v>
      </c>
      <c r="F614" s="1">
        <v>42473</v>
      </c>
      <c r="G614" s="1">
        <v>42515</v>
      </c>
      <c r="H614" t="s">
        <v>25</v>
      </c>
      <c r="I614">
        <v>42</v>
      </c>
      <c r="J614" t="s">
        <v>22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  <c r="Q614" t="s">
        <v>26</v>
      </c>
      <c r="R614">
        <v>1</v>
      </c>
    </row>
    <row r="615" spans="1:18">
      <c r="A615" s="4">
        <v>46965800000000</v>
      </c>
      <c r="B615" t="s">
        <v>18</v>
      </c>
      <c r="C615">
        <v>13</v>
      </c>
      <c r="D615" t="s">
        <v>60</v>
      </c>
      <c r="E615" t="s">
        <v>72</v>
      </c>
      <c r="F615" s="1">
        <v>42473</v>
      </c>
      <c r="G615" s="1">
        <v>42508</v>
      </c>
      <c r="H615" t="s">
        <v>25</v>
      </c>
      <c r="I615">
        <v>35</v>
      </c>
      <c r="J615" t="s">
        <v>22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26</v>
      </c>
      <c r="R615">
        <v>1</v>
      </c>
    </row>
    <row r="616" spans="1:18">
      <c r="A616" s="4">
        <v>524912000000000</v>
      </c>
      <c r="B616" t="s">
        <v>18</v>
      </c>
      <c r="C616">
        <v>43</v>
      </c>
      <c r="D616" t="s">
        <v>27</v>
      </c>
      <c r="E616" t="s">
        <v>62</v>
      </c>
      <c r="F616" s="1">
        <v>42473</v>
      </c>
      <c r="G616" s="1">
        <v>42507</v>
      </c>
      <c r="H616" t="s">
        <v>41</v>
      </c>
      <c r="I616">
        <v>34</v>
      </c>
      <c r="J616" t="s">
        <v>22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26</v>
      </c>
      <c r="R616">
        <v>1</v>
      </c>
    </row>
    <row r="617" spans="1:18">
      <c r="A617" s="4">
        <v>27284500000000</v>
      </c>
      <c r="B617" t="s">
        <v>18</v>
      </c>
      <c r="C617">
        <v>72</v>
      </c>
      <c r="D617" t="s">
        <v>19</v>
      </c>
      <c r="E617" t="s">
        <v>42</v>
      </c>
      <c r="F617" s="1">
        <v>42473</v>
      </c>
      <c r="G617" s="1">
        <v>42506</v>
      </c>
      <c r="H617" t="s">
        <v>30</v>
      </c>
      <c r="I617">
        <v>33</v>
      </c>
      <c r="J617" t="s">
        <v>22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23</v>
      </c>
      <c r="R617">
        <v>0</v>
      </c>
    </row>
    <row r="618" spans="1:18">
      <c r="A618" s="4">
        <v>3751630000000</v>
      </c>
      <c r="B618" t="s">
        <v>18</v>
      </c>
      <c r="C618">
        <v>11</v>
      </c>
      <c r="D618" t="s">
        <v>31</v>
      </c>
      <c r="E618" t="s">
        <v>69</v>
      </c>
      <c r="F618" s="1">
        <v>42473</v>
      </c>
      <c r="G618" s="1">
        <v>42494</v>
      </c>
      <c r="H618" t="s">
        <v>25</v>
      </c>
      <c r="I618">
        <v>21</v>
      </c>
      <c r="J618" t="s">
        <v>77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 t="s">
        <v>23</v>
      </c>
      <c r="R618">
        <v>0</v>
      </c>
    </row>
    <row r="619" spans="1:18">
      <c r="A619" s="4">
        <v>17537500000000</v>
      </c>
      <c r="B619" t="s">
        <v>28</v>
      </c>
      <c r="C619">
        <v>29</v>
      </c>
      <c r="D619" t="s">
        <v>37</v>
      </c>
      <c r="E619" t="s">
        <v>50</v>
      </c>
      <c r="F619" s="1">
        <v>42473</v>
      </c>
      <c r="G619" s="1">
        <v>42501</v>
      </c>
      <c r="H619" t="s">
        <v>25</v>
      </c>
      <c r="I619">
        <v>28</v>
      </c>
      <c r="J619" t="s">
        <v>77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 t="s">
        <v>23</v>
      </c>
      <c r="R619">
        <v>0</v>
      </c>
    </row>
    <row r="620" spans="1:18">
      <c r="A620" s="4">
        <v>194398000000000</v>
      </c>
      <c r="B620" t="s">
        <v>28</v>
      </c>
      <c r="C620">
        <v>36</v>
      </c>
      <c r="D620" t="s">
        <v>27</v>
      </c>
      <c r="E620" t="s">
        <v>61</v>
      </c>
      <c r="F620" s="1">
        <v>42473</v>
      </c>
      <c r="G620" s="1">
        <v>42495</v>
      </c>
      <c r="H620" t="s">
        <v>33</v>
      </c>
      <c r="I620">
        <v>22</v>
      </c>
      <c r="J620" t="s">
        <v>77</v>
      </c>
      <c r="K620">
        <v>1</v>
      </c>
      <c r="L620">
        <v>1</v>
      </c>
      <c r="M620">
        <v>0</v>
      </c>
      <c r="N620">
        <v>0</v>
      </c>
      <c r="O620">
        <v>0</v>
      </c>
      <c r="P620">
        <v>1</v>
      </c>
      <c r="Q620" t="s">
        <v>23</v>
      </c>
      <c r="R620">
        <v>0</v>
      </c>
    </row>
    <row r="621" spans="1:18">
      <c r="A621" s="4">
        <v>73485900000000</v>
      </c>
      <c r="B621" t="s">
        <v>18</v>
      </c>
      <c r="C621">
        <v>0</v>
      </c>
      <c r="D621" t="s">
        <v>31</v>
      </c>
      <c r="E621" t="s">
        <v>43</v>
      </c>
      <c r="F621" s="1">
        <v>42473</v>
      </c>
      <c r="G621" s="1">
        <v>42500</v>
      </c>
      <c r="H621" t="s">
        <v>41</v>
      </c>
      <c r="I621">
        <v>27</v>
      </c>
      <c r="J621" t="s">
        <v>77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 t="s">
        <v>23</v>
      </c>
      <c r="R621">
        <v>0</v>
      </c>
    </row>
    <row r="622" spans="1:18">
      <c r="A622" s="4">
        <v>319323000000</v>
      </c>
      <c r="B622" t="s">
        <v>28</v>
      </c>
      <c r="C622">
        <v>1</v>
      </c>
      <c r="D622" t="s">
        <v>31</v>
      </c>
      <c r="E622" t="s">
        <v>73</v>
      </c>
      <c r="F622" s="1">
        <v>42473</v>
      </c>
      <c r="G622" s="1">
        <v>42514</v>
      </c>
      <c r="H622" t="s">
        <v>41</v>
      </c>
      <c r="I622">
        <v>41</v>
      </c>
      <c r="J622" t="s">
        <v>22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 t="s">
        <v>23</v>
      </c>
      <c r="R622">
        <v>0</v>
      </c>
    </row>
    <row r="623" spans="1:18">
      <c r="A623" s="4">
        <v>7893240000000</v>
      </c>
      <c r="B623" t="s">
        <v>18</v>
      </c>
      <c r="C623">
        <v>27</v>
      </c>
      <c r="D623" t="s">
        <v>37</v>
      </c>
      <c r="E623" t="s">
        <v>72</v>
      </c>
      <c r="F623" s="1">
        <v>42473</v>
      </c>
      <c r="G623" s="1">
        <v>42507</v>
      </c>
      <c r="H623" t="s">
        <v>41</v>
      </c>
      <c r="I623">
        <v>34</v>
      </c>
      <c r="J623" t="s">
        <v>22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26</v>
      </c>
      <c r="R623">
        <v>1</v>
      </c>
    </row>
    <row r="624" spans="1:18">
      <c r="A624" s="4">
        <v>28763200000000</v>
      </c>
      <c r="B624" t="s">
        <v>18</v>
      </c>
      <c r="C624">
        <v>54</v>
      </c>
      <c r="D624" t="s">
        <v>35</v>
      </c>
      <c r="E624" t="s">
        <v>68</v>
      </c>
      <c r="F624" s="1">
        <v>42473</v>
      </c>
      <c r="G624" s="1">
        <v>42507</v>
      </c>
      <c r="H624" t="s">
        <v>41</v>
      </c>
      <c r="I624">
        <v>34</v>
      </c>
      <c r="J624" t="s">
        <v>22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 t="s">
        <v>23</v>
      </c>
      <c r="R624">
        <v>0</v>
      </c>
    </row>
    <row r="625" spans="1:18">
      <c r="A625" s="4">
        <v>27653300000000</v>
      </c>
      <c r="B625" t="s">
        <v>18</v>
      </c>
      <c r="C625">
        <v>31</v>
      </c>
      <c r="D625" t="s">
        <v>37</v>
      </c>
      <c r="E625" t="s">
        <v>86</v>
      </c>
      <c r="F625" s="1">
        <v>42473</v>
      </c>
      <c r="G625" s="1">
        <v>42495</v>
      </c>
      <c r="H625" t="s">
        <v>33</v>
      </c>
      <c r="I625">
        <v>22</v>
      </c>
      <c r="J625" t="s">
        <v>77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</v>
      </c>
      <c r="Q625" t="s">
        <v>23</v>
      </c>
      <c r="R625">
        <v>0</v>
      </c>
    </row>
    <row r="626" spans="1:18">
      <c r="A626" s="4">
        <v>6439420000000</v>
      </c>
      <c r="B626" t="s">
        <v>18</v>
      </c>
      <c r="C626">
        <v>15</v>
      </c>
      <c r="D626" t="s">
        <v>60</v>
      </c>
      <c r="E626" t="s">
        <v>73</v>
      </c>
      <c r="F626" s="1">
        <v>42473</v>
      </c>
      <c r="G626" s="1">
        <v>42495</v>
      </c>
      <c r="H626" t="s">
        <v>33</v>
      </c>
      <c r="I626">
        <v>22</v>
      </c>
      <c r="J626" t="s">
        <v>77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26</v>
      </c>
      <c r="R626">
        <v>1</v>
      </c>
    </row>
    <row r="627" spans="1:18">
      <c r="A627" s="4">
        <v>32454600000000</v>
      </c>
      <c r="B627" t="s">
        <v>18</v>
      </c>
      <c r="C627">
        <v>22</v>
      </c>
      <c r="D627" t="s">
        <v>37</v>
      </c>
      <c r="E627" t="s">
        <v>29</v>
      </c>
      <c r="F627" s="1">
        <v>42473</v>
      </c>
      <c r="G627" s="1">
        <v>42496</v>
      </c>
      <c r="H627" t="s">
        <v>21</v>
      </c>
      <c r="I627">
        <v>23</v>
      </c>
      <c r="J627" t="s">
        <v>77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 t="s">
        <v>23</v>
      </c>
      <c r="R627">
        <v>0</v>
      </c>
    </row>
    <row r="628" spans="1:18">
      <c r="A628" s="4">
        <v>2396760000000</v>
      </c>
      <c r="B628" t="s">
        <v>18</v>
      </c>
      <c r="C628">
        <v>32</v>
      </c>
      <c r="D628" t="s">
        <v>37</v>
      </c>
      <c r="E628" t="s">
        <v>39</v>
      </c>
      <c r="F628" s="1">
        <v>42473</v>
      </c>
      <c r="G628" s="1">
        <v>42508</v>
      </c>
      <c r="H628" t="s">
        <v>25</v>
      </c>
      <c r="I628">
        <v>35</v>
      </c>
      <c r="J628" t="s">
        <v>22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23</v>
      </c>
      <c r="R628">
        <v>0</v>
      </c>
    </row>
    <row r="629" spans="1:18">
      <c r="A629" s="4">
        <v>81964600000000</v>
      </c>
      <c r="B629" t="s">
        <v>18</v>
      </c>
      <c r="C629">
        <v>28</v>
      </c>
      <c r="D629" t="s">
        <v>37</v>
      </c>
      <c r="E629" t="s">
        <v>72</v>
      </c>
      <c r="F629" s="1">
        <v>42474</v>
      </c>
      <c r="G629" s="1">
        <v>42506</v>
      </c>
      <c r="H629" t="s">
        <v>30</v>
      </c>
      <c r="I629">
        <v>32</v>
      </c>
      <c r="J629" t="s">
        <v>22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26</v>
      </c>
      <c r="R629">
        <v>1</v>
      </c>
    </row>
    <row r="630" spans="1:18">
      <c r="A630" s="4">
        <v>8795490000000</v>
      </c>
      <c r="B630" t="s">
        <v>28</v>
      </c>
      <c r="C630">
        <v>38</v>
      </c>
      <c r="D630" t="s">
        <v>27</v>
      </c>
      <c r="E630" t="s">
        <v>87</v>
      </c>
      <c r="F630" s="1">
        <v>42474</v>
      </c>
      <c r="G630" s="1">
        <v>42489</v>
      </c>
      <c r="H630" t="s">
        <v>21</v>
      </c>
      <c r="I630">
        <v>15</v>
      </c>
      <c r="J630" t="s">
        <v>77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</v>
      </c>
      <c r="Q630" t="s">
        <v>26</v>
      </c>
      <c r="R630">
        <v>1</v>
      </c>
    </row>
    <row r="631" spans="1:18">
      <c r="A631" s="4">
        <v>456424000000000</v>
      </c>
      <c r="B631" t="s">
        <v>28</v>
      </c>
      <c r="C631">
        <v>2</v>
      </c>
      <c r="D631" t="s">
        <v>31</v>
      </c>
      <c r="E631" t="s">
        <v>39</v>
      </c>
      <c r="F631" s="1">
        <v>42474</v>
      </c>
      <c r="G631" s="1">
        <v>42492</v>
      </c>
      <c r="H631" t="s">
        <v>30</v>
      </c>
      <c r="I631">
        <v>18</v>
      </c>
      <c r="J631" t="s">
        <v>77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</v>
      </c>
      <c r="Q631" t="s">
        <v>23</v>
      </c>
      <c r="R631">
        <v>0</v>
      </c>
    </row>
    <row r="632" spans="1:18">
      <c r="A632" s="4">
        <v>531979000000</v>
      </c>
      <c r="B632" t="s">
        <v>18</v>
      </c>
      <c r="C632">
        <v>3</v>
      </c>
      <c r="D632" t="s">
        <v>31</v>
      </c>
      <c r="E632" t="s">
        <v>73</v>
      </c>
      <c r="F632" s="1">
        <v>42474</v>
      </c>
      <c r="G632" s="1">
        <v>42524</v>
      </c>
      <c r="H632" t="s">
        <v>21</v>
      </c>
      <c r="I632">
        <v>50</v>
      </c>
      <c r="J632" t="s">
        <v>22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 t="s">
        <v>23</v>
      </c>
      <c r="R632">
        <v>0</v>
      </c>
    </row>
    <row r="633" spans="1:18">
      <c r="A633" s="4">
        <v>24451200000000</v>
      </c>
      <c r="B633" t="s">
        <v>28</v>
      </c>
      <c r="C633">
        <v>15</v>
      </c>
      <c r="D633" t="s">
        <v>60</v>
      </c>
      <c r="E633" t="s">
        <v>55</v>
      </c>
      <c r="F633" s="1">
        <v>42474</v>
      </c>
      <c r="G633" s="1">
        <v>42522</v>
      </c>
      <c r="H633" t="s">
        <v>25</v>
      </c>
      <c r="I633">
        <v>48</v>
      </c>
      <c r="J633" t="s">
        <v>22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23</v>
      </c>
      <c r="R633">
        <v>0</v>
      </c>
    </row>
    <row r="634" spans="1:18">
      <c r="A634" s="4">
        <v>4177270000000</v>
      </c>
      <c r="B634" t="s">
        <v>18</v>
      </c>
      <c r="C634">
        <v>17</v>
      </c>
      <c r="D634" t="s">
        <v>60</v>
      </c>
      <c r="E634" t="s">
        <v>49</v>
      </c>
      <c r="F634" s="1">
        <v>42474</v>
      </c>
      <c r="G634" s="1">
        <v>42501</v>
      </c>
      <c r="H634" t="s">
        <v>25</v>
      </c>
      <c r="I634">
        <v>27</v>
      </c>
      <c r="J634" t="s">
        <v>77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 t="s">
        <v>23</v>
      </c>
      <c r="R634">
        <v>0</v>
      </c>
    </row>
    <row r="635" spans="1:18">
      <c r="A635" s="4">
        <v>223366000000</v>
      </c>
      <c r="B635" t="s">
        <v>18</v>
      </c>
      <c r="C635">
        <v>75</v>
      </c>
      <c r="D635" t="s">
        <v>19</v>
      </c>
      <c r="E635" t="s">
        <v>67</v>
      </c>
      <c r="F635" s="1">
        <v>42474</v>
      </c>
      <c r="G635" s="1">
        <v>42503</v>
      </c>
      <c r="H635" t="s">
        <v>21</v>
      </c>
      <c r="I635">
        <v>29</v>
      </c>
      <c r="J635" t="s">
        <v>77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23</v>
      </c>
      <c r="R635">
        <v>0</v>
      </c>
    </row>
    <row r="636" spans="1:18">
      <c r="A636" s="4">
        <v>316447000000</v>
      </c>
      <c r="B636" t="s">
        <v>28</v>
      </c>
      <c r="C636">
        <v>46</v>
      </c>
      <c r="D636" t="s">
        <v>27</v>
      </c>
      <c r="E636" t="s">
        <v>49</v>
      </c>
      <c r="F636" s="1">
        <v>42474</v>
      </c>
      <c r="G636" s="1">
        <v>42492</v>
      </c>
      <c r="H636" t="s">
        <v>30</v>
      </c>
      <c r="I636">
        <v>18</v>
      </c>
      <c r="J636" t="s">
        <v>77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 t="s">
        <v>23</v>
      </c>
      <c r="R636">
        <v>0</v>
      </c>
    </row>
    <row r="637" spans="1:18">
      <c r="A637" s="4">
        <v>869733000000000</v>
      </c>
      <c r="B637" t="s">
        <v>18</v>
      </c>
      <c r="C637">
        <v>62</v>
      </c>
      <c r="D637" t="s">
        <v>35</v>
      </c>
      <c r="E637" t="s">
        <v>39</v>
      </c>
      <c r="F637" s="1">
        <v>42474</v>
      </c>
      <c r="G637" s="1">
        <v>42510</v>
      </c>
      <c r="H637" t="s">
        <v>21</v>
      </c>
      <c r="I637">
        <v>36</v>
      </c>
      <c r="J637" t="s">
        <v>22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23</v>
      </c>
      <c r="R637">
        <v>0</v>
      </c>
    </row>
    <row r="638" spans="1:18">
      <c r="A638" s="4">
        <v>869733000000000</v>
      </c>
      <c r="B638" t="s">
        <v>18</v>
      </c>
      <c r="C638">
        <v>62</v>
      </c>
      <c r="D638" t="s">
        <v>35</v>
      </c>
      <c r="E638" t="s">
        <v>39</v>
      </c>
      <c r="F638" s="1">
        <v>42474</v>
      </c>
      <c r="G638" s="1">
        <v>42510</v>
      </c>
      <c r="H638" t="s">
        <v>21</v>
      </c>
      <c r="I638">
        <v>36</v>
      </c>
      <c r="J638" t="s">
        <v>22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23</v>
      </c>
      <c r="R638">
        <v>0</v>
      </c>
    </row>
    <row r="639" spans="1:18">
      <c r="A639" s="4">
        <v>5876870000000</v>
      </c>
      <c r="B639" t="s">
        <v>18</v>
      </c>
      <c r="C639">
        <v>9</v>
      </c>
      <c r="D639" t="s">
        <v>31</v>
      </c>
      <c r="E639" t="s">
        <v>45</v>
      </c>
      <c r="F639" s="1">
        <v>42474</v>
      </c>
      <c r="G639" s="1">
        <v>42499</v>
      </c>
      <c r="H639" t="s">
        <v>30</v>
      </c>
      <c r="I639">
        <v>25</v>
      </c>
      <c r="J639" t="s">
        <v>77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26</v>
      </c>
      <c r="R639">
        <v>1</v>
      </c>
    </row>
    <row r="640" spans="1:18">
      <c r="A640" s="4">
        <v>29153600000000</v>
      </c>
      <c r="B640" t="s">
        <v>28</v>
      </c>
      <c r="C640">
        <v>65</v>
      </c>
      <c r="D640" t="s">
        <v>35</v>
      </c>
      <c r="E640" t="s">
        <v>72</v>
      </c>
      <c r="F640" s="1">
        <v>42474</v>
      </c>
      <c r="G640" s="1">
        <v>42503</v>
      </c>
      <c r="H640" t="s">
        <v>21</v>
      </c>
      <c r="I640">
        <v>29</v>
      </c>
      <c r="J640" t="s">
        <v>77</v>
      </c>
      <c r="K640">
        <v>0</v>
      </c>
      <c r="L640">
        <v>1</v>
      </c>
      <c r="M640">
        <v>1</v>
      </c>
      <c r="N640">
        <v>0</v>
      </c>
      <c r="O640">
        <v>0</v>
      </c>
      <c r="P640">
        <v>0</v>
      </c>
      <c r="Q640" t="s">
        <v>23</v>
      </c>
      <c r="R640">
        <v>0</v>
      </c>
    </row>
    <row r="641" spans="1:18">
      <c r="A641" s="4">
        <v>54839500000000</v>
      </c>
      <c r="B641" t="s">
        <v>18</v>
      </c>
      <c r="C641">
        <v>40</v>
      </c>
      <c r="D641" t="s">
        <v>27</v>
      </c>
      <c r="E641" t="s">
        <v>45</v>
      </c>
      <c r="F641" s="1">
        <v>42474</v>
      </c>
      <c r="G641" s="1">
        <v>42495</v>
      </c>
      <c r="H641" t="s">
        <v>33</v>
      </c>
      <c r="I641">
        <v>21</v>
      </c>
      <c r="J641" t="s">
        <v>77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1</v>
      </c>
      <c r="Q641" t="s">
        <v>26</v>
      </c>
      <c r="R641">
        <v>1</v>
      </c>
    </row>
    <row r="642" spans="1:18">
      <c r="A642" s="4">
        <v>725984000000</v>
      </c>
      <c r="B642" t="s">
        <v>18</v>
      </c>
      <c r="C642">
        <v>19</v>
      </c>
      <c r="D642" t="s">
        <v>37</v>
      </c>
      <c r="E642" t="s">
        <v>69</v>
      </c>
      <c r="F642" s="1">
        <v>42474</v>
      </c>
      <c r="G642" s="1">
        <v>42502</v>
      </c>
      <c r="H642" t="s">
        <v>33</v>
      </c>
      <c r="I642">
        <v>28</v>
      </c>
      <c r="J642" t="s">
        <v>77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23</v>
      </c>
      <c r="R642">
        <v>0</v>
      </c>
    </row>
    <row r="643" spans="1:18">
      <c r="A643" s="4">
        <v>44772500000000</v>
      </c>
      <c r="B643" t="s">
        <v>18</v>
      </c>
      <c r="C643">
        <v>20</v>
      </c>
      <c r="D643" t="s">
        <v>37</v>
      </c>
      <c r="E643" t="s">
        <v>57</v>
      </c>
      <c r="F643" s="1">
        <v>42474</v>
      </c>
      <c r="G643" s="1">
        <v>42499</v>
      </c>
      <c r="H643" t="s">
        <v>30</v>
      </c>
      <c r="I643">
        <v>25</v>
      </c>
      <c r="J643" t="s">
        <v>77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23</v>
      </c>
      <c r="R643">
        <v>0</v>
      </c>
    </row>
    <row r="644" spans="1:18">
      <c r="A644" s="4">
        <v>22392700000000</v>
      </c>
      <c r="B644" t="s">
        <v>18</v>
      </c>
      <c r="C644">
        <v>22</v>
      </c>
      <c r="D644" t="s">
        <v>37</v>
      </c>
      <c r="E644" t="s">
        <v>40</v>
      </c>
      <c r="F644" s="1">
        <v>42474</v>
      </c>
      <c r="G644" s="1">
        <v>42502</v>
      </c>
      <c r="H644" t="s">
        <v>33</v>
      </c>
      <c r="I644">
        <v>28</v>
      </c>
      <c r="J644" t="s">
        <v>77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1</v>
      </c>
      <c r="Q644" t="s">
        <v>23</v>
      </c>
      <c r="R644">
        <v>0</v>
      </c>
    </row>
    <row r="645" spans="1:18">
      <c r="A645" s="4">
        <v>913272000000000</v>
      </c>
      <c r="B645" t="s">
        <v>18</v>
      </c>
      <c r="C645">
        <v>29</v>
      </c>
      <c r="D645" t="s">
        <v>37</v>
      </c>
      <c r="E645" t="s">
        <v>64</v>
      </c>
      <c r="F645" s="1">
        <v>42474</v>
      </c>
      <c r="G645" s="1">
        <v>42489</v>
      </c>
      <c r="H645" t="s">
        <v>21</v>
      </c>
      <c r="I645">
        <v>15</v>
      </c>
      <c r="J645" t="s">
        <v>77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 t="s">
        <v>23</v>
      </c>
      <c r="R645">
        <v>0</v>
      </c>
    </row>
    <row r="646" spans="1:18">
      <c r="A646" s="4">
        <v>217283000000000</v>
      </c>
      <c r="B646" t="s">
        <v>18</v>
      </c>
      <c r="C646">
        <v>27</v>
      </c>
      <c r="D646" t="s">
        <v>37</v>
      </c>
      <c r="E646" t="s">
        <v>55</v>
      </c>
      <c r="F646" s="1">
        <v>42474</v>
      </c>
      <c r="G646" s="1">
        <v>42521</v>
      </c>
      <c r="H646" t="s">
        <v>41</v>
      </c>
      <c r="I646">
        <v>47</v>
      </c>
      <c r="J646" t="s">
        <v>22</v>
      </c>
      <c r="K646">
        <v>1</v>
      </c>
      <c r="L646">
        <v>0</v>
      </c>
      <c r="M646">
        <v>1</v>
      </c>
      <c r="N646">
        <v>0</v>
      </c>
      <c r="O646">
        <v>0</v>
      </c>
      <c r="P646">
        <v>1</v>
      </c>
      <c r="Q646" t="s">
        <v>26</v>
      </c>
      <c r="R646">
        <v>1</v>
      </c>
    </row>
    <row r="647" spans="1:18">
      <c r="A647" s="4">
        <v>18983600000000</v>
      </c>
      <c r="B647" t="s">
        <v>18</v>
      </c>
      <c r="C647">
        <v>32</v>
      </c>
      <c r="D647" t="s">
        <v>37</v>
      </c>
      <c r="E647" t="s">
        <v>32</v>
      </c>
      <c r="F647" s="1">
        <v>42474</v>
      </c>
      <c r="G647" s="1">
        <v>42501</v>
      </c>
      <c r="H647" t="s">
        <v>25</v>
      </c>
      <c r="I647">
        <v>27</v>
      </c>
      <c r="J647" t="s">
        <v>77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1</v>
      </c>
      <c r="Q647" t="s">
        <v>23</v>
      </c>
      <c r="R647">
        <v>0</v>
      </c>
    </row>
    <row r="648" spans="1:18">
      <c r="A648" s="4">
        <v>924969000000000</v>
      </c>
      <c r="B648" t="s">
        <v>28</v>
      </c>
      <c r="C648">
        <v>0</v>
      </c>
      <c r="D648" t="s">
        <v>31</v>
      </c>
      <c r="E648" t="s">
        <v>72</v>
      </c>
      <c r="F648" s="1">
        <v>42474</v>
      </c>
      <c r="G648" s="1">
        <v>42508</v>
      </c>
      <c r="H648" t="s">
        <v>25</v>
      </c>
      <c r="I648">
        <v>34</v>
      </c>
      <c r="J648" t="s">
        <v>22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23</v>
      </c>
      <c r="R648">
        <v>0</v>
      </c>
    </row>
    <row r="649" spans="1:18">
      <c r="A649" s="4">
        <v>397384000000000</v>
      </c>
      <c r="B649" t="s">
        <v>28</v>
      </c>
      <c r="C649">
        <v>3</v>
      </c>
      <c r="D649" t="s">
        <v>31</v>
      </c>
      <c r="E649" t="s">
        <v>46</v>
      </c>
      <c r="F649" s="1">
        <v>42474</v>
      </c>
      <c r="G649" s="1">
        <v>42501</v>
      </c>
      <c r="H649" t="s">
        <v>25</v>
      </c>
      <c r="I649">
        <v>27</v>
      </c>
      <c r="J649" t="s">
        <v>77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 t="s">
        <v>23</v>
      </c>
      <c r="R649">
        <v>0</v>
      </c>
    </row>
    <row r="650" spans="1:18">
      <c r="A650" s="4">
        <v>83246400000000</v>
      </c>
      <c r="B650" t="s">
        <v>18</v>
      </c>
      <c r="C650">
        <v>60</v>
      </c>
      <c r="D650" t="s">
        <v>35</v>
      </c>
      <c r="E650" t="s">
        <v>61</v>
      </c>
      <c r="F650" s="1">
        <v>42474</v>
      </c>
      <c r="G650" s="1">
        <v>42492</v>
      </c>
      <c r="H650" t="s">
        <v>30</v>
      </c>
      <c r="I650">
        <v>18</v>
      </c>
      <c r="J650" t="s">
        <v>77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 t="s">
        <v>26</v>
      </c>
      <c r="R650">
        <v>1</v>
      </c>
    </row>
    <row r="651" spans="1:18">
      <c r="A651" s="4">
        <v>52652900000000</v>
      </c>
      <c r="B651" t="s">
        <v>28</v>
      </c>
      <c r="C651">
        <v>11</v>
      </c>
      <c r="D651" t="s">
        <v>31</v>
      </c>
      <c r="E651" t="s">
        <v>29</v>
      </c>
      <c r="F651" s="1">
        <v>42474</v>
      </c>
      <c r="G651" s="1">
        <v>42496</v>
      </c>
      <c r="H651" t="s">
        <v>21</v>
      </c>
      <c r="I651">
        <v>22</v>
      </c>
      <c r="J651" t="s">
        <v>77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  <c r="Q651" t="s">
        <v>23</v>
      </c>
      <c r="R651">
        <v>0</v>
      </c>
    </row>
    <row r="652" spans="1:18">
      <c r="A652" s="4">
        <v>229352000000000</v>
      </c>
      <c r="B652" t="s">
        <v>18</v>
      </c>
      <c r="C652">
        <v>38</v>
      </c>
      <c r="D652" t="s">
        <v>27</v>
      </c>
      <c r="E652" t="s">
        <v>29</v>
      </c>
      <c r="F652" s="1">
        <v>42474</v>
      </c>
      <c r="G652" s="1">
        <v>42503</v>
      </c>
      <c r="H652" t="s">
        <v>21</v>
      </c>
      <c r="I652">
        <v>29</v>
      </c>
      <c r="J652" t="s">
        <v>77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23</v>
      </c>
      <c r="R652">
        <v>0</v>
      </c>
    </row>
    <row r="653" spans="1:18">
      <c r="A653" s="4">
        <v>9272170000000</v>
      </c>
      <c r="B653" t="s">
        <v>18</v>
      </c>
      <c r="C653">
        <v>19</v>
      </c>
      <c r="D653" t="s">
        <v>37</v>
      </c>
      <c r="E653" t="s">
        <v>54</v>
      </c>
      <c r="F653" s="1">
        <v>42474</v>
      </c>
      <c r="G653" s="1">
        <v>42495</v>
      </c>
      <c r="H653" t="s">
        <v>33</v>
      </c>
      <c r="I653">
        <v>21</v>
      </c>
      <c r="J653" t="s">
        <v>77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1</v>
      </c>
      <c r="Q653" t="s">
        <v>23</v>
      </c>
      <c r="R653">
        <v>0</v>
      </c>
    </row>
    <row r="654" spans="1:18">
      <c r="A654" s="4">
        <v>919951000000000</v>
      </c>
      <c r="B654" t="s">
        <v>18</v>
      </c>
      <c r="C654">
        <v>17</v>
      </c>
      <c r="D654" t="s">
        <v>60</v>
      </c>
      <c r="E654" t="s">
        <v>39</v>
      </c>
      <c r="F654" s="1">
        <v>42474</v>
      </c>
      <c r="G654" s="1">
        <v>42521</v>
      </c>
      <c r="H654" t="s">
        <v>41</v>
      </c>
      <c r="I654">
        <v>47</v>
      </c>
      <c r="J654" t="s">
        <v>22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1</v>
      </c>
      <c r="Q654" t="s">
        <v>23</v>
      </c>
      <c r="R654">
        <v>0</v>
      </c>
    </row>
    <row r="655" spans="1:18">
      <c r="A655" s="4">
        <v>168822000000000</v>
      </c>
      <c r="B655" t="s">
        <v>18</v>
      </c>
      <c r="C655">
        <v>63</v>
      </c>
      <c r="D655" t="s">
        <v>35</v>
      </c>
      <c r="E655" t="s">
        <v>45</v>
      </c>
      <c r="F655" s="1">
        <v>42474</v>
      </c>
      <c r="G655" s="1">
        <v>42514</v>
      </c>
      <c r="H655" t="s">
        <v>41</v>
      </c>
      <c r="I655">
        <v>40</v>
      </c>
      <c r="J655" t="s">
        <v>22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1</v>
      </c>
      <c r="Q655" t="s">
        <v>26</v>
      </c>
      <c r="R655">
        <v>1</v>
      </c>
    </row>
    <row r="656" spans="1:18">
      <c r="A656" s="4">
        <v>561911000000000</v>
      </c>
      <c r="B656" t="s">
        <v>28</v>
      </c>
      <c r="C656">
        <v>4</v>
      </c>
      <c r="D656" t="s">
        <v>31</v>
      </c>
      <c r="E656" t="s">
        <v>72</v>
      </c>
      <c r="F656" s="1">
        <v>42474</v>
      </c>
      <c r="G656" s="1">
        <v>42510</v>
      </c>
      <c r="H656" t="s">
        <v>21</v>
      </c>
      <c r="I656">
        <v>36</v>
      </c>
      <c r="J656" t="s">
        <v>22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23</v>
      </c>
      <c r="R656">
        <v>0</v>
      </c>
    </row>
    <row r="657" spans="1:18">
      <c r="A657" s="4">
        <v>6635480000000</v>
      </c>
      <c r="B657" t="s">
        <v>18</v>
      </c>
      <c r="C657">
        <v>36</v>
      </c>
      <c r="D657" t="s">
        <v>27</v>
      </c>
      <c r="E657" t="s">
        <v>72</v>
      </c>
      <c r="F657" s="1">
        <v>42474</v>
      </c>
      <c r="G657" s="1">
        <v>42520</v>
      </c>
      <c r="H657" t="s">
        <v>30</v>
      </c>
      <c r="I657">
        <v>46</v>
      </c>
      <c r="J657" t="s">
        <v>22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 t="s">
        <v>26</v>
      </c>
      <c r="R657">
        <v>1</v>
      </c>
    </row>
    <row r="658" spans="1:18">
      <c r="A658" s="4">
        <v>3549570000000</v>
      </c>
      <c r="B658" t="s">
        <v>28</v>
      </c>
      <c r="C658">
        <v>84</v>
      </c>
      <c r="D658" t="s">
        <v>19</v>
      </c>
      <c r="E658" t="s">
        <v>43</v>
      </c>
      <c r="F658" s="1">
        <v>42474</v>
      </c>
      <c r="G658" s="1">
        <v>42507</v>
      </c>
      <c r="H658" t="s">
        <v>41</v>
      </c>
      <c r="I658">
        <v>33</v>
      </c>
      <c r="J658" t="s">
        <v>22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23</v>
      </c>
      <c r="R658">
        <v>0</v>
      </c>
    </row>
    <row r="659" spans="1:18">
      <c r="A659" s="4">
        <v>168822000000000</v>
      </c>
      <c r="B659" t="s">
        <v>18</v>
      </c>
      <c r="C659">
        <v>63</v>
      </c>
      <c r="D659" t="s">
        <v>35</v>
      </c>
      <c r="E659" t="s">
        <v>45</v>
      </c>
      <c r="F659" s="1">
        <v>42474</v>
      </c>
      <c r="G659" s="1">
        <v>42500</v>
      </c>
      <c r="H659" t="s">
        <v>41</v>
      </c>
      <c r="I659">
        <v>26</v>
      </c>
      <c r="J659" t="s">
        <v>77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1</v>
      </c>
      <c r="Q659" t="s">
        <v>26</v>
      </c>
      <c r="R659">
        <v>1</v>
      </c>
    </row>
    <row r="660" spans="1:18">
      <c r="A660" s="4">
        <v>922785000000000</v>
      </c>
      <c r="B660" t="s">
        <v>18</v>
      </c>
      <c r="C660">
        <v>42</v>
      </c>
      <c r="D660" t="s">
        <v>27</v>
      </c>
      <c r="E660" t="s">
        <v>32</v>
      </c>
      <c r="F660" s="1">
        <v>42474</v>
      </c>
      <c r="G660" s="1">
        <v>42489</v>
      </c>
      <c r="H660" t="s">
        <v>21</v>
      </c>
      <c r="I660">
        <v>15</v>
      </c>
      <c r="J660" t="s">
        <v>77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 t="s">
        <v>23</v>
      </c>
      <c r="R660">
        <v>0</v>
      </c>
    </row>
    <row r="661" spans="1:18">
      <c r="A661" s="4">
        <v>1212230000000</v>
      </c>
      <c r="B661" t="s">
        <v>18</v>
      </c>
      <c r="C661">
        <v>57</v>
      </c>
      <c r="D661" t="s">
        <v>35</v>
      </c>
      <c r="E661" t="s">
        <v>45</v>
      </c>
      <c r="F661" s="1">
        <v>42474</v>
      </c>
      <c r="G661" s="1">
        <v>42501</v>
      </c>
      <c r="H661" t="s">
        <v>25</v>
      </c>
      <c r="I661">
        <v>27</v>
      </c>
      <c r="J661" t="s">
        <v>77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26</v>
      </c>
      <c r="R661">
        <v>1</v>
      </c>
    </row>
    <row r="662" spans="1:18">
      <c r="A662" s="4">
        <v>64119000000000</v>
      </c>
      <c r="B662" t="s">
        <v>28</v>
      </c>
      <c r="C662">
        <v>2</v>
      </c>
      <c r="D662" t="s">
        <v>31</v>
      </c>
      <c r="E662" t="s">
        <v>39</v>
      </c>
      <c r="F662" s="1">
        <v>42474</v>
      </c>
      <c r="G662" s="1">
        <v>42524</v>
      </c>
      <c r="H662" t="s">
        <v>21</v>
      </c>
      <c r="I662">
        <v>50</v>
      </c>
      <c r="J662" t="s">
        <v>22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 t="s">
        <v>23</v>
      </c>
      <c r="R662">
        <v>0</v>
      </c>
    </row>
    <row r="663" spans="1:18">
      <c r="A663" s="4">
        <v>92786000000000</v>
      </c>
      <c r="B663" t="s">
        <v>18</v>
      </c>
      <c r="C663">
        <v>91</v>
      </c>
      <c r="D663" t="s">
        <v>19</v>
      </c>
      <c r="E663" t="s">
        <v>29</v>
      </c>
      <c r="F663" s="1">
        <v>42474</v>
      </c>
      <c r="G663" s="1">
        <v>42502</v>
      </c>
      <c r="H663" t="s">
        <v>33</v>
      </c>
      <c r="I663">
        <v>28</v>
      </c>
      <c r="J663" t="s">
        <v>77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1</v>
      </c>
      <c r="Q663" t="s">
        <v>26</v>
      </c>
      <c r="R663">
        <v>1</v>
      </c>
    </row>
    <row r="664" spans="1:18">
      <c r="A664" s="4">
        <v>9192810000000</v>
      </c>
      <c r="B664" t="s">
        <v>18</v>
      </c>
      <c r="C664">
        <v>59</v>
      </c>
      <c r="D664" t="s">
        <v>35</v>
      </c>
      <c r="E664" t="s">
        <v>29</v>
      </c>
      <c r="F664" s="1">
        <v>42474</v>
      </c>
      <c r="G664" s="1">
        <v>42492</v>
      </c>
      <c r="H664" t="s">
        <v>30</v>
      </c>
      <c r="I664">
        <v>18</v>
      </c>
      <c r="J664" t="s">
        <v>77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 t="s">
        <v>26</v>
      </c>
      <c r="R664">
        <v>1</v>
      </c>
    </row>
    <row r="665" spans="1:18">
      <c r="A665" s="4">
        <v>75487300000000</v>
      </c>
      <c r="B665" t="s">
        <v>28</v>
      </c>
      <c r="C665">
        <v>45</v>
      </c>
      <c r="D665" t="s">
        <v>27</v>
      </c>
      <c r="E665" t="s">
        <v>39</v>
      </c>
      <c r="F665" s="1">
        <v>42474</v>
      </c>
      <c r="G665" s="1">
        <v>42510</v>
      </c>
      <c r="H665" t="s">
        <v>21</v>
      </c>
      <c r="I665">
        <v>36</v>
      </c>
      <c r="J665" t="s">
        <v>22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23</v>
      </c>
      <c r="R665">
        <v>0</v>
      </c>
    </row>
    <row r="666" spans="1:18">
      <c r="A666" s="4">
        <v>7972432873</v>
      </c>
      <c r="B666" t="s">
        <v>28</v>
      </c>
      <c r="C666">
        <v>0</v>
      </c>
      <c r="D666" t="s">
        <v>31</v>
      </c>
      <c r="E666" t="s">
        <v>55</v>
      </c>
      <c r="F666" s="1">
        <v>42474</v>
      </c>
      <c r="G666" s="1">
        <v>42492</v>
      </c>
      <c r="H666" t="s">
        <v>30</v>
      </c>
      <c r="I666">
        <v>18</v>
      </c>
      <c r="J666" t="s">
        <v>77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23</v>
      </c>
      <c r="R666">
        <v>0</v>
      </c>
    </row>
    <row r="667" spans="1:18">
      <c r="A667" s="4">
        <v>916763000000000</v>
      </c>
      <c r="B667" t="s">
        <v>18</v>
      </c>
      <c r="C667">
        <v>39</v>
      </c>
      <c r="D667" t="s">
        <v>27</v>
      </c>
      <c r="E667" t="s">
        <v>32</v>
      </c>
      <c r="F667" s="1">
        <v>42474</v>
      </c>
      <c r="G667" s="1">
        <v>42492</v>
      </c>
      <c r="H667" t="s">
        <v>30</v>
      </c>
      <c r="I667">
        <v>18</v>
      </c>
      <c r="J667" t="s">
        <v>77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 t="s">
        <v>26</v>
      </c>
      <c r="R667">
        <v>1</v>
      </c>
    </row>
    <row r="668" spans="1:18">
      <c r="A668" s="4">
        <v>24350000000000</v>
      </c>
      <c r="B668" t="s">
        <v>28</v>
      </c>
      <c r="C668">
        <v>43</v>
      </c>
      <c r="D668" t="s">
        <v>27</v>
      </c>
      <c r="E668" t="s">
        <v>67</v>
      </c>
      <c r="F668" s="1">
        <v>42474</v>
      </c>
      <c r="G668" s="1">
        <v>42507</v>
      </c>
      <c r="H668" t="s">
        <v>41</v>
      </c>
      <c r="I668">
        <v>33</v>
      </c>
      <c r="J668" t="s">
        <v>22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23</v>
      </c>
      <c r="R668">
        <v>0</v>
      </c>
    </row>
    <row r="669" spans="1:18">
      <c r="A669" s="4">
        <v>44236500000000</v>
      </c>
      <c r="B669" t="s">
        <v>18</v>
      </c>
      <c r="C669">
        <v>1</v>
      </c>
      <c r="D669" t="s">
        <v>31</v>
      </c>
      <c r="E669" t="s">
        <v>39</v>
      </c>
      <c r="F669" s="1">
        <v>42475</v>
      </c>
      <c r="G669" s="1">
        <v>42494</v>
      </c>
      <c r="H669" t="s">
        <v>25</v>
      </c>
      <c r="I669">
        <v>19</v>
      </c>
      <c r="J669" t="s">
        <v>77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 t="s">
        <v>23</v>
      </c>
      <c r="R669">
        <v>0</v>
      </c>
    </row>
    <row r="670" spans="1:18">
      <c r="A670" s="4">
        <v>6273110000000</v>
      </c>
      <c r="B670" t="s">
        <v>18</v>
      </c>
      <c r="C670">
        <v>61</v>
      </c>
      <c r="D670" t="s">
        <v>35</v>
      </c>
      <c r="E670" t="s">
        <v>50</v>
      </c>
      <c r="F670" s="1">
        <v>42475</v>
      </c>
      <c r="G670" s="1">
        <v>42493</v>
      </c>
      <c r="H670" t="s">
        <v>41</v>
      </c>
      <c r="I670">
        <v>18</v>
      </c>
      <c r="J670" t="s">
        <v>77</v>
      </c>
      <c r="K670">
        <v>0</v>
      </c>
      <c r="L670">
        <v>1</v>
      </c>
      <c r="M670">
        <v>1</v>
      </c>
      <c r="N670">
        <v>0</v>
      </c>
      <c r="O670">
        <v>0</v>
      </c>
      <c r="P670">
        <v>1</v>
      </c>
      <c r="Q670" t="s">
        <v>23</v>
      </c>
      <c r="R670">
        <v>0</v>
      </c>
    </row>
    <row r="671" spans="1:18">
      <c r="A671" s="4">
        <v>684627000000</v>
      </c>
      <c r="B671" t="s">
        <v>28</v>
      </c>
      <c r="C671">
        <v>50</v>
      </c>
      <c r="D671" t="s">
        <v>27</v>
      </c>
      <c r="E671" t="s">
        <v>55</v>
      </c>
      <c r="F671" s="1">
        <v>42475</v>
      </c>
      <c r="G671" s="1">
        <v>42492</v>
      </c>
      <c r="H671" t="s">
        <v>30</v>
      </c>
      <c r="I671">
        <v>17</v>
      </c>
      <c r="J671" t="s">
        <v>77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23</v>
      </c>
      <c r="R671">
        <v>0</v>
      </c>
    </row>
    <row r="672" spans="1:18">
      <c r="A672" s="4">
        <v>87499900000000</v>
      </c>
      <c r="B672" t="s">
        <v>28</v>
      </c>
      <c r="C672">
        <v>49</v>
      </c>
      <c r="D672" t="s">
        <v>27</v>
      </c>
      <c r="E672" t="s">
        <v>70</v>
      </c>
      <c r="F672" s="1">
        <v>42475</v>
      </c>
      <c r="G672" s="1">
        <v>42496</v>
      </c>
      <c r="H672" t="s">
        <v>21</v>
      </c>
      <c r="I672">
        <v>21</v>
      </c>
      <c r="J672" t="s">
        <v>77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 t="s">
        <v>23</v>
      </c>
      <c r="R672">
        <v>0</v>
      </c>
    </row>
    <row r="673" spans="1:18">
      <c r="A673" s="4">
        <v>88678600000000</v>
      </c>
      <c r="B673" t="s">
        <v>28</v>
      </c>
      <c r="C673">
        <v>53</v>
      </c>
      <c r="D673" t="s">
        <v>35</v>
      </c>
      <c r="E673" t="s">
        <v>72</v>
      </c>
      <c r="F673" s="1">
        <v>42475</v>
      </c>
      <c r="G673" s="1">
        <v>42508</v>
      </c>
      <c r="H673" t="s">
        <v>25</v>
      </c>
      <c r="I673">
        <v>33</v>
      </c>
      <c r="J673" t="s">
        <v>22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23</v>
      </c>
      <c r="R673">
        <v>0</v>
      </c>
    </row>
    <row r="674" spans="1:18">
      <c r="A674" s="4">
        <v>55956500000000</v>
      </c>
      <c r="B674" t="s">
        <v>18</v>
      </c>
      <c r="C674">
        <v>51</v>
      </c>
      <c r="D674" t="s">
        <v>35</v>
      </c>
      <c r="E674" t="s">
        <v>58</v>
      </c>
      <c r="F674" s="1">
        <v>42475</v>
      </c>
      <c r="G674" s="1">
        <v>42496</v>
      </c>
      <c r="H674" t="s">
        <v>21</v>
      </c>
      <c r="I674">
        <v>21</v>
      </c>
      <c r="J674" t="s">
        <v>77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 t="s">
        <v>23</v>
      </c>
      <c r="R674">
        <v>0</v>
      </c>
    </row>
    <row r="675" spans="1:18">
      <c r="A675" s="4">
        <v>576795000000000</v>
      </c>
      <c r="B675" t="s">
        <v>18</v>
      </c>
      <c r="C675">
        <v>6</v>
      </c>
      <c r="D675" t="s">
        <v>31</v>
      </c>
      <c r="E675" t="s">
        <v>72</v>
      </c>
      <c r="F675" s="1">
        <v>42475</v>
      </c>
      <c r="G675" s="1">
        <v>42508</v>
      </c>
      <c r="H675" t="s">
        <v>25</v>
      </c>
      <c r="I675">
        <v>33</v>
      </c>
      <c r="J675" t="s">
        <v>22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23</v>
      </c>
      <c r="R675">
        <v>0</v>
      </c>
    </row>
    <row r="676" spans="1:18">
      <c r="A676" s="4">
        <v>27256700000000</v>
      </c>
      <c r="B676" t="s">
        <v>28</v>
      </c>
      <c r="C676">
        <v>70</v>
      </c>
      <c r="D676" t="s">
        <v>19</v>
      </c>
      <c r="E676" t="s">
        <v>47</v>
      </c>
      <c r="F676" s="1">
        <v>42475</v>
      </c>
      <c r="G676" s="1">
        <v>42492</v>
      </c>
      <c r="H676" t="s">
        <v>30</v>
      </c>
      <c r="I676">
        <v>17</v>
      </c>
      <c r="J676" t="s">
        <v>77</v>
      </c>
      <c r="K676">
        <v>0</v>
      </c>
      <c r="L676">
        <v>1</v>
      </c>
      <c r="M676">
        <v>1</v>
      </c>
      <c r="N676">
        <v>0</v>
      </c>
      <c r="O676">
        <v>0</v>
      </c>
      <c r="P676">
        <v>0</v>
      </c>
      <c r="Q676" t="s">
        <v>23</v>
      </c>
      <c r="R676">
        <v>0</v>
      </c>
    </row>
    <row r="677" spans="1:18">
      <c r="A677" s="4">
        <v>77397739264</v>
      </c>
      <c r="B677" t="s">
        <v>28</v>
      </c>
      <c r="C677">
        <v>65</v>
      </c>
      <c r="D677" t="s">
        <v>35</v>
      </c>
      <c r="E677" t="s">
        <v>58</v>
      </c>
      <c r="F677" s="1">
        <v>42475</v>
      </c>
      <c r="G677" s="1">
        <v>42496</v>
      </c>
      <c r="H677" t="s">
        <v>21</v>
      </c>
      <c r="I677">
        <v>21</v>
      </c>
      <c r="J677" t="s">
        <v>77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1</v>
      </c>
      <c r="Q677" t="s">
        <v>23</v>
      </c>
      <c r="R677">
        <v>0</v>
      </c>
    </row>
    <row r="678" spans="1:18">
      <c r="A678" s="4">
        <v>77397739264</v>
      </c>
      <c r="B678" t="s">
        <v>28</v>
      </c>
      <c r="C678">
        <v>65</v>
      </c>
      <c r="D678" t="s">
        <v>35</v>
      </c>
      <c r="E678" t="s">
        <v>58</v>
      </c>
      <c r="F678" s="1">
        <v>42475</v>
      </c>
      <c r="G678" s="1">
        <v>42495</v>
      </c>
      <c r="H678" t="s">
        <v>33</v>
      </c>
      <c r="I678">
        <v>20</v>
      </c>
      <c r="J678" t="s">
        <v>77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 t="s">
        <v>23</v>
      </c>
      <c r="R678">
        <v>0</v>
      </c>
    </row>
    <row r="679" spans="1:18">
      <c r="A679" s="4">
        <v>9727470000000</v>
      </c>
      <c r="B679" t="s">
        <v>18</v>
      </c>
      <c r="C679">
        <v>33</v>
      </c>
      <c r="D679" t="s">
        <v>37</v>
      </c>
      <c r="E679" t="s">
        <v>91</v>
      </c>
      <c r="F679" s="1">
        <v>42475</v>
      </c>
      <c r="G679" s="1">
        <v>42492</v>
      </c>
      <c r="H679" t="s">
        <v>30</v>
      </c>
      <c r="I679">
        <v>17</v>
      </c>
      <c r="J679" t="s">
        <v>77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 t="s">
        <v>23</v>
      </c>
      <c r="R679">
        <v>0</v>
      </c>
    </row>
    <row r="680" spans="1:18">
      <c r="A680" s="4">
        <v>651872000000000</v>
      </c>
      <c r="B680" t="s">
        <v>28</v>
      </c>
      <c r="C680">
        <v>48</v>
      </c>
      <c r="D680" t="s">
        <v>27</v>
      </c>
      <c r="E680" t="s">
        <v>50</v>
      </c>
      <c r="F680" s="1">
        <v>42475</v>
      </c>
      <c r="G680" s="1">
        <v>42492</v>
      </c>
      <c r="H680" t="s">
        <v>30</v>
      </c>
      <c r="I680">
        <v>17</v>
      </c>
      <c r="J680" t="s">
        <v>77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 t="s">
        <v>23</v>
      </c>
      <c r="R680">
        <v>0</v>
      </c>
    </row>
    <row r="681" spans="1:18">
      <c r="A681" s="4">
        <v>24823597659</v>
      </c>
      <c r="B681" t="s">
        <v>28</v>
      </c>
      <c r="C681">
        <v>51</v>
      </c>
      <c r="D681" t="s">
        <v>35</v>
      </c>
      <c r="E681" t="s">
        <v>50</v>
      </c>
      <c r="F681" s="1">
        <v>42475</v>
      </c>
      <c r="G681" s="1">
        <v>42492</v>
      </c>
      <c r="H681" t="s">
        <v>30</v>
      </c>
      <c r="I681">
        <v>17</v>
      </c>
      <c r="J681" t="s">
        <v>77</v>
      </c>
      <c r="K681">
        <v>0</v>
      </c>
      <c r="L681">
        <v>1</v>
      </c>
      <c r="M681">
        <v>0</v>
      </c>
      <c r="N681">
        <v>1</v>
      </c>
      <c r="O681">
        <v>0</v>
      </c>
      <c r="P681">
        <v>1</v>
      </c>
      <c r="Q681" t="s">
        <v>23</v>
      </c>
      <c r="R681">
        <v>0</v>
      </c>
    </row>
    <row r="682" spans="1:18">
      <c r="A682" s="4">
        <v>5561950000000</v>
      </c>
      <c r="B682" t="s">
        <v>18</v>
      </c>
      <c r="C682">
        <v>50</v>
      </c>
      <c r="D682" t="s">
        <v>27</v>
      </c>
      <c r="E682" t="s">
        <v>58</v>
      </c>
      <c r="F682" s="1">
        <v>42475</v>
      </c>
      <c r="G682" s="1">
        <v>42501</v>
      </c>
      <c r="H682" t="s">
        <v>25</v>
      </c>
      <c r="I682">
        <v>26</v>
      </c>
      <c r="J682" t="s">
        <v>77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 t="s">
        <v>23</v>
      </c>
      <c r="R682">
        <v>0</v>
      </c>
    </row>
    <row r="683" spans="1:18">
      <c r="A683" s="4">
        <v>294467000000000</v>
      </c>
      <c r="B683" t="s">
        <v>28</v>
      </c>
      <c r="C683">
        <v>36</v>
      </c>
      <c r="D683" t="s">
        <v>27</v>
      </c>
      <c r="E683" t="s">
        <v>75</v>
      </c>
      <c r="F683" s="1">
        <v>42475</v>
      </c>
      <c r="G683" s="1">
        <v>42489</v>
      </c>
      <c r="H683" t="s">
        <v>21</v>
      </c>
      <c r="I683">
        <v>14</v>
      </c>
      <c r="J683" t="s">
        <v>92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 t="s">
        <v>23</v>
      </c>
      <c r="R683">
        <v>0</v>
      </c>
    </row>
    <row r="684" spans="1:18">
      <c r="A684" s="4">
        <v>39727500000000</v>
      </c>
      <c r="B684" t="s">
        <v>18</v>
      </c>
      <c r="C684">
        <v>54</v>
      </c>
      <c r="D684" t="s">
        <v>35</v>
      </c>
      <c r="E684" t="s">
        <v>29</v>
      </c>
      <c r="F684" s="1">
        <v>42475</v>
      </c>
      <c r="G684" s="1">
        <v>42489</v>
      </c>
      <c r="H684" t="s">
        <v>21</v>
      </c>
      <c r="I684">
        <v>14</v>
      </c>
      <c r="J684" t="s">
        <v>92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1</v>
      </c>
      <c r="Q684" t="s">
        <v>23</v>
      </c>
      <c r="R684">
        <v>0</v>
      </c>
    </row>
    <row r="685" spans="1:18">
      <c r="A685" s="4">
        <v>8188120000000</v>
      </c>
      <c r="B685" t="s">
        <v>28</v>
      </c>
      <c r="C685">
        <v>46</v>
      </c>
      <c r="D685" t="s">
        <v>27</v>
      </c>
      <c r="E685" t="s">
        <v>50</v>
      </c>
      <c r="F685" s="1">
        <v>42475</v>
      </c>
      <c r="G685" s="1">
        <v>42493</v>
      </c>
      <c r="H685" t="s">
        <v>41</v>
      </c>
      <c r="I685">
        <v>18</v>
      </c>
      <c r="J685" t="s">
        <v>77</v>
      </c>
      <c r="K685">
        <v>0</v>
      </c>
      <c r="L685">
        <v>1</v>
      </c>
      <c r="M685">
        <v>0</v>
      </c>
      <c r="N685">
        <v>0</v>
      </c>
      <c r="O685">
        <v>1</v>
      </c>
      <c r="P685">
        <v>0</v>
      </c>
      <c r="Q685" t="s">
        <v>23</v>
      </c>
      <c r="R685">
        <v>0</v>
      </c>
    </row>
    <row r="686" spans="1:18">
      <c r="A686" s="4">
        <v>295445000000</v>
      </c>
      <c r="B686" t="s">
        <v>28</v>
      </c>
      <c r="C686">
        <v>8</v>
      </c>
      <c r="D686" t="s">
        <v>31</v>
      </c>
      <c r="E686" t="s">
        <v>93</v>
      </c>
      <c r="F686" s="1">
        <v>42475</v>
      </c>
      <c r="G686" s="1">
        <v>42503</v>
      </c>
      <c r="H686" t="s">
        <v>21</v>
      </c>
      <c r="I686">
        <v>28</v>
      </c>
      <c r="J686" t="s">
        <v>77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23</v>
      </c>
      <c r="R686">
        <v>0</v>
      </c>
    </row>
    <row r="687" spans="1:18">
      <c r="A687" s="4">
        <v>12517600000000</v>
      </c>
      <c r="B687" t="s">
        <v>28</v>
      </c>
      <c r="C687">
        <v>81</v>
      </c>
      <c r="D687" t="s">
        <v>19</v>
      </c>
      <c r="E687" t="s">
        <v>50</v>
      </c>
      <c r="F687" s="1">
        <v>42475</v>
      </c>
      <c r="G687" s="1">
        <v>42489</v>
      </c>
      <c r="H687" t="s">
        <v>21</v>
      </c>
      <c r="I687">
        <v>14</v>
      </c>
      <c r="J687" t="s">
        <v>92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 t="s">
        <v>23</v>
      </c>
      <c r="R687">
        <v>0</v>
      </c>
    </row>
    <row r="688" spans="1:18">
      <c r="A688" s="4">
        <v>816735000000</v>
      </c>
      <c r="B688" t="s">
        <v>18</v>
      </c>
      <c r="C688">
        <v>29</v>
      </c>
      <c r="D688" t="s">
        <v>37</v>
      </c>
      <c r="E688" t="s">
        <v>58</v>
      </c>
      <c r="F688" s="1">
        <v>42475</v>
      </c>
      <c r="G688" s="1">
        <v>42495</v>
      </c>
      <c r="H688" t="s">
        <v>33</v>
      </c>
      <c r="I688">
        <v>20</v>
      </c>
      <c r="J688" t="s">
        <v>77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23</v>
      </c>
      <c r="R688">
        <v>0</v>
      </c>
    </row>
    <row r="689" spans="1:18">
      <c r="A689" s="4">
        <v>774924000000</v>
      </c>
      <c r="B689" t="s">
        <v>18</v>
      </c>
      <c r="C689">
        <v>53</v>
      </c>
      <c r="D689" t="s">
        <v>35</v>
      </c>
      <c r="E689" t="s">
        <v>58</v>
      </c>
      <c r="F689" s="1">
        <v>42475</v>
      </c>
      <c r="G689" s="1">
        <v>42500</v>
      </c>
      <c r="H689" t="s">
        <v>41</v>
      </c>
      <c r="I689">
        <v>25</v>
      </c>
      <c r="J689" t="s">
        <v>77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1</v>
      </c>
      <c r="Q689" t="s">
        <v>23</v>
      </c>
      <c r="R689">
        <v>0</v>
      </c>
    </row>
    <row r="690" spans="1:18">
      <c r="A690" s="4">
        <v>12578900000000</v>
      </c>
      <c r="B690" t="s">
        <v>18</v>
      </c>
      <c r="C690">
        <v>56</v>
      </c>
      <c r="D690" t="s">
        <v>35</v>
      </c>
      <c r="E690" t="s">
        <v>94</v>
      </c>
      <c r="F690" s="1">
        <v>42475</v>
      </c>
      <c r="G690" s="1">
        <v>42493</v>
      </c>
      <c r="H690" t="s">
        <v>41</v>
      </c>
      <c r="I690">
        <v>18</v>
      </c>
      <c r="J690" t="s">
        <v>77</v>
      </c>
      <c r="K690">
        <v>0</v>
      </c>
      <c r="L690">
        <v>1</v>
      </c>
      <c r="M690">
        <v>1</v>
      </c>
      <c r="N690">
        <v>0</v>
      </c>
      <c r="O690">
        <v>0</v>
      </c>
      <c r="P690">
        <v>1</v>
      </c>
      <c r="Q690" t="s">
        <v>23</v>
      </c>
      <c r="R690">
        <v>0</v>
      </c>
    </row>
    <row r="691" spans="1:18">
      <c r="A691" s="4">
        <v>73443700000000</v>
      </c>
      <c r="B691" t="s">
        <v>28</v>
      </c>
      <c r="C691">
        <v>6</v>
      </c>
      <c r="D691" t="s">
        <v>31</v>
      </c>
      <c r="E691" t="s">
        <v>58</v>
      </c>
      <c r="F691" s="1">
        <v>42475</v>
      </c>
      <c r="G691" s="1">
        <v>42493</v>
      </c>
      <c r="H691" t="s">
        <v>41</v>
      </c>
      <c r="I691">
        <v>18</v>
      </c>
      <c r="J691" t="s">
        <v>77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23</v>
      </c>
      <c r="R691">
        <v>0</v>
      </c>
    </row>
    <row r="692" spans="1:18">
      <c r="A692" s="4">
        <v>34183200000000</v>
      </c>
      <c r="B692" t="s">
        <v>18</v>
      </c>
      <c r="C692">
        <v>26</v>
      </c>
      <c r="D692" t="s">
        <v>37</v>
      </c>
      <c r="E692" t="s">
        <v>58</v>
      </c>
      <c r="F692" s="1">
        <v>42475</v>
      </c>
      <c r="G692" s="1">
        <v>42502</v>
      </c>
      <c r="H692" t="s">
        <v>33</v>
      </c>
      <c r="I692">
        <v>27</v>
      </c>
      <c r="J692" t="s">
        <v>77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26</v>
      </c>
      <c r="R692">
        <v>1</v>
      </c>
    </row>
    <row r="693" spans="1:18">
      <c r="A693" s="4">
        <v>268652000000000</v>
      </c>
      <c r="B693" t="s">
        <v>28</v>
      </c>
      <c r="C693">
        <v>65</v>
      </c>
      <c r="D693" t="s">
        <v>35</v>
      </c>
      <c r="E693" t="s">
        <v>91</v>
      </c>
      <c r="F693" s="1">
        <v>42475</v>
      </c>
      <c r="G693" s="1">
        <v>42493</v>
      </c>
      <c r="H693" t="s">
        <v>41</v>
      </c>
      <c r="I693">
        <v>18</v>
      </c>
      <c r="J693" t="s">
        <v>77</v>
      </c>
      <c r="K693">
        <v>0</v>
      </c>
      <c r="L693">
        <v>1</v>
      </c>
      <c r="M693">
        <v>1</v>
      </c>
      <c r="N693">
        <v>0</v>
      </c>
      <c r="O693">
        <v>0</v>
      </c>
      <c r="P693">
        <v>1</v>
      </c>
      <c r="Q693" t="s">
        <v>23</v>
      </c>
      <c r="R693">
        <v>0</v>
      </c>
    </row>
    <row r="694" spans="1:18">
      <c r="A694" s="4">
        <v>773938000000000</v>
      </c>
      <c r="B694" t="s">
        <v>18</v>
      </c>
      <c r="C694">
        <v>26</v>
      </c>
      <c r="D694" t="s">
        <v>37</v>
      </c>
      <c r="E694" t="s">
        <v>58</v>
      </c>
      <c r="F694" s="1">
        <v>42475</v>
      </c>
      <c r="G694" s="1">
        <v>42500</v>
      </c>
      <c r="H694" t="s">
        <v>41</v>
      </c>
      <c r="I694">
        <v>25</v>
      </c>
      <c r="J694" t="s">
        <v>77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 t="s">
        <v>23</v>
      </c>
      <c r="R694">
        <v>0</v>
      </c>
    </row>
    <row r="695" spans="1:18">
      <c r="A695" s="4">
        <v>55879600000000</v>
      </c>
      <c r="B695" t="s">
        <v>18</v>
      </c>
      <c r="C695">
        <v>37</v>
      </c>
      <c r="D695" t="s">
        <v>27</v>
      </c>
      <c r="E695" t="s">
        <v>58</v>
      </c>
      <c r="F695" s="1">
        <v>42475</v>
      </c>
      <c r="G695" s="1">
        <v>42502</v>
      </c>
      <c r="H695" t="s">
        <v>33</v>
      </c>
      <c r="I695">
        <v>27</v>
      </c>
      <c r="J695" t="s">
        <v>77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 t="s">
        <v>23</v>
      </c>
      <c r="R695">
        <v>0</v>
      </c>
    </row>
    <row r="696" spans="1:18">
      <c r="A696" s="4">
        <v>185511000000000</v>
      </c>
      <c r="B696" t="s">
        <v>28</v>
      </c>
      <c r="C696">
        <v>2</v>
      </c>
      <c r="D696" t="s">
        <v>31</v>
      </c>
      <c r="E696" t="s">
        <v>55</v>
      </c>
      <c r="F696" s="1">
        <v>42475</v>
      </c>
      <c r="G696" s="1">
        <v>42522</v>
      </c>
      <c r="H696" t="s">
        <v>25</v>
      </c>
      <c r="I696">
        <v>47</v>
      </c>
      <c r="J696" t="s">
        <v>22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 t="s">
        <v>23</v>
      </c>
      <c r="R696">
        <v>0</v>
      </c>
    </row>
    <row r="697" spans="1:18">
      <c r="A697" s="4">
        <v>948723000000000</v>
      </c>
      <c r="B697" t="s">
        <v>18</v>
      </c>
      <c r="C697">
        <v>15</v>
      </c>
      <c r="D697" t="s">
        <v>60</v>
      </c>
      <c r="E697" t="s">
        <v>93</v>
      </c>
      <c r="F697" s="1">
        <v>42475</v>
      </c>
      <c r="G697" s="1">
        <v>42500</v>
      </c>
      <c r="H697" t="s">
        <v>41</v>
      </c>
      <c r="I697">
        <v>25</v>
      </c>
      <c r="J697" t="s">
        <v>77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1</v>
      </c>
      <c r="Q697" t="s">
        <v>26</v>
      </c>
      <c r="R697">
        <v>1</v>
      </c>
    </row>
    <row r="698" spans="1:18">
      <c r="A698" s="4">
        <v>73296600000000</v>
      </c>
      <c r="B698" t="s">
        <v>28</v>
      </c>
      <c r="C698">
        <v>66</v>
      </c>
      <c r="D698" t="s">
        <v>19</v>
      </c>
      <c r="E698" t="s">
        <v>64</v>
      </c>
      <c r="F698" s="1">
        <v>42475</v>
      </c>
      <c r="G698" s="1">
        <v>42489</v>
      </c>
      <c r="H698" t="s">
        <v>21</v>
      </c>
      <c r="I698">
        <v>14</v>
      </c>
      <c r="J698" t="s">
        <v>92</v>
      </c>
      <c r="K698">
        <v>0</v>
      </c>
      <c r="L698">
        <v>1</v>
      </c>
      <c r="M698">
        <v>0</v>
      </c>
      <c r="N698">
        <v>1</v>
      </c>
      <c r="O698">
        <v>0</v>
      </c>
      <c r="P698">
        <v>0</v>
      </c>
      <c r="Q698" t="s">
        <v>23</v>
      </c>
      <c r="R698">
        <v>0</v>
      </c>
    </row>
    <row r="699" spans="1:18">
      <c r="A699" s="4">
        <v>11952700000000</v>
      </c>
      <c r="B699" t="s">
        <v>28</v>
      </c>
      <c r="C699">
        <v>38</v>
      </c>
      <c r="D699" t="s">
        <v>27</v>
      </c>
      <c r="E699" t="s">
        <v>95</v>
      </c>
      <c r="F699" s="1">
        <v>42475</v>
      </c>
      <c r="G699" s="1">
        <v>42492</v>
      </c>
      <c r="H699" t="s">
        <v>30</v>
      </c>
      <c r="I699">
        <v>17</v>
      </c>
      <c r="J699" t="s">
        <v>77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 t="s">
        <v>23</v>
      </c>
      <c r="R699">
        <v>0</v>
      </c>
    </row>
    <row r="700" spans="1:18">
      <c r="A700" s="4">
        <v>532148000000</v>
      </c>
      <c r="B700" t="s">
        <v>18</v>
      </c>
      <c r="C700">
        <v>48</v>
      </c>
      <c r="D700" t="s">
        <v>27</v>
      </c>
      <c r="E700" t="s">
        <v>72</v>
      </c>
      <c r="F700" s="1">
        <v>42475</v>
      </c>
      <c r="G700" s="1">
        <v>42514</v>
      </c>
      <c r="H700" t="s">
        <v>41</v>
      </c>
      <c r="I700">
        <v>39</v>
      </c>
      <c r="J700" t="s">
        <v>22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 t="s">
        <v>23</v>
      </c>
      <c r="R700">
        <v>0</v>
      </c>
    </row>
    <row r="701" spans="1:18">
      <c r="A701" s="4">
        <v>99959500000000</v>
      </c>
      <c r="B701" t="s">
        <v>18</v>
      </c>
      <c r="C701">
        <v>8</v>
      </c>
      <c r="D701" t="s">
        <v>31</v>
      </c>
      <c r="E701" t="s">
        <v>72</v>
      </c>
      <c r="F701" s="1">
        <v>42475</v>
      </c>
      <c r="G701" s="1">
        <v>42509</v>
      </c>
      <c r="H701" t="s">
        <v>33</v>
      </c>
      <c r="I701">
        <v>34</v>
      </c>
      <c r="J701" t="s">
        <v>22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23</v>
      </c>
      <c r="R701">
        <v>0</v>
      </c>
    </row>
    <row r="702" spans="1:18">
      <c r="A702" s="4">
        <v>449133000000</v>
      </c>
      <c r="B702" t="s">
        <v>18</v>
      </c>
      <c r="C702">
        <v>14</v>
      </c>
      <c r="D702" t="s">
        <v>60</v>
      </c>
      <c r="E702" t="s">
        <v>50</v>
      </c>
      <c r="F702" s="1">
        <v>42475</v>
      </c>
      <c r="G702" s="1">
        <v>42492</v>
      </c>
      <c r="H702" t="s">
        <v>30</v>
      </c>
      <c r="I702">
        <v>17</v>
      </c>
      <c r="J702" t="s">
        <v>77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 t="s">
        <v>23</v>
      </c>
      <c r="R702">
        <v>0</v>
      </c>
    </row>
    <row r="703" spans="1:18">
      <c r="A703" s="4">
        <v>5389240000000</v>
      </c>
      <c r="B703" t="s">
        <v>18</v>
      </c>
      <c r="C703">
        <v>51</v>
      </c>
      <c r="D703" t="s">
        <v>35</v>
      </c>
      <c r="E703" t="s">
        <v>40</v>
      </c>
      <c r="F703" s="1">
        <v>42475</v>
      </c>
      <c r="G703" s="1">
        <v>42495</v>
      </c>
      <c r="H703" t="s">
        <v>33</v>
      </c>
      <c r="I703">
        <v>20</v>
      </c>
      <c r="J703" t="s">
        <v>77</v>
      </c>
      <c r="K703">
        <v>1</v>
      </c>
      <c r="L703">
        <v>1</v>
      </c>
      <c r="M703">
        <v>1</v>
      </c>
      <c r="N703">
        <v>0</v>
      </c>
      <c r="O703">
        <v>0</v>
      </c>
      <c r="P703">
        <v>1</v>
      </c>
      <c r="Q703" t="s">
        <v>23</v>
      </c>
      <c r="R703">
        <v>0</v>
      </c>
    </row>
    <row r="704" spans="1:18">
      <c r="A704" s="4">
        <v>76955900000000</v>
      </c>
      <c r="B704" t="s">
        <v>28</v>
      </c>
      <c r="C704">
        <v>1</v>
      </c>
      <c r="D704" t="s">
        <v>31</v>
      </c>
      <c r="E704" t="s">
        <v>32</v>
      </c>
      <c r="F704" s="1">
        <v>42475</v>
      </c>
      <c r="G704" s="1">
        <v>42494</v>
      </c>
      <c r="H704" t="s">
        <v>25</v>
      </c>
      <c r="I704">
        <v>19</v>
      </c>
      <c r="J704" t="s">
        <v>77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 t="s">
        <v>23</v>
      </c>
      <c r="R704">
        <v>0</v>
      </c>
    </row>
    <row r="705" spans="1:18">
      <c r="A705" s="4">
        <v>692223000000000</v>
      </c>
      <c r="B705" t="s">
        <v>28</v>
      </c>
      <c r="C705">
        <v>26</v>
      </c>
      <c r="D705" t="s">
        <v>37</v>
      </c>
      <c r="E705" t="s">
        <v>72</v>
      </c>
      <c r="F705" s="1">
        <v>42475</v>
      </c>
      <c r="G705" s="1">
        <v>42514</v>
      </c>
      <c r="H705" t="s">
        <v>41</v>
      </c>
      <c r="I705">
        <v>39</v>
      </c>
      <c r="J705" t="s">
        <v>22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26</v>
      </c>
      <c r="R705">
        <v>1</v>
      </c>
    </row>
    <row r="706" spans="1:18">
      <c r="A706" s="4">
        <v>4765190000000</v>
      </c>
      <c r="B706" t="s">
        <v>18</v>
      </c>
      <c r="C706">
        <v>56</v>
      </c>
      <c r="D706" t="s">
        <v>35</v>
      </c>
      <c r="E706" t="s">
        <v>69</v>
      </c>
      <c r="F706" s="1">
        <v>42475</v>
      </c>
      <c r="G706" s="1">
        <v>42515</v>
      </c>
      <c r="H706" t="s">
        <v>25</v>
      </c>
      <c r="I706">
        <v>40</v>
      </c>
      <c r="J706" t="s">
        <v>22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1</v>
      </c>
      <c r="Q706" t="s">
        <v>23</v>
      </c>
      <c r="R706">
        <v>0</v>
      </c>
    </row>
    <row r="707" spans="1:18">
      <c r="A707" s="4">
        <v>2616700000000</v>
      </c>
      <c r="B707" t="s">
        <v>18</v>
      </c>
      <c r="C707">
        <v>53</v>
      </c>
      <c r="D707" t="s">
        <v>35</v>
      </c>
      <c r="E707" t="s">
        <v>96</v>
      </c>
      <c r="F707" s="1">
        <v>42475</v>
      </c>
      <c r="G707" s="1">
        <v>42489</v>
      </c>
      <c r="H707" t="s">
        <v>21</v>
      </c>
      <c r="I707">
        <v>14</v>
      </c>
      <c r="J707" t="s">
        <v>92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 t="s">
        <v>23</v>
      </c>
      <c r="R707">
        <v>0</v>
      </c>
    </row>
    <row r="708" spans="1:18">
      <c r="A708" s="4">
        <v>463625000000000</v>
      </c>
      <c r="B708" t="s">
        <v>18</v>
      </c>
      <c r="C708">
        <v>61</v>
      </c>
      <c r="D708" t="s">
        <v>35</v>
      </c>
      <c r="E708" t="s">
        <v>76</v>
      </c>
      <c r="F708" s="1">
        <v>42475</v>
      </c>
      <c r="G708" s="1">
        <v>42506</v>
      </c>
      <c r="H708" t="s">
        <v>30</v>
      </c>
      <c r="I708">
        <v>31</v>
      </c>
      <c r="J708" t="s">
        <v>22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26</v>
      </c>
      <c r="R708">
        <v>1</v>
      </c>
    </row>
    <row r="709" spans="1:18">
      <c r="A709" s="4">
        <v>99549800000000</v>
      </c>
      <c r="B709" t="s">
        <v>18</v>
      </c>
      <c r="C709">
        <v>44</v>
      </c>
      <c r="D709" t="s">
        <v>27</v>
      </c>
      <c r="E709" t="s">
        <v>63</v>
      </c>
      <c r="F709" s="1">
        <v>42475</v>
      </c>
      <c r="G709" s="1">
        <v>42492</v>
      </c>
      <c r="H709" t="s">
        <v>30</v>
      </c>
      <c r="I709">
        <v>17</v>
      </c>
      <c r="J709" t="s">
        <v>77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 t="s">
        <v>23</v>
      </c>
      <c r="R709">
        <v>0</v>
      </c>
    </row>
    <row r="710" spans="1:18">
      <c r="A710" s="4">
        <v>97392400000000</v>
      </c>
      <c r="B710" t="s">
        <v>18</v>
      </c>
      <c r="C710">
        <v>20</v>
      </c>
      <c r="D710" t="s">
        <v>37</v>
      </c>
      <c r="E710" t="s">
        <v>72</v>
      </c>
      <c r="F710" s="1">
        <v>42475</v>
      </c>
      <c r="G710" s="1">
        <v>42515</v>
      </c>
      <c r="H710" t="s">
        <v>25</v>
      </c>
      <c r="I710">
        <v>40</v>
      </c>
      <c r="J710" t="s">
        <v>22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 t="s">
        <v>23</v>
      </c>
      <c r="R710">
        <v>0</v>
      </c>
    </row>
    <row r="711" spans="1:18">
      <c r="A711" s="4">
        <v>816132000000000</v>
      </c>
      <c r="B711" t="s">
        <v>28</v>
      </c>
      <c r="C711">
        <v>7</v>
      </c>
      <c r="D711" t="s">
        <v>31</v>
      </c>
      <c r="E711" t="s">
        <v>82</v>
      </c>
      <c r="F711" s="1">
        <v>42475</v>
      </c>
      <c r="G711" s="1">
        <v>42510</v>
      </c>
      <c r="H711" t="s">
        <v>21</v>
      </c>
      <c r="I711">
        <v>35</v>
      </c>
      <c r="J711" t="s">
        <v>22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23</v>
      </c>
      <c r="R711">
        <v>0</v>
      </c>
    </row>
    <row r="712" spans="1:18">
      <c r="A712" s="4">
        <v>311684000000</v>
      </c>
      <c r="B712" t="s">
        <v>18</v>
      </c>
      <c r="C712">
        <v>61</v>
      </c>
      <c r="D712" t="s">
        <v>35</v>
      </c>
      <c r="E712" t="s">
        <v>36</v>
      </c>
      <c r="F712" s="1">
        <v>42475</v>
      </c>
      <c r="G712" s="1">
        <v>42496</v>
      </c>
      <c r="H712" t="s">
        <v>21</v>
      </c>
      <c r="I712">
        <v>21</v>
      </c>
      <c r="J712" t="s">
        <v>77</v>
      </c>
      <c r="K712">
        <v>0</v>
      </c>
      <c r="L712">
        <v>1</v>
      </c>
      <c r="M712">
        <v>0</v>
      </c>
      <c r="N712">
        <v>1</v>
      </c>
      <c r="O712">
        <v>0</v>
      </c>
      <c r="P712">
        <v>1</v>
      </c>
      <c r="Q712" t="s">
        <v>23</v>
      </c>
      <c r="R712">
        <v>0</v>
      </c>
    </row>
    <row r="713" spans="1:18">
      <c r="A713" s="4">
        <v>8658940000000</v>
      </c>
      <c r="B713" t="s">
        <v>28</v>
      </c>
      <c r="C713">
        <v>41</v>
      </c>
      <c r="D713" t="s">
        <v>27</v>
      </c>
      <c r="E713" t="s">
        <v>50</v>
      </c>
      <c r="F713" s="1">
        <v>42475</v>
      </c>
      <c r="G713" s="1">
        <v>42492</v>
      </c>
      <c r="H713" t="s">
        <v>30</v>
      </c>
      <c r="I713">
        <v>17</v>
      </c>
      <c r="J713" t="s">
        <v>77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</v>
      </c>
      <c r="Q713" t="s">
        <v>26</v>
      </c>
      <c r="R713">
        <v>1</v>
      </c>
    </row>
    <row r="714" spans="1:18">
      <c r="A714" s="4">
        <v>3671770000000</v>
      </c>
      <c r="B714" t="s">
        <v>18</v>
      </c>
      <c r="C714">
        <v>42</v>
      </c>
      <c r="D714" t="s">
        <v>27</v>
      </c>
      <c r="E714" t="s">
        <v>97</v>
      </c>
      <c r="F714" s="1">
        <v>42475</v>
      </c>
      <c r="G714" s="1">
        <v>42495</v>
      </c>
      <c r="H714" t="s">
        <v>33</v>
      </c>
      <c r="I714">
        <v>20</v>
      </c>
      <c r="J714" t="s">
        <v>77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 t="s">
        <v>26</v>
      </c>
      <c r="R714">
        <v>1</v>
      </c>
    </row>
    <row r="715" spans="1:18">
      <c r="A715" s="4">
        <v>869927000000000</v>
      </c>
      <c r="B715" t="s">
        <v>18</v>
      </c>
      <c r="C715">
        <v>4</v>
      </c>
      <c r="D715" t="s">
        <v>31</v>
      </c>
      <c r="E715" t="s">
        <v>50</v>
      </c>
      <c r="F715" s="1">
        <v>42475</v>
      </c>
      <c r="G715" s="1">
        <v>42492</v>
      </c>
      <c r="H715" t="s">
        <v>30</v>
      </c>
      <c r="I715">
        <v>17</v>
      </c>
      <c r="J715" t="s">
        <v>77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 t="s">
        <v>23</v>
      </c>
      <c r="R715">
        <v>0</v>
      </c>
    </row>
    <row r="716" spans="1:18">
      <c r="A716" s="4">
        <v>2648430000000</v>
      </c>
      <c r="B716" t="s">
        <v>28</v>
      </c>
      <c r="C716">
        <v>7</v>
      </c>
      <c r="D716" t="s">
        <v>31</v>
      </c>
      <c r="E716" t="s">
        <v>72</v>
      </c>
      <c r="F716" s="1">
        <v>42475</v>
      </c>
      <c r="G716" s="1">
        <v>42510</v>
      </c>
      <c r="H716" t="s">
        <v>21</v>
      </c>
      <c r="I716">
        <v>35</v>
      </c>
      <c r="J716" t="s">
        <v>22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26</v>
      </c>
      <c r="R716">
        <v>1</v>
      </c>
    </row>
    <row r="717" spans="1:18">
      <c r="A717" s="4">
        <v>6924220000000</v>
      </c>
      <c r="B717" t="s">
        <v>18</v>
      </c>
      <c r="C717">
        <v>3</v>
      </c>
      <c r="D717" t="s">
        <v>31</v>
      </c>
      <c r="E717" t="s">
        <v>40</v>
      </c>
      <c r="F717" s="1">
        <v>42475</v>
      </c>
      <c r="G717" s="1">
        <v>42495</v>
      </c>
      <c r="H717" t="s">
        <v>33</v>
      </c>
      <c r="I717">
        <v>20</v>
      </c>
      <c r="J717" t="s">
        <v>77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 t="s">
        <v>23</v>
      </c>
      <c r="R717">
        <v>0</v>
      </c>
    </row>
    <row r="718" spans="1:18">
      <c r="A718" s="4">
        <v>45876900000000</v>
      </c>
      <c r="B718" t="s">
        <v>18</v>
      </c>
      <c r="C718">
        <v>21</v>
      </c>
      <c r="D718" t="s">
        <v>37</v>
      </c>
      <c r="E718" t="s">
        <v>32</v>
      </c>
      <c r="F718" s="1">
        <v>42475</v>
      </c>
      <c r="G718" s="1">
        <v>42496</v>
      </c>
      <c r="H718" t="s">
        <v>21</v>
      </c>
      <c r="I718">
        <v>21</v>
      </c>
      <c r="J718" t="s">
        <v>77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23</v>
      </c>
      <c r="R718">
        <v>0</v>
      </c>
    </row>
    <row r="719" spans="1:18">
      <c r="A719" s="4">
        <v>62197200000000</v>
      </c>
      <c r="B719" t="s">
        <v>18</v>
      </c>
      <c r="C719">
        <v>27</v>
      </c>
      <c r="D719" t="s">
        <v>37</v>
      </c>
      <c r="E719" t="s">
        <v>58</v>
      </c>
      <c r="F719" s="1">
        <v>42475</v>
      </c>
      <c r="G719" s="1">
        <v>42496</v>
      </c>
      <c r="H719" t="s">
        <v>21</v>
      </c>
      <c r="I719">
        <v>21</v>
      </c>
      <c r="J719" t="s">
        <v>77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23</v>
      </c>
      <c r="R719">
        <v>0</v>
      </c>
    </row>
    <row r="720" spans="1:18">
      <c r="A720" s="4">
        <v>571887000000</v>
      </c>
      <c r="B720" t="s">
        <v>18</v>
      </c>
      <c r="C720">
        <v>43</v>
      </c>
      <c r="D720" t="s">
        <v>27</v>
      </c>
      <c r="E720" t="s">
        <v>58</v>
      </c>
      <c r="F720" s="1">
        <v>42475</v>
      </c>
      <c r="G720" s="1">
        <v>42492</v>
      </c>
      <c r="H720" t="s">
        <v>30</v>
      </c>
      <c r="I720">
        <v>17</v>
      </c>
      <c r="J720" t="s">
        <v>77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 t="s">
        <v>26</v>
      </c>
      <c r="R720">
        <v>1</v>
      </c>
    </row>
    <row r="721" spans="1:18">
      <c r="A721" s="4">
        <v>3776340000000</v>
      </c>
      <c r="B721" t="s">
        <v>18</v>
      </c>
      <c r="C721">
        <v>22</v>
      </c>
      <c r="D721" t="s">
        <v>37</v>
      </c>
      <c r="E721" t="s">
        <v>50</v>
      </c>
      <c r="F721" s="1">
        <v>42475</v>
      </c>
      <c r="G721" s="1">
        <v>42493</v>
      </c>
      <c r="H721" t="s">
        <v>41</v>
      </c>
      <c r="I721">
        <v>18</v>
      </c>
      <c r="J721" t="s">
        <v>77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26</v>
      </c>
      <c r="R721">
        <v>1</v>
      </c>
    </row>
    <row r="722" spans="1:18">
      <c r="A722" s="4">
        <v>7478530000000</v>
      </c>
      <c r="B722" t="s">
        <v>18</v>
      </c>
      <c r="C722">
        <v>45</v>
      </c>
      <c r="D722" t="s">
        <v>27</v>
      </c>
      <c r="E722" t="s">
        <v>58</v>
      </c>
      <c r="F722" s="1">
        <v>42475</v>
      </c>
      <c r="G722" s="1">
        <v>42501</v>
      </c>
      <c r="H722" t="s">
        <v>25</v>
      </c>
      <c r="I722">
        <v>26</v>
      </c>
      <c r="J722" t="s">
        <v>77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26</v>
      </c>
      <c r="R722">
        <v>1</v>
      </c>
    </row>
    <row r="723" spans="1:18">
      <c r="A723" s="4">
        <v>11862400000000</v>
      </c>
      <c r="B723" t="s">
        <v>28</v>
      </c>
      <c r="C723">
        <v>8</v>
      </c>
      <c r="D723" t="s">
        <v>31</v>
      </c>
      <c r="E723" t="s">
        <v>46</v>
      </c>
      <c r="F723" s="1">
        <v>42475</v>
      </c>
      <c r="G723" s="1">
        <v>42496</v>
      </c>
      <c r="H723" t="s">
        <v>21</v>
      </c>
      <c r="I723">
        <v>21</v>
      </c>
      <c r="J723" t="s">
        <v>77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1</v>
      </c>
      <c r="Q723" t="s">
        <v>23</v>
      </c>
      <c r="R723">
        <v>0</v>
      </c>
    </row>
    <row r="724" spans="1:18">
      <c r="A724" s="4">
        <v>115566000000000</v>
      </c>
      <c r="B724" t="s">
        <v>28</v>
      </c>
      <c r="C724">
        <v>78</v>
      </c>
      <c r="D724" t="s">
        <v>19</v>
      </c>
      <c r="E724" t="s">
        <v>70</v>
      </c>
      <c r="F724" s="1">
        <v>42475</v>
      </c>
      <c r="G724" s="1">
        <v>42499</v>
      </c>
      <c r="H724" t="s">
        <v>30</v>
      </c>
      <c r="I724">
        <v>24</v>
      </c>
      <c r="J724" t="s">
        <v>77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 t="s">
        <v>23</v>
      </c>
      <c r="R724">
        <v>0</v>
      </c>
    </row>
    <row r="725" spans="1:18">
      <c r="A725" s="4">
        <v>839993000000</v>
      </c>
      <c r="B725" t="s">
        <v>18</v>
      </c>
      <c r="C725">
        <v>56</v>
      </c>
      <c r="D725" t="s">
        <v>35</v>
      </c>
      <c r="E725" t="s">
        <v>49</v>
      </c>
      <c r="F725" s="1">
        <v>42475</v>
      </c>
      <c r="G725" s="1">
        <v>42503</v>
      </c>
      <c r="H725" t="s">
        <v>21</v>
      </c>
      <c r="I725">
        <v>28</v>
      </c>
      <c r="J725" t="s">
        <v>77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23</v>
      </c>
      <c r="R725">
        <v>0</v>
      </c>
    </row>
    <row r="726" spans="1:18">
      <c r="A726" s="4">
        <v>86926900000000</v>
      </c>
      <c r="B726" t="s">
        <v>18</v>
      </c>
      <c r="C726">
        <v>57</v>
      </c>
      <c r="D726" t="s">
        <v>35</v>
      </c>
      <c r="E726" t="s">
        <v>95</v>
      </c>
      <c r="F726" s="1">
        <v>42475</v>
      </c>
      <c r="G726" s="1">
        <v>42493</v>
      </c>
      <c r="H726" t="s">
        <v>41</v>
      </c>
      <c r="I726">
        <v>18</v>
      </c>
      <c r="J726" t="s">
        <v>77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 t="s">
        <v>26</v>
      </c>
      <c r="R726">
        <v>1</v>
      </c>
    </row>
    <row r="727" spans="1:18">
      <c r="A727" s="4">
        <v>76784500000000</v>
      </c>
      <c r="B727" t="s">
        <v>18</v>
      </c>
      <c r="C727">
        <v>81</v>
      </c>
      <c r="D727" t="s">
        <v>19</v>
      </c>
      <c r="E727" t="s">
        <v>50</v>
      </c>
      <c r="F727" s="1">
        <v>42475</v>
      </c>
      <c r="G727" s="1">
        <v>42506</v>
      </c>
      <c r="H727" t="s">
        <v>30</v>
      </c>
      <c r="I727">
        <v>31</v>
      </c>
      <c r="J727" t="s">
        <v>22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23</v>
      </c>
      <c r="R727">
        <v>0</v>
      </c>
    </row>
    <row r="728" spans="1:18">
      <c r="A728" s="4">
        <v>115328000000</v>
      </c>
      <c r="B728" t="s">
        <v>18</v>
      </c>
      <c r="C728">
        <v>74</v>
      </c>
      <c r="D728" t="s">
        <v>19</v>
      </c>
      <c r="E728" t="s">
        <v>65</v>
      </c>
      <c r="F728" s="1">
        <v>42475</v>
      </c>
      <c r="G728" s="1">
        <v>42492</v>
      </c>
      <c r="H728" t="s">
        <v>30</v>
      </c>
      <c r="I728">
        <v>17</v>
      </c>
      <c r="J728" t="s">
        <v>77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1</v>
      </c>
      <c r="Q728" t="s">
        <v>23</v>
      </c>
      <c r="R728">
        <v>0</v>
      </c>
    </row>
    <row r="729" spans="1:18">
      <c r="A729" s="4">
        <v>337254000000000</v>
      </c>
      <c r="B729" t="s">
        <v>18</v>
      </c>
      <c r="C729">
        <v>11</v>
      </c>
      <c r="D729" t="s">
        <v>31</v>
      </c>
      <c r="E729" t="s">
        <v>50</v>
      </c>
      <c r="F729" s="1">
        <v>42475</v>
      </c>
      <c r="G729" s="1">
        <v>42514</v>
      </c>
      <c r="H729" t="s">
        <v>41</v>
      </c>
      <c r="I729">
        <v>39</v>
      </c>
      <c r="J729" t="s">
        <v>22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23</v>
      </c>
      <c r="R729">
        <v>0</v>
      </c>
    </row>
    <row r="730" spans="1:18">
      <c r="A730" s="4">
        <v>35759600000000</v>
      </c>
      <c r="B730" t="s">
        <v>18</v>
      </c>
      <c r="C730">
        <v>23</v>
      </c>
      <c r="D730" t="s">
        <v>37</v>
      </c>
      <c r="E730" t="s">
        <v>58</v>
      </c>
      <c r="F730" s="1">
        <v>42475</v>
      </c>
      <c r="G730" s="1">
        <v>42496</v>
      </c>
      <c r="H730" t="s">
        <v>21</v>
      </c>
      <c r="I730">
        <v>21</v>
      </c>
      <c r="J730" t="s">
        <v>77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23</v>
      </c>
      <c r="R730">
        <v>0</v>
      </c>
    </row>
    <row r="731" spans="1:18">
      <c r="A731" s="4">
        <v>72477300000000</v>
      </c>
      <c r="B731" t="s">
        <v>18</v>
      </c>
      <c r="C731">
        <v>17</v>
      </c>
      <c r="D731" t="s">
        <v>60</v>
      </c>
      <c r="E731" t="s">
        <v>38</v>
      </c>
      <c r="F731" s="1">
        <v>42475</v>
      </c>
      <c r="G731" s="1">
        <v>42521</v>
      </c>
      <c r="H731" t="s">
        <v>41</v>
      </c>
      <c r="I731">
        <v>46</v>
      </c>
      <c r="J731" t="s">
        <v>22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</v>
      </c>
      <c r="Q731" t="s">
        <v>23</v>
      </c>
      <c r="R731">
        <v>0</v>
      </c>
    </row>
    <row r="732" spans="1:18">
      <c r="A732" s="4">
        <v>86882500000000</v>
      </c>
      <c r="B732" t="s">
        <v>18</v>
      </c>
      <c r="C732">
        <v>63</v>
      </c>
      <c r="D732" t="s">
        <v>35</v>
      </c>
      <c r="E732" t="s">
        <v>45</v>
      </c>
      <c r="F732" s="1">
        <v>42475</v>
      </c>
      <c r="G732" s="1">
        <v>42495</v>
      </c>
      <c r="H732" t="s">
        <v>33</v>
      </c>
      <c r="I732">
        <v>20</v>
      </c>
      <c r="J732" t="s">
        <v>77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 t="s">
        <v>23</v>
      </c>
      <c r="R732">
        <v>0</v>
      </c>
    </row>
    <row r="733" spans="1:18">
      <c r="A733" s="4">
        <v>46479600000000</v>
      </c>
      <c r="B733" t="s">
        <v>18</v>
      </c>
      <c r="C733">
        <v>23</v>
      </c>
      <c r="D733" t="s">
        <v>37</v>
      </c>
      <c r="E733" t="s">
        <v>67</v>
      </c>
      <c r="F733" s="1">
        <v>42475</v>
      </c>
      <c r="G733" s="1">
        <v>42502</v>
      </c>
      <c r="H733" t="s">
        <v>33</v>
      </c>
      <c r="I733">
        <v>27</v>
      </c>
      <c r="J733" t="s">
        <v>77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1</v>
      </c>
      <c r="Q733" t="s">
        <v>23</v>
      </c>
      <c r="R733">
        <v>0</v>
      </c>
    </row>
    <row r="734" spans="1:18">
      <c r="A734" s="4">
        <v>5721380000000</v>
      </c>
      <c r="B734" t="s">
        <v>28</v>
      </c>
      <c r="C734">
        <v>25</v>
      </c>
      <c r="D734" t="s">
        <v>37</v>
      </c>
      <c r="E734" t="s">
        <v>58</v>
      </c>
      <c r="F734" s="1">
        <v>42475</v>
      </c>
      <c r="G734" s="1">
        <v>42502</v>
      </c>
      <c r="H734" t="s">
        <v>33</v>
      </c>
      <c r="I734">
        <v>27</v>
      </c>
      <c r="J734" t="s">
        <v>77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26</v>
      </c>
      <c r="R734">
        <v>1</v>
      </c>
    </row>
    <row r="735" spans="1:18">
      <c r="A735" s="4">
        <v>99289700000000</v>
      </c>
      <c r="B735" t="s">
        <v>28</v>
      </c>
      <c r="C735">
        <v>6</v>
      </c>
      <c r="D735" t="s">
        <v>31</v>
      </c>
      <c r="E735" t="s">
        <v>50</v>
      </c>
      <c r="F735" s="1">
        <v>42475</v>
      </c>
      <c r="G735" s="1">
        <v>42495</v>
      </c>
      <c r="H735" t="s">
        <v>33</v>
      </c>
      <c r="I735">
        <v>20</v>
      </c>
      <c r="J735" t="s">
        <v>77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</v>
      </c>
      <c r="Q735" t="s">
        <v>23</v>
      </c>
      <c r="R735">
        <v>0</v>
      </c>
    </row>
    <row r="736" spans="1:18">
      <c r="A736" s="4">
        <v>982872000000</v>
      </c>
      <c r="B736" t="s">
        <v>18</v>
      </c>
      <c r="C736">
        <v>41</v>
      </c>
      <c r="D736" t="s">
        <v>27</v>
      </c>
      <c r="E736" t="s">
        <v>74</v>
      </c>
      <c r="F736" s="1">
        <v>42475</v>
      </c>
      <c r="G736" s="1">
        <v>42494</v>
      </c>
      <c r="H736" t="s">
        <v>25</v>
      </c>
      <c r="I736">
        <v>19</v>
      </c>
      <c r="J736" t="s">
        <v>77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 t="s">
        <v>26</v>
      </c>
      <c r="R736">
        <v>1</v>
      </c>
    </row>
    <row r="737" spans="1:18">
      <c r="A737" s="4">
        <v>92557100000000</v>
      </c>
      <c r="B737" t="s">
        <v>28</v>
      </c>
      <c r="C737">
        <v>52</v>
      </c>
      <c r="D737" t="s">
        <v>35</v>
      </c>
      <c r="E737" t="s">
        <v>72</v>
      </c>
      <c r="F737" s="1">
        <v>42475</v>
      </c>
      <c r="G737" s="1">
        <v>42507</v>
      </c>
      <c r="H737" t="s">
        <v>41</v>
      </c>
      <c r="I737">
        <v>32</v>
      </c>
      <c r="J737" t="s">
        <v>22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23</v>
      </c>
      <c r="R737">
        <v>0</v>
      </c>
    </row>
    <row r="738" spans="1:18">
      <c r="A738" s="4">
        <v>768314000000000</v>
      </c>
      <c r="B738" t="s">
        <v>28</v>
      </c>
      <c r="C738">
        <v>47</v>
      </c>
      <c r="D738" t="s">
        <v>27</v>
      </c>
      <c r="E738" t="s">
        <v>40</v>
      </c>
      <c r="F738" s="1">
        <v>42475</v>
      </c>
      <c r="G738" s="1">
        <v>42489</v>
      </c>
      <c r="H738" t="s">
        <v>21</v>
      </c>
      <c r="I738">
        <v>14</v>
      </c>
      <c r="J738" t="s">
        <v>92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</v>
      </c>
      <c r="Q738" t="s">
        <v>23</v>
      </c>
      <c r="R738">
        <v>0</v>
      </c>
    </row>
    <row r="739" spans="1:18">
      <c r="A739" s="4">
        <v>31533800000000</v>
      </c>
      <c r="B739" t="s">
        <v>18</v>
      </c>
      <c r="C739">
        <v>27</v>
      </c>
      <c r="D739" t="s">
        <v>37</v>
      </c>
      <c r="E739" t="s">
        <v>50</v>
      </c>
      <c r="F739" s="1">
        <v>42475</v>
      </c>
      <c r="G739" s="1">
        <v>42509</v>
      </c>
      <c r="H739" t="s">
        <v>33</v>
      </c>
      <c r="I739">
        <v>34</v>
      </c>
      <c r="J739" t="s">
        <v>22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23</v>
      </c>
      <c r="R739">
        <v>0</v>
      </c>
    </row>
    <row r="740" spans="1:18">
      <c r="A740" s="4">
        <v>82626200000000</v>
      </c>
      <c r="B740" t="s">
        <v>18</v>
      </c>
      <c r="C740">
        <v>61</v>
      </c>
      <c r="D740" t="s">
        <v>35</v>
      </c>
      <c r="E740" t="s">
        <v>50</v>
      </c>
      <c r="F740" s="1">
        <v>42475</v>
      </c>
      <c r="G740" s="1">
        <v>42499</v>
      </c>
      <c r="H740" t="s">
        <v>30</v>
      </c>
      <c r="I740">
        <v>24</v>
      </c>
      <c r="J740" t="s">
        <v>77</v>
      </c>
      <c r="K740">
        <v>0</v>
      </c>
      <c r="L740">
        <v>1</v>
      </c>
      <c r="M740">
        <v>1</v>
      </c>
      <c r="N740">
        <v>0</v>
      </c>
      <c r="O740">
        <v>0</v>
      </c>
      <c r="P740">
        <v>0</v>
      </c>
      <c r="Q740" t="s">
        <v>26</v>
      </c>
      <c r="R740">
        <v>1</v>
      </c>
    </row>
    <row r="741" spans="1:18">
      <c r="A741" s="4">
        <v>79575700000000</v>
      </c>
      <c r="B741" t="s">
        <v>18</v>
      </c>
      <c r="C741">
        <v>35</v>
      </c>
      <c r="D741" t="s">
        <v>37</v>
      </c>
      <c r="E741" t="s">
        <v>73</v>
      </c>
      <c r="F741" s="1">
        <v>42475</v>
      </c>
      <c r="G741" s="1">
        <v>42508</v>
      </c>
      <c r="H741" t="s">
        <v>25</v>
      </c>
      <c r="I741">
        <v>33</v>
      </c>
      <c r="J741" t="s">
        <v>22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23</v>
      </c>
      <c r="R741">
        <v>0</v>
      </c>
    </row>
    <row r="742" spans="1:18">
      <c r="A742" s="4">
        <v>11727700000000</v>
      </c>
      <c r="B742" t="s">
        <v>18</v>
      </c>
      <c r="C742">
        <v>15</v>
      </c>
      <c r="D742" t="s">
        <v>60</v>
      </c>
      <c r="E742" t="s">
        <v>80</v>
      </c>
      <c r="F742" s="1">
        <v>42475</v>
      </c>
      <c r="G742" s="1">
        <v>42494</v>
      </c>
      <c r="H742" t="s">
        <v>25</v>
      </c>
      <c r="I742">
        <v>19</v>
      </c>
      <c r="J742" t="s">
        <v>77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</v>
      </c>
      <c r="Q742" t="s">
        <v>23</v>
      </c>
      <c r="R742">
        <v>0</v>
      </c>
    </row>
    <row r="743" spans="1:18">
      <c r="A743" s="4">
        <v>17842900000000</v>
      </c>
      <c r="B743" t="s">
        <v>18</v>
      </c>
      <c r="C743">
        <v>64</v>
      </c>
      <c r="D743" t="s">
        <v>35</v>
      </c>
      <c r="E743" t="s">
        <v>49</v>
      </c>
      <c r="F743" s="1">
        <v>42475</v>
      </c>
      <c r="G743" s="1">
        <v>42492</v>
      </c>
      <c r="H743" t="s">
        <v>30</v>
      </c>
      <c r="I743">
        <v>17</v>
      </c>
      <c r="J743" t="s">
        <v>77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1</v>
      </c>
      <c r="Q743" t="s">
        <v>23</v>
      </c>
      <c r="R743">
        <v>0</v>
      </c>
    </row>
    <row r="744" spans="1:18">
      <c r="A744" s="4">
        <v>77825526382</v>
      </c>
      <c r="B744" t="s">
        <v>18</v>
      </c>
      <c r="C744">
        <v>78</v>
      </c>
      <c r="D744" t="s">
        <v>19</v>
      </c>
      <c r="E744" t="s">
        <v>50</v>
      </c>
      <c r="F744" s="1">
        <v>42475</v>
      </c>
      <c r="G744" s="1">
        <v>42494</v>
      </c>
      <c r="H744" t="s">
        <v>25</v>
      </c>
      <c r="I744">
        <v>19</v>
      </c>
      <c r="J744" t="s">
        <v>77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 t="s">
        <v>26</v>
      </c>
      <c r="R744">
        <v>1</v>
      </c>
    </row>
    <row r="745" spans="1:18">
      <c r="A745" s="4">
        <v>1516446987</v>
      </c>
      <c r="B745" t="s">
        <v>28</v>
      </c>
      <c r="C745">
        <v>76</v>
      </c>
      <c r="D745" t="s">
        <v>19</v>
      </c>
      <c r="E745" t="s">
        <v>43</v>
      </c>
      <c r="F745" s="1">
        <v>42475</v>
      </c>
      <c r="G745" s="1">
        <v>42508</v>
      </c>
      <c r="H745" t="s">
        <v>25</v>
      </c>
      <c r="I745">
        <v>33</v>
      </c>
      <c r="J745" t="s">
        <v>22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23</v>
      </c>
      <c r="R745">
        <v>0</v>
      </c>
    </row>
    <row r="746" spans="1:18">
      <c r="A746" s="4">
        <v>211630000000</v>
      </c>
      <c r="B746" t="s">
        <v>28</v>
      </c>
      <c r="C746">
        <v>22</v>
      </c>
      <c r="D746" t="s">
        <v>37</v>
      </c>
      <c r="E746" t="s">
        <v>94</v>
      </c>
      <c r="F746" s="1">
        <v>42475</v>
      </c>
      <c r="G746" s="1">
        <v>42496</v>
      </c>
      <c r="H746" t="s">
        <v>21</v>
      </c>
      <c r="I746">
        <v>21</v>
      </c>
      <c r="J746" t="s">
        <v>77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</v>
      </c>
      <c r="Q746" t="s">
        <v>26</v>
      </c>
      <c r="R746">
        <v>1</v>
      </c>
    </row>
    <row r="747" spans="1:18">
      <c r="A747" s="4">
        <v>48376500000000</v>
      </c>
      <c r="B747" t="s">
        <v>18</v>
      </c>
      <c r="C747">
        <v>5</v>
      </c>
      <c r="D747" t="s">
        <v>31</v>
      </c>
      <c r="E747" t="s">
        <v>84</v>
      </c>
      <c r="F747" s="1">
        <v>42475</v>
      </c>
      <c r="G747" s="1">
        <v>42493</v>
      </c>
      <c r="H747" t="s">
        <v>41</v>
      </c>
      <c r="I747">
        <v>18</v>
      </c>
      <c r="J747" t="s">
        <v>77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1</v>
      </c>
      <c r="Q747" t="s">
        <v>23</v>
      </c>
      <c r="R747">
        <v>0</v>
      </c>
    </row>
    <row r="748" spans="1:18">
      <c r="A748" s="4">
        <v>115355000000000</v>
      </c>
      <c r="B748" t="s">
        <v>18</v>
      </c>
      <c r="C748">
        <v>13</v>
      </c>
      <c r="D748" t="s">
        <v>60</v>
      </c>
      <c r="E748" t="s">
        <v>40</v>
      </c>
      <c r="F748" s="1">
        <v>42475</v>
      </c>
      <c r="G748" s="1">
        <v>42503</v>
      </c>
      <c r="H748" t="s">
        <v>21</v>
      </c>
      <c r="I748">
        <v>28</v>
      </c>
      <c r="J748" t="s">
        <v>77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23</v>
      </c>
      <c r="R748">
        <v>0</v>
      </c>
    </row>
    <row r="749" spans="1:18">
      <c r="A749" s="4">
        <v>7765180000000</v>
      </c>
      <c r="B749" t="s">
        <v>28</v>
      </c>
      <c r="C749">
        <v>41</v>
      </c>
      <c r="D749" t="s">
        <v>27</v>
      </c>
      <c r="E749" t="s">
        <v>72</v>
      </c>
      <c r="F749" s="1">
        <v>42475</v>
      </c>
      <c r="G749" s="1">
        <v>42515</v>
      </c>
      <c r="H749" t="s">
        <v>25</v>
      </c>
      <c r="I749">
        <v>40</v>
      </c>
      <c r="J749" t="s">
        <v>22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 t="s">
        <v>23</v>
      </c>
      <c r="R749">
        <v>0</v>
      </c>
    </row>
    <row r="750" spans="1:18">
      <c r="A750" s="4">
        <v>2558230000000</v>
      </c>
      <c r="B750" t="s">
        <v>18</v>
      </c>
      <c r="C750">
        <v>81</v>
      </c>
      <c r="D750" t="s">
        <v>19</v>
      </c>
      <c r="E750" t="s">
        <v>50</v>
      </c>
      <c r="F750" s="1">
        <v>42475</v>
      </c>
      <c r="G750" s="1">
        <v>42501</v>
      </c>
      <c r="H750" t="s">
        <v>25</v>
      </c>
      <c r="I750">
        <v>26</v>
      </c>
      <c r="J750" t="s">
        <v>77</v>
      </c>
      <c r="K750">
        <v>0</v>
      </c>
      <c r="L750">
        <v>1</v>
      </c>
      <c r="M750">
        <v>1</v>
      </c>
      <c r="N750">
        <v>0</v>
      </c>
      <c r="O750">
        <v>0</v>
      </c>
      <c r="P750">
        <v>1</v>
      </c>
      <c r="Q750" t="s">
        <v>23</v>
      </c>
      <c r="R750">
        <v>0</v>
      </c>
    </row>
    <row r="751" spans="1:18">
      <c r="A751" s="4">
        <v>362354000000000</v>
      </c>
      <c r="B751" t="s">
        <v>18</v>
      </c>
      <c r="C751">
        <v>55</v>
      </c>
      <c r="D751" t="s">
        <v>35</v>
      </c>
      <c r="E751" t="s">
        <v>36</v>
      </c>
      <c r="F751" s="1">
        <v>42475</v>
      </c>
      <c r="G751" s="1">
        <v>42496</v>
      </c>
      <c r="H751" t="s">
        <v>21</v>
      </c>
      <c r="I751">
        <v>21</v>
      </c>
      <c r="J751" t="s">
        <v>77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 t="s">
        <v>23</v>
      </c>
      <c r="R751">
        <v>0</v>
      </c>
    </row>
    <row r="752" spans="1:18">
      <c r="A752" s="4">
        <v>87131200000000</v>
      </c>
      <c r="B752" t="s">
        <v>18</v>
      </c>
      <c r="C752">
        <v>84</v>
      </c>
      <c r="D752" t="s">
        <v>19</v>
      </c>
      <c r="E752" t="s">
        <v>55</v>
      </c>
      <c r="F752" s="1">
        <v>42475</v>
      </c>
      <c r="G752" s="1">
        <v>42521</v>
      </c>
      <c r="H752" t="s">
        <v>41</v>
      </c>
      <c r="I752">
        <v>46</v>
      </c>
      <c r="J752" t="s">
        <v>22</v>
      </c>
      <c r="K752">
        <v>0</v>
      </c>
      <c r="L752">
        <v>1</v>
      </c>
      <c r="M752">
        <v>1</v>
      </c>
      <c r="N752">
        <v>0</v>
      </c>
      <c r="O752">
        <v>0</v>
      </c>
      <c r="P752">
        <v>1</v>
      </c>
      <c r="Q752" t="s">
        <v>23</v>
      </c>
      <c r="R752">
        <v>0</v>
      </c>
    </row>
    <row r="753" spans="1:18">
      <c r="A753" s="4">
        <v>15651600000000</v>
      </c>
      <c r="B753" t="s">
        <v>18</v>
      </c>
      <c r="C753">
        <v>19</v>
      </c>
      <c r="D753" t="s">
        <v>37</v>
      </c>
      <c r="E753" t="s">
        <v>72</v>
      </c>
      <c r="F753" s="1">
        <v>42475</v>
      </c>
      <c r="G753" s="1">
        <v>42508</v>
      </c>
      <c r="H753" t="s">
        <v>25</v>
      </c>
      <c r="I753">
        <v>33</v>
      </c>
      <c r="J753" t="s">
        <v>22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26</v>
      </c>
      <c r="R753">
        <v>1</v>
      </c>
    </row>
    <row r="754" spans="1:18">
      <c r="A754" s="4">
        <v>33678900000000</v>
      </c>
      <c r="B754" t="s">
        <v>28</v>
      </c>
      <c r="C754">
        <v>2</v>
      </c>
      <c r="D754" t="s">
        <v>31</v>
      </c>
      <c r="E754" t="s">
        <v>38</v>
      </c>
      <c r="F754" s="1">
        <v>42475</v>
      </c>
      <c r="G754" s="1">
        <v>42494</v>
      </c>
      <c r="H754" t="s">
        <v>25</v>
      </c>
      <c r="I754">
        <v>19</v>
      </c>
      <c r="J754" t="s">
        <v>77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26</v>
      </c>
      <c r="R754">
        <v>1</v>
      </c>
    </row>
    <row r="755" spans="1:18">
      <c r="A755" s="4">
        <v>616687000000</v>
      </c>
      <c r="B755" t="s">
        <v>18</v>
      </c>
      <c r="C755">
        <v>45</v>
      </c>
      <c r="D755" t="s">
        <v>27</v>
      </c>
      <c r="E755" t="s">
        <v>98</v>
      </c>
      <c r="F755" s="1">
        <v>42475</v>
      </c>
      <c r="G755" s="1">
        <v>42501</v>
      </c>
      <c r="H755" t="s">
        <v>25</v>
      </c>
      <c r="I755">
        <v>26</v>
      </c>
      <c r="J755" t="s">
        <v>77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 t="s">
        <v>23</v>
      </c>
      <c r="R755">
        <v>0</v>
      </c>
    </row>
    <row r="756" spans="1:18">
      <c r="A756" s="4">
        <v>5566240000000</v>
      </c>
      <c r="B756" t="s">
        <v>28</v>
      </c>
      <c r="C756">
        <v>45</v>
      </c>
      <c r="D756" t="s">
        <v>27</v>
      </c>
      <c r="E756" t="s">
        <v>39</v>
      </c>
      <c r="F756" s="1">
        <v>42475</v>
      </c>
      <c r="G756" s="1">
        <v>42494</v>
      </c>
      <c r="H756" t="s">
        <v>25</v>
      </c>
      <c r="I756">
        <v>19</v>
      </c>
      <c r="J756" t="s">
        <v>77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 t="s">
        <v>23</v>
      </c>
      <c r="R756">
        <v>0</v>
      </c>
    </row>
    <row r="757" spans="1:18">
      <c r="A757" s="4">
        <v>21944100000000</v>
      </c>
      <c r="B757" t="s">
        <v>18</v>
      </c>
      <c r="C757">
        <v>35</v>
      </c>
      <c r="D757" t="s">
        <v>37</v>
      </c>
      <c r="E757" t="s">
        <v>50</v>
      </c>
      <c r="F757" s="1">
        <v>42475</v>
      </c>
      <c r="G757" s="1">
        <v>42520</v>
      </c>
      <c r="H757" t="s">
        <v>30</v>
      </c>
      <c r="I757">
        <v>45</v>
      </c>
      <c r="J757" t="s">
        <v>22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 t="s">
        <v>26</v>
      </c>
      <c r="R757">
        <v>1</v>
      </c>
    </row>
    <row r="758" spans="1:18">
      <c r="A758" s="4">
        <v>9273580000000</v>
      </c>
      <c r="B758" t="s">
        <v>28</v>
      </c>
      <c r="C758">
        <v>24</v>
      </c>
      <c r="D758" t="s">
        <v>37</v>
      </c>
      <c r="E758" t="s">
        <v>72</v>
      </c>
      <c r="F758" s="1">
        <v>42475</v>
      </c>
      <c r="G758" s="1">
        <v>42515</v>
      </c>
      <c r="H758" t="s">
        <v>25</v>
      </c>
      <c r="I758">
        <v>40</v>
      </c>
      <c r="J758" t="s">
        <v>22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 t="s">
        <v>26</v>
      </c>
      <c r="R758">
        <v>1</v>
      </c>
    </row>
    <row r="759" spans="1:18">
      <c r="A759" s="4">
        <v>7928480000000</v>
      </c>
      <c r="B759" t="s">
        <v>28</v>
      </c>
      <c r="C759">
        <v>44</v>
      </c>
      <c r="D759" t="s">
        <v>27</v>
      </c>
      <c r="E759" t="s">
        <v>68</v>
      </c>
      <c r="F759" s="1">
        <v>42475</v>
      </c>
      <c r="G759" s="1">
        <v>42495</v>
      </c>
      <c r="H759" t="s">
        <v>33</v>
      </c>
      <c r="I759">
        <v>20</v>
      </c>
      <c r="J759" t="s">
        <v>77</v>
      </c>
      <c r="K759">
        <v>0</v>
      </c>
      <c r="L759">
        <v>1</v>
      </c>
      <c r="M759">
        <v>0</v>
      </c>
      <c r="N759">
        <v>1</v>
      </c>
      <c r="O759">
        <v>0</v>
      </c>
      <c r="P759">
        <v>1</v>
      </c>
      <c r="Q759" t="s">
        <v>23</v>
      </c>
      <c r="R759">
        <v>0</v>
      </c>
    </row>
    <row r="760" spans="1:18">
      <c r="A760" s="4">
        <v>8213860000000</v>
      </c>
      <c r="B760" t="s">
        <v>28</v>
      </c>
      <c r="C760">
        <v>46</v>
      </c>
      <c r="D760" t="s">
        <v>27</v>
      </c>
      <c r="E760" t="s">
        <v>32</v>
      </c>
      <c r="F760" s="1">
        <v>42475</v>
      </c>
      <c r="G760" s="1">
        <v>42493</v>
      </c>
      <c r="H760" t="s">
        <v>41</v>
      </c>
      <c r="I760">
        <v>18</v>
      </c>
      <c r="J760" t="s">
        <v>77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26</v>
      </c>
      <c r="R760">
        <v>1</v>
      </c>
    </row>
    <row r="761" spans="1:18">
      <c r="A761" s="4">
        <v>3578000000000</v>
      </c>
      <c r="B761" t="s">
        <v>28</v>
      </c>
      <c r="C761">
        <v>33</v>
      </c>
      <c r="D761" t="s">
        <v>37</v>
      </c>
      <c r="E761" t="s">
        <v>40</v>
      </c>
      <c r="F761" s="1">
        <v>42478</v>
      </c>
      <c r="G761" s="1">
        <v>42492</v>
      </c>
      <c r="H761" t="s">
        <v>30</v>
      </c>
      <c r="I761">
        <v>14</v>
      </c>
      <c r="J761" t="s">
        <v>92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 t="s">
        <v>23</v>
      </c>
      <c r="R761">
        <v>0</v>
      </c>
    </row>
    <row r="762" spans="1:18">
      <c r="A762" s="4">
        <v>44929200000000</v>
      </c>
      <c r="B762" t="s">
        <v>28</v>
      </c>
      <c r="C762">
        <v>31</v>
      </c>
      <c r="D762" t="s">
        <v>37</v>
      </c>
      <c r="E762" t="s">
        <v>68</v>
      </c>
      <c r="F762" s="1">
        <v>42478</v>
      </c>
      <c r="G762" s="1">
        <v>42506</v>
      </c>
      <c r="H762" t="s">
        <v>30</v>
      </c>
      <c r="I762">
        <v>28</v>
      </c>
      <c r="J762" t="s">
        <v>77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23</v>
      </c>
      <c r="R762">
        <v>0</v>
      </c>
    </row>
    <row r="763" spans="1:18">
      <c r="A763" s="4">
        <v>89197600000000</v>
      </c>
      <c r="B763" t="s">
        <v>28</v>
      </c>
      <c r="C763">
        <v>61</v>
      </c>
      <c r="D763" t="s">
        <v>35</v>
      </c>
      <c r="E763" t="s">
        <v>68</v>
      </c>
      <c r="F763" s="1">
        <v>42478</v>
      </c>
      <c r="G763" s="1">
        <v>42510</v>
      </c>
      <c r="H763" t="s">
        <v>21</v>
      </c>
      <c r="I763">
        <v>32</v>
      </c>
      <c r="J763" t="s">
        <v>22</v>
      </c>
      <c r="K763">
        <v>0</v>
      </c>
      <c r="L763">
        <v>1</v>
      </c>
      <c r="M763">
        <v>0</v>
      </c>
      <c r="N763">
        <v>1</v>
      </c>
      <c r="O763">
        <v>0</v>
      </c>
      <c r="P763">
        <v>0</v>
      </c>
      <c r="Q763" t="s">
        <v>23</v>
      </c>
      <c r="R763">
        <v>0</v>
      </c>
    </row>
    <row r="764" spans="1:18">
      <c r="A764" s="4">
        <v>8652470000000</v>
      </c>
      <c r="B764" t="s">
        <v>28</v>
      </c>
      <c r="C764">
        <v>60</v>
      </c>
      <c r="D764" t="s">
        <v>35</v>
      </c>
      <c r="E764" t="s">
        <v>68</v>
      </c>
      <c r="F764" s="1">
        <v>42478</v>
      </c>
      <c r="G764" s="1">
        <v>42506</v>
      </c>
      <c r="H764" t="s">
        <v>30</v>
      </c>
      <c r="I764">
        <v>28</v>
      </c>
      <c r="J764" t="s">
        <v>77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0</v>
      </c>
      <c r="Q764" t="s">
        <v>23</v>
      </c>
      <c r="R764">
        <v>0</v>
      </c>
    </row>
    <row r="765" spans="1:18">
      <c r="A765" s="4">
        <v>969875000000000</v>
      </c>
      <c r="B765" t="s">
        <v>28</v>
      </c>
      <c r="C765">
        <v>36</v>
      </c>
      <c r="D765" t="s">
        <v>27</v>
      </c>
      <c r="E765" t="s">
        <v>73</v>
      </c>
      <c r="F765" s="1">
        <v>42478</v>
      </c>
      <c r="G765" s="1">
        <v>42492</v>
      </c>
      <c r="H765" t="s">
        <v>30</v>
      </c>
      <c r="I765">
        <v>14</v>
      </c>
      <c r="J765" t="s">
        <v>92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23</v>
      </c>
      <c r="R765">
        <v>0</v>
      </c>
    </row>
    <row r="766" spans="1:18">
      <c r="A766" s="4">
        <v>61189000000000</v>
      </c>
      <c r="B766" t="s">
        <v>18</v>
      </c>
      <c r="C766">
        <v>53</v>
      </c>
      <c r="D766" t="s">
        <v>35</v>
      </c>
      <c r="E766" t="s">
        <v>40</v>
      </c>
      <c r="F766" s="1">
        <v>42478</v>
      </c>
      <c r="G766" s="1">
        <v>42492</v>
      </c>
      <c r="H766" t="s">
        <v>30</v>
      </c>
      <c r="I766">
        <v>14</v>
      </c>
      <c r="J766" t="s">
        <v>92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 t="s">
        <v>26</v>
      </c>
      <c r="R766">
        <v>1</v>
      </c>
    </row>
    <row r="767" spans="1:18">
      <c r="A767" s="4">
        <v>73662300000000</v>
      </c>
      <c r="B767" t="s">
        <v>18</v>
      </c>
      <c r="C767">
        <v>24</v>
      </c>
      <c r="D767" t="s">
        <v>37</v>
      </c>
      <c r="E767" t="s">
        <v>40</v>
      </c>
      <c r="F767" s="1">
        <v>42478</v>
      </c>
      <c r="G767" s="1">
        <v>42492</v>
      </c>
      <c r="H767" t="s">
        <v>30</v>
      </c>
      <c r="I767">
        <v>14</v>
      </c>
      <c r="J767" t="s">
        <v>92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</v>
      </c>
      <c r="Q767" t="s">
        <v>23</v>
      </c>
      <c r="R767">
        <v>0</v>
      </c>
    </row>
    <row r="768" spans="1:18">
      <c r="A768" s="4">
        <v>354151000000000</v>
      </c>
      <c r="B768" t="s">
        <v>18</v>
      </c>
      <c r="C768">
        <v>37</v>
      </c>
      <c r="D768" t="s">
        <v>27</v>
      </c>
      <c r="E768" t="s">
        <v>68</v>
      </c>
      <c r="F768" s="1">
        <v>42478</v>
      </c>
      <c r="G768" s="1">
        <v>42508</v>
      </c>
      <c r="H768" t="s">
        <v>25</v>
      </c>
      <c r="I768">
        <v>30</v>
      </c>
      <c r="J768" t="s">
        <v>77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23</v>
      </c>
      <c r="R768">
        <v>0</v>
      </c>
    </row>
    <row r="769" spans="1:18">
      <c r="A769" s="4">
        <v>558555000000000</v>
      </c>
      <c r="B769" t="s">
        <v>28</v>
      </c>
      <c r="C769">
        <v>16</v>
      </c>
      <c r="D769" t="s">
        <v>60</v>
      </c>
      <c r="E769" t="s">
        <v>65</v>
      </c>
      <c r="F769" s="1">
        <v>42478</v>
      </c>
      <c r="G769" s="1">
        <v>42492</v>
      </c>
      <c r="H769" t="s">
        <v>30</v>
      </c>
      <c r="I769">
        <v>14</v>
      </c>
      <c r="J769" t="s">
        <v>92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26</v>
      </c>
      <c r="R769">
        <v>1</v>
      </c>
    </row>
    <row r="770" spans="1:18">
      <c r="A770" s="4">
        <v>413927000000000</v>
      </c>
      <c r="B770" t="s">
        <v>18</v>
      </c>
      <c r="C770">
        <v>28</v>
      </c>
      <c r="D770" t="s">
        <v>37</v>
      </c>
      <c r="E770" t="s">
        <v>52</v>
      </c>
      <c r="F770" s="1">
        <v>42478</v>
      </c>
      <c r="G770" s="1">
        <v>42489</v>
      </c>
      <c r="H770" t="s">
        <v>21</v>
      </c>
      <c r="I770">
        <v>11</v>
      </c>
      <c r="J770" t="s">
        <v>92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 t="s">
        <v>23</v>
      </c>
      <c r="R770">
        <v>0</v>
      </c>
    </row>
    <row r="771" spans="1:18">
      <c r="A771" s="4">
        <v>5775780000000</v>
      </c>
      <c r="B771" t="s">
        <v>18</v>
      </c>
      <c r="C771">
        <v>49</v>
      </c>
      <c r="D771" t="s">
        <v>27</v>
      </c>
      <c r="E771" t="s">
        <v>52</v>
      </c>
      <c r="F771" s="1">
        <v>42478</v>
      </c>
      <c r="G771" s="1">
        <v>42494</v>
      </c>
      <c r="H771" t="s">
        <v>25</v>
      </c>
      <c r="I771">
        <v>16</v>
      </c>
      <c r="J771" t="s">
        <v>77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 t="s">
        <v>23</v>
      </c>
      <c r="R771">
        <v>0</v>
      </c>
    </row>
    <row r="772" spans="1:18">
      <c r="A772" s="4">
        <v>81227800000000</v>
      </c>
      <c r="B772" t="s">
        <v>18</v>
      </c>
      <c r="C772">
        <v>21</v>
      </c>
      <c r="D772" t="s">
        <v>37</v>
      </c>
      <c r="E772" t="s">
        <v>76</v>
      </c>
      <c r="F772" s="1">
        <v>42478</v>
      </c>
      <c r="G772" s="1">
        <v>42494</v>
      </c>
      <c r="H772" t="s">
        <v>25</v>
      </c>
      <c r="I772">
        <v>16</v>
      </c>
      <c r="J772" t="s">
        <v>77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 t="s">
        <v>23</v>
      </c>
      <c r="R772">
        <v>0</v>
      </c>
    </row>
    <row r="773" spans="1:18">
      <c r="A773" s="4">
        <v>27773800000000</v>
      </c>
      <c r="B773" t="s">
        <v>18</v>
      </c>
      <c r="C773">
        <v>23</v>
      </c>
      <c r="D773" t="s">
        <v>37</v>
      </c>
      <c r="E773" t="s">
        <v>76</v>
      </c>
      <c r="F773" s="1">
        <v>42478</v>
      </c>
      <c r="G773" s="1">
        <v>42506</v>
      </c>
      <c r="H773" t="s">
        <v>30</v>
      </c>
      <c r="I773">
        <v>28</v>
      </c>
      <c r="J773" t="s">
        <v>77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23</v>
      </c>
      <c r="R773">
        <v>0</v>
      </c>
    </row>
    <row r="774" spans="1:18">
      <c r="A774" s="4">
        <v>358616000000000</v>
      </c>
      <c r="B774" t="s">
        <v>18</v>
      </c>
      <c r="C774">
        <v>70</v>
      </c>
      <c r="D774" t="s">
        <v>19</v>
      </c>
      <c r="E774" t="s">
        <v>72</v>
      </c>
      <c r="F774" s="1">
        <v>42478</v>
      </c>
      <c r="G774" s="1">
        <v>42509</v>
      </c>
      <c r="H774" t="s">
        <v>33</v>
      </c>
      <c r="I774">
        <v>31</v>
      </c>
      <c r="J774" t="s">
        <v>22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23</v>
      </c>
      <c r="R774">
        <v>0</v>
      </c>
    </row>
    <row r="775" spans="1:18">
      <c r="A775" s="4">
        <v>9755850000000</v>
      </c>
      <c r="B775" t="s">
        <v>18</v>
      </c>
      <c r="C775">
        <v>42</v>
      </c>
      <c r="D775" t="s">
        <v>27</v>
      </c>
      <c r="E775" t="s">
        <v>55</v>
      </c>
      <c r="F775" s="1">
        <v>42478</v>
      </c>
      <c r="G775" s="1">
        <v>42494</v>
      </c>
      <c r="H775" t="s">
        <v>25</v>
      </c>
      <c r="I775">
        <v>16</v>
      </c>
      <c r="J775" t="s">
        <v>77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 t="s">
        <v>26</v>
      </c>
      <c r="R775">
        <v>1</v>
      </c>
    </row>
    <row r="776" spans="1:18">
      <c r="A776" s="4">
        <v>6278660000000</v>
      </c>
      <c r="B776" t="s">
        <v>18</v>
      </c>
      <c r="C776">
        <v>57</v>
      </c>
      <c r="D776" t="s">
        <v>35</v>
      </c>
      <c r="E776" t="s">
        <v>62</v>
      </c>
      <c r="F776" s="1">
        <v>42478</v>
      </c>
      <c r="G776" s="1">
        <v>42510</v>
      </c>
      <c r="H776" t="s">
        <v>21</v>
      </c>
      <c r="I776">
        <v>32</v>
      </c>
      <c r="J776" t="s">
        <v>22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26</v>
      </c>
      <c r="R776">
        <v>1</v>
      </c>
    </row>
    <row r="777" spans="1:18">
      <c r="A777" s="4">
        <v>381375000000</v>
      </c>
      <c r="B777" t="s">
        <v>28</v>
      </c>
      <c r="C777">
        <v>43</v>
      </c>
      <c r="D777" t="s">
        <v>27</v>
      </c>
      <c r="E777" t="s">
        <v>57</v>
      </c>
      <c r="F777" s="1">
        <v>42478</v>
      </c>
      <c r="G777" s="1">
        <v>42496</v>
      </c>
      <c r="H777" t="s">
        <v>21</v>
      </c>
      <c r="I777">
        <v>18</v>
      </c>
      <c r="J777" t="s">
        <v>77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 t="s">
        <v>26</v>
      </c>
      <c r="R777">
        <v>1</v>
      </c>
    </row>
    <row r="778" spans="1:18">
      <c r="A778" s="4">
        <v>257519000000</v>
      </c>
      <c r="B778" t="s">
        <v>18</v>
      </c>
      <c r="C778">
        <v>46</v>
      </c>
      <c r="D778" t="s">
        <v>27</v>
      </c>
      <c r="E778" t="s">
        <v>43</v>
      </c>
      <c r="F778" s="1">
        <v>42478</v>
      </c>
      <c r="G778" s="1">
        <v>42515</v>
      </c>
      <c r="H778" t="s">
        <v>25</v>
      </c>
      <c r="I778">
        <v>37</v>
      </c>
      <c r="J778" t="s">
        <v>22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 t="s">
        <v>23</v>
      </c>
      <c r="R778">
        <v>0</v>
      </c>
    </row>
    <row r="779" spans="1:18">
      <c r="A779" s="4">
        <v>294925000000000</v>
      </c>
      <c r="B779" t="s">
        <v>28</v>
      </c>
      <c r="C779">
        <v>50</v>
      </c>
      <c r="D779" t="s">
        <v>27</v>
      </c>
      <c r="E779" t="s">
        <v>40</v>
      </c>
      <c r="F779" s="1">
        <v>42478</v>
      </c>
      <c r="G779" s="1">
        <v>42494</v>
      </c>
      <c r="H779" t="s">
        <v>25</v>
      </c>
      <c r="I779">
        <v>16</v>
      </c>
      <c r="J779" t="s">
        <v>77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23</v>
      </c>
      <c r="R779">
        <v>0</v>
      </c>
    </row>
    <row r="780" spans="1:18">
      <c r="A780" s="4">
        <v>9245200000000</v>
      </c>
      <c r="B780" t="s">
        <v>28</v>
      </c>
      <c r="C780">
        <v>41</v>
      </c>
      <c r="D780" t="s">
        <v>27</v>
      </c>
      <c r="E780" t="s">
        <v>40</v>
      </c>
      <c r="F780" s="1">
        <v>42478</v>
      </c>
      <c r="G780" s="1">
        <v>42494</v>
      </c>
      <c r="H780" t="s">
        <v>25</v>
      </c>
      <c r="I780">
        <v>16</v>
      </c>
      <c r="J780" t="s">
        <v>77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 t="s">
        <v>23</v>
      </c>
      <c r="R780">
        <v>0</v>
      </c>
    </row>
    <row r="781" spans="1:18">
      <c r="A781" s="4">
        <v>124521000000000</v>
      </c>
      <c r="B781" t="s">
        <v>18</v>
      </c>
      <c r="C781">
        <v>40</v>
      </c>
      <c r="D781" t="s">
        <v>27</v>
      </c>
      <c r="E781" t="s">
        <v>56</v>
      </c>
      <c r="F781" s="1">
        <v>42478</v>
      </c>
      <c r="G781" s="1">
        <v>42520</v>
      </c>
      <c r="H781" t="s">
        <v>30</v>
      </c>
      <c r="I781">
        <v>42</v>
      </c>
      <c r="J781" t="s">
        <v>22</v>
      </c>
      <c r="K781">
        <v>1</v>
      </c>
      <c r="L781">
        <v>1</v>
      </c>
      <c r="M781">
        <v>0</v>
      </c>
      <c r="N781">
        <v>0</v>
      </c>
      <c r="O781">
        <v>0</v>
      </c>
      <c r="P781">
        <v>1</v>
      </c>
      <c r="Q781" t="s">
        <v>26</v>
      </c>
      <c r="R781">
        <v>1</v>
      </c>
    </row>
    <row r="782" spans="1:18">
      <c r="A782" s="4">
        <v>74551900000000</v>
      </c>
      <c r="B782" t="s">
        <v>18</v>
      </c>
      <c r="C782">
        <v>50</v>
      </c>
      <c r="D782" t="s">
        <v>27</v>
      </c>
      <c r="E782" t="s">
        <v>58</v>
      </c>
      <c r="F782" s="1">
        <v>42478</v>
      </c>
      <c r="G782" s="1">
        <v>42493</v>
      </c>
      <c r="H782" t="s">
        <v>41</v>
      </c>
      <c r="I782">
        <v>15</v>
      </c>
      <c r="J782" t="s">
        <v>77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 t="s">
        <v>23</v>
      </c>
      <c r="R782">
        <v>0</v>
      </c>
    </row>
    <row r="783" spans="1:18">
      <c r="A783" s="4">
        <v>998943000000000</v>
      </c>
      <c r="B783" t="s">
        <v>28</v>
      </c>
      <c r="C783">
        <v>47</v>
      </c>
      <c r="D783" t="s">
        <v>27</v>
      </c>
      <c r="E783" t="s">
        <v>65</v>
      </c>
      <c r="F783" s="1">
        <v>42478</v>
      </c>
      <c r="G783" s="1">
        <v>42489</v>
      </c>
      <c r="H783" t="s">
        <v>21</v>
      </c>
      <c r="I783">
        <v>11</v>
      </c>
      <c r="J783" t="s">
        <v>92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23</v>
      </c>
      <c r="R783">
        <v>0</v>
      </c>
    </row>
    <row r="784" spans="1:18">
      <c r="A784" s="4">
        <v>6717920000000</v>
      </c>
      <c r="B784" t="s">
        <v>18</v>
      </c>
      <c r="C784">
        <v>20</v>
      </c>
      <c r="D784" t="s">
        <v>37</v>
      </c>
      <c r="E784" t="s">
        <v>68</v>
      </c>
      <c r="F784" s="1">
        <v>42478</v>
      </c>
      <c r="G784" s="1">
        <v>42496</v>
      </c>
      <c r="H784" t="s">
        <v>21</v>
      </c>
      <c r="I784">
        <v>18</v>
      </c>
      <c r="J784" t="s">
        <v>77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 t="s">
        <v>23</v>
      </c>
      <c r="R784">
        <v>0</v>
      </c>
    </row>
    <row r="785" spans="1:18">
      <c r="A785" s="4">
        <v>879493000000000</v>
      </c>
      <c r="B785" t="s">
        <v>18</v>
      </c>
      <c r="C785">
        <v>86</v>
      </c>
      <c r="D785" t="s">
        <v>19</v>
      </c>
      <c r="E785" t="s">
        <v>29</v>
      </c>
      <c r="F785" s="1">
        <v>42478</v>
      </c>
      <c r="G785" s="1">
        <v>42506</v>
      </c>
      <c r="H785" t="s">
        <v>30</v>
      </c>
      <c r="I785">
        <v>28</v>
      </c>
      <c r="J785" t="s">
        <v>77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23</v>
      </c>
      <c r="R785">
        <v>0</v>
      </c>
    </row>
    <row r="786" spans="1:18">
      <c r="A786" s="4">
        <v>2863960000000</v>
      </c>
      <c r="B786" t="s">
        <v>18</v>
      </c>
      <c r="C786">
        <v>18</v>
      </c>
      <c r="D786" t="s">
        <v>37</v>
      </c>
      <c r="E786" t="s">
        <v>67</v>
      </c>
      <c r="F786" s="1">
        <v>42478</v>
      </c>
      <c r="G786" s="1">
        <v>42501</v>
      </c>
      <c r="H786" t="s">
        <v>25</v>
      </c>
      <c r="I786">
        <v>23</v>
      </c>
      <c r="J786" t="s">
        <v>77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1</v>
      </c>
      <c r="Q786" t="s">
        <v>26</v>
      </c>
      <c r="R786">
        <v>1</v>
      </c>
    </row>
    <row r="787" spans="1:18">
      <c r="A787" s="4">
        <v>925650000000</v>
      </c>
      <c r="B787" t="s">
        <v>28</v>
      </c>
      <c r="C787">
        <v>16</v>
      </c>
      <c r="D787" t="s">
        <v>60</v>
      </c>
      <c r="E787" t="s">
        <v>73</v>
      </c>
      <c r="F787" s="1">
        <v>42478</v>
      </c>
      <c r="G787" s="1">
        <v>42514</v>
      </c>
      <c r="H787" t="s">
        <v>41</v>
      </c>
      <c r="I787">
        <v>36</v>
      </c>
      <c r="J787" t="s">
        <v>22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23</v>
      </c>
      <c r="R787">
        <v>0</v>
      </c>
    </row>
    <row r="788" spans="1:18">
      <c r="A788" s="4">
        <v>61687321977</v>
      </c>
      <c r="B788" t="s">
        <v>18</v>
      </c>
      <c r="C788">
        <v>8</v>
      </c>
      <c r="D788" t="s">
        <v>31</v>
      </c>
      <c r="E788" t="s">
        <v>39</v>
      </c>
      <c r="F788" s="1">
        <v>42478</v>
      </c>
      <c r="G788" s="1">
        <v>42501</v>
      </c>
      <c r="H788" t="s">
        <v>25</v>
      </c>
      <c r="I788">
        <v>23</v>
      </c>
      <c r="J788" t="s">
        <v>77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23</v>
      </c>
      <c r="R788">
        <v>0</v>
      </c>
    </row>
    <row r="789" spans="1:18">
      <c r="A789" s="4">
        <v>2274800000000</v>
      </c>
      <c r="B789" t="s">
        <v>28</v>
      </c>
      <c r="C789">
        <v>12</v>
      </c>
      <c r="D789" t="s">
        <v>31</v>
      </c>
      <c r="E789" t="s">
        <v>52</v>
      </c>
      <c r="F789" s="1">
        <v>42478</v>
      </c>
      <c r="G789" s="1">
        <v>42492</v>
      </c>
      <c r="H789" t="s">
        <v>30</v>
      </c>
      <c r="I789">
        <v>14</v>
      </c>
      <c r="J789" t="s">
        <v>92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 t="s">
        <v>26</v>
      </c>
      <c r="R789">
        <v>1</v>
      </c>
    </row>
    <row r="790" spans="1:18">
      <c r="A790" s="4">
        <v>13356400000000</v>
      </c>
      <c r="B790" t="s">
        <v>18</v>
      </c>
      <c r="C790">
        <v>44</v>
      </c>
      <c r="D790" t="s">
        <v>27</v>
      </c>
      <c r="E790" t="s">
        <v>76</v>
      </c>
      <c r="F790" s="1">
        <v>42478</v>
      </c>
      <c r="G790" s="1">
        <v>42502</v>
      </c>
      <c r="H790" t="s">
        <v>33</v>
      </c>
      <c r="I790">
        <v>24</v>
      </c>
      <c r="J790" t="s">
        <v>77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 t="s">
        <v>26</v>
      </c>
      <c r="R790">
        <v>1</v>
      </c>
    </row>
    <row r="791" spans="1:18">
      <c r="A791" s="4">
        <v>875195000000000</v>
      </c>
      <c r="B791" t="s">
        <v>18</v>
      </c>
      <c r="C791">
        <v>78</v>
      </c>
      <c r="D791" t="s">
        <v>19</v>
      </c>
      <c r="E791" t="s">
        <v>29</v>
      </c>
      <c r="F791" s="1">
        <v>42478</v>
      </c>
      <c r="G791" s="1">
        <v>42506</v>
      </c>
      <c r="H791" t="s">
        <v>30</v>
      </c>
      <c r="I791">
        <v>28</v>
      </c>
      <c r="J791" t="s">
        <v>77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 t="s">
        <v>23</v>
      </c>
      <c r="R791">
        <v>0</v>
      </c>
    </row>
    <row r="792" spans="1:18">
      <c r="A792" s="4">
        <v>6896170000000</v>
      </c>
      <c r="B792" t="s">
        <v>28</v>
      </c>
      <c r="C792">
        <v>18</v>
      </c>
      <c r="D792" t="s">
        <v>37</v>
      </c>
      <c r="E792" t="s">
        <v>40</v>
      </c>
      <c r="F792" s="1">
        <v>42478</v>
      </c>
      <c r="G792" s="1">
        <v>42501</v>
      </c>
      <c r="H792" t="s">
        <v>25</v>
      </c>
      <c r="I792">
        <v>23</v>
      </c>
      <c r="J792" t="s">
        <v>77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 t="s">
        <v>26</v>
      </c>
      <c r="R792">
        <v>1</v>
      </c>
    </row>
    <row r="793" spans="1:18">
      <c r="A793" s="4">
        <v>11172500000000</v>
      </c>
      <c r="B793" t="s">
        <v>28</v>
      </c>
      <c r="C793">
        <v>71</v>
      </c>
      <c r="D793" t="s">
        <v>19</v>
      </c>
      <c r="E793" t="s">
        <v>62</v>
      </c>
      <c r="F793" s="1">
        <v>42478</v>
      </c>
      <c r="G793" s="1">
        <v>42510</v>
      </c>
      <c r="H793" t="s">
        <v>21</v>
      </c>
      <c r="I793">
        <v>32</v>
      </c>
      <c r="J793" t="s">
        <v>22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23</v>
      </c>
      <c r="R793">
        <v>0</v>
      </c>
    </row>
    <row r="794" spans="1:18">
      <c r="A794" s="4">
        <v>6782370000000</v>
      </c>
      <c r="B794" t="s">
        <v>28</v>
      </c>
      <c r="C794">
        <v>48</v>
      </c>
      <c r="D794" t="s">
        <v>27</v>
      </c>
      <c r="E794" t="s">
        <v>42</v>
      </c>
      <c r="F794" s="1">
        <v>42478</v>
      </c>
      <c r="G794" s="1">
        <v>42509</v>
      </c>
      <c r="H794" t="s">
        <v>33</v>
      </c>
      <c r="I794">
        <v>31</v>
      </c>
      <c r="J794" t="s">
        <v>22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23</v>
      </c>
      <c r="R794">
        <v>0</v>
      </c>
    </row>
    <row r="795" spans="1:18">
      <c r="A795" s="4">
        <v>9543150000000</v>
      </c>
      <c r="B795" t="s">
        <v>18</v>
      </c>
      <c r="C795">
        <v>77</v>
      </c>
      <c r="D795" t="s">
        <v>19</v>
      </c>
      <c r="E795" t="s">
        <v>67</v>
      </c>
      <c r="F795" s="1">
        <v>42478</v>
      </c>
      <c r="G795" s="1">
        <v>42508</v>
      </c>
      <c r="H795" t="s">
        <v>25</v>
      </c>
      <c r="I795">
        <v>30</v>
      </c>
      <c r="J795" t="s">
        <v>77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23</v>
      </c>
      <c r="R795">
        <v>0</v>
      </c>
    </row>
    <row r="796" spans="1:18">
      <c r="A796" s="4">
        <v>4491220000000</v>
      </c>
      <c r="B796" t="s">
        <v>18</v>
      </c>
      <c r="C796">
        <v>0</v>
      </c>
      <c r="D796" t="s">
        <v>31</v>
      </c>
      <c r="E796" t="s">
        <v>84</v>
      </c>
      <c r="F796" s="1">
        <v>42478</v>
      </c>
      <c r="G796" s="1">
        <v>42489</v>
      </c>
      <c r="H796" t="s">
        <v>21</v>
      </c>
      <c r="I796">
        <v>11</v>
      </c>
      <c r="J796" t="s">
        <v>92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 t="s">
        <v>26</v>
      </c>
      <c r="R796">
        <v>1</v>
      </c>
    </row>
    <row r="797" spans="1:18">
      <c r="A797" s="4">
        <v>2176910000000</v>
      </c>
      <c r="B797" t="s">
        <v>28</v>
      </c>
      <c r="C797">
        <v>59</v>
      </c>
      <c r="D797" t="s">
        <v>35</v>
      </c>
      <c r="E797" t="s">
        <v>99</v>
      </c>
      <c r="F797" s="1">
        <v>42478</v>
      </c>
      <c r="G797" s="1">
        <v>42503</v>
      </c>
      <c r="H797" t="s">
        <v>21</v>
      </c>
      <c r="I797">
        <v>25</v>
      </c>
      <c r="J797" t="s">
        <v>77</v>
      </c>
      <c r="K797">
        <v>0</v>
      </c>
      <c r="L797">
        <v>1</v>
      </c>
      <c r="M797">
        <v>1</v>
      </c>
      <c r="N797">
        <v>1</v>
      </c>
      <c r="O797">
        <v>0</v>
      </c>
      <c r="P797">
        <v>0</v>
      </c>
      <c r="Q797" t="s">
        <v>26</v>
      </c>
      <c r="R797">
        <v>1</v>
      </c>
    </row>
    <row r="798" spans="1:18">
      <c r="A798" s="4">
        <v>51437522947</v>
      </c>
      <c r="B798" t="s">
        <v>18</v>
      </c>
      <c r="C798">
        <v>63</v>
      </c>
      <c r="D798" t="s">
        <v>35</v>
      </c>
      <c r="E798" t="s">
        <v>29</v>
      </c>
      <c r="F798" s="1">
        <v>42478</v>
      </c>
      <c r="G798" s="1">
        <v>42499</v>
      </c>
      <c r="H798" t="s">
        <v>30</v>
      </c>
      <c r="I798">
        <v>21</v>
      </c>
      <c r="J798" t="s">
        <v>77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23</v>
      </c>
      <c r="R798">
        <v>0</v>
      </c>
    </row>
    <row r="799" spans="1:18">
      <c r="A799" s="4">
        <v>391352000000000</v>
      </c>
      <c r="B799" t="s">
        <v>18</v>
      </c>
      <c r="C799">
        <v>70</v>
      </c>
      <c r="D799" t="s">
        <v>19</v>
      </c>
      <c r="E799" t="s">
        <v>100</v>
      </c>
      <c r="F799" s="1">
        <v>42478</v>
      </c>
      <c r="G799" s="1">
        <v>42499</v>
      </c>
      <c r="H799" t="s">
        <v>30</v>
      </c>
      <c r="I799">
        <v>21</v>
      </c>
      <c r="J799" t="s">
        <v>77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 t="s">
        <v>23</v>
      </c>
      <c r="R799">
        <v>0</v>
      </c>
    </row>
    <row r="800" spans="1:18">
      <c r="A800" s="4">
        <v>44143900000000</v>
      </c>
      <c r="B800" t="s">
        <v>18</v>
      </c>
      <c r="C800">
        <v>83</v>
      </c>
      <c r="D800" t="s">
        <v>19</v>
      </c>
      <c r="E800" t="s">
        <v>91</v>
      </c>
      <c r="F800" s="1">
        <v>42478</v>
      </c>
      <c r="G800" s="1">
        <v>42493</v>
      </c>
      <c r="H800" t="s">
        <v>41</v>
      </c>
      <c r="I800">
        <v>15</v>
      </c>
      <c r="J800" t="s">
        <v>77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23</v>
      </c>
      <c r="R800">
        <v>0</v>
      </c>
    </row>
    <row r="801" spans="1:18">
      <c r="A801" s="4">
        <v>794840000000000</v>
      </c>
      <c r="B801" t="s">
        <v>28</v>
      </c>
      <c r="C801">
        <v>80</v>
      </c>
      <c r="D801" t="s">
        <v>19</v>
      </c>
      <c r="E801" t="s">
        <v>52</v>
      </c>
      <c r="F801" s="1">
        <v>42478</v>
      </c>
      <c r="G801" s="1">
        <v>42495</v>
      </c>
      <c r="H801" t="s">
        <v>33</v>
      </c>
      <c r="I801">
        <v>17</v>
      </c>
      <c r="J801" t="s">
        <v>77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1</v>
      </c>
      <c r="Q801" t="s">
        <v>23</v>
      </c>
      <c r="R801">
        <v>0</v>
      </c>
    </row>
    <row r="802" spans="1:18">
      <c r="A802" s="4">
        <v>699915000000000</v>
      </c>
      <c r="B802" t="s">
        <v>18</v>
      </c>
      <c r="C802">
        <v>1</v>
      </c>
      <c r="D802" t="s">
        <v>31</v>
      </c>
      <c r="E802" t="s">
        <v>66</v>
      </c>
      <c r="F802" s="1">
        <v>42478</v>
      </c>
      <c r="G802" s="1">
        <v>42500</v>
      </c>
      <c r="H802" t="s">
        <v>41</v>
      </c>
      <c r="I802">
        <v>22</v>
      </c>
      <c r="J802" t="s">
        <v>77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</v>
      </c>
      <c r="Q802" t="s">
        <v>23</v>
      </c>
      <c r="R802">
        <v>0</v>
      </c>
    </row>
    <row r="803" spans="1:18">
      <c r="A803" s="4">
        <v>3835790000000</v>
      </c>
      <c r="B803" t="s">
        <v>18</v>
      </c>
      <c r="C803">
        <v>73</v>
      </c>
      <c r="D803" t="s">
        <v>19</v>
      </c>
      <c r="E803" t="s">
        <v>40</v>
      </c>
      <c r="F803" s="1">
        <v>42478</v>
      </c>
      <c r="G803" s="1">
        <v>42496</v>
      </c>
      <c r="H803" t="s">
        <v>21</v>
      </c>
      <c r="I803">
        <v>18</v>
      </c>
      <c r="J803" t="s">
        <v>77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 t="s">
        <v>23</v>
      </c>
      <c r="R803">
        <v>0</v>
      </c>
    </row>
    <row r="804" spans="1:18">
      <c r="A804" s="4">
        <v>75586800000000</v>
      </c>
      <c r="B804" t="s">
        <v>28</v>
      </c>
      <c r="C804">
        <v>2</v>
      </c>
      <c r="D804" t="s">
        <v>31</v>
      </c>
      <c r="E804" t="s">
        <v>67</v>
      </c>
      <c r="F804" s="1">
        <v>42478</v>
      </c>
      <c r="G804" s="1">
        <v>42496</v>
      </c>
      <c r="H804" t="s">
        <v>21</v>
      </c>
      <c r="I804">
        <v>18</v>
      </c>
      <c r="J804" t="s">
        <v>77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</v>
      </c>
      <c r="Q804" t="s">
        <v>23</v>
      </c>
      <c r="R804">
        <v>0</v>
      </c>
    </row>
    <row r="805" spans="1:18">
      <c r="A805" s="4">
        <v>23145800000000</v>
      </c>
      <c r="B805" t="s">
        <v>18</v>
      </c>
      <c r="C805">
        <v>39</v>
      </c>
      <c r="D805" t="s">
        <v>27</v>
      </c>
      <c r="E805" t="s">
        <v>68</v>
      </c>
      <c r="F805" s="1">
        <v>42478</v>
      </c>
      <c r="G805" s="1">
        <v>42492</v>
      </c>
      <c r="H805" t="s">
        <v>30</v>
      </c>
      <c r="I805">
        <v>14</v>
      </c>
      <c r="J805" t="s">
        <v>92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1</v>
      </c>
      <c r="Q805" t="s">
        <v>26</v>
      </c>
      <c r="R805">
        <v>1</v>
      </c>
    </row>
    <row r="806" spans="1:18">
      <c r="A806" s="4">
        <v>38385582191</v>
      </c>
      <c r="B806" t="s">
        <v>18</v>
      </c>
      <c r="C806">
        <v>62</v>
      </c>
      <c r="D806" t="s">
        <v>35</v>
      </c>
      <c r="E806" t="s">
        <v>57</v>
      </c>
      <c r="F806" s="1">
        <v>42478</v>
      </c>
      <c r="G806" s="1">
        <v>42506</v>
      </c>
      <c r="H806" t="s">
        <v>30</v>
      </c>
      <c r="I806">
        <v>28</v>
      </c>
      <c r="J806" t="s">
        <v>77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0</v>
      </c>
      <c r="Q806" t="s">
        <v>26</v>
      </c>
      <c r="R806">
        <v>1</v>
      </c>
    </row>
    <row r="807" spans="1:18">
      <c r="A807" s="4">
        <v>578397000000000</v>
      </c>
      <c r="B807" t="s">
        <v>18</v>
      </c>
      <c r="C807">
        <v>29</v>
      </c>
      <c r="D807" t="s">
        <v>37</v>
      </c>
      <c r="E807" t="s">
        <v>58</v>
      </c>
      <c r="F807" s="1">
        <v>42478</v>
      </c>
      <c r="G807" s="1">
        <v>42509</v>
      </c>
      <c r="H807" t="s">
        <v>33</v>
      </c>
      <c r="I807">
        <v>31</v>
      </c>
      <c r="J807" t="s">
        <v>22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26</v>
      </c>
      <c r="R807">
        <v>1</v>
      </c>
    </row>
    <row r="808" spans="1:18">
      <c r="A808" s="4">
        <v>7516980000000</v>
      </c>
      <c r="B808" t="s">
        <v>18</v>
      </c>
      <c r="C808">
        <v>39</v>
      </c>
      <c r="D808" t="s">
        <v>27</v>
      </c>
      <c r="E808" t="s">
        <v>50</v>
      </c>
      <c r="F808" s="1">
        <v>42478</v>
      </c>
      <c r="G808" s="1">
        <v>42494</v>
      </c>
      <c r="H808" t="s">
        <v>25</v>
      </c>
      <c r="I808">
        <v>16</v>
      </c>
      <c r="J808" t="s">
        <v>77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26</v>
      </c>
      <c r="R808">
        <v>1</v>
      </c>
    </row>
    <row r="809" spans="1:18">
      <c r="A809" s="4">
        <v>354754000000000</v>
      </c>
      <c r="B809" t="s">
        <v>18</v>
      </c>
      <c r="C809">
        <v>0</v>
      </c>
      <c r="D809" t="s">
        <v>31</v>
      </c>
      <c r="E809" t="s">
        <v>38</v>
      </c>
      <c r="F809" s="1">
        <v>42478</v>
      </c>
      <c r="G809" s="1">
        <v>42510</v>
      </c>
      <c r="H809" t="s">
        <v>21</v>
      </c>
      <c r="I809">
        <v>32</v>
      </c>
      <c r="J809" t="s">
        <v>22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23</v>
      </c>
      <c r="R809">
        <v>0</v>
      </c>
    </row>
    <row r="810" spans="1:18">
      <c r="A810" s="4">
        <v>6336800000000</v>
      </c>
      <c r="B810" t="s">
        <v>28</v>
      </c>
      <c r="C810">
        <v>28</v>
      </c>
      <c r="D810" t="s">
        <v>37</v>
      </c>
      <c r="E810" t="s">
        <v>40</v>
      </c>
      <c r="F810" s="1">
        <v>42478</v>
      </c>
      <c r="G810" s="1">
        <v>42515</v>
      </c>
      <c r="H810" t="s">
        <v>25</v>
      </c>
      <c r="I810">
        <v>37</v>
      </c>
      <c r="J810" t="s">
        <v>22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 t="s">
        <v>23</v>
      </c>
      <c r="R810">
        <v>0</v>
      </c>
    </row>
    <row r="811" spans="1:18">
      <c r="A811" s="4">
        <v>21589186965</v>
      </c>
      <c r="B811" t="s">
        <v>28</v>
      </c>
      <c r="C811">
        <v>67</v>
      </c>
      <c r="D811" t="s">
        <v>19</v>
      </c>
      <c r="E811" t="s">
        <v>57</v>
      </c>
      <c r="F811" s="1">
        <v>42478</v>
      </c>
      <c r="G811" s="1">
        <v>42506</v>
      </c>
      <c r="H811" t="s">
        <v>30</v>
      </c>
      <c r="I811">
        <v>28</v>
      </c>
      <c r="J811" t="s">
        <v>77</v>
      </c>
      <c r="K811">
        <v>0</v>
      </c>
      <c r="L811">
        <v>1</v>
      </c>
      <c r="M811">
        <v>1</v>
      </c>
      <c r="N811">
        <v>1</v>
      </c>
      <c r="O811">
        <v>0</v>
      </c>
      <c r="P811">
        <v>0</v>
      </c>
      <c r="Q811" t="s">
        <v>23</v>
      </c>
      <c r="R811">
        <v>0</v>
      </c>
    </row>
    <row r="812" spans="1:18">
      <c r="A812" s="4">
        <v>554547000000000</v>
      </c>
      <c r="B812" t="s">
        <v>18</v>
      </c>
      <c r="C812">
        <v>3</v>
      </c>
      <c r="D812" t="s">
        <v>31</v>
      </c>
      <c r="E812" t="s">
        <v>72</v>
      </c>
      <c r="F812" s="1">
        <v>42478</v>
      </c>
      <c r="G812" s="1">
        <v>42508</v>
      </c>
      <c r="H812" t="s">
        <v>25</v>
      </c>
      <c r="I812">
        <v>30</v>
      </c>
      <c r="J812" t="s">
        <v>77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23</v>
      </c>
      <c r="R812">
        <v>0</v>
      </c>
    </row>
    <row r="813" spans="1:18">
      <c r="A813" s="4">
        <v>36771200000000</v>
      </c>
      <c r="B813" t="s">
        <v>28</v>
      </c>
      <c r="C813">
        <v>0</v>
      </c>
      <c r="D813" t="s">
        <v>31</v>
      </c>
      <c r="E813" t="s">
        <v>55</v>
      </c>
      <c r="F813" s="1">
        <v>42478</v>
      </c>
      <c r="G813" s="1">
        <v>42503</v>
      </c>
      <c r="H813" t="s">
        <v>21</v>
      </c>
      <c r="I813">
        <v>25</v>
      </c>
      <c r="J813" t="s">
        <v>77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26</v>
      </c>
      <c r="R813">
        <v>1</v>
      </c>
    </row>
    <row r="814" spans="1:18">
      <c r="A814" s="4">
        <v>4135780000000</v>
      </c>
      <c r="B814" t="s">
        <v>18</v>
      </c>
      <c r="C814">
        <v>20</v>
      </c>
      <c r="D814" t="s">
        <v>37</v>
      </c>
      <c r="E814" t="s">
        <v>20</v>
      </c>
      <c r="F814" s="1">
        <v>42478</v>
      </c>
      <c r="G814" s="1">
        <v>42489</v>
      </c>
      <c r="H814" t="s">
        <v>21</v>
      </c>
      <c r="I814">
        <v>11</v>
      </c>
      <c r="J814" t="s">
        <v>92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23</v>
      </c>
      <c r="R814">
        <v>0</v>
      </c>
    </row>
    <row r="815" spans="1:18">
      <c r="A815" s="4">
        <v>437250000000000</v>
      </c>
      <c r="B815" t="s">
        <v>28</v>
      </c>
      <c r="C815">
        <v>25</v>
      </c>
      <c r="D815" t="s">
        <v>37</v>
      </c>
      <c r="E815" t="s">
        <v>50</v>
      </c>
      <c r="F815" s="1">
        <v>42478</v>
      </c>
      <c r="G815" s="1">
        <v>42500</v>
      </c>
      <c r="H815" t="s">
        <v>41</v>
      </c>
      <c r="I815">
        <v>22</v>
      </c>
      <c r="J815" t="s">
        <v>77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 t="s">
        <v>26</v>
      </c>
      <c r="R815">
        <v>1</v>
      </c>
    </row>
    <row r="816" spans="1:18">
      <c r="A816" s="4">
        <v>924589000000000</v>
      </c>
      <c r="B816" t="s">
        <v>28</v>
      </c>
      <c r="C816">
        <v>75</v>
      </c>
      <c r="D816" t="s">
        <v>19</v>
      </c>
      <c r="E816" t="s">
        <v>29</v>
      </c>
      <c r="F816" s="1">
        <v>42478</v>
      </c>
      <c r="G816" s="1">
        <v>42493</v>
      </c>
      <c r="H816" t="s">
        <v>41</v>
      </c>
      <c r="I816">
        <v>15</v>
      </c>
      <c r="J816" t="s">
        <v>77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 t="s">
        <v>23</v>
      </c>
      <c r="R816">
        <v>0</v>
      </c>
    </row>
    <row r="817" spans="1:18">
      <c r="A817" s="4">
        <v>9362540000000</v>
      </c>
      <c r="B817" t="s">
        <v>18</v>
      </c>
      <c r="C817">
        <v>53</v>
      </c>
      <c r="D817" t="s">
        <v>35</v>
      </c>
      <c r="E817" t="s">
        <v>68</v>
      </c>
      <c r="F817" s="1">
        <v>42478</v>
      </c>
      <c r="G817" s="1">
        <v>42499</v>
      </c>
      <c r="H817" t="s">
        <v>30</v>
      </c>
      <c r="I817">
        <v>21</v>
      </c>
      <c r="J817" t="s">
        <v>77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 t="s">
        <v>26</v>
      </c>
      <c r="R817">
        <v>1</v>
      </c>
    </row>
    <row r="818" spans="1:18">
      <c r="A818" s="4">
        <v>79964452719</v>
      </c>
      <c r="B818" t="s">
        <v>28</v>
      </c>
      <c r="C818">
        <v>26</v>
      </c>
      <c r="D818" t="s">
        <v>37</v>
      </c>
      <c r="E818" t="s">
        <v>32</v>
      </c>
      <c r="F818" s="1">
        <v>42478</v>
      </c>
      <c r="G818" s="1">
        <v>42507</v>
      </c>
      <c r="H818" t="s">
        <v>41</v>
      </c>
      <c r="I818">
        <v>29</v>
      </c>
      <c r="J818" t="s">
        <v>77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26</v>
      </c>
      <c r="R818">
        <v>1</v>
      </c>
    </row>
    <row r="819" spans="1:18">
      <c r="A819" s="4">
        <v>488617000000</v>
      </c>
      <c r="B819" t="s">
        <v>28</v>
      </c>
      <c r="C819">
        <v>1</v>
      </c>
      <c r="D819" t="s">
        <v>31</v>
      </c>
      <c r="E819" t="s">
        <v>80</v>
      </c>
      <c r="F819" s="1">
        <v>42478</v>
      </c>
      <c r="G819" s="1">
        <v>42506</v>
      </c>
      <c r="H819" t="s">
        <v>30</v>
      </c>
      <c r="I819">
        <v>28</v>
      </c>
      <c r="J819" t="s">
        <v>77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23</v>
      </c>
      <c r="R819">
        <v>0</v>
      </c>
    </row>
    <row r="820" spans="1:18">
      <c r="A820" s="4">
        <v>73289300000000</v>
      </c>
      <c r="B820" t="s">
        <v>18</v>
      </c>
      <c r="C820">
        <v>30</v>
      </c>
      <c r="D820" t="s">
        <v>37</v>
      </c>
      <c r="E820" t="s">
        <v>29</v>
      </c>
      <c r="F820" s="1">
        <v>42478</v>
      </c>
      <c r="G820" s="1">
        <v>42496</v>
      </c>
      <c r="H820" t="s">
        <v>21</v>
      </c>
      <c r="I820">
        <v>18</v>
      </c>
      <c r="J820" t="s">
        <v>77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 t="s">
        <v>23</v>
      </c>
      <c r="R820">
        <v>0</v>
      </c>
    </row>
    <row r="821" spans="1:18">
      <c r="A821" s="4">
        <v>13853100000000</v>
      </c>
      <c r="B821" t="s">
        <v>28</v>
      </c>
      <c r="C821">
        <v>59</v>
      </c>
      <c r="D821" t="s">
        <v>35</v>
      </c>
      <c r="E821" t="s">
        <v>73</v>
      </c>
      <c r="F821" s="1">
        <v>42478</v>
      </c>
      <c r="G821" s="1">
        <v>42515</v>
      </c>
      <c r="H821" t="s">
        <v>25</v>
      </c>
      <c r="I821">
        <v>37</v>
      </c>
      <c r="J821" t="s">
        <v>22</v>
      </c>
      <c r="K821">
        <v>0</v>
      </c>
      <c r="L821">
        <v>1</v>
      </c>
      <c r="M821">
        <v>0</v>
      </c>
      <c r="N821">
        <v>1</v>
      </c>
      <c r="O821">
        <v>0</v>
      </c>
      <c r="P821">
        <v>0</v>
      </c>
      <c r="Q821" t="s">
        <v>23</v>
      </c>
      <c r="R821">
        <v>0</v>
      </c>
    </row>
    <row r="822" spans="1:18">
      <c r="A822" s="4">
        <v>1224250000000</v>
      </c>
      <c r="B822" t="s">
        <v>18</v>
      </c>
      <c r="C822">
        <v>42</v>
      </c>
      <c r="D822" t="s">
        <v>27</v>
      </c>
      <c r="E822" t="s">
        <v>50</v>
      </c>
      <c r="F822" s="1">
        <v>42478</v>
      </c>
      <c r="G822" s="1">
        <v>42515</v>
      </c>
      <c r="H822" t="s">
        <v>25</v>
      </c>
      <c r="I822">
        <v>37</v>
      </c>
      <c r="J822" t="s">
        <v>22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 t="s">
        <v>23</v>
      </c>
      <c r="R822">
        <v>0</v>
      </c>
    </row>
    <row r="823" spans="1:18">
      <c r="A823" s="4">
        <v>4143140000000</v>
      </c>
      <c r="B823" t="s">
        <v>28</v>
      </c>
      <c r="C823">
        <v>2</v>
      </c>
      <c r="D823" t="s">
        <v>31</v>
      </c>
      <c r="E823" t="s">
        <v>43</v>
      </c>
      <c r="F823" s="1">
        <v>42478</v>
      </c>
      <c r="G823" s="1">
        <v>42489</v>
      </c>
      <c r="H823" t="s">
        <v>21</v>
      </c>
      <c r="I823">
        <v>11</v>
      </c>
      <c r="J823" t="s">
        <v>92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23</v>
      </c>
      <c r="R823">
        <v>0</v>
      </c>
    </row>
    <row r="824" spans="1:18">
      <c r="A824" s="4">
        <v>82799595198</v>
      </c>
      <c r="B824" t="s">
        <v>28</v>
      </c>
      <c r="C824">
        <v>68</v>
      </c>
      <c r="D824" t="s">
        <v>19</v>
      </c>
      <c r="E824" t="s">
        <v>61</v>
      </c>
      <c r="F824" s="1">
        <v>42478</v>
      </c>
      <c r="G824" s="1">
        <v>42489</v>
      </c>
      <c r="H824" t="s">
        <v>21</v>
      </c>
      <c r="I824">
        <v>11</v>
      </c>
      <c r="J824" t="s">
        <v>92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1</v>
      </c>
      <c r="Q824" t="s">
        <v>23</v>
      </c>
      <c r="R824">
        <v>0</v>
      </c>
    </row>
    <row r="825" spans="1:18">
      <c r="A825" s="4">
        <v>61288900000000</v>
      </c>
      <c r="B825" t="s">
        <v>28</v>
      </c>
      <c r="C825">
        <v>5</v>
      </c>
      <c r="D825" t="s">
        <v>31</v>
      </c>
      <c r="E825" t="s">
        <v>58</v>
      </c>
      <c r="F825" s="1">
        <v>42478</v>
      </c>
      <c r="G825" s="1">
        <v>42506</v>
      </c>
      <c r="H825" t="s">
        <v>30</v>
      </c>
      <c r="I825">
        <v>28</v>
      </c>
      <c r="J825" t="s">
        <v>77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26</v>
      </c>
      <c r="R825">
        <v>1</v>
      </c>
    </row>
    <row r="826" spans="1:18">
      <c r="A826" s="4">
        <v>539231000000</v>
      </c>
      <c r="B826" t="s">
        <v>28</v>
      </c>
      <c r="C826">
        <v>0</v>
      </c>
      <c r="D826" t="s">
        <v>31</v>
      </c>
      <c r="E826" t="s">
        <v>88</v>
      </c>
      <c r="F826" s="1">
        <v>42478</v>
      </c>
      <c r="G826" s="1">
        <v>42508</v>
      </c>
      <c r="H826" t="s">
        <v>25</v>
      </c>
      <c r="I826">
        <v>30</v>
      </c>
      <c r="J826" t="s">
        <v>77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23</v>
      </c>
      <c r="R826">
        <v>0</v>
      </c>
    </row>
    <row r="827" spans="1:18">
      <c r="A827" s="4">
        <v>282865000000000</v>
      </c>
      <c r="B827" t="s">
        <v>18</v>
      </c>
      <c r="C827">
        <v>2</v>
      </c>
      <c r="D827" t="s">
        <v>31</v>
      </c>
      <c r="E827" t="s">
        <v>49</v>
      </c>
      <c r="F827" s="1">
        <v>42478</v>
      </c>
      <c r="G827" s="1">
        <v>42506</v>
      </c>
      <c r="H827" t="s">
        <v>30</v>
      </c>
      <c r="I827">
        <v>28</v>
      </c>
      <c r="J827" t="s">
        <v>77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23</v>
      </c>
      <c r="R827">
        <v>0</v>
      </c>
    </row>
    <row r="828" spans="1:18">
      <c r="A828" s="4">
        <v>465618000000</v>
      </c>
      <c r="B828" t="s">
        <v>18</v>
      </c>
      <c r="C828">
        <v>25</v>
      </c>
      <c r="D828" t="s">
        <v>37</v>
      </c>
      <c r="E828" t="s">
        <v>67</v>
      </c>
      <c r="F828" s="1">
        <v>42478</v>
      </c>
      <c r="G828" s="1">
        <v>42514</v>
      </c>
      <c r="H828" t="s">
        <v>41</v>
      </c>
      <c r="I828">
        <v>36</v>
      </c>
      <c r="J828" t="s">
        <v>22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</v>
      </c>
      <c r="Q828" t="s">
        <v>23</v>
      </c>
      <c r="R828">
        <v>0</v>
      </c>
    </row>
    <row r="829" spans="1:18">
      <c r="A829" s="4">
        <v>35757300000000</v>
      </c>
      <c r="B829" t="s">
        <v>28</v>
      </c>
      <c r="C829">
        <v>55</v>
      </c>
      <c r="D829" t="s">
        <v>35</v>
      </c>
      <c r="E829" t="s">
        <v>72</v>
      </c>
      <c r="F829" s="1">
        <v>42478</v>
      </c>
      <c r="G829" s="1">
        <v>42510</v>
      </c>
      <c r="H829" t="s">
        <v>21</v>
      </c>
      <c r="I829">
        <v>32</v>
      </c>
      <c r="J829" t="s">
        <v>22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26</v>
      </c>
      <c r="R829">
        <v>1</v>
      </c>
    </row>
    <row r="830" spans="1:18">
      <c r="A830" s="4">
        <v>28687900000000</v>
      </c>
      <c r="B830" t="s">
        <v>18</v>
      </c>
      <c r="C830">
        <v>29</v>
      </c>
      <c r="D830" t="s">
        <v>37</v>
      </c>
      <c r="E830" t="s">
        <v>67</v>
      </c>
      <c r="F830" s="1">
        <v>42478</v>
      </c>
      <c r="G830" s="1">
        <v>42494</v>
      </c>
      <c r="H830" t="s">
        <v>25</v>
      </c>
      <c r="I830">
        <v>16</v>
      </c>
      <c r="J830" t="s">
        <v>77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1</v>
      </c>
      <c r="Q830" t="s">
        <v>26</v>
      </c>
      <c r="R830">
        <v>1</v>
      </c>
    </row>
    <row r="831" spans="1:18">
      <c r="A831" s="4">
        <v>267563000000000</v>
      </c>
      <c r="B831" t="s">
        <v>18</v>
      </c>
      <c r="C831">
        <v>71</v>
      </c>
      <c r="D831" t="s">
        <v>19</v>
      </c>
      <c r="E831" t="s">
        <v>95</v>
      </c>
      <c r="F831" s="1">
        <v>42478</v>
      </c>
      <c r="G831" s="1">
        <v>42494</v>
      </c>
      <c r="H831" t="s">
        <v>25</v>
      </c>
      <c r="I831">
        <v>16</v>
      </c>
      <c r="J831" t="s">
        <v>77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 t="s">
        <v>23</v>
      </c>
      <c r="R831">
        <v>0</v>
      </c>
    </row>
    <row r="832" spans="1:18">
      <c r="A832" s="4">
        <v>564615000000</v>
      </c>
      <c r="B832" t="s">
        <v>28</v>
      </c>
      <c r="C832">
        <v>38</v>
      </c>
      <c r="D832" t="s">
        <v>27</v>
      </c>
      <c r="E832" t="s">
        <v>50</v>
      </c>
      <c r="F832" s="1">
        <v>42478</v>
      </c>
      <c r="G832" s="1">
        <v>42494</v>
      </c>
      <c r="H832" t="s">
        <v>25</v>
      </c>
      <c r="I832">
        <v>16</v>
      </c>
      <c r="J832" t="s">
        <v>77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 t="s">
        <v>26</v>
      </c>
      <c r="R832">
        <v>1</v>
      </c>
    </row>
    <row r="833" spans="1:18">
      <c r="A833" s="4">
        <v>618931000000</v>
      </c>
      <c r="B833" t="s">
        <v>18</v>
      </c>
      <c r="C833">
        <v>43</v>
      </c>
      <c r="D833" t="s">
        <v>27</v>
      </c>
      <c r="E833" t="s">
        <v>58</v>
      </c>
      <c r="F833" s="1">
        <v>42478</v>
      </c>
      <c r="G833" s="1">
        <v>42494</v>
      </c>
      <c r="H833" t="s">
        <v>25</v>
      </c>
      <c r="I833">
        <v>16</v>
      </c>
      <c r="J833" t="s">
        <v>77</v>
      </c>
      <c r="K833">
        <v>1</v>
      </c>
      <c r="L833">
        <v>1</v>
      </c>
      <c r="M833">
        <v>0</v>
      </c>
      <c r="N833">
        <v>0</v>
      </c>
      <c r="O833">
        <v>0</v>
      </c>
      <c r="P833">
        <v>1</v>
      </c>
      <c r="Q833" t="s">
        <v>26</v>
      </c>
      <c r="R833">
        <v>1</v>
      </c>
    </row>
    <row r="834" spans="1:18">
      <c r="A834" s="4">
        <v>3427790000000</v>
      </c>
      <c r="B834" t="s">
        <v>18</v>
      </c>
      <c r="C834">
        <v>28</v>
      </c>
      <c r="D834" t="s">
        <v>37</v>
      </c>
      <c r="E834" t="s">
        <v>58</v>
      </c>
      <c r="F834" s="1">
        <v>42478</v>
      </c>
      <c r="G834" s="1">
        <v>42502</v>
      </c>
      <c r="H834" t="s">
        <v>33</v>
      </c>
      <c r="I834">
        <v>24</v>
      </c>
      <c r="J834" t="s">
        <v>77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26</v>
      </c>
      <c r="R834">
        <v>1</v>
      </c>
    </row>
    <row r="835" spans="1:18">
      <c r="A835" s="4">
        <v>54646200000000</v>
      </c>
      <c r="B835" t="s">
        <v>18</v>
      </c>
      <c r="C835">
        <v>50</v>
      </c>
      <c r="D835" t="s">
        <v>27</v>
      </c>
      <c r="E835" t="s">
        <v>50</v>
      </c>
      <c r="F835" s="1">
        <v>42478</v>
      </c>
      <c r="G835" s="1">
        <v>42492</v>
      </c>
      <c r="H835" t="s">
        <v>30</v>
      </c>
      <c r="I835">
        <v>14</v>
      </c>
      <c r="J835" t="s">
        <v>92</v>
      </c>
      <c r="K835">
        <v>1</v>
      </c>
      <c r="L835">
        <v>0</v>
      </c>
      <c r="M835">
        <v>1</v>
      </c>
      <c r="N835">
        <v>0</v>
      </c>
      <c r="O835">
        <v>0</v>
      </c>
      <c r="P835">
        <v>1</v>
      </c>
      <c r="Q835" t="s">
        <v>23</v>
      </c>
      <c r="R835">
        <v>0</v>
      </c>
    </row>
    <row r="836" spans="1:18">
      <c r="A836" s="4">
        <v>7526470000000</v>
      </c>
      <c r="B836" t="s">
        <v>18</v>
      </c>
      <c r="C836">
        <v>41</v>
      </c>
      <c r="D836" t="s">
        <v>27</v>
      </c>
      <c r="E836" t="s">
        <v>57</v>
      </c>
      <c r="F836" s="1">
        <v>42478</v>
      </c>
      <c r="G836" s="1">
        <v>42494</v>
      </c>
      <c r="H836" t="s">
        <v>25</v>
      </c>
      <c r="I836">
        <v>16</v>
      </c>
      <c r="J836" t="s">
        <v>77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1</v>
      </c>
      <c r="Q836" t="s">
        <v>26</v>
      </c>
      <c r="R836">
        <v>1</v>
      </c>
    </row>
    <row r="837" spans="1:18">
      <c r="A837" s="4">
        <v>9813400000000</v>
      </c>
      <c r="B837" t="s">
        <v>18</v>
      </c>
      <c r="C837">
        <v>62</v>
      </c>
      <c r="D837" t="s">
        <v>35</v>
      </c>
      <c r="E837" t="s">
        <v>50</v>
      </c>
      <c r="F837" s="1">
        <v>42478</v>
      </c>
      <c r="G837" s="1">
        <v>42515</v>
      </c>
      <c r="H837" t="s">
        <v>25</v>
      </c>
      <c r="I837">
        <v>37</v>
      </c>
      <c r="J837" t="s">
        <v>22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 t="s">
        <v>23</v>
      </c>
      <c r="R837">
        <v>0</v>
      </c>
    </row>
    <row r="838" spans="1:18">
      <c r="A838" s="4">
        <v>258523000000000</v>
      </c>
      <c r="B838" t="s">
        <v>18</v>
      </c>
      <c r="C838">
        <v>22</v>
      </c>
      <c r="D838" t="s">
        <v>37</v>
      </c>
      <c r="E838" t="s">
        <v>67</v>
      </c>
      <c r="F838" s="1">
        <v>42478</v>
      </c>
      <c r="G838" s="1">
        <v>42508</v>
      </c>
      <c r="H838" t="s">
        <v>25</v>
      </c>
      <c r="I838">
        <v>30</v>
      </c>
      <c r="J838" t="s">
        <v>77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26</v>
      </c>
      <c r="R838">
        <v>1</v>
      </c>
    </row>
    <row r="839" spans="1:18">
      <c r="A839" s="4">
        <v>2961600000000</v>
      </c>
      <c r="B839" t="s">
        <v>28</v>
      </c>
      <c r="C839">
        <v>0</v>
      </c>
      <c r="D839" t="s">
        <v>31</v>
      </c>
      <c r="E839" t="s">
        <v>84</v>
      </c>
      <c r="F839" s="1">
        <v>42478</v>
      </c>
      <c r="G839" s="1">
        <v>42493</v>
      </c>
      <c r="H839" t="s">
        <v>41</v>
      </c>
      <c r="I839">
        <v>15</v>
      </c>
      <c r="J839" t="s">
        <v>77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 t="s">
        <v>26</v>
      </c>
      <c r="R839">
        <v>1</v>
      </c>
    </row>
    <row r="840" spans="1:18">
      <c r="A840" s="4">
        <v>44912900000000</v>
      </c>
      <c r="B840" t="s">
        <v>18</v>
      </c>
      <c r="C840">
        <v>14</v>
      </c>
      <c r="D840" t="s">
        <v>60</v>
      </c>
      <c r="E840" t="s">
        <v>75</v>
      </c>
      <c r="F840" s="1">
        <v>42478</v>
      </c>
      <c r="G840" s="1">
        <v>42500</v>
      </c>
      <c r="H840" t="s">
        <v>41</v>
      </c>
      <c r="I840">
        <v>22</v>
      </c>
      <c r="J840" t="s">
        <v>77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 t="s">
        <v>26</v>
      </c>
      <c r="R840">
        <v>1</v>
      </c>
    </row>
    <row r="841" spans="1:18">
      <c r="A841" s="4">
        <v>19881800000000</v>
      </c>
      <c r="B841" t="s">
        <v>18</v>
      </c>
      <c r="C841">
        <v>24</v>
      </c>
      <c r="D841" t="s">
        <v>37</v>
      </c>
      <c r="E841" t="s">
        <v>88</v>
      </c>
      <c r="F841" s="1">
        <v>42478</v>
      </c>
      <c r="G841" s="1">
        <v>42501</v>
      </c>
      <c r="H841" t="s">
        <v>25</v>
      </c>
      <c r="I841">
        <v>23</v>
      </c>
      <c r="J841" t="s">
        <v>77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 t="s">
        <v>26</v>
      </c>
      <c r="R841">
        <v>1</v>
      </c>
    </row>
    <row r="842" spans="1:18">
      <c r="A842" s="4">
        <v>2159580000000</v>
      </c>
      <c r="B842" t="s">
        <v>28</v>
      </c>
      <c r="C842">
        <v>47</v>
      </c>
      <c r="D842" t="s">
        <v>27</v>
      </c>
      <c r="E842" t="s">
        <v>65</v>
      </c>
      <c r="F842" s="1">
        <v>42478</v>
      </c>
      <c r="G842" s="1">
        <v>42489</v>
      </c>
      <c r="H842" t="s">
        <v>21</v>
      </c>
      <c r="I842">
        <v>11</v>
      </c>
      <c r="J842" t="s">
        <v>92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 t="s">
        <v>23</v>
      </c>
      <c r="R842">
        <v>0</v>
      </c>
    </row>
    <row r="843" spans="1:18">
      <c r="A843" s="4">
        <v>563362000000000</v>
      </c>
      <c r="B843" t="s">
        <v>18</v>
      </c>
      <c r="C843">
        <v>28</v>
      </c>
      <c r="D843" t="s">
        <v>37</v>
      </c>
      <c r="E843" t="s">
        <v>32</v>
      </c>
      <c r="F843" s="1">
        <v>42478</v>
      </c>
      <c r="G843" s="1">
        <v>42506</v>
      </c>
      <c r="H843" t="s">
        <v>30</v>
      </c>
      <c r="I843">
        <v>28</v>
      </c>
      <c r="J843" t="s">
        <v>77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23</v>
      </c>
      <c r="R843">
        <v>0</v>
      </c>
    </row>
    <row r="844" spans="1:18">
      <c r="A844" s="4">
        <v>3642770000000</v>
      </c>
      <c r="B844" t="s">
        <v>28</v>
      </c>
      <c r="C844">
        <v>55</v>
      </c>
      <c r="D844" t="s">
        <v>35</v>
      </c>
      <c r="E844" t="s">
        <v>67</v>
      </c>
      <c r="F844" s="1">
        <v>42478</v>
      </c>
      <c r="G844" s="1">
        <v>42508</v>
      </c>
      <c r="H844" t="s">
        <v>25</v>
      </c>
      <c r="I844">
        <v>30</v>
      </c>
      <c r="J844" t="s">
        <v>77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26</v>
      </c>
      <c r="R844">
        <v>1</v>
      </c>
    </row>
    <row r="845" spans="1:18">
      <c r="A845" s="4">
        <v>4782560000000</v>
      </c>
      <c r="B845" t="s">
        <v>18</v>
      </c>
      <c r="C845">
        <v>42</v>
      </c>
      <c r="D845" t="s">
        <v>27</v>
      </c>
      <c r="E845" t="s">
        <v>49</v>
      </c>
      <c r="F845" s="1">
        <v>42478</v>
      </c>
      <c r="G845" s="1">
        <v>42493</v>
      </c>
      <c r="H845" t="s">
        <v>41</v>
      </c>
      <c r="I845">
        <v>15</v>
      </c>
      <c r="J845" t="s">
        <v>77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23</v>
      </c>
      <c r="R845">
        <v>0</v>
      </c>
    </row>
    <row r="846" spans="1:18">
      <c r="A846" s="4">
        <v>534642000000</v>
      </c>
      <c r="B846" t="s">
        <v>18</v>
      </c>
      <c r="C846">
        <v>40</v>
      </c>
      <c r="D846" t="s">
        <v>27</v>
      </c>
      <c r="E846" t="s">
        <v>72</v>
      </c>
      <c r="F846" s="1">
        <v>42478</v>
      </c>
      <c r="G846" s="1">
        <v>42508</v>
      </c>
      <c r="H846" t="s">
        <v>25</v>
      </c>
      <c r="I846">
        <v>30</v>
      </c>
      <c r="J846" t="s">
        <v>77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26</v>
      </c>
      <c r="R846">
        <v>1</v>
      </c>
    </row>
    <row r="847" spans="1:18">
      <c r="A847" s="4">
        <v>5499860000000</v>
      </c>
      <c r="B847" t="s">
        <v>18</v>
      </c>
      <c r="C847">
        <v>0</v>
      </c>
      <c r="D847" t="s">
        <v>31</v>
      </c>
      <c r="E847" t="s">
        <v>72</v>
      </c>
      <c r="F847" s="1">
        <v>42478</v>
      </c>
      <c r="G847" s="1">
        <v>42506</v>
      </c>
      <c r="H847" t="s">
        <v>30</v>
      </c>
      <c r="I847">
        <v>28</v>
      </c>
      <c r="J847" t="s">
        <v>77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23</v>
      </c>
      <c r="R847">
        <v>0</v>
      </c>
    </row>
    <row r="848" spans="1:18">
      <c r="A848" s="4">
        <v>9259920000000</v>
      </c>
      <c r="B848" t="s">
        <v>18</v>
      </c>
      <c r="C848">
        <v>59</v>
      </c>
      <c r="D848" t="s">
        <v>35</v>
      </c>
      <c r="E848" t="s">
        <v>67</v>
      </c>
      <c r="F848" s="1">
        <v>42478</v>
      </c>
      <c r="G848" s="1">
        <v>42503</v>
      </c>
      <c r="H848" t="s">
        <v>21</v>
      </c>
      <c r="I848">
        <v>25</v>
      </c>
      <c r="J848" t="s">
        <v>77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26</v>
      </c>
      <c r="R848">
        <v>1</v>
      </c>
    </row>
    <row r="849" spans="1:18">
      <c r="A849" s="4">
        <v>46355300000000</v>
      </c>
      <c r="B849" t="s">
        <v>18</v>
      </c>
      <c r="C849">
        <v>63</v>
      </c>
      <c r="D849" t="s">
        <v>35</v>
      </c>
      <c r="E849" t="s">
        <v>50</v>
      </c>
      <c r="F849" s="1">
        <v>42478</v>
      </c>
      <c r="G849" s="1">
        <v>42503</v>
      </c>
      <c r="H849" t="s">
        <v>21</v>
      </c>
      <c r="I849">
        <v>25</v>
      </c>
      <c r="J849" t="s">
        <v>77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23</v>
      </c>
      <c r="R849">
        <v>0</v>
      </c>
    </row>
    <row r="850" spans="1:18">
      <c r="A850" s="4">
        <v>963125000000</v>
      </c>
      <c r="B850" t="s">
        <v>18</v>
      </c>
      <c r="C850">
        <v>5</v>
      </c>
      <c r="D850" t="s">
        <v>31</v>
      </c>
      <c r="E850" t="s">
        <v>50</v>
      </c>
      <c r="F850" s="1">
        <v>42478</v>
      </c>
      <c r="G850" s="1">
        <v>42501</v>
      </c>
      <c r="H850" t="s">
        <v>25</v>
      </c>
      <c r="I850">
        <v>23</v>
      </c>
      <c r="J850" t="s">
        <v>77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26</v>
      </c>
      <c r="R850">
        <v>1</v>
      </c>
    </row>
    <row r="851" spans="1:18">
      <c r="A851" s="4">
        <v>86274500000000</v>
      </c>
      <c r="B851" t="s">
        <v>28</v>
      </c>
      <c r="C851">
        <v>51</v>
      </c>
      <c r="D851" t="s">
        <v>35</v>
      </c>
      <c r="E851" t="s">
        <v>36</v>
      </c>
      <c r="F851" s="1">
        <v>42478</v>
      </c>
      <c r="G851" s="1">
        <v>42500</v>
      </c>
      <c r="H851" t="s">
        <v>41</v>
      </c>
      <c r="I851">
        <v>22</v>
      </c>
      <c r="J851" t="s">
        <v>77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</v>
      </c>
      <c r="Q851" t="s">
        <v>23</v>
      </c>
      <c r="R851">
        <v>0</v>
      </c>
    </row>
    <row r="852" spans="1:18">
      <c r="A852" s="4">
        <v>3688550000000</v>
      </c>
      <c r="B852" t="s">
        <v>18</v>
      </c>
      <c r="C852">
        <v>57</v>
      </c>
      <c r="D852" t="s">
        <v>35</v>
      </c>
      <c r="E852" t="s">
        <v>50</v>
      </c>
      <c r="F852" s="1">
        <v>42478</v>
      </c>
      <c r="G852" s="1">
        <v>42502</v>
      </c>
      <c r="H852" t="s">
        <v>33</v>
      </c>
      <c r="I852">
        <v>24</v>
      </c>
      <c r="J852" t="s">
        <v>77</v>
      </c>
      <c r="K852">
        <v>0</v>
      </c>
      <c r="L852">
        <v>1</v>
      </c>
      <c r="M852">
        <v>1</v>
      </c>
      <c r="N852">
        <v>0</v>
      </c>
      <c r="O852">
        <v>0</v>
      </c>
      <c r="P852">
        <v>1</v>
      </c>
      <c r="Q852" t="s">
        <v>26</v>
      </c>
      <c r="R852">
        <v>1</v>
      </c>
    </row>
    <row r="853" spans="1:18">
      <c r="A853" s="4">
        <v>122231000000</v>
      </c>
      <c r="B853" t="s">
        <v>28</v>
      </c>
      <c r="C853">
        <v>8</v>
      </c>
      <c r="D853" t="s">
        <v>31</v>
      </c>
      <c r="E853" t="s">
        <v>101</v>
      </c>
      <c r="F853" s="1">
        <v>42478</v>
      </c>
      <c r="G853" s="1">
        <v>42499</v>
      </c>
      <c r="H853" t="s">
        <v>30</v>
      </c>
      <c r="I853">
        <v>21</v>
      </c>
      <c r="J853" t="s">
        <v>77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23</v>
      </c>
      <c r="R853">
        <v>0</v>
      </c>
    </row>
    <row r="854" spans="1:18">
      <c r="A854" s="4">
        <v>46294100000000</v>
      </c>
      <c r="B854" t="s">
        <v>28</v>
      </c>
      <c r="C854">
        <v>17</v>
      </c>
      <c r="D854" t="s">
        <v>60</v>
      </c>
      <c r="E854" t="s">
        <v>80</v>
      </c>
      <c r="F854" s="1">
        <v>42478</v>
      </c>
      <c r="G854" s="1">
        <v>42507</v>
      </c>
      <c r="H854" t="s">
        <v>41</v>
      </c>
      <c r="I854">
        <v>29</v>
      </c>
      <c r="J854" t="s">
        <v>77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23</v>
      </c>
      <c r="R854">
        <v>0</v>
      </c>
    </row>
    <row r="855" spans="1:18">
      <c r="A855" s="4">
        <v>5495860000000</v>
      </c>
      <c r="B855" t="s">
        <v>28</v>
      </c>
      <c r="C855">
        <v>3</v>
      </c>
      <c r="D855" t="s">
        <v>31</v>
      </c>
      <c r="E855" t="s">
        <v>47</v>
      </c>
      <c r="F855" s="1">
        <v>42478</v>
      </c>
      <c r="G855" s="1">
        <v>42506</v>
      </c>
      <c r="H855" t="s">
        <v>30</v>
      </c>
      <c r="I855">
        <v>28</v>
      </c>
      <c r="J855" t="s">
        <v>77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23</v>
      </c>
      <c r="R855">
        <v>0</v>
      </c>
    </row>
    <row r="856" spans="1:18">
      <c r="A856" s="4">
        <v>5386530000000</v>
      </c>
      <c r="B856" t="s">
        <v>28</v>
      </c>
      <c r="C856">
        <v>8</v>
      </c>
      <c r="D856" t="s">
        <v>31</v>
      </c>
      <c r="E856" t="s">
        <v>61</v>
      </c>
      <c r="F856" s="1">
        <v>42478</v>
      </c>
      <c r="G856" s="1">
        <v>42499</v>
      </c>
      <c r="H856" t="s">
        <v>30</v>
      </c>
      <c r="I856">
        <v>21</v>
      </c>
      <c r="J856" t="s">
        <v>77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23</v>
      </c>
      <c r="R856">
        <v>0</v>
      </c>
    </row>
    <row r="857" spans="1:18">
      <c r="A857" s="4">
        <v>7164110000000</v>
      </c>
      <c r="B857" t="s">
        <v>18</v>
      </c>
      <c r="C857">
        <v>8</v>
      </c>
      <c r="D857" t="s">
        <v>31</v>
      </c>
      <c r="E857" t="s">
        <v>50</v>
      </c>
      <c r="F857" s="1">
        <v>42478</v>
      </c>
      <c r="G857" s="1">
        <v>42501</v>
      </c>
      <c r="H857" t="s">
        <v>25</v>
      </c>
      <c r="I857">
        <v>23</v>
      </c>
      <c r="J857" t="s">
        <v>77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 t="s">
        <v>23</v>
      </c>
      <c r="R857">
        <v>0</v>
      </c>
    </row>
    <row r="858" spans="1:18">
      <c r="A858" s="4">
        <v>61119600000000</v>
      </c>
      <c r="B858" t="s">
        <v>28</v>
      </c>
      <c r="C858">
        <v>24</v>
      </c>
      <c r="D858" t="s">
        <v>37</v>
      </c>
      <c r="E858" t="s">
        <v>72</v>
      </c>
      <c r="F858" s="1">
        <v>42478</v>
      </c>
      <c r="G858" s="1">
        <v>42508</v>
      </c>
      <c r="H858" t="s">
        <v>25</v>
      </c>
      <c r="I858">
        <v>30</v>
      </c>
      <c r="J858" t="s">
        <v>77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23</v>
      </c>
      <c r="R858">
        <v>0</v>
      </c>
    </row>
    <row r="859" spans="1:18">
      <c r="A859" s="4">
        <v>441293000000000</v>
      </c>
      <c r="B859" t="s">
        <v>18</v>
      </c>
      <c r="C859">
        <v>21</v>
      </c>
      <c r="D859" t="s">
        <v>37</v>
      </c>
      <c r="E859" t="s">
        <v>51</v>
      </c>
      <c r="F859" s="1">
        <v>42478</v>
      </c>
      <c r="G859" s="1">
        <v>42506</v>
      </c>
      <c r="H859" t="s">
        <v>30</v>
      </c>
      <c r="I859">
        <v>28</v>
      </c>
      <c r="J859" t="s">
        <v>77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26</v>
      </c>
      <c r="R859">
        <v>1</v>
      </c>
    </row>
    <row r="860" spans="1:18">
      <c r="A860" s="4">
        <v>551793000000</v>
      </c>
      <c r="B860" t="s">
        <v>18</v>
      </c>
      <c r="C860">
        <v>17</v>
      </c>
      <c r="D860" t="s">
        <v>60</v>
      </c>
      <c r="E860" t="s">
        <v>47</v>
      </c>
      <c r="F860" s="1">
        <v>42478</v>
      </c>
      <c r="G860" s="1">
        <v>42495</v>
      </c>
      <c r="H860" t="s">
        <v>33</v>
      </c>
      <c r="I860">
        <v>17</v>
      </c>
      <c r="J860" t="s">
        <v>77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 t="s">
        <v>23</v>
      </c>
      <c r="R860">
        <v>0</v>
      </c>
    </row>
    <row r="861" spans="1:18">
      <c r="A861" s="4">
        <v>551793000000</v>
      </c>
      <c r="B861" t="s">
        <v>18</v>
      </c>
      <c r="C861">
        <v>17</v>
      </c>
      <c r="D861" t="s">
        <v>60</v>
      </c>
      <c r="E861" t="s">
        <v>47</v>
      </c>
      <c r="F861" s="1">
        <v>42478</v>
      </c>
      <c r="G861" s="1">
        <v>42509</v>
      </c>
      <c r="H861" t="s">
        <v>33</v>
      </c>
      <c r="I861">
        <v>31</v>
      </c>
      <c r="J861" t="s">
        <v>22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23</v>
      </c>
      <c r="R861">
        <v>0</v>
      </c>
    </row>
    <row r="862" spans="1:18">
      <c r="A862" s="4">
        <v>75857200000000</v>
      </c>
      <c r="B862" t="s">
        <v>18</v>
      </c>
      <c r="C862">
        <v>18</v>
      </c>
      <c r="D862" t="s">
        <v>37</v>
      </c>
      <c r="E862" t="s">
        <v>67</v>
      </c>
      <c r="F862" s="1">
        <v>42478</v>
      </c>
      <c r="G862" s="1">
        <v>42510</v>
      </c>
      <c r="H862" t="s">
        <v>21</v>
      </c>
      <c r="I862">
        <v>32</v>
      </c>
      <c r="J862" t="s">
        <v>22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23</v>
      </c>
      <c r="R862">
        <v>0</v>
      </c>
    </row>
    <row r="863" spans="1:18">
      <c r="A863" s="4">
        <v>37794600000000</v>
      </c>
      <c r="B863" t="s">
        <v>18</v>
      </c>
      <c r="C863">
        <v>26</v>
      </c>
      <c r="D863" t="s">
        <v>37</v>
      </c>
      <c r="E863" t="s">
        <v>72</v>
      </c>
      <c r="F863" s="1">
        <v>42478</v>
      </c>
      <c r="G863" s="1">
        <v>42515</v>
      </c>
      <c r="H863" t="s">
        <v>25</v>
      </c>
      <c r="I863">
        <v>37</v>
      </c>
      <c r="J863" t="s">
        <v>22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 t="s">
        <v>23</v>
      </c>
      <c r="R863">
        <v>0</v>
      </c>
    </row>
    <row r="864" spans="1:18">
      <c r="A864" s="4">
        <v>277583000000000</v>
      </c>
      <c r="B864" t="s">
        <v>18</v>
      </c>
      <c r="C864">
        <v>28</v>
      </c>
      <c r="D864" t="s">
        <v>37</v>
      </c>
      <c r="E864" t="s">
        <v>36</v>
      </c>
      <c r="F864" s="1">
        <v>42478</v>
      </c>
      <c r="G864" s="1">
        <v>42528</v>
      </c>
      <c r="H864" t="s">
        <v>41</v>
      </c>
      <c r="I864">
        <v>50</v>
      </c>
      <c r="J864" t="s">
        <v>22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 t="s">
        <v>26</v>
      </c>
      <c r="R864">
        <v>1</v>
      </c>
    </row>
    <row r="865" spans="1:18">
      <c r="A865" s="4">
        <v>24387600000000</v>
      </c>
      <c r="B865" t="s">
        <v>28</v>
      </c>
      <c r="C865">
        <v>32</v>
      </c>
      <c r="D865" t="s">
        <v>37</v>
      </c>
      <c r="E865" t="s">
        <v>39</v>
      </c>
      <c r="F865" s="1">
        <v>42478</v>
      </c>
      <c r="G865" s="1">
        <v>42520</v>
      </c>
      <c r="H865" t="s">
        <v>30</v>
      </c>
      <c r="I865">
        <v>42</v>
      </c>
      <c r="J865" t="s">
        <v>22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 t="s">
        <v>26</v>
      </c>
      <c r="R865">
        <v>1</v>
      </c>
    </row>
    <row r="866" spans="1:18">
      <c r="A866" s="4">
        <v>89751700000000</v>
      </c>
      <c r="B866" t="s">
        <v>28</v>
      </c>
      <c r="C866">
        <v>57</v>
      </c>
      <c r="D866" t="s">
        <v>35</v>
      </c>
      <c r="E866" t="s">
        <v>40</v>
      </c>
      <c r="F866" s="1">
        <v>42479</v>
      </c>
      <c r="G866" s="1">
        <v>42492</v>
      </c>
      <c r="H866" t="s">
        <v>30</v>
      </c>
      <c r="I866">
        <v>13</v>
      </c>
      <c r="J866" t="s">
        <v>92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 t="s">
        <v>23</v>
      </c>
      <c r="R866">
        <v>0</v>
      </c>
    </row>
    <row r="867" spans="1:18">
      <c r="A867" s="4">
        <v>8132240000000</v>
      </c>
      <c r="B867" t="s">
        <v>28</v>
      </c>
      <c r="C867">
        <v>38</v>
      </c>
      <c r="D867" t="s">
        <v>27</v>
      </c>
      <c r="E867" t="s">
        <v>40</v>
      </c>
      <c r="F867" s="1">
        <v>42479</v>
      </c>
      <c r="G867" s="1">
        <v>42500</v>
      </c>
      <c r="H867" t="s">
        <v>41</v>
      </c>
      <c r="I867">
        <v>21</v>
      </c>
      <c r="J867" t="s">
        <v>77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26</v>
      </c>
      <c r="R867">
        <v>1</v>
      </c>
    </row>
    <row r="868" spans="1:18">
      <c r="A868" s="4">
        <v>232961000000</v>
      </c>
      <c r="B868" t="s">
        <v>18</v>
      </c>
      <c r="C868">
        <v>26</v>
      </c>
      <c r="D868" t="s">
        <v>37</v>
      </c>
      <c r="E868" t="s">
        <v>68</v>
      </c>
      <c r="F868" s="1">
        <v>42479</v>
      </c>
      <c r="G868" s="1">
        <v>42499</v>
      </c>
      <c r="H868" t="s">
        <v>30</v>
      </c>
      <c r="I868">
        <v>20</v>
      </c>
      <c r="J868" t="s">
        <v>77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26</v>
      </c>
      <c r="R868">
        <v>1</v>
      </c>
    </row>
    <row r="869" spans="1:18">
      <c r="A869" s="4">
        <v>488193000000000</v>
      </c>
      <c r="B869" t="s">
        <v>18</v>
      </c>
      <c r="C869">
        <v>47</v>
      </c>
      <c r="D869" t="s">
        <v>27</v>
      </c>
      <c r="E869" t="s">
        <v>51</v>
      </c>
      <c r="F869" s="1">
        <v>42479</v>
      </c>
      <c r="G869" s="1">
        <v>42499</v>
      </c>
      <c r="H869" t="s">
        <v>30</v>
      </c>
      <c r="I869">
        <v>20</v>
      </c>
      <c r="J869" t="s">
        <v>77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26</v>
      </c>
      <c r="R869">
        <v>1</v>
      </c>
    </row>
    <row r="870" spans="1:18">
      <c r="A870" s="4">
        <v>535184000000000</v>
      </c>
      <c r="B870" t="s">
        <v>28</v>
      </c>
      <c r="C870">
        <v>1</v>
      </c>
      <c r="D870" t="s">
        <v>31</v>
      </c>
      <c r="E870" t="s">
        <v>68</v>
      </c>
      <c r="F870" s="1">
        <v>42479</v>
      </c>
      <c r="G870" s="1">
        <v>42492</v>
      </c>
      <c r="H870" t="s">
        <v>30</v>
      </c>
      <c r="I870">
        <v>13</v>
      </c>
      <c r="J870" t="s">
        <v>92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</v>
      </c>
      <c r="Q870" t="s">
        <v>23</v>
      </c>
      <c r="R870">
        <v>0</v>
      </c>
    </row>
    <row r="871" spans="1:18">
      <c r="A871" s="4">
        <v>136194000000000</v>
      </c>
      <c r="B871" t="s">
        <v>28</v>
      </c>
      <c r="C871">
        <v>38</v>
      </c>
      <c r="D871" t="s">
        <v>27</v>
      </c>
      <c r="E871" t="s">
        <v>55</v>
      </c>
      <c r="F871" s="1">
        <v>42479</v>
      </c>
      <c r="G871" s="1">
        <v>42529</v>
      </c>
      <c r="H871" t="s">
        <v>25</v>
      </c>
      <c r="I871">
        <v>50</v>
      </c>
      <c r="J871" t="s">
        <v>22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 t="s">
        <v>23</v>
      </c>
      <c r="R871">
        <v>0</v>
      </c>
    </row>
    <row r="872" spans="1:18">
      <c r="A872" s="4">
        <v>68875168461</v>
      </c>
      <c r="B872" t="s">
        <v>18</v>
      </c>
      <c r="C872">
        <v>3</v>
      </c>
      <c r="D872" t="s">
        <v>31</v>
      </c>
      <c r="E872" t="s">
        <v>84</v>
      </c>
      <c r="F872" s="1">
        <v>42479</v>
      </c>
      <c r="G872" s="1">
        <v>42489</v>
      </c>
      <c r="H872" t="s">
        <v>21</v>
      </c>
      <c r="I872">
        <v>10</v>
      </c>
      <c r="J872" t="s">
        <v>92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 t="s">
        <v>23</v>
      </c>
      <c r="R872">
        <v>0</v>
      </c>
    </row>
    <row r="873" spans="1:18">
      <c r="A873" s="4">
        <v>9512370000000</v>
      </c>
      <c r="B873" t="s">
        <v>18</v>
      </c>
      <c r="C873">
        <v>10</v>
      </c>
      <c r="D873" t="s">
        <v>31</v>
      </c>
      <c r="E873" t="s">
        <v>52</v>
      </c>
      <c r="F873" s="1">
        <v>42479</v>
      </c>
      <c r="G873" s="1">
        <v>42496</v>
      </c>
      <c r="H873" t="s">
        <v>21</v>
      </c>
      <c r="I873">
        <v>17</v>
      </c>
      <c r="J873" t="s">
        <v>77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 t="s">
        <v>26</v>
      </c>
      <c r="R873">
        <v>1</v>
      </c>
    </row>
    <row r="874" spans="1:18">
      <c r="A874" s="4">
        <v>421536000000000</v>
      </c>
      <c r="B874" t="s">
        <v>18</v>
      </c>
      <c r="C874">
        <v>47</v>
      </c>
      <c r="D874" t="s">
        <v>27</v>
      </c>
      <c r="E874" t="s">
        <v>51</v>
      </c>
      <c r="F874" s="1">
        <v>42479</v>
      </c>
      <c r="G874" s="1">
        <v>42500</v>
      </c>
      <c r="H874" t="s">
        <v>41</v>
      </c>
      <c r="I874">
        <v>21</v>
      </c>
      <c r="J874" t="s">
        <v>77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</v>
      </c>
      <c r="Q874" t="s">
        <v>23</v>
      </c>
      <c r="R874">
        <v>0</v>
      </c>
    </row>
    <row r="875" spans="1:18">
      <c r="A875" s="4">
        <v>713798000000</v>
      </c>
      <c r="B875" t="s">
        <v>28</v>
      </c>
      <c r="C875">
        <v>59</v>
      </c>
      <c r="D875" t="s">
        <v>35</v>
      </c>
      <c r="E875" t="s">
        <v>40</v>
      </c>
      <c r="F875" s="1">
        <v>42479</v>
      </c>
      <c r="G875" s="1">
        <v>42503</v>
      </c>
      <c r="H875" t="s">
        <v>21</v>
      </c>
      <c r="I875">
        <v>24</v>
      </c>
      <c r="J875" t="s">
        <v>77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 t="s">
        <v>23</v>
      </c>
      <c r="R875">
        <v>0</v>
      </c>
    </row>
    <row r="876" spans="1:18">
      <c r="A876" s="4">
        <v>11918500000000</v>
      </c>
      <c r="B876" t="s">
        <v>18</v>
      </c>
      <c r="C876">
        <v>43</v>
      </c>
      <c r="D876" t="s">
        <v>27</v>
      </c>
      <c r="E876" t="s">
        <v>82</v>
      </c>
      <c r="F876" s="1">
        <v>42479</v>
      </c>
      <c r="G876" s="1">
        <v>42508</v>
      </c>
      <c r="H876" t="s">
        <v>25</v>
      </c>
      <c r="I876">
        <v>29</v>
      </c>
      <c r="J876" t="s">
        <v>77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23</v>
      </c>
      <c r="R876">
        <v>0</v>
      </c>
    </row>
    <row r="877" spans="1:18">
      <c r="A877" s="4">
        <v>5831310000000</v>
      </c>
      <c r="B877" t="s">
        <v>18</v>
      </c>
      <c r="C877">
        <v>27</v>
      </c>
      <c r="D877" t="s">
        <v>37</v>
      </c>
      <c r="E877" t="s">
        <v>43</v>
      </c>
      <c r="F877" s="1">
        <v>42479</v>
      </c>
      <c r="G877" s="1">
        <v>42492</v>
      </c>
      <c r="H877" t="s">
        <v>30</v>
      </c>
      <c r="I877">
        <v>13</v>
      </c>
      <c r="J877" t="s">
        <v>92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</v>
      </c>
      <c r="Q877" t="s">
        <v>26</v>
      </c>
      <c r="R877">
        <v>1</v>
      </c>
    </row>
    <row r="878" spans="1:18">
      <c r="A878" s="4">
        <v>66523100000000</v>
      </c>
      <c r="B878" t="s">
        <v>18</v>
      </c>
      <c r="C878">
        <v>47</v>
      </c>
      <c r="D878" t="s">
        <v>27</v>
      </c>
      <c r="E878" t="s">
        <v>36</v>
      </c>
      <c r="F878" s="1">
        <v>42479</v>
      </c>
      <c r="G878" s="1">
        <v>42500</v>
      </c>
      <c r="H878" t="s">
        <v>41</v>
      </c>
      <c r="I878">
        <v>21</v>
      </c>
      <c r="J878" t="s">
        <v>77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</v>
      </c>
      <c r="Q878" t="s">
        <v>23</v>
      </c>
      <c r="R878">
        <v>0</v>
      </c>
    </row>
    <row r="879" spans="1:18">
      <c r="A879" s="4">
        <v>6528430000000</v>
      </c>
      <c r="B879" t="s">
        <v>18</v>
      </c>
      <c r="C879">
        <v>45</v>
      </c>
      <c r="D879" t="s">
        <v>27</v>
      </c>
      <c r="E879" t="s">
        <v>95</v>
      </c>
      <c r="F879" s="1">
        <v>42479</v>
      </c>
      <c r="G879" s="1">
        <v>42500</v>
      </c>
      <c r="H879" t="s">
        <v>41</v>
      </c>
      <c r="I879">
        <v>21</v>
      </c>
      <c r="J879" t="s">
        <v>77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23</v>
      </c>
      <c r="R879">
        <v>0</v>
      </c>
    </row>
    <row r="880" spans="1:18">
      <c r="A880" s="4">
        <v>24391200000000</v>
      </c>
      <c r="B880" t="s">
        <v>18</v>
      </c>
      <c r="C880">
        <v>24</v>
      </c>
      <c r="D880" t="s">
        <v>37</v>
      </c>
      <c r="E880" t="s">
        <v>40</v>
      </c>
      <c r="F880" s="1">
        <v>42479</v>
      </c>
      <c r="G880" s="1">
        <v>42496</v>
      </c>
      <c r="H880" t="s">
        <v>21</v>
      </c>
      <c r="I880">
        <v>17</v>
      </c>
      <c r="J880" t="s">
        <v>77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</v>
      </c>
      <c r="Q880" t="s">
        <v>23</v>
      </c>
      <c r="R880">
        <v>0</v>
      </c>
    </row>
    <row r="881" spans="1:18">
      <c r="A881" s="4">
        <v>98353500000000</v>
      </c>
      <c r="B881" t="s">
        <v>18</v>
      </c>
      <c r="C881">
        <v>87</v>
      </c>
      <c r="D881" t="s">
        <v>19</v>
      </c>
      <c r="E881" t="s">
        <v>38</v>
      </c>
      <c r="F881" s="1">
        <v>42479</v>
      </c>
      <c r="G881" s="1">
        <v>42503</v>
      </c>
      <c r="H881" t="s">
        <v>21</v>
      </c>
      <c r="I881">
        <v>24</v>
      </c>
      <c r="J881" t="s">
        <v>77</v>
      </c>
      <c r="K881">
        <v>0</v>
      </c>
      <c r="L881">
        <v>1</v>
      </c>
      <c r="M881">
        <v>0</v>
      </c>
      <c r="N881">
        <v>0</v>
      </c>
      <c r="O881">
        <v>1</v>
      </c>
      <c r="P881">
        <v>0</v>
      </c>
      <c r="Q881" t="s">
        <v>23</v>
      </c>
      <c r="R881">
        <v>0</v>
      </c>
    </row>
    <row r="882" spans="1:18">
      <c r="A882" s="4">
        <v>59418100000000</v>
      </c>
      <c r="B882" t="s">
        <v>28</v>
      </c>
      <c r="C882">
        <v>0</v>
      </c>
      <c r="D882" t="s">
        <v>31</v>
      </c>
      <c r="E882" t="s">
        <v>48</v>
      </c>
      <c r="F882" s="1">
        <v>42479</v>
      </c>
      <c r="G882" s="1">
        <v>42494</v>
      </c>
      <c r="H882" t="s">
        <v>25</v>
      </c>
      <c r="I882">
        <v>15</v>
      </c>
      <c r="J882" t="s">
        <v>77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23</v>
      </c>
      <c r="R882">
        <v>0</v>
      </c>
    </row>
    <row r="883" spans="1:18">
      <c r="A883" s="4">
        <v>21963700000000</v>
      </c>
      <c r="B883" t="s">
        <v>18</v>
      </c>
      <c r="C883">
        <v>55</v>
      </c>
      <c r="D883" t="s">
        <v>35</v>
      </c>
      <c r="E883" t="s">
        <v>55</v>
      </c>
      <c r="F883" s="1">
        <v>42479</v>
      </c>
      <c r="G883" s="1">
        <v>42521</v>
      </c>
      <c r="H883" t="s">
        <v>41</v>
      </c>
      <c r="I883">
        <v>42</v>
      </c>
      <c r="J883" t="s">
        <v>22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1</v>
      </c>
      <c r="Q883" t="s">
        <v>23</v>
      </c>
      <c r="R883">
        <v>0</v>
      </c>
    </row>
    <row r="884" spans="1:18">
      <c r="A884" s="4">
        <v>2739340000000</v>
      </c>
      <c r="B884" t="s">
        <v>28</v>
      </c>
      <c r="C884">
        <v>23</v>
      </c>
      <c r="D884" t="s">
        <v>37</v>
      </c>
      <c r="E884" t="s">
        <v>36</v>
      </c>
      <c r="F884" s="1">
        <v>42479</v>
      </c>
      <c r="G884" s="1">
        <v>42493</v>
      </c>
      <c r="H884" t="s">
        <v>41</v>
      </c>
      <c r="I884">
        <v>14</v>
      </c>
      <c r="J884" t="s">
        <v>92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  <c r="Q884" t="s">
        <v>26</v>
      </c>
      <c r="R884">
        <v>1</v>
      </c>
    </row>
    <row r="885" spans="1:18">
      <c r="A885" s="4">
        <v>516268000000</v>
      </c>
      <c r="B885" t="s">
        <v>18</v>
      </c>
      <c r="C885">
        <v>74</v>
      </c>
      <c r="D885" t="s">
        <v>19</v>
      </c>
      <c r="E885" t="s">
        <v>70</v>
      </c>
      <c r="F885" s="1">
        <v>42479</v>
      </c>
      <c r="G885" s="1">
        <v>42495</v>
      </c>
      <c r="H885" t="s">
        <v>33</v>
      </c>
      <c r="I885">
        <v>16</v>
      </c>
      <c r="J885" t="s">
        <v>77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26</v>
      </c>
      <c r="R885">
        <v>1</v>
      </c>
    </row>
    <row r="886" spans="1:18">
      <c r="A886" s="4">
        <v>7839750000000</v>
      </c>
      <c r="B886" t="s">
        <v>18</v>
      </c>
      <c r="C886">
        <v>76</v>
      </c>
      <c r="D886" t="s">
        <v>19</v>
      </c>
      <c r="E886" t="s">
        <v>51</v>
      </c>
      <c r="F886" s="1">
        <v>42479</v>
      </c>
      <c r="G886" s="1">
        <v>42492</v>
      </c>
      <c r="H886" t="s">
        <v>30</v>
      </c>
      <c r="I886">
        <v>13</v>
      </c>
      <c r="J886" t="s">
        <v>92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 t="s">
        <v>23</v>
      </c>
      <c r="R886">
        <v>0</v>
      </c>
    </row>
    <row r="887" spans="1:18">
      <c r="A887" s="4">
        <v>89451600000000</v>
      </c>
      <c r="B887" t="s">
        <v>28</v>
      </c>
      <c r="C887">
        <v>0</v>
      </c>
      <c r="D887" t="s">
        <v>31</v>
      </c>
      <c r="E887" t="s">
        <v>50</v>
      </c>
      <c r="F887" s="1">
        <v>42479</v>
      </c>
      <c r="G887" s="1">
        <v>42501</v>
      </c>
      <c r="H887" t="s">
        <v>25</v>
      </c>
      <c r="I887">
        <v>22</v>
      </c>
      <c r="J887" t="s">
        <v>77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</v>
      </c>
      <c r="Q887" t="s">
        <v>23</v>
      </c>
      <c r="R887">
        <v>0</v>
      </c>
    </row>
    <row r="888" spans="1:18">
      <c r="A888" s="4">
        <v>2252550000000</v>
      </c>
      <c r="B888" t="s">
        <v>18</v>
      </c>
      <c r="C888">
        <v>34</v>
      </c>
      <c r="D888" t="s">
        <v>37</v>
      </c>
      <c r="E888" t="s">
        <v>57</v>
      </c>
      <c r="F888" s="1">
        <v>42479</v>
      </c>
      <c r="G888" s="1">
        <v>42494</v>
      </c>
      <c r="H888" t="s">
        <v>25</v>
      </c>
      <c r="I888">
        <v>15</v>
      </c>
      <c r="J888" t="s">
        <v>77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</v>
      </c>
      <c r="Q888" t="s">
        <v>23</v>
      </c>
      <c r="R888">
        <v>0</v>
      </c>
    </row>
    <row r="889" spans="1:18">
      <c r="A889" s="4">
        <v>4287890000000</v>
      </c>
      <c r="B889" t="s">
        <v>18</v>
      </c>
      <c r="C889">
        <v>56</v>
      </c>
      <c r="D889" t="s">
        <v>35</v>
      </c>
      <c r="E889" t="s">
        <v>29</v>
      </c>
      <c r="F889" s="1">
        <v>42479</v>
      </c>
      <c r="G889" s="1">
        <v>42500</v>
      </c>
      <c r="H889" t="s">
        <v>41</v>
      </c>
      <c r="I889">
        <v>21</v>
      </c>
      <c r="J889" t="s">
        <v>77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</v>
      </c>
      <c r="Q889" t="s">
        <v>23</v>
      </c>
      <c r="R889">
        <v>0</v>
      </c>
    </row>
    <row r="890" spans="1:18">
      <c r="A890" s="4">
        <v>4727610000000</v>
      </c>
      <c r="B890" t="s">
        <v>18</v>
      </c>
      <c r="C890">
        <v>14</v>
      </c>
      <c r="D890" t="s">
        <v>60</v>
      </c>
      <c r="E890" t="s">
        <v>38</v>
      </c>
      <c r="F890" s="1">
        <v>42479</v>
      </c>
      <c r="G890" s="1">
        <v>42499</v>
      </c>
      <c r="H890" t="s">
        <v>30</v>
      </c>
      <c r="I890">
        <v>20</v>
      </c>
      <c r="J890" t="s">
        <v>77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23</v>
      </c>
      <c r="R890">
        <v>0</v>
      </c>
    </row>
    <row r="891" spans="1:18">
      <c r="A891" s="4">
        <v>8797540000000</v>
      </c>
      <c r="B891" t="s">
        <v>18</v>
      </c>
      <c r="C891">
        <v>6</v>
      </c>
      <c r="D891" t="s">
        <v>31</v>
      </c>
      <c r="E891" t="s">
        <v>38</v>
      </c>
      <c r="F891" s="1">
        <v>42479</v>
      </c>
      <c r="G891" s="1">
        <v>42502</v>
      </c>
      <c r="H891" t="s">
        <v>33</v>
      </c>
      <c r="I891">
        <v>23</v>
      </c>
      <c r="J891" t="s">
        <v>77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 t="s">
        <v>23</v>
      </c>
      <c r="R891">
        <v>0</v>
      </c>
    </row>
    <row r="892" spans="1:18">
      <c r="A892" s="4">
        <v>8276290000000</v>
      </c>
      <c r="B892" t="s">
        <v>18</v>
      </c>
      <c r="C892">
        <v>28</v>
      </c>
      <c r="D892" t="s">
        <v>37</v>
      </c>
      <c r="E892" t="s">
        <v>32</v>
      </c>
      <c r="F892" s="1">
        <v>42479</v>
      </c>
      <c r="G892" s="1">
        <v>42509</v>
      </c>
      <c r="H892" t="s">
        <v>33</v>
      </c>
      <c r="I892">
        <v>30</v>
      </c>
      <c r="J892" t="s">
        <v>77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23</v>
      </c>
      <c r="R892">
        <v>0</v>
      </c>
    </row>
    <row r="893" spans="1:18">
      <c r="A893" s="4">
        <v>3617450000000</v>
      </c>
      <c r="B893" t="s">
        <v>28</v>
      </c>
      <c r="C893">
        <v>11</v>
      </c>
      <c r="D893" t="s">
        <v>31</v>
      </c>
      <c r="E893" t="s">
        <v>68</v>
      </c>
      <c r="F893" s="1">
        <v>42479</v>
      </c>
      <c r="G893" s="1">
        <v>42520</v>
      </c>
      <c r="H893" t="s">
        <v>30</v>
      </c>
      <c r="I893">
        <v>41</v>
      </c>
      <c r="J893" t="s">
        <v>22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 t="s">
        <v>23</v>
      </c>
      <c r="R893">
        <v>0</v>
      </c>
    </row>
    <row r="894" spans="1:18">
      <c r="A894" s="4">
        <v>17985800000000</v>
      </c>
      <c r="B894" t="s">
        <v>18</v>
      </c>
      <c r="C894">
        <v>24</v>
      </c>
      <c r="D894" t="s">
        <v>37</v>
      </c>
      <c r="E894" t="s">
        <v>71</v>
      </c>
      <c r="F894" s="1">
        <v>42479</v>
      </c>
      <c r="G894" s="1">
        <v>42492</v>
      </c>
      <c r="H894" t="s">
        <v>30</v>
      </c>
      <c r="I894">
        <v>13</v>
      </c>
      <c r="J894" t="s">
        <v>92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</v>
      </c>
      <c r="Q894" t="s">
        <v>23</v>
      </c>
      <c r="R894">
        <v>0</v>
      </c>
    </row>
    <row r="895" spans="1:18">
      <c r="A895" s="4">
        <v>371357000000000</v>
      </c>
      <c r="B895" t="s">
        <v>18</v>
      </c>
      <c r="C895">
        <v>3</v>
      </c>
      <c r="D895" t="s">
        <v>31</v>
      </c>
      <c r="E895" t="s">
        <v>96</v>
      </c>
      <c r="F895" s="1">
        <v>42479</v>
      </c>
      <c r="G895" s="1">
        <v>42492</v>
      </c>
      <c r="H895" t="s">
        <v>30</v>
      </c>
      <c r="I895">
        <v>13</v>
      </c>
      <c r="J895" t="s">
        <v>92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1</v>
      </c>
      <c r="Q895" t="s">
        <v>26</v>
      </c>
      <c r="R895">
        <v>1</v>
      </c>
    </row>
    <row r="896" spans="1:18">
      <c r="A896" s="4">
        <v>97931200000000</v>
      </c>
      <c r="B896" t="s">
        <v>18</v>
      </c>
      <c r="C896">
        <v>28</v>
      </c>
      <c r="D896" t="s">
        <v>37</v>
      </c>
      <c r="E896" t="s">
        <v>58</v>
      </c>
      <c r="F896" s="1">
        <v>42479</v>
      </c>
      <c r="G896" s="1">
        <v>42509</v>
      </c>
      <c r="H896" t="s">
        <v>33</v>
      </c>
      <c r="I896">
        <v>30</v>
      </c>
      <c r="J896" t="s">
        <v>77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23</v>
      </c>
      <c r="R896">
        <v>0</v>
      </c>
    </row>
    <row r="897" spans="1:18">
      <c r="A897" s="4">
        <v>8337370000000</v>
      </c>
      <c r="B897" t="s">
        <v>28</v>
      </c>
      <c r="C897">
        <v>9</v>
      </c>
      <c r="D897" t="s">
        <v>31</v>
      </c>
      <c r="E897" t="s">
        <v>76</v>
      </c>
      <c r="F897" s="1">
        <v>42479</v>
      </c>
      <c r="G897" s="1">
        <v>42506</v>
      </c>
      <c r="H897" t="s">
        <v>30</v>
      </c>
      <c r="I897">
        <v>27</v>
      </c>
      <c r="J897" t="s">
        <v>77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23</v>
      </c>
      <c r="R897">
        <v>0</v>
      </c>
    </row>
    <row r="898" spans="1:18">
      <c r="A898" s="4">
        <v>472348000000</v>
      </c>
      <c r="B898" t="s">
        <v>18</v>
      </c>
      <c r="C898">
        <v>42</v>
      </c>
      <c r="D898" t="s">
        <v>27</v>
      </c>
      <c r="E898" t="s">
        <v>58</v>
      </c>
      <c r="F898" s="1">
        <v>42479</v>
      </c>
      <c r="G898" s="1">
        <v>42500</v>
      </c>
      <c r="H898" t="s">
        <v>41</v>
      </c>
      <c r="I898">
        <v>21</v>
      </c>
      <c r="J898" t="s">
        <v>77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</v>
      </c>
      <c r="Q898" t="s">
        <v>26</v>
      </c>
      <c r="R898">
        <v>1</v>
      </c>
    </row>
    <row r="899" spans="1:18">
      <c r="A899" s="4">
        <v>15179800000000</v>
      </c>
      <c r="B899" t="s">
        <v>18</v>
      </c>
      <c r="C899">
        <v>6</v>
      </c>
      <c r="D899" t="s">
        <v>31</v>
      </c>
      <c r="E899" t="s">
        <v>58</v>
      </c>
      <c r="F899" s="1">
        <v>42479</v>
      </c>
      <c r="G899" s="1">
        <v>42520</v>
      </c>
      <c r="H899" t="s">
        <v>30</v>
      </c>
      <c r="I899">
        <v>41</v>
      </c>
      <c r="J899" t="s">
        <v>22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26</v>
      </c>
      <c r="R899">
        <v>1</v>
      </c>
    </row>
    <row r="900" spans="1:18">
      <c r="A900" s="4">
        <v>7343480000000</v>
      </c>
      <c r="B900" t="s">
        <v>18</v>
      </c>
      <c r="C900">
        <v>77</v>
      </c>
      <c r="D900" t="s">
        <v>19</v>
      </c>
      <c r="E900" t="s">
        <v>39</v>
      </c>
      <c r="F900" s="1">
        <v>42479</v>
      </c>
      <c r="G900" s="1">
        <v>42499</v>
      </c>
      <c r="H900" t="s">
        <v>30</v>
      </c>
      <c r="I900">
        <v>20</v>
      </c>
      <c r="J900" t="s">
        <v>77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26</v>
      </c>
      <c r="R900">
        <v>1</v>
      </c>
    </row>
    <row r="901" spans="1:18">
      <c r="A901" s="4">
        <v>18648900000000</v>
      </c>
      <c r="B901" t="s">
        <v>18</v>
      </c>
      <c r="C901">
        <v>13</v>
      </c>
      <c r="D901" t="s">
        <v>60</v>
      </c>
      <c r="E901" t="s">
        <v>51</v>
      </c>
      <c r="F901" s="1">
        <v>42479</v>
      </c>
      <c r="G901" s="1">
        <v>42508</v>
      </c>
      <c r="H901" t="s">
        <v>25</v>
      </c>
      <c r="I901">
        <v>29</v>
      </c>
      <c r="J901" t="s">
        <v>77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26</v>
      </c>
      <c r="R901">
        <v>1</v>
      </c>
    </row>
    <row r="902" spans="1:18">
      <c r="A902" s="4">
        <v>479958000000000</v>
      </c>
      <c r="B902" t="s">
        <v>18</v>
      </c>
      <c r="C902">
        <v>49</v>
      </c>
      <c r="D902" t="s">
        <v>27</v>
      </c>
      <c r="E902" t="s">
        <v>70</v>
      </c>
      <c r="F902" s="1">
        <v>42479</v>
      </c>
      <c r="G902" s="1">
        <v>42500</v>
      </c>
      <c r="H902" t="s">
        <v>41</v>
      </c>
      <c r="I902">
        <v>21</v>
      </c>
      <c r="J902" t="s">
        <v>77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23</v>
      </c>
      <c r="R902">
        <v>0</v>
      </c>
    </row>
    <row r="903" spans="1:18">
      <c r="A903" s="4">
        <v>25664400000000</v>
      </c>
      <c r="B903" t="s">
        <v>28</v>
      </c>
      <c r="C903">
        <v>37</v>
      </c>
      <c r="D903" t="s">
        <v>27</v>
      </c>
      <c r="E903" t="s">
        <v>38</v>
      </c>
      <c r="F903" s="1">
        <v>42479</v>
      </c>
      <c r="G903" s="1">
        <v>42494</v>
      </c>
      <c r="H903" t="s">
        <v>25</v>
      </c>
      <c r="I903">
        <v>15</v>
      </c>
      <c r="J903" t="s">
        <v>77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1</v>
      </c>
      <c r="Q903" t="s">
        <v>23</v>
      </c>
      <c r="R903">
        <v>0</v>
      </c>
    </row>
    <row r="904" spans="1:18">
      <c r="A904" s="4">
        <v>8773780000000</v>
      </c>
      <c r="B904" t="s">
        <v>18</v>
      </c>
      <c r="C904">
        <v>52</v>
      </c>
      <c r="D904" t="s">
        <v>35</v>
      </c>
      <c r="E904" t="s">
        <v>72</v>
      </c>
      <c r="F904" s="1">
        <v>42479</v>
      </c>
      <c r="G904" s="1">
        <v>42510</v>
      </c>
      <c r="H904" t="s">
        <v>21</v>
      </c>
      <c r="I904">
        <v>31</v>
      </c>
      <c r="J904" t="s">
        <v>22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23</v>
      </c>
      <c r="R904">
        <v>0</v>
      </c>
    </row>
    <row r="905" spans="1:18">
      <c r="A905" s="4">
        <v>33876100000000</v>
      </c>
      <c r="B905" t="s">
        <v>18</v>
      </c>
      <c r="C905">
        <v>65</v>
      </c>
      <c r="D905" t="s">
        <v>35</v>
      </c>
      <c r="E905" t="s">
        <v>67</v>
      </c>
      <c r="F905" s="1">
        <v>42479</v>
      </c>
      <c r="G905" s="1">
        <v>42492</v>
      </c>
      <c r="H905" t="s">
        <v>30</v>
      </c>
      <c r="I905">
        <v>13</v>
      </c>
      <c r="J905" t="s">
        <v>92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 t="s">
        <v>23</v>
      </c>
      <c r="R905">
        <v>0</v>
      </c>
    </row>
    <row r="906" spans="1:18">
      <c r="A906" s="4">
        <v>1145650000000</v>
      </c>
      <c r="B906" t="s">
        <v>18</v>
      </c>
      <c r="C906">
        <v>23</v>
      </c>
      <c r="D906" t="s">
        <v>37</v>
      </c>
      <c r="E906" t="s">
        <v>90</v>
      </c>
      <c r="F906" s="1">
        <v>42479</v>
      </c>
      <c r="G906" s="1">
        <v>42492</v>
      </c>
      <c r="H906" t="s">
        <v>30</v>
      </c>
      <c r="I906">
        <v>13</v>
      </c>
      <c r="J906" t="s">
        <v>92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 t="s">
        <v>23</v>
      </c>
      <c r="R906">
        <v>0</v>
      </c>
    </row>
    <row r="907" spans="1:18">
      <c r="A907" s="4">
        <v>66882700000000</v>
      </c>
      <c r="B907" t="s">
        <v>28</v>
      </c>
      <c r="C907">
        <v>30</v>
      </c>
      <c r="D907" t="s">
        <v>37</v>
      </c>
      <c r="E907" t="s">
        <v>29</v>
      </c>
      <c r="F907" s="1">
        <v>42479</v>
      </c>
      <c r="G907" s="1">
        <v>42503</v>
      </c>
      <c r="H907" t="s">
        <v>21</v>
      </c>
      <c r="I907">
        <v>24</v>
      </c>
      <c r="J907" t="s">
        <v>77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26</v>
      </c>
      <c r="R907">
        <v>1</v>
      </c>
    </row>
    <row r="908" spans="1:18">
      <c r="A908" s="4">
        <v>724433000000000</v>
      </c>
      <c r="B908" t="s">
        <v>18</v>
      </c>
      <c r="C908">
        <v>78</v>
      </c>
      <c r="D908" t="s">
        <v>19</v>
      </c>
      <c r="E908" t="s">
        <v>73</v>
      </c>
      <c r="F908" s="1">
        <v>42479</v>
      </c>
      <c r="G908" s="1">
        <v>42493</v>
      </c>
      <c r="H908" t="s">
        <v>41</v>
      </c>
      <c r="I908">
        <v>14</v>
      </c>
      <c r="J908" t="s">
        <v>92</v>
      </c>
      <c r="K908">
        <v>0</v>
      </c>
      <c r="L908">
        <v>1</v>
      </c>
      <c r="M908">
        <v>1</v>
      </c>
      <c r="N908">
        <v>0</v>
      </c>
      <c r="O908">
        <v>0</v>
      </c>
      <c r="P908">
        <v>0</v>
      </c>
      <c r="Q908" t="s">
        <v>23</v>
      </c>
      <c r="R908">
        <v>0</v>
      </c>
    </row>
    <row r="909" spans="1:18">
      <c r="A909" s="4">
        <v>3367280000000</v>
      </c>
      <c r="B909" t="s">
        <v>28</v>
      </c>
      <c r="C909">
        <v>91</v>
      </c>
      <c r="D909" t="s">
        <v>19</v>
      </c>
      <c r="E909" t="s">
        <v>82</v>
      </c>
      <c r="F909" s="1">
        <v>42479</v>
      </c>
      <c r="G909" s="1">
        <v>42489</v>
      </c>
      <c r="H909" t="s">
        <v>21</v>
      </c>
      <c r="I909">
        <v>10</v>
      </c>
      <c r="J909" t="s">
        <v>92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0</v>
      </c>
      <c r="Q909" t="s">
        <v>23</v>
      </c>
      <c r="R909">
        <v>0</v>
      </c>
    </row>
    <row r="910" spans="1:18">
      <c r="A910" s="4">
        <v>52147700000000</v>
      </c>
      <c r="B910" t="s">
        <v>28</v>
      </c>
      <c r="C910">
        <v>53</v>
      </c>
      <c r="D910" t="s">
        <v>35</v>
      </c>
      <c r="E910" t="s">
        <v>50</v>
      </c>
      <c r="F910" s="1">
        <v>42479</v>
      </c>
      <c r="G910" s="1">
        <v>42502</v>
      </c>
      <c r="H910" t="s">
        <v>33</v>
      </c>
      <c r="I910">
        <v>23</v>
      </c>
      <c r="J910" t="s">
        <v>77</v>
      </c>
      <c r="K910">
        <v>0</v>
      </c>
      <c r="L910">
        <v>1</v>
      </c>
      <c r="M910">
        <v>1</v>
      </c>
      <c r="N910">
        <v>0</v>
      </c>
      <c r="O910">
        <v>0</v>
      </c>
      <c r="P910">
        <v>1</v>
      </c>
      <c r="Q910" t="s">
        <v>26</v>
      </c>
      <c r="R910">
        <v>1</v>
      </c>
    </row>
    <row r="911" spans="1:18">
      <c r="A911" s="4">
        <v>125158000000000</v>
      </c>
      <c r="B911" t="s">
        <v>18</v>
      </c>
      <c r="C911">
        <v>46</v>
      </c>
      <c r="D911" t="s">
        <v>27</v>
      </c>
      <c r="E911" t="s">
        <v>84</v>
      </c>
      <c r="F911" s="1">
        <v>42479</v>
      </c>
      <c r="G911" s="1">
        <v>42489</v>
      </c>
      <c r="H911" t="s">
        <v>21</v>
      </c>
      <c r="I911">
        <v>10</v>
      </c>
      <c r="J911" t="s">
        <v>92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26</v>
      </c>
      <c r="R911">
        <v>1</v>
      </c>
    </row>
    <row r="912" spans="1:18">
      <c r="A912" s="4">
        <v>144742000000000</v>
      </c>
      <c r="B912" t="s">
        <v>28</v>
      </c>
      <c r="C912">
        <v>17</v>
      </c>
      <c r="D912" t="s">
        <v>60</v>
      </c>
      <c r="E912" t="s">
        <v>72</v>
      </c>
      <c r="F912" s="1">
        <v>42479</v>
      </c>
      <c r="G912" s="1">
        <v>42520</v>
      </c>
      <c r="H912" t="s">
        <v>30</v>
      </c>
      <c r="I912">
        <v>41</v>
      </c>
      <c r="J912" t="s">
        <v>22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 t="s">
        <v>26</v>
      </c>
      <c r="R912">
        <v>1</v>
      </c>
    </row>
    <row r="913" spans="1:18">
      <c r="A913" s="4">
        <v>7939520000000</v>
      </c>
      <c r="B913" t="s">
        <v>18</v>
      </c>
      <c r="C913">
        <v>3</v>
      </c>
      <c r="D913" t="s">
        <v>31</v>
      </c>
      <c r="E913" t="s">
        <v>67</v>
      </c>
      <c r="F913" s="1">
        <v>42479</v>
      </c>
      <c r="G913" s="1">
        <v>42503</v>
      </c>
      <c r="H913" t="s">
        <v>21</v>
      </c>
      <c r="I913">
        <v>24</v>
      </c>
      <c r="J913" t="s">
        <v>77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26</v>
      </c>
      <c r="R913">
        <v>1</v>
      </c>
    </row>
    <row r="914" spans="1:18">
      <c r="A914" s="4">
        <v>75400000000000</v>
      </c>
      <c r="B914" t="s">
        <v>18</v>
      </c>
      <c r="C914">
        <v>3</v>
      </c>
      <c r="D914" t="s">
        <v>31</v>
      </c>
      <c r="E914" t="s">
        <v>29</v>
      </c>
      <c r="F914" s="1">
        <v>42479</v>
      </c>
      <c r="G914" s="1">
        <v>42489</v>
      </c>
      <c r="H914" t="s">
        <v>21</v>
      </c>
      <c r="I914">
        <v>10</v>
      </c>
      <c r="J914" t="s">
        <v>92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23</v>
      </c>
      <c r="R914">
        <v>0</v>
      </c>
    </row>
    <row r="915" spans="1:18">
      <c r="A915" s="4">
        <v>73894300000000</v>
      </c>
      <c r="B915" t="s">
        <v>18</v>
      </c>
      <c r="C915">
        <v>19</v>
      </c>
      <c r="D915" t="s">
        <v>37</v>
      </c>
      <c r="E915" t="s">
        <v>68</v>
      </c>
      <c r="F915" s="1">
        <v>42479</v>
      </c>
      <c r="G915" s="1">
        <v>42489</v>
      </c>
      <c r="H915" t="s">
        <v>21</v>
      </c>
      <c r="I915">
        <v>10</v>
      </c>
      <c r="J915" t="s">
        <v>92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1</v>
      </c>
      <c r="Q915" t="s">
        <v>23</v>
      </c>
      <c r="R915">
        <v>0</v>
      </c>
    </row>
    <row r="916" spans="1:18">
      <c r="A916" s="4">
        <v>7852940000000</v>
      </c>
      <c r="B916" t="s">
        <v>18</v>
      </c>
      <c r="C916">
        <v>47</v>
      </c>
      <c r="D916" t="s">
        <v>27</v>
      </c>
      <c r="E916" t="s">
        <v>75</v>
      </c>
      <c r="F916" s="1">
        <v>42479</v>
      </c>
      <c r="G916" s="1">
        <v>42510</v>
      </c>
      <c r="H916" t="s">
        <v>21</v>
      </c>
      <c r="I916">
        <v>31</v>
      </c>
      <c r="J916" t="s">
        <v>22</v>
      </c>
      <c r="K916">
        <v>0</v>
      </c>
      <c r="L916">
        <v>1</v>
      </c>
      <c r="M916">
        <v>0</v>
      </c>
      <c r="N916">
        <v>0</v>
      </c>
      <c r="O916">
        <v>1</v>
      </c>
      <c r="P916">
        <v>0</v>
      </c>
      <c r="Q916" t="s">
        <v>23</v>
      </c>
      <c r="R916">
        <v>0</v>
      </c>
    </row>
    <row r="917" spans="1:18">
      <c r="A917" s="4">
        <v>46162700000000</v>
      </c>
      <c r="B917" t="s">
        <v>28</v>
      </c>
      <c r="C917">
        <v>48</v>
      </c>
      <c r="D917" t="s">
        <v>27</v>
      </c>
      <c r="E917" t="s">
        <v>36</v>
      </c>
      <c r="F917" s="1">
        <v>42479</v>
      </c>
      <c r="G917" s="1">
        <v>42501</v>
      </c>
      <c r="H917" t="s">
        <v>25</v>
      </c>
      <c r="I917">
        <v>22</v>
      </c>
      <c r="J917" t="s">
        <v>77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  <c r="Q917" t="s">
        <v>23</v>
      </c>
      <c r="R917">
        <v>0</v>
      </c>
    </row>
    <row r="918" spans="1:18">
      <c r="A918" s="4">
        <v>63647200000000</v>
      </c>
      <c r="B918" t="s">
        <v>28</v>
      </c>
      <c r="C918">
        <v>48</v>
      </c>
      <c r="D918" t="s">
        <v>27</v>
      </c>
      <c r="E918" t="s">
        <v>42</v>
      </c>
      <c r="F918" s="1">
        <v>42479</v>
      </c>
      <c r="G918" s="1">
        <v>42502</v>
      </c>
      <c r="H918" t="s">
        <v>33</v>
      </c>
      <c r="I918">
        <v>23</v>
      </c>
      <c r="J918" t="s">
        <v>77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26</v>
      </c>
      <c r="R918">
        <v>1</v>
      </c>
    </row>
    <row r="919" spans="1:18">
      <c r="A919" s="4">
        <v>6438360000000</v>
      </c>
      <c r="B919" t="s">
        <v>28</v>
      </c>
      <c r="C919">
        <v>43</v>
      </c>
      <c r="D919" t="s">
        <v>27</v>
      </c>
      <c r="E919" t="s">
        <v>40</v>
      </c>
      <c r="F919" s="1">
        <v>42479</v>
      </c>
      <c r="G919" s="1">
        <v>42507</v>
      </c>
      <c r="H919" t="s">
        <v>41</v>
      </c>
      <c r="I919">
        <v>28</v>
      </c>
      <c r="J919" t="s">
        <v>77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26</v>
      </c>
      <c r="R919">
        <v>1</v>
      </c>
    </row>
    <row r="920" spans="1:18">
      <c r="A920" s="4">
        <v>632938000000000</v>
      </c>
      <c r="B920" t="s">
        <v>18</v>
      </c>
      <c r="C920">
        <v>41</v>
      </c>
      <c r="D920" t="s">
        <v>27</v>
      </c>
      <c r="E920" t="s">
        <v>32</v>
      </c>
      <c r="F920" s="1">
        <v>42479</v>
      </c>
      <c r="G920" s="1">
        <v>42510</v>
      </c>
      <c r="H920" t="s">
        <v>21</v>
      </c>
      <c r="I920">
        <v>31</v>
      </c>
      <c r="J920" t="s">
        <v>22</v>
      </c>
      <c r="K920">
        <v>1</v>
      </c>
      <c r="L920">
        <v>0</v>
      </c>
      <c r="M920">
        <v>0</v>
      </c>
      <c r="N920">
        <v>1</v>
      </c>
      <c r="O920">
        <v>0</v>
      </c>
      <c r="P920">
        <v>0</v>
      </c>
      <c r="Q920" t="s">
        <v>26</v>
      </c>
      <c r="R920">
        <v>1</v>
      </c>
    </row>
    <row r="921" spans="1:18">
      <c r="A921" s="4">
        <v>74324700000000</v>
      </c>
      <c r="B921" t="s">
        <v>18</v>
      </c>
      <c r="C921">
        <v>54</v>
      </c>
      <c r="D921" t="s">
        <v>35</v>
      </c>
      <c r="E921" t="s">
        <v>24</v>
      </c>
      <c r="F921" s="1">
        <v>42479</v>
      </c>
      <c r="G921" s="1">
        <v>42514</v>
      </c>
      <c r="H921" t="s">
        <v>41</v>
      </c>
      <c r="I921">
        <v>35</v>
      </c>
      <c r="J921" t="s">
        <v>22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26</v>
      </c>
      <c r="R921">
        <v>1</v>
      </c>
    </row>
    <row r="922" spans="1:18">
      <c r="A922" s="4">
        <v>4463410000000</v>
      </c>
      <c r="B922" t="s">
        <v>18</v>
      </c>
      <c r="C922">
        <v>16</v>
      </c>
      <c r="D922" t="s">
        <v>60</v>
      </c>
      <c r="E922" t="s">
        <v>39</v>
      </c>
      <c r="F922" s="1">
        <v>42479</v>
      </c>
      <c r="G922" s="1">
        <v>42494</v>
      </c>
      <c r="H922" t="s">
        <v>25</v>
      </c>
      <c r="I922">
        <v>15</v>
      </c>
      <c r="J922" t="s">
        <v>77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</v>
      </c>
      <c r="Q922" t="s">
        <v>23</v>
      </c>
      <c r="R922">
        <v>0</v>
      </c>
    </row>
    <row r="923" spans="1:18">
      <c r="A923" s="4">
        <v>5914150000000</v>
      </c>
      <c r="B923" t="s">
        <v>18</v>
      </c>
      <c r="C923">
        <v>57</v>
      </c>
      <c r="D923" t="s">
        <v>35</v>
      </c>
      <c r="E923" t="s">
        <v>39</v>
      </c>
      <c r="F923" s="1">
        <v>42479</v>
      </c>
      <c r="G923" s="1">
        <v>42495</v>
      </c>
      <c r="H923" t="s">
        <v>33</v>
      </c>
      <c r="I923">
        <v>16</v>
      </c>
      <c r="J923" t="s">
        <v>77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</v>
      </c>
      <c r="Q923" t="s">
        <v>23</v>
      </c>
      <c r="R923">
        <v>0</v>
      </c>
    </row>
    <row r="924" spans="1:18">
      <c r="A924" s="4">
        <v>1746260000000</v>
      </c>
      <c r="B924" t="s">
        <v>18</v>
      </c>
      <c r="C924">
        <v>45</v>
      </c>
      <c r="D924" t="s">
        <v>27</v>
      </c>
      <c r="E924" t="s">
        <v>39</v>
      </c>
      <c r="F924" s="1">
        <v>42479</v>
      </c>
      <c r="G924" s="1">
        <v>42499</v>
      </c>
      <c r="H924" t="s">
        <v>30</v>
      </c>
      <c r="I924">
        <v>20</v>
      </c>
      <c r="J924" t="s">
        <v>77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23</v>
      </c>
      <c r="R924">
        <v>0</v>
      </c>
    </row>
    <row r="925" spans="1:18">
      <c r="A925" s="4">
        <v>55741400000000</v>
      </c>
      <c r="B925" t="s">
        <v>18</v>
      </c>
      <c r="C925">
        <v>24</v>
      </c>
      <c r="D925" t="s">
        <v>37</v>
      </c>
      <c r="E925" t="s">
        <v>29</v>
      </c>
      <c r="F925" s="1">
        <v>42479</v>
      </c>
      <c r="G925" s="1">
        <v>42500</v>
      </c>
      <c r="H925" t="s">
        <v>41</v>
      </c>
      <c r="I925">
        <v>21</v>
      </c>
      <c r="J925" t="s">
        <v>77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 t="s">
        <v>23</v>
      </c>
      <c r="R925">
        <v>0</v>
      </c>
    </row>
    <row r="926" spans="1:18">
      <c r="A926" s="4">
        <v>1293310000000</v>
      </c>
      <c r="B926" t="s">
        <v>28</v>
      </c>
      <c r="C926">
        <v>50</v>
      </c>
      <c r="D926" t="s">
        <v>27</v>
      </c>
      <c r="E926" t="s">
        <v>67</v>
      </c>
      <c r="F926" s="1">
        <v>42479</v>
      </c>
      <c r="G926" s="1">
        <v>42496</v>
      </c>
      <c r="H926" t="s">
        <v>21</v>
      </c>
      <c r="I926">
        <v>17</v>
      </c>
      <c r="J926" t="s">
        <v>77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</v>
      </c>
      <c r="Q926" t="s">
        <v>26</v>
      </c>
      <c r="R926">
        <v>1</v>
      </c>
    </row>
    <row r="927" spans="1:18">
      <c r="A927" s="4">
        <v>24619500000000</v>
      </c>
      <c r="B927" t="s">
        <v>28</v>
      </c>
      <c r="C927">
        <v>51</v>
      </c>
      <c r="D927" t="s">
        <v>35</v>
      </c>
      <c r="E927" t="s">
        <v>50</v>
      </c>
      <c r="F927" s="1">
        <v>42479</v>
      </c>
      <c r="G927" s="1">
        <v>42502</v>
      </c>
      <c r="H927" t="s">
        <v>33</v>
      </c>
      <c r="I927">
        <v>23</v>
      </c>
      <c r="J927" t="s">
        <v>77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1</v>
      </c>
      <c r="Q927" t="s">
        <v>26</v>
      </c>
      <c r="R927">
        <v>1</v>
      </c>
    </row>
    <row r="928" spans="1:18">
      <c r="A928" s="4">
        <v>896342000000</v>
      </c>
      <c r="B928" t="s">
        <v>28</v>
      </c>
      <c r="C928">
        <v>1</v>
      </c>
      <c r="D928" t="s">
        <v>31</v>
      </c>
      <c r="E928" t="s">
        <v>45</v>
      </c>
      <c r="F928" s="1">
        <v>42479</v>
      </c>
      <c r="G928" s="1">
        <v>42508</v>
      </c>
      <c r="H928" t="s">
        <v>25</v>
      </c>
      <c r="I928">
        <v>29</v>
      </c>
      <c r="J928" t="s">
        <v>77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23</v>
      </c>
      <c r="R928">
        <v>0</v>
      </c>
    </row>
    <row r="929" spans="1:18">
      <c r="A929" s="4">
        <v>642465000000000</v>
      </c>
      <c r="B929" t="s">
        <v>18</v>
      </c>
      <c r="C929">
        <v>66</v>
      </c>
      <c r="D929" t="s">
        <v>19</v>
      </c>
      <c r="E929" t="s">
        <v>72</v>
      </c>
      <c r="F929" s="1">
        <v>42479</v>
      </c>
      <c r="G929" s="1">
        <v>42510</v>
      </c>
      <c r="H929" t="s">
        <v>21</v>
      </c>
      <c r="I929">
        <v>31</v>
      </c>
      <c r="J929" t="s">
        <v>22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23</v>
      </c>
      <c r="R929">
        <v>0</v>
      </c>
    </row>
    <row r="930" spans="1:18">
      <c r="A930" s="4">
        <v>35765000000000</v>
      </c>
      <c r="B930" t="s">
        <v>18</v>
      </c>
      <c r="C930">
        <v>8</v>
      </c>
      <c r="D930" t="s">
        <v>31</v>
      </c>
      <c r="E930" t="s">
        <v>70</v>
      </c>
      <c r="F930" s="1">
        <v>42479</v>
      </c>
      <c r="G930" s="1">
        <v>42499</v>
      </c>
      <c r="H930" t="s">
        <v>30</v>
      </c>
      <c r="I930">
        <v>20</v>
      </c>
      <c r="J930" t="s">
        <v>77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26</v>
      </c>
      <c r="R930">
        <v>1</v>
      </c>
    </row>
    <row r="931" spans="1:18">
      <c r="A931" s="4">
        <v>1332690000000</v>
      </c>
      <c r="B931" t="s">
        <v>18</v>
      </c>
      <c r="C931">
        <v>0</v>
      </c>
      <c r="D931" t="s">
        <v>31</v>
      </c>
      <c r="E931" t="s">
        <v>44</v>
      </c>
      <c r="F931" s="1">
        <v>42479</v>
      </c>
      <c r="G931" s="1">
        <v>42493</v>
      </c>
      <c r="H931" t="s">
        <v>41</v>
      </c>
      <c r="I931">
        <v>14</v>
      </c>
      <c r="J931" t="s">
        <v>92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23</v>
      </c>
      <c r="R931">
        <v>0</v>
      </c>
    </row>
    <row r="932" spans="1:18">
      <c r="A932" s="4">
        <v>28899000000000</v>
      </c>
      <c r="B932" t="s">
        <v>18</v>
      </c>
      <c r="C932">
        <v>15</v>
      </c>
      <c r="D932" t="s">
        <v>60</v>
      </c>
      <c r="E932" t="s">
        <v>67</v>
      </c>
      <c r="F932" s="1">
        <v>42479</v>
      </c>
      <c r="G932" s="1">
        <v>42506</v>
      </c>
      <c r="H932" t="s">
        <v>30</v>
      </c>
      <c r="I932">
        <v>27</v>
      </c>
      <c r="J932" t="s">
        <v>77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23</v>
      </c>
      <c r="R932">
        <v>0</v>
      </c>
    </row>
    <row r="933" spans="1:18">
      <c r="A933" s="4">
        <v>5467340000000</v>
      </c>
      <c r="B933" t="s">
        <v>28</v>
      </c>
      <c r="C933">
        <v>20</v>
      </c>
      <c r="D933" t="s">
        <v>37</v>
      </c>
      <c r="E933" t="s">
        <v>68</v>
      </c>
      <c r="F933" s="1">
        <v>42479</v>
      </c>
      <c r="G933" s="1">
        <v>42515</v>
      </c>
      <c r="H933" t="s">
        <v>25</v>
      </c>
      <c r="I933">
        <v>36</v>
      </c>
      <c r="J933" t="s">
        <v>22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1</v>
      </c>
      <c r="Q933" t="s">
        <v>26</v>
      </c>
      <c r="R933">
        <v>1</v>
      </c>
    </row>
    <row r="934" spans="1:18">
      <c r="A934" s="4">
        <v>831499000000</v>
      </c>
      <c r="B934" t="s">
        <v>18</v>
      </c>
      <c r="C934">
        <v>59</v>
      </c>
      <c r="D934" t="s">
        <v>35</v>
      </c>
      <c r="E934" t="s">
        <v>56</v>
      </c>
      <c r="F934" s="1">
        <v>42479</v>
      </c>
      <c r="G934" s="1">
        <v>42499</v>
      </c>
      <c r="H934" t="s">
        <v>30</v>
      </c>
      <c r="I934">
        <v>20</v>
      </c>
      <c r="J934" t="s">
        <v>77</v>
      </c>
      <c r="K934">
        <v>0</v>
      </c>
      <c r="L934">
        <v>1</v>
      </c>
      <c r="M934">
        <v>1</v>
      </c>
      <c r="N934">
        <v>0</v>
      </c>
      <c r="O934">
        <v>0</v>
      </c>
      <c r="P934">
        <v>0</v>
      </c>
      <c r="Q934" t="s">
        <v>23</v>
      </c>
      <c r="R934">
        <v>0</v>
      </c>
    </row>
    <row r="935" spans="1:18">
      <c r="A935" s="4">
        <v>754895000000</v>
      </c>
      <c r="B935" t="s">
        <v>18</v>
      </c>
      <c r="C935">
        <v>27</v>
      </c>
      <c r="D935" t="s">
        <v>37</v>
      </c>
      <c r="E935" t="s">
        <v>38</v>
      </c>
      <c r="F935" s="1">
        <v>42479</v>
      </c>
      <c r="G935" s="1">
        <v>42499</v>
      </c>
      <c r="H935" t="s">
        <v>30</v>
      </c>
      <c r="I935">
        <v>20</v>
      </c>
      <c r="J935" t="s">
        <v>77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23</v>
      </c>
      <c r="R935">
        <v>0</v>
      </c>
    </row>
    <row r="936" spans="1:18">
      <c r="A936" s="4">
        <v>218299000000000</v>
      </c>
      <c r="B936" t="s">
        <v>18</v>
      </c>
      <c r="C936">
        <v>44</v>
      </c>
      <c r="D936" t="s">
        <v>27</v>
      </c>
      <c r="E936" t="s">
        <v>71</v>
      </c>
      <c r="F936" s="1">
        <v>42479</v>
      </c>
      <c r="G936" s="1">
        <v>42510</v>
      </c>
      <c r="H936" t="s">
        <v>21</v>
      </c>
      <c r="I936">
        <v>31</v>
      </c>
      <c r="J936" t="s">
        <v>22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23</v>
      </c>
      <c r="R936">
        <v>0</v>
      </c>
    </row>
    <row r="937" spans="1:18">
      <c r="A937" s="4">
        <v>422813000000</v>
      </c>
      <c r="B937" t="s">
        <v>18</v>
      </c>
      <c r="C937">
        <v>56</v>
      </c>
      <c r="D937" t="s">
        <v>35</v>
      </c>
      <c r="E937" t="s">
        <v>36</v>
      </c>
      <c r="F937" s="1">
        <v>42479</v>
      </c>
      <c r="G937" s="1">
        <v>42492</v>
      </c>
      <c r="H937" t="s">
        <v>30</v>
      </c>
      <c r="I937">
        <v>13</v>
      </c>
      <c r="J937" t="s">
        <v>92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 t="s">
        <v>23</v>
      </c>
      <c r="R937">
        <v>0</v>
      </c>
    </row>
    <row r="938" spans="1:18">
      <c r="A938" s="4">
        <v>48733900000000</v>
      </c>
      <c r="B938" t="s">
        <v>28</v>
      </c>
      <c r="C938">
        <v>10</v>
      </c>
      <c r="D938" t="s">
        <v>31</v>
      </c>
      <c r="E938" t="s">
        <v>102</v>
      </c>
      <c r="F938" s="1">
        <v>42479</v>
      </c>
      <c r="G938" s="1">
        <v>42500</v>
      </c>
      <c r="H938" t="s">
        <v>41</v>
      </c>
      <c r="I938">
        <v>21</v>
      </c>
      <c r="J938" t="s">
        <v>77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</v>
      </c>
      <c r="Q938" t="s">
        <v>26</v>
      </c>
      <c r="R938">
        <v>1</v>
      </c>
    </row>
    <row r="939" spans="1:18">
      <c r="A939" s="4">
        <v>85797300000000</v>
      </c>
      <c r="B939" t="s">
        <v>18</v>
      </c>
      <c r="C939">
        <v>59</v>
      </c>
      <c r="D939" t="s">
        <v>35</v>
      </c>
      <c r="E939" t="s">
        <v>72</v>
      </c>
      <c r="F939" s="1">
        <v>42479</v>
      </c>
      <c r="G939" s="1">
        <v>42514</v>
      </c>
      <c r="H939" t="s">
        <v>41</v>
      </c>
      <c r="I939">
        <v>35</v>
      </c>
      <c r="J939" t="s">
        <v>22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1</v>
      </c>
      <c r="Q939" t="s">
        <v>26</v>
      </c>
      <c r="R939">
        <v>1</v>
      </c>
    </row>
    <row r="940" spans="1:18">
      <c r="A940" s="4">
        <v>723263000000000</v>
      </c>
      <c r="B940" t="s">
        <v>18</v>
      </c>
      <c r="C940">
        <v>72</v>
      </c>
      <c r="D940" t="s">
        <v>19</v>
      </c>
      <c r="E940" t="s">
        <v>59</v>
      </c>
      <c r="F940" s="1">
        <v>42480</v>
      </c>
      <c r="G940" s="1">
        <v>42492</v>
      </c>
      <c r="H940" t="s">
        <v>30</v>
      </c>
      <c r="I940">
        <v>12</v>
      </c>
      <c r="J940" t="s">
        <v>92</v>
      </c>
      <c r="K940">
        <v>0</v>
      </c>
      <c r="L940">
        <v>1</v>
      </c>
      <c r="M940">
        <v>1</v>
      </c>
      <c r="N940">
        <v>0</v>
      </c>
      <c r="O940">
        <v>0</v>
      </c>
      <c r="P940">
        <v>1</v>
      </c>
      <c r="Q940" t="s">
        <v>23</v>
      </c>
      <c r="R940">
        <v>0</v>
      </c>
    </row>
    <row r="941" spans="1:18">
      <c r="A941" s="4">
        <v>71382300000000</v>
      </c>
      <c r="B941" t="s">
        <v>28</v>
      </c>
      <c r="C941">
        <v>60</v>
      </c>
      <c r="D941" t="s">
        <v>35</v>
      </c>
      <c r="E941" t="s">
        <v>20</v>
      </c>
      <c r="F941" s="1">
        <v>42480</v>
      </c>
      <c r="G941" s="1">
        <v>42492</v>
      </c>
      <c r="H941" t="s">
        <v>30</v>
      </c>
      <c r="I941">
        <v>12</v>
      </c>
      <c r="J941" t="s">
        <v>92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</v>
      </c>
      <c r="Q941" t="s">
        <v>23</v>
      </c>
      <c r="R941">
        <v>0</v>
      </c>
    </row>
    <row r="942" spans="1:18">
      <c r="A942" s="4">
        <v>18838600000000</v>
      </c>
      <c r="B942" t="s">
        <v>18</v>
      </c>
      <c r="C942">
        <v>60</v>
      </c>
      <c r="D942" t="s">
        <v>35</v>
      </c>
      <c r="E942" t="s">
        <v>29</v>
      </c>
      <c r="F942" s="1">
        <v>42480</v>
      </c>
      <c r="G942" s="1">
        <v>42508</v>
      </c>
      <c r="H942" t="s">
        <v>25</v>
      </c>
      <c r="I942">
        <v>28</v>
      </c>
      <c r="J942" t="s">
        <v>77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 t="s">
        <v>23</v>
      </c>
      <c r="R942">
        <v>0</v>
      </c>
    </row>
    <row r="943" spans="1:18">
      <c r="A943" s="4">
        <v>362314000000000</v>
      </c>
      <c r="B943" t="s">
        <v>18</v>
      </c>
      <c r="C943">
        <v>49</v>
      </c>
      <c r="D943" t="s">
        <v>27</v>
      </c>
      <c r="E943" t="s">
        <v>97</v>
      </c>
      <c r="F943" s="1">
        <v>42480</v>
      </c>
      <c r="G943" s="1">
        <v>42492</v>
      </c>
      <c r="H943" t="s">
        <v>30</v>
      </c>
      <c r="I943">
        <v>12</v>
      </c>
      <c r="J943" t="s">
        <v>92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1</v>
      </c>
      <c r="Q943" t="s">
        <v>23</v>
      </c>
      <c r="R943">
        <v>0</v>
      </c>
    </row>
    <row r="944" spans="1:18">
      <c r="A944" s="4">
        <v>65557300000000</v>
      </c>
      <c r="B944" t="s">
        <v>28</v>
      </c>
      <c r="C944">
        <v>4</v>
      </c>
      <c r="D944" t="s">
        <v>31</v>
      </c>
      <c r="E944" t="s">
        <v>29</v>
      </c>
      <c r="F944" s="1">
        <v>42480</v>
      </c>
      <c r="G944" s="1">
        <v>42501</v>
      </c>
      <c r="H944" t="s">
        <v>25</v>
      </c>
      <c r="I944">
        <v>21</v>
      </c>
      <c r="J944" t="s">
        <v>77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 t="s">
        <v>23</v>
      </c>
      <c r="R944">
        <v>0</v>
      </c>
    </row>
    <row r="945" spans="1:18">
      <c r="A945" s="4">
        <v>65557300000000</v>
      </c>
      <c r="B945" t="s">
        <v>28</v>
      </c>
      <c r="C945">
        <v>4</v>
      </c>
      <c r="D945" t="s">
        <v>31</v>
      </c>
      <c r="E945" t="s">
        <v>29</v>
      </c>
      <c r="F945" s="1">
        <v>42480</v>
      </c>
      <c r="G945" s="1">
        <v>42508</v>
      </c>
      <c r="H945" t="s">
        <v>25</v>
      </c>
      <c r="I945">
        <v>28</v>
      </c>
      <c r="J945" t="s">
        <v>77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26</v>
      </c>
      <c r="R945">
        <v>1</v>
      </c>
    </row>
    <row r="946" spans="1:18">
      <c r="A946" s="4">
        <v>744749000000000</v>
      </c>
      <c r="B946" t="s">
        <v>18</v>
      </c>
      <c r="C946">
        <v>19</v>
      </c>
      <c r="D946" t="s">
        <v>37</v>
      </c>
      <c r="E946" t="s">
        <v>20</v>
      </c>
      <c r="F946" s="1">
        <v>42480</v>
      </c>
      <c r="G946" s="1">
        <v>42493</v>
      </c>
      <c r="H946" t="s">
        <v>41</v>
      </c>
      <c r="I946">
        <v>13</v>
      </c>
      <c r="J946" t="s">
        <v>92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  <c r="Q946" t="s">
        <v>23</v>
      </c>
      <c r="R946">
        <v>0</v>
      </c>
    </row>
    <row r="947" spans="1:18">
      <c r="A947" s="4">
        <v>5674160000000</v>
      </c>
      <c r="B947" t="s">
        <v>18</v>
      </c>
      <c r="C947">
        <v>9</v>
      </c>
      <c r="D947" t="s">
        <v>31</v>
      </c>
      <c r="E947" t="s">
        <v>29</v>
      </c>
      <c r="F947" s="1">
        <v>42480</v>
      </c>
      <c r="G947" s="1">
        <v>42499</v>
      </c>
      <c r="H947" t="s">
        <v>30</v>
      </c>
      <c r="I947">
        <v>19</v>
      </c>
      <c r="J947" t="s">
        <v>77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26</v>
      </c>
      <c r="R947">
        <v>1</v>
      </c>
    </row>
    <row r="948" spans="1:18">
      <c r="A948" s="4">
        <v>364287000000</v>
      </c>
      <c r="B948" t="s">
        <v>18</v>
      </c>
      <c r="C948">
        <v>77</v>
      </c>
      <c r="D948" t="s">
        <v>19</v>
      </c>
      <c r="E948" t="s">
        <v>40</v>
      </c>
      <c r="F948" s="1">
        <v>42480</v>
      </c>
      <c r="G948" s="1">
        <v>42493</v>
      </c>
      <c r="H948" t="s">
        <v>41</v>
      </c>
      <c r="I948">
        <v>13</v>
      </c>
      <c r="J948" t="s">
        <v>92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0</v>
      </c>
      <c r="Q948" t="s">
        <v>23</v>
      </c>
      <c r="R948">
        <v>0</v>
      </c>
    </row>
    <row r="949" spans="1:18">
      <c r="A949" s="4">
        <v>39334600000000</v>
      </c>
      <c r="B949" t="s">
        <v>18</v>
      </c>
      <c r="C949">
        <v>46</v>
      </c>
      <c r="D949" t="s">
        <v>27</v>
      </c>
      <c r="E949" t="s">
        <v>55</v>
      </c>
      <c r="F949" s="1">
        <v>42480</v>
      </c>
      <c r="G949" s="1">
        <v>42494</v>
      </c>
      <c r="H949" t="s">
        <v>25</v>
      </c>
      <c r="I949">
        <v>14</v>
      </c>
      <c r="J949" t="s">
        <v>92</v>
      </c>
      <c r="K949">
        <v>0</v>
      </c>
      <c r="L949">
        <v>1</v>
      </c>
      <c r="M949">
        <v>0</v>
      </c>
      <c r="N949">
        <v>1</v>
      </c>
      <c r="O949">
        <v>0</v>
      </c>
      <c r="P949">
        <v>1</v>
      </c>
      <c r="Q949" t="s">
        <v>23</v>
      </c>
      <c r="R949">
        <v>0</v>
      </c>
    </row>
    <row r="950" spans="1:18">
      <c r="A950" s="4">
        <v>8629720000000</v>
      </c>
      <c r="B950" t="s">
        <v>18</v>
      </c>
      <c r="C950">
        <v>62</v>
      </c>
      <c r="D950" t="s">
        <v>35</v>
      </c>
      <c r="E950" t="s">
        <v>59</v>
      </c>
      <c r="F950" s="1">
        <v>42480</v>
      </c>
      <c r="G950" s="1">
        <v>42495</v>
      </c>
      <c r="H950" t="s">
        <v>33</v>
      </c>
      <c r="I950">
        <v>15</v>
      </c>
      <c r="J950" t="s">
        <v>77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</v>
      </c>
      <c r="Q950" t="s">
        <v>23</v>
      </c>
      <c r="R950">
        <v>0</v>
      </c>
    </row>
    <row r="951" spans="1:18">
      <c r="A951" s="4">
        <v>81215600000000</v>
      </c>
      <c r="B951" t="s">
        <v>18</v>
      </c>
      <c r="C951">
        <v>35</v>
      </c>
      <c r="D951" t="s">
        <v>37</v>
      </c>
      <c r="E951" t="s">
        <v>20</v>
      </c>
      <c r="F951" s="1">
        <v>42480</v>
      </c>
      <c r="G951" s="1">
        <v>42496</v>
      </c>
      <c r="H951" t="s">
        <v>21</v>
      </c>
      <c r="I951">
        <v>16</v>
      </c>
      <c r="J951" t="s">
        <v>77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 t="s">
        <v>26</v>
      </c>
      <c r="R951">
        <v>1</v>
      </c>
    </row>
    <row r="952" spans="1:18">
      <c r="A952" s="4">
        <v>61448900000000</v>
      </c>
      <c r="B952" t="s">
        <v>28</v>
      </c>
      <c r="C952">
        <v>38</v>
      </c>
      <c r="D952" t="s">
        <v>27</v>
      </c>
      <c r="E952" t="s">
        <v>20</v>
      </c>
      <c r="F952" s="1">
        <v>42480</v>
      </c>
      <c r="G952" s="1">
        <v>42492</v>
      </c>
      <c r="H952" t="s">
        <v>30</v>
      </c>
      <c r="I952">
        <v>12</v>
      </c>
      <c r="J952" t="s">
        <v>92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</v>
      </c>
      <c r="Q952" t="s">
        <v>23</v>
      </c>
      <c r="R952">
        <v>0</v>
      </c>
    </row>
    <row r="953" spans="1:18">
      <c r="A953" s="4">
        <v>59545400000000</v>
      </c>
      <c r="B953" t="s">
        <v>18</v>
      </c>
      <c r="C953">
        <v>63</v>
      </c>
      <c r="D953" t="s">
        <v>35</v>
      </c>
      <c r="E953" t="s">
        <v>59</v>
      </c>
      <c r="F953" s="1">
        <v>42480</v>
      </c>
      <c r="G953" s="1">
        <v>42493</v>
      </c>
      <c r="H953" t="s">
        <v>41</v>
      </c>
      <c r="I953">
        <v>13</v>
      </c>
      <c r="J953" t="s">
        <v>92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Q953" t="s">
        <v>23</v>
      </c>
      <c r="R953">
        <v>0</v>
      </c>
    </row>
    <row r="954" spans="1:18">
      <c r="A954" s="4">
        <v>55566500000000</v>
      </c>
      <c r="B954" t="s">
        <v>18</v>
      </c>
      <c r="C954">
        <v>51</v>
      </c>
      <c r="D954" t="s">
        <v>35</v>
      </c>
      <c r="E954" t="s">
        <v>78</v>
      </c>
      <c r="F954" s="1">
        <v>42480</v>
      </c>
      <c r="G954" s="1">
        <v>42494</v>
      </c>
      <c r="H954" t="s">
        <v>25</v>
      </c>
      <c r="I954">
        <v>14</v>
      </c>
      <c r="J954" t="s">
        <v>92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</v>
      </c>
      <c r="Q954" t="s">
        <v>23</v>
      </c>
      <c r="R954">
        <v>0</v>
      </c>
    </row>
    <row r="955" spans="1:18">
      <c r="A955" s="4">
        <v>251331000000</v>
      </c>
      <c r="B955" t="s">
        <v>18</v>
      </c>
      <c r="C955">
        <v>42</v>
      </c>
      <c r="D955" t="s">
        <v>27</v>
      </c>
      <c r="E955" t="s">
        <v>20</v>
      </c>
      <c r="F955" s="1">
        <v>42480</v>
      </c>
      <c r="G955" s="1">
        <v>42493</v>
      </c>
      <c r="H955" t="s">
        <v>41</v>
      </c>
      <c r="I955">
        <v>13</v>
      </c>
      <c r="J955" t="s">
        <v>92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23</v>
      </c>
      <c r="R955">
        <v>0</v>
      </c>
    </row>
    <row r="956" spans="1:18">
      <c r="A956" s="4">
        <v>61818300000000</v>
      </c>
      <c r="B956" t="s">
        <v>18</v>
      </c>
      <c r="C956">
        <v>7</v>
      </c>
      <c r="D956" t="s">
        <v>31</v>
      </c>
      <c r="E956" t="s">
        <v>78</v>
      </c>
      <c r="F956" s="1">
        <v>42480</v>
      </c>
      <c r="G956" s="1">
        <v>42509</v>
      </c>
      <c r="H956" t="s">
        <v>33</v>
      </c>
      <c r="I956">
        <v>29</v>
      </c>
      <c r="J956" t="s">
        <v>77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26</v>
      </c>
      <c r="R956">
        <v>1</v>
      </c>
    </row>
    <row r="957" spans="1:18">
      <c r="A957" s="4">
        <v>4382724429</v>
      </c>
      <c r="B957" t="s">
        <v>28</v>
      </c>
      <c r="C957">
        <v>6</v>
      </c>
      <c r="D957" t="s">
        <v>31</v>
      </c>
      <c r="E957" t="s">
        <v>47</v>
      </c>
      <c r="F957" s="1">
        <v>42480</v>
      </c>
      <c r="G957" s="1">
        <v>42502</v>
      </c>
      <c r="H957" t="s">
        <v>33</v>
      </c>
      <c r="I957">
        <v>22</v>
      </c>
      <c r="J957" t="s">
        <v>77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</v>
      </c>
      <c r="Q957" t="s">
        <v>23</v>
      </c>
      <c r="R957">
        <v>0</v>
      </c>
    </row>
    <row r="958" spans="1:18">
      <c r="A958" s="4">
        <v>28552200000000</v>
      </c>
      <c r="B958" t="s">
        <v>18</v>
      </c>
      <c r="C958">
        <v>70</v>
      </c>
      <c r="D958" t="s">
        <v>19</v>
      </c>
      <c r="E958" t="s">
        <v>59</v>
      </c>
      <c r="F958" s="1">
        <v>42480</v>
      </c>
      <c r="G958" s="1">
        <v>42499</v>
      </c>
      <c r="H958" t="s">
        <v>30</v>
      </c>
      <c r="I958">
        <v>19</v>
      </c>
      <c r="J958" t="s">
        <v>77</v>
      </c>
      <c r="K958">
        <v>0</v>
      </c>
      <c r="L958">
        <v>1</v>
      </c>
      <c r="M958">
        <v>1</v>
      </c>
      <c r="N958">
        <v>0</v>
      </c>
      <c r="O958">
        <v>0</v>
      </c>
      <c r="P958">
        <v>0</v>
      </c>
      <c r="Q958" t="s">
        <v>23</v>
      </c>
      <c r="R958">
        <v>0</v>
      </c>
    </row>
    <row r="959" spans="1:18">
      <c r="A959" s="4">
        <v>3284890000000</v>
      </c>
      <c r="B959" t="s">
        <v>18</v>
      </c>
      <c r="C959">
        <v>14</v>
      </c>
      <c r="D959" t="s">
        <v>60</v>
      </c>
      <c r="E959" t="s">
        <v>59</v>
      </c>
      <c r="F959" s="1">
        <v>42480</v>
      </c>
      <c r="G959" s="1">
        <v>42492</v>
      </c>
      <c r="H959" t="s">
        <v>30</v>
      </c>
      <c r="I959">
        <v>12</v>
      </c>
      <c r="J959" t="s">
        <v>92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1</v>
      </c>
      <c r="Q959" t="s">
        <v>23</v>
      </c>
      <c r="R959">
        <v>0</v>
      </c>
    </row>
    <row r="960" spans="1:18">
      <c r="A960" s="4">
        <v>252556000000000</v>
      </c>
      <c r="B960" t="s">
        <v>18</v>
      </c>
      <c r="C960">
        <v>18</v>
      </c>
      <c r="D960" t="s">
        <v>37</v>
      </c>
      <c r="E960" t="s">
        <v>59</v>
      </c>
      <c r="F960" s="1">
        <v>42480</v>
      </c>
      <c r="G960" s="1">
        <v>42496</v>
      </c>
      <c r="H960" t="s">
        <v>21</v>
      </c>
      <c r="I960">
        <v>16</v>
      </c>
      <c r="J960" t="s">
        <v>77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1</v>
      </c>
      <c r="Q960" t="s">
        <v>23</v>
      </c>
      <c r="R960">
        <v>0</v>
      </c>
    </row>
    <row r="961" spans="1:18">
      <c r="A961" s="4">
        <v>33466200000000</v>
      </c>
      <c r="B961" t="s">
        <v>18</v>
      </c>
      <c r="C961">
        <v>54</v>
      </c>
      <c r="D961" t="s">
        <v>35</v>
      </c>
      <c r="E961" t="s">
        <v>56</v>
      </c>
      <c r="F961" s="1">
        <v>42480</v>
      </c>
      <c r="G961" s="1">
        <v>42499</v>
      </c>
      <c r="H961" t="s">
        <v>30</v>
      </c>
      <c r="I961">
        <v>19</v>
      </c>
      <c r="J961" t="s">
        <v>77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 t="s">
        <v>26</v>
      </c>
      <c r="R961">
        <v>1</v>
      </c>
    </row>
    <row r="962" spans="1:18">
      <c r="A962" s="4">
        <v>955145000000</v>
      </c>
      <c r="B962" t="s">
        <v>28</v>
      </c>
      <c r="C962">
        <v>62</v>
      </c>
      <c r="D962" t="s">
        <v>35</v>
      </c>
      <c r="E962" t="s">
        <v>59</v>
      </c>
      <c r="F962" s="1">
        <v>42480</v>
      </c>
      <c r="G962" s="1">
        <v>42494</v>
      </c>
      <c r="H962" t="s">
        <v>25</v>
      </c>
      <c r="I962">
        <v>14</v>
      </c>
      <c r="J962" t="s">
        <v>92</v>
      </c>
      <c r="K962">
        <v>0</v>
      </c>
      <c r="L962">
        <v>1</v>
      </c>
      <c r="M962">
        <v>0</v>
      </c>
      <c r="N962">
        <v>1</v>
      </c>
      <c r="O962">
        <v>0</v>
      </c>
      <c r="P962">
        <v>1</v>
      </c>
      <c r="Q962" t="s">
        <v>23</v>
      </c>
      <c r="R962">
        <v>0</v>
      </c>
    </row>
    <row r="963" spans="1:18">
      <c r="A963" s="4">
        <v>51245900000000</v>
      </c>
      <c r="B963" t="s">
        <v>18</v>
      </c>
      <c r="C963">
        <v>40</v>
      </c>
      <c r="D963" t="s">
        <v>27</v>
      </c>
      <c r="E963" t="s">
        <v>76</v>
      </c>
      <c r="F963" s="1">
        <v>42480</v>
      </c>
      <c r="G963" s="1">
        <v>42499</v>
      </c>
      <c r="H963" t="s">
        <v>30</v>
      </c>
      <c r="I963">
        <v>19</v>
      </c>
      <c r="J963" t="s">
        <v>77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26</v>
      </c>
      <c r="R963">
        <v>1</v>
      </c>
    </row>
    <row r="964" spans="1:18">
      <c r="A964" s="4">
        <v>38811200000000</v>
      </c>
      <c r="B964" t="s">
        <v>28</v>
      </c>
      <c r="C964">
        <v>63</v>
      </c>
      <c r="D964" t="s">
        <v>35</v>
      </c>
      <c r="E964" t="s">
        <v>20</v>
      </c>
      <c r="F964" s="1">
        <v>42480</v>
      </c>
      <c r="G964" s="1">
        <v>42500</v>
      </c>
      <c r="H964" t="s">
        <v>41</v>
      </c>
      <c r="I964">
        <v>20</v>
      </c>
      <c r="J964" t="s">
        <v>77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1</v>
      </c>
      <c r="Q964" t="s">
        <v>26</v>
      </c>
      <c r="R964">
        <v>1</v>
      </c>
    </row>
    <row r="965" spans="1:18">
      <c r="A965" s="4">
        <v>54414500000000</v>
      </c>
      <c r="B965" t="s">
        <v>18</v>
      </c>
      <c r="C965">
        <v>1</v>
      </c>
      <c r="D965" t="s">
        <v>31</v>
      </c>
      <c r="E965" t="s">
        <v>20</v>
      </c>
      <c r="F965" s="1">
        <v>42480</v>
      </c>
      <c r="G965" s="1">
        <v>42492</v>
      </c>
      <c r="H965" t="s">
        <v>30</v>
      </c>
      <c r="I965">
        <v>12</v>
      </c>
      <c r="J965" t="s">
        <v>92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 t="s">
        <v>23</v>
      </c>
      <c r="R965">
        <v>0</v>
      </c>
    </row>
    <row r="966" spans="1:18">
      <c r="A966" s="4">
        <v>59578500000000</v>
      </c>
      <c r="B966" t="s">
        <v>18</v>
      </c>
      <c r="C966">
        <v>65</v>
      </c>
      <c r="D966" t="s">
        <v>35</v>
      </c>
      <c r="E966" t="s">
        <v>59</v>
      </c>
      <c r="F966" s="1">
        <v>42480</v>
      </c>
      <c r="G966" s="1">
        <v>42499</v>
      </c>
      <c r="H966" t="s">
        <v>30</v>
      </c>
      <c r="I966">
        <v>19</v>
      </c>
      <c r="J966" t="s">
        <v>77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23</v>
      </c>
      <c r="R966">
        <v>0</v>
      </c>
    </row>
    <row r="967" spans="1:18">
      <c r="A967" s="4">
        <v>1959880000000</v>
      </c>
      <c r="B967" t="s">
        <v>18</v>
      </c>
      <c r="C967">
        <v>44</v>
      </c>
      <c r="D967" t="s">
        <v>27</v>
      </c>
      <c r="E967" t="s">
        <v>65</v>
      </c>
      <c r="F967" s="1">
        <v>42480</v>
      </c>
      <c r="G967" s="1">
        <v>42496</v>
      </c>
      <c r="H967" t="s">
        <v>21</v>
      </c>
      <c r="I967">
        <v>16</v>
      </c>
      <c r="J967" t="s">
        <v>77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1</v>
      </c>
      <c r="Q967" t="s">
        <v>23</v>
      </c>
      <c r="R967">
        <v>0</v>
      </c>
    </row>
    <row r="968" spans="1:18">
      <c r="A968" s="4">
        <v>822159000000000</v>
      </c>
      <c r="B968" t="s">
        <v>18</v>
      </c>
      <c r="C968">
        <v>4</v>
      </c>
      <c r="D968" t="s">
        <v>31</v>
      </c>
      <c r="E968" t="s">
        <v>103</v>
      </c>
      <c r="F968" s="1">
        <v>42480</v>
      </c>
      <c r="G968" s="1">
        <v>42502</v>
      </c>
      <c r="H968" t="s">
        <v>33</v>
      </c>
      <c r="I968">
        <v>22</v>
      </c>
      <c r="J968" t="s">
        <v>77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</v>
      </c>
      <c r="Q968" t="s">
        <v>23</v>
      </c>
      <c r="R968">
        <v>0</v>
      </c>
    </row>
    <row r="969" spans="1:18">
      <c r="A969" s="4">
        <v>76122500000000</v>
      </c>
      <c r="B969" t="s">
        <v>28</v>
      </c>
      <c r="C969">
        <v>69</v>
      </c>
      <c r="D969" t="s">
        <v>19</v>
      </c>
      <c r="E969" t="s">
        <v>72</v>
      </c>
      <c r="F969" s="1">
        <v>42480</v>
      </c>
      <c r="G969" s="1">
        <v>42520</v>
      </c>
      <c r="H969" t="s">
        <v>30</v>
      </c>
      <c r="I969">
        <v>40</v>
      </c>
      <c r="J969" t="s">
        <v>22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</v>
      </c>
      <c r="Q969" t="s">
        <v>23</v>
      </c>
      <c r="R969">
        <v>0</v>
      </c>
    </row>
    <row r="970" spans="1:18">
      <c r="A970" s="4">
        <v>21263900000000</v>
      </c>
      <c r="B970" t="s">
        <v>18</v>
      </c>
      <c r="C970">
        <v>47</v>
      </c>
      <c r="D970" t="s">
        <v>27</v>
      </c>
      <c r="E970" t="s">
        <v>20</v>
      </c>
      <c r="F970" s="1">
        <v>42480</v>
      </c>
      <c r="G970" s="1">
        <v>42502</v>
      </c>
      <c r="H970" t="s">
        <v>33</v>
      </c>
      <c r="I970">
        <v>22</v>
      </c>
      <c r="J970" t="s">
        <v>77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1</v>
      </c>
      <c r="Q970" t="s">
        <v>23</v>
      </c>
      <c r="R970">
        <v>0</v>
      </c>
    </row>
    <row r="971" spans="1:18">
      <c r="A971" s="4">
        <v>47231400000000</v>
      </c>
      <c r="B971" t="s">
        <v>18</v>
      </c>
      <c r="C971">
        <v>26</v>
      </c>
      <c r="D971" t="s">
        <v>37</v>
      </c>
      <c r="E971" t="s">
        <v>40</v>
      </c>
      <c r="F971" s="1">
        <v>42480</v>
      </c>
      <c r="G971" s="1">
        <v>42493</v>
      </c>
      <c r="H971" t="s">
        <v>41</v>
      </c>
      <c r="I971">
        <v>13</v>
      </c>
      <c r="J971" t="s">
        <v>92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 t="s">
        <v>26</v>
      </c>
      <c r="R971">
        <v>1</v>
      </c>
    </row>
    <row r="972" spans="1:18">
      <c r="A972" s="4">
        <v>282782000000000</v>
      </c>
      <c r="B972" t="s">
        <v>18</v>
      </c>
      <c r="C972">
        <v>30</v>
      </c>
      <c r="D972" t="s">
        <v>37</v>
      </c>
      <c r="E972" t="s">
        <v>20</v>
      </c>
      <c r="F972" s="1">
        <v>42480</v>
      </c>
      <c r="G972" s="1">
        <v>42501</v>
      </c>
      <c r="H972" t="s">
        <v>25</v>
      </c>
      <c r="I972">
        <v>21</v>
      </c>
      <c r="J972" t="s">
        <v>77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1</v>
      </c>
      <c r="Q972" t="s">
        <v>26</v>
      </c>
      <c r="R972">
        <v>1</v>
      </c>
    </row>
    <row r="973" spans="1:18">
      <c r="A973" s="4">
        <v>55645800000000</v>
      </c>
      <c r="B973" t="s">
        <v>28</v>
      </c>
      <c r="C973">
        <v>5</v>
      </c>
      <c r="D973" t="s">
        <v>31</v>
      </c>
      <c r="E973" t="s">
        <v>90</v>
      </c>
      <c r="F973" s="1">
        <v>42480</v>
      </c>
      <c r="G973" s="1">
        <v>42508</v>
      </c>
      <c r="H973" t="s">
        <v>25</v>
      </c>
      <c r="I973">
        <v>28</v>
      </c>
      <c r="J973" t="s">
        <v>77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26</v>
      </c>
      <c r="R973">
        <v>1</v>
      </c>
    </row>
    <row r="974" spans="1:18">
      <c r="A974" s="4">
        <v>281590000000</v>
      </c>
      <c r="B974" t="s">
        <v>18</v>
      </c>
      <c r="C974">
        <v>58</v>
      </c>
      <c r="D974" t="s">
        <v>35</v>
      </c>
      <c r="E974" t="s">
        <v>45</v>
      </c>
      <c r="F974" s="1">
        <v>42480</v>
      </c>
      <c r="G974" s="1">
        <v>42507</v>
      </c>
      <c r="H974" t="s">
        <v>41</v>
      </c>
      <c r="I974">
        <v>27</v>
      </c>
      <c r="J974" t="s">
        <v>77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 t="s">
        <v>23</v>
      </c>
      <c r="R974">
        <v>0</v>
      </c>
    </row>
    <row r="975" spans="1:18">
      <c r="A975" s="4">
        <v>33861200000000</v>
      </c>
      <c r="B975" t="s">
        <v>18</v>
      </c>
      <c r="C975">
        <v>19</v>
      </c>
      <c r="D975" t="s">
        <v>37</v>
      </c>
      <c r="E975" t="s">
        <v>59</v>
      </c>
      <c r="F975" s="1">
        <v>42480</v>
      </c>
      <c r="G975" s="1">
        <v>42494</v>
      </c>
      <c r="H975" t="s">
        <v>25</v>
      </c>
      <c r="I975">
        <v>14</v>
      </c>
      <c r="J975" t="s">
        <v>92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</v>
      </c>
      <c r="Q975" t="s">
        <v>26</v>
      </c>
      <c r="R975">
        <v>1</v>
      </c>
    </row>
    <row r="976" spans="1:18">
      <c r="A976" s="4">
        <v>889266000000000</v>
      </c>
      <c r="B976" t="s">
        <v>18</v>
      </c>
      <c r="C976">
        <v>16</v>
      </c>
      <c r="D976" t="s">
        <v>60</v>
      </c>
      <c r="E976" t="s">
        <v>72</v>
      </c>
      <c r="F976" s="1">
        <v>42480</v>
      </c>
      <c r="G976" s="1">
        <v>42496</v>
      </c>
      <c r="H976" t="s">
        <v>21</v>
      </c>
      <c r="I976">
        <v>16</v>
      </c>
      <c r="J976" t="s">
        <v>77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</v>
      </c>
      <c r="Q976" t="s">
        <v>23</v>
      </c>
      <c r="R976">
        <v>0</v>
      </c>
    </row>
    <row r="977" spans="1:18">
      <c r="A977" s="4">
        <v>48494300000000</v>
      </c>
      <c r="B977" t="s">
        <v>18</v>
      </c>
      <c r="C977">
        <v>72</v>
      </c>
      <c r="D977" t="s">
        <v>19</v>
      </c>
      <c r="E977" t="s">
        <v>94</v>
      </c>
      <c r="F977" s="1">
        <v>42480</v>
      </c>
      <c r="G977" s="1">
        <v>42496</v>
      </c>
      <c r="H977" t="s">
        <v>21</v>
      </c>
      <c r="I977">
        <v>16</v>
      </c>
      <c r="J977" t="s">
        <v>77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</v>
      </c>
      <c r="Q977" t="s">
        <v>23</v>
      </c>
      <c r="R977">
        <v>0</v>
      </c>
    </row>
    <row r="978" spans="1:18">
      <c r="A978" s="4">
        <v>855599000000</v>
      </c>
      <c r="B978" t="s">
        <v>28</v>
      </c>
      <c r="C978">
        <v>55</v>
      </c>
      <c r="D978" t="s">
        <v>35</v>
      </c>
      <c r="E978" t="s">
        <v>59</v>
      </c>
      <c r="F978" s="1">
        <v>42480</v>
      </c>
      <c r="G978" s="1">
        <v>42494</v>
      </c>
      <c r="H978" t="s">
        <v>25</v>
      </c>
      <c r="I978">
        <v>14</v>
      </c>
      <c r="J978" t="s">
        <v>92</v>
      </c>
      <c r="K978">
        <v>0</v>
      </c>
      <c r="L978">
        <v>1</v>
      </c>
      <c r="M978">
        <v>1</v>
      </c>
      <c r="N978">
        <v>0</v>
      </c>
      <c r="O978">
        <v>0</v>
      </c>
      <c r="P978">
        <v>0</v>
      </c>
      <c r="Q978" t="s">
        <v>23</v>
      </c>
      <c r="R978">
        <v>0</v>
      </c>
    </row>
    <row r="979" spans="1:18">
      <c r="A979" s="4">
        <v>8583870000000</v>
      </c>
      <c r="B979" t="s">
        <v>18</v>
      </c>
      <c r="C979">
        <v>39</v>
      </c>
      <c r="D979" t="s">
        <v>27</v>
      </c>
      <c r="E979" t="s">
        <v>57</v>
      </c>
      <c r="F979" s="1">
        <v>42480</v>
      </c>
      <c r="G979" s="1">
        <v>42506</v>
      </c>
      <c r="H979" t="s">
        <v>30</v>
      </c>
      <c r="I979">
        <v>26</v>
      </c>
      <c r="J979" t="s">
        <v>77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23</v>
      </c>
      <c r="R979">
        <v>0</v>
      </c>
    </row>
    <row r="980" spans="1:18">
      <c r="A980" s="4">
        <v>282873000000000</v>
      </c>
      <c r="B980" t="s">
        <v>18</v>
      </c>
      <c r="C980">
        <v>11</v>
      </c>
      <c r="D980" t="s">
        <v>31</v>
      </c>
      <c r="E980" t="s">
        <v>59</v>
      </c>
      <c r="F980" s="1">
        <v>42480</v>
      </c>
      <c r="G980" s="1">
        <v>42506</v>
      </c>
      <c r="H980" t="s">
        <v>30</v>
      </c>
      <c r="I980">
        <v>26</v>
      </c>
      <c r="J980" t="s">
        <v>77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23</v>
      </c>
      <c r="R980">
        <v>0</v>
      </c>
    </row>
    <row r="981" spans="1:18">
      <c r="A981" s="4">
        <v>72219400000000</v>
      </c>
      <c r="B981" t="s">
        <v>28</v>
      </c>
      <c r="C981">
        <v>1</v>
      </c>
      <c r="D981" t="s">
        <v>31</v>
      </c>
      <c r="E981" t="s">
        <v>67</v>
      </c>
      <c r="F981" s="1">
        <v>42480</v>
      </c>
      <c r="G981" s="1">
        <v>42501</v>
      </c>
      <c r="H981" t="s">
        <v>25</v>
      </c>
      <c r="I981">
        <v>21</v>
      </c>
      <c r="J981" t="s">
        <v>77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 t="s">
        <v>23</v>
      </c>
      <c r="R981">
        <v>0</v>
      </c>
    </row>
    <row r="982" spans="1:18">
      <c r="A982" s="4">
        <v>77212600000000</v>
      </c>
      <c r="B982" t="s">
        <v>28</v>
      </c>
      <c r="C982">
        <v>55</v>
      </c>
      <c r="D982" t="s">
        <v>35</v>
      </c>
      <c r="E982" t="s">
        <v>59</v>
      </c>
      <c r="F982" s="1">
        <v>42480</v>
      </c>
      <c r="G982" s="1">
        <v>42501</v>
      </c>
      <c r="H982" t="s">
        <v>25</v>
      </c>
      <c r="I982">
        <v>21</v>
      </c>
      <c r="J982" t="s">
        <v>77</v>
      </c>
      <c r="K982">
        <v>0</v>
      </c>
      <c r="L982">
        <v>0</v>
      </c>
      <c r="M982">
        <v>1</v>
      </c>
      <c r="N982">
        <v>1</v>
      </c>
      <c r="O982">
        <v>0</v>
      </c>
      <c r="P982">
        <v>1</v>
      </c>
      <c r="Q982" t="s">
        <v>23</v>
      </c>
      <c r="R982">
        <v>0</v>
      </c>
    </row>
    <row r="983" spans="1:18">
      <c r="A983" s="4">
        <v>59743500000000</v>
      </c>
      <c r="B983" t="s">
        <v>18</v>
      </c>
      <c r="C983">
        <v>27</v>
      </c>
      <c r="D983" t="s">
        <v>37</v>
      </c>
      <c r="E983" t="s">
        <v>68</v>
      </c>
      <c r="F983" s="1">
        <v>42480</v>
      </c>
      <c r="G983" s="1">
        <v>42489</v>
      </c>
      <c r="H983" t="s">
        <v>21</v>
      </c>
      <c r="I983">
        <v>9</v>
      </c>
      <c r="J983" t="s">
        <v>92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1</v>
      </c>
      <c r="Q983" t="s">
        <v>26</v>
      </c>
      <c r="R983">
        <v>1</v>
      </c>
    </row>
    <row r="984" spans="1:18">
      <c r="A984" s="4">
        <v>186773000000000</v>
      </c>
      <c r="B984" t="s">
        <v>18</v>
      </c>
      <c r="C984">
        <v>6</v>
      </c>
      <c r="D984" t="s">
        <v>31</v>
      </c>
      <c r="E984" t="s">
        <v>86</v>
      </c>
      <c r="F984" s="1">
        <v>42480</v>
      </c>
      <c r="G984" s="1">
        <v>42523</v>
      </c>
      <c r="H984" t="s">
        <v>33</v>
      </c>
      <c r="I984">
        <v>43</v>
      </c>
      <c r="J984" t="s">
        <v>22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1</v>
      </c>
      <c r="Q984" t="s">
        <v>26</v>
      </c>
      <c r="R984">
        <v>1</v>
      </c>
    </row>
    <row r="985" spans="1:18">
      <c r="A985" s="4">
        <v>87692300000000</v>
      </c>
      <c r="B985" t="s">
        <v>28</v>
      </c>
      <c r="C985">
        <v>65</v>
      </c>
      <c r="D985" t="s">
        <v>35</v>
      </c>
      <c r="E985" t="s">
        <v>59</v>
      </c>
      <c r="F985" s="1">
        <v>42480</v>
      </c>
      <c r="G985" s="1">
        <v>42506</v>
      </c>
      <c r="H985" t="s">
        <v>30</v>
      </c>
      <c r="I985">
        <v>26</v>
      </c>
      <c r="J985" t="s">
        <v>77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0</v>
      </c>
      <c r="Q985" t="s">
        <v>23</v>
      </c>
      <c r="R985">
        <v>0</v>
      </c>
    </row>
    <row r="986" spans="1:18">
      <c r="A986" s="4">
        <v>22944600000000</v>
      </c>
      <c r="B986" t="s">
        <v>18</v>
      </c>
      <c r="C986">
        <v>21</v>
      </c>
      <c r="D986" t="s">
        <v>37</v>
      </c>
      <c r="E986" t="s">
        <v>48</v>
      </c>
      <c r="F986" s="1">
        <v>42480</v>
      </c>
      <c r="G986" s="1">
        <v>42506</v>
      </c>
      <c r="H986" t="s">
        <v>30</v>
      </c>
      <c r="I986">
        <v>26</v>
      </c>
      <c r="J986" t="s">
        <v>77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23</v>
      </c>
      <c r="R986">
        <v>0</v>
      </c>
    </row>
    <row r="987" spans="1:18">
      <c r="A987" s="4">
        <v>6711940000000</v>
      </c>
      <c r="B987" t="s">
        <v>28</v>
      </c>
      <c r="C987">
        <v>53</v>
      </c>
      <c r="D987" t="s">
        <v>35</v>
      </c>
      <c r="E987" t="s">
        <v>20</v>
      </c>
      <c r="F987" s="1">
        <v>42480</v>
      </c>
      <c r="G987" s="1">
        <v>42507</v>
      </c>
      <c r="H987" t="s">
        <v>41</v>
      </c>
      <c r="I987">
        <v>27</v>
      </c>
      <c r="J987" t="s">
        <v>77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23</v>
      </c>
      <c r="R987">
        <v>0</v>
      </c>
    </row>
    <row r="988" spans="1:18">
      <c r="A988" s="4">
        <v>85332200000000</v>
      </c>
      <c r="B988" t="s">
        <v>18</v>
      </c>
      <c r="C988">
        <v>52</v>
      </c>
      <c r="D988" t="s">
        <v>35</v>
      </c>
      <c r="E988" t="s">
        <v>20</v>
      </c>
      <c r="F988" s="1">
        <v>42480</v>
      </c>
      <c r="G988" s="1">
        <v>42507</v>
      </c>
      <c r="H988" t="s">
        <v>41</v>
      </c>
      <c r="I988">
        <v>27</v>
      </c>
      <c r="J988" t="s">
        <v>77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0</v>
      </c>
      <c r="Q988" t="s">
        <v>23</v>
      </c>
      <c r="R988">
        <v>0</v>
      </c>
    </row>
    <row r="989" spans="1:18">
      <c r="A989" s="4">
        <v>3335610000000</v>
      </c>
      <c r="B989" t="s">
        <v>28</v>
      </c>
      <c r="C989">
        <v>45</v>
      </c>
      <c r="D989" t="s">
        <v>27</v>
      </c>
      <c r="E989" t="s">
        <v>20</v>
      </c>
      <c r="F989" s="1">
        <v>42480</v>
      </c>
      <c r="G989" s="1">
        <v>42499</v>
      </c>
      <c r="H989" t="s">
        <v>30</v>
      </c>
      <c r="I989">
        <v>19</v>
      </c>
      <c r="J989" t="s">
        <v>77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26</v>
      </c>
      <c r="R989">
        <v>1</v>
      </c>
    </row>
    <row r="990" spans="1:18">
      <c r="A990" s="4">
        <v>8754230000000</v>
      </c>
      <c r="B990" t="s">
        <v>18</v>
      </c>
      <c r="C990">
        <v>88</v>
      </c>
      <c r="D990" t="s">
        <v>19</v>
      </c>
      <c r="E990" t="s">
        <v>72</v>
      </c>
      <c r="F990" s="1">
        <v>42480</v>
      </c>
      <c r="G990" s="1">
        <v>42514</v>
      </c>
      <c r="H990" t="s">
        <v>41</v>
      </c>
      <c r="I990">
        <v>34</v>
      </c>
      <c r="J990" t="s">
        <v>22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</v>
      </c>
      <c r="Q990" t="s">
        <v>23</v>
      </c>
      <c r="R990">
        <v>0</v>
      </c>
    </row>
    <row r="991" spans="1:18">
      <c r="A991" s="4">
        <v>717639000000000</v>
      </c>
      <c r="B991" t="s">
        <v>28</v>
      </c>
      <c r="C991">
        <v>3</v>
      </c>
      <c r="D991" t="s">
        <v>31</v>
      </c>
      <c r="E991" t="s">
        <v>59</v>
      </c>
      <c r="F991" s="1">
        <v>42480</v>
      </c>
      <c r="G991" s="1">
        <v>42508</v>
      </c>
      <c r="H991" t="s">
        <v>25</v>
      </c>
      <c r="I991">
        <v>28</v>
      </c>
      <c r="J991" t="s">
        <v>77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23</v>
      </c>
      <c r="R991">
        <v>0</v>
      </c>
    </row>
    <row r="992" spans="1:18">
      <c r="A992" s="4">
        <v>53967900000000</v>
      </c>
      <c r="B992" t="s">
        <v>18</v>
      </c>
      <c r="C992">
        <v>32</v>
      </c>
      <c r="D992" t="s">
        <v>37</v>
      </c>
      <c r="E992" t="s">
        <v>65</v>
      </c>
      <c r="F992" s="1">
        <v>42480</v>
      </c>
      <c r="G992" s="1">
        <v>42507</v>
      </c>
      <c r="H992" t="s">
        <v>41</v>
      </c>
      <c r="I992">
        <v>27</v>
      </c>
      <c r="J992" t="s">
        <v>77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Q992" t="s">
        <v>26</v>
      </c>
      <c r="R992">
        <v>1</v>
      </c>
    </row>
    <row r="993" spans="1:18">
      <c r="A993" s="4">
        <v>24886800000000</v>
      </c>
      <c r="B993" t="s">
        <v>18</v>
      </c>
      <c r="C993">
        <v>17</v>
      </c>
      <c r="D993" t="s">
        <v>60</v>
      </c>
      <c r="E993" t="s">
        <v>90</v>
      </c>
      <c r="F993" s="1">
        <v>42480</v>
      </c>
      <c r="G993" s="1">
        <v>42492</v>
      </c>
      <c r="H993" t="s">
        <v>30</v>
      </c>
      <c r="I993">
        <v>12</v>
      </c>
      <c r="J993" t="s">
        <v>92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</v>
      </c>
      <c r="Q993" t="s">
        <v>23</v>
      </c>
      <c r="R993">
        <v>0</v>
      </c>
    </row>
    <row r="994" spans="1:18">
      <c r="A994" s="4">
        <v>73678843772</v>
      </c>
      <c r="B994" t="s">
        <v>28</v>
      </c>
      <c r="C994">
        <v>51</v>
      </c>
      <c r="D994" t="s">
        <v>35</v>
      </c>
      <c r="E994" t="s">
        <v>39</v>
      </c>
      <c r="F994" s="1">
        <v>42480</v>
      </c>
      <c r="G994" s="1">
        <v>42495</v>
      </c>
      <c r="H994" t="s">
        <v>33</v>
      </c>
      <c r="I994">
        <v>15</v>
      </c>
      <c r="J994" t="s">
        <v>77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</v>
      </c>
      <c r="Q994" t="s">
        <v>26</v>
      </c>
      <c r="R994">
        <v>1</v>
      </c>
    </row>
    <row r="995" spans="1:18">
      <c r="A995" s="4">
        <v>185972000000000</v>
      </c>
      <c r="B995" t="s">
        <v>18</v>
      </c>
      <c r="C995">
        <v>67</v>
      </c>
      <c r="D995" t="s">
        <v>19</v>
      </c>
      <c r="E995" t="s">
        <v>59</v>
      </c>
      <c r="F995" s="1">
        <v>42480</v>
      </c>
      <c r="G995" s="1">
        <v>42503</v>
      </c>
      <c r="H995" t="s">
        <v>21</v>
      </c>
      <c r="I995">
        <v>23</v>
      </c>
      <c r="J995" t="s">
        <v>77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 t="s">
        <v>23</v>
      </c>
      <c r="R995">
        <v>0</v>
      </c>
    </row>
    <row r="996" spans="1:18">
      <c r="A996" s="4">
        <v>64531566774</v>
      </c>
      <c r="B996" t="s">
        <v>18</v>
      </c>
      <c r="C996">
        <v>55</v>
      </c>
      <c r="D996" t="s">
        <v>35</v>
      </c>
      <c r="E996" t="s">
        <v>20</v>
      </c>
      <c r="F996" s="1">
        <v>42480</v>
      </c>
      <c r="G996" s="1">
        <v>42509</v>
      </c>
      <c r="H996" t="s">
        <v>33</v>
      </c>
      <c r="I996">
        <v>29</v>
      </c>
      <c r="J996" t="s">
        <v>77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23</v>
      </c>
      <c r="R996">
        <v>0</v>
      </c>
    </row>
    <row r="997" spans="1:18">
      <c r="A997" s="4">
        <v>11549900000000</v>
      </c>
      <c r="B997" t="s">
        <v>18</v>
      </c>
      <c r="C997">
        <v>55</v>
      </c>
      <c r="D997" t="s">
        <v>35</v>
      </c>
      <c r="E997" t="s">
        <v>20</v>
      </c>
      <c r="F997" s="1">
        <v>42480</v>
      </c>
      <c r="G997" s="1">
        <v>42502</v>
      </c>
      <c r="H997" t="s">
        <v>33</v>
      </c>
      <c r="I997">
        <v>22</v>
      </c>
      <c r="J997" t="s">
        <v>77</v>
      </c>
      <c r="K997">
        <v>0</v>
      </c>
      <c r="L997">
        <v>1</v>
      </c>
      <c r="M997">
        <v>1</v>
      </c>
      <c r="N997">
        <v>0</v>
      </c>
      <c r="O997">
        <v>0</v>
      </c>
      <c r="P997">
        <v>1</v>
      </c>
      <c r="Q997" t="s">
        <v>23</v>
      </c>
      <c r="R997">
        <v>0</v>
      </c>
    </row>
    <row r="998" spans="1:18">
      <c r="A998" s="4">
        <v>9652490000000</v>
      </c>
      <c r="B998" t="s">
        <v>28</v>
      </c>
      <c r="C998">
        <v>84</v>
      </c>
      <c r="D998" t="s">
        <v>19</v>
      </c>
      <c r="E998" t="s">
        <v>59</v>
      </c>
      <c r="F998" s="1">
        <v>42480</v>
      </c>
      <c r="G998" s="1">
        <v>42501</v>
      </c>
      <c r="H998" t="s">
        <v>25</v>
      </c>
      <c r="I998">
        <v>21</v>
      </c>
      <c r="J998" t="s">
        <v>77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0</v>
      </c>
      <c r="Q998" t="s">
        <v>23</v>
      </c>
      <c r="R998">
        <v>0</v>
      </c>
    </row>
    <row r="999" spans="1:18">
      <c r="A999" s="4">
        <v>1399970000000</v>
      </c>
      <c r="B999" t="s">
        <v>18</v>
      </c>
      <c r="C999">
        <v>35</v>
      </c>
      <c r="D999" t="s">
        <v>37</v>
      </c>
      <c r="E999" t="s">
        <v>40</v>
      </c>
      <c r="F999" s="1">
        <v>42480</v>
      </c>
      <c r="G999" s="1">
        <v>42495</v>
      </c>
      <c r="H999" t="s">
        <v>33</v>
      </c>
      <c r="I999">
        <v>15</v>
      </c>
      <c r="J999" t="s">
        <v>77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</v>
      </c>
      <c r="Q999" t="s">
        <v>23</v>
      </c>
      <c r="R999">
        <v>0</v>
      </c>
    </row>
    <row r="1000" spans="1:18">
      <c r="A1000" s="4">
        <v>211769000000000</v>
      </c>
      <c r="B1000" t="s">
        <v>28</v>
      </c>
      <c r="C1000">
        <v>58</v>
      </c>
      <c r="D1000" t="s">
        <v>35</v>
      </c>
      <c r="E1000" t="s">
        <v>59</v>
      </c>
      <c r="F1000" s="1">
        <v>42480</v>
      </c>
      <c r="G1000" s="1">
        <v>42507</v>
      </c>
      <c r="H1000" t="s">
        <v>41</v>
      </c>
      <c r="I1000">
        <v>27</v>
      </c>
      <c r="J1000" t="s">
        <v>77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26</v>
      </c>
      <c r="R1000">
        <v>1</v>
      </c>
    </row>
    <row r="1001" spans="1:18">
      <c r="A1001" s="4">
        <v>529156000000000</v>
      </c>
      <c r="B1001" t="s">
        <v>18</v>
      </c>
      <c r="C1001">
        <v>57</v>
      </c>
      <c r="D1001" t="s">
        <v>35</v>
      </c>
      <c r="E1001" t="s">
        <v>59</v>
      </c>
      <c r="F1001" s="1">
        <v>42480</v>
      </c>
      <c r="G1001" s="1">
        <v>42507</v>
      </c>
      <c r="H1001" t="s">
        <v>41</v>
      </c>
      <c r="I1001">
        <v>27</v>
      </c>
      <c r="J1001" t="s">
        <v>77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26</v>
      </c>
      <c r="R1001">
        <v>1</v>
      </c>
    </row>
    <row r="1002" spans="1:18">
      <c r="A1002" s="4">
        <v>832145000000000</v>
      </c>
      <c r="B1002" t="s">
        <v>18</v>
      </c>
      <c r="C1002">
        <v>10</v>
      </c>
      <c r="D1002" t="s">
        <v>31</v>
      </c>
      <c r="E1002" t="s">
        <v>20</v>
      </c>
      <c r="F1002" s="1">
        <v>42480</v>
      </c>
      <c r="G1002" s="1">
        <v>42507</v>
      </c>
      <c r="H1002" t="s">
        <v>41</v>
      </c>
      <c r="I1002">
        <v>27</v>
      </c>
      <c r="J1002" t="s">
        <v>77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23</v>
      </c>
      <c r="R1002">
        <v>0</v>
      </c>
    </row>
    <row r="1003" spans="1:18">
      <c r="A1003" s="4">
        <v>82814800000000</v>
      </c>
      <c r="B1003" t="s">
        <v>18</v>
      </c>
      <c r="C1003">
        <v>50</v>
      </c>
      <c r="D1003" t="s">
        <v>27</v>
      </c>
      <c r="E1003" t="s">
        <v>59</v>
      </c>
      <c r="F1003" s="1">
        <v>42480</v>
      </c>
      <c r="G1003" s="1">
        <v>42514</v>
      </c>
      <c r="H1003" t="s">
        <v>41</v>
      </c>
      <c r="I1003">
        <v>34</v>
      </c>
      <c r="J1003" t="s">
        <v>22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1</v>
      </c>
      <c r="Q1003" t="s">
        <v>23</v>
      </c>
      <c r="R1003">
        <v>0</v>
      </c>
    </row>
    <row r="1004" spans="1:18">
      <c r="A1004" s="4">
        <v>3915320000000</v>
      </c>
      <c r="B1004" t="s">
        <v>18</v>
      </c>
      <c r="C1004">
        <v>42</v>
      </c>
      <c r="D1004" t="s">
        <v>27</v>
      </c>
      <c r="E1004" t="s">
        <v>59</v>
      </c>
      <c r="F1004" s="1">
        <v>42480</v>
      </c>
      <c r="G1004" s="1">
        <v>42492</v>
      </c>
      <c r="H1004" t="s">
        <v>30</v>
      </c>
      <c r="I1004">
        <v>12</v>
      </c>
      <c r="J1004" t="s">
        <v>92</v>
      </c>
      <c r="K1004">
        <v>1</v>
      </c>
      <c r="L1004">
        <v>0</v>
      </c>
      <c r="M1004">
        <v>1</v>
      </c>
      <c r="N1004">
        <v>0</v>
      </c>
      <c r="O1004">
        <v>0</v>
      </c>
      <c r="P1004">
        <v>1</v>
      </c>
      <c r="Q1004" t="s">
        <v>26</v>
      </c>
      <c r="R1004">
        <v>1</v>
      </c>
    </row>
    <row r="1005" spans="1:18">
      <c r="A1005" s="4">
        <v>785738000000000</v>
      </c>
      <c r="B1005" t="s">
        <v>28</v>
      </c>
      <c r="C1005">
        <v>21</v>
      </c>
      <c r="D1005" t="s">
        <v>37</v>
      </c>
      <c r="E1005" t="s">
        <v>59</v>
      </c>
      <c r="F1005" s="1">
        <v>42480</v>
      </c>
      <c r="G1005" s="1">
        <v>42509</v>
      </c>
      <c r="H1005" t="s">
        <v>33</v>
      </c>
      <c r="I1005">
        <v>29</v>
      </c>
      <c r="J1005" t="s">
        <v>77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23</v>
      </c>
      <c r="R1005">
        <v>0</v>
      </c>
    </row>
    <row r="1006" spans="1:18">
      <c r="A1006" s="4">
        <v>531725000000000</v>
      </c>
      <c r="B1006" t="s">
        <v>18</v>
      </c>
      <c r="C1006">
        <v>1</v>
      </c>
      <c r="D1006" t="s">
        <v>31</v>
      </c>
      <c r="E1006" t="s">
        <v>20</v>
      </c>
      <c r="F1006" s="1">
        <v>42480</v>
      </c>
      <c r="G1006" s="1">
        <v>42492</v>
      </c>
      <c r="H1006" t="s">
        <v>30</v>
      </c>
      <c r="I1006">
        <v>12</v>
      </c>
      <c r="J1006" t="s">
        <v>92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 t="s">
        <v>26</v>
      </c>
      <c r="R1006">
        <v>1</v>
      </c>
    </row>
    <row r="1007" spans="1:18">
      <c r="A1007" s="4">
        <v>7311760000000</v>
      </c>
      <c r="B1007" t="s">
        <v>18</v>
      </c>
      <c r="C1007">
        <v>18</v>
      </c>
      <c r="D1007" t="s">
        <v>37</v>
      </c>
      <c r="E1007" t="s">
        <v>67</v>
      </c>
      <c r="F1007" s="1">
        <v>42480</v>
      </c>
      <c r="G1007" s="1">
        <v>42509</v>
      </c>
      <c r="H1007" t="s">
        <v>33</v>
      </c>
      <c r="I1007">
        <v>29</v>
      </c>
      <c r="J1007" t="s">
        <v>77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23</v>
      </c>
      <c r="R1007">
        <v>0</v>
      </c>
    </row>
    <row r="1008" spans="1:18">
      <c r="A1008" s="4">
        <v>55182100000000</v>
      </c>
      <c r="B1008" t="s">
        <v>28</v>
      </c>
      <c r="C1008">
        <v>45</v>
      </c>
      <c r="D1008" t="s">
        <v>27</v>
      </c>
      <c r="E1008" t="s">
        <v>79</v>
      </c>
      <c r="F1008" s="1">
        <v>42480</v>
      </c>
      <c r="G1008" s="1">
        <v>42508</v>
      </c>
      <c r="H1008" t="s">
        <v>25</v>
      </c>
      <c r="I1008">
        <v>28</v>
      </c>
      <c r="J1008" t="s">
        <v>77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26</v>
      </c>
      <c r="R1008">
        <v>1</v>
      </c>
    </row>
    <row r="1009" spans="1:18">
      <c r="A1009" s="4">
        <v>8597290000000</v>
      </c>
      <c r="B1009" t="s">
        <v>18</v>
      </c>
      <c r="C1009">
        <v>24</v>
      </c>
      <c r="D1009" t="s">
        <v>37</v>
      </c>
      <c r="E1009" t="s">
        <v>72</v>
      </c>
      <c r="F1009" s="1">
        <v>42480</v>
      </c>
      <c r="G1009" s="1">
        <v>42502</v>
      </c>
      <c r="H1009" t="s">
        <v>33</v>
      </c>
      <c r="I1009">
        <v>22</v>
      </c>
      <c r="J1009" t="s">
        <v>77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</v>
      </c>
      <c r="Q1009" t="s">
        <v>26</v>
      </c>
      <c r="R1009">
        <v>1</v>
      </c>
    </row>
    <row r="1010" spans="1:18">
      <c r="A1010" s="4">
        <v>23955800000000</v>
      </c>
      <c r="B1010" t="s">
        <v>18</v>
      </c>
      <c r="C1010">
        <v>52</v>
      </c>
      <c r="D1010" t="s">
        <v>35</v>
      </c>
      <c r="E1010" t="s">
        <v>104</v>
      </c>
      <c r="F1010" s="1">
        <v>42480</v>
      </c>
      <c r="G1010" s="1">
        <v>42495</v>
      </c>
      <c r="H1010" t="s">
        <v>33</v>
      </c>
      <c r="I1010">
        <v>15</v>
      </c>
      <c r="J1010" t="s">
        <v>77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1</v>
      </c>
      <c r="Q1010" t="s">
        <v>26</v>
      </c>
      <c r="R1010">
        <v>1</v>
      </c>
    </row>
    <row r="1011" spans="1:18">
      <c r="A1011" s="4">
        <v>241669000000000</v>
      </c>
      <c r="B1011" t="s">
        <v>28</v>
      </c>
      <c r="C1011">
        <v>35</v>
      </c>
      <c r="D1011" t="s">
        <v>37</v>
      </c>
      <c r="E1011" t="s">
        <v>76</v>
      </c>
      <c r="F1011" s="1">
        <v>42480</v>
      </c>
      <c r="G1011" s="1">
        <v>42500</v>
      </c>
      <c r="H1011" t="s">
        <v>41</v>
      </c>
      <c r="I1011">
        <v>20</v>
      </c>
      <c r="J1011" t="s">
        <v>77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</v>
      </c>
      <c r="Q1011" t="s">
        <v>23</v>
      </c>
      <c r="R1011">
        <v>0</v>
      </c>
    </row>
    <row r="1012" spans="1:18">
      <c r="A1012" s="4">
        <v>71823700000000</v>
      </c>
      <c r="B1012" t="s">
        <v>18</v>
      </c>
      <c r="C1012">
        <v>47</v>
      </c>
      <c r="D1012" t="s">
        <v>27</v>
      </c>
      <c r="E1012" t="s">
        <v>40</v>
      </c>
      <c r="F1012" s="1">
        <v>42480</v>
      </c>
      <c r="G1012" s="1">
        <v>42506</v>
      </c>
      <c r="H1012" t="s">
        <v>30</v>
      </c>
      <c r="I1012">
        <v>26</v>
      </c>
      <c r="J1012" t="s">
        <v>77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 t="s">
        <v>23</v>
      </c>
      <c r="R1012">
        <v>0</v>
      </c>
    </row>
    <row r="1013" spans="1:18">
      <c r="A1013" s="4">
        <v>36655200000000</v>
      </c>
      <c r="B1013" t="s">
        <v>18</v>
      </c>
      <c r="C1013">
        <v>5</v>
      </c>
      <c r="D1013" t="s">
        <v>31</v>
      </c>
      <c r="E1013" t="s">
        <v>59</v>
      </c>
      <c r="F1013" s="1">
        <v>42480</v>
      </c>
      <c r="G1013" s="1">
        <v>42521</v>
      </c>
      <c r="H1013" t="s">
        <v>41</v>
      </c>
      <c r="I1013">
        <v>41</v>
      </c>
      <c r="J1013" t="s">
        <v>22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26</v>
      </c>
      <c r="R1013">
        <v>1</v>
      </c>
    </row>
    <row r="1014" spans="1:18">
      <c r="A1014" s="4">
        <v>46717600000000</v>
      </c>
      <c r="B1014" t="s">
        <v>18</v>
      </c>
      <c r="C1014">
        <v>29</v>
      </c>
      <c r="D1014" t="s">
        <v>37</v>
      </c>
      <c r="E1014" t="s">
        <v>94</v>
      </c>
      <c r="F1014" s="1">
        <v>42480</v>
      </c>
      <c r="G1014" s="1">
        <v>42500</v>
      </c>
      <c r="H1014" t="s">
        <v>41</v>
      </c>
      <c r="I1014">
        <v>20</v>
      </c>
      <c r="J1014" t="s">
        <v>77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1</v>
      </c>
      <c r="Q1014" t="s">
        <v>23</v>
      </c>
      <c r="R1014">
        <v>0</v>
      </c>
    </row>
    <row r="1015" spans="1:18">
      <c r="A1015" s="4">
        <v>61924200000000</v>
      </c>
      <c r="B1015" t="s">
        <v>28</v>
      </c>
      <c r="C1015">
        <v>8</v>
      </c>
      <c r="D1015" t="s">
        <v>31</v>
      </c>
      <c r="E1015" t="s">
        <v>71</v>
      </c>
      <c r="F1015" s="1">
        <v>42480</v>
      </c>
      <c r="G1015" s="1">
        <v>42494</v>
      </c>
      <c r="H1015" t="s">
        <v>25</v>
      </c>
      <c r="I1015">
        <v>14</v>
      </c>
      <c r="J1015" t="s">
        <v>92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23</v>
      </c>
      <c r="R1015">
        <v>0</v>
      </c>
    </row>
    <row r="1016" spans="1:18">
      <c r="A1016" s="4">
        <v>5576380000000</v>
      </c>
      <c r="B1016" t="s">
        <v>18</v>
      </c>
      <c r="C1016">
        <v>50</v>
      </c>
      <c r="D1016" t="s">
        <v>27</v>
      </c>
      <c r="E1016" t="s">
        <v>84</v>
      </c>
      <c r="F1016" s="1">
        <v>42480</v>
      </c>
      <c r="G1016" s="1">
        <v>42495</v>
      </c>
      <c r="H1016" t="s">
        <v>33</v>
      </c>
      <c r="I1016">
        <v>15</v>
      </c>
      <c r="J1016" t="s">
        <v>77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1</v>
      </c>
      <c r="Q1016" t="s">
        <v>26</v>
      </c>
      <c r="R1016">
        <v>1</v>
      </c>
    </row>
    <row r="1017" spans="1:18">
      <c r="A1017" s="4">
        <v>79268400000000</v>
      </c>
      <c r="B1017" t="s">
        <v>18</v>
      </c>
      <c r="C1017">
        <v>59</v>
      </c>
      <c r="D1017" t="s">
        <v>35</v>
      </c>
      <c r="E1017" t="s">
        <v>75</v>
      </c>
      <c r="F1017" s="1">
        <v>42480</v>
      </c>
      <c r="G1017" s="1">
        <v>42508</v>
      </c>
      <c r="H1017" t="s">
        <v>25</v>
      </c>
      <c r="I1017">
        <v>28</v>
      </c>
      <c r="J1017" t="s">
        <v>77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0</v>
      </c>
      <c r="Q1017" t="s">
        <v>26</v>
      </c>
      <c r="R1017">
        <v>1</v>
      </c>
    </row>
    <row r="1018" spans="1:18">
      <c r="A1018" s="4">
        <v>9789480000000</v>
      </c>
      <c r="B1018" t="s">
        <v>28</v>
      </c>
      <c r="C1018">
        <v>36</v>
      </c>
      <c r="D1018" t="s">
        <v>27</v>
      </c>
      <c r="E1018" t="s">
        <v>45</v>
      </c>
      <c r="F1018" s="1">
        <v>42480</v>
      </c>
      <c r="G1018" s="1">
        <v>42503</v>
      </c>
      <c r="H1018" t="s">
        <v>21</v>
      </c>
      <c r="I1018">
        <v>23</v>
      </c>
      <c r="J1018" t="s">
        <v>77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26</v>
      </c>
      <c r="R1018">
        <v>1</v>
      </c>
    </row>
    <row r="1019" spans="1:18">
      <c r="A1019" s="4">
        <v>413979000000000</v>
      </c>
      <c r="B1019" t="s">
        <v>18</v>
      </c>
      <c r="C1019">
        <v>70</v>
      </c>
      <c r="D1019" t="s">
        <v>19</v>
      </c>
      <c r="E1019" t="s">
        <v>29</v>
      </c>
      <c r="F1019" s="1">
        <v>42480</v>
      </c>
      <c r="G1019" s="1">
        <v>42495</v>
      </c>
      <c r="H1019" t="s">
        <v>33</v>
      </c>
      <c r="I1019">
        <v>15</v>
      </c>
      <c r="J1019" t="s">
        <v>77</v>
      </c>
      <c r="K1019">
        <v>0</v>
      </c>
      <c r="L1019">
        <v>1</v>
      </c>
      <c r="M1019">
        <v>1</v>
      </c>
      <c r="N1019">
        <v>0</v>
      </c>
      <c r="O1019">
        <v>0</v>
      </c>
      <c r="P1019">
        <v>0</v>
      </c>
      <c r="Q1019" t="s">
        <v>26</v>
      </c>
      <c r="R1019">
        <v>1</v>
      </c>
    </row>
    <row r="1020" spans="1:18">
      <c r="A1020" s="4">
        <v>395575000000000</v>
      </c>
      <c r="B1020" t="s">
        <v>18</v>
      </c>
      <c r="C1020">
        <v>36</v>
      </c>
      <c r="D1020" t="s">
        <v>27</v>
      </c>
      <c r="E1020" t="s">
        <v>39</v>
      </c>
      <c r="F1020" s="1">
        <v>42480</v>
      </c>
      <c r="G1020" s="1">
        <v>42501</v>
      </c>
      <c r="H1020" t="s">
        <v>25</v>
      </c>
      <c r="I1020">
        <v>21</v>
      </c>
      <c r="J1020" t="s">
        <v>77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 t="s">
        <v>23</v>
      </c>
      <c r="R1020">
        <v>0</v>
      </c>
    </row>
    <row r="1021" spans="1:18">
      <c r="A1021" s="4">
        <v>395575000000000</v>
      </c>
      <c r="B1021" t="s">
        <v>18</v>
      </c>
      <c r="C1021">
        <v>36</v>
      </c>
      <c r="D1021" t="s">
        <v>27</v>
      </c>
      <c r="E1021" t="s">
        <v>39</v>
      </c>
      <c r="F1021" s="1">
        <v>42480</v>
      </c>
      <c r="G1021" s="1">
        <v>42508</v>
      </c>
      <c r="H1021" t="s">
        <v>25</v>
      </c>
      <c r="I1021">
        <v>28</v>
      </c>
      <c r="J1021" t="s">
        <v>77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26</v>
      </c>
      <c r="R1021">
        <v>1</v>
      </c>
    </row>
    <row r="1022" spans="1:18">
      <c r="A1022" s="4">
        <v>6141170000000</v>
      </c>
      <c r="B1022" t="s">
        <v>28</v>
      </c>
      <c r="C1022">
        <v>24</v>
      </c>
      <c r="D1022" t="s">
        <v>37</v>
      </c>
      <c r="E1022" t="s">
        <v>65</v>
      </c>
      <c r="F1022" s="1">
        <v>42480</v>
      </c>
      <c r="G1022" s="1">
        <v>42500</v>
      </c>
      <c r="H1022" t="s">
        <v>41</v>
      </c>
      <c r="I1022">
        <v>20</v>
      </c>
      <c r="J1022" t="s">
        <v>77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</v>
      </c>
      <c r="Q1022" t="s">
        <v>26</v>
      </c>
      <c r="R1022">
        <v>1</v>
      </c>
    </row>
    <row r="1023" spans="1:18">
      <c r="A1023" s="4">
        <v>342477000000000</v>
      </c>
      <c r="B1023" t="s">
        <v>28</v>
      </c>
      <c r="C1023">
        <v>70</v>
      </c>
      <c r="D1023" t="s">
        <v>19</v>
      </c>
      <c r="E1023" t="s">
        <v>36</v>
      </c>
      <c r="F1023" s="1">
        <v>42480</v>
      </c>
      <c r="G1023" s="1">
        <v>42501</v>
      </c>
      <c r="H1023" t="s">
        <v>25</v>
      </c>
      <c r="I1023">
        <v>21</v>
      </c>
      <c r="J1023" t="s">
        <v>77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</v>
      </c>
      <c r="Q1023" t="s">
        <v>23</v>
      </c>
      <c r="R1023">
        <v>0</v>
      </c>
    </row>
    <row r="1024" spans="1:18">
      <c r="A1024" s="4">
        <v>78826300000000</v>
      </c>
      <c r="B1024" t="s">
        <v>18</v>
      </c>
      <c r="C1024">
        <v>30</v>
      </c>
      <c r="D1024" t="s">
        <v>37</v>
      </c>
      <c r="E1024" t="s">
        <v>72</v>
      </c>
      <c r="F1024" s="1">
        <v>42480</v>
      </c>
      <c r="G1024" s="1">
        <v>42492</v>
      </c>
      <c r="H1024" t="s">
        <v>30</v>
      </c>
      <c r="I1024">
        <v>12</v>
      </c>
      <c r="J1024" t="s">
        <v>92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1</v>
      </c>
      <c r="Q1024" t="s">
        <v>26</v>
      </c>
      <c r="R1024">
        <v>1</v>
      </c>
    </row>
    <row r="1025" spans="1:18">
      <c r="A1025" s="4">
        <v>931873000000000</v>
      </c>
      <c r="B1025" t="s">
        <v>28</v>
      </c>
      <c r="C1025">
        <v>10</v>
      </c>
      <c r="D1025" t="s">
        <v>31</v>
      </c>
      <c r="E1025" t="s">
        <v>20</v>
      </c>
      <c r="F1025" s="1">
        <v>42480</v>
      </c>
      <c r="G1025" s="1">
        <v>42493</v>
      </c>
      <c r="H1025" t="s">
        <v>41</v>
      </c>
      <c r="I1025">
        <v>13</v>
      </c>
      <c r="J1025" t="s">
        <v>92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</v>
      </c>
      <c r="Q1025" t="s">
        <v>23</v>
      </c>
      <c r="R1025">
        <v>0</v>
      </c>
    </row>
    <row r="1026" spans="1:18">
      <c r="A1026" s="4">
        <v>83277800000000</v>
      </c>
      <c r="B1026" t="s">
        <v>18</v>
      </c>
      <c r="C1026">
        <v>33</v>
      </c>
      <c r="D1026" t="s">
        <v>37</v>
      </c>
      <c r="E1026" t="s">
        <v>91</v>
      </c>
      <c r="F1026" s="1">
        <v>42480</v>
      </c>
      <c r="G1026" s="1">
        <v>42499</v>
      </c>
      <c r="H1026" t="s">
        <v>30</v>
      </c>
      <c r="I1026">
        <v>19</v>
      </c>
      <c r="J1026" t="s">
        <v>77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23</v>
      </c>
      <c r="R1026">
        <v>0</v>
      </c>
    </row>
    <row r="1027" spans="1:18">
      <c r="A1027" s="4">
        <v>9494190000000</v>
      </c>
      <c r="B1027" t="s">
        <v>28</v>
      </c>
      <c r="C1027">
        <v>42</v>
      </c>
      <c r="D1027" t="s">
        <v>27</v>
      </c>
      <c r="E1027" t="s">
        <v>91</v>
      </c>
      <c r="F1027" s="1">
        <v>42480</v>
      </c>
      <c r="G1027" s="1">
        <v>42494</v>
      </c>
      <c r="H1027" t="s">
        <v>25</v>
      </c>
      <c r="I1027">
        <v>14</v>
      </c>
      <c r="J1027" t="s">
        <v>92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</v>
      </c>
      <c r="Q1027" t="s">
        <v>23</v>
      </c>
      <c r="R1027">
        <v>0</v>
      </c>
    </row>
    <row r="1028" spans="1:18">
      <c r="A1028" s="4">
        <v>893298000000</v>
      </c>
      <c r="B1028" t="s">
        <v>28</v>
      </c>
      <c r="C1028">
        <v>27</v>
      </c>
      <c r="D1028" t="s">
        <v>37</v>
      </c>
      <c r="E1028" t="s">
        <v>59</v>
      </c>
      <c r="F1028" s="1">
        <v>42480</v>
      </c>
      <c r="G1028" s="1">
        <v>42508</v>
      </c>
      <c r="H1028" t="s">
        <v>25</v>
      </c>
      <c r="I1028">
        <v>28</v>
      </c>
      <c r="J1028" t="s">
        <v>77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23</v>
      </c>
      <c r="R1028">
        <v>0</v>
      </c>
    </row>
    <row r="1029" spans="1:18">
      <c r="A1029" s="4">
        <v>773387000000000</v>
      </c>
      <c r="B1029" t="s">
        <v>18</v>
      </c>
      <c r="C1029">
        <v>34</v>
      </c>
      <c r="D1029" t="s">
        <v>37</v>
      </c>
      <c r="E1029" t="s">
        <v>59</v>
      </c>
      <c r="F1029" s="1">
        <v>42480</v>
      </c>
      <c r="G1029" s="1">
        <v>42507</v>
      </c>
      <c r="H1029" t="s">
        <v>41</v>
      </c>
      <c r="I1029">
        <v>27</v>
      </c>
      <c r="J1029" t="s">
        <v>77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26</v>
      </c>
      <c r="R1029">
        <v>1</v>
      </c>
    </row>
    <row r="1030" spans="1:18">
      <c r="A1030" s="4">
        <v>41617600000000</v>
      </c>
      <c r="B1030" t="s">
        <v>18</v>
      </c>
      <c r="C1030">
        <v>50</v>
      </c>
      <c r="D1030" t="s">
        <v>27</v>
      </c>
      <c r="E1030" t="s">
        <v>61</v>
      </c>
      <c r="F1030" s="1">
        <v>42480</v>
      </c>
      <c r="G1030" s="1">
        <v>42523</v>
      </c>
      <c r="H1030" t="s">
        <v>33</v>
      </c>
      <c r="I1030">
        <v>43</v>
      </c>
      <c r="J1030" t="s">
        <v>22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1</v>
      </c>
      <c r="Q1030" t="s">
        <v>26</v>
      </c>
      <c r="R1030">
        <v>1</v>
      </c>
    </row>
    <row r="1031" spans="1:18">
      <c r="A1031" s="4">
        <v>897634000000000</v>
      </c>
      <c r="B1031" t="s">
        <v>18</v>
      </c>
      <c r="C1031">
        <v>15</v>
      </c>
      <c r="D1031" t="s">
        <v>60</v>
      </c>
      <c r="E1031" t="s">
        <v>72</v>
      </c>
      <c r="F1031" s="1">
        <v>42480</v>
      </c>
      <c r="G1031" s="1">
        <v>42520</v>
      </c>
      <c r="H1031" t="s">
        <v>30</v>
      </c>
      <c r="I1031">
        <v>40</v>
      </c>
      <c r="J1031" t="s">
        <v>22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</v>
      </c>
      <c r="Q1031" t="s">
        <v>26</v>
      </c>
      <c r="R1031">
        <v>1</v>
      </c>
    </row>
    <row r="1032" spans="1:18">
      <c r="A1032" s="4">
        <v>369270000000000</v>
      </c>
      <c r="B1032" t="s">
        <v>28</v>
      </c>
      <c r="C1032">
        <v>63</v>
      </c>
      <c r="D1032" t="s">
        <v>35</v>
      </c>
      <c r="E1032" t="s">
        <v>59</v>
      </c>
      <c r="F1032" s="1">
        <v>42480</v>
      </c>
      <c r="G1032" s="1">
        <v>42521</v>
      </c>
      <c r="H1032" t="s">
        <v>41</v>
      </c>
      <c r="I1032">
        <v>41</v>
      </c>
      <c r="J1032" t="s">
        <v>22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 t="s">
        <v>23</v>
      </c>
      <c r="R1032">
        <v>0</v>
      </c>
    </row>
    <row r="1033" spans="1:18">
      <c r="A1033" s="4">
        <v>458184000000</v>
      </c>
      <c r="B1033" t="s">
        <v>18</v>
      </c>
      <c r="C1033">
        <v>39</v>
      </c>
      <c r="D1033" t="s">
        <v>27</v>
      </c>
      <c r="E1033" t="s">
        <v>29</v>
      </c>
      <c r="F1033" s="1">
        <v>42480</v>
      </c>
      <c r="G1033" s="1">
        <v>42509</v>
      </c>
      <c r="H1033" t="s">
        <v>33</v>
      </c>
      <c r="I1033">
        <v>29</v>
      </c>
      <c r="J1033" t="s">
        <v>77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23</v>
      </c>
      <c r="R1033">
        <v>0</v>
      </c>
    </row>
    <row r="1034" spans="1:18">
      <c r="A1034" s="4">
        <v>2139840000000</v>
      </c>
      <c r="B1034" t="s">
        <v>18</v>
      </c>
      <c r="C1034">
        <v>46</v>
      </c>
      <c r="D1034" t="s">
        <v>27</v>
      </c>
      <c r="E1034" t="s">
        <v>50</v>
      </c>
      <c r="F1034" s="1">
        <v>42480</v>
      </c>
      <c r="G1034" s="1">
        <v>42493</v>
      </c>
      <c r="H1034" t="s">
        <v>41</v>
      </c>
      <c r="I1034">
        <v>13</v>
      </c>
      <c r="J1034" t="s">
        <v>92</v>
      </c>
      <c r="K1034">
        <v>0</v>
      </c>
      <c r="L1034">
        <v>1</v>
      </c>
      <c r="M1034">
        <v>1</v>
      </c>
      <c r="N1034">
        <v>0</v>
      </c>
      <c r="O1034">
        <v>0</v>
      </c>
      <c r="P1034">
        <v>1</v>
      </c>
      <c r="Q1034" t="s">
        <v>23</v>
      </c>
      <c r="R1034">
        <v>0</v>
      </c>
    </row>
    <row r="1035" spans="1:18">
      <c r="A1035" s="4">
        <v>186773000000000</v>
      </c>
      <c r="B1035" t="s">
        <v>18</v>
      </c>
      <c r="C1035">
        <v>6</v>
      </c>
      <c r="D1035" t="s">
        <v>31</v>
      </c>
      <c r="E1035" t="s">
        <v>86</v>
      </c>
      <c r="F1035" s="1">
        <v>42480</v>
      </c>
      <c r="G1035" s="1">
        <v>42495</v>
      </c>
      <c r="H1035" t="s">
        <v>33</v>
      </c>
      <c r="I1035">
        <v>15</v>
      </c>
      <c r="J1035" t="s">
        <v>77</v>
      </c>
      <c r="K1035">
        <v>1</v>
      </c>
      <c r="L1035">
        <v>0</v>
      </c>
      <c r="M1035">
        <v>0</v>
      </c>
      <c r="N1035">
        <v>0</v>
      </c>
      <c r="O1035">
        <v>0</v>
      </c>
      <c r="P1035">
        <v>1</v>
      </c>
      <c r="Q1035" t="s">
        <v>26</v>
      </c>
      <c r="R1035">
        <v>1</v>
      </c>
    </row>
    <row r="1036" spans="1:18">
      <c r="A1036" s="4">
        <v>31497900000000</v>
      </c>
      <c r="B1036" t="s">
        <v>28</v>
      </c>
      <c r="C1036">
        <v>31</v>
      </c>
      <c r="D1036" t="s">
        <v>37</v>
      </c>
      <c r="E1036" t="s">
        <v>105</v>
      </c>
      <c r="F1036" s="1">
        <v>42480</v>
      </c>
      <c r="G1036" s="1">
        <v>42510</v>
      </c>
      <c r="H1036" t="s">
        <v>21</v>
      </c>
      <c r="I1036">
        <v>30</v>
      </c>
      <c r="J1036" t="s">
        <v>77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0</v>
      </c>
      <c r="Q1036" t="s">
        <v>23</v>
      </c>
      <c r="R1036">
        <v>0</v>
      </c>
    </row>
    <row r="1037" spans="1:18">
      <c r="A1037" s="4">
        <v>88224000000000</v>
      </c>
      <c r="B1037" t="s">
        <v>28</v>
      </c>
      <c r="C1037">
        <v>49</v>
      </c>
      <c r="D1037" t="s">
        <v>27</v>
      </c>
      <c r="E1037" t="s">
        <v>55</v>
      </c>
      <c r="F1037" s="1">
        <v>42480</v>
      </c>
      <c r="G1037" s="1">
        <v>42528</v>
      </c>
      <c r="H1037" t="s">
        <v>41</v>
      </c>
      <c r="I1037">
        <v>48</v>
      </c>
      <c r="J1037" t="s">
        <v>22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0</v>
      </c>
      <c r="Q1037" t="s">
        <v>26</v>
      </c>
      <c r="R1037">
        <v>1</v>
      </c>
    </row>
    <row r="1038" spans="1:18">
      <c r="A1038" s="4">
        <v>3649920000000</v>
      </c>
      <c r="B1038" t="s">
        <v>28</v>
      </c>
      <c r="C1038">
        <v>62</v>
      </c>
      <c r="D1038" t="s">
        <v>35</v>
      </c>
      <c r="E1038" t="s">
        <v>47</v>
      </c>
      <c r="F1038" s="1">
        <v>42480</v>
      </c>
      <c r="G1038" s="1">
        <v>42492</v>
      </c>
      <c r="H1038" t="s">
        <v>30</v>
      </c>
      <c r="I1038">
        <v>12</v>
      </c>
      <c r="J1038" t="s">
        <v>92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23</v>
      </c>
      <c r="R1038">
        <v>0</v>
      </c>
    </row>
    <row r="1039" spans="1:18">
      <c r="A1039" s="4">
        <v>1825350000000</v>
      </c>
      <c r="B1039" t="s">
        <v>18</v>
      </c>
      <c r="C1039">
        <v>32</v>
      </c>
      <c r="D1039" t="s">
        <v>37</v>
      </c>
      <c r="E1039" t="s">
        <v>50</v>
      </c>
      <c r="F1039" s="1">
        <v>42480</v>
      </c>
      <c r="G1039" s="1">
        <v>42509</v>
      </c>
      <c r="H1039" t="s">
        <v>33</v>
      </c>
      <c r="I1039">
        <v>29</v>
      </c>
      <c r="J1039" t="s">
        <v>77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23</v>
      </c>
      <c r="R1039">
        <v>0</v>
      </c>
    </row>
    <row r="1040" spans="1:18">
      <c r="A1040" s="4">
        <v>91924400000000</v>
      </c>
      <c r="B1040" t="s">
        <v>28</v>
      </c>
      <c r="C1040">
        <v>7</v>
      </c>
      <c r="D1040" t="s">
        <v>31</v>
      </c>
      <c r="E1040" t="s">
        <v>64</v>
      </c>
      <c r="F1040" s="1">
        <v>42480</v>
      </c>
      <c r="G1040" s="1">
        <v>42510</v>
      </c>
      <c r="H1040" t="s">
        <v>21</v>
      </c>
      <c r="I1040">
        <v>30</v>
      </c>
      <c r="J1040" t="s">
        <v>77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23</v>
      </c>
      <c r="R1040">
        <v>0</v>
      </c>
    </row>
    <row r="1041" spans="1:18">
      <c r="A1041" s="4">
        <v>47384356666</v>
      </c>
      <c r="B1041" t="s">
        <v>28</v>
      </c>
      <c r="C1041">
        <v>58</v>
      </c>
      <c r="D1041" t="s">
        <v>35</v>
      </c>
      <c r="E1041" t="s">
        <v>42</v>
      </c>
      <c r="F1041" s="1">
        <v>42480</v>
      </c>
      <c r="G1041" s="1">
        <v>42521</v>
      </c>
      <c r="H1041" t="s">
        <v>41</v>
      </c>
      <c r="I1041">
        <v>41</v>
      </c>
      <c r="J1041" t="s">
        <v>22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1</v>
      </c>
      <c r="Q1041" t="s">
        <v>23</v>
      </c>
      <c r="R1041">
        <v>0</v>
      </c>
    </row>
    <row r="1042" spans="1:18">
      <c r="A1042" s="4">
        <v>4655480000000</v>
      </c>
      <c r="B1042" t="s">
        <v>18</v>
      </c>
      <c r="C1042">
        <v>13</v>
      </c>
      <c r="D1042" t="s">
        <v>60</v>
      </c>
      <c r="E1042" t="s">
        <v>36</v>
      </c>
      <c r="F1042" s="1">
        <v>42480</v>
      </c>
      <c r="G1042" s="1">
        <v>42523</v>
      </c>
      <c r="H1042" t="s">
        <v>33</v>
      </c>
      <c r="I1042">
        <v>43</v>
      </c>
      <c r="J1042" t="s">
        <v>22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23</v>
      </c>
      <c r="R1042">
        <v>0</v>
      </c>
    </row>
    <row r="1043" spans="1:18">
      <c r="A1043" s="4">
        <v>299779000000000</v>
      </c>
      <c r="B1043" t="s">
        <v>28</v>
      </c>
      <c r="C1043">
        <v>23</v>
      </c>
      <c r="D1043" t="s">
        <v>37</v>
      </c>
      <c r="E1043" t="s">
        <v>39</v>
      </c>
      <c r="F1043" s="1">
        <v>42480</v>
      </c>
      <c r="G1043" s="1">
        <v>42489</v>
      </c>
      <c r="H1043" t="s">
        <v>21</v>
      </c>
      <c r="I1043">
        <v>9</v>
      </c>
      <c r="J1043" t="s">
        <v>92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</v>
      </c>
      <c r="Q1043" t="s">
        <v>26</v>
      </c>
      <c r="R1043">
        <v>1</v>
      </c>
    </row>
    <row r="1044" spans="1:18">
      <c r="A1044" s="4">
        <v>5143400000000</v>
      </c>
      <c r="B1044" t="s">
        <v>18</v>
      </c>
      <c r="C1044">
        <v>71</v>
      </c>
      <c r="D1044" t="s">
        <v>19</v>
      </c>
      <c r="E1044" t="s">
        <v>68</v>
      </c>
      <c r="F1044" s="1">
        <v>42480</v>
      </c>
      <c r="G1044" s="1">
        <v>42494</v>
      </c>
      <c r="H1044" t="s">
        <v>25</v>
      </c>
      <c r="I1044">
        <v>14</v>
      </c>
      <c r="J1044" t="s">
        <v>92</v>
      </c>
      <c r="K1044">
        <v>0</v>
      </c>
      <c r="L1044">
        <v>1</v>
      </c>
      <c r="M1044">
        <v>0</v>
      </c>
      <c r="N1044">
        <v>0</v>
      </c>
      <c r="O1044">
        <v>0</v>
      </c>
      <c r="P1044">
        <v>1</v>
      </c>
      <c r="Q1044" t="s">
        <v>26</v>
      </c>
      <c r="R1044">
        <v>1</v>
      </c>
    </row>
    <row r="1045" spans="1:18">
      <c r="A1045" s="4">
        <v>126851000000000</v>
      </c>
      <c r="B1045" t="s">
        <v>18</v>
      </c>
      <c r="C1045">
        <v>3</v>
      </c>
      <c r="D1045" t="s">
        <v>31</v>
      </c>
      <c r="E1045" t="s">
        <v>56</v>
      </c>
      <c r="F1045" s="1">
        <v>42480</v>
      </c>
      <c r="G1045" s="1">
        <v>42502</v>
      </c>
      <c r="H1045" t="s">
        <v>33</v>
      </c>
      <c r="I1045">
        <v>22</v>
      </c>
      <c r="J1045" t="s">
        <v>77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</v>
      </c>
      <c r="Q1045" t="s">
        <v>23</v>
      </c>
      <c r="R1045">
        <v>0</v>
      </c>
    </row>
    <row r="1046" spans="1:18">
      <c r="A1046" s="4">
        <v>118489000000000</v>
      </c>
      <c r="B1046" t="s">
        <v>28</v>
      </c>
      <c r="C1046">
        <v>58</v>
      </c>
      <c r="D1046" t="s">
        <v>35</v>
      </c>
      <c r="E1046" t="s">
        <v>96</v>
      </c>
      <c r="F1046" s="1">
        <v>42480</v>
      </c>
      <c r="G1046" s="1">
        <v>42502</v>
      </c>
      <c r="H1046" t="s">
        <v>33</v>
      </c>
      <c r="I1046">
        <v>22</v>
      </c>
      <c r="J1046" t="s">
        <v>77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</v>
      </c>
      <c r="Q1046" t="s">
        <v>23</v>
      </c>
      <c r="R1046">
        <v>0</v>
      </c>
    </row>
    <row r="1047" spans="1:18">
      <c r="A1047" s="4">
        <v>88912125457</v>
      </c>
      <c r="B1047" t="s">
        <v>18</v>
      </c>
      <c r="C1047">
        <v>40</v>
      </c>
      <c r="D1047" t="s">
        <v>27</v>
      </c>
      <c r="E1047" t="s">
        <v>59</v>
      </c>
      <c r="F1047" s="1">
        <v>42480</v>
      </c>
      <c r="G1047" s="1">
        <v>42522</v>
      </c>
      <c r="H1047" t="s">
        <v>25</v>
      </c>
      <c r="I1047">
        <v>42</v>
      </c>
      <c r="J1047" t="s">
        <v>22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</v>
      </c>
      <c r="Q1047" t="s">
        <v>23</v>
      </c>
      <c r="R1047">
        <v>0</v>
      </c>
    </row>
    <row r="1048" spans="1:18">
      <c r="A1048" s="4">
        <v>415788000000000</v>
      </c>
      <c r="B1048" t="s">
        <v>18</v>
      </c>
      <c r="C1048">
        <v>36</v>
      </c>
      <c r="D1048" t="s">
        <v>27</v>
      </c>
      <c r="E1048" t="s">
        <v>59</v>
      </c>
      <c r="F1048" s="1">
        <v>42480</v>
      </c>
      <c r="G1048" s="1">
        <v>42520</v>
      </c>
      <c r="H1048" t="s">
        <v>30</v>
      </c>
      <c r="I1048">
        <v>40</v>
      </c>
      <c r="J1048" t="s">
        <v>22</v>
      </c>
      <c r="K1048">
        <v>1</v>
      </c>
      <c r="L1048">
        <v>1</v>
      </c>
      <c r="M1048">
        <v>0</v>
      </c>
      <c r="N1048">
        <v>0</v>
      </c>
      <c r="O1048">
        <v>0</v>
      </c>
      <c r="P1048">
        <v>1</v>
      </c>
      <c r="Q1048" t="s">
        <v>23</v>
      </c>
      <c r="R1048">
        <v>0</v>
      </c>
    </row>
    <row r="1049" spans="1:18">
      <c r="A1049" s="4">
        <v>99289700000000</v>
      </c>
      <c r="B1049" t="s">
        <v>18</v>
      </c>
      <c r="C1049">
        <v>32</v>
      </c>
      <c r="D1049" t="s">
        <v>37</v>
      </c>
      <c r="E1049" t="s">
        <v>39</v>
      </c>
      <c r="F1049" s="1">
        <v>42480</v>
      </c>
      <c r="G1049" s="1">
        <v>42507</v>
      </c>
      <c r="H1049" t="s">
        <v>41</v>
      </c>
      <c r="I1049">
        <v>27</v>
      </c>
      <c r="J1049" t="s">
        <v>77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23</v>
      </c>
      <c r="R1049">
        <v>0</v>
      </c>
    </row>
    <row r="1050" spans="1:18">
      <c r="A1050" s="4">
        <v>193639000000000</v>
      </c>
      <c r="B1050" t="s">
        <v>28</v>
      </c>
      <c r="C1050">
        <v>26</v>
      </c>
      <c r="D1050" t="s">
        <v>37</v>
      </c>
      <c r="E1050" t="s">
        <v>29</v>
      </c>
      <c r="F1050" s="1">
        <v>42480</v>
      </c>
      <c r="G1050" s="1">
        <v>42506</v>
      </c>
      <c r="H1050" t="s">
        <v>30</v>
      </c>
      <c r="I1050">
        <v>26</v>
      </c>
      <c r="J1050" t="s">
        <v>77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26</v>
      </c>
      <c r="R1050">
        <v>1</v>
      </c>
    </row>
    <row r="1051" spans="1:18">
      <c r="A1051" s="4">
        <v>13364900000000</v>
      </c>
      <c r="B1051" t="s">
        <v>28</v>
      </c>
      <c r="C1051">
        <v>59</v>
      </c>
      <c r="D1051" t="s">
        <v>35</v>
      </c>
      <c r="E1051" t="s">
        <v>72</v>
      </c>
      <c r="F1051" s="1">
        <v>42480</v>
      </c>
      <c r="G1051" s="1">
        <v>42515</v>
      </c>
      <c r="H1051" t="s">
        <v>25</v>
      </c>
      <c r="I1051">
        <v>35</v>
      </c>
      <c r="J1051" t="s">
        <v>22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</v>
      </c>
      <c r="Q1051" t="s">
        <v>26</v>
      </c>
      <c r="R1051">
        <v>1</v>
      </c>
    </row>
    <row r="1052" spans="1:18">
      <c r="A1052" s="4">
        <v>998759000000</v>
      </c>
      <c r="B1052" t="s">
        <v>28</v>
      </c>
      <c r="C1052">
        <v>59</v>
      </c>
      <c r="D1052" t="s">
        <v>35</v>
      </c>
      <c r="E1052" t="s">
        <v>59</v>
      </c>
      <c r="F1052" s="1">
        <v>42485</v>
      </c>
      <c r="G1052" s="1">
        <v>42520</v>
      </c>
      <c r="H1052" t="s">
        <v>30</v>
      </c>
      <c r="I1052">
        <v>35</v>
      </c>
      <c r="J1052" t="s">
        <v>22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1</v>
      </c>
      <c r="Q1052" t="s">
        <v>23</v>
      </c>
      <c r="R1052">
        <v>0</v>
      </c>
    </row>
    <row r="1053" spans="1:18">
      <c r="A1053" s="4">
        <v>43987300000000</v>
      </c>
      <c r="B1053" t="s">
        <v>18</v>
      </c>
      <c r="C1053">
        <v>2</v>
      </c>
      <c r="D1053" t="s">
        <v>31</v>
      </c>
      <c r="E1053" t="s">
        <v>106</v>
      </c>
      <c r="F1053" s="1">
        <v>42485</v>
      </c>
      <c r="G1053" s="1">
        <v>42527</v>
      </c>
      <c r="H1053" t="s">
        <v>30</v>
      </c>
      <c r="I1053">
        <v>42</v>
      </c>
      <c r="J1053" t="s">
        <v>22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</v>
      </c>
      <c r="Q1053" t="s">
        <v>23</v>
      </c>
      <c r="R1053">
        <v>0</v>
      </c>
    </row>
    <row r="1054" spans="1:18">
      <c r="A1054" s="4">
        <v>991276000000</v>
      </c>
      <c r="B1054" t="s">
        <v>28</v>
      </c>
      <c r="C1054">
        <v>40</v>
      </c>
      <c r="D1054" t="s">
        <v>27</v>
      </c>
      <c r="E1054" t="s">
        <v>101</v>
      </c>
      <c r="F1054" s="1">
        <v>42485</v>
      </c>
      <c r="G1054" s="1">
        <v>42522</v>
      </c>
      <c r="H1054" t="s">
        <v>25</v>
      </c>
      <c r="I1054">
        <v>37</v>
      </c>
      <c r="J1054" t="s">
        <v>22</v>
      </c>
      <c r="K1054">
        <v>0</v>
      </c>
      <c r="L1054">
        <v>0</v>
      </c>
      <c r="M1054">
        <v>0</v>
      </c>
      <c r="N1054">
        <v>1</v>
      </c>
      <c r="O1054">
        <v>0</v>
      </c>
      <c r="P1054">
        <v>1</v>
      </c>
      <c r="Q1054" t="s">
        <v>26</v>
      </c>
      <c r="R1054">
        <v>1</v>
      </c>
    </row>
    <row r="1055" spans="1:18">
      <c r="A1055" s="4">
        <v>28890000000000</v>
      </c>
      <c r="B1055" t="s">
        <v>18</v>
      </c>
      <c r="C1055">
        <v>74</v>
      </c>
      <c r="D1055" t="s">
        <v>19</v>
      </c>
      <c r="E1055" t="s">
        <v>29</v>
      </c>
      <c r="F1055" s="1">
        <v>42485</v>
      </c>
      <c r="G1055" s="1">
        <v>42502</v>
      </c>
      <c r="H1055" t="s">
        <v>33</v>
      </c>
      <c r="I1055">
        <v>17</v>
      </c>
      <c r="J1055" t="s">
        <v>77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1</v>
      </c>
      <c r="Q1055" t="s">
        <v>23</v>
      </c>
      <c r="R1055">
        <v>0</v>
      </c>
    </row>
    <row r="1056" spans="1:18">
      <c r="A1056" s="4">
        <v>7653990000000</v>
      </c>
      <c r="B1056" t="s">
        <v>28</v>
      </c>
      <c r="C1056">
        <v>4</v>
      </c>
      <c r="D1056" t="s">
        <v>31</v>
      </c>
      <c r="E1056" t="s">
        <v>68</v>
      </c>
      <c r="F1056" s="1">
        <v>42485</v>
      </c>
      <c r="G1056" s="1">
        <v>42523</v>
      </c>
      <c r="H1056" t="s">
        <v>33</v>
      </c>
      <c r="I1056">
        <v>38</v>
      </c>
      <c r="J1056" t="s">
        <v>22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1</v>
      </c>
      <c r="Q1056" t="s">
        <v>23</v>
      </c>
      <c r="R1056">
        <v>0</v>
      </c>
    </row>
    <row r="1057" spans="1:18">
      <c r="A1057" s="4">
        <v>4455620000000</v>
      </c>
      <c r="B1057" t="s">
        <v>28</v>
      </c>
      <c r="C1057">
        <v>23</v>
      </c>
      <c r="D1057" t="s">
        <v>37</v>
      </c>
      <c r="E1057" t="s">
        <v>63</v>
      </c>
      <c r="F1057" s="1">
        <v>42485</v>
      </c>
      <c r="G1057" s="1">
        <v>42495</v>
      </c>
      <c r="H1057" t="s">
        <v>33</v>
      </c>
      <c r="I1057">
        <v>10</v>
      </c>
      <c r="J1057" t="s">
        <v>92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26</v>
      </c>
      <c r="R1057">
        <v>1</v>
      </c>
    </row>
    <row r="1058" spans="1:18">
      <c r="A1058" s="4">
        <v>23477000000000</v>
      </c>
      <c r="B1058" t="s">
        <v>18</v>
      </c>
      <c r="C1058">
        <v>43</v>
      </c>
      <c r="D1058" t="s">
        <v>27</v>
      </c>
      <c r="E1058" t="s">
        <v>73</v>
      </c>
      <c r="F1058" s="1">
        <v>42485</v>
      </c>
      <c r="G1058" s="1">
        <v>42489</v>
      </c>
      <c r="H1058" t="s">
        <v>21</v>
      </c>
      <c r="I1058">
        <v>4</v>
      </c>
      <c r="J1058" t="s">
        <v>107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1</v>
      </c>
      <c r="Q1058" t="s">
        <v>23</v>
      </c>
      <c r="R1058">
        <v>0</v>
      </c>
    </row>
    <row r="1059" spans="1:18">
      <c r="A1059" s="4">
        <v>272226000000000</v>
      </c>
      <c r="B1059" t="s">
        <v>28</v>
      </c>
      <c r="C1059">
        <v>3</v>
      </c>
      <c r="D1059" t="s">
        <v>31</v>
      </c>
      <c r="E1059" t="s">
        <v>59</v>
      </c>
      <c r="F1059" s="1">
        <v>42485</v>
      </c>
      <c r="G1059" s="1">
        <v>42489</v>
      </c>
      <c r="H1059" t="s">
        <v>21</v>
      </c>
      <c r="I1059">
        <v>4</v>
      </c>
      <c r="J1059" t="s">
        <v>107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1</v>
      </c>
      <c r="Q1059" t="s">
        <v>23</v>
      </c>
      <c r="R1059">
        <v>0</v>
      </c>
    </row>
    <row r="1060" spans="1:18">
      <c r="A1060" s="4">
        <v>27165500000000</v>
      </c>
      <c r="B1060" t="s">
        <v>28</v>
      </c>
      <c r="C1060">
        <v>51</v>
      </c>
      <c r="D1060" t="s">
        <v>35</v>
      </c>
      <c r="E1060" t="s">
        <v>20</v>
      </c>
      <c r="F1060" s="1">
        <v>42485</v>
      </c>
      <c r="G1060" s="1">
        <v>42524</v>
      </c>
      <c r="H1060" t="s">
        <v>21</v>
      </c>
      <c r="I1060">
        <v>39</v>
      </c>
      <c r="J1060" t="s">
        <v>22</v>
      </c>
      <c r="K1060">
        <v>0</v>
      </c>
      <c r="L1060">
        <v>1</v>
      </c>
      <c r="M1060">
        <v>1</v>
      </c>
      <c r="N1060">
        <v>0</v>
      </c>
      <c r="O1060">
        <v>0</v>
      </c>
      <c r="P1060">
        <v>1</v>
      </c>
      <c r="Q1060" t="s">
        <v>26</v>
      </c>
      <c r="R1060">
        <v>1</v>
      </c>
    </row>
    <row r="1061" spans="1:18">
      <c r="A1061" s="4">
        <v>51222400000000</v>
      </c>
      <c r="B1061" t="s">
        <v>18</v>
      </c>
      <c r="C1061">
        <v>54</v>
      </c>
      <c r="D1061" t="s">
        <v>35</v>
      </c>
      <c r="E1061" t="s">
        <v>38</v>
      </c>
      <c r="F1061" s="1">
        <v>42485</v>
      </c>
      <c r="G1061" s="1">
        <v>42499</v>
      </c>
      <c r="H1061" t="s">
        <v>30</v>
      </c>
      <c r="I1061">
        <v>14</v>
      </c>
      <c r="J1061" t="s">
        <v>92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23</v>
      </c>
      <c r="R1061">
        <v>0</v>
      </c>
    </row>
    <row r="1062" spans="1:18">
      <c r="A1062" s="4">
        <v>7558520000000</v>
      </c>
      <c r="B1062" t="s">
        <v>18</v>
      </c>
      <c r="C1062">
        <v>38</v>
      </c>
      <c r="D1062" t="s">
        <v>27</v>
      </c>
      <c r="E1062" t="s">
        <v>68</v>
      </c>
      <c r="F1062" s="1">
        <v>42485</v>
      </c>
      <c r="G1062" s="1">
        <v>42524</v>
      </c>
      <c r="H1062" t="s">
        <v>21</v>
      </c>
      <c r="I1062">
        <v>39</v>
      </c>
      <c r="J1062" t="s">
        <v>22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1</v>
      </c>
      <c r="Q1062" t="s">
        <v>26</v>
      </c>
      <c r="R1062">
        <v>1</v>
      </c>
    </row>
    <row r="1063" spans="1:18">
      <c r="A1063" s="4">
        <v>915165000000</v>
      </c>
      <c r="B1063" t="s">
        <v>18</v>
      </c>
      <c r="C1063">
        <v>6</v>
      </c>
      <c r="D1063" t="s">
        <v>31</v>
      </c>
      <c r="E1063" t="s">
        <v>68</v>
      </c>
      <c r="F1063" s="1">
        <v>42485</v>
      </c>
      <c r="G1063" s="1">
        <v>42524</v>
      </c>
      <c r="H1063" t="s">
        <v>21</v>
      </c>
      <c r="I1063">
        <v>39</v>
      </c>
      <c r="J1063" t="s">
        <v>22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1</v>
      </c>
      <c r="Q1063" t="s">
        <v>23</v>
      </c>
      <c r="R1063">
        <v>0</v>
      </c>
    </row>
    <row r="1064" spans="1:18">
      <c r="A1064" s="4">
        <v>38794300000000</v>
      </c>
      <c r="B1064" t="s">
        <v>18</v>
      </c>
      <c r="C1064">
        <v>63</v>
      </c>
      <c r="D1064" t="s">
        <v>35</v>
      </c>
      <c r="E1064" t="s">
        <v>40</v>
      </c>
      <c r="F1064" s="1">
        <v>42485</v>
      </c>
      <c r="G1064" s="1">
        <v>42499</v>
      </c>
      <c r="H1064" t="s">
        <v>30</v>
      </c>
      <c r="I1064">
        <v>14</v>
      </c>
      <c r="J1064" t="s">
        <v>92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23</v>
      </c>
      <c r="R1064">
        <v>0</v>
      </c>
    </row>
    <row r="1065" spans="1:18">
      <c r="A1065" s="4">
        <v>99834588263</v>
      </c>
      <c r="B1065" t="s">
        <v>28</v>
      </c>
      <c r="C1065">
        <v>39</v>
      </c>
      <c r="D1065" t="s">
        <v>27</v>
      </c>
      <c r="E1065" t="s">
        <v>20</v>
      </c>
      <c r="F1065" s="1">
        <v>42485</v>
      </c>
      <c r="G1065" s="1">
        <v>42514</v>
      </c>
      <c r="H1065" t="s">
        <v>41</v>
      </c>
      <c r="I1065">
        <v>29</v>
      </c>
      <c r="J1065" t="s">
        <v>77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1</v>
      </c>
      <c r="Q1065" t="s">
        <v>26</v>
      </c>
      <c r="R1065">
        <v>1</v>
      </c>
    </row>
    <row r="1066" spans="1:18">
      <c r="A1066" s="4">
        <v>29314700000000</v>
      </c>
      <c r="B1066" t="s">
        <v>18</v>
      </c>
      <c r="C1066">
        <v>51</v>
      </c>
      <c r="D1066" t="s">
        <v>35</v>
      </c>
      <c r="E1066" t="s">
        <v>95</v>
      </c>
      <c r="F1066" s="1">
        <v>42485</v>
      </c>
      <c r="G1066" s="1">
        <v>42507</v>
      </c>
      <c r="H1066" t="s">
        <v>41</v>
      </c>
      <c r="I1066">
        <v>22</v>
      </c>
      <c r="J1066" t="s">
        <v>77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23</v>
      </c>
      <c r="R1066">
        <v>0</v>
      </c>
    </row>
    <row r="1067" spans="1:18">
      <c r="A1067" s="4">
        <v>365663000000000</v>
      </c>
      <c r="B1067" t="s">
        <v>18</v>
      </c>
      <c r="C1067">
        <v>67</v>
      </c>
      <c r="D1067" t="s">
        <v>19</v>
      </c>
      <c r="E1067" t="s">
        <v>81</v>
      </c>
      <c r="F1067" s="1">
        <v>42485</v>
      </c>
      <c r="G1067" s="1">
        <v>42489</v>
      </c>
      <c r="H1067" t="s">
        <v>21</v>
      </c>
      <c r="I1067">
        <v>4</v>
      </c>
      <c r="J1067" t="s">
        <v>107</v>
      </c>
      <c r="K1067">
        <v>0</v>
      </c>
      <c r="L1067">
        <v>1</v>
      </c>
      <c r="M1067">
        <v>1</v>
      </c>
      <c r="N1067">
        <v>0</v>
      </c>
      <c r="O1067">
        <v>0</v>
      </c>
      <c r="P1067">
        <v>1</v>
      </c>
      <c r="Q1067" t="s">
        <v>26</v>
      </c>
      <c r="R1067">
        <v>1</v>
      </c>
    </row>
    <row r="1068" spans="1:18">
      <c r="A1068" s="4">
        <v>1269170000000</v>
      </c>
      <c r="B1068" t="s">
        <v>18</v>
      </c>
      <c r="C1068">
        <v>34</v>
      </c>
      <c r="D1068" t="s">
        <v>37</v>
      </c>
      <c r="E1068" t="s">
        <v>50</v>
      </c>
      <c r="F1068" s="1">
        <v>42485</v>
      </c>
      <c r="G1068" s="1">
        <v>42509</v>
      </c>
      <c r="H1068" t="s">
        <v>33</v>
      </c>
      <c r="I1068">
        <v>24</v>
      </c>
      <c r="J1068" t="s">
        <v>77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26</v>
      </c>
      <c r="R1068">
        <v>1</v>
      </c>
    </row>
    <row r="1069" spans="1:18">
      <c r="A1069" s="4">
        <v>18318700000000</v>
      </c>
      <c r="B1069" t="s">
        <v>18</v>
      </c>
      <c r="C1069">
        <v>73</v>
      </c>
      <c r="D1069" t="s">
        <v>19</v>
      </c>
      <c r="E1069" t="s">
        <v>38</v>
      </c>
      <c r="F1069" s="1">
        <v>42485</v>
      </c>
      <c r="G1069" s="1">
        <v>42499</v>
      </c>
      <c r="H1069" t="s">
        <v>30</v>
      </c>
      <c r="I1069">
        <v>14</v>
      </c>
      <c r="J1069" t="s">
        <v>92</v>
      </c>
      <c r="K1069">
        <v>0</v>
      </c>
      <c r="L1069">
        <v>1</v>
      </c>
      <c r="M1069">
        <v>1</v>
      </c>
      <c r="N1069">
        <v>0</v>
      </c>
      <c r="O1069">
        <v>0</v>
      </c>
      <c r="P1069">
        <v>0</v>
      </c>
      <c r="Q1069" t="s">
        <v>26</v>
      </c>
      <c r="R1069">
        <v>1</v>
      </c>
    </row>
    <row r="1070" spans="1:18">
      <c r="A1070" s="4">
        <v>318375000000000</v>
      </c>
      <c r="B1070" t="s">
        <v>18</v>
      </c>
      <c r="C1070">
        <v>28</v>
      </c>
      <c r="D1070" t="s">
        <v>37</v>
      </c>
      <c r="E1070" t="s">
        <v>106</v>
      </c>
      <c r="F1070" s="1">
        <v>42485</v>
      </c>
      <c r="G1070" s="1">
        <v>42499</v>
      </c>
      <c r="H1070" t="s">
        <v>30</v>
      </c>
      <c r="I1070">
        <v>14</v>
      </c>
      <c r="J1070" t="s">
        <v>92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23</v>
      </c>
      <c r="R1070">
        <v>0</v>
      </c>
    </row>
    <row r="1071" spans="1:18">
      <c r="A1071" s="4">
        <v>89261800000000</v>
      </c>
      <c r="B1071" t="s">
        <v>18</v>
      </c>
      <c r="C1071">
        <v>20</v>
      </c>
      <c r="D1071" t="s">
        <v>37</v>
      </c>
      <c r="E1071" t="s">
        <v>32</v>
      </c>
      <c r="F1071" s="1">
        <v>42485</v>
      </c>
      <c r="G1071" s="1">
        <v>42492</v>
      </c>
      <c r="H1071" t="s">
        <v>30</v>
      </c>
      <c r="I1071">
        <v>7</v>
      </c>
      <c r="J1071" t="s">
        <v>107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</v>
      </c>
      <c r="Q1071" t="s">
        <v>23</v>
      </c>
      <c r="R1071">
        <v>0</v>
      </c>
    </row>
    <row r="1072" spans="1:18">
      <c r="A1072" s="4">
        <v>7688670000000</v>
      </c>
      <c r="B1072" t="s">
        <v>18</v>
      </c>
      <c r="C1072">
        <v>47</v>
      </c>
      <c r="D1072" t="s">
        <v>27</v>
      </c>
      <c r="E1072" t="s">
        <v>20</v>
      </c>
      <c r="F1072" s="1">
        <v>42485</v>
      </c>
      <c r="G1072" s="1">
        <v>42528</v>
      </c>
      <c r="H1072" t="s">
        <v>41</v>
      </c>
      <c r="I1072">
        <v>43</v>
      </c>
      <c r="J1072" t="s">
        <v>22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</v>
      </c>
      <c r="Q1072" t="s">
        <v>23</v>
      </c>
      <c r="R1072">
        <v>0</v>
      </c>
    </row>
    <row r="1073" spans="1:18">
      <c r="A1073" s="4">
        <v>19976200000000</v>
      </c>
      <c r="B1073" t="s">
        <v>18</v>
      </c>
      <c r="C1073">
        <v>61</v>
      </c>
      <c r="D1073" t="s">
        <v>35</v>
      </c>
      <c r="E1073" t="s">
        <v>72</v>
      </c>
      <c r="F1073" s="1">
        <v>42485</v>
      </c>
      <c r="G1073" s="1">
        <v>42515</v>
      </c>
      <c r="H1073" t="s">
        <v>25</v>
      </c>
      <c r="I1073">
        <v>30</v>
      </c>
      <c r="J1073" t="s">
        <v>77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26</v>
      </c>
      <c r="R1073">
        <v>1</v>
      </c>
    </row>
    <row r="1074" spans="1:18">
      <c r="A1074" s="4">
        <v>622975000000000</v>
      </c>
      <c r="B1074" t="s">
        <v>18</v>
      </c>
      <c r="C1074">
        <v>18</v>
      </c>
      <c r="D1074" t="s">
        <v>37</v>
      </c>
      <c r="E1074" t="s">
        <v>43</v>
      </c>
      <c r="F1074" s="1">
        <v>42485</v>
      </c>
      <c r="G1074" s="1">
        <v>42506</v>
      </c>
      <c r="H1074" t="s">
        <v>30</v>
      </c>
      <c r="I1074">
        <v>21</v>
      </c>
      <c r="J1074" t="s">
        <v>77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23</v>
      </c>
      <c r="R1074">
        <v>0</v>
      </c>
    </row>
    <row r="1075" spans="1:18">
      <c r="A1075" s="4">
        <v>314523000000000</v>
      </c>
      <c r="B1075" t="s">
        <v>18</v>
      </c>
      <c r="C1075">
        <v>35</v>
      </c>
      <c r="D1075" t="s">
        <v>37</v>
      </c>
      <c r="E1075" t="s">
        <v>29</v>
      </c>
      <c r="F1075" s="1">
        <v>42485</v>
      </c>
      <c r="G1075" s="1">
        <v>42496</v>
      </c>
      <c r="H1075" t="s">
        <v>21</v>
      </c>
      <c r="I1075">
        <v>11</v>
      </c>
      <c r="J1075" t="s">
        <v>92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</v>
      </c>
      <c r="Q1075" t="s">
        <v>26</v>
      </c>
      <c r="R1075">
        <v>1</v>
      </c>
    </row>
    <row r="1076" spans="1:18">
      <c r="A1076" s="4">
        <v>13742400000000</v>
      </c>
      <c r="B1076" t="s">
        <v>28</v>
      </c>
      <c r="C1076">
        <v>0</v>
      </c>
      <c r="D1076" t="s">
        <v>31</v>
      </c>
      <c r="E1076" t="s">
        <v>44</v>
      </c>
      <c r="F1076" s="1">
        <v>42485</v>
      </c>
      <c r="G1076" s="1">
        <v>42502</v>
      </c>
      <c r="H1076" t="s">
        <v>33</v>
      </c>
      <c r="I1076">
        <v>17</v>
      </c>
      <c r="J1076" t="s">
        <v>77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</v>
      </c>
      <c r="Q1076" t="s">
        <v>23</v>
      </c>
      <c r="R1076">
        <v>0</v>
      </c>
    </row>
    <row r="1077" spans="1:18">
      <c r="A1077" s="4">
        <v>667280000000</v>
      </c>
      <c r="B1077" t="s">
        <v>18</v>
      </c>
      <c r="C1077">
        <v>33</v>
      </c>
      <c r="D1077" t="s">
        <v>37</v>
      </c>
      <c r="E1077" t="s">
        <v>50</v>
      </c>
      <c r="F1077" s="1">
        <v>42485</v>
      </c>
      <c r="G1077" s="1">
        <v>42500</v>
      </c>
      <c r="H1077" t="s">
        <v>41</v>
      </c>
      <c r="I1077">
        <v>15</v>
      </c>
      <c r="J1077" t="s">
        <v>77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</v>
      </c>
      <c r="Q1077" t="s">
        <v>26</v>
      </c>
      <c r="R1077">
        <v>1</v>
      </c>
    </row>
    <row r="1078" spans="1:18">
      <c r="A1078" s="4">
        <v>51316000000000</v>
      </c>
      <c r="B1078" t="s">
        <v>18</v>
      </c>
      <c r="C1078">
        <v>57</v>
      </c>
      <c r="D1078" t="s">
        <v>35</v>
      </c>
      <c r="E1078" t="s">
        <v>46</v>
      </c>
      <c r="F1078" s="1">
        <v>42485</v>
      </c>
      <c r="G1078" s="1">
        <v>42514</v>
      </c>
      <c r="H1078" t="s">
        <v>41</v>
      </c>
      <c r="I1078">
        <v>29</v>
      </c>
      <c r="J1078" t="s">
        <v>77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</v>
      </c>
      <c r="Q1078" t="s">
        <v>23</v>
      </c>
      <c r="R1078">
        <v>0</v>
      </c>
    </row>
    <row r="1079" spans="1:18">
      <c r="A1079" s="4">
        <v>3729850000000</v>
      </c>
      <c r="B1079" t="s">
        <v>18</v>
      </c>
      <c r="C1079">
        <v>48</v>
      </c>
      <c r="D1079" t="s">
        <v>27</v>
      </c>
      <c r="E1079" t="s">
        <v>59</v>
      </c>
      <c r="F1079" s="1">
        <v>42485</v>
      </c>
      <c r="G1079" s="1">
        <v>42508</v>
      </c>
      <c r="H1079" t="s">
        <v>25</v>
      </c>
      <c r="I1079">
        <v>23</v>
      </c>
      <c r="J1079" t="s">
        <v>77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23</v>
      </c>
      <c r="R1079">
        <v>0</v>
      </c>
    </row>
    <row r="1080" spans="1:18">
      <c r="A1080" s="4">
        <v>3337580000000</v>
      </c>
      <c r="B1080" t="s">
        <v>28</v>
      </c>
      <c r="C1080">
        <v>44</v>
      </c>
      <c r="D1080" t="s">
        <v>27</v>
      </c>
      <c r="E1080" t="s">
        <v>65</v>
      </c>
      <c r="F1080" s="1">
        <v>42485</v>
      </c>
      <c r="G1080" s="1">
        <v>42502</v>
      </c>
      <c r="H1080" t="s">
        <v>33</v>
      </c>
      <c r="I1080">
        <v>17</v>
      </c>
      <c r="J1080" t="s">
        <v>77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</v>
      </c>
      <c r="Q1080" t="s">
        <v>26</v>
      </c>
      <c r="R1080">
        <v>1</v>
      </c>
    </row>
    <row r="1081" spans="1:18">
      <c r="A1081" s="4">
        <v>7566390000000</v>
      </c>
      <c r="B1081" t="s">
        <v>18</v>
      </c>
      <c r="C1081">
        <v>53</v>
      </c>
      <c r="D1081" t="s">
        <v>35</v>
      </c>
      <c r="E1081" t="s">
        <v>57</v>
      </c>
      <c r="F1081" s="1">
        <v>42485</v>
      </c>
      <c r="G1081" s="1">
        <v>42521</v>
      </c>
      <c r="H1081" t="s">
        <v>41</v>
      </c>
      <c r="I1081">
        <v>36</v>
      </c>
      <c r="J1081" t="s">
        <v>22</v>
      </c>
      <c r="K1081">
        <v>0</v>
      </c>
      <c r="L1081">
        <v>1</v>
      </c>
      <c r="M1081">
        <v>0</v>
      </c>
      <c r="N1081">
        <v>0</v>
      </c>
      <c r="O1081">
        <v>0</v>
      </c>
      <c r="P1081">
        <v>1</v>
      </c>
      <c r="Q1081" t="s">
        <v>23</v>
      </c>
      <c r="R1081">
        <v>0</v>
      </c>
    </row>
    <row r="1082" spans="1:18">
      <c r="A1082" s="4">
        <v>7343480000000</v>
      </c>
      <c r="B1082" t="s">
        <v>18</v>
      </c>
      <c r="C1082">
        <v>77</v>
      </c>
      <c r="D1082" t="s">
        <v>19</v>
      </c>
      <c r="E1082" t="s">
        <v>39</v>
      </c>
      <c r="F1082" s="1">
        <v>42485</v>
      </c>
      <c r="G1082" s="1">
        <v>42489</v>
      </c>
      <c r="H1082" t="s">
        <v>21</v>
      </c>
      <c r="I1082">
        <v>4</v>
      </c>
      <c r="J1082" t="s">
        <v>107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</v>
      </c>
      <c r="Q1082" t="s">
        <v>23</v>
      </c>
      <c r="R1082">
        <v>0</v>
      </c>
    </row>
    <row r="1083" spans="1:18">
      <c r="A1083" s="4">
        <v>761495000000000</v>
      </c>
      <c r="B1083" t="s">
        <v>18</v>
      </c>
      <c r="C1083">
        <v>42</v>
      </c>
      <c r="D1083" t="s">
        <v>27</v>
      </c>
      <c r="E1083" t="s">
        <v>67</v>
      </c>
      <c r="F1083" s="1">
        <v>42485</v>
      </c>
      <c r="G1083" s="1">
        <v>42510</v>
      </c>
      <c r="H1083" t="s">
        <v>21</v>
      </c>
      <c r="I1083">
        <v>25</v>
      </c>
      <c r="J1083" t="s">
        <v>77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26</v>
      </c>
      <c r="R1083">
        <v>1</v>
      </c>
    </row>
    <row r="1084" spans="1:18">
      <c r="A1084" s="4">
        <v>19214800000000</v>
      </c>
      <c r="B1084" t="s">
        <v>18</v>
      </c>
      <c r="C1084">
        <v>80</v>
      </c>
      <c r="D1084" t="s">
        <v>19</v>
      </c>
      <c r="E1084" t="s">
        <v>72</v>
      </c>
      <c r="F1084" s="1">
        <v>42485</v>
      </c>
      <c r="G1084" s="1">
        <v>42520</v>
      </c>
      <c r="H1084" t="s">
        <v>30</v>
      </c>
      <c r="I1084">
        <v>35</v>
      </c>
      <c r="J1084" t="s">
        <v>22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</v>
      </c>
      <c r="Q1084" t="s">
        <v>26</v>
      </c>
      <c r="R1084">
        <v>1</v>
      </c>
    </row>
    <row r="1085" spans="1:18">
      <c r="A1085" s="4">
        <v>19718300000000</v>
      </c>
      <c r="B1085" t="s">
        <v>28</v>
      </c>
      <c r="C1085">
        <v>73</v>
      </c>
      <c r="D1085" t="s">
        <v>19</v>
      </c>
      <c r="E1085" t="s">
        <v>72</v>
      </c>
      <c r="F1085" s="1">
        <v>42485</v>
      </c>
      <c r="G1085" s="1">
        <v>42520</v>
      </c>
      <c r="H1085" t="s">
        <v>30</v>
      </c>
      <c r="I1085">
        <v>35</v>
      </c>
      <c r="J1085" t="s">
        <v>22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</v>
      </c>
      <c r="Q1085" t="s">
        <v>23</v>
      </c>
      <c r="R1085">
        <v>0</v>
      </c>
    </row>
    <row r="1086" spans="1:18">
      <c r="A1086" s="4">
        <v>5878720000000</v>
      </c>
      <c r="B1086" t="s">
        <v>28</v>
      </c>
      <c r="C1086">
        <v>26</v>
      </c>
      <c r="D1086" t="s">
        <v>37</v>
      </c>
      <c r="E1086" t="s">
        <v>81</v>
      </c>
      <c r="F1086" s="1">
        <v>42485</v>
      </c>
      <c r="G1086" s="1">
        <v>42524</v>
      </c>
      <c r="H1086" t="s">
        <v>21</v>
      </c>
      <c r="I1086">
        <v>39</v>
      </c>
      <c r="J1086" t="s">
        <v>22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</v>
      </c>
      <c r="Q1086" t="s">
        <v>26</v>
      </c>
      <c r="R1086">
        <v>1</v>
      </c>
    </row>
    <row r="1087" spans="1:18">
      <c r="A1087" s="4">
        <v>8674460000000</v>
      </c>
      <c r="B1087" t="s">
        <v>18</v>
      </c>
      <c r="C1087">
        <v>33</v>
      </c>
      <c r="D1087" t="s">
        <v>37</v>
      </c>
      <c r="E1087" t="s">
        <v>62</v>
      </c>
      <c r="F1087" s="1">
        <v>42485</v>
      </c>
      <c r="G1087" s="1">
        <v>42496</v>
      </c>
      <c r="H1087" t="s">
        <v>21</v>
      </c>
      <c r="I1087">
        <v>11</v>
      </c>
      <c r="J1087" t="s">
        <v>92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</v>
      </c>
      <c r="Q1087" t="s">
        <v>23</v>
      </c>
      <c r="R1087">
        <v>0</v>
      </c>
    </row>
    <row r="1088" spans="1:18">
      <c r="A1088" s="4">
        <v>347853000000000</v>
      </c>
      <c r="B1088" t="s">
        <v>18</v>
      </c>
      <c r="C1088">
        <v>20</v>
      </c>
      <c r="D1088" t="s">
        <v>37</v>
      </c>
      <c r="E1088" t="s">
        <v>32</v>
      </c>
      <c r="F1088" s="1">
        <v>42485</v>
      </c>
      <c r="G1088" s="1">
        <v>42509</v>
      </c>
      <c r="H1088" t="s">
        <v>33</v>
      </c>
      <c r="I1088">
        <v>24</v>
      </c>
      <c r="J1088" t="s">
        <v>77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23</v>
      </c>
      <c r="R1088">
        <v>0</v>
      </c>
    </row>
    <row r="1089" spans="1:18">
      <c r="A1089" s="4">
        <v>6973540000000</v>
      </c>
      <c r="B1089" t="s">
        <v>18</v>
      </c>
      <c r="C1089">
        <v>24</v>
      </c>
      <c r="D1089" t="s">
        <v>37</v>
      </c>
      <c r="E1089" t="s">
        <v>40</v>
      </c>
      <c r="F1089" s="1">
        <v>42485</v>
      </c>
      <c r="G1089" s="1">
        <v>42499</v>
      </c>
      <c r="H1089" t="s">
        <v>30</v>
      </c>
      <c r="I1089">
        <v>14</v>
      </c>
      <c r="J1089" t="s">
        <v>92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26</v>
      </c>
      <c r="R1089">
        <v>1</v>
      </c>
    </row>
    <row r="1090" spans="1:18">
      <c r="A1090" s="4">
        <v>87696700000000</v>
      </c>
      <c r="B1090" t="s">
        <v>28</v>
      </c>
      <c r="C1090">
        <v>39</v>
      </c>
      <c r="D1090" t="s">
        <v>27</v>
      </c>
      <c r="E1090" t="s">
        <v>98</v>
      </c>
      <c r="F1090" s="1">
        <v>42485</v>
      </c>
      <c r="G1090" s="1">
        <v>42502</v>
      </c>
      <c r="H1090" t="s">
        <v>33</v>
      </c>
      <c r="I1090">
        <v>17</v>
      </c>
      <c r="J1090" t="s">
        <v>77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26</v>
      </c>
      <c r="R1090">
        <v>1</v>
      </c>
    </row>
    <row r="1091" spans="1:18">
      <c r="A1091" s="4">
        <v>65244300000000</v>
      </c>
      <c r="B1091" t="s">
        <v>28</v>
      </c>
      <c r="C1091">
        <v>5</v>
      </c>
      <c r="D1091" t="s">
        <v>31</v>
      </c>
      <c r="E1091" t="s">
        <v>66</v>
      </c>
      <c r="F1091" s="1">
        <v>42485</v>
      </c>
      <c r="G1091" s="1">
        <v>42492</v>
      </c>
      <c r="H1091" t="s">
        <v>30</v>
      </c>
      <c r="I1091">
        <v>7</v>
      </c>
      <c r="J1091" t="s">
        <v>107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1</v>
      </c>
      <c r="Q1091" t="s">
        <v>26</v>
      </c>
      <c r="R1091">
        <v>1</v>
      </c>
    </row>
    <row r="1092" spans="1:18">
      <c r="A1092" s="4">
        <v>96847214711</v>
      </c>
      <c r="B1092" t="s">
        <v>28</v>
      </c>
      <c r="C1092">
        <v>10</v>
      </c>
      <c r="D1092" t="s">
        <v>31</v>
      </c>
      <c r="E1092" t="s">
        <v>46</v>
      </c>
      <c r="F1092" s="1">
        <v>42485</v>
      </c>
      <c r="G1092" s="1">
        <v>42502</v>
      </c>
      <c r="H1092" t="s">
        <v>33</v>
      </c>
      <c r="I1092">
        <v>17</v>
      </c>
      <c r="J1092" t="s">
        <v>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</v>
      </c>
      <c r="Q1092" t="s">
        <v>23</v>
      </c>
      <c r="R1092">
        <v>0</v>
      </c>
    </row>
    <row r="1093" spans="1:18">
      <c r="A1093" s="4">
        <v>9146350000000</v>
      </c>
      <c r="B1093" t="s">
        <v>28</v>
      </c>
      <c r="C1093">
        <v>68</v>
      </c>
      <c r="D1093" t="s">
        <v>19</v>
      </c>
      <c r="E1093" t="s">
        <v>47</v>
      </c>
      <c r="F1093" s="1">
        <v>42485</v>
      </c>
      <c r="G1093" s="1">
        <v>42495</v>
      </c>
      <c r="H1093" t="s">
        <v>33</v>
      </c>
      <c r="I1093">
        <v>10</v>
      </c>
      <c r="J1093" t="s">
        <v>92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</v>
      </c>
      <c r="Q1093" t="s">
        <v>23</v>
      </c>
      <c r="R1093">
        <v>0</v>
      </c>
    </row>
    <row r="1094" spans="1:18">
      <c r="A1094" s="4">
        <v>51829700000000</v>
      </c>
      <c r="B1094" t="s">
        <v>18</v>
      </c>
      <c r="C1094">
        <v>52</v>
      </c>
      <c r="D1094" t="s">
        <v>35</v>
      </c>
      <c r="E1094" t="s">
        <v>39</v>
      </c>
      <c r="F1094" s="1">
        <v>42485</v>
      </c>
      <c r="G1094" s="1">
        <v>42500</v>
      </c>
      <c r="H1094" t="s">
        <v>41</v>
      </c>
      <c r="I1094">
        <v>15</v>
      </c>
      <c r="J1094" t="s">
        <v>77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</v>
      </c>
      <c r="Q1094" t="s">
        <v>23</v>
      </c>
      <c r="R1094">
        <v>0</v>
      </c>
    </row>
    <row r="1095" spans="1:18">
      <c r="A1095" s="4">
        <v>653789000000</v>
      </c>
      <c r="B1095" t="s">
        <v>18</v>
      </c>
      <c r="C1095">
        <v>52</v>
      </c>
      <c r="D1095" t="s">
        <v>35</v>
      </c>
      <c r="E1095" t="s">
        <v>58</v>
      </c>
      <c r="F1095" s="1">
        <v>42485</v>
      </c>
      <c r="G1095" s="1">
        <v>42492</v>
      </c>
      <c r="H1095" t="s">
        <v>30</v>
      </c>
      <c r="I1095">
        <v>7</v>
      </c>
      <c r="J1095" t="s">
        <v>107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</v>
      </c>
      <c r="Q1095" t="s">
        <v>23</v>
      </c>
      <c r="R1095">
        <v>0</v>
      </c>
    </row>
    <row r="1096" spans="1:18">
      <c r="A1096" s="4">
        <v>48843400000000</v>
      </c>
      <c r="B1096" t="s">
        <v>28</v>
      </c>
      <c r="C1096">
        <v>18</v>
      </c>
      <c r="D1096" t="s">
        <v>37</v>
      </c>
      <c r="E1096" t="s">
        <v>43</v>
      </c>
      <c r="F1096" s="1">
        <v>42485</v>
      </c>
      <c r="G1096" s="1">
        <v>42500</v>
      </c>
      <c r="H1096" t="s">
        <v>41</v>
      </c>
      <c r="I1096">
        <v>15</v>
      </c>
      <c r="J1096" t="s">
        <v>77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</v>
      </c>
      <c r="Q1096" t="s">
        <v>26</v>
      </c>
      <c r="R1096">
        <v>1</v>
      </c>
    </row>
    <row r="1097" spans="1:18">
      <c r="A1097" s="4">
        <v>82799595198</v>
      </c>
      <c r="B1097" t="s">
        <v>28</v>
      </c>
      <c r="C1097">
        <v>68</v>
      </c>
      <c r="D1097" t="s">
        <v>19</v>
      </c>
      <c r="E1097" t="s">
        <v>61</v>
      </c>
      <c r="F1097" s="1">
        <v>42485</v>
      </c>
      <c r="G1097" s="1">
        <v>42510</v>
      </c>
      <c r="H1097" t="s">
        <v>21</v>
      </c>
      <c r="I1097">
        <v>25</v>
      </c>
      <c r="J1097" t="s">
        <v>77</v>
      </c>
      <c r="K1097">
        <v>0</v>
      </c>
      <c r="L1097">
        <v>0</v>
      </c>
      <c r="M1097">
        <v>1</v>
      </c>
      <c r="N1097">
        <v>0</v>
      </c>
      <c r="O1097">
        <v>0</v>
      </c>
      <c r="P1097">
        <v>0</v>
      </c>
      <c r="Q1097" t="s">
        <v>26</v>
      </c>
      <c r="R1097">
        <v>1</v>
      </c>
    </row>
    <row r="1098" spans="1:18">
      <c r="A1098" s="4">
        <v>855814000000000</v>
      </c>
      <c r="B1098" t="s">
        <v>18</v>
      </c>
      <c r="C1098">
        <v>61</v>
      </c>
      <c r="D1098" t="s">
        <v>35</v>
      </c>
      <c r="E1098" t="s">
        <v>67</v>
      </c>
      <c r="F1098" s="1">
        <v>42485</v>
      </c>
      <c r="G1098" s="1">
        <v>42503</v>
      </c>
      <c r="H1098" t="s">
        <v>21</v>
      </c>
      <c r="I1098">
        <v>18</v>
      </c>
      <c r="J1098" t="s">
        <v>77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23</v>
      </c>
      <c r="R1098">
        <v>0</v>
      </c>
    </row>
    <row r="1099" spans="1:18">
      <c r="A1099" s="4">
        <v>246345000000</v>
      </c>
      <c r="B1099" t="s">
        <v>18</v>
      </c>
      <c r="C1099">
        <v>11</v>
      </c>
      <c r="D1099" t="s">
        <v>31</v>
      </c>
      <c r="E1099" t="s">
        <v>50</v>
      </c>
      <c r="F1099" s="1">
        <v>42485</v>
      </c>
      <c r="G1099" s="1">
        <v>42493</v>
      </c>
      <c r="H1099" t="s">
        <v>41</v>
      </c>
      <c r="I1099">
        <v>8</v>
      </c>
      <c r="J1099" t="s">
        <v>92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</v>
      </c>
      <c r="Q1099" t="s">
        <v>26</v>
      </c>
      <c r="R1099">
        <v>1</v>
      </c>
    </row>
    <row r="1100" spans="1:18">
      <c r="A1100" s="4">
        <v>37258600000000</v>
      </c>
      <c r="B1100" t="s">
        <v>28</v>
      </c>
      <c r="C1100">
        <v>82</v>
      </c>
      <c r="D1100" t="s">
        <v>19</v>
      </c>
      <c r="E1100" t="s">
        <v>29</v>
      </c>
      <c r="F1100" s="1">
        <v>42485</v>
      </c>
      <c r="G1100" s="1">
        <v>42501</v>
      </c>
      <c r="H1100" t="s">
        <v>25</v>
      </c>
      <c r="I1100">
        <v>16</v>
      </c>
      <c r="J1100" t="s">
        <v>77</v>
      </c>
      <c r="K1100">
        <v>0</v>
      </c>
      <c r="L1100">
        <v>1</v>
      </c>
      <c r="M1100">
        <v>1</v>
      </c>
      <c r="N1100">
        <v>0</v>
      </c>
      <c r="O1100">
        <v>0</v>
      </c>
      <c r="P1100">
        <v>0</v>
      </c>
      <c r="Q1100" t="s">
        <v>26</v>
      </c>
      <c r="R1100">
        <v>1</v>
      </c>
    </row>
    <row r="1101" spans="1:18">
      <c r="A1101" s="4">
        <v>669320000000000</v>
      </c>
      <c r="B1101" t="s">
        <v>18</v>
      </c>
      <c r="C1101">
        <v>32</v>
      </c>
      <c r="D1101" t="s">
        <v>37</v>
      </c>
      <c r="E1101" t="s">
        <v>43</v>
      </c>
      <c r="F1101" s="1">
        <v>42485</v>
      </c>
      <c r="G1101" s="1">
        <v>42492</v>
      </c>
      <c r="H1101" t="s">
        <v>30</v>
      </c>
      <c r="I1101">
        <v>7</v>
      </c>
      <c r="J1101" t="s">
        <v>107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</v>
      </c>
      <c r="Q1101" t="s">
        <v>23</v>
      </c>
      <c r="R1101">
        <v>0</v>
      </c>
    </row>
    <row r="1102" spans="1:18">
      <c r="A1102" s="4">
        <v>876435000000</v>
      </c>
      <c r="B1102" t="s">
        <v>18</v>
      </c>
      <c r="C1102">
        <v>39</v>
      </c>
      <c r="D1102" t="s">
        <v>27</v>
      </c>
      <c r="E1102" t="s">
        <v>86</v>
      </c>
      <c r="F1102" s="1">
        <v>42485</v>
      </c>
      <c r="G1102" s="1">
        <v>42496</v>
      </c>
      <c r="H1102" t="s">
        <v>21</v>
      </c>
      <c r="I1102">
        <v>11</v>
      </c>
      <c r="J1102" t="s">
        <v>92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</v>
      </c>
      <c r="Q1102" t="s">
        <v>23</v>
      </c>
      <c r="R1102">
        <v>0</v>
      </c>
    </row>
    <row r="1103" spans="1:18">
      <c r="A1103" s="4">
        <v>978975000000000</v>
      </c>
      <c r="B1103" t="s">
        <v>28</v>
      </c>
      <c r="C1103">
        <v>64</v>
      </c>
      <c r="D1103" t="s">
        <v>35</v>
      </c>
      <c r="E1103" t="s">
        <v>40</v>
      </c>
      <c r="F1103" s="1">
        <v>42485</v>
      </c>
      <c r="G1103" s="1">
        <v>42499</v>
      </c>
      <c r="H1103" t="s">
        <v>30</v>
      </c>
      <c r="I1103">
        <v>14</v>
      </c>
      <c r="J1103" t="s">
        <v>92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23</v>
      </c>
      <c r="R1103">
        <v>0</v>
      </c>
    </row>
    <row r="1104" spans="1:18">
      <c r="A1104" s="4">
        <v>2421520000000</v>
      </c>
      <c r="B1104" t="s">
        <v>28</v>
      </c>
      <c r="C1104">
        <v>6</v>
      </c>
      <c r="D1104" t="s">
        <v>31</v>
      </c>
      <c r="E1104" t="s">
        <v>59</v>
      </c>
      <c r="F1104" s="1">
        <v>42485</v>
      </c>
      <c r="G1104" s="1">
        <v>42500</v>
      </c>
      <c r="H1104" t="s">
        <v>41</v>
      </c>
      <c r="I1104">
        <v>15</v>
      </c>
      <c r="J1104" t="s">
        <v>77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1</v>
      </c>
      <c r="Q1104" t="s">
        <v>23</v>
      </c>
      <c r="R1104">
        <v>0</v>
      </c>
    </row>
    <row r="1105" spans="1:18">
      <c r="A1105" s="4">
        <v>84953600000000</v>
      </c>
      <c r="B1105" t="s">
        <v>18</v>
      </c>
      <c r="C1105">
        <v>40</v>
      </c>
      <c r="D1105" t="s">
        <v>27</v>
      </c>
      <c r="E1105" t="s">
        <v>69</v>
      </c>
      <c r="F1105" s="1">
        <v>42485</v>
      </c>
      <c r="G1105" s="1">
        <v>42494</v>
      </c>
      <c r="H1105" t="s">
        <v>25</v>
      </c>
      <c r="I1105">
        <v>9</v>
      </c>
      <c r="J1105" t="s">
        <v>92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1</v>
      </c>
      <c r="Q1105" t="s">
        <v>26</v>
      </c>
      <c r="R1105">
        <v>1</v>
      </c>
    </row>
    <row r="1106" spans="1:18">
      <c r="A1106" s="4">
        <v>9286653679</v>
      </c>
      <c r="B1106" t="s">
        <v>18</v>
      </c>
      <c r="C1106">
        <v>36</v>
      </c>
      <c r="D1106" t="s">
        <v>27</v>
      </c>
      <c r="E1106" t="s">
        <v>50</v>
      </c>
      <c r="F1106" s="1">
        <v>42485</v>
      </c>
      <c r="G1106" s="1">
        <v>42493</v>
      </c>
      <c r="H1106" t="s">
        <v>41</v>
      </c>
      <c r="I1106">
        <v>8</v>
      </c>
      <c r="J1106" t="s">
        <v>92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</v>
      </c>
      <c r="Q1106" t="s">
        <v>23</v>
      </c>
      <c r="R1106">
        <v>0</v>
      </c>
    </row>
    <row r="1107" spans="1:18">
      <c r="A1107" s="4">
        <v>3936700000000</v>
      </c>
      <c r="B1107" t="s">
        <v>18</v>
      </c>
      <c r="C1107">
        <v>21</v>
      </c>
      <c r="D1107" t="s">
        <v>37</v>
      </c>
      <c r="E1107" t="s">
        <v>54</v>
      </c>
      <c r="F1107" s="1">
        <v>42485</v>
      </c>
      <c r="G1107" s="1">
        <v>42507</v>
      </c>
      <c r="H1107" t="s">
        <v>41</v>
      </c>
      <c r="I1107">
        <v>22</v>
      </c>
      <c r="J1107" t="s">
        <v>77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23</v>
      </c>
      <c r="R1107">
        <v>0</v>
      </c>
    </row>
    <row r="1108" spans="1:18">
      <c r="A1108" s="4">
        <v>927389000000000</v>
      </c>
      <c r="B1108" t="s">
        <v>18</v>
      </c>
      <c r="C1108">
        <v>22</v>
      </c>
      <c r="D1108" t="s">
        <v>37</v>
      </c>
      <c r="E1108" t="s">
        <v>47</v>
      </c>
      <c r="F1108" s="1">
        <v>42485</v>
      </c>
      <c r="G1108" s="1">
        <v>42503</v>
      </c>
      <c r="H1108" t="s">
        <v>21</v>
      </c>
      <c r="I1108">
        <v>18</v>
      </c>
      <c r="J1108" t="s">
        <v>77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23</v>
      </c>
      <c r="R1108">
        <v>0</v>
      </c>
    </row>
    <row r="1109" spans="1:18">
      <c r="A1109" s="4">
        <v>14982800000000</v>
      </c>
      <c r="B1109" t="s">
        <v>28</v>
      </c>
      <c r="C1109">
        <v>10</v>
      </c>
      <c r="D1109" t="s">
        <v>31</v>
      </c>
      <c r="E1109" t="s">
        <v>58</v>
      </c>
      <c r="F1109" s="1">
        <v>42485</v>
      </c>
      <c r="G1109" s="1">
        <v>42499</v>
      </c>
      <c r="H1109" t="s">
        <v>30</v>
      </c>
      <c r="I1109">
        <v>14</v>
      </c>
      <c r="J1109" t="s">
        <v>92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26</v>
      </c>
      <c r="R1109">
        <v>1</v>
      </c>
    </row>
    <row r="1110" spans="1:18">
      <c r="A1110" s="4">
        <v>43668000000000</v>
      </c>
      <c r="B1110" t="s">
        <v>18</v>
      </c>
      <c r="C1110">
        <v>4</v>
      </c>
      <c r="D1110" t="s">
        <v>31</v>
      </c>
      <c r="E1110" t="s">
        <v>40</v>
      </c>
      <c r="F1110" s="1">
        <v>42485</v>
      </c>
      <c r="G1110" s="1">
        <v>42494</v>
      </c>
      <c r="H1110" t="s">
        <v>25</v>
      </c>
      <c r="I1110">
        <v>9</v>
      </c>
      <c r="J1110" t="s">
        <v>92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23</v>
      </c>
      <c r="R1110">
        <v>0</v>
      </c>
    </row>
    <row r="1111" spans="1:18">
      <c r="A1111" s="4">
        <v>754257000000000</v>
      </c>
      <c r="B1111" t="s">
        <v>18</v>
      </c>
      <c r="C1111">
        <v>44</v>
      </c>
      <c r="D1111" t="s">
        <v>27</v>
      </c>
      <c r="E1111" t="s">
        <v>69</v>
      </c>
      <c r="F1111" s="1">
        <v>42485</v>
      </c>
      <c r="G1111" s="1">
        <v>42515</v>
      </c>
      <c r="H1111" t="s">
        <v>25</v>
      </c>
      <c r="I1111">
        <v>30</v>
      </c>
      <c r="J1111" t="s">
        <v>77</v>
      </c>
      <c r="K1111">
        <v>0</v>
      </c>
      <c r="L1111">
        <v>1</v>
      </c>
      <c r="M1111">
        <v>1</v>
      </c>
      <c r="N1111">
        <v>0</v>
      </c>
      <c r="O1111">
        <v>0</v>
      </c>
      <c r="P1111">
        <v>0</v>
      </c>
      <c r="Q1111" t="s">
        <v>26</v>
      </c>
      <c r="R1111">
        <v>1</v>
      </c>
    </row>
    <row r="1112" spans="1:18">
      <c r="A1112" s="4">
        <v>6849450000000</v>
      </c>
      <c r="B1112" t="s">
        <v>28</v>
      </c>
      <c r="C1112">
        <v>6</v>
      </c>
      <c r="D1112" t="s">
        <v>31</v>
      </c>
      <c r="E1112" t="s">
        <v>82</v>
      </c>
      <c r="F1112" s="1">
        <v>42485</v>
      </c>
      <c r="G1112" s="1">
        <v>42493</v>
      </c>
      <c r="H1112" t="s">
        <v>41</v>
      </c>
      <c r="I1112">
        <v>8</v>
      </c>
      <c r="J1112" t="s">
        <v>92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</v>
      </c>
      <c r="Q1112" t="s">
        <v>23</v>
      </c>
      <c r="R1112">
        <v>0</v>
      </c>
    </row>
    <row r="1113" spans="1:18">
      <c r="A1113" s="4">
        <v>9349660000000</v>
      </c>
      <c r="B1113" t="s">
        <v>18</v>
      </c>
      <c r="C1113">
        <v>36</v>
      </c>
      <c r="D1113" t="s">
        <v>27</v>
      </c>
      <c r="E1113" t="s">
        <v>69</v>
      </c>
      <c r="F1113" s="1">
        <v>42485</v>
      </c>
      <c r="G1113" s="1">
        <v>42494</v>
      </c>
      <c r="H1113" t="s">
        <v>25</v>
      </c>
      <c r="I1113">
        <v>9</v>
      </c>
      <c r="J1113" t="s">
        <v>92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23</v>
      </c>
      <c r="R1113">
        <v>0</v>
      </c>
    </row>
    <row r="1114" spans="1:18">
      <c r="A1114" s="4">
        <v>561724000000000</v>
      </c>
      <c r="B1114" t="s">
        <v>18</v>
      </c>
      <c r="C1114">
        <v>3</v>
      </c>
      <c r="D1114" t="s">
        <v>31</v>
      </c>
      <c r="E1114" t="s">
        <v>39</v>
      </c>
      <c r="F1114" s="1">
        <v>42485</v>
      </c>
      <c r="G1114" s="1">
        <v>42499</v>
      </c>
      <c r="H1114" t="s">
        <v>30</v>
      </c>
      <c r="I1114">
        <v>14</v>
      </c>
      <c r="J1114" t="s">
        <v>92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23</v>
      </c>
      <c r="R1114">
        <v>0</v>
      </c>
    </row>
    <row r="1115" spans="1:18">
      <c r="A1115" s="4">
        <v>36151300000000</v>
      </c>
      <c r="B1115" t="s">
        <v>18</v>
      </c>
      <c r="C1115">
        <v>0</v>
      </c>
      <c r="D1115" t="s">
        <v>31</v>
      </c>
      <c r="E1115" t="s">
        <v>45</v>
      </c>
      <c r="F1115" s="1">
        <v>42485</v>
      </c>
      <c r="G1115" s="1">
        <v>42514</v>
      </c>
      <c r="H1115" t="s">
        <v>41</v>
      </c>
      <c r="I1115">
        <v>29</v>
      </c>
      <c r="J1115" t="s">
        <v>77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23</v>
      </c>
      <c r="R1115">
        <v>0</v>
      </c>
    </row>
    <row r="1116" spans="1:18">
      <c r="A1116" s="4">
        <v>15448500000000</v>
      </c>
      <c r="B1116" t="s">
        <v>18</v>
      </c>
      <c r="C1116">
        <v>19</v>
      </c>
      <c r="D1116" t="s">
        <v>37</v>
      </c>
      <c r="E1116" t="s">
        <v>73</v>
      </c>
      <c r="F1116" s="1">
        <v>42485</v>
      </c>
      <c r="G1116" s="1">
        <v>42500</v>
      </c>
      <c r="H1116" t="s">
        <v>41</v>
      </c>
      <c r="I1116">
        <v>15</v>
      </c>
      <c r="J1116" t="s">
        <v>77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26</v>
      </c>
      <c r="R1116">
        <v>1</v>
      </c>
    </row>
    <row r="1117" spans="1:18">
      <c r="A1117" s="4">
        <v>13687300000000</v>
      </c>
      <c r="B1117" t="s">
        <v>28</v>
      </c>
      <c r="C1117">
        <v>38</v>
      </c>
      <c r="D1117" t="s">
        <v>27</v>
      </c>
      <c r="E1117" t="s">
        <v>91</v>
      </c>
      <c r="F1117" s="1">
        <v>42485</v>
      </c>
      <c r="G1117" s="1">
        <v>42493</v>
      </c>
      <c r="H1117" t="s">
        <v>41</v>
      </c>
      <c r="I1117">
        <v>8</v>
      </c>
      <c r="J1117" t="s">
        <v>92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0</v>
      </c>
      <c r="Q1117" t="s">
        <v>23</v>
      </c>
      <c r="R1117">
        <v>0</v>
      </c>
    </row>
    <row r="1118" spans="1:18">
      <c r="A1118" s="4">
        <v>48942400000000</v>
      </c>
      <c r="B1118" t="s">
        <v>18</v>
      </c>
      <c r="C1118">
        <v>13</v>
      </c>
      <c r="D1118" t="s">
        <v>60</v>
      </c>
      <c r="E1118" t="s">
        <v>50</v>
      </c>
      <c r="F1118" s="1">
        <v>42485</v>
      </c>
      <c r="G1118" s="1">
        <v>42499</v>
      </c>
      <c r="H1118" t="s">
        <v>30</v>
      </c>
      <c r="I1118">
        <v>14</v>
      </c>
      <c r="J1118" t="s">
        <v>92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23</v>
      </c>
      <c r="R1118">
        <v>0</v>
      </c>
    </row>
    <row r="1119" spans="1:18">
      <c r="A1119" s="4">
        <v>72870000000000</v>
      </c>
      <c r="B1119" t="s">
        <v>28</v>
      </c>
      <c r="C1119">
        <v>77</v>
      </c>
      <c r="D1119" t="s">
        <v>19</v>
      </c>
      <c r="E1119" t="s">
        <v>47</v>
      </c>
      <c r="F1119" s="1">
        <v>42485</v>
      </c>
      <c r="G1119" s="1">
        <v>42499</v>
      </c>
      <c r="H1119" t="s">
        <v>30</v>
      </c>
      <c r="I1119">
        <v>14</v>
      </c>
      <c r="J1119" t="s">
        <v>92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0</v>
      </c>
      <c r="Q1119" t="s">
        <v>26</v>
      </c>
      <c r="R1119">
        <v>1</v>
      </c>
    </row>
    <row r="1120" spans="1:18">
      <c r="A1120" s="4">
        <v>494889000000</v>
      </c>
      <c r="B1120" t="s">
        <v>18</v>
      </c>
      <c r="C1120">
        <v>64</v>
      </c>
      <c r="D1120" t="s">
        <v>35</v>
      </c>
      <c r="E1120" t="s">
        <v>91</v>
      </c>
      <c r="F1120" s="1">
        <v>42485</v>
      </c>
      <c r="G1120" s="1">
        <v>42500</v>
      </c>
      <c r="H1120" t="s">
        <v>41</v>
      </c>
      <c r="I1120">
        <v>15</v>
      </c>
      <c r="J1120" t="s">
        <v>77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23</v>
      </c>
      <c r="R1120">
        <v>0</v>
      </c>
    </row>
    <row r="1121" spans="1:18">
      <c r="A1121" s="4">
        <v>594319000000000</v>
      </c>
      <c r="B1121" t="s">
        <v>18</v>
      </c>
      <c r="C1121">
        <v>37</v>
      </c>
      <c r="D1121" t="s">
        <v>27</v>
      </c>
      <c r="E1121" t="s">
        <v>54</v>
      </c>
      <c r="F1121" s="1">
        <v>42485</v>
      </c>
      <c r="G1121" s="1">
        <v>42500</v>
      </c>
      <c r="H1121" t="s">
        <v>41</v>
      </c>
      <c r="I1121">
        <v>15</v>
      </c>
      <c r="J1121" t="s">
        <v>77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 t="s">
        <v>26</v>
      </c>
      <c r="R1121">
        <v>1</v>
      </c>
    </row>
    <row r="1122" spans="1:18">
      <c r="A1122" s="4">
        <v>18615947251</v>
      </c>
      <c r="B1122" t="s">
        <v>18</v>
      </c>
      <c r="C1122">
        <v>28</v>
      </c>
      <c r="D1122" t="s">
        <v>37</v>
      </c>
      <c r="E1122" t="s">
        <v>108</v>
      </c>
      <c r="F1122" s="1">
        <v>42485</v>
      </c>
      <c r="G1122" s="1">
        <v>42494</v>
      </c>
      <c r="H1122" t="s">
        <v>25</v>
      </c>
      <c r="I1122">
        <v>9</v>
      </c>
      <c r="J1122" t="s">
        <v>92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</v>
      </c>
      <c r="Q1122" t="s">
        <v>23</v>
      </c>
      <c r="R1122">
        <v>0</v>
      </c>
    </row>
    <row r="1123" spans="1:18">
      <c r="A1123" s="4">
        <v>87823500000000</v>
      </c>
      <c r="B1123" t="s">
        <v>18</v>
      </c>
      <c r="C1123">
        <v>19</v>
      </c>
      <c r="D1123" t="s">
        <v>37</v>
      </c>
      <c r="E1123" t="s">
        <v>42</v>
      </c>
      <c r="F1123" s="1">
        <v>42485</v>
      </c>
      <c r="G1123" s="1">
        <v>42520</v>
      </c>
      <c r="H1123" t="s">
        <v>30</v>
      </c>
      <c r="I1123">
        <v>35</v>
      </c>
      <c r="J1123" t="s">
        <v>22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</v>
      </c>
      <c r="Q1123" t="s">
        <v>23</v>
      </c>
      <c r="R1123">
        <v>0</v>
      </c>
    </row>
    <row r="1124" spans="1:18">
      <c r="A1124" s="4">
        <v>462825000000</v>
      </c>
      <c r="B1124" t="s">
        <v>18</v>
      </c>
      <c r="C1124">
        <v>3</v>
      </c>
      <c r="D1124" t="s">
        <v>31</v>
      </c>
      <c r="E1124" t="s">
        <v>84</v>
      </c>
      <c r="F1124" s="1">
        <v>42485</v>
      </c>
      <c r="G1124" s="1">
        <v>42489</v>
      </c>
      <c r="H1124" t="s">
        <v>21</v>
      </c>
      <c r="I1124">
        <v>4</v>
      </c>
      <c r="J1124" t="s">
        <v>107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</v>
      </c>
      <c r="Q1124" t="s">
        <v>23</v>
      </c>
      <c r="R1124">
        <v>0</v>
      </c>
    </row>
    <row r="1125" spans="1:18">
      <c r="A1125" s="4">
        <v>43321300000000</v>
      </c>
      <c r="B1125" t="s">
        <v>18</v>
      </c>
      <c r="C1125">
        <v>57</v>
      </c>
      <c r="D1125" t="s">
        <v>35</v>
      </c>
      <c r="E1125" t="s">
        <v>20</v>
      </c>
      <c r="F1125" s="1">
        <v>42485</v>
      </c>
      <c r="G1125" s="1">
        <v>42524</v>
      </c>
      <c r="H1125" t="s">
        <v>21</v>
      </c>
      <c r="I1125">
        <v>39</v>
      </c>
      <c r="J1125" t="s">
        <v>22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1</v>
      </c>
      <c r="Q1125" t="s">
        <v>23</v>
      </c>
      <c r="R1125">
        <v>0</v>
      </c>
    </row>
    <row r="1126" spans="1:18">
      <c r="A1126" s="4">
        <v>111311000000</v>
      </c>
      <c r="B1126" t="s">
        <v>28</v>
      </c>
      <c r="C1126">
        <v>0</v>
      </c>
      <c r="D1126" t="s">
        <v>31</v>
      </c>
      <c r="E1126" t="s">
        <v>51</v>
      </c>
      <c r="F1126" s="1">
        <v>42485</v>
      </c>
      <c r="G1126" s="1">
        <v>42499</v>
      </c>
      <c r="H1126" t="s">
        <v>30</v>
      </c>
      <c r="I1126">
        <v>14</v>
      </c>
      <c r="J1126" t="s">
        <v>92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23</v>
      </c>
      <c r="R1126">
        <v>0</v>
      </c>
    </row>
    <row r="1127" spans="1:18">
      <c r="A1127" s="4">
        <v>64861100000000</v>
      </c>
      <c r="B1127" t="s">
        <v>18</v>
      </c>
      <c r="C1127">
        <v>64</v>
      </c>
      <c r="D1127" t="s">
        <v>35</v>
      </c>
      <c r="E1127" t="s">
        <v>29</v>
      </c>
      <c r="F1127" s="1">
        <v>42485</v>
      </c>
      <c r="G1127" s="1">
        <v>42509</v>
      </c>
      <c r="H1127" t="s">
        <v>33</v>
      </c>
      <c r="I1127">
        <v>24</v>
      </c>
      <c r="J1127" t="s">
        <v>77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23</v>
      </c>
      <c r="R1127">
        <v>0</v>
      </c>
    </row>
    <row r="1128" spans="1:18">
      <c r="A1128" s="4">
        <v>917448000000</v>
      </c>
      <c r="B1128" t="s">
        <v>28</v>
      </c>
      <c r="C1128">
        <v>0</v>
      </c>
      <c r="D1128" t="s">
        <v>31</v>
      </c>
      <c r="E1128" t="s">
        <v>44</v>
      </c>
      <c r="F1128" s="1">
        <v>42485</v>
      </c>
      <c r="G1128" s="1">
        <v>42495</v>
      </c>
      <c r="H1128" t="s">
        <v>33</v>
      </c>
      <c r="I1128">
        <v>10</v>
      </c>
      <c r="J1128" t="s">
        <v>92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 t="s">
        <v>26</v>
      </c>
      <c r="R1128">
        <v>1</v>
      </c>
    </row>
    <row r="1129" spans="1:18">
      <c r="A1129" s="4">
        <v>24655700000000</v>
      </c>
      <c r="B1129" t="s">
        <v>18</v>
      </c>
      <c r="C1129">
        <v>4</v>
      </c>
      <c r="D1129" t="s">
        <v>31</v>
      </c>
      <c r="E1129" t="s">
        <v>45</v>
      </c>
      <c r="F1129" s="1">
        <v>42485</v>
      </c>
      <c r="G1129" s="1">
        <v>42507</v>
      </c>
      <c r="H1129" t="s">
        <v>41</v>
      </c>
      <c r="I1129">
        <v>22</v>
      </c>
      <c r="J1129" t="s">
        <v>77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26</v>
      </c>
      <c r="R1129">
        <v>1</v>
      </c>
    </row>
    <row r="1130" spans="1:18">
      <c r="A1130" s="4">
        <v>83944300000000</v>
      </c>
      <c r="B1130" t="s">
        <v>18</v>
      </c>
      <c r="C1130">
        <v>45</v>
      </c>
      <c r="D1130" t="s">
        <v>27</v>
      </c>
      <c r="E1130" t="s">
        <v>72</v>
      </c>
      <c r="F1130" s="1">
        <v>42485</v>
      </c>
      <c r="G1130" s="1">
        <v>42521</v>
      </c>
      <c r="H1130" t="s">
        <v>41</v>
      </c>
      <c r="I1130">
        <v>36</v>
      </c>
      <c r="J1130" t="s">
        <v>22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</v>
      </c>
      <c r="Q1130" t="s">
        <v>23</v>
      </c>
      <c r="R1130">
        <v>0</v>
      </c>
    </row>
    <row r="1131" spans="1:18">
      <c r="A1131" s="4">
        <v>81652600000000</v>
      </c>
      <c r="B1131" t="s">
        <v>28</v>
      </c>
      <c r="C1131">
        <v>15</v>
      </c>
      <c r="D1131" t="s">
        <v>60</v>
      </c>
      <c r="E1131" t="s">
        <v>34</v>
      </c>
      <c r="F1131" s="1">
        <v>42485</v>
      </c>
      <c r="G1131" s="1">
        <v>42492</v>
      </c>
      <c r="H1131" t="s">
        <v>30</v>
      </c>
      <c r="I1131">
        <v>7</v>
      </c>
      <c r="J1131" t="s">
        <v>107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</v>
      </c>
      <c r="Q1131" t="s">
        <v>23</v>
      </c>
      <c r="R1131">
        <v>0</v>
      </c>
    </row>
    <row r="1132" spans="1:18">
      <c r="A1132" s="4">
        <v>875777000000000</v>
      </c>
      <c r="B1132" t="s">
        <v>28</v>
      </c>
      <c r="C1132">
        <v>18</v>
      </c>
      <c r="D1132" t="s">
        <v>37</v>
      </c>
      <c r="E1132" t="s">
        <v>45</v>
      </c>
      <c r="F1132" s="1">
        <v>42485</v>
      </c>
      <c r="G1132" s="1">
        <v>42507</v>
      </c>
      <c r="H1132" t="s">
        <v>41</v>
      </c>
      <c r="I1132">
        <v>22</v>
      </c>
      <c r="J1132" t="s">
        <v>77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23</v>
      </c>
      <c r="R1132">
        <v>0</v>
      </c>
    </row>
    <row r="1133" spans="1:18">
      <c r="A1133" s="4">
        <v>556120000000</v>
      </c>
      <c r="B1133" t="s">
        <v>28</v>
      </c>
      <c r="C1133">
        <v>8</v>
      </c>
      <c r="D1133" t="s">
        <v>31</v>
      </c>
      <c r="E1133" t="s">
        <v>59</v>
      </c>
      <c r="F1133" s="1">
        <v>42485</v>
      </c>
      <c r="G1133" s="1">
        <v>42500</v>
      </c>
      <c r="H1133" t="s">
        <v>41</v>
      </c>
      <c r="I1133">
        <v>15</v>
      </c>
      <c r="J1133" t="s">
        <v>77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1</v>
      </c>
      <c r="Q1133" t="s">
        <v>26</v>
      </c>
      <c r="R1133">
        <v>1</v>
      </c>
    </row>
    <row r="1134" spans="1:18">
      <c r="A1134" s="4">
        <v>2341980000000</v>
      </c>
      <c r="B1134" t="s">
        <v>28</v>
      </c>
      <c r="C1134">
        <v>1</v>
      </c>
      <c r="D1134" t="s">
        <v>31</v>
      </c>
      <c r="E1134" t="s">
        <v>64</v>
      </c>
      <c r="F1134" s="1">
        <v>42485</v>
      </c>
      <c r="G1134" s="1">
        <v>42520</v>
      </c>
      <c r="H1134" t="s">
        <v>30</v>
      </c>
      <c r="I1134">
        <v>35</v>
      </c>
      <c r="J1134" t="s">
        <v>22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26</v>
      </c>
      <c r="R1134">
        <v>1</v>
      </c>
    </row>
    <row r="1135" spans="1:18">
      <c r="A1135" s="4">
        <v>42544500000000</v>
      </c>
      <c r="B1135" t="s">
        <v>18</v>
      </c>
      <c r="C1135">
        <v>13</v>
      </c>
      <c r="D1135" t="s">
        <v>60</v>
      </c>
      <c r="E1135" t="s">
        <v>44</v>
      </c>
      <c r="F1135" s="1">
        <v>42485</v>
      </c>
      <c r="G1135" s="1">
        <v>42492</v>
      </c>
      <c r="H1135" t="s">
        <v>30</v>
      </c>
      <c r="I1135">
        <v>7</v>
      </c>
      <c r="J1135" t="s">
        <v>107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</v>
      </c>
      <c r="Q1135" t="s">
        <v>26</v>
      </c>
      <c r="R1135">
        <v>1</v>
      </c>
    </row>
    <row r="1136" spans="1:18">
      <c r="A1136" s="4">
        <v>283767000000000</v>
      </c>
      <c r="B1136" t="s">
        <v>28</v>
      </c>
      <c r="C1136">
        <v>2</v>
      </c>
      <c r="D1136" t="s">
        <v>31</v>
      </c>
      <c r="E1136" t="s">
        <v>84</v>
      </c>
      <c r="F1136" s="1">
        <v>42485</v>
      </c>
      <c r="G1136" s="1">
        <v>42496</v>
      </c>
      <c r="H1136" t="s">
        <v>21</v>
      </c>
      <c r="I1136">
        <v>11</v>
      </c>
      <c r="J1136" t="s">
        <v>92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</v>
      </c>
      <c r="Q1136" t="s">
        <v>23</v>
      </c>
      <c r="R1136">
        <v>0</v>
      </c>
    </row>
    <row r="1137" spans="1:18">
      <c r="A1137" s="4">
        <v>9653180000000</v>
      </c>
      <c r="B1137" t="s">
        <v>18</v>
      </c>
      <c r="C1137">
        <v>1</v>
      </c>
      <c r="D1137" t="s">
        <v>31</v>
      </c>
      <c r="E1137" t="s">
        <v>69</v>
      </c>
      <c r="F1137" s="1">
        <v>42485</v>
      </c>
      <c r="G1137" s="1">
        <v>42492</v>
      </c>
      <c r="H1137" t="s">
        <v>30</v>
      </c>
      <c r="I1137">
        <v>7</v>
      </c>
      <c r="J1137" t="s">
        <v>107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</v>
      </c>
      <c r="Q1137" t="s">
        <v>26</v>
      </c>
      <c r="R1137">
        <v>1</v>
      </c>
    </row>
    <row r="1138" spans="1:18">
      <c r="A1138" s="4">
        <v>9228740000000</v>
      </c>
      <c r="B1138" t="s">
        <v>18</v>
      </c>
      <c r="C1138">
        <v>45</v>
      </c>
      <c r="D1138" t="s">
        <v>27</v>
      </c>
      <c r="E1138" t="s">
        <v>69</v>
      </c>
      <c r="F1138" s="1">
        <v>42485</v>
      </c>
      <c r="G1138" s="1">
        <v>42496</v>
      </c>
      <c r="H1138" t="s">
        <v>21</v>
      </c>
      <c r="I1138">
        <v>11</v>
      </c>
      <c r="J1138" t="s">
        <v>92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</v>
      </c>
      <c r="Q1138" t="s">
        <v>23</v>
      </c>
      <c r="R1138">
        <v>0</v>
      </c>
    </row>
    <row r="1139" spans="1:18">
      <c r="A1139" s="4">
        <v>492245000000</v>
      </c>
      <c r="B1139" t="s">
        <v>28</v>
      </c>
      <c r="C1139">
        <v>1</v>
      </c>
      <c r="D1139" t="s">
        <v>31</v>
      </c>
      <c r="E1139" t="s">
        <v>69</v>
      </c>
      <c r="F1139" s="1">
        <v>42485</v>
      </c>
      <c r="G1139" s="1">
        <v>42492</v>
      </c>
      <c r="H1139" t="s">
        <v>30</v>
      </c>
      <c r="I1139">
        <v>7</v>
      </c>
      <c r="J1139" t="s">
        <v>107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23</v>
      </c>
      <c r="R1139">
        <v>0</v>
      </c>
    </row>
    <row r="1140" spans="1:18">
      <c r="A1140" s="4">
        <v>981893000000000</v>
      </c>
      <c r="B1140" t="s">
        <v>18</v>
      </c>
      <c r="C1140">
        <v>9</v>
      </c>
      <c r="D1140" t="s">
        <v>31</v>
      </c>
      <c r="E1140" t="s">
        <v>40</v>
      </c>
      <c r="F1140" s="1">
        <v>42485</v>
      </c>
      <c r="G1140" s="1">
        <v>42495</v>
      </c>
      <c r="H1140" t="s">
        <v>33</v>
      </c>
      <c r="I1140">
        <v>10</v>
      </c>
      <c r="J1140" t="s">
        <v>92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 t="s">
        <v>23</v>
      </c>
      <c r="R1140">
        <v>0</v>
      </c>
    </row>
    <row r="1141" spans="1:18">
      <c r="A1141" s="4">
        <v>178959000000</v>
      </c>
      <c r="B1141" t="s">
        <v>18</v>
      </c>
      <c r="C1141">
        <v>1</v>
      </c>
      <c r="D1141" t="s">
        <v>31</v>
      </c>
      <c r="E1141" t="s">
        <v>69</v>
      </c>
      <c r="F1141" s="1">
        <v>42485</v>
      </c>
      <c r="G1141" s="1">
        <v>42499</v>
      </c>
      <c r="H1141" t="s">
        <v>30</v>
      </c>
      <c r="I1141">
        <v>14</v>
      </c>
      <c r="J1141" t="s">
        <v>92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23</v>
      </c>
      <c r="R1141">
        <v>0</v>
      </c>
    </row>
    <row r="1142" spans="1:18">
      <c r="A1142" s="4">
        <v>14927846323</v>
      </c>
      <c r="B1142" t="s">
        <v>18</v>
      </c>
      <c r="C1142">
        <v>7</v>
      </c>
      <c r="D1142" t="s">
        <v>31</v>
      </c>
      <c r="E1142" t="s">
        <v>65</v>
      </c>
      <c r="F1142" s="1">
        <v>42485</v>
      </c>
      <c r="G1142" s="1">
        <v>42500</v>
      </c>
      <c r="H1142" t="s">
        <v>41</v>
      </c>
      <c r="I1142">
        <v>15</v>
      </c>
      <c r="J1142" t="s">
        <v>77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</v>
      </c>
      <c r="Q1142" t="s">
        <v>26</v>
      </c>
      <c r="R1142">
        <v>1</v>
      </c>
    </row>
    <row r="1143" spans="1:18">
      <c r="A1143" s="4">
        <v>1454580000000</v>
      </c>
      <c r="B1143" t="s">
        <v>18</v>
      </c>
      <c r="C1143">
        <v>0</v>
      </c>
      <c r="D1143" t="s">
        <v>31</v>
      </c>
      <c r="E1143" t="s">
        <v>71</v>
      </c>
      <c r="F1143" s="1">
        <v>42485</v>
      </c>
      <c r="G1143" s="1">
        <v>42492</v>
      </c>
      <c r="H1143" t="s">
        <v>30</v>
      </c>
      <c r="I1143">
        <v>7</v>
      </c>
      <c r="J1143" t="s">
        <v>107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26</v>
      </c>
      <c r="R1143">
        <v>1</v>
      </c>
    </row>
    <row r="1144" spans="1:18">
      <c r="A1144" s="4">
        <v>444473000000</v>
      </c>
      <c r="B1144" t="s">
        <v>18</v>
      </c>
      <c r="C1144">
        <v>32</v>
      </c>
      <c r="D1144" t="s">
        <v>37</v>
      </c>
      <c r="E1144" t="s">
        <v>45</v>
      </c>
      <c r="F1144" s="1">
        <v>42485</v>
      </c>
      <c r="G1144" s="1">
        <v>42496</v>
      </c>
      <c r="H1144" t="s">
        <v>21</v>
      </c>
      <c r="I1144">
        <v>11</v>
      </c>
      <c r="J1144" t="s">
        <v>92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</v>
      </c>
      <c r="Q1144" t="s">
        <v>23</v>
      </c>
      <c r="R1144">
        <v>0</v>
      </c>
    </row>
    <row r="1145" spans="1:18">
      <c r="A1145" s="4">
        <v>94414500000000</v>
      </c>
      <c r="B1145" t="s">
        <v>28</v>
      </c>
      <c r="C1145">
        <v>6</v>
      </c>
      <c r="D1145" t="s">
        <v>31</v>
      </c>
      <c r="E1145" t="s">
        <v>38</v>
      </c>
      <c r="F1145" s="1">
        <v>42485</v>
      </c>
      <c r="G1145" s="1">
        <v>42493</v>
      </c>
      <c r="H1145" t="s">
        <v>41</v>
      </c>
      <c r="I1145">
        <v>8</v>
      </c>
      <c r="J1145" t="s">
        <v>92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1</v>
      </c>
      <c r="Q1145" t="s">
        <v>23</v>
      </c>
      <c r="R1145">
        <v>0</v>
      </c>
    </row>
    <row r="1146" spans="1:18">
      <c r="A1146" s="4">
        <v>49782700000000</v>
      </c>
      <c r="B1146" t="s">
        <v>18</v>
      </c>
      <c r="C1146">
        <v>15</v>
      </c>
      <c r="D1146" t="s">
        <v>60</v>
      </c>
      <c r="E1146" t="s">
        <v>74</v>
      </c>
      <c r="F1146" s="1">
        <v>42485</v>
      </c>
      <c r="G1146" s="1">
        <v>42499</v>
      </c>
      <c r="H1146" t="s">
        <v>30</v>
      </c>
      <c r="I1146">
        <v>14</v>
      </c>
      <c r="J1146" t="s">
        <v>92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26</v>
      </c>
      <c r="R1146">
        <v>1</v>
      </c>
    </row>
    <row r="1147" spans="1:18">
      <c r="A1147" s="4">
        <v>6642340000000</v>
      </c>
      <c r="B1147" t="s">
        <v>28</v>
      </c>
      <c r="C1147">
        <v>23</v>
      </c>
      <c r="D1147" t="s">
        <v>37</v>
      </c>
      <c r="E1147" t="s">
        <v>50</v>
      </c>
      <c r="F1147" s="1">
        <v>42485</v>
      </c>
      <c r="G1147" s="1">
        <v>42489</v>
      </c>
      <c r="H1147" t="s">
        <v>21</v>
      </c>
      <c r="I1147">
        <v>4</v>
      </c>
      <c r="J1147" t="s">
        <v>107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23</v>
      </c>
      <c r="R1147">
        <v>0</v>
      </c>
    </row>
    <row r="1148" spans="1:18">
      <c r="A1148" s="4">
        <v>6933940000000</v>
      </c>
      <c r="B1148" t="s">
        <v>18</v>
      </c>
      <c r="C1148">
        <v>27</v>
      </c>
      <c r="D1148" t="s">
        <v>37</v>
      </c>
      <c r="E1148" t="s">
        <v>70</v>
      </c>
      <c r="F1148" s="1">
        <v>42485</v>
      </c>
      <c r="G1148" s="1">
        <v>42495</v>
      </c>
      <c r="H1148" t="s">
        <v>33</v>
      </c>
      <c r="I1148">
        <v>10</v>
      </c>
      <c r="J1148" t="s">
        <v>92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26</v>
      </c>
      <c r="R1148">
        <v>1</v>
      </c>
    </row>
    <row r="1149" spans="1:18">
      <c r="A1149" s="4">
        <v>744488000000</v>
      </c>
      <c r="B1149" t="s">
        <v>18</v>
      </c>
      <c r="C1149">
        <v>24</v>
      </c>
      <c r="D1149" t="s">
        <v>37</v>
      </c>
      <c r="E1149" t="s">
        <v>46</v>
      </c>
      <c r="F1149" s="1">
        <v>42485</v>
      </c>
      <c r="G1149" s="1">
        <v>42503</v>
      </c>
      <c r="H1149" t="s">
        <v>21</v>
      </c>
      <c r="I1149">
        <v>18</v>
      </c>
      <c r="J1149" t="s">
        <v>77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26</v>
      </c>
      <c r="R1149">
        <v>1</v>
      </c>
    </row>
    <row r="1150" spans="1:18">
      <c r="A1150" s="4">
        <v>4198840000000</v>
      </c>
      <c r="B1150" t="s">
        <v>18</v>
      </c>
      <c r="C1150">
        <v>50</v>
      </c>
      <c r="D1150" t="s">
        <v>27</v>
      </c>
      <c r="E1150" t="s">
        <v>47</v>
      </c>
      <c r="F1150" s="1">
        <v>42485</v>
      </c>
      <c r="G1150" s="1">
        <v>42499</v>
      </c>
      <c r="H1150" t="s">
        <v>30</v>
      </c>
      <c r="I1150">
        <v>14</v>
      </c>
      <c r="J1150" t="s">
        <v>92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23</v>
      </c>
      <c r="R1150">
        <v>0</v>
      </c>
    </row>
    <row r="1151" spans="1:18">
      <c r="A1151" s="4">
        <v>52869300000000</v>
      </c>
      <c r="B1151" t="s">
        <v>18</v>
      </c>
      <c r="C1151">
        <v>43</v>
      </c>
      <c r="D1151" t="s">
        <v>27</v>
      </c>
      <c r="E1151" t="s">
        <v>38</v>
      </c>
      <c r="F1151" s="1">
        <v>42485</v>
      </c>
      <c r="G1151" s="1">
        <v>42520</v>
      </c>
      <c r="H1151" t="s">
        <v>30</v>
      </c>
      <c r="I1151">
        <v>35</v>
      </c>
      <c r="J1151" t="s">
        <v>22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23</v>
      </c>
      <c r="R1151">
        <v>0</v>
      </c>
    </row>
    <row r="1152" spans="1:18">
      <c r="A1152" s="4">
        <v>85642200000000</v>
      </c>
      <c r="B1152" t="s">
        <v>18</v>
      </c>
      <c r="C1152">
        <v>27</v>
      </c>
      <c r="D1152" t="s">
        <v>37</v>
      </c>
      <c r="E1152" t="s">
        <v>43</v>
      </c>
      <c r="F1152" s="1">
        <v>42485</v>
      </c>
      <c r="G1152" s="1">
        <v>42494</v>
      </c>
      <c r="H1152" t="s">
        <v>25</v>
      </c>
      <c r="I1152">
        <v>9</v>
      </c>
      <c r="J1152" t="s">
        <v>92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</v>
      </c>
      <c r="Q1152" t="s">
        <v>23</v>
      </c>
      <c r="R1152">
        <v>0</v>
      </c>
    </row>
    <row r="1153" spans="1:18">
      <c r="A1153" s="4">
        <v>86776700000000</v>
      </c>
      <c r="B1153" t="s">
        <v>28</v>
      </c>
      <c r="C1153">
        <v>0</v>
      </c>
      <c r="D1153" t="s">
        <v>31</v>
      </c>
      <c r="E1153" t="s">
        <v>20</v>
      </c>
      <c r="F1153" s="1">
        <v>42485</v>
      </c>
      <c r="G1153" s="1">
        <v>42520</v>
      </c>
      <c r="H1153" t="s">
        <v>30</v>
      </c>
      <c r="I1153">
        <v>35</v>
      </c>
      <c r="J1153" t="s">
        <v>22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</v>
      </c>
      <c r="Q1153" t="s">
        <v>23</v>
      </c>
      <c r="R1153">
        <v>0</v>
      </c>
    </row>
    <row r="1154" spans="1:18">
      <c r="A1154" s="4">
        <v>126422000000000</v>
      </c>
      <c r="B1154" t="s">
        <v>28</v>
      </c>
      <c r="C1154">
        <v>1</v>
      </c>
      <c r="D1154" t="s">
        <v>31</v>
      </c>
      <c r="E1154" t="s">
        <v>20</v>
      </c>
      <c r="F1154" s="1">
        <v>42485</v>
      </c>
      <c r="G1154" s="1">
        <v>42506</v>
      </c>
      <c r="H1154" t="s">
        <v>30</v>
      </c>
      <c r="I1154">
        <v>21</v>
      </c>
      <c r="J1154" t="s">
        <v>77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26</v>
      </c>
      <c r="R1154">
        <v>1</v>
      </c>
    </row>
    <row r="1155" spans="1:18">
      <c r="A1155" s="4">
        <v>979654000000</v>
      </c>
      <c r="B1155" t="s">
        <v>18</v>
      </c>
      <c r="C1155">
        <v>17</v>
      </c>
      <c r="D1155" t="s">
        <v>60</v>
      </c>
      <c r="E1155" t="s">
        <v>38</v>
      </c>
      <c r="F1155" s="1">
        <v>42485</v>
      </c>
      <c r="G1155" s="1">
        <v>42499</v>
      </c>
      <c r="H1155" t="s">
        <v>30</v>
      </c>
      <c r="I1155">
        <v>14</v>
      </c>
      <c r="J1155" t="s">
        <v>92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26</v>
      </c>
      <c r="R1155">
        <v>1</v>
      </c>
    </row>
    <row r="1156" spans="1:18">
      <c r="A1156" s="4">
        <v>919579000000000</v>
      </c>
      <c r="B1156" t="s">
        <v>28</v>
      </c>
      <c r="C1156">
        <v>0</v>
      </c>
      <c r="D1156" t="s">
        <v>31</v>
      </c>
      <c r="E1156" t="s">
        <v>64</v>
      </c>
      <c r="F1156" s="1">
        <v>42485</v>
      </c>
      <c r="G1156" s="1">
        <v>42499</v>
      </c>
      <c r="H1156" t="s">
        <v>30</v>
      </c>
      <c r="I1156">
        <v>14</v>
      </c>
      <c r="J1156" t="s">
        <v>92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26</v>
      </c>
      <c r="R1156">
        <v>1</v>
      </c>
    </row>
    <row r="1157" spans="1:18">
      <c r="A1157" s="4">
        <v>845820000000</v>
      </c>
      <c r="B1157" t="s">
        <v>28</v>
      </c>
      <c r="C1157">
        <v>83</v>
      </c>
      <c r="D1157" t="s">
        <v>19</v>
      </c>
      <c r="E1157" t="s">
        <v>29</v>
      </c>
      <c r="F1157" s="1">
        <v>42485</v>
      </c>
      <c r="G1157" s="1">
        <v>42510</v>
      </c>
      <c r="H1157" t="s">
        <v>21</v>
      </c>
      <c r="I1157">
        <v>25</v>
      </c>
      <c r="J1157" t="s">
        <v>77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0</v>
      </c>
      <c r="Q1157" t="s">
        <v>23</v>
      </c>
      <c r="R1157">
        <v>0</v>
      </c>
    </row>
    <row r="1158" spans="1:18">
      <c r="A1158" s="4">
        <v>37168300000000</v>
      </c>
      <c r="B1158" t="s">
        <v>18</v>
      </c>
      <c r="C1158">
        <v>12</v>
      </c>
      <c r="D1158" t="s">
        <v>31</v>
      </c>
      <c r="E1158" t="s">
        <v>88</v>
      </c>
      <c r="F1158" s="1">
        <v>42485</v>
      </c>
      <c r="G1158" s="1">
        <v>42510</v>
      </c>
      <c r="H1158" t="s">
        <v>21</v>
      </c>
      <c r="I1158">
        <v>25</v>
      </c>
      <c r="J1158" t="s">
        <v>77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23</v>
      </c>
      <c r="R1158">
        <v>0</v>
      </c>
    </row>
    <row r="1159" spans="1:18">
      <c r="A1159" s="4">
        <v>24194500000000</v>
      </c>
      <c r="B1159" t="s">
        <v>18</v>
      </c>
      <c r="C1159">
        <v>0</v>
      </c>
      <c r="D1159" t="s">
        <v>31</v>
      </c>
      <c r="E1159" t="s">
        <v>59</v>
      </c>
      <c r="F1159" s="1">
        <v>42485</v>
      </c>
      <c r="G1159" s="1">
        <v>42495</v>
      </c>
      <c r="H1159" t="s">
        <v>33</v>
      </c>
      <c r="I1159">
        <v>10</v>
      </c>
      <c r="J1159" t="s">
        <v>92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</v>
      </c>
      <c r="Q1159" t="s">
        <v>23</v>
      </c>
      <c r="R1159">
        <v>0</v>
      </c>
    </row>
    <row r="1160" spans="1:18">
      <c r="A1160" s="4">
        <v>579721997</v>
      </c>
      <c r="B1160" t="s">
        <v>18</v>
      </c>
      <c r="C1160">
        <v>29</v>
      </c>
      <c r="D1160" t="s">
        <v>37</v>
      </c>
      <c r="E1160" t="s">
        <v>64</v>
      </c>
      <c r="F1160" s="1">
        <v>42485</v>
      </c>
      <c r="G1160" s="1">
        <v>42492</v>
      </c>
      <c r="H1160" t="s">
        <v>30</v>
      </c>
      <c r="I1160">
        <v>7</v>
      </c>
      <c r="J1160" t="s">
        <v>107</v>
      </c>
      <c r="K1160">
        <v>1</v>
      </c>
      <c r="L1160">
        <v>1</v>
      </c>
      <c r="M1160">
        <v>0</v>
      </c>
      <c r="N1160">
        <v>0</v>
      </c>
      <c r="O1160">
        <v>0</v>
      </c>
      <c r="P1160">
        <v>1</v>
      </c>
      <c r="Q1160" t="s">
        <v>23</v>
      </c>
      <c r="R1160">
        <v>0</v>
      </c>
    </row>
    <row r="1161" spans="1:18">
      <c r="A1161" s="4">
        <v>1428820000000</v>
      </c>
      <c r="B1161" t="s">
        <v>28</v>
      </c>
      <c r="C1161">
        <v>20</v>
      </c>
      <c r="D1161" t="s">
        <v>37</v>
      </c>
      <c r="E1161" t="s">
        <v>59</v>
      </c>
      <c r="F1161" s="1">
        <v>42485</v>
      </c>
      <c r="G1161" s="1">
        <v>42524</v>
      </c>
      <c r="H1161" t="s">
        <v>21</v>
      </c>
      <c r="I1161">
        <v>39</v>
      </c>
      <c r="J1161" t="s">
        <v>22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1</v>
      </c>
      <c r="Q1161" t="s">
        <v>23</v>
      </c>
      <c r="R1161">
        <v>0</v>
      </c>
    </row>
    <row r="1162" spans="1:18">
      <c r="A1162" s="4">
        <v>762726000000000</v>
      </c>
      <c r="B1162" t="s">
        <v>18</v>
      </c>
      <c r="C1162">
        <v>47</v>
      </c>
      <c r="D1162" t="s">
        <v>27</v>
      </c>
      <c r="E1162" t="s">
        <v>50</v>
      </c>
      <c r="F1162" s="1">
        <v>42485</v>
      </c>
      <c r="G1162" s="1">
        <v>42500</v>
      </c>
      <c r="H1162" t="s">
        <v>41</v>
      </c>
      <c r="I1162">
        <v>15</v>
      </c>
      <c r="J1162" t="s">
        <v>77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</v>
      </c>
      <c r="Q1162" t="s">
        <v>23</v>
      </c>
      <c r="R1162">
        <v>0</v>
      </c>
    </row>
    <row r="1163" spans="1:18">
      <c r="A1163" s="4">
        <v>736428000000000</v>
      </c>
      <c r="B1163" t="s">
        <v>18</v>
      </c>
      <c r="C1163">
        <v>26</v>
      </c>
      <c r="D1163" t="s">
        <v>37</v>
      </c>
      <c r="E1163" t="s">
        <v>45</v>
      </c>
      <c r="F1163" s="1">
        <v>42485</v>
      </c>
      <c r="G1163" s="1">
        <v>42495</v>
      </c>
      <c r="H1163" t="s">
        <v>33</v>
      </c>
      <c r="I1163">
        <v>10</v>
      </c>
      <c r="J1163" t="s">
        <v>92</v>
      </c>
      <c r="K1163">
        <v>1</v>
      </c>
      <c r="L1163">
        <v>0</v>
      </c>
      <c r="M1163">
        <v>0</v>
      </c>
      <c r="N1163">
        <v>0</v>
      </c>
      <c r="O1163">
        <v>0</v>
      </c>
      <c r="P1163">
        <v>1</v>
      </c>
      <c r="Q1163" t="s">
        <v>23</v>
      </c>
      <c r="R1163">
        <v>0</v>
      </c>
    </row>
    <row r="1164" spans="1:18">
      <c r="A1164" s="4">
        <v>42319500000000</v>
      </c>
      <c r="B1164" t="s">
        <v>18</v>
      </c>
      <c r="C1164">
        <v>82</v>
      </c>
      <c r="D1164" t="s">
        <v>19</v>
      </c>
      <c r="E1164" t="s">
        <v>47</v>
      </c>
      <c r="F1164" s="1">
        <v>42485</v>
      </c>
      <c r="G1164" s="1">
        <v>42489</v>
      </c>
      <c r="H1164" t="s">
        <v>21</v>
      </c>
      <c r="I1164">
        <v>4</v>
      </c>
      <c r="J1164" t="s">
        <v>107</v>
      </c>
      <c r="K1164">
        <v>0</v>
      </c>
      <c r="L1164">
        <v>1</v>
      </c>
      <c r="M1164">
        <v>0</v>
      </c>
      <c r="N1164">
        <v>0</v>
      </c>
      <c r="O1164">
        <v>0</v>
      </c>
      <c r="P1164">
        <v>0</v>
      </c>
      <c r="Q1164" t="s">
        <v>23</v>
      </c>
      <c r="R1164">
        <v>0</v>
      </c>
    </row>
    <row r="1165" spans="1:18">
      <c r="A1165" s="4">
        <v>7373660000000</v>
      </c>
      <c r="B1165" t="s">
        <v>28</v>
      </c>
      <c r="C1165">
        <v>72</v>
      </c>
      <c r="D1165" t="s">
        <v>19</v>
      </c>
      <c r="E1165" t="s">
        <v>42</v>
      </c>
      <c r="F1165" s="1">
        <v>42485</v>
      </c>
      <c r="G1165" s="1">
        <v>42508</v>
      </c>
      <c r="H1165" t="s">
        <v>25</v>
      </c>
      <c r="I1165">
        <v>23</v>
      </c>
      <c r="J1165" t="s">
        <v>77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23</v>
      </c>
      <c r="R1165">
        <v>0</v>
      </c>
    </row>
    <row r="1166" spans="1:18">
      <c r="A1166" s="4">
        <v>2975370000000</v>
      </c>
      <c r="B1166" t="s">
        <v>18</v>
      </c>
      <c r="C1166">
        <v>25</v>
      </c>
      <c r="D1166" t="s">
        <v>37</v>
      </c>
      <c r="E1166" t="s">
        <v>75</v>
      </c>
      <c r="F1166" s="1">
        <v>42485</v>
      </c>
      <c r="G1166" s="1">
        <v>42492</v>
      </c>
      <c r="H1166" t="s">
        <v>30</v>
      </c>
      <c r="I1166">
        <v>7</v>
      </c>
      <c r="J1166" t="s">
        <v>107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23</v>
      </c>
      <c r="R1166">
        <v>0</v>
      </c>
    </row>
    <row r="1167" spans="1:18">
      <c r="A1167" s="4">
        <v>6857860000000</v>
      </c>
      <c r="B1167" t="s">
        <v>18</v>
      </c>
      <c r="C1167">
        <v>33</v>
      </c>
      <c r="D1167" t="s">
        <v>37</v>
      </c>
      <c r="E1167" t="s">
        <v>46</v>
      </c>
      <c r="F1167" s="1">
        <v>42485</v>
      </c>
      <c r="G1167" s="1">
        <v>42506</v>
      </c>
      <c r="H1167" t="s">
        <v>30</v>
      </c>
      <c r="I1167">
        <v>21</v>
      </c>
      <c r="J1167" t="s">
        <v>77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23</v>
      </c>
      <c r="R1167">
        <v>0</v>
      </c>
    </row>
    <row r="1168" spans="1:18">
      <c r="A1168" s="4">
        <v>51841100000000</v>
      </c>
      <c r="B1168" t="s">
        <v>28</v>
      </c>
      <c r="C1168">
        <v>7</v>
      </c>
      <c r="D1168" t="s">
        <v>31</v>
      </c>
      <c r="E1168" t="s">
        <v>32</v>
      </c>
      <c r="F1168" s="1">
        <v>42485</v>
      </c>
      <c r="G1168" s="1">
        <v>42506</v>
      </c>
      <c r="H1168" t="s">
        <v>30</v>
      </c>
      <c r="I1168">
        <v>21</v>
      </c>
      <c r="J1168" t="s">
        <v>77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26</v>
      </c>
      <c r="R1168">
        <v>1</v>
      </c>
    </row>
    <row r="1169" spans="1:18">
      <c r="A1169" s="4">
        <v>59949800000000</v>
      </c>
      <c r="B1169" t="s">
        <v>28</v>
      </c>
      <c r="C1169">
        <v>31</v>
      </c>
      <c r="D1169" t="s">
        <v>37</v>
      </c>
      <c r="E1169" t="s">
        <v>50</v>
      </c>
      <c r="F1169" s="1">
        <v>42485</v>
      </c>
      <c r="G1169" s="1">
        <v>42496</v>
      </c>
      <c r="H1169" t="s">
        <v>21</v>
      </c>
      <c r="I1169">
        <v>11</v>
      </c>
      <c r="J1169" t="s">
        <v>92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</v>
      </c>
      <c r="Q1169" t="s">
        <v>23</v>
      </c>
      <c r="R1169">
        <v>0</v>
      </c>
    </row>
    <row r="1170" spans="1:18">
      <c r="A1170" s="4">
        <v>562868000000000</v>
      </c>
      <c r="B1170" t="s">
        <v>18</v>
      </c>
      <c r="C1170">
        <v>61</v>
      </c>
      <c r="D1170" t="s">
        <v>35</v>
      </c>
      <c r="E1170" t="s">
        <v>72</v>
      </c>
      <c r="F1170" s="1">
        <v>42485</v>
      </c>
      <c r="G1170" s="1">
        <v>42507</v>
      </c>
      <c r="H1170" t="s">
        <v>41</v>
      </c>
      <c r="I1170">
        <v>22</v>
      </c>
      <c r="J1170" t="s">
        <v>77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26</v>
      </c>
      <c r="R1170">
        <v>1</v>
      </c>
    </row>
    <row r="1171" spans="1:18">
      <c r="A1171" s="4">
        <v>839865000000000</v>
      </c>
      <c r="B1171" t="s">
        <v>28</v>
      </c>
      <c r="C1171">
        <v>38</v>
      </c>
      <c r="D1171" t="s">
        <v>27</v>
      </c>
      <c r="E1171" t="s">
        <v>76</v>
      </c>
      <c r="F1171" s="1">
        <v>42485</v>
      </c>
      <c r="G1171" s="1">
        <v>42494</v>
      </c>
      <c r="H1171" t="s">
        <v>25</v>
      </c>
      <c r="I1171">
        <v>9</v>
      </c>
      <c r="J1171" t="s">
        <v>92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1</v>
      </c>
      <c r="Q1171" t="s">
        <v>23</v>
      </c>
      <c r="R1171">
        <v>0</v>
      </c>
    </row>
    <row r="1172" spans="1:18">
      <c r="A1172" s="4">
        <v>462299000000000</v>
      </c>
      <c r="B1172" t="s">
        <v>18</v>
      </c>
      <c r="C1172">
        <v>66</v>
      </c>
      <c r="D1172" t="s">
        <v>19</v>
      </c>
      <c r="E1172" t="s">
        <v>47</v>
      </c>
      <c r="F1172" s="1">
        <v>42485</v>
      </c>
      <c r="G1172" s="1">
        <v>42495</v>
      </c>
      <c r="H1172" t="s">
        <v>33</v>
      </c>
      <c r="I1172">
        <v>10</v>
      </c>
      <c r="J1172" t="s">
        <v>92</v>
      </c>
      <c r="K1172">
        <v>0</v>
      </c>
      <c r="L1172">
        <v>1</v>
      </c>
      <c r="M1172">
        <v>1</v>
      </c>
      <c r="N1172">
        <v>0</v>
      </c>
      <c r="O1172">
        <v>0</v>
      </c>
      <c r="P1172">
        <v>0</v>
      </c>
      <c r="Q1172" t="s">
        <v>23</v>
      </c>
      <c r="R1172">
        <v>0</v>
      </c>
    </row>
    <row r="1173" spans="1:18">
      <c r="A1173" s="4">
        <v>385417000000000</v>
      </c>
      <c r="B1173" t="s">
        <v>28</v>
      </c>
      <c r="C1173">
        <v>1</v>
      </c>
      <c r="D1173" t="s">
        <v>31</v>
      </c>
      <c r="E1173" t="s">
        <v>50</v>
      </c>
      <c r="F1173" s="1">
        <v>42485</v>
      </c>
      <c r="G1173" s="1">
        <v>42492</v>
      </c>
      <c r="H1173" t="s">
        <v>30</v>
      </c>
      <c r="I1173">
        <v>7</v>
      </c>
      <c r="J1173" t="s">
        <v>107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</v>
      </c>
      <c r="Q1173" t="s">
        <v>26</v>
      </c>
      <c r="R1173">
        <v>1</v>
      </c>
    </row>
    <row r="1174" spans="1:18">
      <c r="A1174" s="4">
        <v>3319160000000</v>
      </c>
      <c r="B1174" t="s">
        <v>28</v>
      </c>
      <c r="C1174">
        <v>35</v>
      </c>
      <c r="D1174" t="s">
        <v>37</v>
      </c>
      <c r="E1174" t="s">
        <v>95</v>
      </c>
      <c r="F1174" s="1">
        <v>42485</v>
      </c>
      <c r="G1174" s="1">
        <v>42499</v>
      </c>
      <c r="H1174" t="s">
        <v>30</v>
      </c>
      <c r="I1174">
        <v>14</v>
      </c>
      <c r="J1174" t="s">
        <v>92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23</v>
      </c>
      <c r="R1174">
        <v>0</v>
      </c>
    </row>
    <row r="1175" spans="1:18">
      <c r="A1175" s="4">
        <v>1148250000000</v>
      </c>
      <c r="B1175" t="s">
        <v>18</v>
      </c>
      <c r="C1175">
        <v>54</v>
      </c>
      <c r="D1175" t="s">
        <v>35</v>
      </c>
      <c r="E1175" t="s">
        <v>39</v>
      </c>
      <c r="F1175" s="1">
        <v>42485</v>
      </c>
      <c r="G1175" s="1">
        <v>42496</v>
      </c>
      <c r="H1175" t="s">
        <v>21</v>
      </c>
      <c r="I1175">
        <v>11</v>
      </c>
      <c r="J1175" t="s">
        <v>92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</v>
      </c>
      <c r="Q1175" t="s">
        <v>23</v>
      </c>
      <c r="R1175">
        <v>0</v>
      </c>
    </row>
    <row r="1176" spans="1:18">
      <c r="A1176" s="4">
        <v>943918000000000</v>
      </c>
      <c r="B1176" t="s">
        <v>28</v>
      </c>
      <c r="C1176">
        <v>60</v>
      </c>
      <c r="D1176" t="s">
        <v>35</v>
      </c>
      <c r="E1176" t="s">
        <v>76</v>
      </c>
      <c r="F1176" s="1">
        <v>42485</v>
      </c>
      <c r="G1176" s="1">
        <v>42507</v>
      </c>
      <c r="H1176" t="s">
        <v>41</v>
      </c>
      <c r="I1176">
        <v>22</v>
      </c>
      <c r="J1176" t="s">
        <v>77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23</v>
      </c>
      <c r="R1176">
        <v>0</v>
      </c>
    </row>
    <row r="1177" spans="1:18">
      <c r="A1177" s="4">
        <v>9229630000000</v>
      </c>
      <c r="B1177" t="s">
        <v>18</v>
      </c>
      <c r="C1177">
        <v>26</v>
      </c>
      <c r="D1177" t="s">
        <v>37</v>
      </c>
      <c r="E1177" t="s">
        <v>105</v>
      </c>
      <c r="F1177" s="1">
        <v>42485</v>
      </c>
      <c r="G1177" s="1">
        <v>42496</v>
      </c>
      <c r="H1177" t="s">
        <v>21</v>
      </c>
      <c r="I1177">
        <v>11</v>
      </c>
      <c r="J1177" t="s">
        <v>92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</v>
      </c>
      <c r="Q1177" t="s">
        <v>23</v>
      </c>
      <c r="R1177">
        <v>0</v>
      </c>
    </row>
    <row r="1178" spans="1:18">
      <c r="A1178" s="4">
        <v>941364000000000</v>
      </c>
      <c r="B1178" t="s">
        <v>18</v>
      </c>
      <c r="C1178">
        <v>26</v>
      </c>
      <c r="D1178" t="s">
        <v>37</v>
      </c>
      <c r="E1178" t="s">
        <v>29</v>
      </c>
      <c r="F1178" s="1">
        <v>42485</v>
      </c>
      <c r="G1178" s="1">
        <v>42503</v>
      </c>
      <c r="H1178" t="s">
        <v>21</v>
      </c>
      <c r="I1178">
        <v>18</v>
      </c>
      <c r="J1178" t="s">
        <v>77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23</v>
      </c>
      <c r="R1178">
        <v>0</v>
      </c>
    </row>
    <row r="1179" spans="1:18">
      <c r="A1179" s="4">
        <v>4666780000000</v>
      </c>
      <c r="B1179" t="s">
        <v>18</v>
      </c>
      <c r="C1179">
        <v>12</v>
      </c>
      <c r="D1179" t="s">
        <v>31</v>
      </c>
      <c r="E1179" t="s">
        <v>105</v>
      </c>
      <c r="F1179" s="1">
        <v>42485</v>
      </c>
      <c r="G1179" s="1">
        <v>42496</v>
      </c>
      <c r="H1179" t="s">
        <v>21</v>
      </c>
      <c r="I1179">
        <v>11</v>
      </c>
      <c r="J1179" t="s">
        <v>92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</v>
      </c>
      <c r="Q1179" t="s">
        <v>23</v>
      </c>
      <c r="R1179">
        <v>0</v>
      </c>
    </row>
    <row r="1180" spans="1:18">
      <c r="A1180" s="4">
        <v>713853000000</v>
      </c>
      <c r="B1180" t="s">
        <v>28</v>
      </c>
      <c r="C1180">
        <v>3</v>
      </c>
      <c r="D1180" t="s">
        <v>31</v>
      </c>
      <c r="E1180" t="s">
        <v>74</v>
      </c>
      <c r="F1180" s="1">
        <v>42485</v>
      </c>
      <c r="G1180" s="1">
        <v>42492</v>
      </c>
      <c r="H1180" t="s">
        <v>30</v>
      </c>
      <c r="I1180">
        <v>7</v>
      </c>
      <c r="J1180" t="s">
        <v>107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1</v>
      </c>
      <c r="Q1180" t="s">
        <v>26</v>
      </c>
      <c r="R1180">
        <v>1</v>
      </c>
    </row>
    <row r="1181" spans="1:18">
      <c r="A1181" s="4">
        <v>15275600000000</v>
      </c>
      <c r="B1181" t="s">
        <v>18</v>
      </c>
      <c r="C1181">
        <v>61</v>
      </c>
      <c r="D1181" t="s">
        <v>35</v>
      </c>
      <c r="E1181" t="s">
        <v>36</v>
      </c>
      <c r="F1181" s="1">
        <v>42485</v>
      </c>
      <c r="G1181" s="1">
        <v>42494</v>
      </c>
      <c r="H1181" t="s">
        <v>25</v>
      </c>
      <c r="I1181">
        <v>9</v>
      </c>
      <c r="J1181" t="s">
        <v>92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1</v>
      </c>
      <c r="Q1181" t="s">
        <v>23</v>
      </c>
      <c r="R1181">
        <v>0</v>
      </c>
    </row>
    <row r="1182" spans="1:18">
      <c r="A1182" s="4">
        <v>547462000000</v>
      </c>
      <c r="B1182" t="s">
        <v>18</v>
      </c>
      <c r="C1182">
        <v>53</v>
      </c>
      <c r="D1182" t="s">
        <v>35</v>
      </c>
      <c r="E1182" t="s">
        <v>64</v>
      </c>
      <c r="F1182" s="1">
        <v>42485</v>
      </c>
      <c r="G1182" s="1">
        <v>42492</v>
      </c>
      <c r="H1182" t="s">
        <v>30</v>
      </c>
      <c r="I1182">
        <v>7</v>
      </c>
      <c r="J1182" t="s">
        <v>107</v>
      </c>
      <c r="K1182">
        <v>1</v>
      </c>
      <c r="L1182">
        <v>0</v>
      </c>
      <c r="M1182">
        <v>0</v>
      </c>
      <c r="N1182">
        <v>1</v>
      </c>
      <c r="O1182">
        <v>0</v>
      </c>
      <c r="P1182">
        <v>1</v>
      </c>
      <c r="Q1182" t="s">
        <v>26</v>
      </c>
      <c r="R1182">
        <v>1</v>
      </c>
    </row>
    <row r="1183" spans="1:18">
      <c r="A1183" s="4">
        <v>93388600000000</v>
      </c>
      <c r="B1183" t="s">
        <v>18</v>
      </c>
      <c r="C1183">
        <v>62</v>
      </c>
      <c r="D1183" t="s">
        <v>35</v>
      </c>
      <c r="E1183" t="s">
        <v>71</v>
      </c>
      <c r="F1183" s="1">
        <v>42485</v>
      </c>
      <c r="G1183" s="1">
        <v>42492</v>
      </c>
      <c r="H1183" t="s">
        <v>30</v>
      </c>
      <c r="I1183">
        <v>7</v>
      </c>
      <c r="J1183" t="s">
        <v>107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</v>
      </c>
      <c r="Q1183" t="s">
        <v>26</v>
      </c>
      <c r="R1183">
        <v>1</v>
      </c>
    </row>
    <row r="1184" spans="1:18">
      <c r="A1184" s="4">
        <v>8637620000000</v>
      </c>
      <c r="B1184" t="s">
        <v>18</v>
      </c>
      <c r="C1184">
        <v>68</v>
      </c>
      <c r="D1184" t="s">
        <v>19</v>
      </c>
      <c r="E1184" t="s">
        <v>71</v>
      </c>
      <c r="F1184" s="1">
        <v>42485</v>
      </c>
      <c r="G1184" s="1">
        <v>42499</v>
      </c>
      <c r="H1184" t="s">
        <v>30</v>
      </c>
      <c r="I1184">
        <v>14</v>
      </c>
      <c r="J1184" t="s">
        <v>92</v>
      </c>
      <c r="K1184">
        <v>0</v>
      </c>
      <c r="L1184">
        <v>1</v>
      </c>
      <c r="M1184">
        <v>1</v>
      </c>
      <c r="N1184">
        <v>0</v>
      </c>
      <c r="O1184">
        <v>0</v>
      </c>
      <c r="P1184">
        <v>0</v>
      </c>
      <c r="Q1184" t="s">
        <v>26</v>
      </c>
      <c r="R1184">
        <v>1</v>
      </c>
    </row>
    <row r="1185" spans="1:18">
      <c r="A1185" s="4">
        <v>12143600000000</v>
      </c>
      <c r="B1185" t="s">
        <v>18</v>
      </c>
      <c r="C1185">
        <v>47</v>
      </c>
      <c r="D1185" t="s">
        <v>27</v>
      </c>
      <c r="E1185" t="s">
        <v>84</v>
      </c>
      <c r="F1185" s="1">
        <v>42485</v>
      </c>
      <c r="G1185" s="1">
        <v>42527</v>
      </c>
      <c r="H1185" t="s">
        <v>30</v>
      </c>
      <c r="I1185">
        <v>42</v>
      </c>
      <c r="J1185" t="s">
        <v>22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</v>
      </c>
      <c r="Q1185" t="s">
        <v>26</v>
      </c>
      <c r="R1185">
        <v>1</v>
      </c>
    </row>
    <row r="1186" spans="1:18">
      <c r="A1186" s="4">
        <v>794965000000000</v>
      </c>
      <c r="B1186" t="s">
        <v>18</v>
      </c>
      <c r="C1186">
        <v>60</v>
      </c>
      <c r="D1186" t="s">
        <v>35</v>
      </c>
      <c r="E1186" t="s">
        <v>29</v>
      </c>
      <c r="F1186" s="1">
        <v>42485</v>
      </c>
      <c r="G1186" s="1">
        <v>42507</v>
      </c>
      <c r="H1186" t="s">
        <v>41</v>
      </c>
      <c r="I1186">
        <v>22</v>
      </c>
      <c r="J1186" t="s">
        <v>77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23</v>
      </c>
      <c r="R1186">
        <v>0</v>
      </c>
    </row>
    <row r="1187" spans="1:18">
      <c r="A1187" s="4">
        <v>9999950000000</v>
      </c>
      <c r="B1187" t="s">
        <v>18</v>
      </c>
      <c r="C1187">
        <v>38</v>
      </c>
      <c r="D1187" t="s">
        <v>27</v>
      </c>
      <c r="E1187" t="s">
        <v>69</v>
      </c>
      <c r="F1187" s="1">
        <v>42486</v>
      </c>
      <c r="G1187" s="1">
        <v>42489</v>
      </c>
      <c r="H1187" t="s">
        <v>21</v>
      </c>
      <c r="I1187">
        <v>3</v>
      </c>
      <c r="J1187" t="s">
        <v>109</v>
      </c>
      <c r="K1187">
        <v>1</v>
      </c>
      <c r="L1187">
        <v>1</v>
      </c>
      <c r="M1187">
        <v>0</v>
      </c>
      <c r="N1187">
        <v>0</v>
      </c>
      <c r="O1187">
        <v>0</v>
      </c>
      <c r="P1187">
        <v>1</v>
      </c>
      <c r="Q1187" t="s">
        <v>26</v>
      </c>
      <c r="R1187">
        <v>1</v>
      </c>
    </row>
    <row r="1188" spans="1:18">
      <c r="A1188" s="4">
        <v>649242000000000</v>
      </c>
      <c r="B1188" t="s">
        <v>18</v>
      </c>
      <c r="C1188">
        <v>61</v>
      </c>
      <c r="D1188" t="s">
        <v>35</v>
      </c>
      <c r="E1188" t="s">
        <v>69</v>
      </c>
      <c r="F1188" s="1">
        <v>42486</v>
      </c>
      <c r="G1188" s="1">
        <v>42489</v>
      </c>
      <c r="H1188" t="s">
        <v>21</v>
      </c>
      <c r="I1188">
        <v>3</v>
      </c>
      <c r="J1188" t="s">
        <v>109</v>
      </c>
      <c r="K1188">
        <v>0</v>
      </c>
      <c r="L1188">
        <v>1</v>
      </c>
      <c r="M1188">
        <v>1</v>
      </c>
      <c r="N1188">
        <v>0</v>
      </c>
      <c r="O1188">
        <v>0</v>
      </c>
      <c r="P1188">
        <v>1</v>
      </c>
      <c r="Q1188" t="s">
        <v>23</v>
      </c>
      <c r="R1188">
        <v>0</v>
      </c>
    </row>
    <row r="1189" spans="1:18">
      <c r="A1189" s="4">
        <v>14354900000000</v>
      </c>
      <c r="B1189" t="s">
        <v>18</v>
      </c>
      <c r="C1189">
        <v>78</v>
      </c>
      <c r="D1189" t="s">
        <v>19</v>
      </c>
      <c r="E1189" t="s">
        <v>69</v>
      </c>
      <c r="F1189" s="1">
        <v>42486</v>
      </c>
      <c r="G1189" s="1">
        <v>42489</v>
      </c>
      <c r="H1189" t="s">
        <v>21</v>
      </c>
      <c r="I1189">
        <v>3</v>
      </c>
      <c r="J1189" t="s">
        <v>109</v>
      </c>
      <c r="K1189">
        <v>0</v>
      </c>
      <c r="L1189">
        <v>1</v>
      </c>
      <c r="M1189">
        <v>0</v>
      </c>
      <c r="N1189">
        <v>0</v>
      </c>
      <c r="O1189">
        <v>1</v>
      </c>
      <c r="P1189">
        <v>1</v>
      </c>
      <c r="Q1189" t="s">
        <v>26</v>
      </c>
      <c r="R1189">
        <v>1</v>
      </c>
    </row>
    <row r="1190" spans="1:18">
      <c r="A1190" s="4">
        <v>2878760000000</v>
      </c>
      <c r="B1190" t="s">
        <v>28</v>
      </c>
      <c r="C1190">
        <v>59</v>
      </c>
      <c r="D1190" t="s">
        <v>35</v>
      </c>
      <c r="E1190" t="s">
        <v>69</v>
      </c>
      <c r="F1190" s="1">
        <v>42486</v>
      </c>
      <c r="G1190" s="1">
        <v>42489</v>
      </c>
      <c r="H1190" t="s">
        <v>21</v>
      </c>
      <c r="I1190">
        <v>3</v>
      </c>
      <c r="J1190" t="s">
        <v>109</v>
      </c>
      <c r="K1190">
        <v>0</v>
      </c>
      <c r="L1190">
        <v>1</v>
      </c>
      <c r="M1190">
        <v>0</v>
      </c>
      <c r="N1190">
        <v>1</v>
      </c>
      <c r="O1190">
        <v>0</v>
      </c>
      <c r="P1190">
        <v>1</v>
      </c>
      <c r="Q1190" t="s">
        <v>23</v>
      </c>
      <c r="R1190">
        <v>0</v>
      </c>
    </row>
    <row r="1191" spans="1:18">
      <c r="A1191" s="4">
        <v>318299000000000</v>
      </c>
      <c r="B1191" t="s">
        <v>18</v>
      </c>
      <c r="C1191">
        <v>63</v>
      </c>
      <c r="D1191" t="s">
        <v>35</v>
      </c>
      <c r="E1191" t="s">
        <v>69</v>
      </c>
      <c r="F1191" s="1">
        <v>42486</v>
      </c>
      <c r="G1191" s="1">
        <v>42503</v>
      </c>
      <c r="H1191" t="s">
        <v>21</v>
      </c>
      <c r="I1191">
        <v>17</v>
      </c>
      <c r="J1191" t="s">
        <v>77</v>
      </c>
      <c r="K1191">
        <v>0</v>
      </c>
      <c r="L1191">
        <v>1</v>
      </c>
      <c r="M1191">
        <v>0</v>
      </c>
      <c r="N1191">
        <v>1</v>
      </c>
      <c r="O1191">
        <v>0</v>
      </c>
      <c r="P1191">
        <v>0</v>
      </c>
      <c r="Q1191" t="s">
        <v>26</v>
      </c>
      <c r="R1191">
        <v>1</v>
      </c>
    </row>
    <row r="1192" spans="1:18">
      <c r="A1192" s="4">
        <v>529512000000000</v>
      </c>
      <c r="B1192" t="s">
        <v>28</v>
      </c>
      <c r="C1192">
        <v>48</v>
      </c>
      <c r="D1192" t="s">
        <v>27</v>
      </c>
      <c r="E1192" t="s">
        <v>69</v>
      </c>
      <c r="F1192" s="1">
        <v>42486</v>
      </c>
      <c r="G1192" s="1">
        <v>42503</v>
      </c>
      <c r="H1192" t="s">
        <v>21</v>
      </c>
      <c r="I1192">
        <v>17</v>
      </c>
      <c r="J1192" t="s">
        <v>77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23</v>
      </c>
      <c r="R1192">
        <v>0</v>
      </c>
    </row>
    <row r="1193" spans="1:18">
      <c r="A1193" s="4">
        <v>236124000000000</v>
      </c>
      <c r="B1193" t="s">
        <v>18</v>
      </c>
      <c r="C1193">
        <v>57</v>
      </c>
      <c r="D1193" t="s">
        <v>35</v>
      </c>
      <c r="E1193" t="s">
        <v>69</v>
      </c>
      <c r="F1193" s="1">
        <v>42486</v>
      </c>
      <c r="G1193" s="1">
        <v>42503</v>
      </c>
      <c r="H1193" t="s">
        <v>21</v>
      </c>
      <c r="I1193">
        <v>17</v>
      </c>
      <c r="J1193" t="s">
        <v>77</v>
      </c>
      <c r="K1193">
        <v>1</v>
      </c>
      <c r="L1193">
        <v>1</v>
      </c>
      <c r="M1193">
        <v>0</v>
      </c>
      <c r="N1193">
        <v>0</v>
      </c>
      <c r="O1193">
        <v>0</v>
      </c>
      <c r="P1193">
        <v>0</v>
      </c>
      <c r="Q1193" t="s">
        <v>23</v>
      </c>
      <c r="R1193">
        <v>0</v>
      </c>
    </row>
    <row r="1194" spans="1:18">
      <c r="A1194" s="4">
        <v>8744720000000</v>
      </c>
      <c r="B1194" t="s">
        <v>18</v>
      </c>
      <c r="C1194">
        <v>39</v>
      </c>
      <c r="D1194" t="s">
        <v>27</v>
      </c>
      <c r="E1194" t="s">
        <v>69</v>
      </c>
      <c r="F1194" s="1">
        <v>42486</v>
      </c>
      <c r="G1194" s="1">
        <v>42503</v>
      </c>
      <c r="H1194" t="s">
        <v>21</v>
      </c>
      <c r="I1194">
        <v>17</v>
      </c>
      <c r="J1194" t="s">
        <v>77</v>
      </c>
      <c r="K1194">
        <v>1</v>
      </c>
      <c r="L1194">
        <v>1</v>
      </c>
      <c r="M1194">
        <v>0</v>
      </c>
      <c r="N1194">
        <v>0</v>
      </c>
      <c r="O1194">
        <v>0</v>
      </c>
      <c r="P1194">
        <v>0</v>
      </c>
      <c r="Q1194" t="s">
        <v>26</v>
      </c>
      <c r="R1194">
        <v>1</v>
      </c>
    </row>
    <row r="1195" spans="1:18">
      <c r="A1195" s="4">
        <v>93257100000000</v>
      </c>
      <c r="B1195" t="s">
        <v>28</v>
      </c>
      <c r="C1195">
        <v>6</v>
      </c>
      <c r="D1195" t="s">
        <v>31</v>
      </c>
      <c r="E1195" t="s">
        <v>84</v>
      </c>
      <c r="F1195" s="1">
        <v>42486</v>
      </c>
      <c r="G1195" s="1">
        <v>42492</v>
      </c>
      <c r="H1195" t="s">
        <v>30</v>
      </c>
      <c r="I1195">
        <v>6</v>
      </c>
      <c r="J1195" t="s">
        <v>107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</v>
      </c>
      <c r="Q1195" t="s">
        <v>23</v>
      </c>
      <c r="R1195">
        <v>0</v>
      </c>
    </row>
    <row r="1196" spans="1:18">
      <c r="A1196" s="4">
        <v>3696120000000</v>
      </c>
      <c r="B1196" t="s">
        <v>28</v>
      </c>
      <c r="C1196">
        <v>43</v>
      </c>
      <c r="D1196" t="s">
        <v>27</v>
      </c>
      <c r="E1196" t="s">
        <v>64</v>
      </c>
      <c r="F1196" s="1">
        <v>42486</v>
      </c>
      <c r="G1196" s="1">
        <v>42492</v>
      </c>
      <c r="H1196" t="s">
        <v>30</v>
      </c>
      <c r="I1196">
        <v>6</v>
      </c>
      <c r="J1196" t="s">
        <v>107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</v>
      </c>
      <c r="Q1196" t="s">
        <v>23</v>
      </c>
      <c r="R1196">
        <v>0</v>
      </c>
    </row>
    <row r="1197" spans="1:18">
      <c r="A1197" s="4">
        <v>49419375251</v>
      </c>
      <c r="B1197" t="s">
        <v>18</v>
      </c>
      <c r="C1197">
        <v>3</v>
      </c>
      <c r="D1197" t="s">
        <v>31</v>
      </c>
      <c r="E1197" t="s">
        <v>71</v>
      </c>
      <c r="F1197" s="1">
        <v>42486</v>
      </c>
      <c r="G1197" s="1">
        <v>42492</v>
      </c>
      <c r="H1197" t="s">
        <v>30</v>
      </c>
      <c r="I1197">
        <v>6</v>
      </c>
      <c r="J1197" t="s">
        <v>107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</v>
      </c>
      <c r="Q1197" t="s">
        <v>23</v>
      </c>
      <c r="R1197">
        <v>0</v>
      </c>
    </row>
    <row r="1198" spans="1:18">
      <c r="A1198" s="4">
        <v>9487190000000</v>
      </c>
      <c r="B1198" t="s">
        <v>18</v>
      </c>
      <c r="C1198">
        <v>50</v>
      </c>
      <c r="D1198" t="s">
        <v>27</v>
      </c>
      <c r="E1198" t="s">
        <v>59</v>
      </c>
      <c r="F1198" s="1">
        <v>42486</v>
      </c>
      <c r="G1198" s="1">
        <v>42529</v>
      </c>
      <c r="H1198" t="s">
        <v>25</v>
      </c>
      <c r="I1198">
        <v>43</v>
      </c>
      <c r="J1198" t="s">
        <v>22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 t="s">
        <v>23</v>
      </c>
      <c r="R1198">
        <v>0</v>
      </c>
    </row>
    <row r="1199" spans="1:18">
      <c r="A1199" s="4">
        <v>46475800000000</v>
      </c>
      <c r="B1199" t="s">
        <v>28</v>
      </c>
      <c r="C1199">
        <v>62</v>
      </c>
      <c r="D1199" t="s">
        <v>35</v>
      </c>
      <c r="E1199" t="s">
        <v>96</v>
      </c>
      <c r="F1199" s="1">
        <v>42486</v>
      </c>
      <c r="G1199" s="1">
        <v>42495</v>
      </c>
      <c r="H1199" t="s">
        <v>33</v>
      </c>
      <c r="I1199">
        <v>9</v>
      </c>
      <c r="J1199" t="s">
        <v>92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</v>
      </c>
      <c r="Q1199" t="s">
        <v>23</v>
      </c>
      <c r="R1199">
        <v>0</v>
      </c>
    </row>
    <row r="1200" spans="1:18">
      <c r="A1200" s="4">
        <v>552879000000</v>
      </c>
      <c r="B1200" t="s">
        <v>28</v>
      </c>
      <c r="C1200">
        <v>74</v>
      </c>
      <c r="D1200" t="s">
        <v>19</v>
      </c>
      <c r="E1200" t="s">
        <v>71</v>
      </c>
      <c r="F1200" s="1">
        <v>42486</v>
      </c>
      <c r="G1200" s="1">
        <v>42493</v>
      </c>
      <c r="H1200" t="s">
        <v>41</v>
      </c>
      <c r="I1200">
        <v>7</v>
      </c>
      <c r="J1200" t="s">
        <v>107</v>
      </c>
      <c r="K1200">
        <v>0</v>
      </c>
      <c r="L1200">
        <v>1</v>
      </c>
      <c r="M1200">
        <v>1</v>
      </c>
      <c r="N1200">
        <v>0</v>
      </c>
      <c r="O1200">
        <v>0</v>
      </c>
      <c r="P1200">
        <v>1</v>
      </c>
      <c r="Q1200" t="s">
        <v>23</v>
      </c>
      <c r="R1200">
        <v>0</v>
      </c>
    </row>
    <row r="1201" spans="1:18">
      <c r="A1201" s="4">
        <v>6529350000000</v>
      </c>
      <c r="B1201" t="s">
        <v>18</v>
      </c>
      <c r="C1201">
        <v>16</v>
      </c>
      <c r="D1201" t="s">
        <v>60</v>
      </c>
      <c r="E1201" t="s">
        <v>68</v>
      </c>
      <c r="F1201" s="1">
        <v>42486</v>
      </c>
      <c r="G1201" s="1">
        <v>42508</v>
      </c>
      <c r="H1201" t="s">
        <v>25</v>
      </c>
      <c r="I1201">
        <v>22</v>
      </c>
      <c r="J1201" t="s">
        <v>77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26</v>
      </c>
      <c r="R1201">
        <v>1</v>
      </c>
    </row>
    <row r="1202" spans="1:18">
      <c r="A1202" s="4">
        <v>65648400000000</v>
      </c>
      <c r="B1202" t="s">
        <v>28</v>
      </c>
      <c r="C1202">
        <v>2</v>
      </c>
      <c r="D1202" t="s">
        <v>31</v>
      </c>
      <c r="E1202" t="s">
        <v>71</v>
      </c>
      <c r="F1202" s="1">
        <v>42486</v>
      </c>
      <c r="G1202" s="1">
        <v>42493</v>
      </c>
      <c r="H1202" t="s">
        <v>41</v>
      </c>
      <c r="I1202">
        <v>7</v>
      </c>
      <c r="J1202" t="s">
        <v>107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</v>
      </c>
      <c r="Q1202" t="s">
        <v>23</v>
      </c>
      <c r="R1202">
        <v>0</v>
      </c>
    </row>
    <row r="1203" spans="1:18">
      <c r="A1203" s="4">
        <v>658383000000000</v>
      </c>
      <c r="B1203" t="s">
        <v>18</v>
      </c>
      <c r="C1203">
        <v>5</v>
      </c>
      <c r="D1203" t="s">
        <v>31</v>
      </c>
      <c r="E1203" t="s">
        <v>51</v>
      </c>
      <c r="F1203" s="1">
        <v>42486</v>
      </c>
      <c r="G1203" s="1">
        <v>42508</v>
      </c>
      <c r="H1203" t="s">
        <v>25</v>
      </c>
      <c r="I1203">
        <v>22</v>
      </c>
      <c r="J1203" t="s">
        <v>77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23</v>
      </c>
      <c r="R1203">
        <v>0</v>
      </c>
    </row>
    <row r="1204" spans="1:18">
      <c r="A1204" s="4">
        <v>24218600000000</v>
      </c>
      <c r="B1204" t="s">
        <v>28</v>
      </c>
      <c r="C1204">
        <v>52</v>
      </c>
      <c r="D1204" t="s">
        <v>35</v>
      </c>
      <c r="E1204" t="s">
        <v>69</v>
      </c>
      <c r="F1204" s="1">
        <v>42486</v>
      </c>
      <c r="G1204" s="1">
        <v>42510</v>
      </c>
      <c r="H1204" t="s">
        <v>21</v>
      </c>
      <c r="I1204">
        <v>24</v>
      </c>
      <c r="J1204" t="s">
        <v>77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 t="s">
        <v>26</v>
      </c>
      <c r="R1204">
        <v>1</v>
      </c>
    </row>
    <row r="1205" spans="1:18">
      <c r="A1205" s="4">
        <v>488465000000000</v>
      </c>
      <c r="B1205" t="s">
        <v>28</v>
      </c>
      <c r="C1205">
        <v>38</v>
      </c>
      <c r="D1205" t="s">
        <v>27</v>
      </c>
      <c r="E1205" t="s">
        <v>84</v>
      </c>
      <c r="F1205" s="1">
        <v>42486</v>
      </c>
      <c r="G1205" s="1">
        <v>42495</v>
      </c>
      <c r="H1205" t="s">
        <v>33</v>
      </c>
      <c r="I1205">
        <v>9</v>
      </c>
      <c r="J1205" t="s">
        <v>92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23</v>
      </c>
      <c r="R1205">
        <v>0</v>
      </c>
    </row>
    <row r="1206" spans="1:18">
      <c r="A1206" s="4">
        <v>4949760000000</v>
      </c>
      <c r="B1206" t="s">
        <v>28</v>
      </c>
      <c r="C1206">
        <v>60</v>
      </c>
      <c r="D1206" t="s">
        <v>35</v>
      </c>
      <c r="E1206" t="s">
        <v>48</v>
      </c>
      <c r="F1206" s="1">
        <v>42486</v>
      </c>
      <c r="G1206" s="1">
        <v>42489</v>
      </c>
      <c r="H1206" t="s">
        <v>21</v>
      </c>
      <c r="I1206">
        <v>3</v>
      </c>
      <c r="J1206" t="s">
        <v>109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</v>
      </c>
      <c r="Q1206" t="s">
        <v>23</v>
      </c>
      <c r="R1206">
        <v>0</v>
      </c>
    </row>
    <row r="1207" spans="1:18">
      <c r="A1207" s="4">
        <v>4333770000000</v>
      </c>
      <c r="B1207" t="s">
        <v>18</v>
      </c>
      <c r="C1207">
        <v>57</v>
      </c>
      <c r="D1207" t="s">
        <v>35</v>
      </c>
      <c r="E1207" t="s">
        <v>48</v>
      </c>
      <c r="F1207" s="1">
        <v>42486</v>
      </c>
      <c r="G1207" s="1">
        <v>42489</v>
      </c>
      <c r="H1207" t="s">
        <v>21</v>
      </c>
      <c r="I1207">
        <v>3</v>
      </c>
      <c r="J1207" t="s">
        <v>109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</v>
      </c>
      <c r="Q1207" t="s">
        <v>23</v>
      </c>
      <c r="R1207">
        <v>0</v>
      </c>
    </row>
    <row r="1208" spans="1:18">
      <c r="A1208" s="4">
        <v>34917300000000</v>
      </c>
      <c r="B1208" t="s">
        <v>28</v>
      </c>
      <c r="C1208">
        <v>69</v>
      </c>
      <c r="D1208" t="s">
        <v>19</v>
      </c>
      <c r="E1208" t="s">
        <v>69</v>
      </c>
      <c r="F1208" s="1">
        <v>42486</v>
      </c>
      <c r="G1208" s="1">
        <v>42510</v>
      </c>
      <c r="H1208" t="s">
        <v>21</v>
      </c>
      <c r="I1208">
        <v>24</v>
      </c>
      <c r="J1208" t="s">
        <v>77</v>
      </c>
      <c r="K1208">
        <v>1</v>
      </c>
      <c r="L1208">
        <v>1</v>
      </c>
      <c r="M1208">
        <v>0</v>
      </c>
      <c r="N1208">
        <v>0</v>
      </c>
      <c r="O1208">
        <v>0</v>
      </c>
      <c r="P1208">
        <v>0</v>
      </c>
      <c r="Q1208" t="s">
        <v>26</v>
      </c>
      <c r="R1208">
        <v>1</v>
      </c>
    </row>
    <row r="1209" spans="1:18">
      <c r="A1209" s="4">
        <v>3496670000000</v>
      </c>
      <c r="B1209" t="s">
        <v>18</v>
      </c>
      <c r="C1209">
        <v>52</v>
      </c>
      <c r="D1209" t="s">
        <v>35</v>
      </c>
      <c r="E1209" t="s">
        <v>75</v>
      </c>
      <c r="F1209" s="1">
        <v>42486</v>
      </c>
      <c r="G1209" s="1">
        <v>42492</v>
      </c>
      <c r="H1209" t="s">
        <v>30</v>
      </c>
      <c r="I1209">
        <v>6</v>
      </c>
      <c r="J1209" t="s">
        <v>107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23</v>
      </c>
      <c r="R1209">
        <v>0</v>
      </c>
    </row>
    <row r="1210" spans="1:18">
      <c r="A1210" s="4">
        <v>68279600000000</v>
      </c>
      <c r="B1210" t="s">
        <v>18</v>
      </c>
      <c r="C1210">
        <v>81</v>
      </c>
      <c r="D1210" t="s">
        <v>19</v>
      </c>
      <c r="E1210" t="s">
        <v>69</v>
      </c>
      <c r="F1210" s="1">
        <v>42486</v>
      </c>
      <c r="G1210" s="1">
        <v>42510</v>
      </c>
      <c r="H1210" t="s">
        <v>21</v>
      </c>
      <c r="I1210">
        <v>24</v>
      </c>
      <c r="J1210" t="s">
        <v>77</v>
      </c>
      <c r="K1210">
        <v>0</v>
      </c>
      <c r="L1210">
        <v>0</v>
      </c>
      <c r="M1210">
        <v>1</v>
      </c>
      <c r="N1210">
        <v>0</v>
      </c>
      <c r="O1210">
        <v>0</v>
      </c>
      <c r="P1210">
        <v>0</v>
      </c>
      <c r="Q1210" t="s">
        <v>23</v>
      </c>
      <c r="R1210">
        <v>0</v>
      </c>
    </row>
    <row r="1211" spans="1:18">
      <c r="A1211" s="4">
        <v>29877900000000</v>
      </c>
      <c r="B1211" t="s">
        <v>18</v>
      </c>
      <c r="C1211">
        <v>5</v>
      </c>
      <c r="D1211" t="s">
        <v>31</v>
      </c>
      <c r="E1211" t="s">
        <v>48</v>
      </c>
      <c r="F1211" s="1">
        <v>42486</v>
      </c>
      <c r="G1211" s="1">
        <v>42493</v>
      </c>
      <c r="H1211" t="s">
        <v>41</v>
      </c>
      <c r="I1211">
        <v>7</v>
      </c>
      <c r="J1211" t="s">
        <v>107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</v>
      </c>
      <c r="Q1211" t="s">
        <v>23</v>
      </c>
      <c r="R1211">
        <v>0</v>
      </c>
    </row>
    <row r="1212" spans="1:18">
      <c r="A1212" s="4">
        <v>38434100000000</v>
      </c>
      <c r="B1212" t="s">
        <v>28</v>
      </c>
      <c r="C1212">
        <v>50</v>
      </c>
      <c r="D1212" t="s">
        <v>27</v>
      </c>
      <c r="E1212" t="s">
        <v>87</v>
      </c>
      <c r="F1212" s="1">
        <v>42486</v>
      </c>
      <c r="G1212" s="1">
        <v>42492</v>
      </c>
      <c r="H1212" t="s">
        <v>30</v>
      </c>
      <c r="I1212">
        <v>6</v>
      </c>
      <c r="J1212" t="s">
        <v>107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</v>
      </c>
      <c r="Q1212" t="s">
        <v>23</v>
      </c>
      <c r="R1212">
        <v>0</v>
      </c>
    </row>
    <row r="1213" spans="1:18">
      <c r="A1213" s="4">
        <v>4747870000000</v>
      </c>
      <c r="B1213" t="s">
        <v>18</v>
      </c>
      <c r="C1213">
        <v>34</v>
      </c>
      <c r="D1213" t="s">
        <v>37</v>
      </c>
      <c r="E1213" t="s">
        <v>86</v>
      </c>
      <c r="F1213" s="1">
        <v>42486</v>
      </c>
      <c r="G1213" s="1">
        <v>42506</v>
      </c>
      <c r="H1213" t="s">
        <v>30</v>
      </c>
      <c r="I1213">
        <v>20</v>
      </c>
      <c r="J1213" t="s">
        <v>77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23</v>
      </c>
      <c r="R1213">
        <v>0</v>
      </c>
    </row>
    <row r="1214" spans="1:18">
      <c r="A1214" s="4">
        <v>26356187571</v>
      </c>
      <c r="B1214" t="s">
        <v>18</v>
      </c>
      <c r="C1214">
        <v>43</v>
      </c>
      <c r="D1214" t="s">
        <v>27</v>
      </c>
      <c r="E1214" t="s">
        <v>65</v>
      </c>
      <c r="F1214" s="1">
        <v>42486</v>
      </c>
      <c r="G1214" s="1">
        <v>42521</v>
      </c>
      <c r="H1214" t="s">
        <v>41</v>
      </c>
      <c r="I1214">
        <v>35</v>
      </c>
      <c r="J1214" t="s">
        <v>22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1</v>
      </c>
      <c r="Q1214" t="s">
        <v>26</v>
      </c>
      <c r="R1214">
        <v>1</v>
      </c>
    </row>
    <row r="1215" spans="1:18">
      <c r="A1215" s="4">
        <v>53953000000000</v>
      </c>
      <c r="B1215" t="s">
        <v>18</v>
      </c>
      <c r="C1215">
        <v>41</v>
      </c>
      <c r="D1215" t="s">
        <v>27</v>
      </c>
      <c r="E1215" t="s">
        <v>59</v>
      </c>
      <c r="F1215" s="1">
        <v>42486</v>
      </c>
      <c r="G1215" s="1">
        <v>42529</v>
      </c>
      <c r="H1215" t="s">
        <v>25</v>
      </c>
      <c r="I1215">
        <v>43</v>
      </c>
      <c r="J1215" t="s">
        <v>22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1</v>
      </c>
      <c r="Q1215" t="s">
        <v>23</v>
      </c>
      <c r="R1215">
        <v>0</v>
      </c>
    </row>
    <row r="1216" spans="1:18">
      <c r="A1216" s="4">
        <v>52768100000000</v>
      </c>
      <c r="B1216" t="s">
        <v>18</v>
      </c>
      <c r="C1216">
        <v>57</v>
      </c>
      <c r="D1216" t="s">
        <v>35</v>
      </c>
      <c r="E1216" t="s">
        <v>75</v>
      </c>
      <c r="F1216" s="1">
        <v>42486</v>
      </c>
      <c r="G1216" s="1">
        <v>42502</v>
      </c>
      <c r="H1216" t="s">
        <v>33</v>
      </c>
      <c r="I1216">
        <v>16</v>
      </c>
      <c r="J1216" t="s">
        <v>77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26</v>
      </c>
      <c r="R1216">
        <v>1</v>
      </c>
    </row>
    <row r="1217" spans="1:18">
      <c r="A1217" s="4">
        <v>7759950000000</v>
      </c>
      <c r="B1217" t="s">
        <v>28</v>
      </c>
      <c r="C1217">
        <v>9</v>
      </c>
      <c r="D1217" t="s">
        <v>31</v>
      </c>
      <c r="E1217" t="s">
        <v>20</v>
      </c>
      <c r="F1217" s="1">
        <v>42486</v>
      </c>
      <c r="G1217" s="1">
        <v>42494</v>
      </c>
      <c r="H1217" t="s">
        <v>25</v>
      </c>
      <c r="I1217">
        <v>8</v>
      </c>
      <c r="J1217" t="s">
        <v>92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26</v>
      </c>
      <c r="R1217">
        <v>1</v>
      </c>
    </row>
    <row r="1218" spans="1:18">
      <c r="A1218" s="4">
        <v>37243500000000</v>
      </c>
      <c r="B1218" t="s">
        <v>18</v>
      </c>
      <c r="C1218">
        <v>60</v>
      </c>
      <c r="D1218" t="s">
        <v>35</v>
      </c>
      <c r="E1218" t="s">
        <v>48</v>
      </c>
      <c r="F1218" s="1">
        <v>42486</v>
      </c>
      <c r="G1218" s="1">
        <v>42496</v>
      </c>
      <c r="H1218" t="s">
        <v>21</v>
      </c>
      <c r="I1218">
        <v>10</v>
      </c>
      <c r="J1218" t="s">
        <v>92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23</v>
      </c>
      <c r="R1218">
        <v>0</v>
      </c>
    </row>
    <row r="1219" spans="1:18">
      <c r="A1219" s="4">
        <v>5422850000000</v>
      </c>
      <c r="B1219" t="s">
        <v>18</v>
      </c>
      <c r="C1219">
        <v>45</v>
      </c>
      <c r="D1219" t="s">
        <v>27</v>
      </c>
      <c r="E1219" t="s">
        <v>67</v>
      </c>
      <c r="F1219" s="1">
        <v>42486</v>
      </c>
      <c r="G1219" s="1">
        <v>42494</v>
      </c>
      <c r="H1219" t="s">
        <v>25</v>
      </c>
      <c r="I1219">
        <v>8</v>
      </c>
      <c r="J1219" t="s">
        <v>92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1</v>
      </c>
      <c r="Q1219" t="s">
        <v>23</v>
      </c>
      <c r="R1219">
        <v>0</v>
      </c>
    </row>
    <row r="1220" spans="1:18">
      <c r="A1220" s="4">
        <v>73745300000000</v>
      </c>
      <c r="B1220" t="s">
        <v>28</v>
      </c>
      <c r="C1220">
        <v>41</v>
      </c>
      <c r="D1220" t="s">
        <v>27</v>
      </c>
      <c r="E1220" t="s">
        <v>66</v>
      </c>
      <c r="F1220" s="1">
        <v>42486</v>
      </c>
      <c r="G1220" s="1">
        <v>42496</v>
      </c>
      <c r="H1220" t="s">
        <v>21</v>
      </c>
      <c r="I1220">
        <v>10</v>
      </c>
      <c r="J1220" t="s">
        <v>92</v>
      </c>
      <c r="K1220">
        <v>0</v>
      </c>
      <c r="L1220">
        <v>1</v>
      </c>
      <c r="M1220">
        <v>0</v>
      </c>
      <c r="N1220">
        <v>1</v>
      </c>
      <c r="O1220">
        <v>0</v>
      </c>
      <c r="P1220">
        <v>0</v>
      </c>
      <c r="Q1220" t="s">
        <v>23</v>
      </c>
      <c r="R1220">
        <v>0</v>
      </c>
    </row>
    <row r="1221" spans="1:18">
      <c r="A1221" s="4">
        <v>4218450000000</v>
      </c>
      <c r="B1221" t="s">
        <v>28</v>
      </c>
      <c r="C1221">
        <v>34</v>
      </c>
      <c r="D1221" t="s">
        <v>37</v>
      </c>
      <c r="E1221" t="s">
        <v>68</v>
      </c>
      <c r="F1221" s="1">
        <v>42486</v>
      </c>
      <c r="G1221" s="1">
        <v>42492</v>
      </c>
      <c r="H1221" t="s">
        <v>30</v>
      </c>
      <c r="I1221">
        <v>6</v>
      </c>
      <c r="J1221" t="s">
        <v>107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23</v>
      </c>
      <c r="R1221">
        <v>0</v>
      </c>
    </row>
    <row r="1222" spans="1:18">
      <c r="A1222" s="4">
        <v>832170000000</v>
      </c>
      <c r="B1222" t="s">
        <v>18</v>
      </c>
      <c r="C1222">
        <v>6</v>
      </c>
      <c r="D1222" t="s">
        <v>31</v>
      </c>
      <c r="E1222" t="s">
        <v>90</v>
      </c>
      <c r="F1222" s="1">
        <v>42486</v>
      </c>
      <c r="G1222" s="1">
        <v>42515</v>
      </c>
      <c r="H1222" t="s">
        <v>25</v>
      </c>
      <c r="I1222">
        <v>29</v>
      </c>
      <c r="J1222" t="s">
        <v>77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23</v>
      </c>
      <c r="R1222">
        <v>0</v>
      </c>
    </row>
    <row r="1223" spans="1:18">
      <c r="A1223" s="4">
        <v>877663000000000</v>
      </c>
      <c r="B1223" t="s">
        <v>18</v>
      </c>
      <c r="C1223">
        <v>53</v>
      </c>
      <c r="D1223" t="s">
        <v>35</v>
      </c>
      <c r="E1223" t="s">
        <v>66</v>
      </c>
      <c r="F1223" s="1">
        <v>42486</v>
      </c>
      <c r="G1223" s="1">
        <v>42492</v>
      </c>
      <c r="H1223" t="s">
        <v>30</v>
      </c>
      <c r="I1223">
        <v>6</v>
      </c>
      <c r="J1223" t="s">
        <v>107</v>
      </c>
      <c r="K1223">
        <v>0</v>
      </c>
      <c r="L1223">
        <v>1</v>
      </c>
      <c r="M1223">
        <v>0</v>
      </c>
      <c r="N1223">
        <v>0</v>
      </c>
      <c r="O1223">
        <v>0</v>
      </c>
      <c r="P1223">
        <v>1</v>
      </c>
      <c r="Q1223" t="s">
        <v>23</v>
      </c>
      <c r="R1223">
        <v>0</v>
      </c>
    </row>
    <row r="1224" spans="1:18">
      <c r="A1224" s="4">
        <v>782266000000</v>
      </c>
      <c r="B1224" t="s">
        <v>28</v>
      </c>
      <c r="C1224">
        <v>71</v>
      </c>
      <c r="D1224" t="s">
        <v>19</v>
      </c>
      <c r="E1224" t="s">
        <v>71</v>
      </c>
      <c r="F1224" s="1">
        <v>42486</v>
      </c>
      <c r="G1224" s="1">
        <v>42496</v>
      </c>
      <c r="H1224" t="s">
        <v>21</v>
      </c>
      <c r="I1224">
        <v>10</v>
      </c>
      <c r="J1224" t="s">
        <v>92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</v>
      </c>
      <c r="Q1224" t="s">
        <v>23</v>
      </c>
      <c r="R1224">
        <v>0</v>
      </c>
    </row>
    <row r="1225" spans="1:18">
      <c r="A1225" s="4">
        <v>71964426668</v>
      </c>
      <c r="B1225" t="s">
        <v>18</v>
      </c>
      <c r="C1225">
        <v>60</v>
      </c>
      <c r="D1225" t="s">
        <v>35</v>
      </c>
      <c r="E1225" t="s">
        <v>51</v>
      </c>
      <c r="F1225" s="1">
        <v>42486</v>
      </c>
      <c r="G1225" s="1">
        <v>42494</v>
      </c>
      <c r="H1225" t="s">
        <v>25</v>
      </c>
      <c r="I1225">
        <v>8</v>
      </c>
      <c r="J1225" t="s">
        <v>92</v>
      </c>
      <c r="K1225">
        <v>0</v>
      </c>
      <c r="L1225">
        <v>1</v>
      </c>
      <c r="M1225">
        <v>0</v>
      </c>
      <c r="N1225">
        <v>0</v>
      </c>
      <c r="O1225">
        <v>0</v>
      </c>
      <c r="P1225">
        <v>1</v>
      </c>
      <c r="Q1225" t="s">
        <v>26</v>
      </c>
      <c r="R1225">
        <v>1</v>
      </c>
    </row>
    <row r="1226" spans="1:18">
      <c r="A1226" s="4">
        <v>95537500000000</v>
      </c>
      <c r="B1226" t="s">
        <v>18</v>
      </c>
      <c r="C1226">
        <v>17</v>
      </c>
      <c r="D1226" t="s">
        <v>60</v>
      </c>
      <c r="E1226" t="s">
        <v>65</v>
      </c>
      <c r="F1226" s="1">
        <v>42486</v>
      </c>
      <c r="G1226" s="1">
        <v>42496</v>
      </c>
      <c r="H1226" t="s">
        <v>21</v>
      </c>
      <c r="I1226">
        <v>10</v>
      </c>
      <c r="J1226" t="s">
        <v>92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</v>
      </c>
      <c r="Q1226" t="s">
        <v>23</v>
      </c>
      <c r="R1226">
        <v>0</v>
      </c>
    </row>
    <row r="1227" spans="1:18">
      <c r="A1227" s="4">
        <v>418686000000000</v>
      </c>
      <c r="B1227" t="s">
        <v>18</v>
      </c>
      <c r="C1227">
        <v>16</v>
      </c>
      <c r="D1227" t="s">
        <v>60</v>
      </c>
      <c r="E1227" t="s">
        <v>68</v>
      </c>
      <c r="F1227" s="1">
        <v>42486</v>
      </c>
      <c r="G1227" s="1">
        <v>42489</v>
      </c>
      <c r="H1227" t="s">
        <v>21</v>
      </c>
      <c r="I1227">
        <v>3</v>
      </c>
      <c r="J1227" t="s">
        <v>109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 t="s">
        <v>23</v>
      </c>
      <c r="R1227">
        <v>0</v>
      </c>
    </row>
    <row r="1228" spans="1:18">
      <c r="A1228" s="4">
        <v>16154200000000</v>
      </c>
      <c r="B1228" t="s">
        <v>18</v>
      </c>
      <c r="C1228">
        <v>65</v>
      </c>
      <c r="D1228" t="s">
        <v>35</v>
      </c>
      <c r="E1228" t="s">
        <v>52</v>
      </c>
      <c r="F1228" s="1">
        <v>42486</v>
      </c>
      <c r="G1228" s="1">
        <v>42514</v>
      </c>
      <c r="H1228" t="s">
        <v>41</v>
      </c>
      <c r="I1228">
        <v>28</v>
      </c>
      <c r="J1228" t="s">
        <v>77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</v>
      </c>
      <c r="Q1228" t="s">
        <v>23</v>
      </c>
      <c r="R1228">
        <v>0</v>
      </c>
    </row>
    <row r="1229" spans="1:18">
      <c r="A1229" s="4">
        <v>9437120000000</v>
      </c>
      <c r="B1229" t="s">
        <v>28</v>
      </c>
      <c r="C1229">
        <v>22</v>
      </c>
      <c r="D1229" t="s">
        <v>37</v>
      </c>
      <c r="E1229" t="s">
        <v>106</v>
      </c>
      <c r="F1229" s="1">
        <v>42486</v>
      </c>
      <c r="G1229" s="1">
        <v>42495</v>
      </c>
      <c r="H1229" t="s">
        <v>33</v>
      </c>
      <c r="I1229">
        <v>9</v>
      </c>
      <c r="J1229" t="s">
        <v>92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</v>
      </c>
      <c r="Q1229" t="s">
        <v>23</v>
      </c>
      <c r="R1229">
        <v>0</v>
      </c>
    </row>
    <row r="1230" spans="1:18">
      <c r="A1230" s="4">
        <v>517836000000</v>
      </c>
      <c r="B1230" t="s">
        <v>18</v>
      </c>
      <c r="C1230">
        <v>39</v>
      </c>
      <c r="D1230" t="s">
        <v>27</v>
      </c>
      <c r="E1230" t="s">
        <v>57</v>
      </c>
      <c r="F1230" s="1">
        <v>42486</v>
      </c>
      <c r="G1230" s="1">
        <v>42501</v>
      </c>
      <c r="H1230" t="s">
        <v>25</v>
      </c>
      <c r="I1230">
        <v>15</v>
      </c>
      <c r="J1230" t="s">
        <v>77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1</v>
      </c>
      <c r="Q1230" t="s">
        <v>23</v>
      </c>
      <c r="R1230">
        <v>0</v>
      </c>
    </row>
    <row r="1231" spans="1:18">
      <c r="A1231" s="4">
        <v>77329900000000</v>
      </c>
      <c r="B1231" t="s">
        <v>18</v>
      </c>
      <c r="C1231">
        <v>46</v>
      </c>
      <c r="D1231" t="s">
        <v>27</v>
      </c>
      <c r="E1231" t="s">
        <v>24</v>
      </c>
      <c r="F1231" s="1">
        <v>42486</v>
      </c>
      <c r="G1231" s="1">
        <v>42520</v>
      </c>
      <c r="H1231" t="s">
        <v>30</v>
      </c>
      <c r="I1231">
        <v>34</v>
      </c>
      <c r="J1231" t="s">
        <v>22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</v>
      </c>
      <c r="Q1231" t="s">
        <v>23</v>
      </c>
      <c r="R1231">
        <v>0</v>
      </c>
    </row>
    <row r="1232" spans="1:18">
      <c r="A1232" s="4">
        <v>54292600000000</v>
      </c>
      <c r="B1232" t="s">
        <v>18</v>
      </c>
      <c r="C1232">
        <v>19</v>
      </c>
      <c r="D1232" t="s">
        <v>37</v>
      </c>
      <c r="E1232" t="s">
        <v>105</v>
      </c>
      <c r="F1232" s="1">
        <v>42486</v>
      </c>
      <c r="G1232" s="1">
        <v>42494</v>
      </c>
      <c r="H1232" t="s">
        <v>25</v>
      </c>
      <c r="I1232">
        <v>8</v>
      </c>
      <c r="J1232" t="s">
        <v>92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1</v>
      </c>
      <c r="Q1232" t="s">
        <v>26</v>
      </c>
      <c r="R1232">
        <v>1</v>
      </c>
    </row>
    <row r="1233" spans="1:18">
      <c r="A1233" s="4">
        <v>64929000000000</v>
      </c>
      <c r="B1233" t="s">
        <v>18</v>
      </c>
      <c r="C1233">
        <v>28</v>
      </c>
      <c r="D1233" t="s">
        <v>37</v>
      </c>
      <c r="E1233" t="s">
        <v>47</v>
      </c>
      <c r="F1233" s="1">
        <v>42486</v>
      </c>
      <c r="G1233" s="1">
        <v>42499</v>
      </c>
      <c r="H1233" t="s">
        <v>30</v>
      </c>
      <c r="I1233">
        <v>13</v>
      </c>
      <c r="J1233" t="s">
        <v>92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23</v>
      </c>
      <c r="R1233">
        <v>0</v>
      </c>
    </row>
    <row r="1234" spans="1:18">
      <c r="A1234" s="4">
        <v>856123000000000</v>
      </c>
      <c r="B1234" t="s">
        <v>28</v>
      </c>
      <c r="C1234">
        <v>16</v>
      </c>
      <c r="D1234" t="s">
        <v>60</v>
      </c>
      <c r="E1234" t="s">
        <v>63</v>
      </c>
      <c r="F1234" s="1">
        <v>42486</v>
      </c>
      <c r="G1234" s="1">
        <v>42502</v>
      </c>
      <c r="H1234" t="s">
        <v>33</v>
      </c>
      <c r="I1234">
        <v>16</v>
      </c>
      <c r="J1234" t="s">
        <v>77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</v>
      </c>
      <c r="Q1234" t="s">
        <v>26</v>
      </c>
      <c r="R1234">
        <v>1</v>
      </c>
    </row>
    <row r="1235" spans="1:18">
      <c r="A1235" s="4">
        <v>8254790000000</v>
      </c>
      <c r="B1235" t="s">
        <v>18</v>
      </c>
      <c r="C1235">
        <v>36</v>
      </c>
      <c r="D1235" t="s">
        <v>27</v>
      </c>
      <c r="E1235" t="s">
        <v>57</v>
      </c>
      <c r="F1235" s="1">
        <v>42486</v>
      </c>
      <c r="G1235" s="1">
        <v>42500</v>
      </c>
      <c r="H1235" t="s">
        <v>41</v>
      </c>
      <c r="I1235">
        <v>14</v>
      </c>
      <c r="J1235" t="s">
        <v>92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23</v>
      </c>
      <c r="R1235">
        <v>0</v>
      </c>
    </row>
    <row r="1236" spans="1:18">
      <c r="A1236" s="4">
        <v>654849000000000</v>
      </c>
      <c r="B1236" t="s">
        <v>18</v>
      </c>
      <c r="C1236">
        <v>69</v>
      </c>
      <c r="D1236" t="s">
        <v>19</v>
      </c>
      <c r="E1236" t="s">
        <v>32</v>
      </c>
      <c r="F1236" s="1">
        <v>42486</v>
      </c>
      <c r="G1236" s="1">
        <v>42499</v>
      </c>
      <c r="H1236" t="s">
        <v>30</v>
      </c>
      <c r="I1236">
        <v>13</v>
      </c>
      <c r="J1236" t="s">
        <v>92</v>
      </c>
      <c r="K1236">
        <v>0</v>
      </c>
      <c r="L1236">
        <v>1</v>
      </c>
      <c r="M1236">
        <v>1</v>
      </c>
      <c r="N1236">
        <v>0</v>
      </c>
      <c r="O1236">
        <v>0</v>
      </c>
      <c r="P1236">
        <v>0</v>
      </c>
      <c r="Q1236" t="s">
        <v>26</v>
      </c>
      <c r="R1236">
        <v>1</v>
      </c>
    </row>
    <row r="1237" spans="1:18">
      <c r="A1237" s="4">
        <v>342977000000000</v>
      </c>
      <c r="B1237" t="s">
        <v>18</v>
      </c>
      <c r="C1237">
        <v>33</v>
      </c>
      <c r="D1237" t="s">
        <v>37</v>
      </c>
      <c r="E1237" t="s">
        <v>44</v>
      </c>
      <c r="F1237" s="1">
        <v>42486</v>
      </c>
      <c r="G1237" s="1">
        <v>42500</v>
      </c>
      <c r="H1237" t="s">
        <v>41</v>
      </c>
      <c r="I1237">
        <v>14</v>
      </c>
      <c r="J1237" t="s">
        <v>92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1</v>
      </c>
      <c r="Q1237" t="s">
        <v>26</v>
      </c>
      <c r="R1237">
        <v>1</v>
      </c>
    </row>
    <row r="1238" spans="1:18">
      <c r="A1238" s="4">
        <v>386573000000000</v>
      </c>
      <c r="B1238" t="s">
        <v>18</v>
      </c>
      <c r="C1238">
        <v>55</v>
      </c>
      <c r="D1238" t="s">
        <v>35</v>
      </c>
      <c r="E1238" t="s">
        <v>75</v>
      </c>
      <c r="F1238" s="1">
        <v>42486</v>
      </c>
      <c r="G1238" s="1">
        <v>42492</v>
      </c>
      <c r="H1238" t="s">
        <v>30</v>
      </c>
      <c r="I1238">
        <v>6</v>
      </c>
      <c r="J1238" t="s">
        <v>107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1</v>
      </c>
      <c r="Q1238" t="s">
        <v>23</v>
      </c>
      <c r="R1238">
        <v>0</v>
      </c>
    </row>
    <row r="1239" spans="1:18">
      <c r="A1239" s="4">
        <v>235477000000000</v>
      </c>
      <c r="B1239" t="s">
        <v>18</v>
      </c>
      <c r="C1239">
        <v>24</v>
      </c>
      <c r="D1239" t="s">
        <v>37</v>
      </c>
      <c r="E1239" t="s">
        <v>67</v>
      </c>
      <c r="F1239" s="1">
        <v>42486</v>
      </c>
      <c r="G1239" s="1">
        <v>42489</v>
      </c>
      <c r="H1239" t="s">
        <v>21</v>
      </c>
      <c r="I1239">
        <v>3</v>
      </c>
      <c r="J1239" t="s">
        <v>109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</v>
      </c>
      <c r="Q1239" t="s">
        <v>26</v>
      </c>
      <c r="R1239">
        <v>1</v>
      </c>
    </row>
    <row r="1240" spans="1:18">
      <c r="A1240" s="4">
        <v>8617230000000</v>
      </c>
      <c r="B1240" t="s">
        <v>18</v>
      </c>
      <c r="C1240">
        <v>45</v>
      </c>
      <c r="D1240" t="s">
        <v>27</v>
      </c>
      <c r="E1240" t="s">
        <v>58</v>
      </c>
      <c r="F1240" s="1">
        <v>42486</v>
      </c>
      <c r="G1240" s="1">
        <v>42489</v>
      </c>
      <c r="H1240" t="s">
        <v>21</v>
      </c>
      <c r="I1240">
        <v>3</v>
      </c>
      <c r="J1240" t="s">
        <v>109</v>
      </c>
      <c r="K1240">
        <v>1</v>
      </c>
      <c r="L1240">
        <v>1</v>
      </c>
      <c r="M1240">
        <v>0</v>
      </c>
      <c r="N1240">
        <v>0</v>
      </c>
      <c r="O1240">
        <v>0</v>
      </c>
      <c r="P1240">
        <v>1</v>
      </c>
      <c r="Q1240" t="s">
        <v>26</v>
      </c>
      <c r="R1240">
        <v>1</v>
      </c>
    </row>
    <row r="1241" spans="1:18">
      <c r="A1241" s="4">
        <v>532314000000000</v>
      </c>
      <c r="B1241" t="s">
        <v>18</v>
      </c>
      <c r="C1241">
        <v>21</v>
      </c>
      <c r="D1241" t="s">
        <v>37</v>
      </c>
      <c r="E1241" t="s">
        <v>45</v>
      </c>
      <c r="F1241" s="1">
        <v>42486</v>
      </c>
      <c r="G1241" s="1">
        <v>42506</v>
      </c>
      <c r="H1241" t="s">
        <v>30</v>
      </c>
      <c r="I1241">
        <v>20</v>
      </c>
      <c r="J1241" t="s">
        <v>77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23</v>
      </c>
      <c r="R1241">
        <v>0</v>
      </c>
    </row>
    <row r="1242" spans="1:18">
      <c r="A1242" s="4">
        <v>65467500000000</v>
      </c>
      <c r="B1242" t="s">
        <v>18</v>
      </c>
      <c r="C1242">
        <v>23</v>
      </c>
      <c r="D1242" t="s">
        <v>37</v>
      </c>
      <c r="E1242" t="s">
        <v>47</v>
      </c>
      <c r="F1242" s="1">
        <v>42486</v>
      </c>
      <c r="G1242" s="1">
        <v>42495</v>
      </c>
      <c r="H1242" t="s">
        <v>33</v>
      </c>
      <c r="I1242">
        <v>9</v>
      </c>
      <c r="J1242" t="s">
        <v>92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</v>
      </c>
      <c r="Q1242" t="s">
        <v>26</v>
      </c>
      <c r="R1242">
        <v>1</v>
      </c>
    </row>
    <row r="1243" spans="1:18">
      <c r="A1243" s="4">
        <v>458625000000</v>
      </c>
      <c r="B1243" t="s">
        <v>28</v>
      </c>
      <c r="C1243">
        <v>66</v>
      </c>
      <c r="D1243" t="s">
        <v>19</v>
      </c>
      <c r="E1243" t="s">
        <v>100</v>
      </c>
      <c r="F1243" s="1">
        <v>42486</v>
      </c>
      <c r="G1243" s="1">
        <v>42495</v>
      </c>
      <c r="H1243" t="s">
        <v>33</v>
      </c>
      <c r="I1243">
        <v>9</v>
      </c>
      <c r="J1243" t="s">
        <v>92</v>
      </c>
      <c r="K1243">
        <v>0</v>
      </c>
      <c r="L1243">
        <v>1</v>
      </c>
      <c r="M1243">
        <v>0</v>
      </c>
      <c r="N1243">
        <v>1</v>
      </c>
      <c r="O1243">
        <v>0</v>
      </c>
      <c r="P1243">
        <v>1</v>
      </c>
      <c r="Q1243" t="s">
        <v>23</v>
      </c>
      <c r="R1243">
        <v>0</v>
      </c>
    </row>
    <row r="1244" spans="1:18">
      <c r="A1244" s="4">
        <v>725422000000</v>
      </c>
      <c r="B1244" t="s">
        <v>18</v>
      </c>
      <c r="C1244">
        <v>70</v>
      </c>
      <c r="D1244" t="s">
        <v>19</v>
      </c>
      <c r="E1244" t="s">
        <v>44</v>
      </c>
      <c r="F1244" s="1">
        <v>42486</v>
      </c>
      <c r="G1244" s="1">
        <v>42493</v>
      </c>
      <c r="H1244" t="s">
        <v>41</v>
      </c>
      <c r="I1244">
        <v>7</v>
      </c>
      <c r="J1244" t="s">
        <v>107</v>
      </c>
      <c r="K1244">
        <v>0</v>
      </c>
      <c r="L1244">
        <v>1</v>
      </c>
      <c r="M1244">
        <v>0</v>
      </c>
      <c r="N1244">
        <v>0</v>
      </c>
      <c r="O1244">
        <v>0</v>
      </c>
      <c r="P1244">
        <v>1</v>
      </c>
      <c r="Q1244" t="s">
        <v>23</v>
      </c>
      <c r="R1244">
        <v>0</v>
      </c>
    </row>
    <row r="1245" spans="1:18">
      <c r="A1245" s="4">
        <v>657618000000000</v>
      </c>
      <c r="B1245" t="s">
        <v>18</v>
      </c>
      <c r="C1245">
        <v>9</v>
      </c>
      <c r="D1245" t="s">
        <v>31</v>
      </c>
      <c r="E1245" t="s">
        <v>44</v>
      </c>
      <c r="F1245" s="1">
        <v>42486</v>
      </c>
      <c r="G1245" s="1">
        <v>42495</v>
      </c>
      <c r="H1245" t="s">
        <v>33</v>
      </c>
      <c r="I1245">
        <v>9</v>
      </c>
      <c r="J1245" t="s">
        <v>92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1</v>
      </c>
      <c r="Q1245" t="s">
        <v>26</v>
      </c>
      <c r="R1245">
        <v>1</v>
      </c>
    </row>
    <row r="1246" spans="1:18">
      <c r="A1246" s="4">
        <v>494955000000000</v>
      </c>
      <c r="B1246" t="s">
        <v>18</v>
      </c>
      <c r="C1246">
        <v>48</v>
      </c>
      <c r="D1246" t="s">
        <v>27</v>
      </c>
      <c r="E1246" t="s">
        <v>81</v>
      </c>
      <c r="F1246" s="1">
        <v>42486</v>
      </c>
      <c r="G1246" s="1">
        <v>42492</v>
      </c>
      <c r="H1246" t="s">
        <v>30</v>
      </c>
      <c r="I1246">
        <v>6</v>
      </c>
      <c r="J1246" t="s">
        <v>107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</v>
      </c>
      <c r="Q1246" t="s">
        <v>23</v>
      </c>
      <c r="R1246">
        <v>0</v>
      </c>
    </row>
    <row r="1247" spans="1:18">
      <c r="A1247" s="4">
        <v>462883000000000</v>
      </c>
      <c r="B1247" t="s">
        <v>28</v>
      </c>
      <c r="C1247">
        <v>11</v>
      </c>
      <c r="D1247" t="s">
        <v>31</v>
      </c>
      <c r="E1247" t="s">
        <v>46</v>
      </c>
      <c r="F1247" s="1">
        <v>42486</v>
      </c>
      <c r="G1247" s="1">
        <v>42495</v>
      </c>
      <c r="H1247" t="s">
        <v>33</v>
      </c>
      <c r="I1247">
        <v>9</v>
      </c>
      <c r="J1247" t="s">
        <v>92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</v>
      </c>
      <c r="Q1247" t="s">
        <v>23</v>
      </c>
      <c r="R1247">
        <v>0</v>
      </c>
    </row>
    <row r="1248" spans="1:18">
      <c r="A1248" s="4">
        <v>4984310000000</v>
      </c>
      <c r="B1248" t="s">
        <v>18</v>
      </c>
      <c r="C1248">
        <v>32</v>
      </c>
      <c r="D1248" t="s">
        <v>37</v>
      </c>
      <c r="E1248" t="s">
        <v>44</v>
      </c>
      <c r="F1248" s="1">
        <v>42486</v>
      </c>
      <c r="G1248" s="1">
        <v>42493</v>
      </c>
      <c r="H1248" t="s">
        <v>41</v>
      </c>
      <c r="I1248">
        <v>7</v>
      </c>
      <c r="J1248" t="s">
        <v>107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 t="s">
        <v>23</v>
      </c>
      <c r="R1248">
        <v>0</v>
      </c>
    </row>
    <row r="1249" spans="1:18">
      <c r="A1249" s="4">
        <v>3285440000000</v>
      </c>
      <c r="B1249" t="s">
        <v>18</v>
      </c>
      <c r="C1249">
        <v>26</v>
      </c>
      <c r="D1249" t="s">
        <v>37</v>
      </c>
      <c r="E1249" t="s">
        <v>44</v>
      </c>
      <c r="F1249" s="1">
        <v>42486</v>
      </c>
      <c r="G1249" s="1">
        <v>42493</v>
      </c>
      <c r="H1249" t="s">
        <v>41</v>
      </c>
      <c r="I1249">
        <v>7</v>
      </c>
      <c r="J1249" t="s">
        <v>107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</v>
      </c>
      <c r="Q1249" t="s">
        <v>23</v>
      </c>
      <c r="R1249">
        <v>0</v>
      </c>
    </row>
    <row r="1250" spans="1:18">
      <c r="A1250" s="4">
        <v>7185710000000</v>
      </c>
      <c r="B1250" t="s">
        <v>18</v>
      </c>
      <c r="C1250">
        <v>48</v>
      </c>
      <c r="D1250" t="s">
        <v>27</v>
      </c>
      <c r="E1250" t="s">
        <v>59</v>
      </c>
      <c r="F1250" s="1">
        <v>42486</v>
      </c>
      <c r="G1250" s="1">
        <v>42522</v>
      </c>
      <c r="H1250" t="s">
        <v>25</v>
      </c>
      <c r="I1250">
        <v>36</v>
      </c>
      <c r="J1250" t="s">
        <v>22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 t="s">
        <v>23</v>
      </c>
      <c r="R1250">
        <v>0</v>
      </c>
    </row>
    <row r="1251" spans="1:18">
      <c r="A1251" s="4">
        <v>8553860000000</v>
      </c>
      <c r="B1251" t="s">
        <v>18</v>
      </c>
      <c r="C1251">
        <v>4</v>
      </c>
      <c r="D1251" t="s">
        <v>31</v>
      </c>
      <c r="E1251" t="s">
        <v>72</v>
      </c>
      <c r="F1251" s="1">
        <v>42486</v>
      </c>
      <c r="G1251" s="1">
        <v>42521</v>
      </c>
      <c r="H1251" t="s">
        <v>41</v>
      </c>
      <c r="I1251">
        <v>35</v>
      </c>
      <c r="J1251" t="s">
        <v>22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 t="s">
        <v>23</v>
      </c>
      <c r="R1251">
        <v>0</v>
      </c>
    </row>
    <row r="1252" spans="1:18">
      <c r="A1252" s="4">
        <v>31189900000000</v>
      </c>
      <c r="B1252" t="s">
        <v>18</v>
      </c>
      <c r="C1252">
        <v>89</v>
      </c>
      <c r="D1252" t="s">
        <v>19</v>
      </c>
      <c r="E1252" t="s">
        <v>96</v>
      </c>
      <c r="F1252" s="1">
        <v>42486</v>
      </c>
      <c r="G1252" s="1">
        <v>42500</v>
      </c>
      <c r="H1252" t="s">
        <v>41</v>
      </c>
      <c r="I1252">
        <v>14</v>
      </c>
      <c r="J1252" t="s">
        <v>92</v>
      </c>
      <c r="K1252">
        <v>0</v>
      </c>
      <c r="L1252">
        <v>1</v>
      </c>
      <c r="M1252">
        <v>0</v>
      </c>
      <c r="N1252">
        <v>0</v>
      </c>
      <c r="O1252">
        <v>1</v>
      </c>
      <c r="P1252">
        <v>1</v>
      </c>
      <c r="Q1252" t="s">
        <v>26</v>
      </c>
      <c r="R1252">
        <v>1</v>
      </c>
    </row>
    <row r="1253" spans="1:18">
      <c r="A1253" s="4">
        <v>43341300000000</v>
      </c>
      <c r="B1253" t="s">
        <v>18</v>
      </c>
      <c r="C1253">
        <v>26</v>
      </c>
      <c r="D1253" t="s">
        <v>37</v>
      </c>
      <c r="E1253" t="s">
        <v>75</v>
      </c>
      <c r="F1253" s="1">
        <v>42486</v>
      </c>
      <c r="G1253" s="1">
        <v>42500</v>
      </c>
      <c r="H1253" t="s">
        <v>41</v>
      </c>
      <c r="I1253">
        <v>14</v>
      </c>
      <c r="J1253" t="s">
        <v>92</v>
      </c>
      <c r="K1253">
        <v>1</v>
      </c>
      <c r="L1253">
        <v>0</v>
      </c>
      <c r="M1253">
        <v>0</v>
      </c>
      <c r="N1253">
        <v>1</v>
      </c>
      <c r="O1253">
        <v>0</v>
      </c>
      <c r="P1253">
        <v>1</v>
      </c>
      <c r="Q1253" t="s">
        <v>26</v>
      </c>
      <c r="R1253">
        <v>1</v>
      </c>
    </row>
    <row r="1254" spans="1:18">
      <c r="A1254" s="4">
        <v>184269000000</v>
      </c>
      <c r="B1254" t="s">
        <v>18</v>
      </c>
      <c r="C1254">
        <v>24</v>
      </c>
      <c r="D1254" t="s">
        <v>37</v>
      </c>
      <c r="E1254" t="s">
        <v>72</v>
      </c>
      <c r="F1254" s="1">
        <v>42486</v>
      </c>
      <c r="G1254" s="1">
        <v>42510</v>
      </c>
      <c r="H1254" t="s">
        <v>21</v>
      </c>
      <c r="I1254">
        <v>24</v>
      </c>
      <c r="J1254" t="s">
        <v>77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26</v>
      </c>
      <c r="R1254">
        <v>1</v>
      </c>
    </row>
    <row r="1255" spans="1:18">
      <c r="A1255" s="4">
        <v>885798000000000</v>
      </c>
      <c r="B1255" t="s">
        <v>18</v>
      </c>
      <c r="C1255">
        <v>49</v>
      </c>
      <c r="D1255" t="s">
        <v>27</v>
      </c>
      <c r="E1255" t="s">
        <v>75</v>
      </c>
      <c r="F1255" s="1">
        <v>42486</v>
      </c>
      <c r="G1255" s="1">
        <v>42520</v>
      </c>
      <c r="H1255" t="s">
        <v>30</v>
      </c>
      <c r="I1255">
        <v>34</v>
      </c>
      <c r="J1255" t="s">
        <v>22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1</v>
      </c>
      <c r="Q1255" t="s">
        <v>23</v>
      </c>
      <c r="R1255">
        <v>0</v>
      </c>
    </row>
    <row r="1256" spans="1:18">
      <c r="A1256" s="4">
        <v>85124800000000</v>
      </c>
      <c r="B1256" t="s">
        <v>28</v>
      </c>
      <c r="C1256">
        <v>37</v>
      </c>
      <c r="D1256" t="s">
        <v>27</v>
      </c>
      <c r="E1256" t="s">
        <v>50</v>
      </c>
      <c r="F1256" s="1">
        <v>42486</v>
      </c>
      <c r="G1256" s="1">
        <v>42499</v>
      </c>
      <c r="H1256" t="s">
        <v>30</v>
      </c>
      <c r="I1256">
        <v>13</v>
      </c>
      <c r="J1256" t="s">
        <v>92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0</v>
      </c>
      <c r="Q1256" t="s">
        <v>26</v>
      </c>
      <c r="R1256">
        <v>1</v>
      </c>
    </row>
    <row r="1257" spans="1:18">
      <c r="A1257" s="4">
        <v>13917000000000</v>
      </c>
      <c r="B1257" t="s">
        <v>28</v>
      </c>
      <c r="C1257">
        <v>13</v>
      </c>
      <c r="D1257" t="s">
        <v>60</v>
      </c>
      <c r="E1257" t="s">
        <v>67</v>
      </c>
      <c r="F1257" s="1">
        <v>42486</v>
      </c>
      <c r="G1257" s="1">
        <v>42520</v>
      </c>
      <c r="H1257" t="s">
        <v>30</v>
      </c>
      <c r="I1257">
        <v>34</v>
      </c>
      <c r="J1257" t="s">
        <v>22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23</v>
      </c>
      <c r="R1257">
        <v>0</v>
      </c>
    </row>
    <row r="1258" spans="1:18">
      <c r="A1258" s="4">
        <v>96638900000000</v>
      </c>
      <c r="B1258" t="s">
        <v>28</v>
      </c>
      <c r="C1258">
        <v>1</v>
      </c>
      <c r="D1258" t="s">
        <v>31</v>
      </c>
      <c r="E1258" t="s">
        <v>45</v>
      </c>
      <c r="F1258" s="1">
        <v>42486</v>
      </c>
      <c r="G1258" s="1">
        <v>42521</v>
      </c>
      <c r="H1258" t="s">
        <v>41</v>
      </c>
      <c r="I1258">
        <v>35</v>
      </c>
      <c r="J1258" t="s">
        <v>22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</v>
      </c>
      <c r="Q1258" t="s">
        <v>23</v>
      </c>
      <c r="R1258">
        <v>0</v>
      </c>
    </row>
    <row r="1259" spans="1:18">
      <c r="A1259" s="4">
        <v>68167300000000</v>
      </c>
      <c r="B1259" t="s">
        <v>28</v>
      </c>
      <c r="C1259">
        <v>8</v>
      </c>
      <c r="D1259" t="s">
        <v>31</v>
      </c>
      <c r="E1259" t="s">
        <v>69</v>
      </c>
      <c r="F1259" s="1">
        <v>42486</v>
      </c>
      <c r="G1259" s="1">
        <v>42495</v>
      </c>
      <c r="H1259" t="s">
        <v>33</v>
      </c>
      <c r="I1259">
        <v>9</v>
      </c>
      <c r="J1259" t="s">
        <v>92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</v>
      </c>
      <c r="Q1259" t="s">
        <v>26</v>
      </c>
      <c r="R1259">
        <v>1</v>
      </c>
    </row>
    <row r="1260" spans="1:18">
      <c r="A1260" s="4">
        <v>6339470000000</v>
      </c>
      <c r="B1260" t="s">
        <v>18</v>
      </c>
      <c r="C1260">
        <v>28</v>
      </c>
      <c r="D1260" t="s">
        <v>37</v>
      </c>
      <c r="E1260" t="s">
        <v>61</v>
      </c>
      <c r="F1260" s="1">
        <v>42486</v>
      </c>
      <c r="G1260" s="1">
        <v>42500</v>
      </c>
      <c r="H1260" t="s">
        <v>41</v>
      </c>
      <c r="I1260">
        <v>14</v>
      </c>
      <c r="J1260" t="s">
        <v>92</v>
      </c>
      <c r="K1260">
        <v>0</v>
      </c>
      <c r="L1260">
        <v>0</v>
      </c>
      <c r="M1260">
        <v>0</v>
      </c>
      <c r="N1260">
        <v>1</v>
      </c>
      <c r="O1260">
        <v>0</v>
      </c>
      <c r="P1260">
        <v>1</v>
      </c>
      <c r="Q1260" t="s">
        <v>23</v>
      </c>
      <c r="R1260">
        <v>0</v>
      </c>
    </row>
    <row r="1261" spans="1:18">
      <c r="A1261" s="4">
        <v>835655000000</v>
      </c>
      <c r="B1261" t="s">
        <v>28</v>
      </c>
      <c r="C1261">
        <v>10</v>
      </c>
      <c r="D1261" t="s">
        <v>31</v>
      </c>
      <c r="E1261" t="s">
        <v>97</v>
      </c>
      <c r="F1261" s="1">
        <v>42486</v>
      </c>
      <c r="G1261" s="1">
        <v>42496</v>
      </c>
      <c r="H1261" t="s">
        <v>21</v>
      </c>
      <c r="I1261">
        <v>10</v>
      </c>
      <c r="J1261" t="s">
        <v>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</v>
      </c>
      <c r="Q1261" t="s">
        <v>23</v>
      </c>
      <c r="R1261">
        <v>0</v>
      </c>
    </row>
    <row r="1262" spans="1:18">
      <c r="A1262" s="4">
        <v>18135600000000</v>
      </c>
      <c r="B1262" t="s">
        <v>18</v>
      </c>
      <c r="C1262">
        <v>50</v>
      </c>
      <c r="D1262" t="s">
        <v>27</v>
      </c>
      <c r="E1262" t="s">
        <v>95</v>
      </c>
      <c r="F1262" s="1">
        <v>42486</v>
      </c>
      <c r="G1262" s="1">
        <v>42500</v>
      </c>
      <c r="H1262" t="s">
        <v>41</v>
      </c>
      <c r="I1262">
        <v>14</v>
      </c>
      <c r="J1262" t="s">
        <v>92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 t="s">
        <v>26</v>
      </c>
      <c r="R1262">
        <v>1</v>
      </c>
    </row>
    <row r="1263" spans="1:18">
      <c r="A1263" s="4">
        <v>88816700000000</v>
      </c>
      <c r="B1263" t="s">
        <v>18</v>
      </c>
      <c r="C1263">
        <v>33</v>
      </c>
      <c r="D1263" t="s">
        <v>37</v>
      </c>
      <c r="E1263" t="s">
        <v>50</v>
      </c>
      <c r="F1263" s="1">
        <v>42486</v>
      </c>
      <c r="G1263" s="1">
        <v>42493</v>
      </c>
      <c r="H1263" t="s">
        <v>41</v>
      </c>
      <c r="I1263">
        <v>7</v>
      </c>
      <c r="J1263" t="s">
        <v>107</v>
      </c>
      <c r="K1263">
        <v>1</v>
      </c>
      <c r="L1263">
        <v>1</v>
      </c>
      <c r="M1263">
        <v>0</v>
      </c>
      <c r="N1263">
        <v>0</v>
      </c>
      <c r="O1263">
        <v>0</v>
      </c>
      <c r="P1263">
        <v>1</v>
      </c>
      <c r="Q1263" t="s">
        <v>23</v>
      </c>
      <c r="R1263">
        <v>0</v>
      </c>
    </row>
    <row r="1264" spans="1:18">
      <c r="A1264" s="4">
        <v>266130000000</v>
      </c>
      <c r="B1264" t="s">
        <v>18</v>
      </c>
      <c r="C1264">
        <v>12</v>
      </c>
      <c r="D1264" t="s">
        <v>31</v>
      </c>
      <c r="E1264" t="s">
        <v>59</v>
      </c>
      <c r="F1264" s="1">
        <v>42486</v>
      </c>
      <c r="G1264" s="1">
        <v>42502</v>
      </c>
      <c r="H1264" t="s">
        <v>33</v>
      </c>
      <c r="I1264">
        <v>16</v>
      </c>
      <c r="J1264" t="s">
        <v>77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</v>
      </c>
      <c r="Q1264" t="s">
        <v>23</v>
      </c>
      <c r="R1264">
        <v>0</v>
      </c>
    </row>
    <row r="1265" spans="1:18">
      <c r="A1265" s="4">
        <v>944424000000</v>
      </c>
      <c r="B1265" t="s">
        <v>18</v>
      </c>
      <c r="C1265">
        <v>30</v>
      </c>
      <c r="D1265" t="s">
        <v>37</v>
      </c>
      <c r="E1265" t="s">
        <v>71</v>
      </c>
      <c r="F1265" s="1">
        <v>42486</v>
      </c>
      <c r="G1265" s="1">
        <v>42515</v>
      </c>
      <c r="H1265" t="s">
        <v>25</v>
      </c>
      <c r="I1265">
        <v>29</v>
      </c>
      <c r="J1265" t="s">
        <v>77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</v>
      </c>
      <c r="Q1265" t="s">
        <v>23</v>
      </c>
      <c r="R1265">
        <v>0</v>
      </c>
    </row>
    <row r="1266" spans="1:18">
      <c r="A1266" s="4">
        <v>6293551454</v>
      </c>
      <c r="B1266" t="s">
        <v>18</v>
      </c>
      <c r="C1266">
        <v>0</v>
      </c>
      <c r="D1266" t="s">
        <v>31</v>
      </c>
      <c r="E1266" t="s">
        <v>71</v>
      </c>
      <c r="F1266" s="1">
        <v>42486</v>
      </c>
      <c r="G1266" s="1">
        <v>42506</v>
      </c>
      <c r="H1266" t="s">
        <v>30</v>
      </c>
      <c r="I1266">
        <v>20</v>
      </c>
      <c r="J1266" t="s">
        <v>77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26</v>
      </c>
      <c r="R1266">
        <v>1</v>
      </c>
    </row>
    <row r="1267" spans="1:18">
      <c r="A1267" s="4">
        <v>161752000000000</v>
      </c>
      <c r="B1267" t="s">
        <v>18</v>
      </c>
      <c r="C1267">
        <v>29</v>
      </c>
      <c r="D1267" t="s">
        <v>37</v>
      </c>
      <c r="E1267" t="s">
        <v>75</v>
      </c>
      <c r="F1267" s="1">
        <v>42486</v>
      </c>
      <c r="G1267" s="1">
        <v>42496</v>
      </c>
      <c r="H1267" t="s">
        <v>21</v>
      </c>
      <c r="I1267">
        <v>10</v>
      </c>
      <c r="J1267" t="s">
        <v>92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</v>
      </c>
      <c r="Q1267" t="s">
        <v>23</v>
      </c>
      <c r="R1267">
        <v>0</v>
      </c>
    </row>
    <row r="1268" spans="1:18">
      <c r="A1268" s="4">
        <v>994988000000000</v>
      </c>
      <c r="B1268" t="s">
        <v>18</v>
      </c>
      <c r="C1268">
        <v>16</v>
      </c>
      <c r="D1268" t="s">
        <v>60</v>
      </c>
      <c r="E1268" t="s">
        <v>74</v>
      </c>
      <c r="F1268" s="1">
        <v>42486</v>
      </c>
      <c r="G1268" s="1">
        <v>42507</v>
      </c>
      <c r="H1268" t="s">
        <v>41</v>
      </c>
      <c r="I1268">
        <v>21</v>
      </c>
      <c r="J1268" t="s">
        <v>77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26</v>
      </c>
      <c r="R1268">
        <v>1</v>
      </c>
    </row>
    <row r="1269" spans="1:18">
      <c r="A1269" s="4">
        <v>35363300000000</v>
      </c>
      <c r="B1269" t="s">
        <v>28</v>
      </c>
      <c r="C1269">
        <v>9</v>
      </c>
      <c r="D1269" t="s">
        <v>31</v>
      </c>
      <c r="E1269" t="s">
        <v>44</v>
      </c>
      <c r="F1269" s="1">
        <v>42486</v>
      </c>
      <c r="G1269" s="1">
        <v>42494</v>
      </c>
      <c r="H1269" t="s">
        <v>25</v>
      </c>
      <c r="I1269">
        <v>8</v>
      </c>
      <c r="J1269" t="s">
        <v>92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</v>
      </c>
      <c r="Q1269" t="s">
        <v>23</v>
      </c>
      <c r="R1269">
        <v>0</v>
      </c>
    </row>
    <row r="1270" spans="1:18">
      <c r="A1270" s="4">
        <v>6433950000000</v>
      </c>
      <c r="B1270" t="s">
        <v>18</v>
      </c>
      <c r="C1270">
        <v>22</v>
      </c>
      <c r="D1270" t="s">
        <v>37</v>
      </c>
      <c r="E1270" t="s">
        <v>65</v>
      </c>
      <c r="F1270" s="1">
        <v>42486</v>
      </c>
      <c r="G1270" s="1">
        <v>42500</v>
      </c>
      <c r="H1270" t="s">
        <v>41</v>
      </c>
      <c r="I1270">
        <v>14</v>
      </c>
      <c r="J1270" t="s">
        <v>92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</v>
      </c>
      <c r="Q1270" t="s">
        <v>23</v>
      </c>
      <c r="R1270">
        <v>0</v>
      </c>
    </row>
    <row r="1271" spans="1:18">
      <c r="A1271" s="4">
        <v>76987000000000</v>
      </c>
      <c r="B1271" t="s">
        <v>28</v>
      </c>
      <c r="C1271">
        <v>27</v>
      </c>
      <c r="D1271" t="s">
        <v>37</v>
      </c>
      <c r="E1271" t="s">
        <v>50</v>
      </c>
      <c r="F1271" s="1">
        <v>42486</v>
      </c>
      <c r="G1271" s="1">
        <v>42515</v>
      </c>
      <c r="H1271" t="s">
        <v>25</v>
      </c>
      <c r="I1271">
        <v>29</v>
      </c>
      <c r="J1271" t="s">
        <v>77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</v>
      </c>
      <c r="Q1271" t="s">
        <v>26</v>
      </c>
      <c r="R1271">
        <v>1</v>
      </c>
    </row>
    <row r="1272" spans="1:18">
      <c r="A1272" s="4">
        <v>9384820000000</v>
      </c>
      <c r="B1272" t="s">
        <v>28</v>
      </c>
      <c r="C1272">
        <v>5</v>
      </c>
      <c r="D1272" t="s">
        <v>31</v>
      </c>
      <c r="E1272" t="s">
        <v>46</v>
      </c>
      <c r="F1272" s="1">
        <v>42486</v>
      </c>
      <c r="G1272" s="1">
        <v>42499</v>
      </c>
      <c r="H1272" t="s">
        <v>30</v>
      </c>
      <c r="I1272">
        <v>13</v>
      </c>
      <c r="J1272" t="s">
        <v>92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23</v>
      </c>
      <c r="R1272">
        <v>0</v>
      </c>
    </row>
    <row r="1273" spans="1:18">
      <c r="A1273" s="4">
        <v>91276200000000</v>
      </c>
      <c r="B1273" t="s">
        <v>28</v>
      </c>
      <c r="C1273">
        <v>90</v>
      </c>
      <c r="D1273" t="s">
        <v>19</v>
      </c>
      <c r="E1273" t="s">
        <v>71</v>
      </c>
      <c r="F1273" s="1">
        <v>42486</v>
      </c>
      <c r="G1273" s="1">
        <v>42500</v>
      </c>
      <c r="H1273" t="s">
        <v>41</v>
      </c>
      <c r="I1273">
        <v>14</v>
      </c>
      <c r="J1273" t="s">
        <v>92</v>
      </c>
      <c r="K1273">
        <v>0</v>
      </c>
      <c r="L1273">
        <v>1</v>
      </c>
      <c r="M1273">
        <v>1</v>
      </c>
      <c r="N1273">
        <v>0</v>
      </c>
      <c r="O1273">
        <v>0</v>
      </c>
      <c r="P1273">
        <v>0</v>
      </c>
      <c r="Q1273" t="s">
        <v>26</v>
      </c>
      <c r="R1273">
        <v>1</v>
      </c>
    </row>
    <row r="1274" spans="1:18">
      <c r="A1274" s="4">
        <v>39416200000000</v>
      </c>
      <c r="B1274" t="s">
        <v>18</v>
      </c>
      <c r="C1274">
        <v>41</v>
      </c>
      <c r="D1274" t="s">
        <v>27</v>
      </c>
      <c r="E1274" t="s">
        <v>61</v>
      </c>
      <c r="F1274" s="1">
        <v>42486</v>
      </c>
      <c r="G1274" s="1">
        <v>42514</v>
      </c>
      <c r="H1274" t="s">
        <v>41</v>
      </c>
      <c r="I1274">
        <v>28</v>
      </c>
      <c r="J1274" t="s">
        <v>77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1</v>
      </c>
      <c r="Q1274" t="s">
        <v>26</v>
      </c>
      <c r="R1274">
        <v>1</v>
      </c>
    </row>
    <row r="1275" spans="1:18">
      <c r="A1275" s="4">
        <v>2452850000000</v>
      </c>
      <c r="B1275" t="s">
        <v>18</v>
      </c>
      <c r="C1275">
        <v>33</v>
      </c>
      <c r="D1275" t="s">
        <v>37</v>
      </c>
      <c r="E1275" t="s">
        <v>34</v>
      </c>
      <c r="F1275" s="1">
        <v>42486</v>
      </c>
      <c r="G1275" s="1">
        <v>42515</v>
      </c>
      <c r="H1275" t="s">
        <v>25</v>
      </c>
      <c r="I1275">
        <v>29</v>
      </c>
      <c r="J1275" t="s">
        <v>77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</v>
      </c>
      <c r="Q1275" t="s">
        <v>23</v>
      </c>
      <c r="R1275">
        <v>0</v>
      </c>
    </row>
    <row r="1276" spans="1:18">
      <c r="A1276" s="4">
        <v>9277730000000</v>
      </c>
      <c r="B1276" t="s">
        <v>28</v>
      </c>
      <c r="C1276">
        <v>61</v>
      </c>
      <c r="D1276" t="s">
        <v>35</v>
      </c>
      <c r="E1276" t="s">
        <v>96</v>
      </c>
      <c r="F1276" s="1">
        <v>42486</v>
      </c>
      <c r="G1276" s="1">
        <v>42494</v>
      </c>
      <c r="H1276" t="s">
        <v>25</v>
      </c>
      <c r="I1276">
        <v>8</v>
      </c>
      <c r="J1276" t="s">
        <v>92</v>
      </c>
      <c r="K1276">
        <v>0</v>
      </c>
      <c r="L1276">
        <v>1</v>
      </c>
      <c r="M1276">
        <v>1</v>
      </c>
      <c r="N1276">
        <v>0</v>
      </c>
      <c r="O1276">
        <v>0</v>
      </c>
      <c r="P1276">
        <v>1</v>
      </c>
      <c r="Q1276" t="s">
        <v>23</v>
      </c>
      <c r="R1276">
        <v>0</v>
      </c>
    </row>
    <row r="1277" spans="1:18">
      <c r="A1277" s="4">
        <v>188987000000000</v>
      </c>
      <c r="B1277" t="s">
        <v>18</v>
      </c>
      <c r="C1277">
        <v>32</v>
      </c>
      <c r="D1277" t="s">
        <v>37</v>
      </c>
      <c r="E1277" t="s">
        <v>59</v>
      </c>
      <c r="F1277" s="1">
        <v>42486</v>
      </c>
      <c r="G1277" s="1">
        <v>42492</v>
      </c>
      <c r="H1277" t="s">
        <v>30</v>
      </c>
      <c r="I1277">
        <v>6</v>
      </c>
      <c r="J1277" t="s">
        <v>107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</v>
      </c>
      <c r="Q1277" t="s">
        <v>26</v>
      </c>
      <c r="R1277">
        <v>1</v>
      </c>
    </row>
    <row r="1278" spans="1:18">
      <c r="A1278" s="4">
        <v>967387793</v>
      </c>
      <c r="B1278" t="s">
        <v>28</v>
      </c>
      <c r="C1278">
        <v>38</v>
      </c>
      <c r="D1278" t="s">
        <v>27</v>
      </c>
      <c r="E1278" t="s">
        <v>69</v>
      </c>
      <c r="F1278" s="1">
        <v>42486</v>
      </c>
      <c r="G1278" s="1">
        <v>42489</v>
      </c>
      <c r="H1278" t="s">
        <v>21</v>
      </c>
      <c r="I1278">
        <v>3</v>
      </c>
      <c r="J1278" t="s">
        <v>109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</v>
      </c>
      <c r="Q1278" t="s">
        <v>23</v>
      </c>
      <c r="R1278">
        <v>0</v>
      </c>
    </row>
    <row r="1279" spans="1:18">
      <c r="A1279" s="4">
        <v>425118000000</v>
      </c>
      <c r="B1279" t="s">
        <v>18</v>
      </c>
      <c r="C1279">
        <v>22</v>
      </c>
      <c r="D1279" t="s">
        <v>37</v>
      </c>
      <c r="E1279" t="s">
        <v>48</v>
      </c>
      <c r="F1279" s="1">
        <v>42486</v>
      </c>
      <c r="G1279" s="1">
        <v>42514</v>
      </c>
      <c r="H1279" t="s">
        <v>41</v>
      </c>
      <c r="I1279">
        <v>28</v>
      </c>
      <c r="J1279" t="s">
        <v>77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</v>
      </c>
      <c r="Q1279" t="s">
        <v>26</v>
      </c>
      <c r="R1279">
        <v>1</v>
      </c>
    </row>
    <row r="1280" spans="1:18">
      <c r="A1280" s="4">
        <v>6754980000000</v>
      </c>
      <c r="B1280" t="s">
        <v>28</v>
      </c>
      <c r="C1280">
        <v>3</v>
      </c>
      <c r="D1280" t="s">
        <v>31</v>
      </c>
      <c r="E1280" t="s">
        <v>90</v>
      </c>
      <c r="F1280" s="1">
        <v>42486</v>
      </c>
      <c r="G1280" s="1">
        <v>42494</v>
      </c>
      <c r="H1280" t="s">
        <v>25</v>
      </c>
      <c r="I1280">
        <v>8</v>
      </c>
      <c r="J1280" t="s">
        <v>92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</v>
      </c>
      <c r="Q1280" t="s">
        <v>26</v>
      </c>
      <c r="R1280">
        <v>1</v>
      </c>
    </row>
    <row r="1281" spans="1:18">
      <c r="A1281" s="4">
        <v>75176400000000</v>
      </c>
      <c r="B1281" t="s">
        <v>18</v>
      </c>
      <c r="C1281">
        <v>56</v>
      </c>
      <c r="D1281" t="s">
        <v>35</v>
      </c>
      <c r="E1281" t="s">
        <v>47</v>
      </c>
      <c r="F1281" s="1">
        <v>42486</v>
      </c>
      <c r="G1281" s="1">
        <v>42501</v>
      </c>
      <c r="H1281" t="s">
        <v>25</v>
      </c>
      <c r="I1281">
        <v>15</v>
      </c>
      <c r="J1281" t="s">
        <v>77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</v>
      </c>
      <c r="Q1281" t="s">
        <v>23</v>
      </c>
      <c r="R1281">
        <v>0</v>
      </c>
    </row>
    <row r="1282" spans="1:18">
      <c r="A1282" s="4">
        <v>432270000000000</v>
      </c>
      <c r="B1282" t="s">
        <v>18</v>
      </c>
      <c r="C1282">
        <v>56</v>
      </c>
      <c r="D1282" t="s">
        <v>35</v>
      </c>
      <c r="E1282" t="s">
        <v>64</v>
      </c>
      <c r="F1282" s="1">
        <v>42486</v>
      </c>
      <c r="G1282" s="1">
        <v>42520</v>
      </c>
      <c r="H1282" t="s">
        <v>30</v>
      </c>
      <c r="I1282">
        <v>34</v>
      </c>
      <c r="J1282" t="s">
        <v>22</v>
      </c>
      <c r="K1282">
        <v>1</v>
      </c>
      <c r="L1282">
        <v>1</v>
      </c>
      <c r="M1282">
        <v>0</v>
      </c>
      <c r="N1282">
        <v>0</v>
      </c>
      <c r="O1282">
        <v>0</v>
      </c>
      <c r="P1282">
        <v>1</v>
      </c>
      <c r="Q1282" t="s">
        <v>26</v>
      </c>
      <c r="R1282">
        <v>1</v>
      </c>
    </row>
    <row r="1283" spans="1:18">
      <c r="A1283" s="4">
        <v>8475230000000</v>
      </c>
      <c r="B1283" t="s">
        <v>18</v>
      </c>
      <c r="C1283">
        <v>40</v>
      </c>
      <c r="D1283" t="s">
        <v>27</v>
      </c>
      <c r="E1283" t="s">
        <v>36</v>
      </c>
      <c r="F1283" s="1">
        <v>42486</v>
      </c>
      <c r="G1283" s="1">
        <v>42521</v>
      </c>
      <c r="H1283" t="s">
        <v>41</v>
      </c>
      <c r="I1283">
        <v>35</v>
      </c>
      <c r="J1283" t="s">
        <v>22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1</v>
      </c>
      <c r="Q1283" t="s">
        <v>23</v>
      </c>
      <c r="R1283">
        <v>0</v>
      </c>
    </row>
    <row r="1284" spans="1:18">
      <c r="A1284" s="4">
        <v>38454900000000</v>
      </c>
      <c r="B1284" t="s">
        <v>18</v>
      </c>
      <c r="C1284">
        <v>13</v>
      </c>
      <c r="D1284" t="s">
        <v>60</v>
      </c>
      <c r="E1284" t="s">
        <v>43</v>
      </c>
      <c r="F1284" s="1">
        <v>42486</v>
      </c>
      <c r="G1284" s="1">
        <v>42499</v>
      </c>
      <c r="H1284" t="s">
        <v>30</v>
      </c>
      <c r="I1284">
        <v>13</v>
      </c>
      <c r="J1284" t="s">
        <v>92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23</v>
      </c>
      <c r="R1284">
        <v>0</v>
      </c>
    </row>
    <row r="1285" spans="1:18">
      <c r="A1285" s="4">
        <v>57464800000000</v>
      </c>
      <c r="B1285" t="s">
        <v>28</v>
      </c>
      <c r="C1285">
        <v>53</v>
      </c>
      <c r="D1285" t="s">
        <v>35</v>
      </c>
      <c r="E1285" t="s">
        <v>47</v>
      </c>
      <c r="F1285" s="1">
        <v>42486</v>
      </c>
      <c r="G1285" s="1">
        <v>42503</v>
      </c>
      <c r="H1285" t="s">
        <v>21</v>
      </c>
      <c r="I1285">
        <v>17</v>
      </c>
      <c r="J1285" t="s">
        <v>77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23</v>
      </c>
      <c r="R1285">
        <v>0</v>
      </c>
    </row>
    <row r="1286" spans="1:18">
      <c r="A1286" s="4">
        <v>77538200000000</v>
      </c>
      <c r="B1286" t="s">
        <v>18</v>
      </c>
      <c r="C1286">
        <v>17</v>
      </c>
      <c r="D1286" t="s">
        <v>60</v>
      </c>
      <c r="E1286" t="s">
        <v>42</v>
      </c>
      <c r="F1286" s="1">
        <v>42486</v>
      </c>
      <c r="G1286" s="1">
        <v>42515</v>
      </c>
      <c r="H1286" t="s">
        <v>25</v>
      </c>
      <c r="I1286">
        <v>29</v>
      </c>
      <c r="J1286" t="s">
        <v>77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</v>
      </c>
      <c r="Q1286" t="s">
        <v>23</v>
      </c>
      <c r="R1286">
        <v>0</v>
      </c>
    </row>
    <row r="1287" spans="1:18">
      <c r="A1287" s="4">
        <v>914618000000000</v>
      </c>
      <c r="B1287" t="s">
        <v>18</v>
      </c>
      <c r="C1287">
        <v>82</v>
      </c>
      <c r="D1287" t="s">
        <v>19</v>
      </c>
      <c r="E1287" t="s">
        <v>72</v>
      </c>
      <c r="F1287" s="1">
        <v>42486</v>
      </c>
      <c r="G1287" s="1">
        <v>42521</v>
      </c>
      <c r="H1287" t="s">
        <v>41</v>
      </c>
      <c r="I1287">
        <v>35</v>
      </c>
      <c r="J1287" t="s">
        <v>22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 t="s">
        <v>23</v>
      </c>
      <c r="R1287">
        <v>0</v>
      </c>
    </row>
    <row r="1288" spans="1:18">
      <c r="A1288" s="4">
        <v>9213470000000</v>
      </c>
      <c r="B1288" t="s">
        <v>18</v>
      </c>
      <c r="C1288">
        <v>49</v>
      </c>
      <c r="D1288" t="s">
        <v>27</v>
      </c>
      <c r="E1288" t="s">
        <v>72</v>
      </c>
      <c r="F1288" s="1">
        <v>42486</v>
      </c>
      <c r="G1288" s="1">
        <v>42521</v>
      </c>
      <c r="H1288" t="s">
        <v>41</v>
      </c>
      <c r="I1288">
        <v>35</v>
      </c>
      <c r="J1288" t="s">
        <v>22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</v>
      </c>
      <c r="Q1288" t="s">
        <v>23</v>
      </c>
      <c r="R1288">
        <v>0</v>
      </c>
    </row>
    <row r="1289" spans="1:18">
      <c r="A1289" s="4">
        <v>661197000000000</v>
      </c>
      <c r="B1289" t="s">
        <v>18</v>
      </c>
      <c r="C1289">
        <v>0</v>
      </c>
      <c r="D1289" t="s">
        <v>31</v>
      </c>
      <c r="E1289" t="s">
        <v>68</v>
      </c>
      <c r="F1289" s="1">
        <v>42486</v>
      </c>
      <c r="G1289" s="1">
        <v>42508</v>
      </c>
      <c r="H1289" t="s">
        <v>25</v>
      </c>
      <c r="I1289">
        <v>22</v>
      </c>
      <c r="J1289" t="s">
        <v>77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23</v>
      </c>
      <c r="R1289">
        <v>0</v>
      </c>
    </row>
    <row r="1290" spans="1:18">
      <c r="A1290" s="4">
        <v>99392000000000</v>
      </c>
      <c r="B1290" t="s">
        <v>18</v>
      </c>
      <c r="C1290">
        <v>32</v>
      </c>
      <c r="D1290" t="s">
        <v>37</v>
      </c>
      <c r="E1290" t="s">
        <v>50</v>
      </c>
      <c r="F1290" s="1">
        <v>42486</v>
      </c>
      <c r="G1290" s="1">
        <v>42521</v>
      </c>
      <c r="H1290" t="s">
        <v>41</v>
      </c>
      <c r="I1290">
        <v>35</v>
      </c>
      <c r="J1290" t="s">
        <v>22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23</v>
      </c>
      <c r="R1290">
        <v>0</v>
      </c>
    </row>
    <row r="1291" spans="1:18">
      <c r="A1291" s="4">
        <v>55826800000000</v>
      </c>
      <c r="B1291" t="s">
        <v>18</v>
      </c>
      <c r="C1291">
        <v>83</v>
      </c>
      <c r="D1291" t="s">
        <v>19</v>
      </c>
      <c r="E1291" t="s">
        <v>59</v>
      </c>
      <c r="F1291" s="1">
        <v>42486</v>
      </c>
      <c r="G1291" s="1">
        <v>42500</v>
      </c>
      <c r="H1291" t="s">
        <v>41</v>
      </c>
      <c r="I1291">
        <v>14</v>
      </c>
      <c r="J1291" t="s">
        <v>92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</v>
      </c>
      <c r="Q1291" t="s">
        <v>23</v>
      </c>
      <c r="R1291">
        <v>0</v>
      </c>
    </row>
    <row r="1292" spans="1:18">
      <c r="A1292" s="4">
        <v>92627500000000</v>
      </c>
      <c r="B1292" t="s">
        <v>28</v>
      </c>
      <c r="C1292">
        <v>16</v>
      </c>
      <c r="D1292" t="s">
        <v>60</v>
      </c>
      <c r="E1292" t="s">
        <v>65</v>
      </c>
      <c r="F1292" s="1">
        <v>42486</v>
      </c>
      <c r="G1292" s="1">
        <v>42501</v>
      </c>
      <c r="H1292" t="s">
        <v>25</v>
      </c>
      <c r="I1292">
        <v>15</v>
      </c>
      <c r="J1292" t="s">
        <v>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</v>
      </c>
      <c r="Q1292" t="s">
        <v>23</v>
      </c>
      <c r="R1292">
        <v>0</v>
      </c>
    </row>
    <row r="1293" spans="1:18">
      <c r="A1293" s="4">
        <v>389252000000</v>
      </c>
      <c r="B1293" t="s">
        <v>18</v>
      </c>
      <c r="C1293">
        <v>5</v>
      </c>
      <c r="D1293" t="s">
        <v>31</v>
      </c>
      <c r="E1293" t="s">
        <v>69</v>
      </c>
      <c r="F1293" s="1">
        <v>42486</v>
      </c>
      <c r="G1293" s="1">
        <v>42499</v>
      </c>
      <c r="H1293" t="s">
        <v>30</v>
      </c>
      <c r="I1293">
        <v>13</v>
      </c>
      <c r="J1293" t="s">
        <v>92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23</v>
      </c>
      <c r="R1293">
        <v>0</v>
      </c>
    </row>
    <row r="1294" spans="1:18">
      <c r="A1294" s="4">
        <v>489923000000000</v>
      </c>
      <c r="B1294" t="s">
        <v>18</v>
      </c>
      <c r="C1294">
        <v>59</v>
      </c>
      <c r="D1294" t="s">
        <v>35</v>
      </c>
      <c r="E1294" t="s">
        <v>20</v>
      </c>
      <c r="F1294" s="1">
        <v>42486</v>
      </c>
      <c r="G1294" s="1">
        <v>42501</v>
      </c>
      <c r="H1294" t="s">
        <v>25</v>
      </c>
      <c r="I1294">
        <v>15</v>
      </c>
      <c r="J1294" t="s">
        <v>77</v>
      </c>
      <c r="K1294">
        <v>0</v>
      </c>
      <c r="L1294">
        <v>1</v>
      </c>
      <c r="M1294">
        <v>0</v>
      </c>
      <c r="N1294">
        <v>0</v>
      </c>
      <c r="O1294">
        <v>0</v>
      </c>
      <c r="P1294">
        <v>1</v>
      </c>
      <c r="Q1294" t="s">
        <v>26</v>
      </c>
      <c r="R1294">
        <v>1</v>
      </c>
    </row>
    <row r="1295" spans="1:18">
      <c r="A1295" s="4">
        <v>4168390000000</v>
      </c>
      <c r="B1295" t="s">
        <v>28</v>
      </c>
      <c r="C1295">
        <v>65</v>
      </c>
      <c r="D1295" t="s">
        <v>35</v>
      </c>
      <c r="E1295" t="s">
        <v>36</v>
      </c>
      <c r="F1295" s="1">
        <v>42486</v>
      </c>
      <c r="G1295" s="1">
        <v>42494</v>
      </c>
      <c r="H1295" t="s">
        <v>25</v>
      </c>
      <c r="I1295">
        <v>8</v>
      </c>
      <c r="J1295" t="s">
        <v>92</v>
      </c>
      <c r="K1295">
        <v>0</v>
      </c>
      <c r="L1295">
        <v>1</v>
      </c>
      <c r="M1295">
        <v>0</v>
      </c>
      <c r="N1295">
        <v>0</v>
      </c>
      <c r="O1295">
        <v>0</v>
      </c>
      <c r="P1295">
        <v>1</v>
      </c>
      <c r="Q1295" t="s">
        <v>23</v>
      </c>
      <c r="R1295">
        <v>0</v>
      </c>
    </row>
    <row r="1296" spans="1:18">
      <c r="A1296" s="4">
        <v>62183600000000</v>
      </c>
      <c r="B1296" t="s">
        <v>18</v>
      </c>
      <c r="C1296">
        <v>55</v>
      </c>
      <c r="D1296" t="s">
        <v>35</v>
      </c>
      <c r="E1296" t="s">
        <v>67</v>
      </c>
      <c r="F1296" s="1">
        <v>42486</v>
      </c>
      <c r="G1296" s="1">
        <v>42514</v>
      </c>
      <c r="H1296" t="s">
        <v>41</v>
      </c>
      <c r="I1296">
        <v>28</v>
      </c>
      <c r="J1296" t="s">
        <v>77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1</v>
      </c>
      <c r="Q1296" t="s">
        <v>23</v>
      </c>
      <c r="R1296">
        <v>0</v>
      </c>
    </row>
    <row r="1297" spans="1:18">
      <c r="A1297" s="4">
        <v>525177000000000</v>
      </c>
      <c r="B1297" t="s">
        <v>28</v>
      </c>
      <c r="C1297">
        <v>53</v>
      </c>
      <c r="D1297" t="s">
        <v>35</v>
      </c>
      <c r="E1297" t="s">
        <v>54</v>
      </c>
      <c r="F1297" s="1">
        <v>42486</v>
      </c>
      <c r="G1297" s="1">
        <v>42500</v>
      </c>
      <c r="H1297" t="s">
        <v>41</v>
      </c>
      <c r="I1297">
        <v>14</v>
      </c>
      <c r="J1297" t="s">
        <v>92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23</v>
      </c>
      <c r="R1297">
        <v>0</v>
      </c>
    </row>
    <row r="1298" spans="1:18">
      <c r="A1298" s="4">
        <v>677389000000</v>
      </c>
      <c r="B1298" t="s">
        <v>18</v>
      </c>
      <c r="C1298">
        <v>22</v>
      </c>
      <c r="D1298" t="s">
        <v>37</v>
      </c>
      <c r="E1298" t="s">
        <v>78</v>
      </c>
      <c r="F1298" s="1">
        <v>42486</v>
      </c>
      <c r="G1298" s="1">
        <v>42501</v>
      </c>
      <c r="H1298" t="s">
        <v>25</v>
      </c>
      <c r="I1298">
        <v>15</v>
      </c>
      <c r="J1298" t="s">
        <v>77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1</v>
      </c>
      <c r="Q1298" t="s">
        <v>23</v>
      </c>
      <c r="R1298">
        <v>0</v>
      </c>
    </row>
    <row r="1299" spans="1:18">
      <c r="A1299" s="4">
        <v>38116000000000</v>
      </c>
      <c r="B1299" t="s">
        <v>18</v>
      </c>
      <c r="C1299">
        <v>56</v>
      </c>
      <c r="D1299" t="s">
        <v>35</v>
      </c>
      <c r="E1299" t="s">
        <v>57</v>
      </c>
      <c r="F1299" s="1">
        <v>42486</v>
      </c>
      <c r="G1299" s="1">
        <v>42508</v>
      </c>
      <c r="H1299" t="s">
        <v>25</v>
      </c>
      <c r="I1299">
        <v>22</v>
      </c>
      <c r="J1299" t="s">
        <v>77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23</v>
      </c>
      <c r="R1299">
        <v>0</v>
      </c>
    </row>
    <row r="1300" spans="1:18">
      <c r="A1300" s="4">
        <v>69718100000000</v>
      </c>
      <c r="B1300" t="s">
        <v>18</v>
      </c>
      <c r="C1300">
        <v>19</v>
      </c>
      <c r="D1300" t="s">
        <v>37</v>
      </c>
      <c r="E1300" t="s">
        <v>59</v>
      </c>
      <c r="F1300" s="1">
        <v>42486</v>
      </c>
      <c r="G1300" s="1">
        <v>42489</v>
      </c>
      <c r="H1300" t="s">
        <v>21</v>
      </c>
      <c r="I1300">
        <v>3</v>
      </c>
      <c r="J1300" t="s">
        <v>109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</v>
      </c>
      <c r="Q1300" t="s">
        <v>23</v>
      </c>
      <c r="R1300">
        <v>0</v>
      </c>
    </row>
    <row r="1301" spans="1:18">
      <c r="A1301" s="4">
        <v>91153400000000</v>
      </c>
      <c r="B1301" t="s">
        <v>18</v>
      </c>
      <c r="C1301">
        <v>31</v>
      </c>
      <c r="D1301" t="s">
        <v>37</v>
      </c>
      <c r="E1301" t="s">
        <v>42</v>
      </c>
      <c r="F1301" s="1">
        <v>42486</v>
      </c>
      <c r="G1301" s="1">
        <v>42493</v>
      </c>
      <c r="H1301" t="s">
        <v>41</v>
      </c>
      <c r="I1301">
        <v>7</v>
      </c>
      <c r="J1301" t="s">
        <v>107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</v>
      </c>
      <c r="Q1301" t="s">
        <v>23</v>
      </c>
      <c r="R1301">
        <v>0</v>
      </c>
    </row>
    <row r="1302" spans="1:18">
      <c r="A1302" s="4">
        <v>273996000000</v>
      </c>
      <c r="B1302" t="s">
        <v>18</v>
      </c>
      <c r="C1302">
        <v>30</v>
      </c>
      <c r="D1302" t="s">
        <v>37</v>
      </c>
      <c r="E1302" t="s">
        <v>71</v>
      </c>
      <c r="F1302" s="1">
        <v>42486</v>
      </c>
      <c r="G1302" s="1">
        <v>42501</v>
      </c>
      <c r="H1302" t="s">
        <v>25</v>
      </c>
      <c r="I1302">
        <v>15</v>
      </c>
      <c r="J1302" t="s">
        <v>77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23</v>
      </c>
      <c r="R1302">
        <v>0</v>
      </c>
    </row>
    <row r="1303" spans="1:18">
      <c r="A1303" s="4">
        <v>2651850000000</v>
      </c>
      <c r="B1303" t="s">
        <v>28</v>
      </c>
      <c r="C1303">
        <v>5</v>
      </c>
      <c r="D1303" t="s">
        <v>31</v>
      </c>
      <c r="E1303" t="s">
        <v>32</v>
      </c>
      <c r="F1303" s="1">
        <v>42486</v>
      </c>
      <c r="G1303" s="1">
        <v>42502</v>
      </c>
      <c r="H1303" t="s">
        <v>33</v>
      </c>
      <c r="I1303">
        <v>16</v>
      </c>
      <c r="J1303" t="s">
        <v>77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v>1</v>
      </c>
      <c r="Q1303" t="s">
        <v>26</v>
      </c>
      <c r="R1303">
        <v>1</v>
      </c>
    </row>
    <row r="1304" spans="1:18">
      <c r="A1304" s="4">
        <v>731880000000000</v>
      </c>
      <c r="B1304" t="s">
        <v>18</v>
      </c>
      <c r="C1304">
        <v>65</v>
      </c>
      <c r="D1304" t="s">
        <v>35</v>
      </c>
      <c r="E1304" t="s">
        <v>40</v>
      </c>
      <c r="F1304" s="1">
        <v>42486</v>
      </c>
      <c r="G1304" s="1">
        <v>42503</v>
      </c>
      <c r="H1304" t="s">
        <v>21</v>
      </c>
      <c r="I1304">
        <v>17</v>
      </c>
      <c r="J1304" t="s">
        <v>77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 t="s">
        <v>23</v>
      </c>
      <c r="R1304">
        <v>0</v>
      </c>
    </row>
    <row r="1305" spans="1:18">
      <c r="A1305" s="4">
        <v>566648000000000</v>
      </c>
      <c r="B1305" t="s">
        <v>18</v>
      </c>
      <c r="C1305">
        <v>0</v>
      </c>
      <c r="D1305" t="s">
        <v>31</v>
      </c>
      <c r="E1305" t="s">
        <v>71</v>
      </c>
      <c r="F1305" s="1">
        <v>42486</v>
      </c>
      <c r="G1305" s="1">
        <v>42495</v>
      </c>
      <c r="H1305" t="s">
        <v>33</v>
      </c>
      <c r="I1305">
        <v>9</v>
      </c>
      <c r="J1305" t="s">
        <v>92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26</v>
      </c>
      <c r="R1305">
        <v>1</v>
      </c>
    </row>
    <row r="1306" spans="1:18">
      <c r="A1306" s="4">
        <v>86237900000000</v>
      </c>
      <c r="B1306" t="s">
        <v>28</v>
      </c>
      <c r="C1306">
        <v>1</v>
      </c>
      <c r="D1306" t="s">
        <v>31</v>
      </c>
      <c r="E1306" t="s">
        <v>71</v>
      </c>
      <c r="F1306" s="1">
        <v>42486</v>
      </c>
      <c r="G1306" s="1">
        <v>42509</v>
      </c>
      <c r="H1306" t="s">
        <v>33</v>
      </c>
      <c r="I1306">
        <v>23</v>
      </c>
      <c r="J1306" t="s">
        <v>77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26</v>
      </c>
      <c r="R1306">
        <v>1</v>
      </c>
    </row>
    <row r="1307" spans="1:18">
      <c r="A1307" s="4">
        <v>7222380000000</v>
      </c>
      <c r="B1307" t="s">
        <v>28</v>
      </c>
      <c r="C1307">
        <v>7</v>
      </c>
      <c r="D1307" t="s">
        <v>31</v>
      </c>
      <c r="E1307" t="s">
        <v>58</v>
      </c>
      <c r="F1307" s="1">
        <v>42486</v>
      </c>
      <c r="G1307" s="1">
        <v>42492</v>
      </c>
      <c r="H1307" t="s">
        <v>30</v>
      </c>
      <c r="I1307">
        <v>6</v>
      </c>
      <c r="J1307" t="s">
        <v>107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23</v>
      </c>
      <c r="R1307">
        <v>0</v>
      </c>
    </row>
    <row r="1308" spans="1:18">
      <c r="A1308" s="4">
        <v>2223370000000</v>
      </c>
      <c r="B1308" t="s">
        <v>18</v>
      </c>
      <c r="C1308">
        <v>1</v>
      </c>
      <c r="D1308" t="s">
        <v>31</v>
      </c>
      <c r="E1308" t="s">
        <v>69</v>
      </c>
      <c r="F1308" s="1">
        <v>42486</v>
      </c>
      <c r="G1308" s="1">
        <v>42506</v>
      </c>
      <c r="H1308" t="s">
        <v>30</v>
      </c>
      <c r="I1308">
        <v>20</v>
      </c>
      <c r="J1308" t="s">
        <v>77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26</v>
      </c>
      <c r="R1308">
        <v>1</v>
      </c>
    </row>
    <row r="1309" spans="1:18">
      <c r="A1309" s="4">
        <v>6583920000000</v>
      </c>
      <c r="B1309" t="s">
        <v>18</v>
      </c>
      <c r="C1309">
        <v>32</v>
      </c>
      <c r="D1309" t="s">
        <v>37</v>
      </c>
      <c r="E1309" t="s">
        <v>71</v>
      </c>
      <c r="F1309" s="1">
        <v>42486</v>
      </c>
      <c r="G1309" s="1">
        <v>42506</v>
      </c>
      <c r="H1309" t="s">
        <v>30</v>
      </c>
      <c r="I1309">
        <v>20</v>
      </c>
      <c r="J1309" t="s">
        <v>77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23</v>
      </c>
      <c r="R1309">
        <v>0</v>
      </c>
    </row>
    <row r="1310" spans="1:18">
      <c r="A1310" s="4">
        <v>599683000000000</v>
      </c>
      <c r="B1310" t="s">
        <v>28</v>
      </c>
      <c r="C1310">
        <v>0</v>
      </c>
      <c r="D1310" t="s">
        <v>31</v>
      </c>
      <c r="E1310" t="s">
        <v>44</v>
      </c>
      <c r="F1310" s="1">
        <v>42486</v>
      </c>
      <c r="G1310" s="1">
        <v>42494</v>
      </c>
      <c r="H1310" t="s">
        <v>25</v>
      </c>
      <c r="I1310">
        <v>8</v>
      </c>
      <c r="J1310" t="s">
        <v>92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26</v>
      </c>
      <c r="R1310">
        <v>1</v>
      </c>
    </row>
    <row r="1311" spans="1:18">
      <c r="A1311" s="4">
        <v>684164000000000</v>
      </c>
      <c r="B1311" t="s">
        <v>18</v>
      </c>
      <c r="C1311">
        <v>29</v>
      </c>
      <c r="D1311" t="s">
        <v>37</v>
      </c>
      <c r="E1311" t="s">
        <v>47</v>
      </c>
      <c r="F1311" s="1">
        <v>42486</v>
      </c>
      <c r="G1311" s="1">
        <v>42501</v>
      </c>
      <c r="H1311" t="s">
        <v>25</v>
      </c>
      <c r="I1311">
        <v>15</v>
      </c>
      <c r="J1311" t="s">
        <v>77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</v>
      </c>
      <c r="Q1311" t="s">
        <v>23</v>
      </c>
      <c r="R1311">
        <v>0</v>
      </c>
    </row>
    <row r="1312" spans="1:18">
      <c r="A1312" s="4">
        <v>767319000000000</v>
      </c>
      <c r="B1312" t="s">
        <v>18</v>
      </c>
      <c r="C1312">
        <v>76</v>
      </c>
      <c r="D1312" t="s">
        <v>19</v>
      </c>
      <c r="E1312" t="s">
        <v>39</v>
      </c>
      <c r="F1312" s="1">
        <v>42486</v>
      </c>
      <c r="G1312" s="1">
        <v>42508</v>
      </c>
      <c r="H1312" t="s">
        <v>25</v>
      </c>
      <c r="I1312">
        <v>22</v>
      </c>
      <c r="J1312" t="s">
        <v>77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26</v>
      </c>
      <c r="R1312">
        <v>1</v>
      </c>
    </row>
    <row r="1313" spans="1:18">
      <c r="A1313" s="4">
        <v>1847530000000</v>
      </c>
      <c r="B1313" t="s">
        <v>28</v>
      </c>
      <c r="C1313">
        <v>0</v>
      </c>
      <c r="D1313" t="s">
        <v>31</v>
      </c>
      <c r="E1313" t="s">
        <v>84</v>
      </c>
      <c r="F1313" s="1">
        <v>42486</v>
      </c>
      <c r="G1313" s="1">
        <v>42509</v>
      </c>
      <c r="H1313" t="s">
        <v>33</v>
      </c>
      <c r="I1313">
        <v>23</v>
      </c>
      <c r="J1313" t="s">
        <v>77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23</v>
      </c>
      <c r="R1313">
        <v>0</v>
      </c>
    </row>
    <row r="1314" spans="1:18">
      <c r="A1314" s="4">
        <v>6329460000000</v>
      </c>
      <c r="B1314" t="s">
        <v>28</v>
      </c>
      <c r="C1314">
        <v>0</v>
      </c>
      <c r="D1314" t="s">
        <v>31</v>
      </c>
      <c r="E1314" t="s">
        <v>66</v>
      </c>
      <c r="F1314" s="1">
        <v>42486</v>
      </c>
      <c r="G1314" s="1">
        <v>42509</v>
      </c>
      <c r="H1314" t="s">
        <v>33</v>
      </c>
      <c r="I1314">
        <v>23</v>
      </c>
      <c r="J1314" t="s">
        <v>77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23</v>
      </c>
      <c r="R1314">
        <v>0</v>
      </c>
    </row>
    <row r="1315" spans="1:18">
      <c r="A1315" s="4">
        <v>3699820000000</v>
      </c>
      <c r="B1315" t="s">
        <v>18</v>
      </c>
      <c r="C1315">
        <v>26</v>
      </c>
      <c r="D1315" t="s">
        <v>37</v>
      </c>
      <c r="E1315" t="s">
        <v>39</v>
      </c>
      <c r="F1315" s="1">
        <v>42486</v>
      </c>
      <c r="G1315" s="1">
        <v>42507</v>
      </c>
      <c r="H1315" t="s">
        <v>41</v>
      </c>
      <c r="I1315">
        <v>21</v>
      </c>
      <c r="J1315" t="s">
        <v>77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23</v>
      </c>
      <c r="R1315">
        <v>0</v>
      </c>
    </row>
    <row r="1316" spans="1:18">
      <c r="A1316" s="4">
        <v>54194000000000</v>
      </c>
      <c r="B1316" t="s">
        <v>18</v>
      </c>
      <c r="C1316">
        <v>11</v>
      </c>
      <c r="D1316" t="s">
        <v>31</v>
      </c>
      <c r="E1316" t="s">
        <v>46</v>
      </c>
      <c r="F1316" s="1">
        <v>42486</v>
      </c>
      <c r="G1316" s="1">
        <v>42500</v>
      </c>
      <c r="H1316" t="s">
        <v>41</v>
      </c>
      <c r="I1316">
        <v>14</v>
      </c>
      <c r="J1316" t="s">
        <v>92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1</v>
      </c>
      <c r="Q1316" t="s">
        <v>23</v>
      </c>
      <c r="R1316">
        <v>0</v>
      </c>
    </row>
    <row r="1317" spans="1:18">
      <c r="A1317" s="4">
        <v>118549000000000</v>
      </c>
      <c r="B1317" t="s">
        <v>18</v>
      </c>
      <c r="C1317">
        <v>34</v>
      </c>
      <c r="D1317" t="s">
        <v>37</v>
      </c>
      <c r="E1317" t="s">
        <v>58</v>
      </c>
      <c r="F1317" s="1">
        <v>42486</v>
      </c>
      <c r="G1317" s="1">
        <v>42522</v>
      </c>
      <c r="H1317" t="s">
        <v>25</v>
      </c>
      <c r="I1317">
        <v>36</v>
      </c>
      <c r="J1317" t="s">
        <v>22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26</v>
      </c>
      <c r="R1317">
        <v>1</v>
      </c>
    </row>
    <row r="1318" spans="1:18">
      <c r="A1318" s="4">
        <v>8214390000000</v>
      </c>
      <c r="B1318" t="s">
        <v>28</v>
      </c>
      <c r="C1318">
        <v>0</v>
      </c>
      <c r="D1318" t="s">
        <v>31</v>
      </c>
      <c r="E1318" t="s">
        <v>75</v>
      </c>
      <c r="F1318" s="1">
        <v>42486</v>
      </c>
      <c r="G1318" s="1">
        <v>42494</v>
      </c>
      <c r="H1318" t="s">
        <v>25</v>
      </c>
      <c r="I1318">
        <v>8</v>
      </c>
      <c r="J1318" t="s">
        <v>92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23</v>
      </c>
      <c r="R1318">
        <v>0</v>
      </c>
    </row>
    <row r="1319" spans="1:18">
      <c r="A1319" s="4">
        <v>7474260000000</v>
      </c>
      <c r="B1319" t="s">
        <v>18</v>
      </c>
      <c r="C1319">
        <v>43</v>
      </c>
      <c r="D1319" t="s">
        <v>27</v>
      </c>
      <c r="E1319" t="s">
        <v>44</v>
      </c>
      <c r="F1319" s="1">
        <v>42486</v>
      </c>
      <c r="G1319" s="1">
        <v>42503</v>
      </c>
      <c r="H1319" t="s">
        <v>21</v>
      </c>
      <c r="I1319">
        <v>17</v>
      </c>
      <c r="J1319" t="s">
        <v>77</v>
      </c>
      <c r="K1319">
        <v>1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26</v>
      </c>
      <c r="R1319">
        <v>1</v>
      </c>
    </row>
    <row r="1320" spans="1:18">
      <c r="A1320" s="4">
        <v>975223000000</v>
      </c>
      <c r="B1320" t="s">
        <v>18</v>
      </c>
      <c r="C1320">
        <v>67</v>
      </c>
      <c r="D1320" t="s">
        <v>19</v>
      </c>
      <c r="E1320" t="s">
        <v>20</v>
      </c>
      <c r="F1320" s="1">
        <v>42486</v>
      </c>
      <c r="G1320" s="1">
        <v>42524</v>
      </c>
      <c r="H1320" t="s">
        <v>21</v>
      </c>
      <c r="I1320">
        <v>38</v>
      </c>
      <c r="J1320" t="s">
        <v>22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</v>
      </c>
      <c r="Q1320" t="s">
        <v>23</v>
      </c>
      <c r="R1320">
        <v>0</v>
      </c>
    </row>
    <row r="1321" spans="1:18">
      <c r="A1321" s="4">
        <v>272696000000000</v>
      </c>
      <c r="B1321" t="s">
        <v>18</v>
      </c>
      <c r="C1321">
        <v>16</v>
      </c>
      <c r="D1321" t="s">
        <v>60</v>
      </c>
      <c r="E1321" t="s">
        <v>73</v>
      </c>
      <c r="F1321" s="1">
        <v>42486</v>
      </c>
      <c r="G1321" s="1">
        <v>42522</v>
      </c>
      <c r="H1321" t="s">
        <v>25</v>
      </c>
      <c r="I1321">
        <v>36</v>
      </c>
      <c r="J1321" t="s">
        <v>22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</v>
      </c>
      <c r="Q1321" t="s">
        <v>26</v>
      </c>
      <c r="R1321">
        <v>1</v>
      </c>
    </row>
    <row r="1322" spans="1:18">
      <c r="A1322" s="4">
        <v>5365480000000</v>
      </c>
      <c r="B1322" t="s">
        <v>28</v>
      </c>
      <c r="C1322">
        <v>85</v>
      </c>
      <c r="D1322" t="s">
        <v>19</v>
      </c>
      <c r="E1322" t="s">
        <v>50</v>
      </c>
      <c r="F1322" s="1">
        <v>42486</v>
      </c>
      <c r="G1322" s="1">
        <v>42521</v>
      </c>
      <c r="H1322" t="s">
        <v>41</v>
      </c>
      <c r="I1322">
        <v>35</v>
      </c>
      <c r="J1322" t="s">
        <v>22</v>
      </c>
      <c r="K1322">
        <v>0</v>
      </c>
      <c r="L1322">
        <v>1</v>
      </c>
      <c r="M1322">
        <v>0</v>
      </c>
      <c r="N1322">
        <v>0</v>
      </c>
      <c r="O1322">
        <v>0</v>
      </c>
      <c r="P1322">
        <v>1</v>
      </c>
      <c r="Q1322" t="s">
        <v>23</v>
      </c>
      <c r="R1322">
        <v>0</v>
      </c>
    </row>
    <row r="1323" spans="1:18">
      <c r="A1323" s="4">
        <v>7653370000000</v>
      </c>
      <c r="B1323" t="s">
        <v>28</v>
      </c>
      <c r="C1323">
        <v>10</v>
      </c>
      <c r="D1323" t="s">
        <v>31</v>
      </c>
      <c r="E1323" t="s">
        <v>58</v>
      </c>
      <c r="F1323" s="1">
        <v>42486</v>
      </c>
      <c r="G1323" s="1">
        <v>42522</v>
      </c>
      <c r="H1323" t="s">
        <v>25</v>
      </c>
      <c r="I1323">
        <v>36</v>
      </c>
      <c r="J1323" t="s">
        <v>22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23</v>
      </c>
      <c r="R1323">
        <v>0</v>
      </c>
    </row>
    <row r="1324" spans="1:18">
      <c r="A1324" s="4">
        <v>7226370000000</v>
      </c>
      <c r="B1324" t="s">
        <v>18</v>
      </c>
      <c r="C1324">
        <v>39</v>
      </c>
      <c r="D1324" t="s">
        <v>27</v>
      </c>
      <c r="E1324" t="s">
        <v>97</v>
      </c>
      <c r="F1324" s="1">
        <v>42486</v>
      </c>
      <c r="G1324" s="1">
        <v>42493</v>
      </c>
      <c r="H1324" t="s">
        <v>41</v>
      </c>
      <c r="I1324">
        <v>7</v>
      </c>
      <c r="J1324" t="s">
        <v>107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</v>
      </c>
      <c r="Q1324" t="s">
        <v>23</v>
      </c>
      <c r="R1324">
        <v>0</v>
      </c>
    </row>
    <row r="1325" spans="1:18">
      <c r="A1325" s="4">
        <v>7756470000000</v>
      </c>
      <c r="B1325" t="s">
        <v>28</v>
      </c>
      <c r="C1325">
        <v>27</v>
      </c>
      <c r="D1325" t="s">
        <v>37</v>
      </c>
      <c r="E1325" t="s">
        <v>57</v>
      </c>
      <c r="F1325" s="1">
        <v>42486</v>
      </c>
      <c r="G1325" s="1">
        <v>42495</v>
      </c>
      <c r="H1325" t="s">
        <v>33</v>
      </c>
      <c r="I1325">
        <v>9</v>
      </c>
      <c r="J1325" t="s">
        <v>92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1</v>
      </c>
      <c r="Q1325" t="s">
        <v>23</v>
      </c>
      <c r="R1325">
        <v>0</v>
      </c>
    </row>
    <row r="1326" spans="1:18">
      <c r="A1326" s="4">
        <v>82122700000000</v>
      </c>
      <c r="B1326" t="s">
        <v>18</v>
      </c>
      <c r="C1326">
        <v>90</v>
      </c>
      <c r="D1326" t="s">
        <v>19</v>
      </c>
      <c r="E1326" t="s">
        <v>58</v>
      </c>
      <c r="F1326" s="1">
        <v>42486</v>
      </c>
      <c r="G1326" s="1">
        <v>42495</v>
      </c>
      <c r="H1326" t="s">
        <v>33</v>
      </c>
      <c r="I1326">
        <v>9</v>
      </c>
      <c r="J1326" t="s">
        <v>92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1</v>
      </c>
      <c r="Q1326" t="s">
        <v>23</v>
      </c>
      <c r="R1326">
        <v>0</v>
      </c>
    </row>
    <row r="1327" spans="1:18">
      <c r="A1327" s="4">
        <v>6245550000000</v>
      </c>
      <c r="B1327" t="s">
        <v>18</v>
      </c>
      <c r="C1327">
        <v>26</v>
      </c>
      <c r="D1327" t="s">
        <v>37</v>
      </c>
      <c r="E1327" t="s">
        <v>73</v>
      </c>
      <c r="F1327" s="1">
        <v>42486</v>
      </c>
      <c r="G1327" s="1">
        <v>42492</v>
      </c>
      <c r="H1327" t="s">
        <v>30</v>
      </c>
      <c r="I1327">
        <v>6</v>
      </c>
      <c r="J1327" t="s">
        <v>107</v>
      </c>
      <c r="K1327">
        <v>1</v>
      </c>
      <c r="L1327">
        <v>0</v>
      </c>
      <c r="M1327">
        <v>0</v>
      </c>
      <c r="N1327">
        <v>0</v>
      </c>
      <c r="O1327">
        <v>0</v>
      </c>
      <c r="P1327">
        <v>1</v>
      </c>
      <c r="Q1327" t="s">
        <v>23</v>
      </c>
      <c r="R1327">
        <v>0</v>
      </c>
    </row>
    <row r="1328" spans="1:18">
      <c r="A1328" s="4">
        <v>8484930000000</v>
      </c>
      <c r="B1328" t="s">
        <v>18</v>
      </c>
      <c r="C1328">
        <v>63</v>
      </c>
      <c r="D1328" t="s">
        <v>35</v>
      </c>
      <c r="E1328" t="s">
        <v>43</v>
      </c>
      <c r="F1328" s="1">
        <v>42486</v>
      </c>
      <c r="G1328" s="1">
        <v>42500</v>
      </c>
      <c r="H1328" t="s">
        <v>41</v>
      </c>
      <c r="I1328">
        <v>14</v>
      </c>
      <c r="J1328" t="s">
        <v>92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</v>
      </c>
      <c r="Q1328" t="s">
        <v>26</v>
      </c>
      <c r="R1328">
        <v>1</v>
      </c>
    </row>
    <row r="1329" spans="1:18">
      <c r="A1329" s="4">
        <v>85766400000000</v>
      </c>
      <c r="B1329" t="s">
        <v>18</v>
      </c>
      <c r="C1329">
        <v>23</v>
      </c>
      <c r="D1329" t="s">
        <v>37</v>
      </c>
      <c r="E1329" t="s">
        <v>71</v>
      </c>
      <c r="F1329" s="1">
        <v>42486</v>
      </c>
      <c r="G1329" s="1">
        <v>42500</v>
      </c>
      <c r="H1329" t="s">
        <v>41</v>
      </c>
      <c r="I1329">
        <v>14</v>
      </c>
      <c r="J1329" t="s">
        <v>92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1</v>
      </c>
      <c r="Q1329" t="s">
        <v>23</v>
      </c>
      <c r="R1329">
        <v>0</v>
      </c>
    </row>
    <row r="1330" spans="1:18">
      <c r="A1330" s="4">
        <v>1257286674</v>
      </c>
      <c r="B1330" t="s">
        <v>18</v>
      </c>
      <c r="C1330">
        <v>28</v>
      </c>
      <c r="D1330" t="s">
        <v>37</v>
      </c>
      <c r="E1330" t="s">
        <v>105</v>
      </c>
      <c r="F1330" s="1">
        <v>42486</v>
      </c>
      <c r="G1330" s="1">
        <v>42500</v>
      </c>
      <c r="H1330" t="s">
        <v>41</v>
      </c>
      <c r="I1330">
        <v>14</v>
      </c>
      <c r="J1330" t="s">
        <v>92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</v>
      </c>
      <c r="Q1330" t="s">
        <v>23</v>
      </c>
      <c r="R1330">
        <v>0</v>
      </c>
    </row>
    <row r="1331" spans="1:18">
      <c r="A1331" s="4">
        <v>98396600000000</v>
      </c>
      <c r="B1331" t="s">
        <v>18</v>
      </c>
      <c r="C1331">
        <v>20</v>
      </c>
      <c r="D1331" t="s">
        <v>37</v>
      </c>
      <c r="E1331" t="s">
        <v>47</v>
      </c>
      <c r="F1331" s="1">
        <v>42486</v>
      </c>
      <c r="G1331" s="1">
        <v>42489</v>
      </c>
      <c r="H1331" t="s">
        <v>21</v>
      </c>
      <c r="I1331">
        <v>3</v>
      </c>
      <c r="J1331" t="s">
        <v>109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</v>
      </c>
      <c r="Q1331" t="s">
        <v>23</v>
      </c>
      <c r="R1331">
        <v>0</v>
      </c>
    </row>
    <row r="1332" spans="1:18">
      <c r="A1332" s="4">
        <v>36748300000000</v>
      </c>
      <c r="B1332" t="s">
        <v>28</v>
      </c>
      <c r="C1332">
        <v>49</v>
      </c>
      <c r="D1332" t="s">
        <v>27</v>
      </c>
      <c r="E1332" t="s">
        <v>78</v>
      </c>
      <c r="F1332" s="1">
        <v>42486</v>
      </c>
      <c r="G1332" s="1">
        <v>42502</v>
      </c>
      <c r="H1332" t="s">
        <v>33</v>
      </c>
      <c r="I1332">
        <v>16</v>
      </c>
      <c r="J1332" t="s">
        <v>77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1</v>
      </c>
      <c r="Q1332" t="s">
        <v>23</v>
      </c>
      <c r="R1332">
        <v>0</v>
      </c>
    </row>
    <row r="1333" spans="1:18">
      <c r="A1333" s="4">
        <v>916623000000</v>
      </c>
      <c r="B1333" t="s">
        <v>18</v>
      </c>
      <c r="C1333">
        <v>41</v>
      </c>
      <c r="D1333" t="s">
        <v>27</v>
      </c>
      <c r="E1333" t="s">
        <v>64</v>
      </c>
      <c r="F1333" s="1">
        <v>42486</v>
      </c>
      <c r="G1333" s="1">
        <v>42493</v>
      </c>
      <c r="H1333" t="s">
        <v>41</v>
      </c>
      <c r="I1333">
        <v>7</v>
      </c>
      <c r="J1333" t="s">
        <v>107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 t="s">
        <v>23</v>
      </c>
      <c r="R1333">
        <v>0</v>
      </c>
    </row>
    <row r="1334" spans="1:18">
      <c r="A1334" s="4">
        <v>8216490000000</v>
      </c>
      <c r="B1334" t="s">
        <v>18</v>
      </c>
      <c r="C1334">
        <v>56</v>
      </c>
      <c r="D1334" t="s">
        <v>35</v>
      </c>
      <c r="E1334" t="s">
        <v>63</v>
      </c>
      <c r="F1334" s="1">
        <v>42486</v>
      </c>
      <c r="G1334" s="1">
        <v>42495</v>
      </c>
      <c r="H1334" t="s">
        <v>33</v>
      </c>
      <c r="I1334">
        <v>9</v>
      </c>
      <c r="J1334" t="s">
        <v>92</v>
      </c>
      <c r="K1334">
        <v>0</v>
      </c>
      <c r="L1334">
        <v>1</v>
      </c>
      <c r="M1334">
        <v>1</v>
      </c>
      <c r="N1334">
        <v>0</v>
      </c>
      <c r="O1334">
        <v>0</v>
      </c>
      <c r="P1334">
        <v>1</v>
      </c>
      <c r="Q1334" t="s">
        <v>26</v>
      </c>
      <c r="R1334">
        <v>1</v>
      </c>
    </row>
    <row r="1335" spans="1:18">
      <c r="A1335" s="4">
        <v>638952000000000</v>
      </c>
      <c r="B1335" t="s">
        <v>28</v>
      </c>
      <c r="C1335">
        <v>59</v>
      </c>
      <c r="D1335" t="s">
        <v>35</v>
      </c>
      <c r="E1335" t="s">
        <v>63</v>
      </c>
      <c r="F1335" s="1">
        <v>42486</v>
      </c>
      <c r="G1335" s="1">
        <v>42495</v>
      </c>
      <c r="H1335" t="s">
        <v>33</v>
      </c>
      <c r="I1335">
        <v>9</v>
      </c>
      <c r="J1335" t="s">
        <v>92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1</v>
      </c>
      <c r="Q1335" t="s">
        <v>23</v>
      </c>
      <c r="R1335">
        <v>0</v>
      </c>
    </row>
    <row r="1336" spans="1:18">
      <c r="A1336" s="4">
        <v>4747340000000</v>
      </c>
      <c r="B1336" t="s">
        <v>28</v>
      </c>
      <c r="C1336">
        <v>6</v>
      </c>
      <c r="D1336" t="s">
        <v>31</v>
      </c>
      <c r="E1336" t="s">
        <v>39</v>
      </c>
      <c r="F1336" s="1">
        <v>42486</v>
      </c>
      <c r="G1336" s="1">
        <v>42508</v>
      </c>
      <c r="H1336" t="s">
        <v>25</v>
      </c>
      <c r="I1336">
        <v>22</v>
      </c>
      <c r="J1336" t="s">
        <v>77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26</v>
      </c>
      <c r="R1336">
        <v>1</v>
      </c>
    </row>
    <row r="1337" spans="1:18">
      <c r="A1337" s="4">
        <v>419759000000000</v>
      </c>
      <c r="B1337" t="s">
        <v>18</v>
      </c>
      <c r="C1337">
        <v>38</v>
      </c>
      <c r="D1337" t="s">
        <v>27</v>
      </c>
      <c r="E1337" t="s">
        <v>75</v>
      </c>
      <c r="F1337" s="1">
        <v>42486</v>
      </c>
      <c r="G1337" s="1">
        <v>42515</v>
      </c>
      <c r="H1337" t="s">
        <v>25</v>
      </c>
      <c r="I1337">
        <v>29</v>
      </c>
      <c r="J1337" t="s">
        <v>77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</v>
      </c>
      <c r="Q1337" t="s">
        <v>23</v>
      </c>
      <c r="R1337">
        <v>0</v>
      </c>
    </row>
    <row r="1338" spans="1:18">
      <c r="A1338" s="4">
        <v>89319000000000</v>
      </c>
      <c r="B1338" t="s">
        <v>28</v>
      </c>
      <c r="C1338">
        <v>36</v>
      </c>
      <c r="D1338" t="s">
        <v>27</v>
      </c>
      <c r="E1338" t="s">
        <v>63</v>
      </c>
      <c r="F1338" s="1">
        <v>42486</v>
      </c>
      <c r="G1338" s="1">
        <v>42494</v>
      </c>
      <c r="H1338" t="s">
        <v>25</v>
      </c>
      <c r="I1338">
        <v>8</v>
      </c>
      <c r="J1338" t="s">
        <v>92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23</v>
      </c>
      <c r="R1338">
        <v>0</v>
      </c>
    </row>
    <row r="1339" spans="1:18">
      <c r="A1339" s="4">
        <v>566723000000</v>
      </c>
      <c r="B1339" t="s">
        <v>18</v>
      </c>
      <c r="C1339">
        <v>16</v>
      </c>
      <c r="D1339" t="s">
        <v>60</v>
      </c>
      <c r="E1339" t="s">
        <v>69</v>
      </c>
      <c r="F1339" s="1">
        <v>42486</v>
      </c>
      <c r="G1339" s="1">
        <v>42509</v>
      </c>
      <c r="H1339" t="s">
        <v>33</v>
      </c>
      <c r="I1339">
        <v>23</v>
      </c>
      <c r="J1339" t="s">
        <v>77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23</v>
      </c>
      <c r="R1339">
        <v>0</v>
      </c>
    </row>
    <row r="1340" spans="1:18">
      <c r="A1340" s="4">
        <v>617369000000</v>
      </c>
      <c r="B1340" t="s">
        <v>18</v>
      </c>
      <c r="C1340">
        <v>43</v>
      </c>
      <c r="D1340" t="s">
        <v>27</v>
      </c>
      <c r="E1340" t="s">
        <v>74</v>
      </c>
      <c r="F1340" s="1">
        <v>42486</v>
      </c>
      <c r="G1340" s="1">
        <v>42493</v>
      </c>
      <c r="H1340" t="s">
        <v>41</v>
      </c>
      <c r="I1340">
        <v>7</v>
      </c>
      <c r="J1340" t="s">
        <v>107</v>
      </c>
      <c r="K1340">
        <v>1</v>
      </c>
      <c r="L1340">
        <v>0</v>
      </c>
      <c r="M1340">
        <v>0</v>
      </c>
      <c r="N1340">
        <v>0</v>
      </c>
      <c r="O1340">
        <v>1</v>
      </c>
      <c r="P1340">
        <v>1</v>
      </c>
      <c r="Q1340" t="s">
        <v>26</v>
      </c>
      <c r="R1340">
        <v>1</v>
      </c>
    </row>
    <row r="1341" spans="1:18">
      <c r="A1341" s="4">
        <v>26899700000000</v>
      </c>
      <c r="B1341" t="s">
        <v>28</v>
      </c>
      <c r="C1341">
        <v>17</v>
      </c>
      <c r="D1341" t="s">
        <v>60</v>
      </c>
      <c r="E1341" t="s">
        <v>47</v>
      </c>
      <c r="F1341" s="1">
        <v>42486</v>
      </c>
      <c r="G1341" s="1">
        <v>42489</v>
      </c>
      <c r="H1341" t="s">
        <v>21</v>
      </c>
      <c r="I1341">
        <v>3</v>
      </c>
      <c r="J1341" t="s">
        <v>109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26</v>
      </c>
      <c r="R1341">
        <v>1</v>
      </c>
    </row>
    <row r="1342" spans="1:18">
      <c r="A1342" s="4">
        <v>85957300000000</v>
      </c>
      <c r="B1342" t="s">
        <v>28</v>
      </c>
      <c r="C1342">
        <v>65</v>
      </c>
      <c r="D1342" t="s">
        <v>35</v>
      </c>
      <c r="E1342" t="s">
        <v>75</v>
      </c>
      <c r="F1342" s="1">
        <v>42486</v>
      </c>
      <c r="G1342" s="1">
        <v>42521</v>
      </c>
      <c r="H1342" t="s">
        <v>41</v>
      </c>
      <c r="I1342">
        <v>35</v>
      </c>
      <c r="J1342" t="s">
        <v>22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</v>
      </c>
      <c r="Q1342" t="s">
        <v>23</v>
      </c>
      <c r="R1342">
        <v>0</v>
      </c>
    </row>
    <row r="1343" spans="1:18">
      <c r="A1343" s="4">
        <v>589894000000</v>
      </c>
      <c r="B1343" t="s">
        <v>18</v>
      </c>
      <c r="C1343">
        <v>68</v>
      </c>
      <c r="D1343" t="s">
        <v>19</v>
      </c>
      <c r="E1343" t="s">
        <v>43</v>
      </c>
      <c r="F1343" s="1">
        <v>42486</v>
      </c>
      <c r="G1343" s="1">
        <v>42492</v>
      </c>
      <c r="H1343" t="s">
        <v>30</v>
      </c>
      <c r="I1343">
        <v>6</v>
      </c>
      <c r="J1343" t="s">
        <v>107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</v>
      </c>
      <c r="Q1343" t="s">
        <v>23</v>
      </c>
      <c r="R1343">
        <v>0</v>
      </c>
    </row>
    <row r="1344" spans="1:18">
      <c r="A1344" s="4">
        <v>15982400000000</v>
      </c>
      <c r="B1344" t="s">
        <v>28</v>
      </c>
      <c r="C1344">
        <v>39</v>
      </c>
      <c r="D1344" t="s">
        <v>27</v>
      </c>
      <c r="E1344" t="s">
        <v>71</v>
      </c>
      <c r="F1344" s="1">
        <v>42486</v>
      </c>
      <c r="G1344" s="1">
        <v>42496</v>
      </c>
      <c r="H1344" t="s">
        <v>21</v>
      </c>
      <c r="I1344">
        <v>10</v>
      </c>
      <c r="J1344" t="s">
        <v>92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</v>
      </c>
      <c r="Q1344" t="s">
        <v>23</v>
      </c>
      <c r="R1344">
        <v>0</v>
      </c>
    </row>
    <row r="1345" spans="1:18">
      <c r="A1345" s="4">
        <v>722455000000000</v>
      </c>
      <c r="B1345" t="s">
        <v>28</v>
      </c>
      <c r="C1345">
        <v>70</v>
      </c>
      <c r="D1345" t="s">
        <v>19</v>
      </c>
      <c r="E1345" t="s">
        <v>48</v>
      </c>
      <c r="F1345" s="1">
        <v>42486</v>
      </c>
      <c r="G1345" s="1">
        <v>42496</v>
      </c>
      <c r="H1345" t="s">
        <v>21</v>
      </c>
      <c r="I1345">
        <v>10</v>
      </c>
      <c r="J1345" t="s">
        <v>92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</v>
      </c>
      <c r="Q1345" t="s">
        <v>23</v>
      </c>
      <c r="R1345">
        <v>0</v>
      </c>
    </row>
    <row r="1346" spans="1:18">
      <c r="A1346" s="4">
        <v>116585000000000</v>
      </c>
      <c r="B1346" t="s">
        <v>28</v>
      </c>
      <c r="C1346">
        <v>1</v>
      </c>
      <c r="D1346" t="s">
        <v>31</v>
      </c>
      <c r="E1346" t="s">
        <v>72</v>
      </c>
      <c r="F1346" s="1">
        <v>42486</v>
      </c>
      <c r="G1346" s="1">
        <v>42521</v>
      </c>
      <c r="H1346" t="s">
        <v>41</v>
      </c>
      <c r="I1346">
        <v>35</v>
      </c>
      <c r="J1346" t="s">
        <v>22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23</v>
      </c>
      <c r="R1346">
        <v>0</v>
      </c>
    </row>
    <row r="1347" spans="1:18">
      <c r="A1347" s="4">
        <v>7651180000000</v>
      </c>
      <c r="B1347" t="s">
        <v>28</v>
      </c>
      <c r="C1347">
        <v>39</v>
      </c>
      <c r="D1347" t="s">
        <v>27</v>
      </c>
      <c r="E1347" t="s">
        <v>29</v>
      </c>
      <c r="F1347" s="1">
        <v>42486</v>
      </c>
      <c r="G1347" s="1">
        <v>42503</v>
      </c>
      <c r="H1347" t="s">
        <v>21</v>
      </c>
      <c r="I1347">
        <v>17</v>
      </c>
      <c r="J1347" t="s">
        <v>77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23</v>
      </c>
      <c r="R1347">
        <v>0</v>
      </c>
    </row>
    <row r="1348" spans="1:18">
      <c r="A1348" s="4">
        <v>46942200000000</v>
      </c>
      <c r="B1348" t="s">
        <v>18</v>
      </c>
      <c r="C1348">
        <v>50</v>
      </c>
      <c r="D1348" t="s">
        <v>27</v>
      </c>
      <c r="E1348" t="s">
        <v>72</v>
      </c>
      <c r="F1348" s="1">
        <v>42486</v>
      </c>
      <c r="G1348" s="1">
        <v>42494</v>
      </c>
      <c r="H1348" t="s">
        <v>25</v>
      </c>
      <c r="I1348">
        <v>8</v>
      </c>
      <c r="J1348" t="s">
        <v>92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</v>
      </c>
      <c r="Q1348" t="s">
        <v>26</v>
      </c>
      <c r="R1348">
        <v>1</v>
      </c>
    </row>
    <row r="1349" spans="1:18">
      <c r="A1349" s="4">
        <v>754476000000</v>
      </c>
      <c r="B1349" t="s">
        <v>28</v>
      </c>
      <c r="C1349">
        <v>52</v>
      </c>
      <c r="D1349" t="s">
        <v>35</v>
      </c>
      <c r="E1349" t="s">
        <v>67</v>
      </c>
      <c r="F1349" s="1">
        <v>42486</v>
      </c>
      <c r="G1349" s="1">
        <v>42494</v>
      </c>
      <c r="H1349" t="s">
        <v>25</v>
      </c>
      <c r="I1349">
        <v>8</v>
      </c>
      <c r="J1349" t="s">
        <v>92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</v>
      </c>
      <c r="Q1349" t="s">
        <v>23</v>
      </c>
      <c r="R1349">
        <v>0</v>
      </c>
    </row>
    <row r="1350" spans="1:18">
      <c r="A1350" s="4">
        <v>386653000000000</v>
      </c>
      <c r="B1350" t="s">
        <v>18</v>
      </c>
      <c r="C1350">
        <v>41</v>
      </c>
      <c r="D1350" t="s">
        <v>27</v>
      </c>
      <c r="E1350" t="s">
        <v>69</v>
      </c>
      <c r="F1350" s="1">
        <v>42486</v>
      </c>
      <c r="G1350" s="1">
        <v>42496</v>
      </c>
      <c r="H1350" t="s">
        <v>21</v>
      </c>
      <c r="I1350">
        <v>10</v>
      </c>
      <c r="J1350" t="s">
        <v>92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 t="s">
        <v>23</v>
      </c>
      <c r="R1350">
        <v>0</v>
      </c>
    </row>
    <row r="1351" spans="1:18">
      <c r="A1351" s="4">
        <v>41821700000000</v>
      </c>
      <c r="B1351" t="s">
        <v>18</v>
      </c>
      <c r="C1351">
        <v>57</v>
      </c>
      <c r="D1351" t="s">
        <v>35</v>
      </c>
      <c r="E1351" t="s">
        <v>58</v>
      </c>
      <c r="F1351" s="1">
        <v>42486</v>
      </c>
      <c r="G1351" s="1">
        <v>42496</v>
      </c>
      <c r="H1351" t="s">
        <v>21</v>
      </c>
      <c r="I1351">
        <v>10</v>
      </c>
      <c r="J1351" t="s">
        <v>92</v>
      </c>
      <c r="K1351">
        <v>0</v>
      </c>
      <c r="L1351">
        <v>1</v>
      </c>
      <c r="M1351">
        <v>0</v>
      </c>
      <c r="N1351">
        <v>1</v>
      </c>
      <c r="O1351">
        <v>0</v>
      </c>
      <c r="P1351">
        <v>1</v>
      </c>
      <c r="Q1351" t="s">
        <v>26</v>
      </c>
      <c r="R1351">
        <v>1</v>
      </c>
    </row>
    <row r="1352" spans="1:18">
      <c r="A1352" s="4">
        <v>72649900000000</v>
      </c>
      <c r="B1352" t="s">
        <v>28</v>
      </c>
      <c r="C1352">
        <v>66</v>
      </c>
      <c r="D1352" t="s">
        <v>19</v>
      </c>
      <c r="E1352" t="s">
        <v>67</v>
      </c>
      <c r="F1352" s="1">
        <v>42486</v>
      </c>
      <c r="G1352" s="1">
        <v>42502</v>
      </c>
      <c r="H1352" t="s">
        <v>33</v>
      </c>
      <c r="I1352">
        <v>16</v>
      </c>
      <c r="J1352" t="s">
        <v>77</v>
      </c>
      <c r="K1352">
        <v>1</v>
      </c>
      <c r="L1352">
        <v>1</v>
      </c>
      <c r="M1352">
        <v>0</v>
      </c>
      <c r="N1352">
        <v>0</v>
      </c>
      <c r="O1352">
        <v>0</v>
      </c>
      <c r="P1352">
        <v>1</v>
      </c>
      <c r="Q1352" t="s">
        <v>23</v>
      </c>
      <c r="R1352">
        <v>0</v>
      </c>
    </row>
    <row r="1353" spans="1:18">
      <c r="A1353" s="4">
        <v>983874000000000</v>
      </c>
      <c r="B1353" t="s">
        <v>18</v>
      </c>
      <c r="C1353">
        <v>36</v>
      </c>
      <c r="D1353" t="s">
        <v>27</v>
      </c>
      <c r="E1353" t="s">
        <v>45</v>
      </c>
      <c r="F1353" s="1">
        <v>42486</v>
      </c>
      <c r="G1353" s="1">
        <v>42489</v>
      </c>
      <c r="H1353" t="s">
        <v>21</v>
      </c>
      <c r="I1353">
        <v>3</v>
      </c>
      <c r="J1353" t="s">
        <v>109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 t="s">
        <v>26</v>
      </c>
      <c r="R1353">
        <v>1</v>
      </c>
    </row>
    <row r="1354" spans="1:18">
      <c r="A1354" s="4">
        <v>4932910000000</v>
      </c>
      <c r="B1354" t="s">
        <v>28</v>
      </c>
      <c r="C1354">
        <v>11</v>
      </c>
      <c r="D1354" t="s">
        <v>31</v>
      </c>
      <c r="E1354" t="s">
        <v>84</v>
      </c>
      <c r="F1354" s="1">
        <v>42487</v>
      </c>
      <c r="G1354" s="1">
        <v>42489</v>
      </c>
      <c r="H1354" t="s">
        <v>21</v>
      </c>
      <c r="I1354">
        <v>2</v>
      </c>
      <c r="J1354" t="s">
        <v>109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23</v>
      </c>
      <c r="R1354">
        <v>0</v>
      </c>
    </row>
    <row r="1355" spans="1:18">
      <c r="A1355" s="4">
        <v>111547000000</v>
      </c>
      <c r="B1355" t="s">
        <v>28</v>
      </c>
      <c r="C1355">
        <v>45</v>
      </c>
      <c r="D1355" t="s">
        <v>27</v>
      </c>
      <c r="E1355" t="s">
        <v>44</v>
      </c>
      <c r="F1355" s="1">
        <v>42487</v>
      </c>
      <c r="G1355" s="1">
        <v>42489</v>
      </c>
      <c r="H1355" t="s">
        <v>21</v>
      </c>
      <c r="I1355">
        <v>2</v>
      </c>
      <c r="J1355" t="s">
        <v>109</v>
      </c>
      <c r="K1355">
        <v>0</v>
      </c>
      <c r="L1355">
        <v>0</v>
      </c>
      <c r="M1355">
        <v>0</v>
      </c>
      <c r="N1355">
        <v>1</v>
      </c>
      <c r="O1355">
        <v>0</v>
      </c>
      <c r="P1355">
        <v>0</v>
      </c>
      <c r="Q1355" t="s">
        <v>26</v>
      </c>
      <c r="R1355">
        <v>1</v>
      </c>
    </row>
    <row r="1356" spans="1:18">
      <c r="A1356" s="4">
        <v>2616700000000</v>
      </c>
      <c r="B1356" t="s">
        <v>18</v>
      </c>
      <c r="C1356">
        <v>53</v>
      </c>
      <c r="D1356" t="s">
        <v>35</v>
      </c>
      <c r="E1356" t="s">
        <v>96</v>
      </c>
      <c r="F1356" s="1">
        <v>42487</v>
      </c>
      <c r="G1356" s="1">
        <v>42489</v>
      </c>
      <c r="H1356" t="s">
        <v>21</v>
      </c>
      <c r="I1356">
        <v>2</v>
      </c>
      <c r="J1356" t="s">
        <v>109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23</v>
      </c>
      <c r="R1356">
        <v>0</v>
      </c>
    </row>
    <row r="1357" spans="1:18">
      <c r="A1357" s="4">
        <v>6962860000000</v>
      </c>
      <c r="B1357" t="s">
        <v>28</v>
      </c>
      <c r="C1357">
        <v>21</v>
      </c>
      <c r="D1357" t="s">
        <v>37</v>
      </c>
      <c r="E1357" t="s">
        <v>71</v>
      </c>
      <c r="F1357" s="1">
        <v>42487</v>
      </c>
      <c r="G1357" s="1">
        <v>42492</v>
      </c>
      <c r="H1357" t="s">
        <v>30</v>
      </c>
      <c r="I1357">
        <v>5</v>
      </c>
      <c r="J1357" t="s">
        <v>107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</v>
      </c>
      <c r="Q1357" t="s">
        <v>23</v>
      </c>
      <c r="R1357">
        <v>0</v>
      </c>
    </row>
    <row r="1358" spans="1:18">
      <c r="A1358" s="4">
        <v>171300000000000</v>
      </c>
      <c r="B1358" t="s">
        <v>18</v>
      </c>
      <c r="C1358">
        <v>34</v>
      </c>
      <c r="D1358" t="s">
        <v>37</v>
      </c>
      <c r="E1358" t="s">
        <v>36</v>
      </c>
      <c r="F1358" s="1">
        <v>42487</v>
      </c>
      <c r="G1358" s="1">
        <v>42489</v>
      </c>
      <c r="H1358" t="s">
        <v>21</v>
      </c>
      <c r="I1358">
        <v>2</v>
      </c>
      <c r="J1358" t="s">
        <v>109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26</v>
      </c>
      <c r="R1358">
        <v>1</v>
      </c>
    </row>
    <row r="1359" spans="1:18">
      <c r="A1359" s="4">
        <v>255724000000</v>
      </c>
      <c r="B1359" t="s">
        <v>18</v>
      </c>
      <c r="C1359">
        <v>63</v>
      </c>
      <c r="D1359" t="s">
        <v>35</v>
      </c>
      <c r="E1359" t="s">
        <v>39</v>
      </c>
      <c r="F1359" s="1">
        <v>42487</v>
      </c>
      <c r="G1359" s="1">
        <v>42489</v>
      </c>
      <c r="H1359" t="s">
        <v>21</v>
      </c>
      <c r="I1359">
        <v>2</v>
      </c>
      <c r="J1359" t="s">
        <v>109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23</v>
      </c>
      <c r="R1359">
        <v>0</v>
      </c>
    </row>
    <row r="1360" spans="1:18">
      <c r="A1360" s="4">
        <v>4828330000000</v>
      </c>
      <c r="B1360" t="s">
        <v>28</v>
      </c>
      <c r="C1360">
        <v>24</v>
      </c>
      <c r="D1360" t="s">
        <v>37</v>
      </c>
      <c r="E1360" t="s">
        <v>80</v>
      </c>
      <c r="F1360" s="1">
        <v>42487</v>
      </c>
      <c r="G1360" s="1">
        <v>42492</v>
      </c>
      <c r="H1360" t="s">
        <v>30</v>
      </c>
      <c r="I1360">
        <v>5</v>
      </c>
      <c r="J1360" t="s">
        <v>107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</v>
      </c>
      <c r="Q1360" t="s">
        <v>23</v>
      </c>
      <c r="R1360">
        <v>0</v>
      </c>
    </row>
    <row r="1361" spans="1:18">
      <c r="A1361" s="4">
        <v>99552200000000</v>
      </c>
      <c r="B1361" t="s">
        <v>18</v>
      </c>
      <c r="C1361">
        <v>51</v>
      </c>
      <c r="D1361" t="s">
        <v>35</v>
      </c>
      <c r="E1361" t="s">
        <v>87</v>
      </c>
      <c r="F1361" s="1">
        <v>42487</v>
      </c>
      <c r="G1361" s="1">
        <v>42495</v>
      </c>
      <c r="H1361" t="s">
        <v>33</v>
      </c>
      <c r="I1361">
        <v>8</v>
      </c>
      <c r="J1361" t="s">
        <v>92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</v>
      </c>
      <c r="Q1361" t="s">
        <v>23</v>
      </c>
      <c r="R1361">
        <v>0</v>
      </c>
    </row>
    <row r="1362" spans="1:18">
      <c r="A1362" s="4">
        <v>466292000000000</v>
      </c>
      <c r="B1362" t="s">
        <v>18</v>
      </c>
      <c r="C1362">
        <v>17</v>
      </c>
      <c r="D1362" t="s">
        <v>60</v>
      </c>
      <c r="E1362" t="s">
        <v>61</v>
      </c>
      <c r="F1362" s="1">
        <v>42487</v>
      </c>
      <c r="G1362" s="1">
        <v>42501</v>
      </c>
      <c r="H1362" t="s">
        <v>25</v>
      </c>
      <c r="I1362">
        <v>14</v>
      </c>
      <c r="J1362" t="s">
        <v>92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</v>
      </c>
      <c r="Q1362" t="s">
        <v>26</v>
      </c>
      <c r="R1362">
        <v>1</v>
      </c>
    </row>
    <row r="1363" spans="1:18">
      <c r="A1363" s="4">
        <v>91396100000000</v>
      </c>
      <c r="B1363" t="s">
        <v>28</v>
      </c>
      <c r="C1363">
        <v>34</v>
      </c>
      <c r="D1363" t="s">
        <v>37</v>
      </c>
      <c r="E1363" t="s">
        <v>96</v>
      </c>
      <c r="F1363" s="1">
        <v>42487</v>
      </c>
      <c r="G1363" s="1">
        <v>42494</v>
      </c>
      <c r="H1363" t="s">
        <v>25</v>
      </c>
      <c r="I1363">
        <v>7</v>
      </c>
      <c r="J1363" t="s">
        <v>107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</v>
      </c>
      <c r="Q1363" t="s">
        <v>23</v>
      </c>
      <c r="R1363">
        <v>0</v>
      </c>
    </row>
    <row r="1364" spans="1:18">
      <c r="A1364" s="4">
        <v>78214700000000</v>
      </c>
      <c r="B1364" t="s">
        <v>28</v>
      </c>
      <c r="C1364">
        <v>70</v>
      </c>
      <c r="D1364" t="s">
        <v>19</v>
      </c>
      <c r="E1364" t="s">
        <v>71</v>
      </c>
      <c r="F1364" s="1">
        <v>42487</v>
      </c>
      <c r="G1364" s="1">
        <v>42495</v>
      </c>
      <c r="H1364" t="s">
        <v>33</v>
      </c>
      <c r="I1364">
        <v>8</v>
      </c>
      <c r="J1364" t="s">
        <v>92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1</v>
      </c>
      <c r="Q1364" t="s">
        <v>26</v>
      </c>
      <c r="R1364">
        <v>1</v>
      </c>
    </row>
    <row r="1365" spans="1:18">
      <c r="A1365" s="4">
        <v>15935500000000</v>
      </c>
      <c r="B1365" t="s">
        <v>18</v>
      </c>
      <c r="C1365">
        <v>49</v>
      </c>
      <c r="D1365" t="s">
        <v>27</v>
      </c>
      <c r="E1365" t="s">
        <v>34</v>
      </c>
      <c r="F1365" s="1">
        <v>42487</v>
      </c>
      <c r="G1365" s="1">
        <v>42493</v>
      </c>
      <c r="H1365" t="s">
        <v>41</v>
      </c>
      <c r="I1365">
        <v>6</v>
      </c>
      <c r="J1365" t="s">
        <v>107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23</v>
      </c>
      <c r="R1365">
        <v>0</v>
      </c>
    </row>
    <row r="1366" spans="1:18">
      <c r="A1366" s="4">
        <v>72586800000000</v>
      </c>
      <c r="B1366" t="s">
        <v>18</v>
      </c>
      <c r="C1366">
        <v>64</v>
      </c>
      <c r="D1366" t="s">
        <v>35</v>
      </c>
      <c r="E1366" t="s">
        <v>71</v>
      </c>
      <c r="F1366" s="1">
        <v>42487</v>
      </c>
      <c r="G1366" s="1">
        <v>42496</v>
      </c>
      <c r="H1366" t="s">
        <v>21</v>
      </c>
      <c r="I1366">
        <v>9</v>
      </c>
      <c r="J1366" t="s">
        <v>92</v>
      </c>
      <c r="K1366">
        <v>1</v>
      </c>
      <c r="L1366">
        <v>1</v>
      </c>
      <c r="M1366">
        <v>0</v>
      </c>
      <c r="N1366">
        <v>0</v>
      </c>
      <c r="O1366">
        <v>0</v>
      </c>
      <c r="P1366">
        <v>1</v>
      </c>
      <c r="Q1366" t="s">
        <v>26</v>
      </c>
      <c r="R1366">
        <v>1</v>
      </c>
    </row>
    <row r="1367" spans="1:18">
      <c r="A1367" s="4">
        <v>81295900000000</v>
      </c>
      <c r="B1367" t="s">
        <v>18</v>
      </c>
      <c r="C1367">
        <v>69</v>
      </c>
      <c r="D1367" t="s">
        <v>19</v>
      </c>
      <c r="E1367" t="s">
        <v>44</v>
      </c>
      <c r="F1367" s="1">
        <v>42487</v>
      </c>
      <c r="G1367" s="1">
        <v>42495</v>
      </c>
      <c r="H1367" t="s">
        <v>33</v>
      </c>
      <c r="I1367">
        <v>8</v>
      </c>
      <c r="J1367" t="s">
        <v>92</v>
      </c>
      <c r="K1367">
        <v>1</v>
      </c>
      <c r="L1367">
        <v>1</v>
      </c>
      <c r="M1367">
        <v>0</v>
      </c>
      <c r="N1367">
        <v>0</v>
      </c>
      <c r="O1367">
        <v>0</v>
      </c>
      <c r="P1367">
        <v>1</v>
      </c>
      <c r="Q1367" t="s">
        <v>23</v>
      </c>
      <c r="R1367">
        <v>0</v>
      </c>
    </row>
    <row r="1368" spans="1:18">
      <c r="A1368" s="4">
        <v>885355000000</v>
      </c>
      <c r="B1368" t="s">
        <v>28</v>
      </c>
      <c r="C1368">
        <v>30</v>
      </c>
      <c r="D1368" t="s">
        <v>37</v>
      </c>
      <c r="E1368" t="s">
        <v>64</v>
      </c>
      <c r="F1368" s="1">
        <v>42487</v>
      </c>
      <c r="G1368" s="1">
        <v>42495</v>
      </c>
      <c r="H1368" t="s">
        <v>33</v>
      </c>
      <c r="I1368">
        <v>8</v>
      </c>
      <c r="J1368" t="s">
        <v>92</v>
      </c>
      <c r="K1368">
        <v>0</v>
      </c>
      <c r="L1368">
        <v>1</v>
      </c>
      <c r="M1368">
        <v>0</v>
      </c>
      <c r="N1368">
        <v>0</v>
      </c>
      <c r="O1368">
        <v>0</v>
      </c>
      <c r="P1368">
        <v>1</v>
      </c>
      <c r="Q1368" t="s">
        <v>23</v>
      </c>
      <c r="R1368">
        <v>0</v>
      </c>
    </row>
    <row r="1369" spans="1:18">
      <c r="A1369" s="4">
        <v>9627990000000</v>
      </c>
      <c r="B1369" t="s">
        <v>18</v>
      </c>
      <c r="C1369">
        <v>28</v>
      </c>
      <c r="D1369" t="s">
        <v>37</v>
      </c>
      <c r="E1369" t="s">
        <v>34</v>
      </c>
      <c r="F1369" s="1">
        <v>42487</v>
      </c>
      <c r="G1369" s="1">
        <v>42495</v>
      </c>
      <c r="H1369" t="s">
        <v>33</v>
      </c>
      <c r="I1369">
        <v>8</v>
      </c>
      <c r="J1369" t="s">
        <v>92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</v>
      </c>
      <c r="Q1369" t="s">
        <v>23</v>
      </c>
      <c r="R1369">
        <v>0</v>
      </c>
    </row>
    <row r="1370" spans="1:18">
      <c r="A1370" s="4">
        <v>927782000000</v>
      </c>
      <c r="B1370" t="s">
        <v>18</v>
      </c>
      <c r="C1370">
        <v>46</v>
      </c>
      <c r="D1370" t="s">
        <v>27</v>
      </c>
      <c r="E1370" t="s">
        <v>55</v>
      </c>
      <c r="F1370" s="1">
        <v>42487</v>
      </c>
      <c r="G1370" s="1">
        <v>42528</v>
      </c>
      <c r="H1370" t="s">
        <v>41</v>
      </c>
      <c r="I1370">
        <v>41</v>
      </c>
      <c r="J1370" t="s">
        <v>22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</v>
      </c>
      <c r="Q1370" t="s">
        <v>23</v>
      </c>
      <c r="R1370">
        <v>0</v>
      </c>
    </row>
    <row r="1371" spans="1:18">
      <c r="A1371" s="4">
        <v>1662820000000</v>
      </c>
      <c r="B1371" t="s">
        <v>28</v>
      </c>
      <c r="C1371">
        <v>10</v>
      </c>
      <c r="D1371" t="s">
        <v>31</v>
      </c>
      <c r="E1371" t="s">
        <v>96</v>
      </c>
      <c r="F1371" s="1">
        <v>42487</v>
      </c>
      <c r="G1371" s="1">
        <v>42489</v>
      </c>
      <c r="H1371" t="s">
        <v>21</v>
      </c>
      <c r="I1371">
        <v>2</v>
      </c>
      <c r="J1371" t="s">
        <v>109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23</v>
      </c>
      <c r="R1371">
        <v>0</v>
      </c>
    </row>
    <row r="1372" spans="1:18">
      <c r="A1372" s="4">
        <v>293556000000</v>
      </c>
      <c r="B1372" t="s">
        <v>18</v>
      </c>
      <c r="C1372">
        <v>48</v>
      </c>
      <c r="D1372" t="s">
        <v>27</v>
      </c>
      <c r="E1372" t="s">
        <v>71</v>
      </c>
      <c r="F1372" s="1">
        <v>42487</v>
      </c>
      <c r="G1372" s="1">
        <v>42489</v>
      </c>
      <c r="H1372" t="s">
        <v>21</v>
      </c>
      <c r="I1372">
        <v>2</v>
      </c>
      <c r="J1372" t="s">
        <v>109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23</v>
      </c>
      <c r="R1372">
        <v>0</v>
      </c>
    </row>
    <row r="1373" spans="1:18">
      <c r="A1373" s="4">
        <v>749797000000000</v>
      </c>
      <c r="B1373" t="s">
        <v>28</v>
      </c>
      <c r="C1373">
        <v>2</v>
      </c>
      <c r="D1373" t="s">
        <v>31</v>
      </c>
      <c r="E1373" t="s">
        <v>32</v>
      </c>
      <c r="F1373" s="1">
        <v>42487</v>
      </c>
      <c r="G1373" s="1">
        <v>42494</v>
      </c>
      <c r="H1373" t="s">
        <v>25</v>
      </c>
      <c r="I1373">
        <v>7</v>
      </c>
      <c r="J1373" t="s">
        <v>107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</v>
      </c>
      <c r="Q1373" t="s">
        <v>23</v>
      </c>
      <c r="R1373">
        <v>0</v>
      </c>
    </row>
    <row r="1374" spans="1:18">
      <c r="A1374" s="4">
        <v>54668200000000</v>
      </c>
      <c r="B1374" t="s">
        <v>18</v>
      </c>
      <c r="C1374">
        <v>4</v>
      </c>
      <c r="D1374" t="s">
        <v>31</v>
      </c>
      <c r="E1374" t="s">
        <v>63</v>
      </c>
      <c r="F1374" s="1">
        <v>42487</v>
      </c>
      <c r="G1374" s="1">
        <v>42503</v>
      </c>
      <c r="H1374" t="s">
        <v>21</v>
      </c>
      <c r="I1374">
        <v>16</v>
      </c>
      <c r="J1374" t="s">
        <v>77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26</v>
      </c>
      <c r="R1374">
        <v>1</v>
      </c>
    </row>
    <row r="1375" spans="1:18">
      <c r="A1375" s="4">
        <v>47656000000000</v>
      </c>
      <c r="B1375" t="s">
        <v>18</v>
      </c>
      <c r="C1375">
        <v>65</v>
      </c>
      <c r="D1375" t="s">
        <v>35</v>
      </c>
      <c r="E1375" t="s">
        <v>32</v>
      </c>
      <c r="F1375" s="1">
        <v>42487</v>
      </c>
      <c r="G1375" s="1">
        <v>42493</v>
      </c>
      <c r="H1375" t="s">
        <v>41</v>
      </c>
      <c r="I1375">
        <v>6</v>
      </c>
      <c r="J1375" t="s">
        <v>107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1</v>
      </c>
      <c r="Q1375" t="s">
        <v>23</v>
      </c>
      <c r="R1375">
        <v>0</v>
      </c>
    </row>
    <row r="1376" spans="1:18">
      <c r="A1376" s="4">
        <v>36915700000000</v>
      </c>
      <c r="B1376" t="s">
        <v>28</v>
      </c>
      <c r="C1376">
        <v>1</v>
      </c>
      <c r="D1376" t="s">
        <v>31</v>
      </c>
      <c r="E1376" t="s">
        <v>51</v>
      </c>
      <c r="F1376" s="1">
        <v>42487</v>
      </c>
      <c r="G1376" s="1">
        <v>42507</v>
      </c>
      <c r="H1376" t="s">
        <v>41</v>
      </c>
      <c r="I1376">
        <v>20</v>
      </c>
      <c r="J1376" t="s">
        <v>77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26</v>
      </c>
      <c r="R1376">
        <v>1</v>
      </c>
    </row>
    <row r="1377" spans="1:18">
      <c r="A1377" s="4">
        <v>65237000000000</v>
      </c>
      <c r="B1377" t="s">
        <v>28</v>
      </c>
      <c r="C1377">
        <v>15</v>
      </c>
      <c r="D1377" t="s">
        <v>60</v>
      </c>
      <c r="E1377" t="s">
        <v>34</v>
      </c>
      <c r="F1377" s="1">
        <v>42487</v>
      </c>
      <c r="G1377" s="1">
        <v>42493</v>
      </c>
      <c r="H1377" t="s">
        <v>41</v>
      </c>
      <c r="I1377">
        <v>6</v>
      </c>
      <c r="J1377" t="s">
        <v>107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 t="s">
        <v>23</v>
      </c>
      <c r="R1377">
        <v>0</v>
      </c>
    </row>
    <row r="1378" spans="1:18">
      <c r="A1378" s="4">
        <v>454914000000000</v>
      </c>
      <c r="B1378" t="s">
        <v>18</v>
      </c>
      <c r="C1378">
        <v>68</v>
      </c>
      <c r="D1378" t="s">
        <v>19</v>
      </c>
      <c r="E1378" t="s">
        <v>72</v>
      </c>
      <c r="F1378" s="1">
        <v>42487</v>
      </c>
      <c r="G1378" s="1">
        <v>42523</v>
      </c>
      <c r="H1378" t="s">
        <v>33</v>
      </c>
      <c r="I1378">
        <v>36</v>
      </c>
      <c r="J1378" t="s">
        <v>22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 t="s">
        <v>23</v>
      </c>
      <c r="R1378">
        <v>0</v>
      </c>
    </row>
    <row r="1379" spans="1:18">
      <c r="A1379" s="4">
        <v>434532000000000</v>
      </c>
      <c r="B1379" t="s">
        <v>18</v>
      </c>
      <c r="C1379">
        <v>45</v>
      </c>
      <c r="D1379" t="s">
        <v>27</v>
      </c>
      <c r="E1379" t="s">
        <v>69</v>
      </c>
      <c r="F1379" s="1">
        <v>42487</v>
      </c>
      <c r="G1379" s="1">
        <v>42496</v>
      </c>
      <c r="H1379" t="s">
        <v>21</v>
      </c>
      <c r="I1379">
        <v>9</v>
      </c>
      <c r="J1379" t="s">
        <v>92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  <c r="Q1379" t="s">
        <v>26</v>
      </c>
      <c r="R1379">
        <v>1</v>
      </c>
    </row>
    <row r="1380" spans="1:18">
      <c r="A1380" s="4">
        <v>563159000000000</v>
      </c>
      <c r="B1380" t="s">
        <v>18</v>
      </c>
      <c r="C1380">
        <v>85</v>
      </c>
      <c r="D1380" t="s">
        <v>19</v>
      </c>
      <c r="E1380" t="s">
        <v>42</v>
      </c>
      <c r="F1380" s="1">
        <v>42487</v>
      </c>
      <c r="G1380" s="1">
        <v>42500</v>
      </c>
      <c r="H1380" t="s">
        <v>41</v>
      </c>
      <c r="I1380">
        <v>13</v>
      </c>
      <c r="J1380" t="s">
        <v>92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23</v>
      </c>
      <c r="R1380">
        <v>0</v>
      </c>
    </row>
    <row r="1381" spans="1:18">
      <c r="A1381" s="4">
        <v>486620000000000</v>
      </c>
      <c r="B1381" t="s">
        <v>18</v>
      </c>
      <c r="C1381">
        <v>56</v>
      </c>
      <c r="D1381" t="s">
        <v>35</v>
      </c>
      <c r="E1381" t="s">
        <v>40</v>
      </c>
      <c r="F1381" s="1">
        <v>42487</v>
      </c>
      <c r="G1381" s="1">
        <v>42510</v>
      </c>
      <c r="H1381" t="s">
        <v>21</v>
      </c>
      <c r="I1381">
        <v>23</v>
      </c>
      <c r="J1381" t="s">
        <v>77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26</v>
      </c>
      <c r="R1381">
        <v>1</v>
      </c>
    </row>
    <row r="1382" spans="1:18">
      <c r="A1382" s="4">
        <v>6548130000000</v>
      </c>
      <c r="B1382" t="s">
        <v>28</v>
      </c>
      <c r="C1382">
        <v>19</v>
      </c>
      <c r="D1382" t="s">
        <v>37</v>
      </c>
      <c r="E1382" t="s">
        <v>83</v>
      </c>
      <c r="F1382" s="1">
        <v>42487</v>
      </c>
      <c r="G1382" s="1">
        <v>42524</v>
      </c>
      <c r="H1382" t="s">
        <v>21</v>
      </c>
      <c r="I1382">
        <v>37</v>
      </c>
      <c r="J1382" t="s">
        <v>22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</v>
      </c>
      <c r="Q1382" t="s">
        <v>23</v>
      </c>
      <c r="R1382">
        <v>0</v>
      </c>
    </row>
    <row r="1383" spans="1:18">
      <c r="A1383" s="4">
        <v>633314000000000</v>
      </c>
      <c r="B1383" t="s">
        <v>18</v>
      </c>
      <c r="C1383">
        <v>61</v>
      </c>
      <c r="D1383" t="s">
        <v>35</v>
      </c>
      <c r="E1383" t="s">
        <v>40</v>
      </c>
      <c r="F1383" s="1">
        <v>42487</v>
      </c>
      <c r="G1383" s="1">
        <v>42506</v>
      </c>
      <c r="H1383" t="s">
        <v>30</v>
      </c>
      <c r="I1383">
        <v>19</v>
      </c>
      <c r="J1383" t="s">
        <v>77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0</v>
      </c>
      <c r="Q1383" t="s">
        <v>23</v>
      </c>
      <c r="R1383">
        <v>0</v>
      </c>
    </row>
    <row r="1384" spans="1:18">
      <c r="A1384" s="4">
        <v>82649800000000</v>
      </c>
      <c r="B1384" t="s">
        <v>18</v>
      </c>
      <c r="C1384">
        <v>62</v>
      </c>
      <c r="D1384" t="s">
        <v>35</v>
      </c>
      <c r="E1384" t="s">
        <v>48</v>
      </c>
      <c r="F1384" s="1">
        <v>42487</v>
      </c>
      <c r="G1384" s="1">
        <v>42493</v>
      </c>
      <c r="H1384" t="s">
        <v>41</v>
      </c>
      <c r="I1384">
        <v>6</v>
      </c>
      <c r="J1384" t="s">
        <v>107</v>
      </c>
      <c r="K1384">
        <v>0</v>
      </c>
      <c r="L1384">
        <v>1</v>
      </c>
      <c r="M1384">
        <v>0</v>
      </c>
      <c r="N1384">
        <v>0</v>
      </c>
      <c r="O1384">
        <v>0</v>
      </c>
      <c r="P1384">
        <v>1</v>
      </c>
      <c r="Q1384" t="s">
        <v>23</v>
      </c>
      <c r="R1384">
        <v>0</v>
      </c>
    </row>
    <row r="1385" spans="1:18">
      <c r="A1385" s="4">
        <v>14829400000000</v>
      </c>
      <c r="B1385" t="s">
        <v>28</v>
      </c>
      <c r="C1385">
        <v>0</v>
      </c>
      <c r="D1385" t="s">
        <v>31</v>
      </c>
      <c r="E1385" t="s">
        <v>34</v>
      </c>
      <c r="F1385" s="1">
        <v>42487</v>
      </c>
      <c r="G1385" s="1">
        <v>42495</v>
      </c>
      <c r="H1385" t="s">
        <v>33</v>
      </c>
      <c r="I1385">
        <v>8</v>
      </c>
      <c r="J1385" t="s">
        <v>92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</v>
      </c>
      <c r="Q1385" t="s">
        <v>23</v>
      </c>
      <c r="R1385">
        <v>0</v>
      </c>
    </row>
    <row r="1386" spans="1:18">
      <c r="A1386" s="4">
        <v>388398000000000</v>
      </c>
      <c r="B1386" t="s">
        <v>28</v>
      </c>
      <c r="C1386">
        <v>2</v>
      </c>
      <c r="D1386" t="s">
        <v>31</v>
      </c>
      <c r="E1386" t="s">
        <v>72</v>
      </c>
      <c r="F1386" s="1">
        <v>42487</v>
      </c>
      <c r="G1386" s="1">
        <v>42521</v>
      </c>
      <c r="H1386" t="s">
        <v>41</v>
      </c>
      <c r="I1386">
        <v>34</v>
      </c>
      <c r="J1386" t="s">
        <v>22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</v>
      </c>
      <c r="Q1386" t="s">
        <v>23</v>
      </c>
      <c r="R1386">
        <v>0</v>
      </c>
    </row>
    <row r="1387" spans="1:18">
      <c r="A1387" s="4">
        <v>376240000000</v>
      </c>
      <c r="B1387" t="s">
        <v>18</v>
      </c>
      <c r="C1387">
        <v>24</v>
      </c>
      <c r="D1387" t="s">
        <v>37</v>
      </c>
      <c r="E1387" t="s">
        <v>54</v>
      </c>
      <c r="F1387" s="1">
        <v>42487</v>
      </c>
      <c r="G1387" s="1">
        <v>42501</v>
      </c>
      <c r="H1387" t="s">
        <v>25</v>
      </c>
      <c r="I1387">
        <v>14</v>
      </c>
      <c r="J1387" t="s">
        <v>92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</v>
      </c>
      <c r="Q1387" t="s">
        <v>26</v>
      </c>
      <c r="R1387">
        <v>1</v>
      </c>
    </row>
    <row r="1388" spans="1:18">
      <c r="A1388" s="4">
        <v>69153500000000</v>
      </c>
      <c r="B1388" t="s">
        <v>28</v>
      </c>
      <c r="C1388">
        <v>6</v>
      </c>
      <c r="D1388" t="s">
        <v>31</v>
      </c>
      <c r="E1388" t="s">
        <v>72</v>
      </c>
      <c r="F1388" s="1">
        <v>42487</v>
      </c>
      <c r="G1388" s="1">
        <v>42523</v>
      </c>
      <c r="H1388" t="s">
        <v>33</v>
      </c>
      <c r="I1388">
        <v>36</v>
      </c>
      <c r="J1388" t="s">
        <v>22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</v>
      </c>
      <c r="Q1388" t="s">
        <v>23</v>
      </c>
      <c r="R1388">
        <v>0</v>
      </c>
    </row>
    <row r="1389" spans="1:18">
      <c r="A1389" s="4">
        <v>57157300000000</v>
      </c>
      <c r="B1389" t="s">
        <v>28</v>
      </c>
      <c r="C1389">
        <v>42</v>
      </c>
      <c r="D1389" t="s">
        <v>27</v>
      </c>
      <c r="E1389" t="s">
        <v>59</v>
      </c>
      <c r="F1389" s="1">
        <v>42487</v>
      </c>
      <c r="G1389" s="1">
        <v>42527</v>
      </c>
      <c r="H1389" t="s">
        <v>30</v>
      </c>
      <c r="I1389">
        <v>40</v>
      </c>
      <c r="J1389" t="s">
        <v>22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</v>
      </c>
      <c r="Q1389" t="s">
        <v>23</v>
      </c>
      <c r="R1389">
        <v>0</v>
      </c>
    </row>
    <row r="1390" spans="1:18">
      <c r="A1390" s="4">
        <v>5614850000000</v>
      </c>
      <c r="B1390" t="s">
        <v>18</v>
      </c>
      <c r="C1390">
        <v>62</v>
      </c>
      <c r="D1390" t="s">
        <v>35</v>
      </c>
      <c r="E1390" t="s">
        <v>96</v>
      </c>
      <c r="F1390" s="1">
        <v>42487</v>
      </c>
      <c r="G1390" s="1">
        <v>42496</v>
      </c>
      <c r="H1390" t="s">
        <v>21</v>
      </c>
      <c r="I1390">
        <v>9</v>
      </c>
      <c r="J1390" t="s">
        <v>92</v>
      </c>
      <c r="K1390">
        <v>1</v>
      </c>
      <c r="L1390">
        <v>1</v>
      </c>
      <c r="M1390">
        <v>0</v>
      </c>
      <c r="N1390">
        <v>0</v>
      </c>
      <c r="O1390">
        <v>0</v>
      </c>
      <c r="P1390">
        <v>1</v>
      </c>
      <c r="Q1390" t="s">
        <v>23</v>
      </c>
      <c r="R1390">
        <v>0</v>
      </c>
    </row>
    <row r="1391" spans="1:18">
      <c r="A1391" s="4">
        <v>1271150000000</v>
      </c>
      <c r="B1391" t="s">
        <v>28</v>
      </c>
      <c r="C1391">
        <v>63</v>
      </c>
      <c r="D1391" t="s">
        <v>35</v>
      </c>
      <c r="E1391" t="s">
        <v>29</v>
      </c>
      <c r="F1391" s="1">
        <v>42487</v>
      </c>
      <c r="G1391" s="1">
        <v>42520</v>
      </c>
      <c r="H1391" t="s">
        <v>30</v>
      </c>
      <c r="I1391">
        <v>33</v>
      </c>
      <c r="J1391" t="s">
        <v>22</v>
      </c>
      <c r="K1391">
        <v>0</v>
      </c>
      <c r="L1391">
        <v>1</v>
      </c>
      <c r="M1391">
        <v>1</v>
      </c>
      <c r="N1391">
        <v>0</v>
      </c>
      <c r="O1391">
        <v>0</v>
      </c>
      <c r="P1391">
        <v>1</v>
      </c>
      <c r="Q1391" t="s">
        <v>26</v>
      </c>
      <c r="R1391">
        <v>1</v>
      </c>
    </row>
    <row r="1392" spans="1:18">
      <c r="A1392" s="4">
        <v>3219360000000</v>
      </c>
      <c r="B1392" t="s">
        <v>18</v>
      </c>
      <c r="C1392">
        <v>52</v>
      </c>
      <c r="D1392" t="s">
        <v>35</v>
      </c>
      <c r="E1392" t="s">
        <v>53</v>
      </c>
      <c r="F1392" s="1">
        <v>42487</v>
      </c>
      <c r="G1392" s="1">
        <v>42501</v>
      </c>
      <c r="H1392" t="s">
        <v>25</v>
      </c>
      <c r="I1392">
        <v>14</v>
      </c>
      <c r="J1392" t="s">
        <v>92</v>
      </c>
      <c r="K1392">
        <v>0</v>
      </c>
      <c r="L1392">
        <v>1</v>
      </c>
      <c r="M1392">
        <v>1</v>
      </c>
      <c r="N1392">
        <v>0</v>
      </c>
      <c r="O1392">
        <v>0</v>
      </c>
      <c r="P1392">
        <v>1</v>
      </c>
      <c r="Q1392" t="s">
        <v>23</v>
      </c>
      <c r="R1392">
        <v>0</v>
      </c>
    </row>
    <row r="1393" spans="1:18">
      <c r="A1393" s="4">
        <v>5384940000000</v>
      </c>
      <c r="B1393" t="s">
        <v>28</v>
      </c>
      <c r="C1393">
        <v>3</v>
      </c>
      <c r="D1393" t="s">
        <v>31</v>
      </c>
      <c r="E1393" t="s">
        <v>100</v>
      </c>
      <c r="F1393" s="1">
        <v>42487</v>
      </c>
      <c r="G1393" s="1">
        <v>42489</v>
      </c>
      <c r="H1393" t="s">
        <v>21</v>
      </c>
      <c r="I1393">
        <v>2</v>
      </c>
      <c r="J1393" t="s">
        <v>109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23</v>
      </c>
      <c r="R1393">
        <v>0</v>
      </c>
    </row>
    <row r="1394" spans="1:18">
      <c r="A1394" s="4">
        <v>3649770000000</v>
      </c>
      <c r="B1394" t="s">
        <v>18</v>
      </c>
      <c r="C1394">
        <v>4</v>
      </c>
      <c r="D1394" t="s">
        <v>31</v>
      </c>
      <c r="E1394" t="s">
        <v>20</v>
      </c>
      <c r="F1394" s="1">
        <v>42487</v>
      </c>
      <c r="G1394" s="1">
        <v>42527</v>
      </c>
      <c r="H1394" t="s">
        <v>30</v>
      </c>
      <c r="I1394">
        <v>40</v>
      </c>
      <c r="J1394" t="s">
        <v>22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</v>
      </c>
      <c r="Q1394" t="s">
        <v>23</v>
      </c>
      <c r="R1394">
        <v>0</v>
      </c>
    </row>
    <row r="1395" spans="1:18">
      <c r="A1395" s="4">
        <v>57842600000000</v>
      </c>
      <c r="B1395" t="s">
        <v>18</v>
      </c>
      <c r="C1395">
        <v>37</v>
      </c>
      <c r="D1395" t="s">
        <v>27</v>
      </c>
      <c r="E1395" t="s">
        <v>57</v>
      </c>
      <c r="F1395" s="1">
        <v>42487</v>
      </c>
      <c r="G1395" s="1">
        <v>42528</v>
      </c>
      <c r="H1395" t="s">
        <v>41</v>
      </c>
      <c r="I1395">
        <v>41</v>
      </c>
      <c r="J1395" t="s">
        <v>22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23</v>
      </c>
      <c r="R1395">
        <v>0</v>
      </c>
    </row>
    <row r="1396" spans="1:18">
      <c r="A1396" s="4">
        <v>43414500000000</v>
      </c>
      <c r="B1396" t="s">
        <v>18</v>
      </c>
      <c r="C1396">
        <v>36</v>
      </c>
      <c r="D1396" t="s">
        <v>27</v>
      </c>
      <c r="E1396" t="s">
        <v>63</v>
      </c>
      <c r="F1396" s="1">
        <v>42487</v>
      </c>
      <c r="G1396" s="1">
        <v>42509</v>
      </c>
      <c r="H1396" t="s">
        <v>33</v>
      </c>
      <c r="I1396">
        <v>22</v>
      </c>
      <c r="J1396" t="s">
        <v>77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23</v>
      </c>
      <c r="R1396">
        <v>0</v>
      </c>
    </row>
    <row r="1397" spans="1:18">
      <c r="A1397" s="4">
        <v>74218900000000</v>
      </c>
      <c r="B1397" t="s">
        <v>28</v>
      </c>
      <c r="C1397">
        <v>32</v>
      </c>
      <c r="D1397" t="s">
        <v>37</v>
      </c>
      <c r="E1397" t="s">
        <v>59</v>
      </c>
      <c r="F1397" s="1">
        <v>42487</v>
      </c>
      <c r="G1397" s="1">
        <v>42520</v>
      </c>
      <c r="H1397" t="s">
        <v>30</v>
      </c>
      <c r="I1397">
        <v>33</v>
      </c>
      <c r="J1397" t="s">
        <v>22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23</v>
      </c>
      <c r="R1397">
        <v>0</v>
      </c>
    </row>
    <row r="1398" spans="1:18">
      <c r="A1398" s="4">
        <v>168822000000000</v>
      </c>
      <c r="B1398" t="s">
        <v>18</v>
      </c>
      <c r="C1398">
        <v>63</v>
      </c>
      <c r="D1398" t="s">
        <v>35</v>
      </c>
      <c r="E1398" t="s">
        <v>45</v>
      </c>
      <c r="F1398" s="1">
        <v>42487</v>
      </c>
      <c r="G1398" s="1">
        <v>42508</v>
      </c>
      <c r="H1398" t="s">
        <v>25</v>
      </c>
      <c r="I1398">
        <v>21</v>
      </c>
      <c r="J1398" t="s">
        <v>77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0</v>
      </c>
      <c r="Q1398" t="s">
        <v>26</v>
      </c>
      <c r="R1398">
        <v>1</v>
      </c>
    </row>
    <row r="1399" spans="1:18">
      <c r="A1399" s="4">
        <v>46399200000000</v>
      </c>
      <c r="B1399" t="s">
        <v>28</v>
      </c>
      <c r="C1399">
        <v>30</v>
      </c>
      <c r="D1399" t="s">
        <v>37</v>
      </c>
      <c r="E1399" t="s">
        <v>110</v>
      </c>
      <c r="F1399" s="1">
        <v>42487</v>
      </c>
      <c r="G1399" s="1">
        <v>42494</v>
      </c>
      <c r="H1399" t="s">
        <v>25</v>
      </c>
      <c r="I1399">
        <v>7</v>
      </c>
      <c r="J1399" t="s">
        <v>107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1</v>
      </c>
      <c r="Q1399" t="s">
        <v>23</v>
      </c>
      <c r="R1399">
        <v>0</v>
      </c>
    </row>
    <row r="1400" spans="1:18">
      <c r="A1400" s="4">
        <v>46222300000000</v>
      </c>
      <c r="B1400" t="s">
        <v>18</v>
      </c>
      <c r="C1400">
        <v>62</v>
      </c>
      <c r="D1400" t="s">
        <v>35</v>
      </c>
      <c r="E1400" t="s">
        <v>20</v>
      </c>
      <c r="F1400" s="1">
        <v>42487</v>
      </c>
      <c r="G1400" s="1">
        <v>42493</v>
      </c>
      <c r="H1400" t="s">
        <v>41</v>
      </c>
      <c r="I1400">
        <v>6</v>
      </c>
      <c r="J1400" t="s">
        <v>107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</v>
      </c>
      <c r="Q1400" t="s">
        <v>23</v>
      </c>
      <c r="R1400">
        <v>0</v>
      </c>
    </row>
    <row r="1401" spans="1:18">
      <c r="A1401" s="4">
        <v>14612100000000</v>
      </c>
      <c r="B1401" t="s">
        <v>18</v>
      </c>
      <c r="C1401">
        <v>69</v>
      </c>
      <c r="D1401" t="s">
        <v>19</v>
      </c>
      <c r="E1401" t="s">
        <v>59</v>
      </c>
      <c r="F1401" s="1">
        <v>42487</v>
      </c>
      <c r="G1401" s="1">
        <v>42501</v>
      </c>
      <c r="H1401" t="s">
        <v>25</v>
      </c>
      <c r="I1401">
        <v>14</v>
      </c>
      <c r="J1401" t="s">
        <v>92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</v>
      </c>
      <c r="Q1401" t="s">
        <v>26</v>
      </c>
      <c r="R1401">
        <v>1</v>
      </c>
    </row>
    <row r="1402" spans="1:18">
      <c r="A1402" s="4">
        <v>38546100000000</v>
      </c>
      <c r="B1402" t="s">
        <v>28</v>
      </c>
      <c r="C1402">
        <v>14</v>
      </c>
      <c r="D1402" t="s">
        <v>60</v>
      </c>
      <c r="E1402" t="s">
        <v>54</v>
      </c>
      <c r="F1402" s="1">
        <v>42487</v>
      </c>
      <c r="G1402" s="1">
        <v>42494</v>
      </c>
      <c r="H1402" t="s">
        <v>25</v>
      </c>
      <c r="I1402">
        <v>7</v>
      </c>
      <c r="J1402" t="s">
        <v>107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</v>
      </c>
      <c r="Q1402" t="s">
        <v>23</v>
      </c>
      <c r="R1402">
        <v>0</v>
      </c>
    </row>
    <row r="1403" spans="1:18">
      <c r="A1403" s="4">
        <v>48559300000000</v>
      </c>
      <c r="B1403" t="s">
        <v>18</v>
      </c>
      <c r="C1403">
        <v>11</v>
      </c>
      <c r="D1403" t="s">
        <v>31</v>
      </c>
      <c r="E1403" t="s">
        <v>38</v>
      </c>
      <c r="F1403" s="1">
        <v>42487</v>
      </c>
      <c r="G1403" s="1">
        <v>42506</v>
      </c>
      <c r="H1403" t="s">
        <v>30</v>
      </c>
      <c r="I1403">
        <v>19</v>
      </c>
      <c r="J1403" t="s">
        <v>77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23</v>
      </c>
      <c r="R1403">
        <v>0</v>
      </c>
    </row>
    <row r="1404" spans="1:18">
      <c r="A1404" s="4">
        <v>264984000000000</v>
      </c>
      <c r="B1404" t="s">
        <v>18</v>
      </c>
      <c r="C1404">
        <v>41</v>
      </c>
      <c r="D1404" t="s">
        <v>27</v>
      </c>
      <c r="E1404" t="s">
        <v>72</v>
      </c>
      <c r="F1404" s="1">
        <v>42487</v>
      </c>
      <c r="G1404" s="1">
        <v>42524</v>
      </c>
      <c r="H1404" t="s">
        <v>21</v>
      </c>
      <c r="I1404">
        <v>37</v>
      </c>
      <c r="J1404" t="s">
        <v>22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</v>
      </c>
      <c r="Q1404" t="s">
        <v>23</v>
      </c>
      <c r="R1404">
        <v>0</v>
      </c>
    </row>
    <row r="1405" spans="1:18">
      <c r="A1405" s="4">
        <v>546234000000</v>
      </c>
      <c r="B1405" t="s">
        <v>28</v>
      </c>
      <c r="C1405">
        <v>54</v>
      </c>
      <c r="D1405" t="s">
        <v>35</v>
      </c>
      <c r="E1405" t="s">
        <v>63</v>
      </c>
      <c r="F1405" s="1">
        <v>42487</v>
      </c>
      <c r="G1405" s="1">
        <v>42492</v>
      </c>
      <c r="H1405" t="s">
        <v>30</v>
      </c>
      <c r="I1405">
        <v>5</v>
      </c>
      <c r="J1405" t="s">
        <v>107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1</v>
      </c>
      <c r="Q1405" t="s">
        <v>23</v>
      </c>
      <c r="R1405">
        <v>0</v>
      </c>
    </row>
    <row r="1406" spans="1:18">
      <c r="A1406" s="4">
        <v>966556000000000</v>
      </c>
      <c r="B1406" t="s">
        <v>28</v>
      </c>
      <c r="C1406">
        <v>63</v>
      </c>
      <c r="D1406" t="s">
        <v>35</v>
      </c>
      <c r="E1406" t="s">
        <v>75</v>
      </c>
      <c r="F1406" s="1">
        <v>42487</v>
      </c>
      <c r="G1406" s="1">
        <v>42493</v>
      </c>
      <c r="H1406" t="s">
        <v>41</v>
      </c>
      <c r="I1406">
        <v>6</v>
      </c>
      <c r="J1406" t="s">
        <v>107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0</v>
      </c>
      <c r="Q1406" t="s">
        <v>23</v>
      </c>
      <c r="R1406">
        <v>0</v>
      </c>
    </row>
    <row r="1407" spans="1:18">
      <c r="A1407" s="4">
        <v>33292800000000</v>
      </c>
      <c r="B1407" t="s">
        <v>18</v>
      </c>
      <c r="C1407">
        <v>38</v>
      </c>
      <c r="D1407" t="s">
        <v>27</v>
      </c>
      <c r="E1407" t="s">
        <v>39</v>
      </c>
      <c r="F1407" s="1">
        <v>42487</v>
      </c>
      <c r="G1407" s="1">
        <v>42508</v>
      </c>
      <c r="H1407" t="s">
        <v>25</v>
      </c>
      <c r="I1407">
        <v>21</v>
      </c>
      <c r="J1407" t="s">
        <v>77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23</v>
      </c>
      <c r="R1407">
        <v>0</v>
      </c>
    </row>
    <row r="1408" spans="1:18">
      <c r="A1408" s="4">
        <v>59218400000000</v>
      </c>
      <c r="B1408" t="s">
        <v>28</v>
      </c>
      <c r="C1408">
        <v>64</v>
      </c>
      <c r="D1408" t="s">
        <v>35</v>
      </c>
      <c r="E1408" t="s">
        <v>43</v>
      </c>
      <c r="F1408" s="1">
        <v>42487</v>
      </c>
      <c r="G1408" s="1">
        <v>42528</v>
      </c>
      <c r="H1408" t="s">
        <v>41</v>
      </c>
      <c r="I1408">
        <v>41</v>
      </c>
      <c r="J1408" t="s">
        <v>22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</v>
      </c>
      <c r="Q1408" t="s">
        <v>23</v>
      </c>
      <c r="R1408">
        <v>0</v>
      </c>
    </row>
    <row r="1409" spans="1:18">
      <c r="A1409" s="4">
        <v>263581000000000</v>
      </c>
      <c r="B1409" t="s">
        <v>18</v>
      </c>
      <c r="C1409">
        <v>58</v>
      </c>
      <c r="D1409" t="s">
        <v>35</v>
      </c>
      <c r="E1409" t="s">
        <v>59</v>
      </c>
      <c r="F1409" s="1">
        <v>42487</v>
      </c>
      <c r="G1409" s="1">
        <v>42499</v>
      </c>
      <c r="H1409" t="s">
        <v>30</v>
      </c>
      <c r="I1409">
        <v>12</v>
      </c>
      <c r="J1409" t="s">
        <v>92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0</v>
      </c>
      <c r="Q1409" t="s">
        <v>23</v>
      </c>
      <c r="R1409">
        <v>0</v>
      </c>
    </row>
    <row r="1410" spans="1:18">
      <c r="A1410" s="4">
        <v>71353300000000</v>
      </c>
      <c r="B1410" t="s">
        <v>28</v>
      </c>
      <c r="C1410">
        <v>7</v>
      </c>
      <c r="D1410" t="s">
        <v>31</v>
      </c>
      <c r="E1410" t="s">
        <v>55</v>
      </c>
      <c r="F1410" s="1">
        <v>42487</v>
      </c>
      <c r="G1410" s="1">
        <v>42523</v>
      </c>
      <c r="H1410" t="s">
        <v>33</v>
      </c>
      <c r="I1410">
        <v>36</v>
      </c>
      <c r="J1410" t="s">
        <v>22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</v>
      </c>
      <c r="Q1410" t="s">
        <v>23</v>
      </c>
      <c r="R1410">
        <v>0</v>
      </c>
    </row>
    <row r="1411" spans="1:18">
      <c r="A1411" s="4">
        <v>68523662783</v>
      </c>
      <c r="B1411" t="s">
        <v>18</v>
      </c>
      <c r="C1411">
        <v>65</v>
      </c>
      <c r="D1411" t="s">
        <v>35</v>
      </c>
      <c r="E1411" t="s">
        <v>36</v>
      </c>
      <c r="F1411" s="1">
        <v>42487</v>
      </c>
      <c r="G1411" s="1">
        <v>42494</v>
      </c>
      <c r="H1411" t="s">
        <v>25</v>
      </c>
      <c r="I1411">
        <v>7</v>
      </c>
      <c r="J1411" t="s">
        <v>107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1</v>
      </c>
      <c r="Q1411" t="s">
        <v>23</v>
      </c>
      <c r="R1411">
        <v>0</v>
      </c>
    </row>
    <row r="1412" spans="1:18">
      <c r="A1412" s="4">
        <v>62862428735</v>
      </c>
      <c r="B1412" t="s">
        <v>18</v>
      </c>
      <c r="C1412">
        <v>11</v>
      </c>
      <c r="D1412" t="s">
        <v>31</v>
      </c>
      <c r="E1412" t="s">
        <v>72</v>
      </c>
      <c r="F1412" s="1">
        <v>42487</v>
      </c>
      <c r="G1412" s="1">
        <v>42523</v>
      </c>
      <c r="H1412" t="s">
        <v>33</v>
      </c>
      <c r="I1412">
        <v>36</v>
      </c>
      <c r="J1412" t="s">
        <v>22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</v>
      </c>
      <c r="Q1412" t="s">
        <v>23</v>
      </c>
      <c r="R1412">
        <v>0</v>
      </c>
    </row>
    <row r="1413" spans="1:18">
      <c r="A1413" s="4">
        <v>76257400000000</v>
      </c>
      <c r="B1413" t="s">
        <v>18</v>
      </c>
      <c r="C1413">
        <v>1</v>
      </c>
      <c r="D1413" t="s">
        <v>31</v>
      </c>
      <c r="E1413" t="s">
        <v>50</v>
      </c>
      <c r="F1413" s="1">
        <v>42487</v>
      </c>
      <c r="G1413" s="1">
        <v>42502</v>
      </c>
      <c r="H1413" t="s">
        <v>33</v>
      </c>
      <c r="I1413">
        <v>15</v>
      </c>
      <c r="J1413" t="s">
        <v>77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1</v>
      </c>
      <c r="Q1413" t="s">
        <v>23</v>
      </c>
      <c r="R1413">
        <v>0</v>
      </c>
    </row>
    <row r="1414" spans="1:18">
      <c r="A1414" s="4">
        <v>391352000000000</v>
      </c>
      <c r="B1414" t="s">
        <v>18</v>
      </c>
      <c r="C1414">
        <v>70</v>
      </c>
      <c r="D1414" t="s">
        <v>19</v>
      </c>
      <c r="E1414" t="s">
        <v>100</v>
      </c>
      <c r="F1414" s="1">
        <v>42487</v>
      </c>
      <c r="G1414" s="1">
        <v>42494</v>
      </c>
      <c r="H1414" t="s">
        <v>25</v>
      </c>
      <c r="I1414">
        <v>7</v>
      </c>
      <c r="J1414" t="s">
        <v>107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1</v>
      </c>
      <c r="Q1414" t="s">
        <v>23</v>
      </c>
      <c r="R1414">
        <v>0</v>
      </c>
    </row>
    <row r="1415" spans="1:18">
      <c r="A1415" s="4">
        <v>76421400000000</v>
      </c>
      <c r="B1415" t="s">
        <v>18</v>
      </c>
      <c r="C1415">
        <v>23</v>
      </c>
      <c r="D1415" t="s">
        <v>37</v>
      </c>
      <c r="E1415" t="s">
        <v>75</v>
      </c>
      <c r="F1415" s="1">
        <v>42487</v>
      </c>
      <c r="G1415" s="1">
        <v>42503</v>
      </c>
      <c r="H1415" t="s">
        <v>21</v>
      </c>
      <c r="I1415">
        <v>16</v>
      </c>
      <c r="J1415" t="s">
        <v>77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26</v>
      </c>
      <c r="R1415">
        <v>1</v>
      </c>
    </row>
    <row r="1416" spans="1:18">
      <c r="A1416" s="4">
        <v>14152400000000</v>
      </c>
      <c r="B1416" t="s">
        <v>18</v>
      </c>
      <c r="C1416">
        <v>27</v>
      </c>
      <c r="D1416" t="s">
        <v>37</v>
      </c>
      <c r="E1416" t="s">
        <v>64</v>
      </c>
      <c r="F1416" s="1">
        <v>42487</v>
      </c>
      <c r="G1416" s="1">
        <v>42506</v>
      </c>
      <c r="H1416" t="s">
        <v>30</v>
      </c>
      <c r="I1416">
        <v>19</v>
      </c>
      <c r="J1416" t="s">
        <v>77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23</v>
      </c>
      <c r="R1416">
        <v>0</v>
      </c>
    </row>
    <row r="1417" spans="1:18">
      <c r="A1417" s="4">
        <v>8579840000000</v>
      </c>
      <c r="B1417" t="s">
        <v>28</v>
      </c>
      <c r="C1417">
        <v>41</v>
      </c>
      <c r="D1417" t="s">
        <v>27</v>
      </c>
      <c r="E1417" t="s">
        <v>47</v>
      </c>
      <c r="F1417" s="1">
        <v>42487</v>
      </c>
      <c r="G1417" s="1">
        <v>42514</v>
      </c>
      <c r="H1417" t="s">
        <v>41</v>
      </c>
      <c r="I1417">
        <v>27</v>
      </c>
      <c r="J1417" t="s">
        <v>77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1</v>
      </c>
      <c r="Q1417" t="s">
        <v>23</v>
      </c>
      <c r="R1417">
        <v>0</v>
      </c>
    </row>
    <row r="1418" spans="1:18">
      <c r="A1418" s="4">
        <v>88698300000000</v>
      </c>
      <c r="B1418" t="s">
        <v>28</v>
      </c>
      <c r="C1418">
        <v>39</v>
      </c>
      <c r="D1418" t="s">
        <v>27</v>
      </c>
      <c r="E1418" t="s">
        <v>47</v>
      </c>
      <c r="F1418" s="1">
        <v>42487</v>
      </c>
      <c r="G1418" s="1">
        <v>42509</v>
      </c>
      <c r="H1418" t="s">
        <v>33</v>
      </c>
      <c r="I1418">
        <v>22</v>
      </c>
      <c r="J1418" t="s">
        <v>77</v>
      </c>
      <c r="K1418">
        <v>0</v>
      </c>
      <c r="L1418">
        <v>1</v>
      </c>
      <c r="M1418">
        <v>0</v>
      </c>
      <c r="N1418">
        <v>0</v>
      </c>
      <c r="O1418">
        <v>0</v>
      </c>
      <c r="P1418">
        <v>0</v>
      </c>
      <c r="Q1418" t="s">
        <v>23</v>
      </c>
      <c r="R1418">
        <v>0</v>
      </c>
    </row>
    <row r="1419" spans="1:18">
      <c r="A1419" s="4">
        <v>15294800000000</v>
      </c>
      <c r="B1419" t="s">
        <v>28</v>
      </c>
      <c r="C1419">
        <v>4</v>
      </c>
      <c r="D1419" t="s">
        <v>31</v>
      </c>
      <c r="E1419" t="s">
        <v>40</v>
      </c>
      <c r="F1419" s="1">
        <v>42487</v>
      </c>
      <c r="G1419" s="1">
        <v>42509</v>
      </c>
      <c r="H1419" t="s">
        <v>33</v>
      </c>
      <c r="I1419">
        <v>22</v>
      </c>
      <c r="J1419" t="s">
        <v>77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23</v>
      </c>
      <c r="R1419">
        <v>0</v>
      </c>
    </row>
    <row r="1420" spans="1:18">
      <c r="A1420" s="4">
        <v>478473000000</v>
      </c>
      <c r="B1420" t="s">
        <v>28</v>
      </c>
      <c r="C1420">
        <v>48</v>
      </c>
      <c r="D1420" t="s">
        <v>27</v>
      </c>
      <c r="E1420" t="s">
        <v>72</v>
      </c>
      <c r="F1420" s="1">
        <v>42487</v>
      </c>
      <c r="G1420" s="1">
        <v>42523</v>
      </c>
      <c r="H1420" t="s">
        <v>33</v>
      </c>
      <c r="I1420">
        <v>36</v>
      </c>
      <c r="J1420" t="s">
        <v>22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</v>
      </c>
      <c r="Q1420" t="s">
        <v>23</v>
      </c>
      <c r="R1420">
        <v>0</v>
      </c>
    </row>
    <row r="1421" spans="1:18">
      <c r="A1421" s="4">
        <v>5559820000000</v>
      </c>
      <c r="B1421" t="s">
        <v>18</v>
      </c>
      <c r="C1421">
        <v>39</v>
      </c>
      <c r="D1421" t="s">
        <v>27</v>
      </c>
      <c r="E1421" t="s">
        <v>71</v>
      </c>
      <c r="F1421" s="1">
        <v>42487</v>
      </c>
      <c r="G1421" s="1">
        <v>42489</v>
      </c>
      <c r="H1421" t="s">
        <v>21</v>
      </c>
      <c r="I1421">
        <v>2</v>
      </c>
      <c r="J1421" t="s">
        <v>109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23</v>
      </c>
      <c r="R1421">
        <v>0</v>
      </c>
    </row>
    <row r="1422" spans="1:18">
      <c r="A1422" s="4">
        <v>429948000000000</v>
      </c>
      <c r="B1422" t="s">
        <v>28</v>
      </c>
      <c r="C1422">
        <v>52</v>
      </c>
      <c r="D1422" t="s">
        <v>35</v>
      </c>
      <c r="E1422" t="s">
        <v>36</v>
      </c>
      <c r="F1422" s="1">
        <v>42487</v>
      </c>
      <c r="G1422" s="1">
        <v>42501</v>
      </c>
      <c r="H1422" t="s">
        <v>25</v>
      </c>
      <c r="I1422">
        <v>14</v>
      </c>
      <c r="J1422" t="s">
        <v>92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 t="s">
        <v>23</v>
      </c>
      <c r="R1422">
        <v>0</v>
      </c>
    </row>
    <row r="1423" spans="1:18">
      <c r="A1423" s="4">
        <v>28985700000000</v>
      </c>
      <c r="B1423" t="s">
        <v>28</v>
      </c>
      <c r="C1423">
        <v>1</v>
      </c>
      <c r="D1423" t="s">
        <v>31</v>
      </c>
      <c r="E1423" t="s">
        <v>32</v>
      </c>
      <c r="F1423" s="1">
        <v>42487</v>
      </c>
      <c r="G1423" s="1">
        <v>42494</v>
      </c>
      <c r="H1423" t="s">
        <v>25</v>
      </c>
      <c r="I1423">
        <v>7</v>
      </c>
      <c r="J1423" t="s">
        <v>107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</v>
      </c>
      <c r="Q1423" t="s">
        <v>23</v>
      </c>
      <c r="R1423">
        <v>0</v>
      </c>
    </row>
    <row r="1424" spans="1:18">
      <c r="A1424" s="4">
        <v>74354700000000</v>
      </c>
      <c r="B1424" t="s">
        <v>18</v>
      </c>
      <c r="C1424">
        <v>41</v>
      </c>
      <c r="D1424" t="s">
        <v>27</v>
      </c>
      <c r="E1424" t="s">
        <v>68</v>
      </c>
      <c r="F1424" s="1">
        <v>42487</v>
      </c>
      <c r="G1424" s="1">
        <v>42520</v>
      </c>
      <c r="H1424" t="s">
        <v>30</v>
      </c>
      <c r="I1424">
        <v>33</v>
      </c>
      <c r="J1424" t="s">
        <v>22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1</v>
      </c>
      <c r="Q1424" t="s">
        <v>23</v>
      </c>
      <c r="R1424">
        <v>0</v>
      </c>
    </row>
    <row r="1425" spans="1:18">
      <c r="A1425" s="4">
        <v>11773700000000</v>
      </c>
      <c r="B1425" t="s">
        <v>18</v>
      </c>
      <c r="C1425">
        <v>59</v>
      </c>
      <c r="D1425" t="s">
        <v>35</v>
      </c>
      <c r="E1425" t="s">
        <v>47</v>
      </c>
      <c r="F1425" s="1">
        <v>42487</v>
      </c>
      <c r="G1425" s="1">
        <v>42492</v>
      </c>
      <c r="H1425" t="s">
        <v>30</v>
      </c>
      <c r="I1425">
        <v>5</v>
      </c>
      <c r="J1425" t="s">
        <v>107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</v>
      </c>
      <c r="Q1425" t="s">
        <v>23</v>
      </c>
      <c r="R1425">
        <v>0</v>
      </c>
    </row>
    <row r="1426" spans="1:18">
      <c r="A1426" s="4">
        <v>14815600000000</v>
      </c>
      <c r="B1426" t="s">
        <v>18</v>
      </c>
      <c r="C1426">
        <v>52</v>
      </c>
      <c r="D1426" t="s">
        <v>35</v>
      </c>
      <c r="E1426" t="s">
        <v>40</v>
      </c>
      <c r="F1426" s="1">
        <v>42487</v>
      </c>
      <c r="G1426" s="1">
        <v>42503</v>
      </c>
      <c r="H1426" t="s">
        <v>21</v>
      </c>
      <c r="I1426">
        <v>16</v>
      </c>
      <c r="J1426" t="s">
        <v>77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23</v>
      </c>
      <c r="R1426">
        <v>0</v>
      </c>
    </row>
    <row r="1427" spans="1:18">
      <c r="A1427" s="4">
        <v>19528000000000</v>
      </c>
      <c r="B1427" t="s">
        <v>18</v>
      </c>
      <c r="C1427">
        <v>25</v>
      </c>
      <c r="D1427" t="s">
        <v>37</v>
      </c>
      <c r="E1427" t="s">
        <v>72</v>
      </c>
      <c r="F1427" s="1">
        <v>42487</v>
      </c>
      <c r="G1427" s="1">
        <v>42493</v>
      </c>
      <c r="H1427" t="s">
        <v>41</v>
      </c>
      <c r="I1427">
        <v>6</v>
      </c>
      <c r="J1427" t="s">
        <v>107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</v>
      </c>
      <c r="Q1427" t="s">
        <v>26</v>
      </c>
      <c r="R1427">
        <v>1</v>
      </c>
    </row>
    <row r="1428" spans="1:18">
      <c r="A1428" s="4">
        <v>99595600000000</v>
      </c>
      <c r="B1428" t="s">
        <v>18</v>
      </c>
      <c r="C1428">
        <v>58</v>
      </c>
      <c r="D1428" t="s">
        <v>35</v>
      </c>
      <c r="E1428" t="s">
        <v>100</v>
      </c>
      <c r="F1428" s="1">
        <v>42487</v>
      </c>
      <c r="G1428" s="1">
        <v>42499</v>
      </c>
      <c r="H1428" t="s">
        <v>30</v>
      </c>
      <c r="I1428">
        <v>12</v>
      </c>
      <c r="J1428" t="s">
        <v>92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23</v>
      </c>
      <c r="R1428">
        <v>0</v>
      </c>
    </row>
    <row r="1429" spans="1:18">
      <c r="A1429" s="4">
        <v>36796400000000</v>
      </c>
      <c r="B1429" t="s">
        <v>18</v>
      </c>
      <c r="C1429">
        <v>58</v>
      </c>
      <c r="D1429" t="s">
        <v>35</v>
      </c>
      <c r="E1429" t="s">
        <v>39</v>
      </c>
      <c r="F1429" s="1">
        <v>42487</v>
      </c>
      <c r="G1429" s="1">
        <v>42489</v>
      </c>
      <c r="H1429" t="s">
        <v>21</v>
      </c>
      <c r="I1429">
        <v>2</v>
      </c>
      <c r="J1429" t="s">
        <v>109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23</v>
      </c>
      <c r="R1429">
        <v>0</v>
      </c>
    </row>
    <row r="1430" spans="1:18">
      <c r="A1430" s="4">
        <v>289984000000000</v>
      </c>
      <c r="B1430" t="s">
        <v>18</v>
      </c>
      <c r="C1430">
        <v>25</v>
      </c>
      <c r="D1430" t="s">
        <v>37</v>
      </c>
      <c r="E1430" t="s">
        <v>45</v>
      </c>
      <c r="F1430" s="1">
        <v>42487</v>
      </c>
      <c r="G1430" s="1">
        <v>42489</v>
      </c>
      <c r="H1430" t="s">
        <v>21</v>
      </c>
      <c r="I1430">
        <v>2</v>
      </c>
      <c r="J1430" t="s">
        <v>109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23</v>
      </c>
      <c r="R1430">
        <v>0</v>
      </c>
    </row>
    <row r="1431" spans="1:18">
      <c r="A1431" s="4">
        <v>7525540000000</v>
      </c>
      <c r="B1431" t="s">
        <v>18</v>
      </c>
      <c r="C1431">
        <v>27</v>
      </c>
      <c r="D1431" t="s">
        <v>37</v>
      </c>
      <c r="E1431" t="s">
        <v>40</v>
      </c>
      <c r="F1431" s="1">
        <v>42487</v>
      </c>
      <c r="G1431" s="1">
        <v>42515</v>
      </c>
      <c r="H1431" t="s">
        <v>25</v>
      </c>
      <c r="I1431">
        <v>28</v>
      </c>
      <c r="J1431" t="s">
        <v>77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</v>
      </c>
      <c r="Q1431" t="s">
        <v>23</v>
      </c>
      <c r="R1431">
        <v>0</v>
      </c>
    </row>
    <row r="1432" spans="1:18">
      <c r="A1432" s="4">
        <v>534882000000000</v>
      </c>
      <c r="B1432" t="s">
        <v>18</v>
      </c>
      <c r="C1432">
        <v>71</v>
      </c>
      <c r="D1432" t="s">
        <v>19</v>
      </c>
      <c r="E1432" t="s">
        <v>49</v>
      </c>
      <c r="F1432" s="1">
        <v>42487</v>
      </c>
      <c r="G1432" s="1">
        <v>42500</v>
      </c>
      <c r="H1432" t="s">
        <v>41</v>
      </c>
      <c r="I1432">
        <v>13</v>
      </c>
      <c r="J1432" t="s">
        <v>92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23</v>
      </c>
      <c r="R1432">
        <v>0</v>
      </c>
    </row>
    <row r="1433" spans="1:18">
      <c r="A1433" s="4">
        <v>99987600000000</v>
      </c>
      <c r="B1433" t="s">
        <v>18</v>
      </c>
      <c r="C1433">
        <v>18</v>
      </c>
      <c r="D1433" t="s">
        <v>37</v>
      </c>
      <c r="E1433" t="s">
        <v>68</v>
      </c>
      <c r="F1433" s="1">
        <v>42487</v>
      </c>
      <c r="G1433" s="1">
        <v>42500</v>
      </c>
      <c r="H1433" t="s">
        <v>41</v>
      </c>
      <c r="I1433">
        <v>13</v>
      </c>
      <c r="J1433" t="s">
        <v>92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</v>
      </c>
      <c r="Q1433" t="s">
        <v>26</v>
      </c>
      <c r="R1433">
        <v>1</v>
      </c>
    </row>
    <row r="1434" spans="1:18">
      <c r="A1434" s="4">
        <v>56594800000000</v>
      </c>
      <c r="B1434" t="s">
        <v>28</v>
      </c>
      <c r="C1434">
        <v>53</v>
      </c>
      <c r="D1434" t="s">
        <v>35</v>
      </c>
      <c r="E1434" t="s">
        <v>38</v>
      </c>
      <c r="F1434" s="1">
        <v>42487</v>
      </c>
      <c r="G1434" s="1">
        <v>42489</v>
      </c>
      <c r="H1434" t="s">
        <v>21</v>
      </c>
      <c r="I1434">
        <v>2</v>
      </c>
      <c r="J1434" t="s">
        <v>109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26</v>
      </c>
      <c r="R1434">
        <v>1</v>
      </c>
    </row>
    <row r="1435" spans="1:18">
      <c r="A1435" s="4">
        <v>62379291326</v>
      </c>
      <c r="B1435" t="s">
        <v>18</v>
      </c>
      <c r="C1435">
        <v>30</v>
      </c>
      <c r="D1435" t="s">
        <v>37</v>
      </c>
      <c r="E1435" t="s">
        <v>44</v>
      </c>
      <c r="F1435" s="1">
        <v>42487</v>
      </c>
      <c r="G1435" s="1">
        <v>42489</v>
      </c>
      <c r="H1435" t="s">
        <v>21</v>
      </c>
      <c r="I1435">
        <v>2</v>
      </c>
      <c r="J1435" t="s">
        <v>109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23</v>
      </c>
      <c r="R1435">
        <v>0</v>
      </c>
    </row>
    <row r="1436" spans="1:18">
      <c r="A1436" s="4">
        <v>275529000000000</v>
      </c>
      <c r="B1436" t="s">
        <v>28</v>
      </c>
      <c r="C1436">
        <v>35</v>
      </c>
      <c r="D1436" t="s">
        <v>37</v>
      </c>
      <c r="E1436" t="s">
        <v>20</v>
      </c>
      <c r="F1436" s="1">
        <v>42487</v>
      </c>
      <c r="G1436" s="1">
        <v>42520</v>
      </c>
      <c r="H1436" t="s">
        <v>30</v>
      </c>
      <c r="I1436">
        <v>33</v>
      </c>
      <c r="J1436" t="s">
        <v>22</v>
      </c>
      <c r="K1436">
        <v>0</v>
      </c>
      <c r="L1436">
        <v>0</v>
      </c>
      <c r="M1436">
        <v>0</v>
      </c>
      <c r="N1436">
        <v>1</v>
      </c>
      <c r="O1436">
        <v>1</v>
      </c>
      <c r="P1436">
        <v>1</v>
      </c>
      <c r="Q1436" t="s">
        <v>23</v>
      </c>
      <c r="R1436">
        <v>0</v>
      </c>
    </row>
    <row r="1437" spans="1:18">
      <c r="A1437" s="4">
        <v>6956170000000</v>
      </c>
      <c r="B1437" t="s">
        <v>28</v>
      </c>
      <c r="C1437">
        <v>70</v>
      </c>
      <c r="D1437" t="s">
        <v>19</v>
      </c>
      <c r="E1437" t="s">
        <v>82</v>
      </c>
      <c r="F1437" s="1">
        <v>42487</v>
      </c>
      <c r="G1437" s="1">
        <v>42489</v>
      </c>
      <c r="H1437" t="s">
        <v>21</v>
      </c>
      <c r="I1437">
        <v>2</v>
      </c>
      <c r="J1437" t="s">
        <v>109</v>
      </c>
      <c r="K1437">
        <v>0</v>
      </c>
      <c r="L1437">
        <v>1</v>
      </c>
      <c r="M1437">
        <v>0</v>
      </c>
      <c r="N1437">
        <v>0</v>
      </c>
      <c r="O1437">
        <v>0</v>
      </c>
      <c r="P1437">
        <v>0</v>
      </c>
      <c r="Q1437" t="s">
        <v>23</v>
      </c>
      <c r="R1437">
        <v>0</v>
      </c>
    </row>
    <row r="1438" spans="1:18">
      <c r="A1438" s="4">
        <v>4522160000000</v>
      </c>
      <c r="B1438" t="s">
        <v>18</v>
      </c>
      <c r="C1438">
        <v>60</v>
      </c>
      <c r="D1438" t="s">
        <v>35</v>
      </c>
      <c r="E1438" t="s">
        <v>105</v>
      </c>
      <c r="F1438" s="1">
        <v>42487</v>
      </c>
      <c r="G1438" s="1">
        <v>42494</v>
      </c>
      <c r="H1438" t="s">
        <v>25</v>
      </c>
      <c r="I1438">
        <v>7</v>
      </c>
      <c r="J1438" t="s">
        <v>107</v>
      </c>
      <c r="K1438">
        <v>1</v>
      </c>
      <c r="L1438">
        <v>1</v>
      </c>
      <c r="M1438">
        <v>0</v>
      </c>
      <c r="N1438">
        <v>0</v>
      </c>
      <c r="O1438">
        <v>0</v>
      </c>
      <c r="P1438">
        <v>1</v>
      </c>
      <c r="Q1438" t="s">
        <v>26</v>
      </c>
      <c r="R1438">
        <v>1</v>
      </c>
    </row>
    <row r="1439" spans="1:18">
      <c r="A1439" s="4">
        <v>534619000000000</v>
      </c>
      <c r="B1439" t="s">
        <v>18</v>
      </c>
      <c r="C1439">
        <v>55</v>
      </c>
      <c r="D1439" t="s">
        <v>35</v>
      </c>
      <c r="E1439" t="s">
        <v>38</v>
      </c>
      <c r="F1439" s="1">
        <v>42487</v>
      </c>
      <c r="G1439" s="1">
        <v>42506</v>
      </c>
      <c r="H1439" t="s">
        <v>30</v>
      </c>
      <c r="I1439">
        <v>19</v>
      </c>
      <c r="J1439" t="s">
        <v>77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0</v>
      </c>
      <c r="Q1439" t="s">
        <v>26</v>
      </c>
      <c r="R1439">
        <v>1</v>
      </c>
    </row>
    <row r="1440" spans="1:18">
      <c r="A1440" s="4">
        <v>24125400000000</v>
      </c>
      <c r="B1440" t="s">
        <v>18</v>
      </c>
      <c r="C1440">
        <v>10</v>
      </c>
      <c r="D1440" t="s">
        <v>31</v>
      </c>
      <c r="E1440" t="s">
        <v>44</v>
      </c>
      <c r="F1440" s="1">
        <v>42487</v>
      </c>
      <c r="G1440" s="1">
        <v>42494</v>
      </c>
      <c r="H1440" t="s">
        <v>25</v>
      </c>
      <c r="I1440">
        <v>7</v>
      </c>
      <c r="J1440" t="s">
        <v>107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</v>
      </c>
      <c r="Q1440" t="s">
        <v>23</v>
      </c>
      <c r="R1440">
        <v>0</v>
      </c>
    </row>
    <row r="1441" spans="1:18">
      <c r="A1441" s="4">
        <v>64422100000000</v>
      </c>
      <c r="B1441" t="s">
        <v>18</v>
      </c>
      <c r="C1441">
        <v>4</v>
      </c>
      <c r="D1441" t="s">
        <v>31</v>
      </c>
      <c r="E1441" t="s">
        <v>72</v>
      </c>
      <c r="F1441" s="1">
        <v>42487</v>
      </c>
      <c r="G1441" s="1">
        <v>42522</v>
      </c>
      <c r="H1441" t="s">
        <v>25</v>
      </c>
      <c r="I1441">
        <v>35</v>
      </c>
      <c r="J1441" t="s">
        <v>22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</v>
      </c>
      <c r="Q1441" t="s">
        <v>23</v>
      </c>
      <c r="R1441">
        <v>0</v>
      </c>
    </row>
    <row r="1442" spans="1:18">
      <c r="A1442" s="4">
        <v>8745780000000</v>
      </c>
      <c r="B1442" t="s">
        <v>28</v>
      </c>
      <c r="C1442">
        <v>6</v>
      </c>
      <c r="D1442" t="s">
        <v>31</v>
      </c>
      <c r="E1442" t="s">
        <v>32</v>
      </c>
      <c r="F1442" s="1">
        <v>42487</v>
      </c>
      <c r="G1442" s="1">
        <v>42508</v>
      </c>
      <c r="H1442" t="s">
        <v>25</v>
      </c>
      <c r="I1442">
        <v>21</v>
      </c>
      <c r="J1442" t="s">
        <v>77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23</v>
      </c>
      <c r="R1442">
        <v>0</v>
      </c>
    </row>
    <row r="1443" spans="1:18">
      <c r="A1443" s="4">
        <v>6178700000000</v>
      </c>
      <c r="B1443" t="s">
        <v>18</v>
      </c>
      <c r="C1443">
        <v>17</v>
      </c>
      <c r="D1443" t="s">
        <v>60</v>
      </c>
      <c r="E1443" t="s">
        <v>55</v>
      </c>
      <c r="F1443" s="1">
        <v>42487</v>
      </c>
      <c r="G1443" s="1">
        <v>42496</v>
      </c>
      <c r="H1443" t="s">
        <v>21</v>
      </c>
      <c r="I1443">
        <v>9</v>
      </c>
      <c r="J1443" t="s">
        <v>92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1</v>
      </c>
      <c r="Q1443" t="s">
        <v>23</v>
      </c>
      <c r="R1443">
        <v>0</v>
      </c>
    </row>
    <row r="1444" spans="1:18">
      <c r="A1444" s="4">
        <v>935524000000000</v>
      </c>
      <c r="B1444" t="s">
        <v>28</v>
      </c>
      <c r="C1444">
        <v>0</v>
      </c>
      <c r="D1444" t="s">
        <v>31</v>
      </c>
      <c r="E1444" t="s">
        <v>50</v>
      </c>
      <c r="F1444" s="1">
        <v>42487</v>
      </c>
      <c r="G1444" s="1">
        <v>42509</v>
      </c>
      <c r="H1444" t="s">
        <v>33</v>
      </c>
      <c r="I1444">
        <v>22</v>
      </c>
      <c r="J1444" t="s">
        <v>77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23</v>
      </c>
      <c r="R1444">
        <v>0</v>
      </c>
    </row>
    <row r="1445" spans="1:18">
      <c r="A1445" s="4">
        <v>61146100000000</v>
      </c>
      <c r="B1445" t="s">
        <v>18</v>
      </c>
      <c r="C1445">
        <v>28</v>
      </c>
      <c r="D1445" t="s">
        <v>37</v>
      </c>
      <c r="E1445" t="s">
        <v>54</v>
      </c>
      <c r="F1445" s="1">
        <v>42487</v>
      </c>
      <c r="G1445" s="1">
        <v>42527</v>
      </c>
      <c r="H1445" t="s">
        <v>30</v>
      </c>
      <c r="I1445">
        <v>40</v>
      </c>
      <c r="J1445" t="s">
        <v>22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23</v>
      </c>
      <c r="R1445">
        <v>0</v>
      </c>
    </row>
    <row r="1446" spans="1:18">
      <c r="A1446" s="4">
        <v>81112000000000</v>
      </c>
      <c r="B1446" t="s">
        <v>18</v>
      </c>
      <c r="C1446">
        <v>18</v>
      </c>
      <c r="D1446" t="s">
        <v>37</v>
      </c>
      <c r="E1446" t="s">
        <v>61</v>
      </c>
      <c r="F1446" s="1">
        <v>42487</v>
      </c>
      <c r="G1446" s="1">
        <v>42506</v>
      </c>
      <c r="H1446" t="s">
        <v>30</v>
      </c>
      <c r="I1446">
        <v>19</v>
      </c>
      <c r="J1446" t="s">
        <v>77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23</v>
      </c>
      <c r="R1446">
        <v>0</v>
      </c>
    </row>
    <row r="1447" spans="1:18">
      <c r="A1447" s="4">
        <v>5924470000000</v>
      </c>
      <c r="B1447" t="s">
        <v>18</v>
      </c>
      <c r="C1447">
        <v>12</v>
      </c>
      <c r="D1447" t="s">
        <v>31</v>
      </c>
      <c r="E1447" t="s">
        <v>49</v>
      </c>
      <c r="F1447" s="1">
        <v>42487</v>
      </c>
      <c r="G1447" s="1">
        <v>42496</v>
      </c>
      <c r="H1447" t="s">
        <v>21</v>
      </c>
      <c r="I1447">
        <v>9</v>
      </c>
      <c r="J1447" t="s">
        <v>92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1</v>
      </c>
      <c r="Q1447" t="s">
        <v>26</v>
      </c>
      <c r="R1447">
        <v>1</v>
      </c>
    </row>
    <row r="1448" spans="1:18">
      <c r="A1448" s="4">
        <v>689658000000000</v>
      </c>
      <c r="B1448" t="s">
        <v>18</v>
      </c>
      <c r="C1448">
        <v>3</v>
      </c>
      <c r="D1448" t="s">
        <v>31</v>
      </c>
      <c r="E1448" t="s">
        <v>29</v>
      </c>
      <c r="F1448" s="1">
        <v>42487</v>
      </c>
      <c r="G1448" s="1">
        <v>42503</v>
      </c>
      <c r="H1448" t="s">
        <v>21</v>
      </c>
      <c r="I1448">
        <v>16</v>
      </c>
      <c r="J1448" t="s">
        <v>77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23</v>
      </c>
      <c r="R1448">
        <v>0</v>
      </c>
    </row>
    <row r="1449" spans="1:18">
      <c r="A1449" s="4">
        <v>5161240000000</v>
      </c>
      <c r="B1449" t="s">
        <v>18</v>
      </c>
      <c r="C1449">
        <v>49</v>
      </c>
      <c r="D1449" t="s">
        <v>27</v>
      </c>
      <c r="E1449" t="s">
        <v>63</v>
      </c>
      <c r="F1449" s="1">
        <v>42487</v>
      </c>
      <c r="G1449" s="1">
        <v>42489</v>
      </c>
      <c r="H1449" t="s">
        <v>21</v>
      </c>
      <c r="I1449">
        <v>2</v>
      </c>
      <c r="J1449" t="s">
        <v>109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23</v>
      </c>
      <c r="R1449">
        <v>0</v>
      </c>
    </row>
    <row r="1450" spans="1:18">
      <c r="A1450" s="4">
        <v>18789576488</v>
      </c>
      <c r="B1450" t="s">
        <v>18</v>
      </c>
      <c r="C1450">
        <v>58</v>
      </c>
      <c r="D1450" t="s">
        <v>35</v>
      </c>
      <c r="E1450" t="s">
        <v>54</v>
      </c>
      <c r="F1450" s="1">
        <v>42487</v>
      </c>
      <c r="G1450" s="1">
        <v>42522</v>
      </c>
      <c r="H1450" t="s">
        <v>25</v>
      </c>
      <c r="I1450">
        <v>35</v>
      </c>
      <c r="J1450" t="s">
        <v>22</v>
      </c>
      <c r="K1450">
        <v>1</v>
      </c>
      <c r="L1450">
        <v>0</v>
      </c>
      <c r="M1450">
        <v>0</v>
      </c>
      <c r="N1450">
        <v>1</v>
      </c>
      <c r="O1450">
        <v>0</v>
      </c>
      <c r="P1450">
        <v>1</v>
      </c>
      <c r="Q1450" t="s">
        <v>26</v>
      </c>
      <c r="R1450">
        <v>1</v>
      </c>
    </row>
    <row r="1451" spans="1:18">
      <c r="A1451" s="4">
        <v>784127000000000</v>
      </c>
      <c r="B1451" t="s">
        <v>18</v>
      </c>
      <c r="C1451">
        <v>24</v>
      </c>
      <c r="D1451" t="s">
        <v>37</v>
      </c>
      <c r="E1451" t="s">
        <v>32</v>
      </c>
      <c r="F1451" s="1">
        <v>42487</v>
      </c>
      <c r="G1451" s="1">
        <v>42515</v>
      </c>
      <c r="H1451" t="s">
        <v>25</v>
      </c>
      <c r="I1451">
        <v>28</v>
      </c>
      <c r="J1451" t="s">
        <v>77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1</v>
      </c>
      <c r="Q1451" t="s">
        <v>23</v>
      </c>
      <c r="R1451">
        <v>0</v>
      </c>
    </row>
    <row r="1452" spans="1:18">
      <c r="A1452" s="4">
        <v>8518970000000</v>
      </c>
      <c r="B1452" t="s">
        <v>18</v>
      </c>
      <c r="C1452">
        <v>10</v>
      </c>
      <c r="D1452" t="s">
        <v>31</v>
      </c>
      <c r="E1452" t="s">
        <v>105</v>
      </c>
      <c r="F1452" s="1">
        <v>42487</v>
      </c>
      <c r="G1452" s="1">
        <v>42506</v>
      </c>
      <c r="H1452" t="s">
        <v>30</v>
      </c>
      <c r="I1452">
        <v>19</v>
      </c>
      <c r="J1452" t="s">
        <v>77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23</v>
      </c>
      <c r="R1452">
        <v>0</v>
      </c>
    </row>
    <row r="1453" spans="1:18">
      <c r="A1453" s="4">
        <v>41215200000000</v>
      </c>
      <c r="B1453" t="s">
        <v>28</v>
      </c>
      <c r="C1453">
        <v>41</v>
      </c>
      <c r="D1453" t="s">
        <v>27</v>
      </c>
      <c r="E1453" t="s">
        <v>50</v>
      </c>
      <c r="F1453" s="1">
        <v>42487</v>
      </c>
      <c r="G1453" s="1">
        <v>42493</v>
      </c>
      <c r="H1453" t="s">
        <v>41</v>
      </c>
      <c r="I1453">
        <v>6</v>
      </c>
      <c r="J1453" t="s">
        <v>107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1</v>
      </c>
      <c r="Q1453" t="s">
        <v>23</v>
      </c>
      <c r="R1453">
        <v>0</v>
      </c>
    </row>
    <row r="1454" spans="1:18">
      <c r="A1454" s="4">
        <v>667475000000</v>
      </c>
      <c r="B1454" t="s">
        <v>28</v>
      </c>
      <c r="C1454">
        <v>64</v>
      </c>
      <c r="D1454" t="s">
        <v>35</v>
      </c>
      <c r="E1454" t="s">
        <v>39</v>
      </c>
      <c r="F1454" s="1">
        <v>42487</v>
      </c>
      <c r="G1454" s="1">
        <v>42489</v>
      </c>
      <c r="H1454" t="s">
        <v>21</v>
      </c>
      <c r="I1454">
        <v>2</v>
      </c>
      <c r="J1454" t="s">
        <v>109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23</v>
      </c>
      <c r="R1454">
        <v>0</v>
      </c>
    </row>
    <row r="1455" spans="1:18">
      <c r="A1455" s="4">
        <v>61729200000000</v>
      </c>
      <c r="B1455" t="s">
        <v>18</v>
      </c>
      <c r="C1455">
        <v>49</v>
      </c>
      <c r="D1455" t="s">
        <v>27</v>
      </c>
      <c r="E1455" t="s">
        <v>79</v>
      </c>
      <c r="F1455" s="1">
        <v>42487</v>
      </c>
      <c r="G1455" s="1">
        <v>42501</v>
      </c>
      <c r="H1455" t="s">
        <v>25</v>
      </c>
      <c r="I1455">
        <v>14</v>
      </c>
      <c r="J1455" t="s">
        <v>92</v>
      </c>
      <c r="K1455">
        <v>0</v>
      </c>
      <c r="L1455">
        <v>1</v>
      </c>
      <c r="M1455">
        <v>0</v>
      </c>
      <c r="N1455">
        <v>0</v>
      </c>
      <c r="O1455">
        <v>0</v>
      </c>
      <c r="P1455">
        <v>1</v>
      </c>
      <c r="Q1455" t="s">
        <v>23</v>
      </c>
      <c r="R1455">
        <v>0</v>
      </c>
    </row>
    <row r="1456" spans="1:18">
      <c r="A1456" s="4">
        <v>8731390000000</v>
      </c>
      <c r="B1456" t="s">
        <v>18</v>
      </c>
      <c r="C1456">
        <v>32</v>
      </c>
      <c r="D1456" t="s">
        <v>37</v>
      </c>
      <c r="E1456" t="s">
        <v>34</v>
      </c>
      <c r="F1456" s="1">
        <v>42487</v>
      </c>
      <c r="G1456" s="1">
        <v>42515</v>
      </c>
      <c r="H1456" t="s">
        <v>25</v>
      </c>
      <c r="I1456">
        <v>28</v>
      </c>
      <c r="J1456" t="s">
        <v>77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1</v>
      </c>
      <c r="Q1456" t="s">
        <v>23</v>
      </c>
      <c r="R1456">
        <v>0</v>
      </c>
    </row>
    <row r="1457" spans="1:18">
      <c r="A1457" s="4">
        <v>21666600000000</v>
      </c>
      <c r="B1457" t="s">
        <v>18</v>
      </c>
      <c r="C1457">
        <v>45</v>
      </c>
      <c r="D1457" t="s">
        <v>27</v>
      </c>
      <c r="E1457" t="s">
        <v>50</v>
      </c>
      <c r="F1457" s="1">
        <v>42487</v>
      </c>
      <c r="G1457" s="1">
        <v>42520</v>
      </c>
      <c r="H1457" t="s">
        <v>30</v>
      </c>
      <c r="I1457">
        <v>33</v>
      </c>
      <c r="J1457" t="s">
        <v>22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23</v>
      </c>
      <c r="R1457">
        <v>0</v>
      </c>
    </row>
    <row r="1458" spans="1:18">
      <c r="A1458" s="4">
        <v>715427000000000</v>
      </c>
      <c r="B1458" t="s">
        <v>28</v>
      </c>
      <c r="C1458">
        <v>52</v>
      </c>
      <c r="D1458" t="s">
        <v>35</v>
      </c>
      <c r="E1458" t="s">
        <v>72</v>
      </c>
      <c r="F1458" s="1">
        <v>42487</v>
      </c>
      <c r="G1458" s="1">
        <v>42510</v>
      </c>
      <c r="H1458" t="s">
        <v>21</v>
      </c>
      <c r="I1458">
        <v>23</v>
      </c>
      <c r="J1458" t="s">
        <v>77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26</v>
      </c>
      <c r="R1458">
        <v>1</v>
      </c>
    </row>
    <row r="1459" spans="1:18">
      <c r="A1459" s="4">
        <v>9688650000000</v>
      </c>
      <c r="B1459" t="s">
        <v>18</v>
      </c>
      <c r="C1459">
        <v>21</v>
      </c>
      <c r="D1459" t="s">
        <v>37</v>
      </c>
      <c r="E1459" t="s">
        <v>69</v>
      </c>
      <c r="F1459" s="1">
        <v>42487</v>
      </c>
      <c r="G1459" s="1">
        <v>42506</v>
      </c>
      <c r="H1459" t="s">
        <v>30</v>
      </c>
      <c r="I1459">
        <v>19</v>
      </c>
      <c r="J1459" t="s">
        <v>77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23</v>
      </c>
      <c r="R1459">
        <v>0</v>
      </c>
    </row>
    <row r="1460" spans="1:18">
      <c r="A1460" s="4">
        <v>3389930000000</v>
      </c>
      <c r="B1460" t="s">
        <v>18</v>
      </c>
      <c r="C1460">
        <v>59</v>
      </c>
      <c r="D1460" t="s">
        <v>35</v>
      </c>
      <c r="E1460" t="s">
        <v>87</v>
      </c>
      <c r="F1460" s="1">
        <v>42487</v>
      </c>
      <c r="G1460" s="1">
        <v>42501</v>
      </c>
      <c r="H1460" t="s">
        <v>25</v>
      </c>
      <c r="I1460">
        <v>14</v>
      </c>
      <c r="J1460" t="s">
        <v>92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23</v>
      </c>
      <c r="R1460">
        <v>0</v>
      </c>
    </row>
    <row r="1461" spans="1:18">
      <c r="A1461" s="4">
        <v>74439600000000</v>
      </c>
      <c r="B1461" t="s">
        <v>18</v>
      </c>
      <c r="C1461">
        <v>5</v>
      </c>
      <c r="D1461" t="s">
        <v>31</v>
      </c>
      <c r="E1461" t="s">
        <v>65</v>
      </c>
      <c r="F1461" s="1">
        <v>42487</v>
      </c>
      <c r="G1461" s="1">
        <v>42514</v>
      </c>
      <c r="H1461" t="s">
        <v>41</v>
      </c>
      <c r="I1461">
        <v>27</v>
      </c>
      <c r="J1461" t="s">
        <v>77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1</v>
      </c>
      <c r="Q1461" t="s">
        <v>23</v>
      </c>
      <c r="R1461">
        <v>0</v>
      </c>
    </row>
    <row r="1462" spans="1:18">
      <c r="A1462" s="4">
        <v>966264000000000</v>
      </c>
      <c r="B1462" t="s">
        <v>18</v>
      </c>
      <c r="C1462">
        <v>16</v>
      </c>
      <c r="D1462" t="s">
        <v>60</v>
      </c>
      <c r="E1462" t="s">
        <v>32</v>
      </c>
      <c r="F1462" s="1">
        <v>42487</v>
      </c>
      <c r="G1462" s="1">
        <v>42496</v>
      </c>
      <c r="H1462" t="s">
        <v>21</v>
      </c>
      <c r="I1462">
        <v>9</v>
      </c>
      <c r="J1462" t="s">
        <v>92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1</v>
      </c>
      <c r="Q1462" t="s">
        <v>26</v>
      </c>
      <c r="R1462">
        <v>1</v>
      </c>
    </row>
    <row r="1463" spans="1:18">
      <c r="A1463" s="4">
        <v>385329000000000</v>
      </c>
      <c r="B1463" t="s">
        <v>18</v>
      </c>
      <c r="C1463">
        <v>43</v>
      </c>
      <c r="D1463" t="s">
        <v>27</v>
      </c>
      <c r="E1463" t="s">
        <v>47</v>
      </c>
      <c r="F1463" s="1">
        <v>42487</v>
      </c>
      <c r="G1463" s="1">
        <v>42492</v>
      </c>
      <c r="H1463" t="s">
        <v>30</v>
      </c>
      <c r="I1463">
        <v>5</v>
      </c>
      <c r="J1463" t="s">
        <v>107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1</v>
      </c>
      <c r="Q1463" t="s">
        <v>23</v>
      </c>
      <c r="R1463">
        <v>0</v>
      </c>
    </row>
    <row r="1464" spans="1:18">
      <c r="A1464" s="4">
        <v>8698620000000</v>
      </c>
      <c r="B1464" t="s">
        <v>28</v>
      </c>
      <c r="C1464">
        <v>52</v>
      </c>
      <c r="D1464" t="s">
        <v>35</v>
      </c>
      <c r="E1464" t="s">
        <v>59</v>
      </c>
      <c r="F1464" s="1">
        <v>42487</v>
      </c>
      <c r="G1464" s="1">
        <v>42493</v>
      </c>
      <c r="H1464" t="s">
        <v>41</v>
      </c>
      <c r="I1464">
        <v>6</v>
      </c>
      <c r="J1464" t="s">
        <v>107</v>
      </c>
      <c r="K1464">
        <v>0</v>
      </c>
      <c r="L1464">
        <v>1</v>
      </c>
      <c r="M1464">
        <v>0</v>
      </c>
      <c r="N1464">
        <v>0</v>
      </c>
      <c r="O1464">
        <v>0</v>
      </c>
      <c r="P1464">
        <v>1</v>
      </c>
      <c r="Q1464" t="s">
        <v>23</v>
      </c>
      <c r="R1464">
        <v>0</v>
      </c>
    </row>
    <row r="1465" spans="1:18">
      <c r="A1465" s="4">
        <v>3674530000000</v>
      </c>
      <c r="B1465" t="s">
        <v>28</v>
      </c>
      <c r="C1465">
        <v>41</v>
      </c>
      <c r="D1465" t="s">
        <v>27</v>
      </c>
      <c r="E1465" t="s">
        <v>75</v>
      </c>
      <c r="F1465" s="1">
        <v>42487</v>
      </c>
      <c r="G1465" s="1">
        <v>42493</v>
      </c>
      <c r="H1465" t="s">
        <v>41</v>
      </c>
      <c r="I1465">
        <v>6</v>
      </c>
      <c r="J1465" t="s">
        <v>107</v>
      </c>
      <c r="K1465">
        <v>0</v>
      </c>
      <c r="L1465">
        <v>0</v>
      </c>
      <c r="M1465">
        <v>1</v>
      </c>
      <c r="N1465">
        <v>0</v>
      </c>
      <c r="O1465">
        <v>0</v>
      </c>
      <c r="P1465">
        <v>1</v>
      </c>
      <c r="Q1465" t="s">
        <v>23</v>
      </c>
      <c r="R1465">
        <v>0</v>
      </c>
    </row>
    <row r="1466" spans="1:18">
      <c r="A1466" s="4">
        <v>44532700000000</v>
      </c>
      <c r="B1466" t="s">
        <v>18</v>
      </c>
      <c r="C1466">
        <v>20</v>
      </c>
      <c r="D1466" t="s">
        <v>37</v>
      </c>
      <c r="E1466" t="s">
        <v>58</v>
      </c>
      <c r="F1466" s="1">
        <v>42487</v>
      </c>
      <c r="G1466" s="1">
        <v>42515</v>
      </c>
      <c r="H1466" t="s">
        <v>25</v>
      </c>
      <c r="I1466">
        <v>28</v>
      </c>
      <c r="J1466" t="s">
        <v>77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1</v>
      </c>
      <c r="Q1466" t="s">
        <v>26</v>
      </c>
      <c r="R1466">
        <v>1</v>
      </c>
    </row>
    <row r="1467" spans="1:18">
      <c r="A1467" s="4">
        <v>76598300000000</v>
      </c>
      <c r="B1467" t="s">
        <v>18</v>
      </c>
      <c r="C1467">
        <v>25</v>
      </c>
      <c r="D1467" t="s">
        <v>37</v>
      </c>
      <c r="E1467" t="s">
        <v>106</v>
      </c>
      <c r="F1467" s="1">
        <v>42487</v>
      </c>
      <c r="G1467" s="1">
        <v>42507</v>
      </c>
      <c r="H1467" t="s">
        <v>41</v>
      </c>
      <c r="I1467">
        <v>20</v>
      </c>
      <c r="J1467" t="s">
        <v>77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23</v>
      </c>
      <c r="R1467">
        <v>0</v>
      </c>
    </row>
    <row r="1468" spans="1:18">
      <c r="A1468" s="4">
        <v>338818000000</v>
      </c>
      <c r="B1468" t="s">
        <v>28</v>
      </c>
      <c r="C1468">
        <v>69</v>
      </c>
      <c r="D1468" t="s">
        <v>19</v>
      </c>
      <c r="E1468" t="s">
        <v>75</v>
      </c>
      <c r="F1468" s="1">
        <v>42487</v>
      </c>
      <c r="G1468" s="1">
        <v>42489</v>
      </c>
      <c r="H1468" t="s">
        <v>21</v>
      </c>
      <c r="I1468">
        <v>2</v>
      </c>
      <c r="J1468" t="s">
        <v>109</v>
      </c>
      <c r="K1468">
        <v>0</v>
      </c>
      <c r="L1468">
        <v>1</v>
      </c>
      <c r="M1468">
        <v>1</v>
      </c>
      <c r="N1468">
        <v>0</v>
      </c>
      <c r="O1468">
        <v>0</v>
      </c>
      <c r="P1468">
        <v>0</v>
      </c>
      <c r="Q1468" t="s">
        <v>23</v>
      </c>
      <c r="R1468">
        <v>0</v>
      </c>
    </row>
    <row r="1469" spans="1:18">
      <c r="A1469" s="4">
        <v>7269130000000</v>
      </c>
      <c r="B1469" t="s">
        <v>18</v>
      </c>
      <c r="C1469">
        <v>39</v>
      </c>
      <c r="D1469" t="s">
        <v>27</v>
      </c>
      <c r="E1469" t="s">
        <v>66</v>
      </c>
      <c r="F1469" s="1">
        <v>42487</v>
      </c>
      <c r="G1469" s="1">
        <v>42489</v>
      </c>
      <c r="H1469" t="s">
        <v>21</v>
      </c>
      <c r="I1469">
        <v>2</v>
      </c>
      <c r="J1469" t="s">
        <v>109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26</v>
      </c>
      <c r="R1469">
        <v>1</v>
      </c>
    </row>
    <row r="1470" spans="1:18">
      <c r="A1470" s="4">
        <v>299000000000000</v>
      </c>
      <c r="B1470" t="s">
        <v>18</v>
      </c>
      <c r="C1470">
        <v>11</v>
      </c>
      <c r="D1470" t="s">
        <v>31</v>
      </c>
      <c r="E1470" t="s">
        <v>69</v>
      </c>
      <c r="F1470" s="1">
        <v>42487</v>
      </c>
      <c r="G1470" s="1">
        <v>42509</v>
      </c>
      <c r="H1470" t="s">
        <v>33</v>
      </c>
      <c r="I1470">
        <v>22</v>
      </c>
      <c r="J1470" t="s">
        <v>77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23</v>
      </c>
      <c r="R1470">
        <v>0</v>
      </c>
    </row>
    <row r="1471" spans="1:18">
      <c r="A1471" s="4">
        <v>58231100000000</v>
      </c>
      <c r="B1471" t="s">
        <v>18</v>
      </c>
      <c r="C1471">
        <v>34</v>
      </c>
      <c r="D1471" t="s">
        <v>37</v>
      </c>
      <c r="E1471" t="s">
        <v>61</v>
      </c>
      <c r="F1471" s="1">
        <v>42487</v>
      </c>
      <c r="G1471" s="1">
        <v>42501</v>
      </c>
      <c r="H1471" t="s">
        <v>25</v>
      </c>
      <c r="I1471">
        <v>14</v>
      </c>
      <c r="J1471" t="s">
        <v>92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1</v>
      </c>
      <c r="Q1471" t="s">
        <v>26</v>
      </c>
      <c r="R1471">
        <v>1</v>
      </c>
    </row>
    <row r="1472" spans="1:18">
      <c r="A1472" s="4">
        <v>572426000000</v>
      </c>
      <c r="B1472" t="s">
        <v>28</v>
      </c>
      <c r="C1472">
        <v>62</v>
      </c>
      <c r="D1472" t="s">
        <v>35</v>
      </c>
      <c r="E1472" t="s">
        <v>20</v>
      </c>
      <c r="F1472" s="1">
        <v>42487</v>
      </c>
      <c r="G1472" s="1">
        <v>42489</v>
      </c>
      <c r="H1472" t="s">
        <v>21</v>
      </c>
      <c r="I1472">
        <v>2</v>
      </c>
      <c r="J1472" t="s">
        <v>109</v>
      </c>
      <c r="K1472">
        <v>0</v>
      </c>
      <c r="L1472">
        <v>1</v>
      </c>
      <c r="M1472">
        <v>0</v>
      </c>
      <c r="N1472">
        <v>0</v>
      </c>
      <c r="O1472">
        <v>0</v>
      </c>
      <c r="P1472">
        <v>0</v>
      </c>
      <c r="Q1472" t="s">
        <v>23</v>
      </c>
      <c r="R1472">
        <v>0</v>
      </c>
    </row>
    <row r="1473" spans="1:18">
      <c r="A1473" s="4">
        <v>87247700000000</v>
      </c>
      <c r="B1473" t="s">
        <v>18</v>
      </c>
      <c r="C1473">
        <v>25</v>
      </c>
      <c r="D1473" t="s">
        <v>37</v>
      </c>
      <c r="E1473" t="s">
        <v>47</v>
      </c>
      <c r="F1473" s="1">
        <v>42487</v>
      </c>
      <c r="G1473" s="1">
        <v>42492</v>
      </c>
      <c r="H1473" t="s">
        <v>30</v>
      </c>
      <c r="I1473">
        <v>5</v>
      </c>
      <c r="J1473" t="s">
        <v>107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1</v>
      </c>
      <c r="Q1473" t="s">
        <v>23</v>
      </c>
      <c r="R1473">
        <v>0</v>
      </c>
    </row>
    <row r="1474" spans="1:18">
      <c r="A1474" s="4">
        <v>412145000000</v>
      </c>
      <c r="B1474" t="s">
        <v>18</v>
      </c>
      <c r="C1474">
        <v>36</v>
      </c>
      <c r="D1474" t="s">
        <v>27</v>
      </c>
      <c r="E1474" t="s">
        <v>29</v>
      </c>
      <c r="F1474" s="1">
        <v>42487</v>
      </c>
      <c r="G1474" s="1">
        <v>42499</v>
      </c>
      <c r="H1474" t="s">
        <v>30</v>
      </c>
      <c r="I1474">
        <v>12</v>
      </c>
      <c r="J1474" t="s">
        <v>92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23</v>
      </c>
      <c r="R1474">
        <v>0</v>
      </c>
    </row>
    <row r="1475" spans="1:18">
      <c r="A1475" s="4">
        <v>412145000000</v>
      </c>
      <c r="B1475" t="s">
        <v>18</v>
      </c>
      <c r="C1475">
        <v>37</v>
      </c>
      <c r="D1475" t="s">
        <v>27</v>
      </c>
      <c r="E1475" t="s">
        <v>29</v>
      </c>
      <c r="F1475" s="1">
        <v>42487</v>
      </c>
      <c r="G1475" s="1">
        <v>42507</v>
      </c>
      <c r="H1475" t="s">
        <v>41</v>
      </c>
      <c r="I1475">
        <v>20</v>
      </c>
      <c r="J1475" t="s">
        <v>77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23</v>
      </c>
      <c r="R1475">
        <v>0</v>
      </c>
    </row>
    <row r="1476" spans="1:18">
      <c r="A1476" s="4">
        <v>554463000000000</v>
      </c>
      <c r="B1476" t="s">
        <v>18</v>
      </c>
      <c r="C1476">
        <v>15</v>
      </c>
      <c r="D1476" t="s">
        <v>60</v>
      </c>
      <c r="E1476" t="s">
        <v>61</v>
      </c>
      <c r="F1476" s="1">
        <v>42487</v>
      </c>
      <c r="G1476" s="1">
        <v>42508</v>
      </c>
      <c r="H1476" t="s">
        <v>25</v>
      </c>
      <c r="I1476">
        <v>21</v>
      </c>
      <c r="J1476" t="s">
        <v>77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26</v>
      </c>
      <c r="R1476">
        <v>1</v>
      </c>
    </row>
    <row r="1477" spans="1:18">
      <c r="A1477" s="4">
        <v>79347781684</v>
      </c>
      <c r="B1477" t="s">
        <v>18</v>
      </c>
      <c r="C1477">
        <v>63</v>
      </c>
      <c r="D1477" t="s">
        <v>35</v>
      </c>
      <c r="E1477" t="s">
        <v>59</v>
      </c>
      <c r="F1477" s="1">
        <v>42487</v>
      </c>
      <c r="G1477" s="1">
        <v>42489</v>
      </c>
      <c r="H1477" t="s">
        <v>21</v>
      </c>
      <c r="I1477">
        <v>2</v>
      </c>
      <c r="J1477" t="s">
        <v>109</v>
      </c>
      <c r="K1477">
        <v>0</v>
      </c>
      <c r="L1477">
        <v>1</v>
      </c>
      <c r="M1477">
        <v>0</v>
      </c>
      <c r="N1477">
        <v>0</v>
      </c>
      <c r="O1477">
        <v>0</v>
      </c>
      <c r="P1477">
        <v>0</v>
      </c>
      <c r="Q1477" t="s">
        <v>23</v>
      </c>
      <c r="R1477">
        <v>0</v>
      </c>
    </row>
    <row r="1478" spans="1:18">
      <c r="A1478" s="4">
        <v>293398000000000</v>
      </c>
      <c r="B1478" t="s">
        <v>28</v>
      </c>
      <c r="C1478">
        <v>36</v>
      </c>
      <c r="D1478" t="s">
        <v>27</v>
      </c>
      <c r="E1478" t="s">
        <v>75</v>
      </c>
      <c r="F1478" s="1">
        <v>42487</v>
      </c>
      <c r="G1478" s="1">
        <v>42492</v>
      </c>
      <c r="H1478" t="s">
        <v>30</v>
      </c>
      <c r="I1478">
        <v>5</v>
      </c>
      <c r="J1478" t="s">
        <v>107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</v>
      </c>
      <c r="Q1478" t="s">
        <v>23</v>
      </c>
      <c r="R1478">
        <v>0</v>
      </c>
    </row>
    <row r="1479" spans="1:18">
      <c r="A1479" s="4">
        <v>3169280000000</v>
      </c>
      <c r="B1479" t="s">
        <v>28</v>
      </c>
      <c r="C1479">
        <v>66</v>
      </c>
      <c r="D1479" t="s">
        <v>19</v>
      </c>
      <c r="E1479" t="s">
        <v>44</v>
      </c>
      <c r="F1479" s="1">
        <v>42487</v>
      </c>
      <c r="G1479" s="1">
        <v>42492</v>
      </c>
      <c r="H1479" t="s">
        <v>30</v>
      </c>
      <c r="I1479">
        <v>5</v>
      </c>
      <c r="J1479" t="s">
        <v>107</v>
      </c>
      <c r="K1479">
        <v>0</v>
      </c>
      <c r="L1479">
        <v>1</v>
      </c>
      <c r="M1479">
        <v>1</v>
      </c>
      <c r="N1479">
        <v>0</v>
      </c>
      <c r="O1479">
        <v>0</v>
      </c>
      <c r="P1479">
        <v>0</v>
      </c>
      <c r="Q1479" t="s">
        <v>23</v>
      </c>
      <c r="R1479">
        <v>0</v>
      </c>
    </row>
    <row r="1480" spans="1:18">
      <c r="A1480" s="4">
        <v>51658900000000</v>
      </c>
      <c r="B1480" t="s">
        <v>28</v>
      </c>
      <c r="C1480">
        <v>7</v>
      </c>
      <c r="D1480" t="s">
        <v>31</v>
      </c>
      <c r="E1480" t="s">
        <v>36</v>
      </c>
      <c r="F1480" s="1">
        <v>42487</v>
      </c>
      <c r="G1480" s="1">
        <v>42499</v>
      </c>
      <c r="H1480" t="s">
        <v>30</v>
      </c>
      <c r="I1480">
        <v>12</v>
      </c>
      <c r="J1480" t="s">
        <v>92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26</v>
      </c>
      <c r="R1480">
        <v>1</v>
      </c>
    </row>
    <row r="1481" spans="1:18">
      <c r="A1481" s="4">
        <v>9777930000000</v>
      </c>
      <c r="B1481" t="s">
        <v>18</v>
      </c>
      <c r="C1481">
        <v>32</v>
      </c>
      <c r="D1481" t="s">
        <v>37</v>
      </c>
      <c r="E1481" t="s">
        <v>98</v>
      </c>
      <c r="F1481" s="1">
        <v>42487</v>
      </c>
      <c r="G1481" s="1">
        <v>42503</v>
      </c>
      <c r="H1481" t="s">
        <v>21</v>
      </c>
      <c r="I1481">
        <v>16</v>
      </c>
      <c r="J1481" t="s">
        <v>77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23</v>
      </c>
      <c r="R1481">
        <v>0</v>
      </c>
    </row>
    <row r="1482" spans="1:18">
      <c r="A1482" s="4">
        <v>149946000000000</v>
      </c>
      <c r="B1482" t="s">
        <v>18</v>
      </c>
      <c r="C1482">
        <v>67</v>
      </c>
      <c r="D1482" t="s">
        <v>19</v>
      </c>
      <c r="E1482" t="s">
        <v>67</v>
      </c>
      <c r="F1482" s="1">
        <v>42487</v>
      </c>
      <c r="G1482" s="1">
        <v>42503</v>
      </c>
      <c r="H1482" t="s">
        <v>21</v>
      </c>
      <c r="I1482">
        <v>16</v>
      </c>
      <c r="J1482" t="s">
        <v>77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26</v>
      </c>
      <c r="R1482">
        <v>1</v>
      </c>
    </row>
    <row r="1483" spans="1:18">
      <c r="A1483" s="4">
        <v>979313000000000</v>
      </c>
      <c r="B1483" t="s">
        <v>18</v>
      </c>
      <c r="C1483">
        <v>69</v>
      </c>
      <c r="D1483" t="s">
        <v>19</v>
      </c>
      <c r="E1483" t="s">
        <v>75</v>
      </c>
      <c r="F1483" s="1">
        <v>42487</v>
      </c>
      <c r="G1483" s="1">
        <v>42501</v>
      </c>
      <c r="H1483" t="s">
        <v>25</v>
      </c>
      <c r="I1483">
        <v>14</v>
      </c>
      <c r="J1483" t="s">
        <v>92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1</v>
      </c>
      <c r="Q1483" t="s">
        <v>23</v>
      </c>
      <c r="R1483">
        <v>0</v>
      </c>
    </row>
    <row r="1484" spans="1:18">
      <c r="A1484" s="4">
        <v>8499270000000</v>
      </c>
      <c r="B1484" t="s">
        <v>18</v>
      </c>
      <c r="C1484">
        <v>7</v>
      </c>
      <c r="D1484" t="s">
        <v>31</v>
      </c>
      <c r="E1484" t="s">
        <v>38</v>
      </c>
      <c r="F1484" s="1">
        <v>42487</v>
      </c>
      <c r="G1484" s="1">
        <v>42493</v>
      </c>
      <c r="H1484" t="s">
        <v>41</v>
      </c>
      <c r="I1484">
        <v>6</v>
      </c>
      <c r="J1484" t="s">
        <v>107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</v>
      </c>
      <c r="Q1484" t="s">
        <v>26</v>
      </c>
      <c r="R1484">
        <v>1</v>
      </c>
    </row>
    <row r="1485" spans="1:18">
      <c r="A1485" s="4">
        <v>37378800000000</v>
      </c>
      <c r="B1485" t="s">
        <v>18</v>
      </c>
      <c r="C1485">
        <v>51</v>
      </c>
      <c r="D1485" t="s">
        <v>35</v>
      </c>
      <c r="E1485" t="s">
        <v>71</v>
      </c>
      <c r="F1485" s="1">
        <v>42487</v>
      </c>
      <c r="G1485" s="1">
        <v>42495</v>
      </c>
      <c r="H1485" t="s">
        <v>33</v>
      </c>
      <c r="I1485">
        <v>8</v>
      </c>
      <c r="J1485" t="s">
        <v>92</v>
      </c>
      <c r="K1485">
        <v>0</v>
      </c>
      <c r="L1485">
        <v>1</v>
      </c>
      <c r="M1485">
        <v>1</v>
      </c>
      <c r="N1485">
        <v>0</v>
      </c>
      <c r="O1485">
        <v>1</v>
      </c>
      <c r="P1485">
        <v>1</v>
      </c>
      <c r="Q1485" t="s">
        <v>23</v>
      </c>
      <c r="R1485">
        <v>0</v>
      </c>
    </row>
    <row r="1486" spans="1:18">
      <c r="A1486" s="4">
        <v>68827700000000</v>
      </c>
      <c r="B1486" t="s">
        <v>18</v>
      </c>
      <c r="C1486">
        <v>57</v>
      </c>
      <c r="D1486" t="s">
        <v>35</v>
      </c>
      <c r="E1486" t="s">
        <v>82</v>
      </c>
      <c r="F1486" s="1">
        <v>42487</v>
      </c>
      <c r="G1486" s="1">
        <v>42515</v>
      </c>
      <c r="H1486" t="s">
        <v>25</v>
      </c>
      <c r="I1486">
        <v>28</v>
      </c>
      <c r="J1486" t="s">
        <v>77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1</v>
      </c>
      <c r="Q1486" t="s">
        <v>23</v>
      </c>
      <c r="R1486">
        <v>0</v>
      </c>
    </row>
    <row r="1487" spans="1:18">
      <c r="A1487" s="4">
        <v>84324300000000</v>
      </c>
      <c r="B1487" t="s">
        <v>18</v>
      </c>
      <c r="C1487">
        <v>28</v>
      </c>
      <c r="D1487" t="s">
        <v>37</v>
      </c>
      <c r="E1487" t="s">
        <v>72</v>
      </c>
      <c r="F1487" s="1">
        <v>42487</v>
      </c>
      <c r="G1487" s="1">
        <v>42523</v>
      </c>
      <c r="H1487" t="s">
        <v>33</v>
      </c>
      <c r="I1487">
        <v>36</v>
      </c>
      <c r="J1487" t="s">
        <v>22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23</v>
      </c>
      <c r="R1487">
        <v>0</v>
      </c>
    </row>
    <row r="1488" spans="1:18">
      <c r="A1488" s="4">
        <v>616671000000</v>
      </c>
      <c r="B1488" t="s">
        <v>18</v>
      </c>
      <c r="C1488">
        <v>58</v>
      </c>
      <c r="D1488" t="s">
        <v>35</v>
      </c>
      <c r="E1488" t="s">
        <v>29</v>
      </c>
      <c r="F1488" s="1">
        <v>42487</v>
      </c>
      <c r="G1488" s="1">
        <v>42507</v>
      </c>
      <c r="H1488" t="s">
        <v>41</v>
      </c>
      <c r="I1488">
        <v>20</v>
      </c>
      <c r="J1488" t="s">
        <v>77</v>
      </c>
      <c r="K1488">
        <v>0</v>
      </c>
      <c r="L1488">
        <v>1</v>
      </c>
      <c r="M1488">
        <v>0</v>
      </c>
      <c r="N1488">
        <v>0</v>
      </c>
      <c r="O1488">
        <v>0</v>
      </c>
      <c r="P1488">
        <v>0</v>
      </c>
      <c r="Q1488" t="s">
        <v>23</v>
      </c>
      <c r="R1488">
        <v>0</v>
      </c>
    </row>
    <row r="1489" spans="1:18">
      <c r="A1489" s="4">
        <v>846634000000000</v>
      </c>
      <c r="B1489" t="s">
        <v>28</v>
      </c>
      <c r="C1489">
        <v>0</v>
      </c>
      <c r="D1489" t="s">
        <v>31</v>
      </c>
      <c r="E1489" t="s">
        <v>44</v>
      </c>
      <c r="F1489" s="1">
        <v>42487</v>
      </c>
      <c r="G1489" s="1">
        <v>42495</v>
      </c>
      <c r="H1489" t="s">
        <v>33</v>
      </c>
      <c r="I1489">
        <v>8</v>
      </c>
      <c r="J1489" t="s">
        <v>92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23</v>
      </c>
      <c r="R1489">
        <v>0</v>
      </c>
    </row>
    <row r="1490" spans="1:18">
      <c r="A1490" s="4">
        <v>64455100000000</v>
      </c>
      <c r="B1490" t="s">
        <v>18</v>
      </c>
      <c r="C1490">
        <v>37</v>
      </c>
      <c r="D1490" t="s">
        <v>27</v>
      </c>
      <c r="E1490" t="s">
        <v>85</v>
      </c>
      <c r="F1490" s="1">
        <v>42487</v>
      </c>
      <c r="G1490" s="1">
        <v>42503</v>
      </c>
      <c r="H1490" t="s">
        <v>21</v>
      </c>
      <c r="I1490">
        <v>16</v>
      </c>
      <c r="J1490" t="s">
        <v>77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26</v>
      </c>
      <c r="R1490">
        <v>1</v>
      </c>
    </row>
    <row r="1491" spans="1:18">
      <c r="A1491" s="4">
        <v>93745500000000</v>
      </c>
      <c r="B1491" t="s">
        <v>28</v>
      </c>
      <c r="C1491">
        <v>36</v>
      </c>
      <c r="D1491" t="s">
        <v>27</v>
      </c>
      <c r="E1491" t="s">
        <v>67</v>
      </c>
      <c r="F1491" s="1">
        <v>42487</v>
      </c>
      <c r="G1491" s="1">
        <v>42489</v>
      </c>
      <c r="H1491" t="s">
        <v>21</v>
      </c>
      <c r="I1491">
        <v>2</v>
      </c>
      <c r="J1491" t="s">
        <v>109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26</v>
      </c>
      <c r="R1491">
        <v>1</v>
      </c>
    </row>
    <row r="1492" spans="1:18">
      <c r="A1492" s="4">
        <v>25888900000000</v>
      </c>
      <c r="B1492" t="s">
        <v>28</v>
      </c>
      <c r="C1492">
        <v>11</v>
      </c>
      <c r="D1492" t="s">
        <v>31</v>
      </c>
      <c r="E1492" t="s">
        <v>69</v>
      </c>
      <c r="F1492" s="1">
        <v>42487</v>
      </c>
      <c r="G1492" s="1">
        <v>42501</v>
      </c>
      <c r="H1492" t="s">
        <v>25</v>
      </c>
      <c r="I1492">
        <v>14</v>
      </c>
      <c r="J1492" t="s">
        <v>92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</v>
      </c>
      <c r="Q1492" t="s">
        <v>23</v>
      </c>
      <c r="R1492">
        <v>0</v>
      </c>
    </row>
    <row r="1493" spans="1:18">
      <c r="A1493" s="4">
        <v>882118000000</v>
      </c>
      <c r="B1493" t="s">
        <v>28</v>
      </c>
      <c r="C1493">
        <v>6</v>
      </c>
      <c r="D1493" t="s">
        <v>31</v>
      </c>
      <c r="E1493" t="s">
        <v>69</v>
      </c>
      <c r="F1493" s="1">
        <v>42487</v>
      </c>
      <c r="G1493" s="1">
        <v>42501</v>
      </c>
      <c r="H1493" t="s">
        <v>25</v>
      </c>
      <c r="I1493">
        <v>14</v>
      </c>
      <c r="J1493" t="s">
        <v>92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23</v>
      </c>
      <c r="R1493">
        <v>0</v>
      </c>
    </row>
    <row r="1494" spans="1:18">
      <c r="A1494" s="4">
        <v>21469900000000</v>
      </c>
      <c r="B1494" t="s">
        <v>18</v>
      </c>
      <c r="C1494">
        <v>21</v>
      </c>
      <c r="D1494" t="s">
        <v>37</v>
      </c>
      <c r="E1494" t="s">
        <v>72</v>
      </c>
      <c r="F1494" s="1">
        <v>42487</v>
      </c>
      <c r="G1494" s="1">
        <v>42492</v>
      </c>
      <c r="H1494" t="s">
        <v>30</v>
      </c>
      <c r="I1494">
        <v>5</v>
      </c>
      <c r="J1494" t="s">
        <v>107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</v>
      </c>
      <c r="Q1494" t="s">
        <v>23</v>
      </c>
      <c r="R1494">
        <v>0</v>
      </c>
    </row>
    <row r="1495" spans="1:18">
      <c r="A1495" s="4">
        <v>96436900000000</v>
      </c>
      <c r="B1495" t="s">
        <v>18</v>
      </c>
      <c r="C1495">
        <v>27</v>
      </c>
      <c r="D1495" t="s">
        <v>37</v>
      </c>
      <c r="E1495" t="s">
        <v>20</v>
      </c>
      <c r="F1495" s="1">
        <v>42487</v>
      </c>
      <c r="G1495" s="1">
        <v>42489</v>
      </c>
      <c r="H1495" t="s">
        <v>21</v>
      </c>
      <c r="I1495">
        <v>2</v>
      </c>
      <c r="J1495" t="s">
        <v>109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23</v>
      </c>
      <c r="R1495">
        <v>0</v>
      </c>
    </row>
    <row r="1496" spans="1:18">
      <c r="A1496" s="4">
        <v>191430000000000</v>
      </c>
      <c r="B1496" t="s">
        <v>28</v>
      </c>
      <c r="C1496">
        <v>34</v>
      </c>
      <c r="D1496" t="s">
        <v>37</v>
      </c>
      <c r="E1496" t="s">
        <v>68</v>
      </c>
      <c r="F1496" s="1">
        <v>42488</v>
      </c>
      <c r="G1496" s="1">
        <v>42492</v>
      </c>
      <c r="H1496" t="s">
        <v>30</v>
      </c>
      <c r="I1496">
        <v>4</v>
      </c>
      <c r="J1496" t="s">
        <v>107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1</v>
      </c>
      <c r="Q1496" t="s">
        <v>23</v>
      </c>
      <c r="R1496">
        <v>0</v>
      </c>
    </row>
    <row r="1497" spans="1:18">
      <c r="A1497" s="4">
        <v>57153700000000</v>
      </c>
      <c r="B1497" t="s">
        <v>28</v>
      </c>
      <c r="C1497">
        <v>46</v>
      </c>
      <c r="D1497" t="s">
        <v>27</v>
      </c>
      <c r="E1497" t="s">
        <v>69</v>
      </c>
      <c r="F1497" s="1">
        <v>42488</v>
      </c>
      <c r="G1497" s="1">
        <v>42492</v>
      </c>
      <c r="H1497" t="s">
        <v>30</v>
      </c>
      <c r="I1497">
        <v>4</v>
      </c>
      <c r="J1497" t="s">
        <v>107</v>
      </c>
      <c r="K1497">
        <v>0</v>
      </c>
      <c r="L1497">
        <v>1</v>
      </c>
      <c r="M1497">
        <v>0</v>
      </c>
      <c r="N1497">
        <v>0</v>
      </c>
      <c r="O1497">
        <v>1</v>
      </c>
      <c r="P1497">
        <v>1</v>
      </c>
      <c r="Q1497" t="s">
        <v>23</v>
      </c>
      <c r="R1497">
        <v>0</v>
      </c>
    </row>
    <row r="1498" spans="1:18">
      <c r="A1498" s="4">
        <v>47935200000000</v>
      </c>
      <c r="B1498" t="s">
        <v>18</v>
      </c>
      <c r="C1498">
        <v>0</v>
      </c>
      <c r="D1498" t="s">
        <v>31</v>
      </c>
      <c r="E1498" t="s">
        <v>42</v>
      </c>
      <c r="F1498" s="1">
        <v>42488</v>
      </c>
      <c r="G1498" s="1">
        <v>42500</v>
      </c>
      <c r="H1498" t="s">
        <v>41</v>
      </c>
      <c r="I1498">
        <v>12</v>
      </c>
      <c r="J1498" t="s">
        <v>92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1</v>
      </c>
      <c r="Q1498" t="s">
        <v>26</v>
      </c>
      <c r="R1498">
        <v>1</v>
      </c>
    </row>
    <row r="1499" spans="1:18">
      <c r="A1499" s="4">
        <v>9465220000000</v>
      </c>
      <c r="B1499" t="s">
        <v>28</v>
      </c>
      <c r="C1499">
        <v>27</v>
      </c>
      <c r="D1499" t="s">
        <v>37</v>
      </c>
      <c r="E1499" t="s">
        <v>84</v>
      </c>
      <c r="F1499" s="1">
        <v>42488</v>
      </c>
      <c r="G1499" s="1">
        <v>42492</v>
      </c>
      <c r="H1499" t="s">
        <v>30</v>
      </c>
      <c r="I1499">
        <v>4</v>
      </c>
      <c r="J1499" t="s">
        <v>107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1</v>
      </c>
      <c r="Q1499" t="s">
        <v>23</v>
      </c>
      <c r="R1499">
        <v>0</v>
      </c>
    </row>
    <row r="1500" spans="1:18">
      <c r="A1500" s="4">
        <v>15247200000000</v>
      </c>
      <c r="B1500" t="s">
        <v>28</v>
      </c>
      <c r="C1500">
        <v>41</v>
      </c>
      <c r="D1500" t="s">
        <v>27</v>
      </c>
      <c r="E1500" t="s">
        <v>57</v>
      </c>
      <c r="F1500" s="1">
        <v>42488</v>
      </c>
      <c r="G1500" s="1">
        <v>42489</v>
      </c>
      <c r="H1500" t="s">
        <v>21</v>
      </c>
      <c r="I1500">
        <v>1</v>
      </c>
      <c r="J1500" t="s">
        <v>109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26</v>
      </c>
      <c r="R1500">
        <v>1</v>
      </c>
    </row>
    <row r="1501" spans="1:18">
      <c r="A1501" s="4">
        <v>5759160000000</v>
      </c>
      <c r="B1501" t="s">
        <v>18</v>
      </c>
      <c r="C1501">
        <v>39</v>
      </c>
      <c r="D1501" t="s">
        <v>27</v>
      </c>
      <c r="E1501" t="s">
        <v>84</v>
      </c>
      <c r="F1501" s="1">
        <v>42488</v>
      </c>
      <c r="G1501" s="1">
        <v>42494</v>
      </c>
      <c r="H1501" t="s">
        <v>25</v>
      </c>
      <c r="I1501">
        <v>6</v>
      </c>
      <c r="J1501" t="s">
        <v>107</v>
      </c>
      <c r="K1501">
        <v>0</v>
      </c>
      <c r="L1501">
        <v>1</v>
      </c>
      <c r="M1501">
        <v>0</v>
      </c>
      <c r="N1501">
        <v>0</v>
      </c>
      <c r="O1501">
        <v>0</v>
      </c>
      <c r="P1501">
        <v>1</v>
      </c>
      <c r="Q1501" t="s">
        <v>23</v>
      </c>
      <c r="R1501">
        <v>0</v>
      </c>
    </row>
    <row r="1502" spans="1:18">
      <c r="A1502" s="4">
        <v>73839600000000</v>
      </c>
      <c r="B1502" t="s">
        <v>28</v>
      </c>
      <c r="C1502">
        <v>69</v>
      </c>
      <c r="D1502" t="s">
        <v>19</v>
      </c>
      <c r="E1502" t="s">
        <v>84</v>
      </c>
      <c r="F1502" s="1">
        <v>42488</v>
      </c>
      <c r="G1502" s="1">
        <v>42494</v>
      </c>
      <c r="H1502" t="s">
        <v>25</v>
      </c>
      <c r="I1502">
        <v>6</v>
      </c>
      <c r="J1502" t="s">
        <v>107</v>
      </c>
      <c r="K1502">
        <v>0</v>
      </c>
      <c r="L1502">
        <v>1</v>
      </c>
      <c r="M1502">
        <v>0</v>
      </c>
      <c r="N1502">
        <v>0</v>
      </c>
      <c r="O1502">
        <v>0</v>
      </c>
      <c r="P1502">
        <v>1</v>
      </c>
      <c r="Q1502" t="s">
        <v>23</v>
      </c>
      <c r="R1502">
        <v>0</v>
      </c>
    </row>
    <row r="1503" spans="1:18">
      <c r="A1503" s="4">
        <v>9856130000000</v>
      </c>
      <c r="B1503" t="s">
        <v>18</v>
      </c>
      <c r="C1503">
        <v>39</v>
      </c>
      <c r="D1503" t="s">
        <v>27</v>
      </c>
      <c r="E1503" t="s">
        <v>54</v>
      </c>
      <c r="F1503" s="1">
        <v>42488</v>
      </c>
      <c r="G1503" s="1">
        <v>42492</v>
      </c>
      <c r="H1503" t="s">
        <v>30</v>
      </c>
      <c r="I1503">
        <v>4</v>
      </c>
      <c r="J1503" t="s">
        <v>107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1</v>
      </c>
      <c r="Q1503" t="s">
        <v>23</v>
      </c>
      <c r="R1503">
        <v>0</v>
      </c>
    </row>
    <row r="1504" spans="1:18">
      <c r="A1504" s="4">
        <v>114238000000000</v>
      </c>
      <c r="B1504" t="s">
        <v>18</v>
      </c>
      <c r="C1504">
        <v>40</v>
      </c>
      <c r="D1504" t="s">
        <v>27</v>
      </c>
      <c r="E1504" t="s">
        <v>79</v>
      </c>
      <c r="F1504" s="1">
        <v>42488</v>
      </c>
      <c r="G1504" s="1">
        <v>42492</v>
      </c>
      <c r="H1504" t="s">
        <v>30</v>
      </c>
      <c r="I1504">
        <v>4</v>
      </c>
      <c r="J1504" t="s">
        <v>107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 t="s">
        <v>23</v>
      </c>
      <c r="R1504">
        <v>0</v>
      </c>
    </row>
    <row r="1505" spans="1:18">
      <c r="A1505" s="4">
        <v>54441837883</v>
      </c>
      <c r="B1505" t="s">
        <v>18</v>
      </c>
      <c r="C1505">
        <v>73</v>
      </c>
      <c r="D1505" t="s">
        <v>19</v>
      </c>
      <c r="E1505" t="s">
        <v>54</v>
      </c>
      <c r="F1505" s="1">
        <v>42488</v>
      </c>
      <c r="G1505" s="1">
        <v>42492</v>
      </c>
      <c r="H1505" t="s">
        <v>30</v>
      </c>
      <c r="I1505">
        <v>4</v>
      </c>
      <c r="J1505" t="s">
        <v>107</v>
      </c>
      <c r="K1505">
        <v>0</v>
      </c>
      <c r="L1505">
        <v>1</v>
      </c>
      <c r="M1505">
        <v>1</v>
      </c>
      <c r="N1505">
        <v>0</v>
      </c>
      <c r="O1505">
        <v>0</v>
      </c>
      <c r="P1505">
        <v>1</v>
      </c>
      <c r="Q1505" t="s">
        <v>23</v>
      </c>
      <c r="R1505">
        <v>0</v>
      </c>
    </row>
    <row r="1506" spans="1:18">
      <c r="A1506" s="4">
        <v>2656130000000</v>
      </c>
      <c r="B1506" t="s">
        <v>18</v>
      </c>
      <c r="C1506">
        <v>54</v>
      </c>
      <c r="D1506" t="s">
        <v>35</v>
      </c>
      <c r="E1506" t="s">
        <v>86</v>
      </c>
      <c r="F1506" s="1">
        <v>42488</v>
      </c>
      <c r="G1506" s="1">
        <v>42494</v>
      </c>
      <c r="H1506" t="s">
        <v>25</v>
      </c>
      <c r="I1506">
        <v>6</v>
      </c>
      <c r="J1506" t="s">
        <v>107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</v>
      </c>
      <c r="Q1506" t="s">
        <v>23</v>
      </c>
      <c r="R1506">
        <v>0</v>
      </c>
    </row>
    <row r="1507" spans="1:18">
      <c r="A1507" s="4">
        <v>23378400000000</v>
      </c>
      <c r="B1507" t="s">
        <v>28</v>
      </c>
      <c r="C1507">
        <v>27</v>
      </c>
      <c r="D1507" t="s">
        <v>37</v>
      </c>
      <c r="E1507" t="s">
        <v>84</v>
      </c>
      <c r="F1507" s="1">
        <v>42488</v>
      </c>
      <c r="G1507" s="1">
        <v>42496</v>
      </c>
      <c r="H1507" t="s">
        <v>21</v>
      </c>
      <c r="I1507">
        <v>8</v>
      </c>
      <c r="J1507" t="s">
        <v>92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 t="s">
        <v>23</v>
      </c>
      <c r="R1507">
        <v>0</v>
      </c>
    </row>
    <row r="1508" spans="1:18">
      <c r="A1508" s="4">
        <v>32722600000000</v>
      </c>
      <c r="B1508" t="s">
        <v>18</v>
      </c>
      <c r="C1508">
        <v>47</v>
      </c>
      <c r="D1508" t="s">
        <v>27</v>
      </c>
      <c r="E1508" t="s">
        <v>84</v>
      </c>
      <c r="F1508" s="1">
        <v>42488</v>
      </c>
      <c r="G1508" s="1">
        <v>42495</v>
      </c>
      <c r="H1508" t="s">
        <v>33</v>
      </c>
      <c r="I1508">
        <v>7</v>
      </c>
      <c r="J1508" t="s">
        <v>107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1</v>
      </c>
      <c r="Q1508" t="s">
        <v>23</v>
      </c>
      <c r="R1508">
        <v>0</v>
      </c>
    </row>
    <row r="1509" spans="1:18">
      <c r="A1509" s="4">
        <v>464863000000000</v>
      </c>
      <c r="B1509" t="s">
        <v>18</v>
      </c>
      <c r="C1509">
        <v>78</v>
      </c>
      <c r="D1509" t="s">
        <v>19</v>
      </c>
      <c r="E1509" t="s">
        <v>96</v>
      </c>
      <c r="F1509" s="1">
        <v>42488</v>
      </c>
      <c r="G1509" s="1">
        <v>42492</v>
      </c>
      <c r="H1509" t="s">
        <v>30</v>
      </c>
      <c r="I1509">
        <v>4</v>
      </c>
      <c r="J1509" t="s">
        <v>107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0</v>
      </c>
      <c r="Q1509" t="s">
        <v>23</v>
      </c>
      <c r="R1509">
        <v>0</v>
      </c>
    </row>
    <row r="1510" spans="1:18">
      <c r="A1510" s="4">
        <v>752283000000000</v>
      </c>
      <c r="B1510" t="s">
        <v>18</v>
      </c>
      <c r="C1510">
        <v>29</v>
      </c>
      <c r="D1510" t="s">
        <v>37</v>
      </c>
      <c r="E1510" t="s">
        <v>69</v>
      </c>
      <c r="F1510" s="1">
        <v>42488</v>
      </c>
      <c r="G1510" s="1">
        <v>42496</v>
      </c>
      <c r="H1510" t="s">
        <v>21</v>
      </c>
      <c r="I1510">
        <v>8</v>
      </c>
      <c r="J1510" t="s">
        <v>92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  <c r="Q1510" t="s">
        <v>26</v>
      </c>
      <c r="R1510">
        <v>1</v>
      </c>
    </row>
    <row r="1511" spans="1:18">
      <c r="A1511" s="4">
        <v>85814500000000</v>
      </c>
      <c r="B1511" t="s">
        <v>28</v>
      </c>
      <c r="C1511">
        <v>49</v>
      </c>
      <c r="D1511" t="s">
        <v>27</v>
      </c>
      <c r="E1511" t="s">
        <v>54</v>
      </c>
      <c r="F1511" s="1">
        <v>42488</v>
      </c>
      <c r="G1511" s="1">
        <v>42494</v>
      </c>
      <c r="H1511" t="s">
        <v>25</v>
      </c>
      <c r="I1511">
        <v>6</v>
      </c>
      <c r="J1511" t="s">
        <v>107</v>
      </c>
      <c r="K1511">
        <v>0</v>
      </c>
      <c r="L1511">
        <v>1</v>
      </c>
      <c r="M1511">
        <v>0</v>
      </c>
      <c r="N1511">
        <v>0</v>
      </c>
      <c r="O1511">
        <v>0</v>
      </c>
      <c r="P1511">
        <v>1</v>
      </c>
      <c r="Q1511" t="s">
        <v>23</v>
      </c>
      <c r="R1511">
        <v>0</v>
      </c>
    </row>
    <row r="1512" spans="1:18">
      <c r="A1512" s="4">
        <v>51526900000000</v>
      </c>
      <c r="B1512" t="s">
        <v>18</v>
      </c>
      <c r="C1512">
        <v>49</v>
      </c>
      <c r="D1512" t="s">
        <v>27</v>
      </c>
      <c r="E1512" t="s">
        <v>67</v>
      </c>
      <c r="F1512" s="1">
        <v>42488</v>
      </c>
      <c r="G1512" s="1">
        <v>42489</v>
      </c>
      <c r="H1512" t="s">
        <v>21</v>
      </c>
      <c r="I1512">
        <v>1</v>
      </c>
      <c r="J1512" t="s">
        <v>109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23</v>
      </c>
      <c r="R1512">
        <v>0</v>
      </c>
    </row>
    <row r="1513" spans="1:18">
      <c r="A1513" s="4">
        <v>99371400000000</v>
      </c>
      <c r="B1513" t="s">
        <v>18</v>
      </c>
      <c r="C1513">
        <v>11</v>
      </c>
      <c r="D1513" t="s">
        <v>31</v>
      </c>
      <c r="E1513" t="s">
        <v>29</v>
      </c>
      <c r="F1513" s="1">
        <v>42488</v>
      </c>
      <c r="G1513" s="1">
        <v>42506</v>
      </c>
      <c r="H1513" t="s">
        <v>30</v>
      </c>
      <c r="I1513">
        <v>18</v>
      </c>
      <c r="J1513" t="s">
        <v>77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23</v>
      </c>
      <c r="R1513">
        <v>0</v>
      </c>
    </row>
    <row r="1514" spans="1:18">
      <c r="A1514" s="4">
        <v>96329600000000</v>
      </c>
      <c r="B1514" t="s">
        <v>28</v>
      </c>
      <c r="C1514">
        <v>64</v>
      </c>
      <c r="D1514" t="s">
        <v>35</v>
      </c>
      <c r="E1514" t="s">
        <v>64</v>
      </c>
      <c r="F1514" s="1">
        <v>42488</v>
      </c>
      <c r="G1514" s="1">
        <v>42492</v>
      </c>
      <c r="H1514" t="s">
        <v>30</v>
      </c>
      <c r="I1514">
        <v>4</v>
      </c>
      <c r="J1514" t="s">
        <v>107</v>
      </c>
      <c r="K1514">
        <v>0</v>
      </c>
      <c r="L1514">
        <v>1</v>
      </c>
      <c r="M1514">
        <v>1</v>
      </c>
      <c r="N1514">
        <v>0</v>
      </c>
      <c r="O1514">
        <v>0</v>
      </c>
      <c r="P1514">
        <v>1</v>
      </c>
      <c r="Q1514" t="s">
        <v>23</v>
      </c>
      <c r="R1514">
        <v>0</v>
      </c>
    </row>
    <row r="1515" spans="1:18">
      <c r="A1515" s="4">
        <v>3787650000000</v>
      </c>
      <c r="B1515" t="s">
        <v>28</v>
      </c>
      <c r="C1515">
        <v>24</v>
      </c>
      <c r="D1515" t="s">
        <v>37</v>
      </c>
      <c r="E1515" t="s">
        <v>105</v>
      </c>
      <c r="F1515" s="1">
        <v>42488</v>
      </c>
      <c r="G1515" s="1">
        <v>42508</v>
      </c>
      <c r="H1515" t="s">
        <v>25</v>
      </c>
      <c r="I1515">
        <v>20</v>
      </c>
      <c r="J1515" t="s">
        <v>77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26</v>
      </c>
      <c r="R1515">
        <v>1</v>
      </c>
    </row>
    <row r="1516" spans="1:18">
      <c r="A1516" s="4">
        <v>713176000000000</v>
      </c>
      <c r="B1516" t="s">
        <v>28</v>
      </c>
      <c r="C1516">
        <v>67</v>
      </c>
      <c r="D1516" t="s">
        <v>19</v>
      </c>
      <c r="E1516" t="s">
        <v>48</v>
      </c>
      <c r="F1516" s="1">
        <v>42488</v>
      </c>
      <c r="G1516" s="1">
        <v>42494</v>
      </c>
      <c r="H1516" t="s">
        <v>25</v>
      </c>
      <c r="I1516">
        <v>6</v>
      </c>
      <c r="J1516" t="s">
        <v>107</v>
      </c>
      <c r="K1516">
        <v>0</v>
      </c>
      <c r="L1516">
        <v>1</v>
      </c>
      <c r="M1516">
        <v>1</v>
      </c>
      <c r="N1516">
        <v>0</v>
      </c>
      <c r="O1516">
        <v>0</v>
      </c>
      <c r="P1516">
        <v>0</v>
      </c>
      <c r="Q1516" t="s">
        <v>23</v>
      </c>
      <c r="R1516">
        <v>0</v>
      </c>
    </row>
    <row r="1517" spans="1:18">
      <c r="A1517" s="4">
        <v>471668000000000</v>
      </c>
      <c r="B1517" t="s">
        <v>28</v>
      </c>
      <c r="C1517">
        <v>14</v>
      </c>
      <c r="D1517" t="s">
        <v>60</v>
      </c>
      <c r="E1517" t="s">
        <v>40</v>
      </c>
      <c r="F1517" s="1">
        <v>42488</v>
      </c>
      <c r="G1517" s="1">
        <v>42500</v>
      </c>
      <c r="H1517" t="s">
        <v>41</v>
      </c>
      <c r="I1517">
        <v>12</v>
      </c>
      <c r="J1517" t="s">
        <v>92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</v>
      </c>
      <c r="Q1517" t="s">
        <v>23</v>
      </c>
      <c r="R1517">
        <v>0</v>
      </c>
    </row>
    <row r="1518" spans="1:18">
      <c r="A1518" s="4">
        <v>288129000000000</v>
      </c>
      <c r="B1518" t="s">
        <v>18</v>
      </c>
      <c r="C1518">
        <v>13</v>
      </c>
      <c r="D1518" t="s">
        <v>60</v>
      </c>
      <c r="E1518" t="s">
        <v>47</v>
      </c>
      <c r="F1518" s="1">
        <v>42488</v>
      </c>
      <c r="G1518" s="1">
        <v>42514</v>
      </c>
      <c r="H1518" t="s">
        <v>41</v>
      </c>
      <c r="I1518">
        <v>26</v>
      </c>
      <c r="J1518" t="s">
        <v>77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1</v>
      </c>
      <c r="Q1518" t="s">
        <v>23</v>
      </c>
      <c r="R1518">
        <v>0</v>
      </c>
    </row>
    <row r="1519" spans="1:18">
      <c r="A1519" s="4">
        <v>929145000000</v>
      </c>
      <c r="B1519" t="s">
        <v>28</v>
      </c>
      <c r="C1519">
        <v>12</v>
      </c>
      <c r="D1519" t="s">
        <v>31</v>
      </c>
      <c r="E1519" t="s">
        <v>40</v>
      </c>
      <c r="F1519" s="1">
        <v>42488</v>
      </c>
      <c r="G1519" s="1">
        <v>42492</v>
      </c>
      <c r="H1519" t="s">
        <v>30</v>
      </c>
      <c r="I1519">
        <v>4</v>
      </c>
      <c r="J1519" t="s">
        <v>107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  <c r="Q1519" t="s">
        <v>23</v>
      </c>
      <c r="R1519">
        <v>0</v>
      </c>
    </row>
    <row r="1520" spans="1:18">
      <c r="A1520" s="4">
        <v>1334960000000</v>
      </c>
      <c r="B1520" t="s">
        <v>18</v>
      </c>
      <c r="C1520">
        <v>33</v>
      </c>
      <c r="D1520" t="s">
        <v>37</v>
      </c>
      <c r="E1520" t="s">
        <v>72</v>
      </c>
      <c r="F1520" s="1">
        <v>42488</v>
      </c>
      <c r="G1520" s="1">
        <v>42502</v>
      </c>
      <c r="H1520" t="s">
        <v>33</v>
      </c>
      <c r="I1520">
        <v>14</v>
      </c>
      <c r="J1520" t="s">
        <v>92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 t="s">
        <v>26</v>
      </c>
      <c r="R1520">
        <v>1</v>
      </c>
    </row>
    <row r="1521" spans="1:18">
      <c r="A1521" s="4">
        <v>82599100000000</v>
      </c>
      <c r="B1521" t="s">
        <v>28</v>
      </c>
      <c r="C1521">
        <v>6</v>
      </c>
      <c r="D1521" t="s">
        <v>31</v>
      </c>
      <c r="E1521" t="s">
        <v>67</v>
      </c>
      <c r="F1521" s="1">
        <v>42488</v>
      </c>
      <c r="G1521" s="1">
        <v>42494</v>
      </c>
      <c r="H1521" t="s">
        <v>25</v>
      </c>
      <c r="I1521">
        <v>6</v>
      </c>
      <c r="J1521" t="s">
        <v>107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</v>
      </c>
      <c r="Q1521" t="s">
        <v>26</v>
      </c>
      <c r="R1521">
        <v>1</v>
      </c>
    </row>
    <row r="1522" spans="1:18">
      <c r="A1522" s="4">
        <v>479354000000</v>
      </c>
      <c r="B1522" t="s">
        <v>18</v>
      </c>
      <c r="C1522">
        <v>55</v>
      </c>
      <c r="D1522" t="s">
        <v>35</v>
      </c>
      <c r="E1522" t="s">
        <v>83</v>
      </c>
      <c r="F1522" s="1">
        <v>42488</v>
      </c>
      <c r="G1522" s="1">
        <v>42529</v>
      </c>
      <c r="H1522" t="s">
        <v>25</v>
      </c>
      <c r="I1522">
        <v>41</v>
      </c>
      <c r="J1522" t="s">
        <v>22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1</v>
      </c>
      <c r="Q1522" t="s">
        <v>23</v>
      </c>
      <c r="R1522">
        <v>0</v>
      </c>
    </row>
    <row r="1523" spans="1:18">
      <c r="A1523" s="4">
        <v>2779120000000</v>
      </c>
      <c r="B1523" t="s">
        <v>18</v>
      </c>
      <c r="C1523">
        <v>5</v>
      </c>
      <c r="D1523" t="s">
        <v>31</v>
      </c>
      <c r="E1523" t="s">
        <v>75</v>
      </c>
      <c r="F1523" s="1">
        <v>42488</v>
      </c>
      <c r="G1523" s="1">
        <v>42496</v>
      </c>
      <c r="H1523" t="s">
        <v>21</v>
      </c>
      <c r="I1523">
        <v>8</v>
      </c>
      <c r="J1523" t="s">
        <v>92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</v>
      </c>
      <c r="Q1523" t="s">
        <v>23</v>
      </c>
      <c r="R1523">
        <v>0</v>
      </c>
    </row>
    <row r="1524" spans="1:18">
      <c r="A1524" s="4">
        <v>21459928568</v>
      </c>
      <c r="B1524" t="s">
        <v>28</v>
      </c>
      <c r="C1524">
        <v>8</v>
      </c>
      <c r="D1524" t="s">
        <v>31</v>
      </c>
      <c r="E1524" t="s">
        <v>71</v>
      </c>
      <c r="F1524" s="1">
        <v>42488</v>
      </c>
      <c r="G1524" s="1">
        <v>42495</v>
      </c>
      <c r="H1524" t="s">
        <v>33</v>
      </c>
      <c r="I1524">
        <v>7</v>
      </c>
      <c r="J1524" t="s">
        <v>107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1</v>
      </c>
      <c r="Q1524" t="s">
        <v>26</v>
      </c>
      <c r="R1524">
        <v>1</v>
      </c>
    </row>
    <row r="1525" spans="1:18">
      <c r="A1525" s="4">
        <v>6286600000000</v>
      </c>
      <c r="B1525" t="s">
        <v>18</v>
      </c>
      <c r="C1525">
        <v>43</v>
      </c>
      <c r="D1525" t="s">
        <v>27</v>
      </c>
      <c r="E1525" t="s">
        <v>36</v>
      </c>
      <c r="F1525" s="1">
        <v>42488</v>
      </c>
      <c r="G1525" s="1">
        <v>42522</v>
      </c>
      <c r="H1525" t="s">
        <v>25</v>
      </c>
      <c r="I1525">
        <v>34</v>
      </c>
      <c r="J1525" t="s">
        <v>22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0</v>
      </c>
      <c r="Q1525" t="s">
        <v>23</v>
      </c>
      <c r="R1525">
        <v>0</v>
      </c>
    </row>
    <row r="1526" spans="1:18">
      <c r="A1526" s="4">
        <v>22381400000000</v>
      </c>
      <c r="B1526" t="s">
        <v>18</v>
      </c>
      <c r="C1526">
        <v>24</v>
      </c>
      <c r="D1526" t="s">
        <v>37</v>
      </c>
      <c r="E1526" t="s">
        <v>44</v>
      </c>
      <c r="F1526" s="1">
        <v>42488</v>
      </c>
      <c r="G1526" s="1">
        <v>42500</v>
      </c>
      <c r="H1526" t="s">
        <v>41</v>
      </c>
      <c r="I1526">
        <v>12</v>
      </c>
      <c r="J1526" t="s">
        <v>92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1</v>
      </c>
      <c r="Q1526" t="s">
        <v>23</v>
      </c>
      <c r="R1526">
        <v>0</v>
      </c>
    </row>
    <row r="1527" spans="1:18">
      <c r="A1527" s="4">
        <v>379218000000</v>
      </c>
      <c r="B1527" t="s">
        <v>18</v>
      </c>
      <c r="C1527">
        <v>20</v>
      </c>
      <c r="D1527" t="s">
        <v>37</v>
      </c>
      <c r="E1527" t="s">
        <v>29</v>
      </c>
      <c r="F1527" s="1">
        <v>42488</v>
      </c>
      <c r="G1527" s="1">
        <v>42510</v>
      </c>
      <c r="H1527" t="s">
        <v>21</v>
      </c>
      <c r="I1527">
        <v>22</v>
      </c>
      <c r="J1527" t="s">
        <v>77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26</v>
      </c>
      <c r="R1527">
        <v>1</v>
      </c>
    </row>
    <row r="1528" spans="1:18">
      <c r="A1528" s="4">
        <v>17896000000000</v>
      </c>
      <c r="B1528" t="s">
        <v>28</v>
      </c>
      <c r="C1528">
        <v>19</v>
      </c>
      <c r="D1528" t="s">
        <v>37</v>
      </c>
      <c r="E1528" t="s">
        <v>73</v>
      </c>
      <c r="F1528" s="1">
        <v>42488</v>
      </c>
      <c r="G1528" s="1">
        <v>42522</v>
      </c>
      <c r="H1528" t="s">
        <v>25</v>
      </c>
      <c r="I1528">
        <v>34</v>
      </c>
      <c r="J1528" t="s">
        <v>22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26</v>
      </c>
      <c r="R1528">
        <v>1</v>
      </c>
    </row>
    <row r="1529" spans="1:18">
      <c r="A1529" s="4">
        <v>823698000000000</v>
      </c>
      <c r="B1529" t="s">
        <v>18</v>
      </c>
      <c r="C1529">
        <v>5</v>
      </c>
      <c r="D1529" t="s">
        <v>31</v>
      </c>
      <c r="E1529" t="s">
        <v>46</v>
      </c>
      <c r="F1529" s="1">
        <v>42488</v>
      </c>
      <c r="G1529" s="1">
        <v>42509</v>
      </c>
      <c r="H1529" t="s">
        <v>33</v>
      </c>
      <c r="I1529">
        <v>21</v>
      </c>
      <c r="J1529" t="s">
        <v>77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23</v>
      </c>
      <c r="R1529">
        <v>0</v>
      </c>
    </row>
    <row r="1530" spans="1:18">
      <c r="A1530" s="4">
        <v>255238000000000</v>
      </c>
      <c r="B1530" t="s">
        <v>28</v>
      </c>
      <c r="C1530">
        <v>7</v>
      </c>
      <c r="D1530" t="s">
        <v>31</v>
      </c>
      <c r="E1530" t="s">
        <v>72</v>
      </c>
      <c r="F1530" s="1">
        <v>42488</v>
      </c>
      <c r="G1530" s="1">
        <v>42523</v>
      </c>
      <c r="H1530" t="s">
        <v>33</v>
      </c>
      <c r="I1530">
        <v>35</v>
      </c>
      <c r="J1530" t="s">
        <v>22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23</v>
      </c>
      <c r="R1530">
        <v>0</v>
      </c>
    </row>
    <row r="1531" spans="1:18">
      <c r="A1531" s="4">
        <v>48556900000000</v>
      </c>
      <c r="B1531" t="s">
        <v>28</v>
      </c>
      <c r="C1531">
        <v>44</v>
      </c>
      <c r="D1531" t="s">
        <v>27</v>
      </c>
      <c r="E1531" t="s">
        <v>38</v>
      </c>
      <c r="F1531" s="1">
        <v>42488</v>
      </c>
      <c r="G1531" s="1">
        <v>42499</v>
      </c>
      <c r="H1531" t="s">
        <v>30</v>
      </c>
      <c r="I1531">
        <v>11</v>
      </c>
      <c r="J1531" t="s">
        <v>92</v>
      </c>
      <c r="K1531">
        <v>0</v>
      </c>
      <c r="L1531">
        <v>1</v>
      </c>
      <c r="M1531">
        <v>1</v>
      </c>
      <c r="N1531">
        <v>0</v>
      </c>
      <c r="O1531">
        <v>1</v>
      </c>
      <c r="P1531">
        <v>0</v>
      </c>
      <c r="Q1531" t="s">
        <v>23</v>
      </c>
      <c r="R1531">
        <v>0</v>
      </c>
    </row>
    <row r="1532" spans="1:18">
      <c r="A1532" s="4">
        <v>37924593967</v>
      </c>
      <c r="B1532" t="s">
        <v>18</v>
      </c>
      <c r="C1532">
        <v>26</v>
      </c>
      <c r="D1532" t="s">
        <v>37</v>
      </c>
      <c r="E1532" t="s">
        <v>67</v>
      </c>
      <c r="F1532" s="1">
        <v>42488</v>
      </c>
      <c r="G1532" s="1">
        <v>42510</v>
      </c>
      <c r="H1532" t="s">
        <v>21</v>
      </c>
      <c r="I1532">
        <v>22</v>
      </c>
      <c r="J1532" t="s">
        <v>77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26</v>
      </c>
      <c r="R1532">
        <v>1</v>
      </c>
    </row>
    <row r="1533" spans="1:18">
      <c r="A1533" s="4">
        <v>5386530000000</v>
      </c>
      <c r="B1533" t="s">
        <v>28</v>
      </c>
      <c r="C1533">
        <v>8</v>
      </c>
      <c r="D1533" t="s">
        <v>31</v>
      </c>
      <c r="E1533" t="s">
        <v>61</v>
      </c>
      <c r="F1533" s="1">
        <v>42488</v>
      </c>
      <c r="G1533" s="1">
        <v>42493</v>
      </c>
      <c r="H1533" t="s">
        <v>41</v>
      </c>
      <c r="I1533">
        <v>5</v>
      </c>
      <c r="J1533" t="s">
        <v>107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23</v>
      </c>
      <c r="R1533">
        <v>0</v>
      </c>
    </row>
    <row r="1534" spans="1:18">
      <c r="A1534" s="4">
        <v>554562000000000</v>
      </c>
      <c r="B1534" t="s">
        <v>18</v>
      </c>
      <c r="C1534">
        <v>11</v>
      </c>
      <c r="D1534" t="s">
        <v>31</v>
      </c>
      <c r="E1534" t="s">
        <v>45</v>
      </c>
      <c r="F1534" s="1">
        <v>42488</v>
      </c>
      <c r="G1534" s="1">
        <v>42489</v>
      </c>
      <c r="H1534" t="s">
        <v>21</v>
      </c>
      <c r="I1534">
        <v>1</v>
      </c>
      <c r="J1534" t="s">
        <v>109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23</v>
      </c>
      <c r="R1534">
        <v>0</v>
      </c>
    </row>
    <row r="1535" spans="1:18">
      <c r="A1535" s="4">
        <v>45663400000000</v>
      </c>
      <c r="B1535" t="s">
        <v>28</v>
      </c>
      <c r="C1535">
        <v>35</v>
      </c>
      <c r="D1535" t="s">
        <v>37</v>
      </c>
      <c r="E1535" t="s">
        <v>20</v>
      </c>
      <c r="F1535" s="1">
        <v>42488</v>
      </c>
      <c r="G1535" s="1">
        <v>42521</v>
      </c>
      <c r="H1535" t="s">
        <v>41</v>
      </c>
      <c r="I1535">
        <v>33</v>
      </c>
      <c r="J1535" t="s">
        <v>22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23</v>
      </c>
      <c r="R1535">
        <v>0</v>
      </c>
    </row>
    <row r="1536" spans="1:18">
      <c r="A1536" s="4">
        <v>27135700000000</v>
      </c>
      <c r="B1536" t="s">
        <v>18</v>
      </c>
      <c r="C1536">
        <v>82</v>
      </c>
      <c r="D1536" t="s">
        <v>19</v>
      </c>
      <c r="E1536" t="s">
        <v>50</v>
      </c>
      <c r="F1536" s="1">
        <v>42488</v>
      </c>
      <c r="G1536" s="1">
        <v>42510</v>
      </c>
      <c r="H1536" t="s">
        <v>21</v>
      </c>
      <c r="I1536">
        <v>22</v>
      </c>
      <c r="J1536" t="s">
        <v>77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 t="s">
        <v>23</v>
      </c>
      <c r="R1536">
        <v>0</v>
      </c>
    </row>
    <row r="1537" spans="1:18">
      <c r="A1537" s="4">
        <v>8388230000000</v>
      </c>
      <c r="B1537" t="s">
        <v>18</v>
      </c>
      <c r="C1537">
        <v>55</v>
      </c>
      <c r="D1537" t="s">
        <v>35</v>
      </c>
      <c r="E1537" t="s">
        <v>72</v>
      </c>
      <c r="F1537" s="1">
        <v>42488</v>
      </c>
      <c r="G1537" s="1">
        <v>42524</v>
      </c>
      <c r="H1537" t="s">
        <v>21</v>
      </c>
      <c r="I1537">
        <v>36</v>
      </c>
      <c r="J1537" t="s">
        <v>22</v>
      </c>
      <c r="K1537">
        <v>0</v>
      </c>
      <c r="L1537">
        <v>0</v>
      </c>
      <c r="M1537">
        <v>1</v>
      </c>
      <c r="N1537">
        <v>0</v>
      </c>
      <c r="O1537">
        <v>0</v>
      </c>
      <c r="P1537">
        <v>1</v>
      </c>
      <c r="Q1537" t="s">
        <v>26</v>
      </c>
      <c r="R1537">
        <v>1</v>
      </c>
    </row>
    <row r="1538" spans="1:18">
      <c r="A1538" s="4">
        <v>9639530000000</v>
      </c>
      <c r="B1538" t="s">
        <v>18</v>
      </c>
      <c r="C1538">
        <v>35</v>
      </c>
      <c r="D1538" t="s">
        <v>37</v>
      </c>
      <c r="E1538" t="s">
        <v>72</v>
      </c>
      <c r="F1538" s="1">
        <v>42488</v>
      </c>
      <c r="G1538" s="1">
        <v>42523</v>
      </c>
      <c r="H1538" t="s">
        <v>33</v>
      </c>
      <c r="I1538">
        <v>35</v>
      </c>
      <c r="J1538" t="s">
        <v>22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23</v>
      </c>
      <c r="R1538">
        <v>0</v>
      </c>
    </row>
    <row r="1539" spans="1:18">
      <c r="A1539" s="4">
        <v>439826000000000</v>
      </c>
      <c r="B1539" t="s">
        <v>28</v>
      </c>
      <c r="C1539">
        <v>64</v>
      </c>
      <c r="D1539" t="s">
        <v>35</v>
      </c>
      <c r="E1539" t="s">
        <v>89</v>
      </c>
      <c r="F1539" s="1">
        <v>42488</v>
      </c>
      <c r="G1539" s="1">
        <v>42523</v>
      </c>
      <c r="H1539" t="s">
        <v>33</v>
      </c>
      <c r="I1539">
        <v>35</v>
      </c>
      <c r="J1539" t="s">
        <v>22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26</v>
      </c>
      <c r="R1539">
        <v>1</v>
      </c>
    </row>
    <row r="1540" spans="1:18">
      <c r="A1540" s="4">
        <v>92777800000000</v>
      </c>
      <c r="B1540" t="s">
        <v>18</v>
      </c>
      <c r="C1540">
        <v>41</v>
      </c>
      <c r="D1540" t="s">
        <v>27</v>
      </c>
      <c r="E1540" t="s">
        <v>72</v>
      </c>
      <c r="F1540" s="1">
        <v>42488</v>
      </c>
      <c r="G1540" s="1">
        <v>42529</v>
      </c>
      <c r="H1540" t="s">
        <v>25</v>
      </c>
      <c r="I1540">
        <v>41</v>
      </c>
      <c r="J1540" t="s">
        <v>22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1</v>
      </c>
      <c r="Q1540" t="s">
        <v>26</v>
      </c>
      <c r="R1540">
        <v>1</v>
      </c>
    </row>
    <row r="1541" spans="1:18">
      <c r="A1541" s="4">
        <v>453412000000000</v>
      </c>
      <c r="B1541" t="s">
        <v>18</v>
      </c>
      <c r="C1541">
        <v>0</v>
      </c>
      <c r="D1541" t="s">
        <v>31</v>
      </c>
      <c r="E1541" t="s">
        <v>105</v>
      </c>
      <c r="F1541" s="1">
        <v>42488</v>
      </c>
      <c r="G1541" s="1">
        <v>42494</v>
      </c>
      <c r="H1541" t="s">
        <v>25</v>
      </c>
      <c r="I1541">
        <v>6</v>
      </c>
      <c r="J1541" t="s">
        <v>107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23</v>
      </c>
      <c r="R1541">
        <v>0</v>
      </c>
    </row>
    <row r="1542" spans="1:18">
      <c r="A1542" s="4">
        <v>2139360000000</v>
      </c>
      <c r="B1542" t="s">
        <v>18</v>
      </c>
      <c r="C1542">
        <v>79</v>
      </c>
      <c r="D1542" t="s">
        <v>19</v>
      </c>
      <c r="E1542" t="s">
        <v>75</v>
      </c>
      <c r="F1542" s="1">
        <v>42488</v>
      </c>
      <c r="G1542" s="1">
        <v>42507</v>
      </c>
      <c r="H1542" t="s">
        <v>41</v>
      </c>
      <c r="I1542">
        <v>19</v>
      </c>
      <c r="J1542" t="s">
        <v>77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0</v>
      </c>
      <c r="Q1542" t="s">
        <v>26</v>
      </c>
      <c r="R1542">
        <v>1</v>
      </c>
    </row>
    <row r="1543" spans="1:18">
      <c r="A1543" s="4">
        <v>15585474733</v>
      </c>
      <c r="B1543" t="s">
        <v>18</v>
      </c>
      <c r="C1543">
        <v>59</v>
      </c>
      <c r="D1543" t="s">
        <v>35</v>
      </c>
      <c r="E1543" t="s">
        <v>70</v>
      </c>
      <c r="F1543" s="1">
        <v>42488</v>
      </c>
      <c r="G1543" s="1">
        <v>42495</v>
      </c>
      <c r="H1543" t="s">
        <v>33</v>
      </c>
      <c r="I1543">
        <v>7</v>
      </c>
      <c r="J1543" t="s">
        <v>107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1</v>
      </c>
      <c r="Q1543" t="s">
        <v>23</v>
      </c>
      <c r="R1543">
        <v>0</v>
      </c>
    </row>
    <row r="1544" spans="1:18">
      <c r="A1544" s="4">
        <v>9384540000000</v>
      </c>
      <c r="B1544" t="s">
        <v>18</v>
      </c>
      <c r="C1544">
        <v>55</v>
      </c>
      <c r="D1544" t="s">
        <v>35</v>
      </c>
      <c r="E1544" t="s">
        <v>29</v>
      </c>
      <c r="F1544" s="1">
        <v>42488</v>
      </c>
      <c r="G1544" s="1">
        <v>42507</v>
      </c>
      <c r="H1544" t="s">
        <v>41</v>
      </c>
      <c r="I1544">
        <v>19</v>
      </c>
      <c r="J1544" t="s">
        <v>77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0</v>
      </c>
      <c r="Q1544" t="s">
        <v>23</v>
      </c>
      <c r="R1544">
        <v>0</v>
      </c>
    </row>
    <row r="1545" spans="1:18">
      <c r="A1545" s="4">
        <v>833864000000000</v>
      </c>
      <c r="B1545" t="s">
        <v>18</v>
      </c>
      <c r="C1545">
        <v>56</v>
      </c>
      <c r="D1545" t="s">
        <v>35</v>
      </c>
      <c r="E1545" t="s">
        <v>59</v>
      </c>
      <c r="F1545" s="1">
        <v>42488</v>
      </c>
      <c r="G1545" s="1">
        <v>42500</v>
      </c>
      <c r="H1545" t="s">
        <v>41</v>
      </c>
      <c r="I1545">
        <v>12</v>
      </c>
      <c r="J1545" t="s">
        <v>92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1</v>
      </c>
      <c r="Q1545" t="s">
        <v>23</v>
      </c>
      <c r="R1545">
        <v>0</v>
      </c>
    </row>
    <row r="1546" spans="1:18">
      <c r="A1546" s="4">
        <v>668445000000000</v>
      </c>
      <c r="B1546" t="s">
        <v>18</v>
      </c>
      <c r="C1546">
        <v>8</v>
      </c>
      <c r="D1546" t="s">
        <v>31</v>
      </c>
      <c r="E1546" t="s">
        <v>68</v>
      </c>
      <c r="F1546" s="1">
        <v>42488</v>
      </c>
      <c r="G1546" s="1">
        <v>42520</v>
      </c>
      <c r="H1546" t="s">
        <v>30</v>
      </c>
      <c r="I1546">
        <v>32</v>
      </c>
      <c r="J1546" t="s">
        <v>22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</v>
      </c>
      <c r="Q1546" t="s">
        <v>26</v>
      </c>
      <c r="R1546">
        <v>1</v>
      </c>
    </row>
    <row r="1547" spans="1:18">
      <c r="A1547" s="4">
        <v>25245200000000</v>
      </c>
      <c r="B1547" t="s">
        <v>18</v>
      </c>
      <c r="C1547">
        <v>31</v>
      </c>
      <c r="D1547" t="s">
        <v>37</v>
      </c>
      <c r="E1547" t="s">
        <v>50</v>
      </c>
      <c r="F1547" s="1">
        <v>42488</v>
      </c>
      <c r="G1547" s="1">
        <v>42495</v>
      </c>
      <c r="H1547" t="s">
        <v>33</v>
      </c>
      <c r="I1547">
        <v>7</v>
      </c>
      <c r="J1547" t="s">
        <v>107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1</v>
      </c>
      <c r="Q1547" t="s">
        <v>26</v>
      </c>
      <c r="R1547">
        <v>1</v>
      </c>
    </row>
    <row r="1548" spans="1:18">
      <c r="A1548" s="4">
        <v>245552000000</v>
      </c>
      <c r="B1548" t="s">
        <v>18</v>
      </c>
      <c r="C1548">
        <v>27</v>
      </c>
      <c r="D1548" t="s">
        <v>37</v>
      </c>
      <c r="E1548" t="s">
        <v>61</v>
      </c>
      <c r="F1548" s="1">
        <v>42488</v>
      </c>
      <c r="G1548" s="1">
        <v>42500</v>
      </c>
      <c r="H1548" t="s">
        <v>41</v>
      </c>
      <c r="I1548">
        <v>12</v>
      </c>
      <c r="J1548" t="s">
        <v>92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1</v>
      </c>
      <c r="Q1548" t="s">
        <v>26</v>
      </c>
      <c r="R1548">
        <v>1</v>
      </c>
    </row>
    <row r="1549" spans="1:18">
      <c r="A1549" s="4">
        <v>36514400000000</v>
      </c>
      <c r="B1549" t="s">
        <v>18</v>
      </c>
      <c r="C1549">
        <v>57</v>
      </c>
      <c r="D1549" t="s">
        <v>35</v>
      </c>
      <c r="E1549" t="s">
        <v>39</v>
      </c>
      <c r="F1549" s="1">
        <v>42488</v>
      </c>
      <c r="G1549" s="1">
        <v>42496</v>
      </c>
      <c r="H1549" t="s">
        <v>21</v>
      </c>
      <c r="I1549">
        <v>8</v>
      </c>
      <c r="J1549" t="s">
        <v>92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</v>
      </c>
      <c r="Q1549" t="s">
        <v>23</v>
      </c>
      <c r="R1549">
        <v>0</v>
      </c>
    </row>
    <row r="1550" spans="1:18">
      <c r="A1550" s="4">
        <v>38939500000000</v>
      </c>
      <c r="B1550" t="s">
        <v>18</v>
      </c>
      <c r="C1550">
        <v>39</v>
      </c>
      <c r="D1550" t="s">
        <v>27</v>
      </c>
      <c r="E1550" t="s">
        <v>61</v>
      </c>
      <c r="F1550" s="1">
        <v>42488</v>
      </c>
      <c r="G1550" s="1">
        <v>42494</v>
      </c>
      <c r="H1550" t="s">
        <v>25</v>
      </c>
      <c r="I1550">
        <v>6</v>
      </c>
      <c r="J1550" t="s">
        <v>107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1</v>
      </c>
      <c r="Q1550" t="s">
        <v>26</v>
      </c>
      <c r="R1550">
        <v>1</v>
      </c>
    </row>
    <row r="1551" spans="1:18">
      <c r="A1551" s="4">
        <v>666915000000</v>
      </c>
      <c r="B1551" t="s">
        <v>28</v>
      </c>
      <c r="C1551">
        <v>0</v>
      </c>
      <c r="D1551" t="s">
        <v>31</v>
      </c>
      <c r="E1551" t="s">
        <v>34</v>
      </c>
      <c r="F1551" s="1">
        <v>42488</v>
      </c>
      <c r="G1551" s="1">
        <v>42489</v>
      </c>
      <c r="H1551" t="s">
        <v>21</v>
      </c>
      <c r="I1551">
        <v>1</v>
      </c>
      <c r="J1551" t="s">
        <v>109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23</v>
      </c>
      <c r="R1551">
        <v>0</v>
      </c>
    </row>
    <row r="1552" spans="1:18">
      <c r="A1552" s="4">
        <v>412565000000</v>
      </c>
      <c r="B1552" t="s">
        <v>28</v>
      </c>
      <c r="C1552">
        <v>0</v>
      </c>
      <c r="D1552" t="s">
        <v>31</v>
      </c>
      <c r="E1552" t="s">
        <v>55</v>
      </c>
      <c r="F1552" s="1">
        <v>42488</v>
      </c>
      <c r="G1552" s="1">
        <v>42506</v>
      </c>
      <c r="H1552" t="s">
        <v>30</v>
      </c>
      <c r="I1552">
        <v>18</v>
      </c>
      <c r="J1552" t="s">
        <v>77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26</v>
      </c>
      <c r="R1552">
        <v>1</v>
      </c>
    </row>
    <row r="1553" spans="1:18">
      <c r="A1553" s="4">
        <v>653745000000</v>
      </c>
      <c r="B1553" t="s">
        <v>18</v>
      </c>
      <c r="C1553">
        <v>33</v>
      </c>
      <c r="D1553" t="s">
        <v>37</v>
      </c>
      <c r="E1553" t="s">
        <v>58</v>
      </c>
      <c r="F1553" s="1">
        <v>42488</v>
      </c>
      <c r="G1553" s="1">
        <v>42499</v>
      </c>
      <c r="H1553" t="s">
        <v>30</v>
      </c>
      <c r="I1553">
        <v>11</v>
      </c>
      <c r="J1553" t="s">
        <v>92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23</v>
      </c>
      <c r="R1553">
        <v>0</v>
      </c>
    </row>
    <row r="1554" spans="1:18">
      <c r="A1554" s="4">
        <v>439960000000</v>
      </c>
      <c r="B1554" t="s">
        <v>18</v>
      </c>
      <c r="C1554">
        <v>3</v>
      </c>
      <c r="D1554" t="s">
        <v>31</v>
      </c>
      <c r="E1554" t="s">
        <v>49</v>
      </c>
      <c r="F1554" s="1">
        <v>42488</v>
      </c>
      <c r="G1554" s="1">
        <v>42495</v>
      </c>
      <c r="H1554" t="s">
        <v>33</v>
      </c>
      <c r="I1554">
        <v>7</v>
      </c>
      <c r="J1554" t="s">
        <v>107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 t="s">
        <v>23</v>
      </c>
      <c r="R1554">
        <v>0</v>
      </c>
    </row>
    <row r="1555" spans="1:18">
      <c r="A1555" s="4">
        <v>29516300000000</v>
      </c>
      <c r="B1555" t="s">
        <v>18</v>
      </c>
      <c r="C1555">
        <v>55</v>
      </c>
      <c r="D1555" t="s">
        <v>35</v>
      </c>
      <c r="E1555" t="s">
        <v>100</v>
      </c>
      <c r="F1555" s="1">
        <v>42488</v>
      </c>
      <c r="G1555" s="1">
        <v>42489</v>
      </c>
      <c r="H1555" t="s">
        <v>21</v>
      </c>
      <c r="I1555">
        <v>1</v>
      </c>
      <c r="J1555" t="s">
        <v>109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23</v>
      </c>
      <c r="R1555">
        <v>0</v>
      </c>
    </row>
    <row r="1556" spans="1:18">
      <c r="A1556" s="4">
        <v>66715600000000</v>
      </c>
      <c r="B1556" t="s">
        <v>18</v>
      </c>
      <c r="C1556">
        <v>52</v>
      </c>
      <c r="D1556" t="s">
        <v>35</v>
      </c>
      <c r="E1556" t="s">
        <v>48</v>
      </c>
      <c r="F1556" s="1">
        <v>42488</v>
      </c>
      <c r="G1556" s="1">
        <v>42489</v>
      </c>
      <c r="H1556" t="s">
        <v>21</v>
      </c>
      <c r="I1556">
        <v>1</v>
      </c>
      <c r="J1556" t="s">
        <v>109</v>
      </c>
      <c r="K1556">
        <v>0</v>
      </c>
      <c r="L1556">
        <v>1</v>
      </c>
      <c r="M1556">
        <v>1</v>
      </c>
      <c r="N1556">
        <v>0</v>
      </c>
      <c r="O1556">
        <v>0</v>
      </c>
      <c r="P1556">
        <v>0</v>
      </c>
      <c r="Q1556" t="s">
        <v>23</v>
      </c>
      <c r="R1556">
        <v>0</v>
      </c>
    </row>
    <row r="1557" spans="1:18">
      <c r="A1557" s="4">
        <v>924523000000000</v>
      </c>
      <c r="B1557" t="s">
        <v>28</v>
      </c>
      <c r="C1557">
        <v>2</v>
      </c>
      <c r="D1557" t="s">
        <v>31</v>
      </c>
      <c r="E1557" t="s">
        <v>39</v>
      </c>
      <c r="F1557" s="1">
        <v>42488</v>
      </c>
      <c r="G1557" s="1">
        <v>42503</v>
      </c>
      <c r="H1557" t="s">
        <v>21</v>
      </c>
      <c r="I1557">
        <v>15</v>
      </c>
      <c r="J1557" t="s">
        <v>77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26</v>
      </c>
      <c r="R1557">
        <v>1</v>
      </c>
    </row>
    <row r="1558" spans="1:18">
      <c r="A1558" s="4">
        <v>44711200000000</v>
      </c>
      <c r="B1558" t="s">
        <v>18</v>
      </c>
      <c r="C1558">
        <v>50</v>
      </c>
      <c r="D1558" t="s">
        <v>27</v>
      </c>
      <c r="E1558" t="s">
        <v>29</v>
      </c>
      <c r="F1558" s="1">
        <v>42488</v>
      </c>
      <c r="G1558" s="1">
        <v>42510</v>
      </c>
      <c r="H1558" t="s">
        <v>21</v>
      </c>
      <c r="I1558">
        <v>22</v>
      </c>
      <c r="J1558" t="s">
        <v>77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23</v>
      </c>
      <c r="R1558">
        <v>0</v>
      </c>
    </row>
    <row r="1559" spans="1:18">
      <c r="A1559" s="4">
        <v>972728000000</v>
      </c>
      <c r="B1559" t="s">
        <v>28</v>
      </c>
      <c r="C1559">
        <v>48</v>
      </c>
      <c r="D1559" t="s">
        <v>27</v>
      </c>
      <c r="E1559" t="s">
        <v>47</v>
      </c>
      <c r="F1559" s="1">
        <v>42488</v>
      </c>
      <c r="G1559" s="1">
        <v>42493</v>
      </c>
      <c r="H1559" t="s">
        <v>41</v>
      </c>
      <c r="I1559">
        <v>5</v>
      </c>
      <c r="J1559" t="s">
        <v>107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</v>
      </c>
      <c r="Q1559" t="s">
        <v>23</v>
      </c>
      <c r="R1559">
        <v>0</v>
      </c>
    </row>
    <row r="1560" spans="1:18">
      <c r="A1560" s="4">
        <v>11213500000000</v>
      </c>
      <c r="B1560" t="s">
        <v>18</v>
      </c>
      <c r="C1560">
        <v>28</v>
      </c>
      <c r="D1560" t="s">
        <v>37</v>
      </c>
      <c r="E1560" t="s">
        <v>59</v>
      </c>
      <c r="F1560" s="1">
        <v>42488</v>
      </c>
      <c r="G1560" s="1">
        <v>42492</v>
      </c>
      <c r="H1560" t="s">
        <v>30</v>
      </c>
      <c r="I1560">
        <v>4</v>
      </c>
      <c r="J1560" t="s">
        <v>107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1</v>
      </c>
      <c r="Q1560" t="s">
        <v>23</v>
      </c>
      <c r="R1560">
        <v>0</v>
      </c>
    </row>
    <row r="1561" spans="1:18">
      <c r="A1561" s="4">
        <v>865536000000000</v>
      </c>
      <c r="B1561" t="s">
        <v>18</v>
      </c>
      <c r="C1561">
        <v>42</v>
      </c>
      <c r="D1561" t="s">
        <v>27</v>
      </c>
      <c r="E1561" t="s">
        <v>82</v>
      </c>
      <c r="F1561" s="1">
        <v>42488</v>
      </c>
      <c r="G1561" s="1">
        <v>42495</v>
      </c>
      <c r="H1561" t="s">
        <v>33</v>
      </c>
      <c r="I1561">
        <v>7</v>
      </c>
      <c r="J1561" t="s">
        <v>107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1</v>
      </c>
      <c r="Q1561" t="s">
        <v>26</v>
      </c>
      <c r="R1561">
        <v>1</v>
      </c>
    </row>
    <row r="1562" spans="1:18">
      <c r="A1562" s="4">
        <v>396776000000</v>
      </c>
      <c r="B1562" t="s">
        <v>18</v>
      </c>
      <c r="C1562">
        <v>42</v>
      </c>
      <c r="D1562" t="s">
        <v>27</v>
      </c>
      <c r="E1562" t="s">
        <v>75</v>
      </c>
      <c r="F1562" s="1">
        <v>42488</v>
      </c>
      <c r="G1562" s="1">
        <v>42495</v>
      </c>
      <c r="H1562" t="s">
        <v>33</v>
      </c>
      <c r="I1562">
        <v>7</v>
      </c>
      <c r="J1562" t="s">
        <v>107</v>
      </c>
      <c r="K1562">
        <v>0</v>
      </c>
      <c r="L1562">
        <v>1</v>
      </c>
      <c r="M1562">
        <v>0</v>
      </c>
      <c r="N1562">
        <v>0</v>
      </c>
      <c r="O1562">
        <v>1</v>
      </c>
      <c r="P1562">
        <v>1</v>
      </c>
      <c r="Q1562" t="s">
        <v>26</v>
      </c>
      <c r="R1562">
        <v>1</v>
      </c>
    </row>
    <row r="1563" spans="1:18">
      <c r="A1563" s="4">
        <v>3599630000000</v>
      </c>
      <c r="B1563" t="s">
        <v>18</v>
      </c>
      <c r="C1563">
        <v>60</v>
      </c>
      <c r="D1563" t="s">
        <v>35</v>
      </c>
      <c r="E1563" t="s">
        <v>59</v>
      </c>
      <c r="F1563" s="1">
        <v>42488</v>
      </c>
      <c r="G1563" s="1">
        <v>42496</v>
      </c>
      <c r="H1563" t="s">
        <v>21</v>
      </c>
      <c r="I1563">
        <v>8</v>
      </c>
      <c r="J1563" t="s">
        <v>92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 t="s">
        <v>23</v>
      </c>
      <c r="R1563">
        <v>0</v>
      </c>
    </row>
    <row r="1564" spans="1:18">
      <c r="A1564" s="4">
        <v>67935800000000</v>
      </c>
      <c r="B1564" t="s">
        <v>18</v>
      </c>
      <c r="C1564">
        <v>55</v>
      </c>
      <c r="D1564" t="s">
        <v>35</v>
      </c>
      <c r="E1564" t="s">
        <v>58</v>
      </c>
      <c r="F1564" s="1">
        <v>42488</v>
      </c>
      <c r="G1564" s="1">
        <v>42496</v>
      </c>
      <c r="H1564" t="s">
        <v>21</v>
      </c>
      <c r="I1564">
        <v>8</v>
      </c>
      <c r="J1564" t="s">
        <v>92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0</v>
      </c>
      <c r="Q1564" t="s">
        <v>23</v>
      </c>
      <c r="R1564">
        <v>0</v>
      </c>
    </row>
    <row r="1565" spans="1:18">
      <c r="A1565" s="4">
        <v>8343670000000</v>
      </c>
      <c r="B1565" t="s">
        <v>18</v>
      </c>
      <c r="C1565">
        <v>20</v>
      </c>
      <c r="D1565" t="s">
        <v>37</v>
      </c>
      <c r="E1565" t="s">
        <v>72</v>
      </c>
      <c r="F1565" s="1">
        <v>42488</v>
      </c>
      <c r="G1565" s="1">
        <v>42524</v>
      </c>
      <c r="H1565" t="s">
        <v>21</v>
      </c>
      <c r="I1565">
        <v>36</v>
      </c>
      <c r="J1565" t="s">
        <v>22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</v>
      </c>
      <c r="Q1565" t="s">
        <v>26</v>
      </c>
      <c r="R1565">
        <v>1</v>
      </c>
    </row>
    <row r="1566" spans="1:18">
      <c r="A1566" s="4">
        <v>67935800000000</v>
      </c>
      <c r="B1566" t="s">
        <v>18</v>
      </c>
      <c r="C1566">
        <v>55</v>
      </c>
      <c r="D1566" t="s">
        <v>35</v>
      </c>
      <c r="E1566" t="s">
        <v>58</v>
      </c>
      <c r="F1566" s="1">
        <v>42488</v>
      </c>
      <c r="G1566" s="1">
        <v>42496</v>
      </c>
      <c r="H1566" t="s">
        <v>21</v>
      </c>
      <c r="I1566">
        <v>8</v>
      </c>
      <c r="J1566" t="s">
        <v>92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 t="s">
        <v>23</v>
      </c>
      <c r="R1566">
        <v>0</v>
      </c>
    </row>
    <row r="1567" spans="1:18">
      <c r="A1567" s="4">
        <v>24755945987</v>
      </c>
      <c r="B1567" t="s">
        <v>18</v>
      </c>
      <c r="C1567">
        <v>28</v>
      </c>
      <c r="D1567" t="s">
        <v>37</v>
      </c>
      <c r="E1567" t="s">
        <v>72</v>
      </c>
      <c r="F1567" s="1">
        <v>42488</v>
      </c>
      <c r="G1567" s="1">
        <v>42524</v>
      </c>
      <c r="H1567" t="s">
        <v>21</v>
      </c>
      <c r="I1567">
        <v>36</v>
      </c>
      <c r="J1567" t="s">
        <v>22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1</v>
      </c>
      <c r="Q1567" t="s">
        <v>23</v>
      </c>
      <c r="R1567">
        <v>0</v>
      </c>
    </row>
    <row r="1568" spans="1:18">
      <c r="A1568" s="4">
        <v>35464400000000</v>
      </c>
      <c r="B1568" t="s">
        <v>28</v>
      </c>
      <c r="C1568">
        <v>41</v>
      </c>
      <c r="D1568" t="s">
        <v>27</v>
      </c>
      <c r="E1568" t="s">
        <v>82</v>
      </c>
      <c r="F1568" s="1">
        <v>42488</v>
      </c>
      <c r="G1568" s="1">
        <v>42499</v>
      </c>
      <c r="H1568" t="s">
        <v>30</v>
      </c>
      <c r="I1568">
        <v>11</v>
      </c>
      <c r="J1568" t="s">
        <v>92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23</v>
      </c>
      <c r="R1568">
        <v>0</v>
      </c>
    </row>
    <row r="1569" spans="1:18">
      <c r="A1569" s="4">
        <v>68591600000000</v>
      </c>
      <c r="B1569" t="s">
        <v>18</v>
      </c>
      <c r="C1569">
        <v>57</v>
      </c>
      <c r="D1569" t="s">
        <v>35</v>
      </c>
      <c r="E1569" t="s">
        <v>72</v>
      </c>
      <c r="F1569" s="1">
        <v>42488</v>
      </c>
      <c r="G1569" s="1">
        <v>42492</v>
      </c>
      <c r="H1569" t="s">
        <v>30</v>
      </c>
      <c r="I1569">
        <v>4</v>
      </c>
      <c r="J1569" t="s">
        <v>107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1</v>
      </c>
      <c r="Q1569" t="s">
        <v>23</v>
      </c>
      <c r="R1569">
        <v>0</v>
      </c>
    </row>
    <row r="1570" spans="1:18">
      <c r="A1570" s="4">
        <v>13726800000000</v>
      </c>
      <c r="B1570" t="s">
        <v>28</v>
      </c>
      <c r="C1570">
        <v>57</v>
      </c>
      <c r="D1570" t="s">
        <v>35</v>
      </c>
      <c r="E1570" t="s">
        <v>73</v>
      </c>
      <c r="F1570" s="1">
        <v>42488</v>
      </c>
      <c r="G1570" s="1">
        <v>42494</v>
      </c>
      <c r="H1570" t="s">
        <v>25</v>
      </c>
      <c r="I1570">
        <v>6</v>
      </c>
      <c r="J1570" t="s">
        <v>107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</v>
      </c>
      <c r="Q1570" t="s">
        <v>23</v>
      </c>
      <c r="R1570">
        <v>0</v>
      </c>
    </row>
    <row r="1571" spans="1:18">
      <c r="A1571" s="4">
        <v>82435900000000</v>
      </c>
      <c r="B1571" t="s">
        <v>18</v>
      </c>
      <c r="C1571">
        <v>74</v>
      </c>
      <c r="D1571" t="s">
        <v>19</v>
      </c>
      <c r="E1571" t="s">
        <v>29</v>
      </c>
      <c r="F1571" s="1">
        <v>42488</v>
      </c>
      <c r="G1571" s="1">
        <v>42492</v>
      </c>
      <c r="H1571" t="s">
        <v>30</v>
      </c>
      <c r="I1571">
        <v>4</v>
      </c>
      <c r="J1571" t="s">
        <v>107</v>
      </c>
      <c r="K1571">
        <v>0</v>
      </c>
      <c r="L1571">
        <v>1</v>
      </c>
      <c r="M1571">
        <v>1</v>
      </c>
      <c r="N1571">
        <v>0</v>
      </c>
      <c r="O1571">
        <v>0</v>
      </c>
      <c r="P1571">
        <v>1</v>
      </c>
      <c r="Q1571" t="s">
        <v>23</v>
      </c>
      <c r="R1571">
        <v>0</v>
      </c>
    </row>
    <row r="1572" spans="1:18">
      <c r="A1572" s="4">
        <v>3934190000000</v>
      </c>
      <c r="B1572" t="s">
        <v>18</v>
      </c>
      <c r="C1572">
        <v>86</v>
      </c>
      <c r="D1572" t="s">
        <v>19</v>
      </c>
      <c r="E1572" t="s">
        <v>29</v>
      </c>
      <c r="F1572" s="1">
        <v>42488</v>
      </c>
      <c r="G1572" s="1">
        <v>42509</v>
      </c>
      <c r="H1572" t="s">
        <v>33</v>
      </c>
      <c r="I1572">
        <v>21</v>
      </c>
      <c r="J1572" t="s">
        <v>77</v>
      </c>
      <c r="K1572">
        <v>0</v>
      </c>
      <c r="L1572">
        <v>1</v>
      </c>
      <c r="M1572">
        <v>0</v>
      </c>
      <c r="N1572">
        <v>0</v>
      </c>
      <c r="O1572">
        <v>0</v>
      </c>
      <c r="P1572">
        <v>0</v>
      </c>
      <c r="Q1572" t="s">
        <v>23</v>
      </c>
      <c r="R1572">
        <v>0</v>
      </c>
    </row>
    <row r="1573" spans="1:18">
      <c r="A1573" s="4">
        <v>3366510000000</v>
      </c>
      <c r="B1573" t="s">
        <v>18</v>
      </c>
      <c r="C1573">
        <v>26</v>
      </c>
      <c r="D1573" t="s">
        <v>37</v>
      </c>
      <c r="E1573" t="s">
        <v>62</v>
      </c>
      <c r="F1573" s="1">
        <v>42488</v>
      </c>
      <c r="G1573" s="1">
        <v>42492</v>
      </c>
      <c r="H1573" t="s">
        <v>30</v>
      </c>
      <c r="I1573">
        <v>4</v>
      </c>
      <c r="J1573" t="s">
        <v>107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1</v>
      </c>
      <c r="Q1573" t="s">
        <v>23</v>
      </c>
      <c r="R1573">
        <v>0</v>
      </c>
    </row>
    <row r="1574" spans="1:18">
      <c r="A1574" s="4">
        <v>133519000000000</v>
      </c>
      <c r="B1574" t="s">
        <v>28</v>
      </c>
      <c r="C1574">
        <v>4</v>
      </c>
      <c r="D1574" t="s">
        <v>31</v>
      </c>
      <c r="E1574" t="s">
        <v>65</v>
      </c>
      <c r="F1574" s="1">
        <v>42488</v>
      </c>
      <c r="G1574" s="1">
        <v>42494</v>
      </c>
      <c r="H1574" t="s">
        <v>25</v>
      </c>
      <c r="I1574">
        <v>6</v>
      </c>
      <c r="J1574" t="s">
        <v>107</v>
      </c>
      <c r="K1574">
        <v>0</v>
      </c>
      <c r="L1574">
        <v>0</v>
      </c>
      <c r="M1574">
        <v>0</v>
      </c>
      <c r="N1574">
        <v>0</v>
      </c>
      <c r="O1574">
        <v>1</v>
      </c>
      <c r="P1574">
        <v>1</v>
      </c>
      <c r="Q1574" t="s">
        <v>23</v>
      </c>
      <c r="R1574">
        <v>0</v>
      </c>
    </row>
    <row r="1575" spans="1:18">
      <c r="A1575" s="4">
        <v>6425120000000</v>
      </c>
      <c r="B1575" t="s">
        <v>18</v>
      </c>
      <c r="C1575">
        <v>77</v>
      </c>
      <c r="D1575" t="s">
        <v>19</v>
      </c>
      <c r="E1575" t="s">
        <v>47</v>
      </c>
      <c r="F1575" s="1">
        <v>42488</v>
      </c>
      <c r="G1575" s="1">
        <v>42493</v>
      </c>
      <c r="H1575" t="s">
        <v>41</v>
      </c>
      <c r="I1575">
        <v>5</v>
      </c>
      <c r="J1575" t="s">
        <v>107</v>
      </c>
      <c r="K1575">
        <v>0</v>
      </c>
      <c r="L1575">
        <v>1</v>
      </c>
      <c r="M1575">
        <v>1</v>
      </c>
      <c r="N1575">
        <v>0</v>
      </c>
      <c r="O1575">
        <v>1</v>
      </c>
      <c r="P1575">
        <v>1</v>
      </c>
      <c r="Q1575" t="s">
        <v>23</v>
      </c>
      <c r="R1575">
        <v>0</v>
      </c>
    </row>
    <row r="1576" spans="1:18">
      <c r="A1576" s="4">
        <v>28516799229</v>
      </c>
      <c r="B1576" t="s">
        <v>18</v>
      </c>
      <c r="C1576">
        <v>23</v>
      </c>
      <c r="D1576" t="s">
        <v>37</v>
      </c>
      <c r="E1576" t="s">
        <v>48</v>
      </c>
      <c r="F1576" s="1">
        <v>42488</v>
      </c>
      <c r="G1576" s="1">
        <v>42499</v>
      </c>
      <c r="H1576" t="s">
        <v>30</v>
      </c>
      <c r="I1576">
        <v>11</v>
      </c>
      <c r="J1576" t="s">
        <v>92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26</v>
      </c>
      <c r="R1576">
        <v>1</v>
      </c>
    </row>
    <row r="1577" spans="1:18">
      <c r="A1577" s="4">
        <v>332452000000000</v>
      </c>
      <c r="B1577" t="s">
        <v>28</v>
      </c>
      <c r="C1577">
        <v>0</v>
      </c>
      <c r="D1577" t="s">
        <v>31</v>
      </c>
      <c r="E1577" t="s">
        <v>34</v>
      </c>
      <c r="F1577" s="1">
        <v>42488</v>
      </c>
      <c r="G1577" s="1">
        <v>42493</v>
      </c>
      <c r="H1577" t="s">
        <v>41</v>
      </c>
      <c r="I1577">
        <v>5</v>
      </c>
      <c r="J1577" t="s">
        <v>107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</v>
      </c>
      <c r="Q1577" t="s">
        <v>23</v>
      </c>
      <c r="R1577">
        <v>0</v>
      </c>
    </row>
    <row r="1578" spans="1:18">
      <c r="A1578" s="4">
        <v>8583140000000</v>
      </c>
      <c r="B1578" t="s">
        <v>18</v>
      </c>
      <c r="C1578">
        <v>32</v>
      </c>
      <c r="D1578" t="s">
        <v>37</v>
      </c>
      <c r="E1578" t="s">
        <v>48</v>
      </c>
      <c r="F1578" s="1">
        <v>42488</v>
      </c>
      <c r="G1578" s="1">
        <v>42496</v>
      </c>
      <c r="H1578" t="s">
        <v>21</v>
      </c>
      <c r="I1578">
        <v>8</v>
      </c>
      <c r="J1578" t="s">
        <v>92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1</v>
      </c>
      <c r="Q1578" t="s">
        <v>23</v>
      </c>
      <c r="R1578">
        <v>0</v>
      </c>
    </row>
    <row r="1579" spans="1:18">
      <c r="A1579" s="4">
        <v>75639700000000</v>
      </c>
      <c r="B1579" t="s">
        <v>18</v>
      </c>
      <c r="C1579">
        <v>0</v>
      </c>
      <c r="D1579" t="s">
        <v>31</v>
      </c>
      <c r="E1579" t="s">
        <v>34</v>
      </c>
      <c r="F1579" s="1">
        <v>42488</v>
      </c>
      <c r="G1579" s="1">
        <v>42502</v>
      </c>
      <c r="H1579" t="s">
        <v>33</v>
      </c>
      <c r="I1579">
        <v>14</v>
      </c>
      <c r="J1579" t="s">
        <v>92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23</v>
      </c>
      <c r="R1579">
        <v>0</v>
      </c>
    </row>
    <row r="1580" spans="1:18">
      <c r="A1580" s="4">
        <v>458199000000</v>
      </c>
      <c r="B1580" t="s">
        <v>28</v>
      </c>
      <c r="C1580">
        <v>74</v>
      </c>
      <c r="D1580" t="s">
        <v>19</v>
      </c>
      <c r="E1580" t="s">
        <v>55</v>
      </c>
      <c r="F1580" s="1">
        <v>42488</v>
      </c>
      <c r="G1580" s="1">
        <v>42492</v>
      </c>
      <c r="H1580" t="s">
        <v>30</v>
      </c>
      <c r="I1580">
        <v>4</v>
      </c>
      <c r="J1580" t="s">
        <v>107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</v>
      </c>
      <c r="Q1580" t="s">
        <v>26</v>
      </c>
      <c r="R1580">
        <v>1</v>
      </c>
    </row>
    <row r="1581" spans="1:18">
      <c r="A1581" s="4">
        <v>628541000000000</v>
      </c>
      <c r="B1581" t="s">
        <v>28</v>
      </c>
      <c r="C1581">
        <v>0</v>
      </c>
      <c r="D1581" t="s">
        <v>31</v>
      </c>
      <c r="E1581" t="s">
        <v>34</v>
      </c>
      <c r="F1581" s="1">
        <v>42488</v>
      </c>
      <c r="G1581" s="1">
        <v>42493</v>
      </c>
      <c r="H1581" t="s">
        <v>41</v>
      </c>
      <c r="I1581">
        <v>5</v>
      </c>
      <c r="J1581" t="s">
        <v>107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1</v>
      </c>
      <c r="Q1581" t="s">
        <v>23</v>
      </c>
      <c r="R1581">
        <v>0</v>
      </c>
    </row>
    <row r="1582" spans="1:18">
      <c r="A1582" s="4">
        <v>574684000000000</v>
      </c>
      <c r="B1582" t="s">
        <v>18</v>
      </c>
      <c r="C1582">
        <v>63</v>
      </c>
      <c r="D1582" t="s">
        <v>35</v>
      </c>
      <c r="E1582" t="s">
        <v>74</v>
      </c>
      <c r="F1582" s="1">
        <v>42488</v>
      </c>
      <c r="G1582" s="1">
        <v>42492</v>
      </c>
      <c r="H1582" t="s">
        <v>30</v>
      </c>
      <c r="I1582">
        <v>4</v>
      </c>
      <c r="J1582" t="s">
        <v>107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1</v>
      </c>
      <c r="Q1582" t="s">
        <v>23</v>
      </c>
      <c r="R1582">
        <v>0</v>
      </c>
    </row>
    <row r="1583" spans="1:18">
      <c r="A1583" s="4">
        <v>7458550000000</v>
      </c>
      <c r="B1583" t="s">
        <v>28</v>
      </c>
      <c r="C1583">
        <v>0</v>
      </c>
      <c r="D1583" t="s">
        <v>31</v>
      </c>
      <c r="E1583" t="s">
        <v>96</v>
      </c>
      <c r="F1583" s="1">
        <v>42488</v>
      </c>
      <c r="G1583" s="1">
        <v>42499</v>
      </c>
      <c r="H1583" t="s">
        <v>30</v>
      </c>
      <c r="I1583">
        <v>11</v>
      </c>
      <c r="J1583" t="s">
        <v>92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23</v>
      </c>
      <c r="R1583">
        <v>0</v>
      </c>
    </row>
    <row r="1584" spans="1:18">
      <c r="A1584" s="4">
        <v>1935530000000</v>
      </c>
      <c r="B1584" t="s">
        <v>28</v>
      </c>
      <c r="C1584">
        <v>56</v>
      </c>
      <c r="D1584" t="s">
        <v>35</v>
      </c>
      <c r="E1584" t="s">
        <v>58</v>
      </c>
      <c r="F1584" s="1">
        <v>42488</v>
      </c>
      <c r="G1584" s="1">
        <v>42492</v>
      </c>
      <c r="H1584" t="s">
        <v>30</v>
      </c>
      <c r="I1584">
        <v>4</v>
      </c>
      <c r="J1584" t="s">
        <v>107</v>
      </c>
      <c r="K1584">
        <v>0</v>
      </c>
      <c r="L1584">
        <v>0</v>
      </c>
      <c r="M1584">
        <v>0</v>
      </c>
      <c r="N1584">
        <v>1</v>
      </c>
      <c r="O1584">
        <v>0</v>
      </c>
      <c r="P1584">
        <v>1</v>
      </c>
      <c r="Q1584" t="s">
        <v>23</v>
      </c>
      <c r="R1584">
        <v>0</v>
      </c>
    </row>
    <row r="1585" spans="1:18">
      <c r="A1585" s="4">
        <v>62475700000000</v>
      </c>
      <c r="B1585" t="s">
        <v>18</v>
      </c>
      <c r="C1585">
        <v>30</v>
      </c>
      <c r="D1585" t="s">
        <v>37</v>
      </c>
      <c r="E1585" t="s">
        <v>36</v>
      </c>
      <c r="F1585" s="1">
        <v>42488</v>
      </c>
      <c r="G1585" s="1">
        <v>42495</v>
      </c>
      <c r="H1585" t="s">
        <v>33</v>
      </c>
      <c r="I1585">
        <v>7</v>
      </c>
      <c r="J1585" t="s">
        <v>107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 t="s">
        <v>26</v>
      </c>
      <c r="R1585">
        <v>1</v>
      </c>
    </row>
    <row r="1586" spans="1:18">
      <c r="A1586" s="4">
        <v>274165000000</v>
      </c>
      <c r="B1586" t="s">
        <v>18</v>
      </c>
      <c r="C1586">
        <v>78</v>
      </c>
      <c r="D1586" t="s">
        <v>19</v>
      </c>
      <c r="E1586" t="s">
        <v>20</v>
      </c>
      <c r="F1586" s="1">
        <v>42488</v>
      </c>
      <c r="G1586" s="1">
        <v>42489</v>
      </c>
      <c r="H1586" t="s">
        <v>21</v>
      </c>
      <c r="I1586">
        <v>1</v>
      </c>
      <c r="J1586" t="s">
        <v>109</v>
      </c>
      <c r="K1586">
        <v>0</v>
      </c>
      <c r="L1586">
        <v>1</v>
      </c>
      <c r="M1586">
        <v>1</v>
      </c>
      <c r="N1586">
        <v>0</v>
      </c>
      <c r="O1586">
        <v>0</v>
      </c>
      <c r="P1586">
        <v>0</v>
      </c>
      <c r="Q1586" t="s">
        <v>26</v>
      </c>
      <c r="R1586">
        <v>1</v>
      </c>
    </row>
    <row r="1587" spans="1:18">
      <c r="A1587" s="4">
        <v>4483840000000</v>
      </c>
      <c r="B1587" t="s">
        <v>28</v>
      </c>
      <c r="C1587">
        <v>33</v>
      </c>
      <c r="D1587" t="s">
        <v>37</v>
      </c>
      <c r="E1587" t="s">
        <v>45</v>
      </c>
      <c r="F1587" s="1">
        <v>42488</v>
      </c>
      <c r="G1587" s="1">
        <v>42508</v>
      </c>
      <c r="H1587" t="s">
        <v>25</v>
      </c>
      <c r="I1587">
        <v>20</v>
      </c>
      <c r="J1587" t="s">
        <v>77</v>
      </c>
      <c r="K1587">
        <v>0</v>
      </c>
      <c r="L1587">
        <v>0</v>
      </c>
      <c r="M1587">
        <v>0</v>
      </c>
      <c r="N1587">
        <v>1</v>
      </c>
      <c r="O1587">
        <v>0</v>
      </c>
      <c r="P1587">
        <v>0</v>
      </c>
      <c r="Q1587" t="s">
        <v>23</v>
      </c>
      <c r="R1587">
        <v>0</v>
      </c>
    </row>
    <row r="1588" spans="1:18">
      <c r="A1588" s="4">
        <v>8250000000000</v>
      </c>
      <c r="B1588" t="s">
        <v>28</v>
      </c>
      <c r="C1588">
        <v>8</v>
      </c>
      <c r="D1588" t="s">
        <v>31</v>
      </c>
      <c r="E1588" t="s">
        <v>84</v>
      </c>
      <c r="F1588" s="1">
        <v>42488</v>
      </c>
      <c r="G1588" s="1">
        <v>42494</v>
      </c>
      <c r="H1588" t="s">
        <v>25</v>
      </c>
      <c r="I1588">
        <v>6</v>
      </c>
      <c r="J1588" t="s">
        <v>107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1</v>
      </c>
      <c r="Q1588" t="s">
        <v>23</v>
      </c>
      <c r="R1588">
        <v>0</v>
      </c>
    </row>
    <row r="1589" spans="1:18">
      <c r="A1589" s="4">
        <v>29749200000000</v>
      </c>
      <c r="B1589" t="s">
        <v>28</v>
      </c>
      <c r="C1589">
        <v>52</v>
      </c>
      <c r="D1589" t="s">
        <v>35</v>
      </c>
      <c r="E1589" t="s">
        <v>51</v>
      </c>
      <c r="F1589" s="1">
        <v>42488</v>
      </c>
      <c r="G1589" s="1">
        <v>42508</v>
      </c>
      <c r="H1589" t="s">
        <v>25</v>
      </c>
      <c r="I1589">
        <v>20</v>
      </c>
      <c r="J1589" t="s">
        <v>77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23</v>
      </c>
      <c r="R1589">
        <v>0</v>
      </c>
    </row>
    <row r="1590" spans="1:18">
      <c r="A1590" s="4">
        <v>46591700000000</v>
      </c>
      <c r="B1590" t="s">
        <v>28</v>
      </c>
      <c r="C1590">
        <v>28</v>
      </c>
      <c r="D1590" t="s">
        <v>37</v>
      </c>
      <c r="E1590" t="s">
        <v>65</v>
      </c>
      <c r="F1590" s="1">
        <v>42488</v>
      </c>
      <c r="G1590" s="1">
        <v>42494</v>
      </c>
      <c r="H1590" t="s">
        <v>25</v>
      </c>
      <c r="I1590">
        <v>6</v>
      </c>
      <c r="J1590" t="s">
        <v>107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</v>
      </c>
      <c r="Q1590" t="s">
        <v>26</v>
      </c>
      <c r="R1590">
        <v>1</v>
      </c>
    </row>
    <row r="1591" spans="1:18">
      <c r="A1591" s="4">
        <v>35585700000000</v>
      </c>
      <c r="B1591" t="s">
        <v>28</v>
      </c>
      <c r="C1591">
        <v>12</v>
      </c>
      <c r="D1591" t="s">
        <v>31</v>
      </c>
      <c r="E1591" t="s">
        <v>56</v>
      </c>
      <c r="F1591" s="1">
        <v>42488</v>
      </c>
      <c r="G1591" s="1">
        <v>42506</v>
      </c>
      <c r="H1591" t="s">
        <v>30</v>
      </c>
      <c r="I1591">
        <v>18</v>
      </c>
      <c r="J1591" t="s">
        <v>77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26</v>
      </c>
      <c r="R1591">
        <v>1</v>
      </c>
    </row>
    <row r="1592" spans="1:18">
      <c r="A1592" s="4">
        <v>38379600000000</v>
      </c>
      <c r="B1592" t="s">
        <v>18</v>
      </c>
      <c r="C1592">
        <v>22</v>
      </c>
      <c r="D1592" t="s">
        <v>37</v>
      </c>
      <c r="E1592" t="s">
        <v>84</v>
      </c>
      <c r="F1592" s="1">
        <v>42488</v>
      </c>
      <c r="G1592" s="1">
        <v>42495</v>
      </c>
      <c r="H1592" t="s">
        <v>33</v>
      </c>
      <c r="I1592">
        <v>7</v>
      </c>
      <c r="J1592" t="s">
        <v>107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 t="s">
        <v>23</v>
      </c>
      <c r="R1592">
        <v>0</v>
      </c>
    </row>
    <row r="1593" spans="1:18">
      <c r="A1593" s="4">
        <v>1897260000000</v>
      </c>
      <c r="B1593" t="s">
        <v>28</v>
      </c>
      <c r="C1593">
        <v>62</v>
      </c>
      <c r="D1593" t="s">
        <v>35</v>
      </c>
      <c r="E1593" t="s">
        <v>39</v>
      </c>
      <c r="F1593" s="1">
        <v>42488</v>
      </c>
      <c r="G1593" s="1">
        <v>42492</v>
      </c>
      <c r="H1593" t="s">
        <v>30</v>
      </c>
      <c r="I1593">
        <v>4</v>
      </c>
      <c r="J1593" t="s">
        <v>107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1</v>
      </c>
      <c r="Q1593" t="s">
        <v>23</v>
      </c>
      <c r="R1593">
        <v>0</v>
      </c>
    </row>
    <row r="1594" spans="1:18">
      <c r="A1594" s="4">
        <v>26534389175</v>
      </c>
      <c r="B1594" t="s">
        <v>18</v>
      </c>
      <c r="C1594">
        <v>57</v>
      </c>
      <c r="D1594" t="s">
        <v>35</v>
      </c>
      <c r="E1594" t="s">
        <v>82</v>
      </c>
      <c r="F1594" s="1">
        <v>42488</v>
      </c>
      <c r="G1594" s="1">
        <v>42492</v>
      </c>
      <c r="H1594" t="s">
        <v>30</v>
      </c>
      <c r="I1594">
        <v>4</v>
      </c>
      <c r="J1594" t="s">
        <v>107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1</v>
      </c>
      <c r="Q1594" t="s">
        <v>23</v>
      </c>
      <c r="R1594">
        <v>0</v>
      </c>
    </row>
    <row r="1595" spans="1:18">
      <c r="A1595" s="4">
        <v>4168390000000</v>
      </c>
      <c r="B1595" t="s">
        <v>28</v>
      </c>
      <c r="C1595">
        <v>65</v>
      </c>
      <c r="D1595" t="s">
        <v>35</v>
      </c>
      <c r="E1595" t="s">
        <v>36</v>
      </c>
      <c r="F1595" s="1">
        <v>42488</v>
      </c>
      <c r="G1595" s="1">
        <v>42499</v>
      </c>
      <c r="H1595" t="s">
        <v>30</v>
      </c>
      <c r="I1595">
        <v>11</v>
      </c>
      <c r="J1595" t="s">
        <v>92</v>
      </c>
      <c r="K1595">
        <v>0</v>
      </c>
      <c r="L1595">
        <v>1</v>
      </c>
      <c r="M1595">
        <v>0</v>
      </c>
      <c r="N1595">
        <v>0</v>
      </c>
      <c r="O1595">
        <v>0</v>
      </c>
      <c r="P1595">
        <v>0</v>
      </c>
      <c r="Q1595" t="s">
        <v>23</v>
      </c>
      <c r="R1595">
        <v>0</v>
      </c>
    </row>
    <row r="1596" spans="1:18">
      <c r="A1596" s="4">
        <v>1174590000000</v>
      </c>
      <c r="B1596" t="s">
        <v>28</v>
      </c>
      <c r="C1596">
        <v>25</v>
      </c>
      <c r="D1596" t="s">
        <v>37</v>
      </c>
      <c r="E1596" t="s">
        <v>50</v>
      </c>
      <c r="F1596" s="1">
        <v>42488</v>
      </c>
      <c r="G1596" s="1">
        <v>42496</v>
      </c>
      <c r="H1596" t="s">
        <v>21</v>
      </c>
      <c r="I1596">
        <v>8</v>
      </c>
      <c r="J1596" t="s">
        <v>92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1</v>
      </c>
      <c r="Q1596" t="s">
        <v>23</v>
      </c>
      <c r="R1596">
        <v>0</v>
      </c>
    </row>
    <row r="1597" spans="1:18">
      <c r="A1597" s="4">
        <v>262415000000000</v>
      </c>
      <c r="B1597" t="s">
        <v>18</v>
      </c>
      <c r="C1597">
        <v>22</v>
      </c>
      <c r="D1597" t="s">
        <v>37</v>
      </c>
      <c r="E1597" t="s">
        <v>69</v>
      </c>
      <c r="F1597" s="1">
        <v>42488</v>
      </c>
      <c r="G1597" s="1">
        <v>42502</v>
      </c>
      <c r="H1597" t="s">
        <v>33</v>
      </c>
      <c r="I1597">
        <v>14</v>
      </c>
      <c r="J1597" t="s">
        <v>92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1</v>
      </c>
      <c r="Q1597" t="s">
        <v>23</v>
      </c>
      <c r="R1597">
        <v>0</v>
      </c>
    </row>
    <row r="1598" spans="1:18">
      <c r="A1598" s="4">
        <v>54661300000000</v>
      </c>
      <c r="B1598" t="s">
        <v>18</v>
      </c>
      <c r="C1598">
        <v>72</v>
      </c>
      <c r="D1598" t="s">
        <v>19</v>
      </c>
      <c r="E1598" t="s">
        <v>58</v>
      </c>
      <c r="F1598" s="1">
        <v>42488</v>
      </c>
      <c r="G1598" s="1">
        <v>42492</v>
      </c>
      <c r="H1598" t="s">
        <v>30</v>
      </c>
      <c r="I1598">
        <v>4</v>
      </c>
      <c r="J1598" t="s">
        <v>107</v>
      </c>
      <c r="K1598">
        <v>1</v>
      </c>
      <c r="L1598">
        <v>1</v>
      </c>
      <c r="M1598">
        <v>0</v>
      </c>
      <c r="N1598">
        <v>0</v>
      </c>
      <c r="O1598">
        <v>0</v>
      </c>
      <c r="P1598">
        <v>1</v>
      </c>
      <c r="Q1598" t="s">
        <v>23</v>
      </c>
      <c r="R1598">
        <v>0</v>
      </c>
    </row>
    <row r="1599" spans="1:18">
      <c r="A1599" s="4">
        <v>5169770000000</v>
      </c>
      <c r="B1599" t="s">
        <v>18</v>
      </c>
      <c r="C1599">
        <v>75</v>
      </c>
      <c r="D1599" t="s">
        <v>19</v>
      </c>
      <c r="E1599" t="s">
        <v>59</v>
      </c>
      <c r="F1599" s="1">
        <v>42488</v>
      </c>
      <c r="G1599" s="1">
        <v>42529</v>
      </c>
      <c r="H1599" t="s">
        <v>25</v>
      </c>
      <c r="I1599">
        <v>41</v>
      </c>
      <c r="J1599" t="s">
        <v>22</v>
      </c>
      <c r="K1599">
        <v>1</v>
      </c>
      <c r="L1599">
        <v>1</v>
      </c>
      <c r="M1599">
        <v>0</v>
      </c>
      <c r="N1599">
        <v>0</v>
      </c>
      <c r="O1599">
        <v>0</v>
      </c>
      <c r="P1599">
        <v>1</v>
      </c>
      <c r="Q1599" t="s">
        <v>26</v>
      </c>
      <c r="R1599">
        <v>1</v>
      </c>
    </row>
    <row r="1600" spans="1:18">
      <c r="A1600" s="4">
        <v>9211680000000</v>
      </c>
      <c r="B1600" t="s">
        <v>18</v>
      </c>
      <c r="C1600">
        <v>17</v>
      </c>
      <c r="D1600" t="s">
        <v>60</v>
      </c>
      <c r="E1600" t="s">
        <v>84</v>
      </c>
      <c r="F1600" s="1">
        <v>42488</v>
      </c>
      <c r="G1600" s="1">
        <v>42502</v>
      </c>
      <c r="H1600" t="s">
        <v>33</v>
      </c>
      <c r="I1600">
        <v>14</v>
      </c>
      <c r="J1600" t="s">
        <v>92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</v>
      </c>
      <c r="Q1600" t="s">
        <v>23</v>
      </c>
      <c r="R1600">
        <v>0</v>
      </c>
    </row>
    <row r="1601" spans="1:18">
      <c r="A1601" s="4">
        <v>98232300000000</v>
      </c>
      <c r="B1601" t="s">
        <v>18</v>
      </c>
      <c r="C1601">
        <v>42</v>
      </c>
      <c r="D1601" t="s">
        <v>27</v>
      </c>
      <c r="E1601" t="s">
        <v>96</v>
      </c>
      <c r="F1601" s="1">
        <v>42488</v>
      </c>
      <c r="G1601" s="1">
        <v>42494</v>
      </c>
      <c r="H1601" t="s">
        <v>25</v>
      </c>
      <c r="I1601">
        <v>6</v>
      </c>
      <c r="J1601" t="s">
        <v>107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</v>
      </c>
      <c r="Q1601" t="s">
        <v>26</v>
      </c>
      <c r="R1601">
        <v>1</v>
      </c>
    </row>
    <row r="1602" spans="1:18">
      <c r="A1602" s="4">
        <v>6718330000000</v>
      </c>
      <c r="B1602" t="s">
        <v>18</v>
      </c>
      <c r="C1602">
        <v>18</v>
      </c>
      <c r="D1602" t="s">
        <v>37</v>
      </c>
      <c r="E1602" t="s">
        <v>54</v>
      </c>
      <c r="F1602" s="1">
        <v>42488</v>
      </c>
      <c r="G1602" s="1">
        <v>42507</v>
      </c>
      <c r="H1602" t="s">
        <v>41</v>
      </c>
      <c r="I1602">
        <v>19</v>
      </c>
      <c r="J1602" t="s">
        <v>77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26</v>
      </c>
      <c r="R1602">
        <v>1</v>
      </c>
    </row>
    <row r="1603" spans="1:18">
      <c r="A1603" s="4">
        <v>56434000000000</v>
      </c>
      <c r="B1603" t="s">
        <v>18</v>
      </c>
      <c r="C1603">
        <v>68</v>
      </c>
      <c r="D1603" t="s">
        <v>19</v>
      </c>
      <c r="E1603" t="s">
        <v>39</v>
      </c>
      <c r="F1603" s="1">
        <v>42488</v>
      </c>
      <c r="G1603" s="1">
        <v>42495</v>
      </c>
      <c r="H1603" t="s">
        <v>33</v>
      </c>
      <c r="I1603">
        <v>7</v>
      </c>
      <c r="J1603" t="s">
        <v>107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1</v>
      </c>
      <c r="Q1603" t="s">
        <v>23</v>
      </c>
      <c r="R1603">
        <v>0</v>
      </c>
    </row>
    <row r="1604" spans="1:18">
      <c r="A1604" s="4">
        <v>7986220000000</v>
      </c>
      <c r="B1604" t="s">
        <v>18</v>
      </c>
      <c r="C1604">
        <v>68</v>
      </c>
      <c r="D1604" t="s">
        <v>19</v>
      </c>
      <c r="E1604" t="s">
        <v>29</v>
      </c>
      <c r="F1604" s="1">
        <v>42488</v>
      </c>
      <c r="G1604" s="1">
        <v>42492</v>
      </c>
      <c r="H1604" t="s">
        <v>30</v>
      </c>
      <c r="I1604">
        <v>4</v>
      </c>
      <c r="J1604" t="s">
        <v>107</v>
      </c>
      <c r="K1604">
        <v>0</v>
      </c>
      <c r="L1604">
        <v>1</v>
      </c>
      <c r="M1604">
        <v>0</v>
      </c>
      <c r="N1604">
        <v>0</v>
      </c>
      <c r="O1604">
        <v>0</v>
      </c>
      <c r="P1604">
        <v>1</v>
      </c>
      <c r="Q1604" t="s">
        <v>23</v>
      </c>
      <c r="R1604">
        <v>0</v>
      </c>
    </row>
    <row r="1605" spans="1:18">
      <c r="A1605" s="4">
        <v>4678970000000</v>
      </c>
      <c r="B1605" t="s">
        <v>18</v>
      </c>
      <c r="C1605">
        <v>17</v>
      </c>
      <c r="D1605" t="s">
        <v>60</v>
      </c>
      <c r="E1605" t="s">
        <v>48</v>
      </c>
      <c r="F1605" s="1">
        <v>42488</v>
      </c>
      <c r="G1605" s="1">
        <v>42494</v>
      </c>
      <c r="H1605" t="s">
        <v>25</v>
      </c>
      <c r="I1605">
        <v>6</v>
      </c>
      <c r="J1605" t="s">
        <v>107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1</v>
      </c>
      <c r="Q1605" t="s">
        <v>23</v>
      </c>
      <c r="R1605">
        <v>0</v>
      </c>
    </row>
    <row r="1606" spans="1:18">
      <c r="A1606" s="4">
        <v>583462000000000</v>
      </c>
      <c r="B1606" t="s">
        <v>18</v>
      </c>
      <c r="C1606">
        <v>42</v>
      </c>
      <c r="D1606" t="s">
        <v>27</v>
      </c>
      <c r="E1606" t="s">
        <v>64</v>
      </c>
      <c r="F1606" s="1">
        <v>42488</v>
      </c>
      <c r="G1606" s="1">
        <v>42510</v>
      </c>
      <c r="H1606" t="s">
        <v>21</v>
      </c>
      <c r="I1606">
        <v>22</v>
      </c>
      <c r="J1606" t="s">
        <v>77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26</v>
      </c>
      <c r="R1606">
        <v>1</v>
      </c>
    </row>
    <row r="1607" spans="1:18">
      <c r="A1607" s="4">
        <v>2728420000000</v>
      </c>
      <c r="B1607" t="s">
        <v>18</v>
      </c>
      <c r="C1607">
        <v>44</v>
      </c>
      <c r="D1607" t="s">
        <v>27</v>
      </c>
      <c r="E1607" t="s">
        <v>84</v>
      </c>
      <c r="F1607" s="1">
        <v>42488</v>
      </c>
      <c r="G1607" s="1">
        <v>42496</v>
      </c>
      <c r="H1607" t="s">
        <v>21</v>
      </c>
      <c r="I1607">
        <v>8</v>
      </c>
      <c r="J1607" t="s">
        <v>92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1</v>
      </c>
      <c r="Q1607" t="s">
        <v>26</v>
      </c>
      <c r="R1607">
        <v>1</v>
      </c>
    </row>
    <row r="1608" spans="1:18">
      <c r="A1608" s="4">
        <v>66771166148</v>
      </c>
      <c r="B1608" t="s">
        <v>18</v>
      </c>
      <c r="C1608">
        <v>12</v>
      </c>
      <c r="D1608" t="s">
        <v>31</v>
      </c>
      <c r="E1608" t="s">
        <v>71</v>
      </c>
      <c r="F1608" s="1">
        <v>42488</v>
      </c>
      <c r="G1608" s="1">
        <v>42501</v>
      </c>
      <c r="H1608" t="s">
        <v>25</v>
      </c>
      <c r="I1608">
        <v>13</v>
      </c>
      <c r="J1608" t="s">
        <v>92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 t="s">
        <v>23</v>
      </c>
      <c r="R1608">
        <v>0</v>
      </c>
    </row>
    <row r="1609" spans="1:18">
      <c r="A1609" s="4">
        <v>897628000000000</v>
      </c>
      <c r="B1609" t="s">
        <v>18</v>
      </c>
      <c r="C1609">
        <v>11</v>
      </c>
      <c r="D1609" t="s">
        <v>31</v>
      </c>
      <c r="E1609" t="s">
        <v>71</v>
      </c>
      <c r="F1609" s="1">
        <v>42488</v>
      </c>
      <c r="G1609" s="1">
        <v>42501</v>
      </c>
      <c r="H1609" t="s">
        <v>25</v>
      </c>
      <c r="I1609">
        <v>13</v>
      </c>
      <c r="J1609" t="s">
        <v>92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26</v>
      </c>
      <c r="R1609">
        <v>1</v>
      </c>
    </row>
    <row r="1610" spans="1:18">
      <c r="A1610" s="4">
        <v>615472000000</v>
      </c>
      <c r="B1610" t="s">
        <v>28</v>
      </c>
      <c r="C1610">
        <v>8</v>
      </c>
      <c r="D1610" t="s">
        <v>31</v>
      </c>
      <c r="E1610" t="s">
        <v>75</v>
      </c>
      <c r="F1610" s="1">
        <v>42488</v>
      </c>
      <c r="G1610" s="1">
        <v>42492</v>
      </c>
      <c r="H1610" t="s">
        <v>30</v>
      </c>
      <c r="I1610">
        <v>4</v>
      </c>
      <c r="J1610" t="s">
        <v>107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23</v>
      </c>
      <c r="R1610">
        <v>0</v>
      </c>
    </row>
    <row r="1611" spans="1:18">
      <c r="A1611" s="4">
        <v>4426670000000</v>
      </c>
      <c r="B1611" t="s">
        <v>18</v>
      </c>
      <c r="C1611">
        <v>27</v>
      </c>
      <c r="D1611" t="s">
        <v>37</v>
      </c>
      <c r="E1611" t="s">
        <v>84</v>
      </c>
      <c r="F1611" s="1">
        <v>42488</v>
      </c>
      <c r="G1611" s="1">
        <v>42502</v>
      </c>
      <c r="H1611" t="s">
        <v>33</v>
      </c>
      <c r="I1611">
        <v>14</v>
      </c>
      <c r="J1611" t="s">
        <v>92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1</v>
      </c>
      <c r="Q1611" t="s">
        <v>23</v>
      </c>
      <c r="R1611">
        <v>0</v>
      </c>
    </row>
    <row r="1612" spans="1:18">
      <c r="A1612" s="4">
        <v>21241500000000</v>
      </c>
      <c r="B1612" t="s">
        <v>18</v>
      </c>
      <c r="C1612">
        <v>1</v>
      </c>
      <c r="D1612" t="s">
        <v>31</v>
      </c>
      <c r="E1612" t="s">
        <v>44</v>
      </c>
      <c r="F1612" s="1">
        <v>42488</v>
      </c>
      <c r="G1612" s="1">
        <v>42495</v>
      </c>
      <c r="H1612" t="s">
        <v>33</v>
      </c>
      <c r="I1612">
        <v>7</v>
      </c>
      <c r="J1612" t="s">
        <v>107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1</v>
      </c>
      <c r="Q1612" t="s">
        <v>23</v>
      </c>
      <c r="R1612">
        <v>0</v>
      </c>
    </row>
    <row r="1613" spans="1:18">
      <c r="A1613" s="4">
        <v>15714000000000</v>
      </c>
      <c r="B1613" t="s">
        <v>18</v>
      </c>
      <c r="C1613">
        <v>72</v>
      </c>
      <c r="D1613" t="s">
        <v>19</v>
      </c>
      <c r="E1613" t="s">
        <v>101</v>
      </c>
      <c r="F1613" s="1">
        <v>42488</v>
      </c>
      <c r="G1613" s="1">
        <v>42489</v>
      </c>
      <c r="H1613" t="s">
        <v>21</v>
      </c>
      <c r="I1613">
        <v>1</v>
      </c>
      <c r="J1613" t="s">
        <v>109</v>
      </c>
      <c r="K1613">
        <v>0</v>
      </c>
      <c r="L1613">
        <v>1</v>
      </c>
      <c r="M1613">
        <v>1</v>
      </c>
      <c r="N1613">
        <v>0</v>
      </c>
      <c r="O1613">
        <v>0</v>
      </c>
      <c r="P1613">
        <v>0</v>
      </c>
      <c r="Q1613" t="s">
        <v>23</v>
      </c>
      <c r="R1613">
        <v>0</v>
      </c>
    </row>
    <row r="1614" spans="1:18">
      <c r="A1614" s="4">
        <v>442356000000000</v>
      </c>
      <c r="B1614" t="s">
        <v>28</v>
      </c>
      <c r="C1614">
        <v>69</v>
      </c>
      <c r="D1614" t="s">
        <v>19</v>
      </c>
      <c r="E1614" t="s">
        <v>105</v>
      </c>
      <c r="F1614" s="1">
        <v>42488</v>
      </c>
      <c r="G1614" s="1">
        <v>42492</v>
      </c>
      <c r="H1614" t="s">
        <v>30</v>
      </c>
      <c r="I1614">
        <v>4</v>
      </c>
      <c r="J1614" t="s">
        <v>107</v>
      </c>
      <c r="K1614">
        <v>0</v>
      </c>
      <c r="L1614">
        <v>1</v>
      </c>
      <c r="M1614">
        <v>1</v>
      </c>
      <c r="N1614">
        <v>0</v>
      </c>
      <c r="O1614">
        <v>0</v>
      </c>
      <c r="P1614">
        <v>1</v>
      </c>
      <c r="Q1614" t="s">
        <v>23</v>
      </c>
      <c r="R1614">
        <v>0</v>
      </c>
    </row>
    <row r="1615" spans="1:18">
      <c r="A1615" s="4">
        <v>42842900000000</v>
      </c>
      <c r="B1615" t="s">
        <v>18</v>
      </c>
      <c r="C1615">
        <v>62</v>
      </c>
      <c r="D1615" t="s">
        <v>35</v>
      </c>
      <c r="E1615" t="s">
        <v>29</v>
      </c>
      <c r="F1615" s="1">
        <v>42488</v>
      </c>
      <c r="G1615" s="1">
        <v>42493</v>
      </c>
      <c r="H1615" t="s">
        <v>41</v>
      </c>
      <c r="I1615">
        <v>5</v>
      </c>
      <c r="J1615" t="s">
        <v>107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1</v>
      </c>
      <c r="Q1615" t="s">
        <v>23</v>
      </c>
      <c r="R1615">
        <v>0</v>
      </c>
    </row>
    <row r="1616" spans="1:18">
      <c r="A1616" s="4">
        <v>528279000000000</v>
      </c>
      <c r="B1616" t="s">
        <v>18</v>
      </c>
      <c r="C1616">
        <v>35</v>
      </c>
      <c r="D1616" t="s">
        <v>37</v>
      </c>
      <c r="E1616" t="s">
        <v>44</v>
      </c>
      <c r="F1616" s="1">
        <v>42488</v>
      </c>
      <c r="G1616" s="1">
        <v>42514</v>
      </c>
      <c r="H1616" t="s">
        <v>41</v>
      </c>
      <c r="I1616">
        <v>26</v>
      </c>
      <c r="J1616" t="s">
        <v>77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</v>
      </c>
      <c r="Q1616" t="s">
        <v>26</v>
      </c>
      <c r="R1616">
        <v>1</v>
      </c>
    </row>
    <row r="1617" spans="1:18">
      <c r="A1617" s="4">
        <v>54586600000000</v>
      </c>
      <c r="B1617" t="s">
        <v>18</v>
      </c>
      <c r="C1617">
        <v>17</v>
      </c>
      <c r="D1617" t="s">
        <v>60</v>
      </c>
      <c r="E1617" t="s">
        <v>81</v>
      </c>
      <c r="F1617" s="1">
        <v>42488</v>
      </c>
      <c r="G1617" s="1">
        <v>42496</v>
      </c>
      <c r="H1617" t="s">
        <v>21</v>
      </c>
      <c r="I1617">
        <v>8</v>
      </c>
      <c r="J1617" t="s">
        <v>92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1</v>
      </c>
      <c r="Q1617" t="s">
        <v>23</v>
      </c>
      <c r="R1617">
        <v>0</v>
      </c>
    </row>
    <row r="1618" spans="1:18">
      <c r="A1618" s="4">
        <v>54586600000000</v>
      </c>
      <c r="B1618" t="s">
        <v>18</v>
      </c>
      <c r="C1618">
        <v>17</v>
      </c>
      <c r="D1618" t="s">
        <v>60</v>
      </c>
      <c r="E1618" t="s">
        <v>81</v>
      </c>
      <c r="F1618" s="1">
        <v>42488</v>
      </c>
      <c r="G1618" s="1">
        <v>42496</v>
      </c>
      <c r="H1618" t="s">
        <v>21</v>
      </c>
      <c r="I1618">
        <v>8</v>
      </c>
      <c r="J1618" t="s">
        <v>92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23</v>
      </c>
      <c r="R1618">
        <v>0</v>
      </c>
    </row>
    <row r="1619" spans="1:18">
      <c r="A1619" s="4">
        <v>133267000000</v>
      </c>
      <c r="B1619" t="s">
        <v>18</v>
      </c>
      <c r="C1619">
        <v>61</v>
      </c>
      <c r="D1619" t="s">
        <v>35</v>
      </c>
      <c r="E1619" t="s">
        <v>56</v>
      </c>
      <c r="F1619" s="1">
        <v>42488</v>
      </c>
      <c r="G1619" s="1">
        <v>42492</v>
      </c>
      <c r="H1619" t="s">
        <v>30</v>
      </c>
      <c r="I1619">
        <v>4</v>
      </c>
      <c r="J1619" t="s">
        <v>107</v>
      </c>
      <c r="K1619">
        <v>1</v>
      </c>
      <c r="L1619">
        <v>1</v>
      </c>
      <c r="M1619">
        <v>0</v>
      </c>
      <c r="N1619">
        <v>0</v>
      </c>
      <c r="O1619">
        <v>0</v>
      </c>
      <c r="P1619">
        <v>1</v>
      </c>
      <c r="Q1619" t="s">
        <v>23</v>
      </c>
      <c r="R1619">
        <v>0</v>
      </c>
    </row>
    <row r="1620" spans="1:18">
      <c r="A1620" s="4">
        <v>79953300000000</v>
      </c>
      <c r="B1620" t="s">
        <v>18</v>
      </c>
      <c r="C1620">
        <v>30</v>
      </c>
      <c r="D1620" t="s">
        <v>37</v>
      </c>
      <c r="E1620" t="s">
        <v>45</v>
      </c>
      <c r="F1620" s="1">
        <v>42488</v>
      </c>
      <c r="G1620" s="1">
        <v>42510</v>
      </c>
      <c r="H1620" t="s">
        <v>21</v>
      </c>
      <c r="I1620">
        <v>22</v>
      </c>
      <c r="J1620" t="s">
        <v>77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26</v>
      </c>
      <c r="R1620">
        <v>1</v>
      </c>
    </row>
    <row r="1621" spans="1:18">
      <c r="A1621" s="4">
        <v>8297340000000</v>
      </c>
      <c r="B1621" t="s">
        <v>28</v>
      </c>
      <c r="C1621">
        <v>59</v>
      </c>
      <c r="D1621" t="s">
        <v>35</v>
      </c>
      <c r="E1621" t="s">
        <v>47</v>
      </c>
      <c r="F1621" s="1">
        <v>42488</v>
      </c>
      <c r="G1621" s="1">
        <v>42492</v>
      </c>
      <c r="H1621" t="s">
        <v>30</v>
      </c>
      <c r="I1621">
        <v>4</v>
      </c>
      <c r="J1621" t="s">
        <v>107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1</v>
      </c>
      <c r="Q1621" t="s">
        <v>23</v>
      </c>
      <c r="R1621">
        <v>0</v>
      </c>
    </row>
    <row r="1622" spans="1:18">
      <c r="A1622" s="4">
        <v>88777800000000</v>
      </c>
      <c r="B1622" t="s">
        <v>18</v>
      </c>
      <c r="C1622">
        <v>10</v>
      </c>
      <c r="D1622" t="s">
        <v>31</v>
      </c>
      <c r="E1622" t="s">
        <v>45</v>
      </c>
      <c r="F1622" s="1">
        <v>42488</v>
      </c>
      <c r="G1622" s="1">
        <v>42494</v>
      </c>
      <c r="H1622" t="s">
        <v>25</v>
      </c>
      <c r="I1622">
        <v>6</v>
      </c>
      <c r="J1622" t="s">
        <v>107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1</v>
      </c>
      <c r="Q1622" t="s">
        <v>26</v>
      </c>
      <c r="R1622">
        <v>1</v>
      </c>
    </row>
    <row r="1623" spans="1:18">
      <c r="A1623" s="4">
        <v>93985900000000</v>
      </c>
      <c r="B1623" t="s">
        <v>28</v>
      </c>
      <c r="C1623">
        <v>21</v>
      </c>
      <c r="D1623" t="s">
        <v>37</v>
      </c>
      <c r="E1623" t="s">
        <v>61</v>
      </c>
      <c r="F1623" s="1">
        <v>42488</v>
      </c>
      <c r="G1623" s="1">
        <v>42495</v>
      </c>
      <c r="H1623" t="s">
        <v>33</v>
      </c>
      <c r="I1623">
        <v>7</v>
      </c>
      <c r="J1623" t="s">
        <v>107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</v>
      </c>
      <c r="Q1623" t="s">
        <v>23</v>
      </c>
      <c r="R1623">
        <v>0</v>
      </c>
    </row>
    <row r="1624" spans="1:18">
      <c r="A1624" s="4">
        <v>7346680000000</v>
      </c>
      <c r="B1624" t="s">
        <v>18</v>
      </c>
      <c r="C1624">
        <v>47</v>
      </c>
      <c r="D1624" t="s">
        <v>27</v>
      </c>
      <c r="E1624" t="s">
        <v>63</v>
      </c>
      <c r="F1624" s="1">
        <v>42488</v>
      </c>
      <c r="G1624" s="1">
        <v>42501</v>
      </c>
      <c r="H1624" t="s">
        <v>25</v>
      </c>
      <c r="I1624">
        <v>13</v>
      </c>
      <c r="J1624" t="s">
        <v>92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</v>
      </c>
      <c r="Q1624" t="s">
        <v>26</v>
      </c>
      <c r="R1624">
        <v>1</v>
      </c>
    </row>
    <row r="1625" spans="1:18">
      <c r="A1625" s="4">
        <v>29961100000000</v>
      </c>
      <c r="B1625" t="s">
        <v>18</v>
      </c>
      <c r="C1625">
        <v>15</v>
      </c>
      <c r="D1625" t="s">
        <v>60</v>
      </c>
      <c r="E1625" t="s">
        <v>65</v>
      </c>
      <c r="F1625" s="1">
        <v>42488</v>
      </c>
      <c r="G1625" s="1">
        <v>42514</v>
      </c>
      <c r="H1625" t="s">
        <v>41</v>
      </c>
      <c r="I1625">
        <v>26</v>
      </c>
      <c r="J1625" t="s">
        <v>77</v>
      </c>
      <c r="K1625">
        <v>1</v>
      </c>
      <c r="L1625">
        <v>0</v>
      </c>
      <c r="M1625">
        <v>0</v>
      </c>
      <c r="N1625">
        <v>0</v>
      </c>
      <c r="O1625">
        <v>0</v>
      </c>
      <c r="P1625">
        <v>1</v>
      </c>
      <c r="Q1625" t="s">
        <v>26</v>
      </c>
      <c r="R1625">
        <v>1</v>
      </c>
    </row>
    <row r="1626" spans="1:18">
      <c r="A1626" s="4">
        <v>777893000000000</v>
      </c>
      <c r="B1626" t="s">
        <v>18</v>
      </c>
      <c r="C1626">
        <v>85</v>
      </c>
      <c r="D1626" t="s">
        <v>19</v>
      </c>
      <c r="E1626" t="s">
        <v>29</v>
      </c>
      <c r="F1626" s="1">
        <v>42488</v>
      </c>
      <c r="G1626" s="1">
        <v>42492</v>
      </c>
      <c r="H1626" t="s">
        <v>30</v>
      </c>
      <c r="I1626">
        <v>4</v>
      </c>
      <c r="J1626" t="s">
        <v>107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1</v>
      </c>
      <c r="Q1626" t="s">
        <v>23</v>
      </c>
      <c r="R1626">
        <v>0</v>
      </c>
    </row>
    <row r="1627" spans="1:18">
      <c r="A1627" s="4">
        <v>54967400000000</v>
      </c>
      <c r="B1627" t="s">
        <v>28</v>
      </c>
      <c r="C1627">
        <v>36</v>
      </c>
      <c r="D1627" t="s">
        <v>27</v>
      </c>
      <c r="E1627" t="s">
        <v>40</v>
      </c>
      <c r="F1627" s="1">
        <v>42488</v>
      </c>
      <c r="G1627" s="1">
        <v>42492</v>
      </c>
      <c r="H1627" t="s">
        <v>30</v>
      </c>
      <c r="I1627">
        <v>4</v>
      </c>
      <c r="J1627" t="s">
        <v>107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1</v>
      </c>
      <c r="Q1627" t="s">
        <v>23</v>
      </c>
      <c r="R1627">
        <v>0</v>
      </c>
    </row>
    <row r="1628" spans="1:18">
      <c r="A1628" s="4">
        <v>983942000000000</v>
      </c>
      <c r="B1628" t="s">
        <v>18</v>
      </c>
      <c r="C1628">
        <v>61</v>
      </c>
      <c r="D1628" t="s">
        <v>35</v>
      </c>
      <c r="E1628" t="s">
        <v>72</v>
      </c>
      <c r="F1628" s="1">
        <v>42488</v>
      </c>
      <c r="G1628" s="1">
        <v>42492</v>
      </c>
      <c r="H1628" t="s">
        <v>30</v>
      </c>
      <c r="I1628">
        <v>4</v>
      </c>
      <c r="J1628" t="s">
        <v>107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1</v>
      </c>
      <c r="Q1628" t="s">
        <v>23</v>
      </c>
      <c r="R1628">
        <v>0</v>
      </c>
    </row>
    <row r="1629" spans="1:18">
      <c r="A1629" s="4">
        <v>75372800000000</v>
      </c>
      <c r="B1629" t="s">
        <v>18</v>
      </c>
      <c r="C1629">
        <v>56</v>
      </c>
      <c r="D1629" t="s">
        <v>35</v>
      </c>
      <c r="E1629" t="s">
        <v>96</v>
      </c>
      <c r="F1629" s="1">
        <v>42488</v>
      </c>
      <c r="G1629" s="1">
        <v>42489</v>
      </c>
      <c r="H1629" t="s">
        <v>21</v>
      </c>
      <c r="I1629">
        <v>1</v>
      </c>
      <c r="J1629" t="s">
        <v>109</v>
      </c>
      <c r="K1629">
        <v>0</v>
      </c>
      <c r="L1629">
        <v>1</v>
      </c>
      <c r="M1629">
        <v>0</v>
      </c>
      <c r="N1629">
        <v>0</v>
      </c>
      <c r="O1629">
        <v>0</v>
      </c>
      <c r="P1629">
        <v>0</v>
      </c>
      <c r="Q1629" t="s">
        <v>23</v>
      </c>
      <c r="R1629">
        <v>0</v>
      </c>
    </row>
    <row r="1630" spans="1:18">
      <c r="A1630" s="4">
        <v>363724000000</v>
      </c>
      <c r="B1630" t="s">
        <v>18</v>
      </c>
      <c r="C1630">
        <v>44</v>
      </c>
      <c r="D1630" t="s">
        <v>27</v>
      </c>
      <c r="E1630" t="s">
        <v>67</v>
      </c>
      <c r="F1630" s="1">
        <v>42488</v>
      </c>
      <c r="G1630" s="1">
        <v>42515</v>
      </c>
      <c r="H1630" t="s">
        <v>25</v>
      </c>
      <c r="I1630">
        <v>27</v>
      </c>
      <c r="J1630" t="s">
        <v>77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1</v>
      </c>
      <c r="Q1630" t="s">
        <v>23</v>
      </c>
      <c r="R1630">
        <v>0</v>
      </c>
    </row>
    <row r="1631" spans="1:18">
      <c r="A1631" s="4">
        <v>591169000000</v>
      </c>
      <c r="B1631" t="s">
        <v>28</v>
      </c>
      <c r="C1631">
        <v>6</v>
      </c>
      <c r="D1631" t="s">
        <v>31</v>
      </c>
      <c r="E1631" t="s">
        <v>62</v>
      </c>
      <c r="F1631" s="1">
        <v>42488</v>
      </c>
      <c r="G1631" s="1">
        <v>42521</v>
      </c>
      <c r="H1631" t="s">
        <v>41</v>
      </c>
      <c r="I1631">
        <v>33</v>
      </c>
      <c r="J1631" t="s">
        <v>22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1</v>
      </c>
      <c r="Q1631" t="s">
        <v>26</v>
      </c>
      <c r="R1631">
        <v>1</v>
      </c>
    </row>
    <row r="1632" spans="1:18">
      <c r="A1632" s="4">
        <v>66744000000000</v>
      </c>
      <c r="B1632" t="s">
        <v>18</v>
      </c>
      <c r="C1632">
        <v>15</v>
      </c>
      <c r="D1632" t="s">
        <v>60</v>
      </c>
      <c r="E1632" t="s">
        <v>108</v>
      </c>
      <c r="F1632" s="1">
        <v>42488</v>
      </c>
      <c r="G1632" s="1">
        <v>42496</v>
      </c>
      <c r="H1632" t="s">
        <v>21</v>
      </c>
      <c r="I1632">
        <v>8</v>
      </c>
      <c r="J1632" t="s">
        <v>92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 t="s">
        <v>23</v>
      </c>
      <c r="R1632">
        <v>0</v>
      </c>
    </row>
    <row r="1633" spans="1:18">
      <c r="A1633" s="4">
        <v>64498118518</v>
      </c>
      <c r="B1633" t="s">
        <v>18</v>
      </c>
      <c r="C1633">
        <v>29</v>
      </c>
      <c r="D1633" t="s">
        <v>37</v>
      </c>
      <c r="E1633" t="s">
        <v>58</v>
      </c>
      <c r="F1633" s="1">
        <v>42488</v>
      </c>
      <c r="G1633" s="1">
        <v>42489</v>
      </c>
      <c r="H1633" t="s">
        <v>21</v>
      </c>
      <c r="I1633">
        <v>1</v>
      </c>
      <c r="J1633" t="s">
        <v>109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23</v>
      </c>
      <c r="R1633">
        <v>0</v>
      </c>
    </row>
    <row r="1634" spans="1:18">
      <c r="A1634" s="4">
        <v>596939000000000</v>
      </c>
      <c r="B1634" t="s">
        <v>18</v>
      </c>
      <c r="C1634">
        <v>28</v>
      </c>
      <c r="D1634" t="s">
        <v>37</v>
      </c>
      <c r="E1634" t="s">
        <v>57</v>
      </c>
      <c r="F1634" s="1">
        <v>42488</v>
      </c>
      <c r="G1634" s="1">
        <v>42489</v>
      </c>
      <c r="H1634" t="s">
        <v>21</v>
      </c>
      <c r="I1634">
        <v>1</v>
      </c>
      <c r="J1634" t="s">
        <v>109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23</v>
      </c>
      <c r="R1634">
        <v>0</v>
      </c>
    </row>
    <row r="1635" spans="1:18">
      <c r="A1635" s="4">
        <v>752367000000000</v>
      </c>
      <c r="B1635" t="s">
        <v>18</v>
      </c>
      <c r="C1635">
        <v>69</v>
      </c>
      <c r="D1635" t="s">
        <v>19</v>
      </c>
      <c r="E1635" t="s">
        <v>65</v>
      </c>
      <c r="F1635" s="1">
        <v>42488</v>
      </c>
      <c r="G1635" s="1">
        <v>42495</v>
      </c>
      <c r="H1635" t="s">
        <v>33</v>
      </c>
      <c r="I1635">
        <v>7</v>
      </c>
      <c r="J1635" t="s">
        <v>107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26</v>
      </c>
      <c r="R1635">
        <v>1</v>
      </c>
    </row>
    <row r="1636" spans="1:18">
      <c r="A1636" s="4">
        <v>695337000000000</v>
      </c>
      <c r="B1636" t="s">
        <v>18</v>
      </c>
      <c r="C1636">
        <v>40</v>
      </c>
      <c r="D1636" t="s">
        <v>27</v>
      </c>
      <c r="E1636" t="s">
        <v>75</v>
      </c>
      <c r="F1636" s="1">
        <v>42488</v>
      </c>
      <c r="G1636" s="1">
        <v>42508</v>
      </c>
      <c r="H1636" t="s">
        <v>25</v>
      </c>
      <c r="I1636">
        <v>20</v>
      </c>
      <c r="J1636" t="s">
        <v>77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26</v>
      </c>
      <c r="R1636">
        <v>1</v>
      </c>
    </row>
    <row r="1637" spans="1:18">
      <c r="A1637" s="4">
        <v>8776510000000</v>
      </c>
      <c r="B1637" t="s">
        <v>18</v>
      </c>
      <c r="C1637">
        <v>27</v>
      </c>
      <c r="D1637" t="s">
        <v>37</v>
      </c>
      <c r="E1637" t="s">
        <v>45</v>
      </c>
      <c r="F1637" s="1">
        <v>42488</v>
      </c>
      <c r="G1637" s="1">
        <v>42520</v>
      </c>
      <c r="H1637" t="s">
        <v>30</v>
      </c>
      <c r="I1637">
        <v>32</v>
      </c>
      <c r="J1637" t="s">
        <v>22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 t="s">
        <v>23</v>
      </c>
      <c r="R1637">
        <v>0</v>
      </c>
    </row>
    <row r="1638" spans="1:18">
      <c r="A1638" s="4">
        <v>1856220000000</v>
      </c>
      <c r="B1638" t="s">
        <v>18</v>
      </c>
      <c r="C1638">
        <v>51</v>
      </c>
      <c r="D1638" t="s">
        <v>35</v>
      </c>
      <c r="E1638" t="s">
        <v>29</v>
      </c>
      <c r="F1638" s="1">
        <v>42488</v>
      </c>
      <c r="G1638" s="1">
        <v>42508</v>
      </c>
      <c r="H1638" t="s">
        <v>25</v>
      </c>
      <c r="I1638">
        <v>20</v>
      </c>
      <c r="J1638" t="s">
        <v>77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23</v>
      </c>
      <c r="R1638">
        <v>0</v>
      </c>
    </row>
    <row r="1639" spans="1:18">
      <c r="A1639" s="4">
        <v>617328000000</v>
      </c>
      <c r="B1639" t="s">
        <v>28</v>
      </c>
      <c r="C1639">
        <v>5</v>
      </c>
      <c r="D1639" t="s">
        <v>31</v>
      </c>
      <c r="E1639" t="s">
        <v>20</v>
      </c>
      <c r="F1639" s="1">
        <v>42488</v>
      </c>
      <c r="G1639" s="1">
        <v>42489</v>
      </c>
      <c r="H1639" t="s">
        <v>21</v>
      </c>
      <c r="I1639">
        <v>1</v>
      </c>
      <c r="J1639" t="s">
        <v>109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23</v>
      </c>
      <c r="R1639">
        <v>0</v>
      </c>
    </row>
    <row r="1640" spans="1:18">
      <c r="A1640" s="4">
        <v>51672711622</v>
      </c>
      <c r="B1640" t="s">
        <v>18</v>
      </c>
      <c r="C1640">
        <v>75</v>
      </c>
      <c r="D1640" t="s">
        <v>19</v>
      </c>
      <c r="E1640" t="s">
        <v>71</v>
      </c>
      <c r="F1640" s="1">
        <v>42488</v>
      </c>
      <c r="G1640" s="1">
        <v>42492</v>
      </c>
      <c r="H1640" t="s">
        <v>30</v>
      </c>
      <c r="I1640">
        <v>4</v>
      </c>
      <c r="J1640" t="s">
        <v>107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1</v>
      </c>
      <c r="Q1640" t="s">
        <v>23</v>
      </c>
      <c r="R1640">
        <v>0</v>
      </c>
    </row>
    <row r="1641" spans="1:18">
      <c r="A1641" s="4">
        <v>658690000000</v>
      </c>
      <c r="B1641" t="s">
        <v>18</v>
      </c>
      <c r="C1641">
        <v>74</v>
      </c>
      <c r="D1641" t="s">
        <v>19</v>
      </c>
      <c r="E1641" t="s">
        <v>72</v>
      </c>
      <c r="F1641" s="1">
        <v>42488</v>
      </c>
      <c r="G1641" s="1">
        <v>42492</v>
      </c>
      <c r="H1641" t="s">
        <v>30</v>
      </c>
      <c r="I1641">
        <v>4</v>
      </c>
      <c r="J1641" t="s">
        <v>107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 t="s">
        <v>23</v>
      </c>
      <c r="R1641">
        <v>0</v>
      </c>
    </row>
    <row r="1642" spans="1:18">
      <c r="A1642" s="4">
        <v>282934000000000</v>
      </c>
      <c r="B1642" t="s">
        <v>18</v>
      </c>
      <c r="C1642">
        <v>57</v>
      </c>
      <c r="D1642" t="s">
        <v>35</v>
      </c>
      <c r="E1642" t="s">
        <v>47</v>
      </c>
      <c r="F1642" s="1">
        <v>42488</v>
      </c>
      <c r="G1642" s="1">
        <v>42492</v>
      </c>
      <c r="H1642" t="s">
        <v>30</v>
      </c>
      <c r="I1642">
        <v>4</v>
      </c>
      <c r="J1642" t="s">
        <v>107</v>
      </c>
      <c r="K1642">
        <v>0</v>
      </c>
      <c r="L1642">
        <v>1</v>
      </c>
      <c r="M1642">
        <v>1</v>
      </c>
      <c r="N1642">
        <v>0</v>
      </c>
      <c r="O1642">
        <v>0</v>
      </c>
      <c r="P1642">
        <v>1</v>
      </c>
      <c r="Q1642" t="s">
        <v>23</v>
      </c>
      <c r="R1642">
        <v>0</v>
      </c>
    </row>
    <row r="1643" spans="1:18">
      <c r="A1643" s="4">
        <v>617618000000000</v>
      </c>
      <c r="B1643" t="s">
        <v>18</v>
      </c>
      <c r="C1643">
        <v>18</v>
      </c>
      <c r="D1643" t="s">
        <v>37</v>
      </c>
      <c r="E1643" t="s">
        <v>61</v>
      </c>
      <c r="F1643" s="1">
        <v>42488</v>
      </c>
      <c r="G1643" s="1">
        <v>42495</v>
      </c>
      <c r="H1643" t="s">
        <v>33</v>
      </c>
      <c r="I1643">
        <v>7</v>
      </c>
      <c r="J1643" t="s">
        <v>107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1</v>
      </c>
      <c r="Q1643" t="s">
        <v>23</v>
      </c>
      <c r="R1643">
        <v>0</v>
      </c>
    </row>
    <row r="1644" spans="1:18">
      <c r="A1644" s="4">
        <v>8893980000000</v>
      </c>
      <c r="B1644" t="s">
        <v>28</v>
      </c>
      <c r="C1644">
        <v>51</v>
      </c>
      <c r="D1644" t="s">
        <v>35</v>
      </c>
      <c r="E1644" t="s">
        <v>103</v>
      </c>
      <c r="F1644" s="1">
        <v>42488</v>
      </c>
      <c r="G1644" s="1">
        <v>42496</v>
      </c>
      <c r="H1644" t="s">
        <v>21</v>
      </c>
      <c r="I1644">
        <v>8</v>
      </c>
      <c r="J1644" t="s">
        <v>92</v>
      </c>
      <c r="K1644">
        <v>1</v>
      </c>
      <c r="L1644">
        <v>1</v>
      </c>
      <c r="M1644">
        <v>1</v>
      </c>
      <c r="N1644">
        <v>0</v>
      </c>
      <c r="O1644">
        <v>0</v>
      </c>
      <c r="P1644">
        <v>1</v>
      </c>
      <c r="Q1644" t="s">
        <v>23</v>
      </c>
      <c r="R1644">
        <v>0</v>
      </c>
    </row>
    <row r="1645" spans="1:18">
      <c r="A1645" s="4">
        <v>13183335914</v>
      </c>
      <c r="B1645" t="s">
        <v>28</v>
      </c>
      <c r="C1645">
        <v>54</v>
      </c>
      <c r="D1645" t="s">
        <v>35</v>
      </c>
      <c r="E1645" t="s">
        <v>39</v>
      </c>
      <c r="F1645" s="1">
        <v>42488</v>
      </c>
      <c r="G1645" s="1">
        <v>42494</v>
      </c>
      <c r="H1645" t="s">
        <v>25</v>
      </c>
      <c r="I1645">
        <v>6</v>
      </c>
      <c r="J1645" t="s">
        <v>107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</v>
      </c>
      <c r="Q1645" t="s">
        <v>23</v>
      </c>
      <c r="R1645">
        <v>0</v>
      </c>
    </row>
    <row r="1646" spans="1:18">
      <c r="A1646" s="4">
        <v>836354000000000</v>
      </c>
      <c r="B1646" t="s">
        <v>18</v>
      </c>
      <c r="C1646">
        <v>43</v>
      </c>
      <c r="D1646" t="s">
        <v>27</v>
      </c>
      <c r="E1646" t="s">
        <v>71</v>
      </c>
      <c r="F1646" s="1">
        <v>42488</v>
      </c>
      <c r="G1646" s="1">
        <v>42493</v>
      </c>
      <c r="H1646" t="s">
        <v>41</v>
      </c>
      <c r="I1646">
        <v>5</v>
      </c>
      <c r="J1646" t="s">
        <v>107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1</v>
      </c>
      <c r="Q1646" t="s">
        <v>23</v>
      </c>
      <c r="R1646">
        <v>0</v>
      </c>
    </row>
    <row r="1647" spans="1:18">
      <c r="A1647" s="4">
        <v>87134700000000</v>
      </c>
      <c r="B1647" t="s">
        <v>28</v>
      </c>
      <c r="C1647">
        <v>42</v>
      </c>
      <c r="D1647" t="s">
        <v>27</v>
      </c>
      <c r="E1647" t="s">
        <v>20</v>
      </c>
      <c r="F1647" s="1">
        <v>42488</v>
      </c>
      <c r="G1647" s="1">
        <v>42492</v>
      </c>
      <c r="H1647" t="s">
        <v>30</v>
      </c>
      <c r="I1647">
        <v>4</v>
      </c>
      <c r="J1647" t="s">
        <v>107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</v>
      </c>
      <c r="Q1647" t="s">
        <v>26</v>
      </c>
      <c r="R1647">
        <v>1</v>
      </c>
    </row>
    <row r="1648" spans="1:18">
      <c r="A1648" s="4">
        <v>2591170000000</v>
      </c>
      <c r="B1648" t="s">
        <v>28</v>
      </c>
      <c r="C1648">
        <v>1</v>
      </c>
      <c r="D1648" t="s">
        <v>31</v>
      </c>
      <c r="E1648" t="s">
        <v>72</v>
      </c>
      <c r="F1648" s="1">
        <v>42488</v>
      </c>
      <c r="G1648" s="1">
        <v>42492</v>
      </c>
      <c r="H1648" t="s">
        <v>30</v>
      </c>
      <c r="I1648">
        <v>4</v>
      </c>
      <c r="J1648" t="s">
        <v>107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</v>
      </c>
      <c r="Q1648" t="s">
        <v>23</v>
      </c>
      <c r="R1648">
        <v>0</v>
      </c>
    </row>
    <row r="1649" spans="1:18">
      <c r="A1649" s="4">
        <v>188697000000000</v>
      </c>
      <c r="B1649" t="s">
        <v>28</v>
      </c>
      <c r="C1649">
        <v>42</v>
      </c>
      <c r="D1649" t="s">
        <v>27</v>
      </c>
      <c r="E1649" t="s">
        <v>39</v>
      </c>
      <c r="F1649" s="1">
        <v>42488</v>
      </c>
      <c r="G1649" s="1">
        <v>42496</v>
      </c>
      <c r="H1649" t="s">
        <v>21</v>
      </c>
      <c r="I1649">
        <v>8</v>
      </c>
      <c r="J1649" t="s">
        <v>92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23</v>
      </c>
      <c r="R1649">
        <v>0</v>
      </c>
    </row>
    <row r="1650" spans="1:18">
      <c r="A1650" s="4">
        <v>91933800000000</v>
      </c>
      <c r="B1650" t="s">
        <v>28</v>
      </c>
      <c r="C1650">
        <v>28</v>
      </c>
      <c r="D1650" t="s">
        <v>37</v>
      </c>
      <c r="E1650" t="s">
        <v>39</v>
      </c>
      <c r="F1650" s="1">
        <v>42488</v>
      </c>
      <c r="G1650" s="1">
        <v>42496</v>
      </c>
      <c r="H1650" t="s">
        <v>21</v>
      </c>
      <c r="I1650">
        <v>8</v>
      </c>
      <c r="J1650" t="s">
        <v>92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</v>
      </c>
      <c r="Q1650" t="s">
        <v>23</v>
      </c>
      <c r="R1650">
        <v>0</v>
      </c>
    </row>
    <row r="1651" spans="1:18">
      <c r="A1651" s="4">
        <v>143184000000</v>
      </c>
      <c r="B1651" t="s">
        <v>28</v>
      </c>
      <c r="C1651">
        <v>52</v>
      </c>
      <c r="D1651" t="s">
        <v>35</v>
      </c>
      <c r="E1651" t="s">
        <v>39</v>
      </c>
      <c r="F1651" s="1">
        <v>42488</v>
      </c>
      <c r="G1651" s="1">
        <v>42496</v>
      </c>
      <c r="H1651" t="s">
        <v>21</v>
      </c>
      <c r="I1651">
        <v>8</v>
      </c>
      <c r="J1651" t="s">
        <v>92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26</v>
      </c>
      <c r="R1651">
        <v>1</v>
      </c>
    </row>
    <row r="1652" spans="1:18">
      <c r="A1652" s="4">
        <v>2141540000000</v>
      </c>
      <c r="B1652" t="s">
        <v>18</v>
      </c>
      <c r="C1652">
        <v>26</v>
      </c>
      <c r="D1652" t="s">
        <v>37</v>
      </c>
      <c r="E1652" t="s">
        <v>89</v>
      </c>
      <c r="F1652" s="1">
        <v>42488</v>
      </c>
      <c r="G1652" s="1">
        <v>42499</v>
      </c>
      <c r="H1652" t="s">
        <v>30</v>
      </c>
      <c r="I1652">
        <v>11</v>
      </c>
      <c r="J1652" t="s">
        <v>92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23</v>
      </c>
      <c r="R1652">
        <v>0</v>
      </c>
    </row>
    <row r="1653" spans="1:18">
      <c r="A1653" s="4">
        <v>265396000000000</v>
      </c>
      <c r="B1653" t="s">
        <v>18</v>
      </c>
      <c r="C1653">
        <v>85</v>
      </c>
      <c r="D1653" t="s">
        <v>19</v>
      </c>
      <c r="E1653" t="s">
        <v>70</v>
      </c>
      <c r="F1653" s="1">
        <v>42488</v>
      </c>
      <c r="G1653" s="1">
        <v>42494</v>
      </c>
      <c r="H1653" t="s">
        <v>25</v>
      </c>
      <c r="I1653">
        <v>6</v>
      </c>
      <c r="J1653" t="s">
        <v>107</v>
      </c>
      <c r="K1653">
        <v>0</v>
      </c>
      <c r="L1653">
        <v>1</v>
      </c>
      <c r="M1653">
        <v>0</v>
      </c>
      <c r="N1653">
        <v>0</v>
      </c>
      <c r="O1653">
        <v>0</v>
      </c>
      <c r="P1653">
        <v>1</v>
      </c>
      <c r="Q1653" t="s">
        <v>23</v>
      </c>
      <c r="R1653">
        <v>0</v>
      </c>
    </row>
    <row r="1654" spans="1:18">
      <c r="A1654" s="4">
        <v>831745000000000</v>
      </c>
      <c r="B1654" t="s">
        <v>28</v>
      </c>
      <c r="C1654">
        <v>59</v>
      </c>
      <c r="D1654" t="s">
        <v>35</v>
      </c>
      <c r="E1654" t="s">
        <v>54</v>
      </c>
      <c r="F1654" s="1">
        <v>42489</v>
      </c>
      <c r="G1654" s="1">
        <v>42493</v>
      </c>
      <c r="H1654" t="s">
        <v>41</v>
      </c>
      <c r="I1654">
        <v>4</v>
      </c>
      <c r="J1654" t="s">
        <v>107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</v>
      </c>
      <c r="Q1654" t="s">
        <v>23</v>
      </c>
      <c r="R1654">
        <v>0</v>
      </c>
    </row>
    <row r="1655" spans="1:18">
      <c r="A1655" s="4">
        <v>7461920000000</v>
      </c>
      <c r="B1655" t="s">
        <v>18</v>
      </c>
      <c r="C1655">
        <v>53</v>
      </c>
      <c r="D1655" t="s">
        <v>35</v>
      </c>
      <c r="E1655" t="s">
        <v>87</v>
      </c>
      <c r="F1655" s="1">
        <v>42489</v>
      </c>
      <c r="G1655" s="1">
        <v>42494</v>
      </c>
      <c r="H1655" t="s">
        <v>25</v>
      </c>
      <c r="I1655">
        <v>5</v>
      </c>
      <c r="J1655" t="s">
        <v>107</v>
      </c>
      <c r="K1655">
        <v>0</v>
      </c>
      <c r="L1655">
        <v>1</v>
      </c>
      <c r="M1655">
        <v>0</v>
      </c>
      <c r="N1655">
        <v>0</v>
      </c>
      <c r="O1655">
        <v>0</v>
      </c>
      <c r="P1655">
        <v>1</v>
      </c>
      <c r="Q1655" t="s">
        <v>23</v>
      </c>
      <c r="R1655">
        <v>0</v>
      </c>
    </row>
    <row r="1656" spans="1:18">
      <c r="A1656" s="4">
        <v>35943300000000</v>
      </c>
      <c r="B1656" t="s">
        <v>18</v>
      </c>
      <c r="C1656">
        <v>69</v>
      </c>
      <c r="D1656" t="s">
        <v>19</v>
      </c>
      <c r="E1656" t="s">
        <v>36</v>
      </c>
      <c r="F1656" s="1">
        <v>42489</v>
      </c>
      <c r="G1656" s="1">
        <v>42494</v>
      </c>
      <c r="H1656" t="s">
        <v>25</v>
      </c>
      <c r="I1656">
        <v>5</v>
      </c>
      <c r="J1656" t="s">
        <v>107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1</v>
      </c>
      <c r="Q1656" t="s">
        <v>23</v>
      </c>
      <c r="R1656">
        <v>0</v>
      </c>
    </row>
    <row r="1657" spans="1:18">
      <c r="A1657" s="4">
        <v>61511800000000</v>
      </c>
      <c r="B1657" t="s">
        <v>28</v>
      </c>
      <c r="C1657">
        <v>18</v>
      </c>
      <c r="D1657" t="s">
        <v>37</v>
      </c>
      <c r="E1657" t="s">
        <v>84</v>
      </c>
      <c r="F1657" s="1">
        <v>42489</v>
      </c>
      <c r="G1657" s="1">
        <v>42489</v>
      </c>
      <c r="H1657" t="s">
        <v>21</v>
      </c>
      <c r="I1657">
        <v>0</v>
      </c>
      <c r="J1657" t="s">
        <v>111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23</v>
      </c>
      <c r="R1657">
        <v>0</v>
      </c>
    </row>
    <row r="1658" spans="1:18">
      <c r="A1658" s="4">
        <v>26881126559</v>
      </c>
      <c r="B1658" t="s">
        <v>18</v>
      </c>
      <c r="C1658">
        <v>61</v>
      </c>
      <c r="D1658" t="s">
        <v>35</v>
      </c>
      <c r="E1658" t="s">
        <v>57</v>
      </c>
      <c r="F1658" s="1">
        <v>42489</v>
      </c>
      <c r="G1658" s="1">
        <v>42493</v>
      </c>
      <c r="H1658" t="s">
        <v>41</v>
      </c>
      <c r="I1658">
        <v>4</v>
      </c>
      <c r="J1658" t="s">
        <v>107</v>
      </c>
      <c r="K1658">
        <v>1</v>
      </c>
      <c r="L1658">
        <v>1</v>
      </c>
      <c r="M1658">
        <v>1</v>
      </c>
      <c r="N1658">
        <v>0</v>
      </c>
      <c r="O1658">
        <v>0</v>
      </c>
      <c r="P1658">
        <v>1</v>
      </c>
      <c r="Q1658" t="s">
        <v>26</v>
      </c>
      <c r="R1658">
        <v>1</v>
      </c>
    </row>
    <row r="1659" spans="1:18">
      <c r="A1659" s="4">
        <v>14781900000000</v>
      </c>
      <c r="B1659" t="s">
        <v>18</v>
      </c>
      <c r="C1659">
        <v>73</v>
      </c>
      <c r="D1659" t="s">
        <v>19</v>
      </c>
      <c r="E1659" t="s">
        <v>52</v>
      </c>
      <c r="F1659" s="1">
        <v>42489</v>
      </c>
      <c r="G1659" s="1">
        <v>42489</v>
      </c>
      <c r="H1659" t="s">
        <v>21</v>
      </c>
      <c r="I1659">
        <v>0</v>
      </c>
      <c r="J1659" t="s">
        <v>111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23</v>
      </c>
      <c r="R1659">
        <v>0</v>
      </c>
    </row>
    <row r="1660" spans="1:18">
      <c r="A1660" s="4">
        <v>83982400000000</v>
      </c>
      <c r="B1660" t="s">
        <v>28</v>
      </c>
      <c r="C1660">
        <v>9</v>
      </c>
      <c r="D1660" t="s">
        <v>31</v>
      </c>
      <c r="E1660" t="s">
        <v>68</v>
      </c>
      <c r="F1660" s="1">
        <v>42489</v>
      </c>
      <c r="G1660" s="1">
        <v>42493</v>
      </c>
      <c r="H1660" t="s">
        <v>41</v>
      </c>
      <c r="I1660">
        <v>4</v>
      </c>
      <c r="J1660" t="s">
        <v>107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1</v>
      </c>
      <c r="Q1660" t="s">
        <v>26</v>
      </c>
      <c r="R1660">
        <v>1</v>
      </c>
    </row>
    <row r="1661" spans="1:18">
      <c r="A1661" s="4">
        <v>72744800000000</v>
      </c>
      <c r="B1661" t="s">
        <v>28</v>
      </c>
      <c r="C1661">
        <v>11</v>
      </c>
      <c r="D1661" t="s">
        <v>31</v>
      </c>
      <c r="E1661" t="s">
        <v>40</v>
      </c>
      <c r="F1661" s="1">
        <v>42489</v>
      </c>
      <c r="G1661" s="1">
        <v>42495</v>
      </c>
      <c r="H1661" t="s">
        <v>33</v>
      </c>
      <c r="I1661">
        <v>6</v>
      </c>
      <c r="J1661" t="s">
        <v>107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1</v>
      </c>
      <c r="Q1661" t="s">
        <v>23</v>
      </c>
      <c r="R1661">
        <v>0</v>
      </c>
    </row>
    <row r="1662" spans="1:18">
      <c r="A1662" s="4">
        <v>98791700000000</v>
      </c>
      <c r="B1662" t="s">
        <v>18</v>
      </c>
      <c r="C1662">
        <v>51</v>
      </c>
      <c r="D1662" t="s">
        <v>35</v>
      </c>
      <c r="E1662" t="s">
        <v>97</v>
      </c>
      <c r="F1662" s="1">
        <v>42489</v>
      </c>
      <c r="G1662" s="1">
        <v>42499</v>
      </c>
      <c r="H1662" t="s">
        <v>30</v>
      </c>
      <c r="I1662">
        <v>10</v>
      </c>
      <c r="J1662" t="s">
        <v>92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23</v>
      </c>
      <c r="R1662">
        <v>0</v>
      </c>
    </row>
    <row r="1663" spans="1:18">
      <c r="A1663" s="4">
        <v>148212000000</v>
      </c>
      <c r="B1663" t="s">
        <v>18</v>
      </c>
      <c r="C1663">
        <v>39</v>
      </c>
      <c r="D1663" t="s">
        <v>27</v>
      </c>
      <c r="E1663" t="s">
        <v>96</v>
      </c>
      <c r="F1663" s="1">
        <v>42489</v>
      </c>
      <c r="G1663" s="1">
        <v>42501</v>
      </c>
      <c r="H1663" t="s">
        <v>25</v>
      </c>
      <c r="I1663">
        <v>12</v>
      </c>
      <c r="J1663" t="s">
        <v>92</v>
      </c>
      <c r="K1663">
        <v>1</v>
      </c>
      <c r="L1663">
        <v>0</v>
      </c>
      <c r="M1663">
        <v>0</v>
      </c>
      <c r="N1663">
        <v>0</v>
      </c>
      <c r="O1663">
        <v>0</v>
      </c>
      <c r="P1663">
        <v>1</v>
      </c>
      <c r="Q1663" t="s">
        <v>23</v>
      </c>
      <c r="R1663">
        <v>0</v>
      </c>
    </row>
    <row r="1664" spans="1:18">
      <c r="A1664" s="4">
        <v>76391800000000</v>
      </c>
      <c r="B1664" t="s">
        <v>18</v>
      </c>
      <c r="C1664">
        <v>10</v>
      </c>
      <c r="D1664" t="s">
        <v>31</v>
      </c>
      <c r="E1664" t="s">
        <v>59</v>
      </c>
      <c r="F1664" s="1">
        <v>42489</v>
      </c>
      <c r="G1664" s="1">
        <v>42489</v>
      </c>
      <c r="H1664" t="s">
        <v>21</v>
      </c>
      <c r="I1664">
        <v>0</v>
      </c>
      <c r="J1664" t="s">
        <v>111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23</v>
      </c>
      <c r="R1664">
        <v>0</v>
      </c>
    </row>
    <row r="1665" spans="1:18">
      <c r="A1665" s="4">
        <v>8198560000000</v>
      </c>
      <c r="B1665" t="s">
        <v>18</v>
      </c>
      <c r="C1665">
        <v>54</v>
      </c>
      <c r="D1665" t="s">
        <v>35</v>
      </c>
      <c r="E1665" t="s">
        <v>66</v>
      </c>
      <c r="F1665" s="1">
        <v>42489</v>
      </c>
      <c r="G1665" s="1">
        <v>42493</v>
      </c>
      <c r="H1665" t="s">
        <v>41</v>
      </c>
      <c r="I1665">
        <v>4</v>
      </c>
      <c r="J1665" t="s">
        <v>107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1</v>
      </c>
      <c r="Q1665" t="s">
        <v>23</v>
      </c>
      <c r="R1665">
        <v>0</v>
      </c>
    </row>
    <row r="1666" spans="1:18">
      <c r="A1666" s="4">
        <v>637364000000</v>
      </c>
      <c r="B1666" t="s">
        <v>28</v>
      </c>
      <c r="C1666">
        <v>4</v>
      </c>
      <c r="D1666" t="s">
        <v>31</v>
      </c>
      <c r="E1666" t="s">
        <v>101</v>
      </c>
      <c r="F1666" s="1">
        <v>42489</v>
      </c>
      <c r="G1666" s="1">
        <v>42489</v>
      </c>
      <c r="H1666" t="s">
        <v>21</v>
      </c>
      <c r="I1666">
        <v>0</v>
      </c>
      <c r="J1666" t="s">
        <v>111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23</v>
      </c>
      <c r="R1666">
        <v>0</v>
      </c>
    </row>
    <row r="1667" spans="1:18">
      <c r="A1667" s="4">
        <v>38637400000000</v>
      </c>
      <c r="B1667" t="s">
        <v>18</v>
      </c>
      <c r="C1667">
        <v>0</v>
      </c>
      <c r="D1667" t="s">
        <v>31</v>
      </c>
      <c r="E1667" t="s">
        <v>73</v>
      </c>
      <c r="F1667" s="1">
        <v>42489</v>
      </c>
      <c r="G1667" s="1">
        <v>42494</v>
      </c>
      <c r="H1667" t="s">
        <v>25</v>
      </c>
      <c r="I1667">
        <v>5</v>
      </c>
      <c r="J1667" t="s">
        <v>107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23</v>
      </c>
      <c r="R1667">
        <v>0</v>
      </c>
    </row>
    <row r="1668" spans="1:18">
      <c r="A1668" s="4">
        <v>26124500000000</v>
      </c>
      <c r="B1668" t="s">
        <v>18</v>
      </c>
      <c r="C1668">
        <v>38</v>
      </c>
      <c r="D1668" t="s">
        <v>27</v>
      </c>
      <c r="E1668" t="s">
        <v>38</v>
      </c>
      <c r="F1668" s="1">
        <v>42489</v>
      </c>
      <c r="G1668" s="1">
        <v>42507</v>
      </c>
      <c r="H1668" t="s">
        <v>41</v>
      </c>
      <c r="I1668">
        <v>18</v>
      </c>
      <c r="J1668" t="s">
        <v>77</v>
      </c>
      <c r="K1668">
        <v>0</v>
      </c>
      <c r="L1668">
        <v>1</v>
      </c>
      <c r="M1668">
        <v>0</v>
      </c>
      <c r="N1668">
        <v>0</v>
      </c>
      <c r="O1668">
        <v>0</v>
      </c>
      <c r="P1668">
        <v>0</v>
      </c>
      <c r="Q1668" t="s">
        <v>26</v>
      </c>
      <c r="R1668">
        <v>1</v>
      </c>
    </row>
    <row r="1669" spans="1:18">
      <c r="A1669" s="4">
        <v>5489960000000</v>
      </c>
      <c r="B1669" t="s">
        <v>28</v>
      </c>
      <c r="C1669">
        <v>32</v>
      </c>
      <c r="D1669" t="s">
        <v>37</v>
      </c>
      <c r="E1669" t="s">
        <v>72</v>
      </c>
      <c r="F1669" s="1">
        <v>42489</v>
      </c>
      <c r="G1669" s="1">
        <v>42502</v>
      </c>
      <c r="H1669" t="s">
        <v>33</v>
      </c>
      <c r="I1669">
        <v>13</v>
      </c>
      <c r="J1669" t="s">
        <v>92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1</v>
      </c>
      <c r="Q1669" t="s">
        <v>23</v>
      </c>
      <c r="R1669">
        <v>0</v>
      </c>
    </row>
    <row r="1670" spans="1:18">
      <c r="A1670" s="4">
        <v>857115000000000</v>
      </c>
      <c r="B1670" t="s">
        <v>18</v>
      </c>
      <c r="C1670">
        <v>49</v>
      </c>
      <c r="D1670" t="s">
        <v>27</v>
      </c>
      <c r="E1670" t="s">
        <v>95</v>
      </c>
      <c r="F1670" s="1">
        <v>42489</v>
      </c>
      <c r="G1670" s="1">
        <v>42499</v>
      </c>
      <c r="H1670" t="s">
        <v>30</v>
      </c>
      <c r="I1670">
        <v>10</v>
      </c>
      <c r="J1670" t="s">
        <v>92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26</v>
      </c>
      <c r="R1670">
        <v>1</v>
      </c>
    </row>
    <row r="1671" spans="1:18">
      <c r="A1671" s="4">
        <v>638481000000</v>
      </c>
      <c r="B1671" t="s">
        <v>28</v>
      </c>
      <c r="C1671">
        <v>6</v>
      </c>
      <c r="D1671" t="s">
        <v>31</v>
      </c>
      <c r="E1671" t="s">
        <v>54</v>
      </c>
      <c r="F1671" s="1">
        <v>42489</v>
      </c>
      <c r="G1671" s="1">
        <v>42493</v>
      </c>
      <c r="H1671" t="s">
        <v>41</v>
      </c>
      <c r="I1671">
        <v>4</v>
      </c>
      <c r="J1671" t="s">
        <v>107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1</v>
      </c>
      <c r="Q1671" t="s">
        <v>23</v>
      </c>
      <c r="R1671">
        <v>0</v>
      </c>
    </row>
    <row r="1672" spans="1:18">
      <c r="A1672" s="4">
        <v>3396770000000</v>
      </c>
      <c r="B1672" t="s">
        <v>28</v>
      </c>
      <c r="C1672">
        <v>20</v>
      </c>
      <c r="D1672" t="s">
        <v>37</v>
      </c>
      <c r="E1672" t="s">
        <v>66</v>
      </c>
      <c r="F1672" s="1">
        <v>42489</v>
      </c>
      <c r="G1672" s="1">
        <v>42495</v>
      </c>
      <c r="H1672" t="s">
        <v>33</v>
      </c>
      <c r="I1672">
        <v>6</v>
      </c>
      <c r="J1672" t="s">
        <v>107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23</v>
      </c>
      <c r="R1672">
        <v>0</v>
      </c>
    </row>
    <row r="1673" spans="1:18">
      <c r="A1673" s="4">
        <v>65488268945</v>
      </c>
      <c r="B1673" t="s">
        <v>18</v>
      </c>
      <c r="C1673">
        <v>85</v>
      </c>
      <c r="D1673" t="s">
        <v>19</v>
      </c>
      <c r="E1673" t="s">
        <v>40</v>
      </c>
      <c r="F1673" s="1">
        <v>42489</v>
      </c>
      <c r="G1673" s="1">
        <v>42514</v>
      </c>
      <c r="H1673" t="s">
        <v>41</v>
      </c>
      <c r="I1673">
        <v>25</v>
      </c>
      <c r="J1673" t="s">
        <v>77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23</v>
      </c>
      <c r="R1673">
        <v>0</v>
      </c>
    </row>
    <row r="1674" spans="1:18">
      <c r="A1674" s="4">
        <v>1154630000000</v>
      </c>
      <c r="B1674" t="s">
        <v>18</v>
      </c>
      <c r="C1674">
        <v>68</v>
      </c>
      <c r="D1674" t="s">
        <v>19</v>
      </c>
      <c r="E1674" t="s">
        <v>91</v>
      </c>
      <c r="F1674" s="1">
        <v>42489</v>
      </c>
      <c r="G1674" s="1">
        <v>42499</v>
      </c>
      <c r="H1674" t="s">
        <v>30</v>
      </c>
      <c r="I1674">
        <v>10</v>
      </c>
      <c r="J1674" t="s">
        <v>92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23</v>
      </c>
      <c r="R1674">
        <v>0</v>
      </c>
    </row>
    <row r="1675" spans="1:18">
      <c r="A1675" s="4">
        <v>6399840000000</v>
      </c>
      <c r="B1675" t="s">
        <v>28</v>
      </c>
      <c r="C1675">
        <v>27</v>
      </c>
      <c r="D1675" t="s">
        <v>37</v>
      </c>
      <c r="E1675" t="s">
        <v>61</v>
      </c>
      <c r="F1675" s="1">
        <v>42489</v>
      </c>
      <c r="G1675" s="1">
        <v>42520</v>
      </c>
      <c r="H1675" t="s">
        <v>30</v>
      </c>
      <c r="I1675">
        <v>31</v>
      </c>
      <c r="J1675" t="s">
        <v>22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</v>
      </c>
      <c r="Q1675" t="s">
        <v>23</v>
      </c>
      <c r="R1675">
        <v>0</v>
      </c>
    </row>
    <row r="1676" spans="1:18">
      <c r="A1676" s="4">
        <v>321800000000000</v>
      </c>
      <c r="B1676" t="s">
        <v>18</v>
      </c>
      <c r="C1676">
        <v>39</v>
      </c>
      <c r="D1676" t="s">
        <v>27</v>
      </c>
      <c r="E1676" t="s">
        <v>32</v>
      </c>
      <c r="F1676" s="1">
        <v>42489</v>
      </c>
      <c r="G1676" s="1">
        <v>42494</v>
      </c>
      <c r="H1676" t="s">
        <v>25</v>
      </c>
      <c r="I1676">
        <v>5</v>
      </c>
      <c r="J1676" t="s">
        <v>107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1</v>
      </c>
      <c r="Q1676" t="s">
        <v>23</v>
      </c>
      <c r="R1676">
        <v>0</v>
      </c>
    </row>
    <row r="1677" spans="1:18">
      <c r="A1677" s="4">
        <v>8173270000000</v>
      </c>
      <c r="B1677" t="s">
        <v>18</v>
      </c>
      <c r="C1677">
        <v>50</v>
      </c>
      <c r="D1677" t="s">
        <v>27</v>
      </c>
      <c r="E1677" t="s">
        <v>91</v>
      </c>
      <c r="F1677" s="1">
        <v>42489</v>
      </c>
      <c r="G1677" s="1">
        <v>42500</v>
      </c>
      <c r="H1677" t="s">
        <v>41</v>
      </c>
      <c r="I1677">
        <v>11</v>
      </c>
      <c r="J1677" t="s">
        <v>92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 t="s">
        <v>23</v>
      </c>
      <c r="R1677">
        <v>0</v>
      </c>
    </row>
    <row r="1678" spans="1:18">
      <c r="A1678" s="4">
        <v>165752000000000</v>
      </c>
      <c r="B1678" t="s">
        <v>18</v>
      </c>
      <c r="C1678">
        <v>58</v>
      </c>
      <c r="D1678" t="s">
        <v>35</v>
      </c>
      <c r="E1678" t="s">
        <v>53</v>
      </c>
      <c r="F1678" s="1">
        <v>42489</v>
      </c>
      <c r="G1678" s="1">
        <v>42496</v>
      </c>
      <c r="H1678" t="s">
        <v>21</v>
      </c>
      <c r="I1678">
        <v>7</v>
      </c>
      <c r="J1678" t="s">
        <v>107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 t="s">
        <v>23</v>
      </c>
      <c r="R1678">
        <v>0</v>
      </c>
    </row>
    <row r="1679" spans="1:18">
      <c r="A1679" s="4">
        <v>2669170000000</v>
      </c>
      <c r="B1679" t="s">
        <v>28</v>
      </c>
      <c r="C1679">
        <v>89</v>
      </c>
      <c r="D1679" t="s">
        <v>19</v>
      </c>
      <c r="E1679" t="s">
        <v>40</v>
      </c>
      <c r="F1679" s="1">
        <v>42489</v>
      </c>
      <c r="G1679" s="1">
        <v>42514</v>
      </c>
      <c r="H1679" t="s">
        <v>41</v>
      </c>
      <c r="I1679">
        <v>25</v>
      </c>
      <c r="J1679" t="s">
        <v>77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23</v>
      </c>
      <c r="R1679">
        <v>0</v>
      </c>
    </row>
    <row r="1680" spans="1:18">
      <c r="A1680" s="4">
        <v>44199700000000</v>
      </c>
      <c r="B1680" t="s">
        <v>18</v>
      </c>
      <c r="C1680">
        <v>78</v>
      </c>
      <c r="D1680" t="s">
        <v>19</v>
      </c>
      <c r="E1680" t="s">
        <v>32</v>
      </c>
      <c r="F1680" s="1">
        <v>42489</v>
      </c>
      <c r="G1680" s="1">
        <v>42494</v>
      </c>
      <c r="H1680" t="s">
        <v>25</v>
      </c>
      <c r="I1680">
        <v>5</v>
      </c>
      <c r="J1680" t="s">
        <v>107</v>
      </c>
      <c r="K1680">
        <v>0</v>
      </c>
      <c r="L1680">
        <v>1</v>
      </c>
      <c r="M1680">
        <v>0</v>
      </c>
      <c r="N1680">
        <v>0</v>
      </c>
      <c r="O1680">
        <v>0</v>
      </c>
      <c r="P1680">
        <v>1</v>
      </c>
      <c r="Q1680" t="s">
        <v>23</v>
      </c>
      <c r="R1680">
        <v>0</v>
      </c>
    </row>
    <row r="1681" spans="1:18">
      <c r="A1681" s="4">
        <v>663348000000000</v>
      </c>
      <c r="B1681" t="s">
        <v>18</v>
      </c>
      <c r="C1681">
        <v>49</v>
      </c>
      <c r="D1681" t="s">
        <v>27</v>
      </c>
      <c r="E1681" t="s">
        <v>34</v>
      </c>
      <c r="F1681" s="1">
        <v>42489</v>
      </c>
      <c r="G1681" s="1">
        <v>42489</v>
      </c>
      <c r="H1681" t="s">
        <v>21</v>
      </c>
      <c r="I1681">
        <v>0</v>
      </c>
      <c r="J1681" t="s">
        <v>111</v>
      </c>
      <c r="K1681">
        <v>0</v>
      </c>
      <c r="L1681">
        <v>1</v>
      </c>
      <c r="M1681">
        <v>0</v>
      </c>
      <c r="N1681">
        <v>0</v>
      </c>
      <c r="O1681">
        <v>0</v>
      </c>
      <c r="P1681">
        <v>0</v>
      </c>
      <c r="Q1681" t="s">
        <v>23</v>
      </c>
      <c r="R1681">
        <v>0</v>
      </c>
    </row>
    <row r="1682" spans="1:18">
      <c r="A1682" s="4">
        <v>735196000000000</v>
      </c>
      <c r="B1682" t="s">
        <v>28</v>
      </c>
      <c r="C1682">
        <v>16</v>
      </c>
      <c r="D1682" t="s">
        <v>60</v>
      </c>
      <c r="E1682" t="s">
        <v>54</v>
      </c>
      <c r="F1682" s="1">
        <v>42489</v>
      </c>
      <c r="G1682" s="1">
        <v>42496</v>
      </c>
      <c r="H1682" t="s">
        <v>21</v>
      </c>
      <c r="I1682">
        <v>7</v>
      </c>
      <c r="J1682" t="s">
        <v>107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 t="s">
        <v>23</v>
      </c>
      <c r="R1682">
        <v>0</v>
      </c>
    </row>
    <row r="1683" spans="1:18">
      <c r="A1683" s="4">
        <v>158885000000000</v>
      </c>
      <c r="B1683" t="s">
        <v>18</v>
      </c>
      <c r="C1683">
        <v>48</v>
      </c>
      <c r="D1683" t="s">
        <v>27</v>
      </c>
      <c r="E1683" t="s">
        <v>84</v>
      </c>
      <c r="F1683" s="1">
        <v>42489</v>
      </c>
      <c r="G1683" s="1">
        <v>42493</v>
      </c>
      <c r="H1683" t="s">
        <v>41</v>
      </c>
      <c r="I1683">
        <v>4</v>
      </c>
      <c r="J1683" t="s">
        <v>107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 t="s">
        <v>23</v>
      </c>
      <c r="R1683">
        <v>0</v>
      </c>
    </row>
    <row r="1684" spans="1:18">
      <c r="A1684" s="4">
        <v>633884000000000</v>
      </c>
      <c r="B1684" t="s">
        <v>18</v>
      </c>
      <c r="C1684">
        <v>39</v>
      </c>
      <c r="D1684" t="s">
        <v>27</v>
      </c>
      <c r="E1684" t="s">
        <v>32</v>
      </c>
      <c r="F1684" s="1">
        <v>42489</v>
      </c>
      <c r="G1684" s="1">
        <v>42489</v>
      </c>
      <c r="H1684" t="s">
        <v>21</v>
      </c>
      <c r="I1684">
        <v>0</v>
      </c>
      <c r="J1684" t="s">
        <v>111</v>
      </c>
      <c r="K1684">
        <v>0</v>
      </c>
      <c r="L1684">
        <v>1</v>
      </c>
      <c r="M1684">
        <v>0</v>
      </c>
      <c r="N1684">
        <v>0</v>
      </c>
      <c r="O1684">
        <v>0</v>
      </c>
      <c r="P1684">
        <v>0</v>
      </c>
      <c r="Q1684" t="s">
        <v>23</v>
      </c>
      <c r="R1684">
        <v>0</v>
      </c>
    </row>
    <row r="1685" spans="1:18">
      <c r="A1685" s="4">
        <v>85888800000000</v>
      </c>
      <c r="B1685" t="s">
        <v>28</v>
      </c>
      <c r="C1685">
        <v>46</v>
      </c>
      <c r="D1685" t="s">
        <v>27</v>
      </c>
      <c r="E1685" t="s">
        <v>66</v>
      </c>
      <c r="F1685" s="1">
        <v>42489</v>
      </c>
      <c r="G1685" s="1">
        <v>42496</v>
      </c>
      <c r="H1685" t="s">
        <v>21</v>
      </c>
      <c r="I1685">
        <v>7</v>
      </c>
      <c r="J1685" t="s">
        <v>107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1</v>
      </c>
      <c r="Q1685" t="s">
        <v>23</v>
      </c>
      <c r="R1685">
        <v>0</v>
      </c>
    </row>
    <row r="1686" spans="1:18">
      <c r="A1686" s="4">
        <v>78162600000000</v>
      </c>
      <c r="B1686" t="s">
        <v>28</v>
      </c>
      <c r="C1686">
        <v>18</v>
      </c>
      <c r="D1686" t="s">
        <v>37</v>
      </c>
      <c r="E1686" t="s">
        <v>20</v>
      </c>
      <c r="F1686" s="1">
        <v>42489</v>
      </c>
      <c r="G1686" s="1">
        <v>42489</v>
      </c>
      <c r="H1686" t="s">
        <v>21</v>
      </c>
      <c r="I1686">
        <v>0</v>
      </c>
      <c r="J1686" t="s">
        <v>111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23</v>
      </c>
      <c r="R1686">
        <v>0</v>
      </c>
    </row>
    <row r="1687" spans="1:18">
      <c r="A1687" s="4">
        <v>1891920000000</v>
      </c>
      <c r="B1687" t="s">
        <v>18</v>
      </c>
      <c r="C1687">
        <v>34</v>
      </c>
      <c r="D1687" t="s">
        <v>37</v>
      </c>
      <c r="E1687" t="s">
        <v>50</v>
      </c>
      <c r="F1687" s="1">
        <v>42489</v>
      </c>
      <c r="G1687" s="1">
        <v>42489</v>
      </c>
      <c r="H1687" t="s">
        <v>21</v>
      </c>
      <c r="I1687">
        <v>0</v>
      </c>
      <c r="J1687" t="s">
        <v>111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23</v>
      </c>
      <c r="R1687">
        <v>0</v>
      </c>
    </row>
    <row r="1688" spans="1:18">
      <c r="A1688" s="4">
        <v>7197120000000</v>
      </c>
      <c r="B1688" t="s">
        <v>18</v>
      </c>
      <c r="C1688">
        <v>25</v>
      </c>
      <c r="D1688" t="s">
        <v>37</v>
      </c>
      <c r="E1688" t="s">
        <v>63</v>
      </c>
      <c r="F1688" s="1">
        <v>42489</v>
      </c>
      <c r="G1688" s="1">
        <v>42502</v>
      </c>
      <c r="H1688" t="s">
        <v>33</v>
      </c>
      <c r="I1688">
        <v>13</v>
      </c>
      <c r="J1688" t="s">
        <v>92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 t="s">
        <v>26</v>
      </c>
      <c r="R1688">
        <v>1</v>
      </c>
    </row>
    <row r="1689" spans="1:18">
      <c r="A1689" s="4">
        <v>12985700000000</v>
      </c>
      <c r="B1689" t="s">
        <v>28</v>
      </c>
      <c r="C1689">
        <v>4</v>
      </c>
      <c r="D1689" t="s">
        <v>31</v>
      </c>
      <c r="E1689" t="s">
        <v>94</v>
      </c>
      <c r="F1689" s="1">
        <v>42489</v>
      </c>
      <c r="G1689" s="1">
        <v>42506</v>
      </c>
      <c r="H1689" t="s">
        <v>30</v>
      </c>
      <c r="I1689">
        <v>17</v>
      </c>
      <c r="J1689" t="s">
        <v>77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23</v>
      </c>
      <c r="R1689">
        <v>0</v>
      </c>
    </row>
    <row r="1690" spans="1:18">
      <c r="A1690" s="4">
        <v>39179900000000</v>
      </c>
      <c r="B1690" t="s">
        <v>28</v>
      </c>
      <c r="C1690">
        <v>8</v>
      </c>
      <c r="D1690" t="s">
        <v>31</v>
      </c>
      <c r="E1690" t="s">
        <v>84</v>
      </c>
      <c r="F1690" s="1">
        <v>42489</v>
      </c>
      <c r="G1690" s="1">
        <v>42496</v>
      </c>
      <c r="H1690" t="s">
        <v>21</v>
      </c>
      <c r="I1690">
        <v>7</v>
      </c>
      <c r="J1690" t="s">
        <v>107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23</v>
      </c>
      <c r="R1690">
        <v>0</v>
      </c>
    </row>
    <row r="1691" spans="1:18">
      <c r="A1691" s="4">
        <v>8944720000000</v>
      </c>
      <c r="B1691" t="s">
        <v>18</v>
      </c>
      <c r="C1691">
        <v>40</v>
      </c>
      <c r="D1691" t="s">
        <v>27</v>
      </c>
      <c r="E1691" t="s">
        <v>63</v>
      </c>
      <c r="F1691" s="1">
        <v>42489</v>
      </c>
      <c r="G1691" s="1">
        <v>42489</v>
      </c>
      <c r="H1691" t="s">
        <v>21</v>
      </c>
      <c r="I1691">
        <v>0</v>
      </c>
      <c r="J1691" t="s">
        <v>111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23</v>
      </c>
      <c r="R1691">
        <v>0</v>
      </c>
    </row>
    <row r="1692" spans="1:18">
      <c r="A1692" s="4">
        <v>18493500000000</v>
      </c>
      <c r="B1692" t="s">
        <v>18</v>
      </c>
      <c r="C1692">
        <v>33</v>
      </c>
      <c r="D1692" t="s">
        <v>37</v>
      </c>
      <c r="E1692" t="s">
        <v>84</v>
      </c>
      <c r="F1692" s="1">
        <v>42489</v>
      </c>
      <c r="G1692" s="1">
        <v>42494</v>
      </c>
      <c r="H1692" t="s">
        <v>25</v>
      </c>
      <c r="I1692">
        <v>5</v>
      </c>
      <c r="J1692" t="s">
        <v>107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1</v>
      </c>
      <c r="Q1692" t="s">
        <v>23</v>
      </c>
      <c r="R1692">
        <v>0</v>
      </c>
    </row>
    <row r="1693" spans="1:18">
      <c r="A1693" s="4">
        <v>862864000000000</v>
      </c>
      <c r="B1693" t="s">
        <v>18</v>
      </c>
      <c r="C1693">
        <v>58</v>
      </c>
      <c r="D1693" t="s">
        <v>35</v>
      </c>
      <c r="E1693" t="s">
        <v>61</v>
      </c>
      <c r="F1693" s="1">
        <v>42489</v>
      </c>
      <c r="G1693" s="1">
        <v>42489</v>
      </c>
      <c r="H1693" t="s">
        <v>21</v>
      </c>
      <c r="I1693">
        <v>0</v>
      </c>
      <c r="J1693" t="s">
        <v>111</v>
      </c>
      <c r="K1693">
        <v>0</v>
      </c>
      <c r="L1693">
        <v>1</v>
      </c>
      <c r="M1693">
        <v>0</v>
      </c>
      <c r="N1693">
        <v>0</v>
      </c>
      <c r="O1693">
        <v>0</v>
      </c>
      <c r="P1693">
        <v>0</v>
      </c>
      <c r="Q1693" t="s">
        <v>23</v>
      </c>
      <c r="R1693">
        <v>0</v>
      </c>
    </row>
    <row r="1694" spans="1:18">
      <c r="A1694" s="4">
        <v>247854000000000</v>
      </c>
      <c r="B1694" t="s">
        <v>28</v>
      </c>
      <c r="C1694">
        <v>52</v>
      </c>
      <c r="D1694" t="s">
        <v>35</v>
      </c>
      <c r="E1694" t="s">
        <v>52</v>
      </c>
      <c r="F1694" s="1">
        <v>42489</v>
      </c>
      <c r="G1694" s="1">
        <v>42493</v>
      </c>
      <c r="H1694" t="s">
        <v>41</v>
      </c>
      <c r="I1694">
        <v>4</v>
      </c>
      <c r="J1694" t="s">
        <v>107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</v>
      </c>
      <c r="Q1694" t="s">
        <v>23</v>
      </c>
      <c r="R1694">
        <v>0</v>
      </c>
    </row>
    <row r="1695" spans="1:18">
      <c r="A1695" s="4">
        <v>491136000000</v>
      </c>
      <c r="B1695" t="s">
        <v>18</v>
      </c>
      <c r="C1695">
        <v>52</v>
      </c>
      <c r="D1695" t="s">
        <v>35</v>
      </c>
      <c r="E1695" t="s">
        <v>84</v>
      </c>
      <c r="F1695" s="1">
        <v>42489</v>
      </c>
      <c r="G1695" s="1">
        <v>42493</v>
      </c>
      <c r="H1695" t="s">
        <v>41</v>
      </c>
      <c r="I1695">
        <v>4</v>
      </c>
      <c r="J1695" t="s">
        <v>107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23</v>
      </c>
      <c r="R1695">
        <v>0</v>
      </c>
    </row>
    <row r="1696" spans="1:18">
      <c r="A1696" s="4">
        <v>129513000000000</v>
      </c>
      <c r="B1696" t="s">
        <v>28</v>
      </c>
      <c r="C1696">
        <v>12</v>
      </c>
      <c r="D1696" t="s">
        <v>31</v>
      </c>
      <c r="E1696" t="s">
        <v>66</v>
      </c>
      <c r="F1696" s="1">
        <v>42489</v>
      </c>
      <c r="G1696" s="1">
        <v>42493</v>
      </c>
      <c r="H1696" t="s">
        <v>41</v>
      </c>
      <c r="I1696">
        <v>4</v>
      </c>
      <c r="J1696" t="s">
        <v>107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 t="s">
        <v>26</v>
      </c>
      <c r="R1696">
        <v>1</v>
      </c>
    </row>
    <row r="1697" spans="1:18">
      <c r="A1697" s="4">
        <v>25954200000000</v>
      </c>
      <c r="B1697" t="s">
        <v>18</v>
      </c>
      <c r="C1697">
        <v>6</v>
      </c>
      <c r="D1697" t="s">
        <v>31</v>
      </c>
      <c r="E1697" t="s">
        <v>84</v>
      </c>
      <c r="F1697" s="1">
        <v>42489</v>
      </c>
      <c r="G1697" s="1">
        <v>42496</v>
      </c>
      <c r="H1697" t="s">
        <v>21</v>
      </c>
      <c r="I1697">
        <v>7</v>
      </c>
      <c r="J1697" t="s">
        <v>107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1</v>
      </c>
      <c r="Q1697" t="s">
        <v>23</v>
      </c>
      <c r="R1697">
        <v>0</v>
      </c>
    </row>
    <row r="1698" spans="1:18">
      <c r="A1698" s="4">
        <v>67289400000000</v>
      </c>
      <c r="B1698" t="s">
        <v>18</v>
      </c>
      <c r="C1698">
        <v>34</v>
      </c>
      <c r="D1698" t="s">
        <v>37</v>
      </c>
      <c r="E1698" t="s">
        <v>72</v>
      </c>
      <c r="F1698" s="1">
        <v>42489</v>
      </c>
      <c r="G1698" s="1">
        <v>42493</v>
      </c>
      <c r="H1698" t="s">
        <v>41</v>
      </c>
      <c r="I1698">
        <v>4</v>
      </c>
      <c r="J1698" t="s">
        <v>107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1</v>
      </c>
      <c r="Q1698" t="s">
        <v>23</v>
      </c>
      <c r="R1698">
        <v>0</v>
      </c>
    </row>
    <row r="1699" spans="1:18">
      <c r="A1699" s="4">
        <v>7226320000000</v>
      </c>
      <c r="B1699" t="s">
        <v>18</v>
      </c>
      <c r="C1699">
        <v>15</v>
      </c>
      <c r="D1699" t="s">
        <v>60</v>
      </c>
      <c r="E1699" t="s">
        <v>57</v>
      </c>
      <c r="F1699" s="1">
        <v>42489</v>
      </c>
      <c r="G1699" s="1">
        <v>42489</v>
      </c>
      <c r="H1699" t="s">
        <v>21</v>
      </c>
      <c r="I1699">
        <v>0</v>
      </c>
      <c r="J1699" t="s">
        <v>111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23</v>
      </c>
      <c r="R1699">
        <v>0</v>
      </c>
    </row>
    <row r="1700" spans="1:18">
      <c r="A1700" s="4">
        <v>3827830000000</v>
      </c>
      <c r="B1700" t="s">
        <v>18</v>
      </c>
      <c r="C1700">
        <v>49</v>
      </c>
      <c r="D1700" t="s">
        <v>27</v>
      </c>
      <c r="E1700" t="s">
        <v>40</v>
      </c>
      <c r="F1700" s="1">
        <v>42489</v>
      </c>
      <c r="G1700" s="1">
        <v>42492</v>
      </c>
      <c r="H1700" t="s">
        <v>30</v>
      </c>
      <c r="I1700">
        <v>3</v>
      </c>
      <c r="J1700" t="s">
        <v>109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1</v>
      </c>
      <c r="Q1700" t="s">
        <v>23</v>
      </c>
      <c r="R1700">
        <v>0</v>
      </c>
    </row>
    <row r="1701" spans="1:18">
      <c r="A1701" s="4">
        <v>1445520000000</v>
      </c>
      <c r="B1701" t="s">
        <v>18</v>
      </c>
      <c r="C1701">
        <v>42</v>
      </c>
      <c r="D1701" t="s">
        <v>27</v>
      </c>
      <c r="E1701" t="s">
        <v>29</v>
      </c>
      <c r="F1701" s="1">
        <v>42489</v>
      </c>
      <c r="G1701" s="1">
        <v>42493</v>
      </c>
      <c r="H1701" t="s">
        <v>41</v>
      </c>
      <c r="I1701">
        <v>4</v>
      </c>
      <c r="J1701" t="s">
        <v>107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1</v>
      </c>
      <c r="Q1701" t="s">
        <v>23</v>
      </c>
      <c r="R1701">
        <v>0</v>
      </c>
    </row>
    <row r="1702" spans="1:18">
      <c r="A1702" s="4">
        <v>8166730000000</v>
      </c>
      <c r="B1702" t="s">
        <v>28</v>
      </c>
      <c r="C1702">
        <v>11</v>
      </c>
      <c r="D1702" t="s">
        <v>31</v>
      </c>
      <c r="E1702" t="s">
        <v>63</v>
      </c>
      <c r="F1702" s="1">
        <v>42489</v>
      </c>
      <c r="G1702" s="1">
        <v>42508</v>
      </c>
      <c r="H1702" t="s">
        <v>25</v>
      </c>
      <c r="I1702">
        <v>19</v>
      </c>
      <c r="J1702" t="s">
        <v>77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23</v>
      </c>
      <c r="R1702">
        <v>0</v>
      </c>
    </row>
    <row r="1703" spans="1:18">
      <c r="A1703" s="4">
        <v>769183000000</v>
      </c>
      <c r="B1703" t="s">
        <v>18</v>
      </c>
      <c r="C1703">
        <v>18</v>
      </c>
      <c r="D1703" t="s">
        <v>37</v>
      </c>
      <c r="E1703" t="s">
        <v>82</v>
      </c>
      <c r="F1703" s="1">
        <v>42489</v>
      </c>
      <c r="G1703" s="1">
        <v>42493</v>
      </c>
      <c r="H1703" t="s">
        <v>41</v>
      </c>
      <c r="I1703">
        <v>4</v>
      </c>
      <c r="J1703" t="s">
        <v>107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1</v>
      </c>
      <c r="Q1703" t="s">
        <v>26</v>
      </c>
      <c r="R1703">
        <v>1</v>
      </c>
    </row>
    <row r="1704" spans="1:18">
      <c r="A1704" s="4">
        <v>382569000000</v>
      </c>
      <c r="B1704" t="s">
        <v>28</v>
      </c>
      <c r="C1704">
        <v>7</v>
      </c>
      <c r="D1704" t="s">
        <v>31</v>
      </c>
      <c r="E1704" t="s">
        <v>101</v>
      </c>
      <c r="F1704" s="1">
        <v>42489</v>
      </c>
      <c r="G1704" s="1">
        <v>42493</v>
      </c>
      <c r="H1704" t="s">
        <v>41</v>
      </c>
      <c r="I1704">
        <v>4</v>
      </c>
      <c r="J1704" t="s">
        <v>107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</v>
      </c>
      <c r="Q1704" t="s">
        <v>23</v>
      </c>
      <c r="R1704">
        <v>0</v>
      </c>
    </row>
    <row r="1705" spans="1:18">
      <c r="A1705" s="4">
        <v>9368880000000</v>
      </c>
      <c r="B1705" t="s">
        <v>18</v>
      </c>
      <c r="C1705">
        <v>75</v>
      </c>
      <c r="D1705" t="s">
        <v>19</v>
      </c>
      <c r="E1705" t="s">
        <v>39</v>
      </c>
      <c r="F1705" s="1">
        <v>42489</v>
      </c>
      <c r="G1705" s="1">
        <v>42493</v>
      </c>
      <c r="H1705" t="s">
        <v>41</v>
      </c>
      <c r="I1705">
        <v>4</v>
      </c>
      <c r="J1705" t="s">
        <v>107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1</v>
      </c>
      <c r="Q1705" t="s">
        <v>26</v>
      </c>
      <c r="R1705">
        <v>1</v>
      </c>
    </row>
    <row r="1706" spans="1:18">
      <c r="A1706" s="4">
        <v>78874300000000</v>
      </c>
      <c r="B1706" t="s">
        <v>18</v>
      </c>
      <c r="C1706">
        <v>27</v>
      </c>
      <c r="D1706" t="s">
        <v>37</v>
      </c>
      <c r="E1706" t="s">
        <v>66</v>
      </c>
      <c r="F1706" s="1">
        <v>42489</v>
      </c>
      <c r="G1706" s="1">
        <v>42489</v>
      </c>
      <c r="H1706" t="s">
        <v>21</v>
      </c>
      <c r="I1706">
        <v>0</v>
      </c>
      <c r="J1706" t="s">
        <v>111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23</v>
      </c>
      <c r="R1706">
        <v>0</v>
      </c>
    </row>
    <row r="1707" spans="1:18">
      <c r="A1707" s="4">
        <v>15785700000000</v>
      </c>
      <c r="B1707" t="s">
        <v>18</v>
      </c>
      <c r="C1707">
        <v>76</v>
      </c>
      <c r="D1707" t="s">
        <v>19</v>
      </c>
      <c r="E1707" t="s">
        <v>72</v>
      </c>
      <c r="F1707" s="1">
        <v>42489</v>
      </c>
      <c r="G1707" s="1">
        <v>42499</v>
      </c>
      <c r="H1707" t="s">
        <v>30</v>
      </c>
      <c r="I1707">
        <v>10</v>
      </c>
      <c r="J1707" t="s">
        <v>92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23</v>
      </c>
      <c r="R1707">
        <v>0</v>
      </c>
    </row>
    <row r="1708" spans="1:18">
      <c r="A1708" s="4">
        <v>8678920000000</v>
      </c>
      <c r="B1708" t="s">
        <v>28</v>
      </c>
      <c r="C1708">
        <v>6</v>
      </c>
      <c r="D1708" t="s">
        <v>31</v>
      </c>
      <c r="E1708" t="s">
        <v>66</v>
      </c>
      <c r="F1708" s="1">
        <v>42489</v>
      </c>
      <c r="G1708" s="1">
        <v>42494</v>
      </c>
      <c r="H1708" t="s">
        <v>25</v>
      </c>
      <c r="I1708">
        <v>5</v>
      </c>
      <c r="J1708" t="s">
        <v>107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</v>
      </c>
      <c r="Q1708" t="s">
        <v>26</v>
      </c>
      <c r="R1708">
        <v>1</v>
      </c>
    </row>
    <row r="1709" spans="1:18">
      <c r="A1709" s="4">
        <v>35394100000000</v>
      </c>
      <c r="B1709" t="s">
        <v>18</v>
      </c>
      <c r="C1709">
        <v>68</v>
      </c>
      <c r="D1709" t="s">
        <v>19</v>
      </c>
      <c r="E1709" t="s">
        <v>51</v>
      </c>
      <c r="F1709" s="1">
        <v>42489</v>
      </c>
      <c r="G1709" s="1">
        <v>42503</v>
      </c>
      <c r="H1709" t="s">
        <v>21</v>
      </c>
      <c r="I1709">
        <v>14</v>
      </c>
      <c r="J1709" t="s">
        <v>92</v>
      </c>
      <c r="K1709">
        <v>0</v>
      </c>
      <c r="L1709">
        <v>1</v>
      </c>
      <c r="M1709">
        <v>1</v>
      </c>
      <c r="N1709">
        <v>0</v>
      </c>
      <c r="O1709">
        <v>0</v>
      </c>
      <c r="P1709">
        <v>0</v>
      </c>
      <c r="Q1709" t="s">
        <v>26</v>
      </c>
      <c r="R1709">
        <v>1</v>
      </c>
    </row>
    <row r="1710" spans="1:18">
      <c r="A1710" s="4">
        <v>499439000000000</v>
      </c>
      <c r="B1710" t="s">
        <v>18</v>
      </c>
      <c r="C1710">
        <v>65</v>
      </c>
      <c r="D1710" t="s">
        <v>35</v>
      </c>
      <c r="E1710" t="s">
        <v>56</v>
      </c>
      <c r="F1710" s="1">
        <v>42489</v>
      </c>
      <c r="G1710" s="1">
        <v>42527</v>
      </c>
      <c r="H1710" t="s">
        <v>30</v>
      </c>
      <c r="I1710">
        <v>38</v>
      </c>
      <c r="J1710" t="s">
        <v>22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1</v>
      </c>
      <c r="Q1710" t="s">
        <v>23</v>
      </c>
      <c r="R1710">
        <v>0</v>
      </c>
    </row>
    <row r="1711" spans="1:18">
      <c r="A1711" s="4">
        <v>75950000000000</v>
      </c>
      <c r="B1711" t="s">
        <v>18</v>
      </c>
      <c r="C1711">
        <v>16</v>
      </c>
      <c r="D1711" t="s">
        <v>60</v>
      </c>
      <c r="E1711" t="s">
        <v>32</v>
      </c>
      <c r="F1711" s="1">
        <v>42489</v>
      </c>
      <c r="G1711" s="1">
        <v>42508</v>
      </c>
      <c r="H1711" t="s">
        <v>25</v>
      </c>
      <c r="I1711">
        <v>19</v>
      </c>
      <c r="J1711" t="s">
        <v>77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23</v>
      </c>
      <c r="R1711">
        <v>0</v>
      </c>
    </row>
    <row r="1712" spans="1:18">
      <c r="A1712" s="4">
        <v>8698830000000</v>
      </c>
      <c r="B1712" t="s">
        <v>18</v>
      </c>
      <c r="C1712">
        <v>14</v>
      </c>
      <c r="D1712" t="s">
        <v>60</v>
      </c>
      <c r="E1712" t="s">
        <v>105</v>
      </c>
      <c r="F1712" s="1">
        <v>42489</v>
      </c>
      <c r="G1712" s="1">
        <v>42489</v>
      </c>
      <c r="H1712" t="s">
        <v>21</v>
      </c>
      <c r="I1712">
        <v>0</v>
      </c>
      <c r="J1712" t="s">
        <v>111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23</v>
      </c>
      <c r="R1712">
        <v>0</v>
      </c>
    </row>
    <row r="1713" spans="1:18">
      <c r="A1713" s="4">
        <v>16612293298</v>
      </c>
      <c r="B1713" t="s">
        <v>18</v>
      </c>
      <c r="C1713">
        <v>17</v>
      </c>
      <c r="D1713" t="s">
        <v>60</v>
      </c>
      <c r="E1713" t="s">
        <v>105</v>
      </c>
      <c r="F1713" s="1">
        <v>42489</v>
      </c>
      <c r="G1713" s="1">
        <v>42493</v>
      </c>
      <c r="H1713" t="s">
        <v>41</v>
      </c>
      <c r="I1713">
        <v>4</v>
      </c>
      <c r="J1713" t="s">
        <v>107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23</v>
      </c>
      <c r="R1713">
        <v>0</v>
      </c>
    </row>
    <row r="1714" spans="1:18">
      <c r="A1714" s="4">
        <v>73379600000000</v>
      </c>
      <c r="B1714" t="s">
        <v>28</v>
      </c>
      <c r="C1714">
        <v>9</v>
      </c>
      <c r="D1714" t="s">
        <v>31</v>
      </c>
      <c r="E1714" t="s">
        <v>32</v>
      </c>
      <c r="F1714" s="1">
        <v>42489</v>
      </c>
      <c r="G1714" s="1">
        <v>42489</v>
      </c>
      <c r="H1714" t="s">
        <v>21</v>
      </c>
      <c r="I1714">
        <v>0</v>
      </c>
      <c r="J1714" t="s">
        <v>111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23</v>
      </c>
      <c r="R1714">
        <v>0</v>
      </c>
    </row>
    <row r="1715" spans="1:18">
      <c r="A1715" s="4">
        <v>11264000000000</v>
      </c>
      <c r="B1715" t="s">
        <v>18</v>
      </c>
      <c r="C1715">
        <v>37</v>
      </c>
      <c r="D1715" t="s">
        <v>27</v>
      </c>
      <c r="E1715" t="s">
        <v>50</v>
      </c>
      <c r="F1715" s="1">
        <v>42489</v>
      </c>
      <c r="G1715" s="1">
        <v>42489</v>
      </c>
      <c r="H1715" t="s">
        <v>21</v>
      </c>
      <c r="I1715">
        <v>0</v>
      </c>
      <c r="J1715" t="s">
        <v>111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23</v>
      </c>
      <c r="R1715">
        <v>0</v>
      </c>
    </row>
    <row r="1716" spans="1:18">
      <c r="A1716" s="4">
        <v>12943811169</v>
      </c>
      <c r="B1716" t="s">
        <v>28</v>
      </c>
      <c r="C1716">
        <v>13</v>
      </c>
      <c r="D1716" t="s">
        <v>60</v>
      </c>
      <c r="E1716" t="s">
        <v>53</v>
      </c>
      <c r="F1716" s="1">
        <v>42489</v>
      </c>
      <c r="G1716" s="1">
        <v>42506</v>
      </c>
      <c r="H1716" t="s">
        <v>30</v>
      </c>
      <c r="I1716">
        <v>17</v>
      </c>
      <c r="J1716" t="s">
        <v>77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26</v>
      </c>
      <c r="R1716">
        <v>1</v>
      </c>
    </row>
    <row r="1717" spans="1:18">
      <c r="A1717" s="4">
        <v>16581400000000</v>
      </c>
      <c r="B1717" t="s">
        <v>18</v>
      </c>
      <c r="C1717">
        <v>45</v>
      </c>
      <c r="D1717" t="s">
        <v>27</v>
      </c>
      <c r="E1717" t="s">
        <v>94</v>
      </c>
      <c r="F1717" s="1">
        <v>42489</v>
      </c>
      <c r="G1717" s="1">
        <v>42502</v>
      </c>
      <c r="H1717" t="s">
        <v>33</v>
      </c>
      <c r="I1717">
        <v>13</v>
      </c>
      <c r="J1717" t="s">
        <v>92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1</v>
      </c>
      <c r="Q1717" t="s">
        <v>23</v>
      </c>
      <c r="R1717">
        <v>0</v>
      </c>
    </row>
    <row r="1718" spans="1:18">
      <c r="A1718" s="4">
        <v>979194000000000</v>
      </c>
      <c r="B1718" t="s">
        <v>28</v>
      </c>
      <c r="C1718">
        <v>44</v>
      </c>
      <c r="D1718" t="s">
        <v>27</v>
      </c>
      <c r="E1718" t="s">
        <v>81</v>
      </c>
      <c r="F1718" s="1">
        <v>42489</v>
      </c>
      <c r="G1718" s="1">
        <v>42506</v>
      </c>
      <c r="H1718" t="s">
        <v>30</v>
      </c>
      <c r="I1718">
        <v>17</v>
      </c>
      <c r="J1718" t="s">
        <v>77</v>
      </c>
      <c r="K1718">
        <v>0</v>
      </c>
      <c r="L1718">
        <v>0</v>
      </c>
      <c r="M1718">
        <v>0</v>
      </c>
      <c r="N1718">
        <v>1</v>
      </c>
      <c r="O1718">
        <v>0</v>
      </c>
      <c r="P1718">
        <v>0</v>
      </c>
      <c r="Q1718" t="s">
        <v>23</v>
      </c>
      <c r="R1718">
        <v>0</v>
      </c>
    </row>
    <row r="1719" spans="1:18">
      <c r="A1719" s="4">
        <v>889232000000</v>
      </c>
      <c r="B1719" t="s">
        <v>18</v>
      </c>
      <c r="C1719">
        <v>55</v>
      </c>
      <c r="D1719" t="s">
        <v>35</v>
      </c>
      <c r="E1719" t="s">
        <v>71</v>
      </c>
      <c r="F1719" s="1">
        <v>42489</v>
      </c>
      <c r="G1719" s="1">
        <v>42495</v>
      </c>
      <c r="H1719" t="s">
        <v>33</v>
      </c>
      <c r="I1719">
        <v>6</v>
      </c>
      <c r="J1719" t="s">
        <v>107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</v>
      </c>
      <c r="Q1719" t="s">
        <v>26</v>
      </c>
      <c r="R1719">
        <v>1</v>
      </c>
    </row>
    <row r="1720" spans="1:18">
      <c r="A1720" s="4">
        <v>19712000000000</v>
      </c>
      <c r="B1720" t="s">
        <v>18</v>
      </c>
      <c r="C1720">
        <v>21</v>
      </c>
      <c r="D1720" t="s">
        <v>37</v>
      </c>
      <c r="E1720" t="s">
        <v>72</v>
      </c>
      <c r="F1720" s="1">
        <v>42489</v>
      </c>
      <c r="G1720" s="1">
        <v>42489</v>
      </c>
      <c r="H1720" t="s">
        <v>21</v>
      </c>
      <c r="I1720">
        <v>0</v>
      </c>
      <c r="J1720" t="s">
        <v>111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23</v>
      </c>
      <c r="R1720">
        <v>0</v>
      </c>
    </row>
    <row r="1721" spans="1:18">
      <c r="A1721" s="4">
        <v>723826000000</v>
      </c>
      <c r="B1721" t="s">
        <v>18</v>
      </c>
      <c r="C1721">
        <v>18</v>
      </c>
      <c r="D1721" t="s">
        <v>37</v>
      </c>
      <c r="E1721" t="s">
        <v>67</v>
      </c>
      <c r="F1721" s="1">
        <v>42489</v>
      </c>
      <c r="G1721" s="1">
        <v>42510</v>
      </c>
      <c r="H1721" t="s">
        <v>21</v>
      </c>
      <c r="I1721">
        <v>21</v>
      </c>
      <c r="J1721" t="s">
        <v>77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23</v>
      </c>
      <c r="R1721">
        <v>0</v>
      </c>
    </row>
    <row r="1722" spans="1:18">
      <c r="A1722" s="4">
        <v>5226720000000</v>
      </c>
      <c r="B1722" t="s">
        <v>28</v>
      </c>
      <c r="C1722">
        <v>67</v>
      </c>
      <c r="D1722" t="s">
        <v>19</v>
      </c>
      <c r="E1722" t="s">
        <v>63</v>
      </c>
      <c r="F1722" s="1">
        <v>42489</v>
      </c>
      <c r="G1722" s="1">
        <v>42509</v>
      </c>
      <c r="H1722" t="s">
        <v>33</v>
      </c>
      <c r="I1722">
        <v>20</v>
      </c>
      <c r="J1722" t="s">
        <v>77</v>
      </c>
      <c r="K1722">
        <v>0</v>
      </c>
      <c r="L1722">
        <v>1</v>
      </c>
      <c r="M1722">
        <v>0</v>
      </c>
      <c r="N1722">
        <v>0</v>
      </c>
      <c r="O1722">
        <v>0</v>
      </c>
      <c r="P1722">
        <v>0</v>
      </c>
      <c r="Q1722" t="s">
        <v>23</v>
      </c>
      <c r="R1722">
        <v>0</v>
      </c>
    </row>
    <row r="1723" spans="1:18">
      <c r="A1723" s="4">
        <v>833690000000000</v>
      </c>
      <c r="B1723" t="s">
        <v>28</v>
      </c>
      <c r="C1723">
        <v>42</v>
      </c>
      <c r="D1723" t="s">
        <v>27</v>
      </c>
      <c r="E1723" t="s">
        <v>51</v>
      </c>
      <c r="F1723" s="1">
        <v>42489</v>
      </c>
      <c r="G1723" s="1">
        <v>42503</v>
      </c>
      <c r="H1723" t="s">
        <v>21</v>
      </c>
      <c r="I1723">
        <v>14</v>
      </c>
      <c r="J1723" t="s">
        <v>92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23</v>
      </c>
      <c r="R1723">
        <v>0</v>
      </c>
    </row>
    <row r="1724" spans="1:18">
      <c r="A1724" s="4">
        <v>2492830000000</v>
      </c>
      <c r="B1724" t="s">
        <v>18</v>
      </c>
      <c r="C1724">
        <v>65</v>
      </c>
      <c r="D1724" t="s">
        <v>35</v>
      </c>
      <c r="E1724" t="s">
        <v>71</v>
      </c>
      <c r="F1724" s="1">
        <v>42489</v>
      </c>
      <c r="G1724" s="1">
        <v>42494</v>
      </c>
      <c r="H1724" t="s">
        <v>25</v>
      </c>
      <c r="I1724">
        <v>5</v>
      </c>
      <c r="J1724" t="s">
        <v>107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 t="s">
        <v>23</v>
      </c>
      <c r="R1724">
        <v>0</v>
      </c>
    </row>
    <row r="1725" spans="1:18">
      <c r="A1725" s="4">
        <v>173714000000000</v>
      </c>
      <c r="B1725" t="s">
        <v>18</v>
      </c>
      <c r="C1725">
        <v>65</v>
      </c>
      <c r="D1725" t="s">
        <v>35</v>
      </c>
      <c r="E1725" t="s">
        <v>91</v>
      </c>
      <c r="F1725" s="1">
        <v>42489</v>
      </c>
      <c r="G1725" s="1">
        <v>42500</v>
      </c>
      <c r="H1725" t="s">
        <v>41</v>
      </c>
      <c r="I1725">
        <v>11</v>
      </c>
      <c r="J1725" t="s">
        <v>92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23</v>
      </c>
      <c r="R1725">
        <v>0</v>
      </c>
    </row>
    <row r="1726" spans="1:18">
      <c r="A1726" s="4">
        <v>3525370000000</v>
      </c>
      <c r="B1726" t="s">
        <v>28</v>
      </c>
      <c r="C1726">
        <v>64</v>
      </c>
      <c r="D1726" t="s">
        <v>35</v>
      </c>
      <c r="E1726" t="s">
        <v>32</v>
      </c>
      <c r="F1726" s="1">
        <v>42489</v>
      </c>
      <c r="G1726" s="1">
        <v>42494</v>
      </c>
      <c r="H1726" t="s">
        <v>25</v>
      </c>
      <c r="I1726">
        <v>5</v>
      </c>
      <c r="J1726" t="s">
        <v>107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0</v>
      </c>
      <c r="Q1726" t="s">
        <v>26</v>
      </c>
      <c r="R1726">
        <v>1</v>
      </c>
    </row>
    <row r="1727" spans="1:18">
      <c r="A1727" s="4">
        <v>79775900000000</v>
      </c>
      <c r="B1727" t="s">
        <v>18</v>
      </c>
      <c r="C1727">
        <v>38</v>
      </c>
      <c r="D1727" t="s">
        <v>27</v>
      </c>
      <c r="E1727" t="s">
        <v>32</v>
      </c>
      <c r="F1727" s="1">
        <v>42489</v>
      </c>
      <c r="G1727" s="1">
        <v>42529</v>
      </c>
      <c r="H1727" t="s">
        <v>25</v>
      </c>
      <c r="I1727">
        <v>40</v>
      </c>
      <c r="J1727" t="s">
        <v>22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</v>
      </c>
      <c r="Q1727" t="s">
        <v>23</v>
      </c>
      <c r="R1727">
        <v>0</v>
      </c>
    </row>
    <row r="1728" spans="1:18">
      <c r="A1728" s="4">
        <v>273182000000000</v>
      </c>
      <c r="B1728" t="s">
        <v>18</v>
      </c>
      <c r="C1728">
        <v>61</v>
      </c>
      <c r="D1728" t="s">
        <v>35</v>
      </c>
      <c r="E1728" t="s">
        <v>81</v>
      </c>
      <c r="F1728" s="1">
        <v>42489</v>
      </c>
      <c r="G1728" s="1">
        <v>42489</v>
      </c>
      <c r="H1728" t="s">
        <v>21</v>
      </c>
      <c r="I1728">
        <v>0</v>
      </c>
      <c r="J1728" t="s">
        <v>111</v>
      </c>
      <c r="K1728">
        <v>0</v>
      </c>
      <c r="L1728">
        <v>1</v>
      </c>
      <c r="M1728">
        <v>1</v>
      </c>
      <c r="N1728">
        <v>0</v>
      </c>
      <c r="O1728">
        <v>1</v>
      </c>
      <c r="P1728">
        <v>0</v>
      </c>
      <c r="Q1728" t="s">
        <v>23</v>
      </c>
      <c r="R1728">
        <v>0</v>
      </c>
    </row>
    <row r="1729" spans="1:18">
      <c r="A1729" s="4">
        <v>239159000000000</v>
      </c>
      <c r="B1729" t="s">
        <v>18</v>
      </c>
      <c r="C1729">
        <v>32</v>
      </c>
      <c r="D1729" t="s">
        <v>37</v>
      </c>
      <c r="E1729" t="s">
        <v>40</v>
      </c>
      <c r="F1729" s="1">
        <v>42489</v>
      </c>
      <c r="G1729" s="1">
        <v>42489</v>
      </c>
      <c r="H1729" t="s">
        <v>21</v>
      </c>
      <c r="I1729">
        <v>0</v>
      </c>
      <c r="J1729" t="s">
        <v>111</v>
      </c>
      <c r="K1729">
        <v>1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23</v>
      </c>
      <c r="R1729">
        <v>0</v>
      </c>
    </row>
    <row r="1730" spans="1:18">
      <c r="A1730" s="4">
        <v>43949900000000</v>
      </c>
      <c r="B1730" t="s">
        <v>18</v>
      </c>
      <c r="C1730">
        <v>52</v>
      </c>
      <c r="D1730" t="s">
        <v>35</v>
      </c>
      <c r="E1730" t="s">
        <v>63</v>
      </c>
      <c r="F1730" s="1">
        <v>42489</v>
      </c>
      <c r="G1730" s="1">
        <v>42507</v>
      </c>
      <c r="H1730" t="s">
        <v>41</v>
      </c>
      <c r="I1730">
        <v>18</v>
      </c>
      <c r="J1730" t="s">
        <v>77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26</v>
      </c>
      <c r="R1730">
        <v>1</v>
      </c>
    </row>
    <row r="1731" spans="1:18">
      <c r="A1731" s="4">
        <v>632688000000</v>
      </c>
      <c r="B1731" t="s">
        <v>18</v>
      </c>
      <c r="C1731">
        <v>58</v>
      </c>
      <c r="D1731" t="s">
        <v>35</v>
      </c>
      <c r="E1731" t="s">
        <v>52</v>
      </c>
      <c r="F1731" s="1">
        <v>42489</v>
      </c>
      <c r="G1731" s="1">
        <v>42492</v>
      </c>
      <c r="H1731" t="s">
        <v>30</v>
      </c>
      <c r="I1731">
        <v>3</v>
      </c>
      <c r="J1731" t="s">
        <v>109</v>
      </c>
      <c r="K1731">
        <v>0</v>
      </c>
      <c r="L1731">
        <v>1</v>
      </c>
      <c r="M1731">
        <v>0</v>
      </c>
      <c r="N1731">
        <v>0</v>
      </c>
      <c r="O1731">
        <v>0</v>
      </c>
      <c r="P1731">
        <v>1</v>
      </c>
      <c r="Q1731" t="s">
        <v>23</v>
      </c>
      <c r="R1731">
        <v>0</v>
      </c>
    </row>
    <row r="1732" spans="1:18">
      <c r="A1732" s="4">
        <v>2983680000000</v>
      </c>
      <c r="B1732" t="s">
        <v>18</v>
      </c>
      <c r="C1732">
        <v>20</v>
      </c>
      <c r="D1732" t="s">
        <v>37</v>
      </c>
      <c r="E1732" t="s">
        <v>63</v>
      </c>
      <c r="F1732" s="1">
        <v>42489</v>
      </c>
      <c r="G1732" s="1">
        <v>42493</v>
      </c>
      <c r="H1732" t="s">
        <v>41</v>
      </c>
      <c r="I1732">
        <v>4</v>
      </c>
      <c r="J1732" t="s">
        <v>107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1</v>
      </c>
      <c r="Q1732" t="s">
        <v>26</v>
      </c>
      <c r="R1732">
        <v>1</v>
      </c>
    </row>
    <row r="1733" spans="1:18">
      <c r="A1733" s="4">
        <v>6625820000000</v>
      </c>
      <c r="B1733" t="s">
        <v>18</v>
      </c>
      <c r="C1733">
        <v>55</v>
      </c>
      <c r="D1733" t="s">
        <v>35</v>
      </c>
      <c r="E1733" t="s">
        <v>71</v>
      </c>
      <c r="F1733" s="1">
        <v>42489</v>
      </c>
      <c r="G1733" s="1">
        <v>42522</v>
      </c>
      <c r="H1733" t="s">
        <v>25</v>
      </c>
      <c r="I1733">
        <v>33</v>
      </c>
      <c r="J1733" t="s">
        <v>22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</v>
      </c>
      <c r="Q1733" t="s">
        <v>23</v>
      </c>
      <c r="R1733">
        <v>0</v>
      </c>
    </row>
    <row r="1734" spans="1:18">
      <c r="A1734" s="4">
        <v>15137700000000</v>
      </c>
      <c r="B1734" t="s">
        <v>28</v>
      </c>
      <c r="C1734">
        <v>55</v>
      </c>
      <c r="D1734" t="s">
        <v>35</v>
      </c>
      <c r="E1734" t="s">
        <v>65</v>
      </c>
      <c r="F1734" s="1">
        <v>42489</v>
      </c>
      <c r="G1734" s="1">
        <v>42500</v>
      </c>
      <c r="H1734" t="s">
        <v>41</v>
      </c>
      <c r="I1734">
        <v>11</v>
      </c>
      <c r="J1734" t="s">
        <v>92</v>
      </c>
      <c r="K1734">
        <v>0</v>
      </c>
      <c r="L1734">
        <v>1</v>
      </c>
      <c r="M1734">
        <v>0</v>
      </c>
      <c r="N1734">
        <v>0</v>
      </c>
      <c r="O1734">
        <v>0</v>
      </c>
      <c r="P1734">
        <v>1</v>
      </c>
      <c r="Q1734" t="s">
        <v>26</v>
      </c>
      <c r="R1734">
        <v>1</v>
      </c>
    </row>
    <row r="1735" spans="1:18">
      <c r="A1735" s="4">
        <v>4325300000000</v>
      </c>
      <c r="B1735" t="s">
        <v>18</v>
      </c>
      <c r="C1735">
        <v>71</v>
      </c>
      <c r="D1735" t="s">
        <v>19</v>
      </c>
      <c r="E1735" t="s">
        <v>97</v>
      </c>
      <c r="F1735" s="1">
        <v>42489</v>
      </c>
      <c r="G1735" s="1">
        <v>42500</v>
      </c>
      <c r="H1735" t="s">
        <v>41</v>
      </c>
      <c r="I1735">
        <v>11</v>
      </c>
      <c r="J1735" t="s">
        <v>92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1</v>
      </c>
      <c r="Q1735" t="s">
        <v>23</v>
      </c>
      <c r="R1735">
        <v>0</v>
      </c>
    </row>
    <row r="1736" spans="1:18">
      <c r="A1736" s="4">
        <v>28693700000000</v>
      </c>
      <c r="B1736" t="s">
        <v>18</v>
      </c>
      <c r="C1736">
        <v>32</v>
      </c>
      <c r="D1736" t="s">
        <v>37</v>
      </c>
      <c r="E1736" t="s">
        <v>67</v>
      </c>
      <c r="F1736" s="1">
        <v>42489</v>
      </c>
      <c r="G1736" s="1">
        <v>42514</v>
      </c>
      <c r="H1736" t="s">
        <v>41</v>
      </c>
      <c r="I1736">
        <v>25</v>
      </c>
      <c r="J1736" t="s">
        <v>77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1</v>
      </c>
      <c r="Q1736" t="s">
        <v>23</v>
      </c>
      <c r="R1736">
        <v>0</v>
      </c>
    </row>
    <row r="1737" spans="1:18">
      <c r="A1737" s="4">
        <v>678651000000</v>
      </c>
      <c r="B1737" t="s">
        <v>28</v>
      </c>
      <c r="C1737">
        <v>25</v>
      </c>
      <c r="D1737" t="s">
        <v>37</v>
      </c>
      <c r="E1737" t="s">
        <v>40</v>
      </c>
      <c r="F1737" s="1">
        <v>42489</v>
      </c>
      <c r="G1737" s="1">
        <v>42489</v>
      </c>
      <c r="H1737" t="s">
        <v>21</v>
      </c>
      <c r="I1737">
        <v>0</v>
      </c>
      <c r="J1737" t="s">
        <v>111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23</v>
      </c>
      <c r="R1737">
        <v>0</v>
      </c>
    </row>
    <row r="1738" spans="1:18">
      <c r="A1738" s="4">
        <v>65472300000000</v>
      </c>
      <c r="B1738" t="s">
        <v>28</v>
      </c>
      <c r="C1738">
        <v>21</v>
      </c>
      <c r="D1738" t="s">
        <v>37</v>
      </c>
      <c r="E1738" t="s">
        <v>48</v>
      </c>
      <c r="F1738" s="1">
        <v>42489</v>
      </c>
      <c r="G1738" s="1">
        <v>42489</v>
      </c>
      <c r="H1738" t="s">
        <v>21</v>
      </c>
      <c r="I1738">
        <v>0</v>
      </c>
      <c r="J1738" t="s">
        <v>111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23</v>
      </c>
      <c r="R1738">
        <v>0</v>
      </c>
    </row>
    <row r="1739" spans="1:18">
      <c r="A1739" s="4">
        <v>98151300000000</v>
      </c>
      <c r="B1739" t="s">
        <v>18</v>
      </c>
      <c r="C1739">
        <v>43</v>
      </c>
      <c r="D1739" t="s">
        <v>27</v>
      </c>
      <c r="E1739" t="s">
        <v>68</v>
      </c>
      <c r="F1739" s="1">
        <v>42489</v>
      </c>
      <c r="G1739" s="1">
        <v>42494</v>
      </c>
      <c r="H1739" t="s">
        <v>25</v>
      </c>
      <c r="I1739">
        <v>5</v>
      </c>
      <c r="J1739" t="s">
        <v>107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1</v>
      </c>
      <c r="Q1739" t="s">
        <v>23</v>
      </c>
      <c r="R1739">
        <v>0</v>
      </c>
    </row>
    <row r="1740" spans="1:18">
      <c r="A1740" s="4">
        <v>622494000000000</v>
      </c>
      <c r="B1740" t="s">
        <v>28</v>
      </c>
      <c r="C1740">
        <v>43</v>
      </c>
      <c r="D1740" t="s">
        <v>27</v>
      </c>
      <c r="E1740" t="s">
        <v>105</v>
      </c>
      <c r="F1740" s="1">
        <v>42489</v>
      </c>
      <c r="G1740" s="1">
        <v>42492</v>
      </c>
      <c r="H1740" t="s">
        <v>30</v>
      </c>
      <c r="I1740">
        <v>3</v>
      </c>
      <c r="J1740" t="s">
        <v>109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1</v>
      </c>
      <c r="Q1740" t="s">
        <v>23</v>
      </c>
      <c r="R1740">
        <v>0</v>
      </c>
    </row>
    <row r="1741" spans="1:18">
      <c r="A1741" s="4">
        <v>241576000000000</v>
      </c>
      <c r="B1741" t="s">
        <v>18</v>
      </c>
      <c r="C1741">
        <v>53</v>
      </c>
      <c r="D1741" t="s">
        <v>35</v>
      </c>
      <c r="E1741" t="s">
        <v>63</v>
      </c>
      <c r="F1741" s="1">
        <v>42489</v>
      </c>
      <c r="G1741" s="1">
        <v>42514</v>
      </c>
      <c r="H1741" t="s">
        <v>41</v>
      </c>
      <c r="I1741">
        <v>25</v>
      </c>
      <c r="J1741" t="s">
        <v>77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1</v>
      </c>
      <c r="Q1741" t="s">
        <v>26</v>
      </c>
      <c r="R1741">
        <v>1</v>
      </c>
    </row>
    <row r="1742" spans="1:18">
      <c r="A1742" s="4">
        <v>3688170000000</v>
      </c>
      <c r="B1742" t="s">
        <v>28</v>
      </c>
      <c r="C1742">
        <v>20</v>
      </c>
      <c r="D1742" t="s">
        <v>37</v>
      </c>
      <c r="E1742" t="s">
        <v>36</v>
      </c>
      <c r="F1742" s="1">
        <v>42489</v>
      </c>
      <c r="G1742" s="1">
        <v>42489</v>
      </c>
      <c r="H1742" t="s">
        <v>21</v>
      </c>
      <c r="I1742">
        <v>0</v>
      </c>
      <c r="J1742" t="s">
        <v>111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23</v>
      </c>
      <c r="R1742">
        <v>0</v>
      </c>
    </row>
    <row r="1743" spans="1:18">
      <c r="A1743" s="4">
        <v>91851600000000</v>
      </c>
      <c r="B1743" t="s">
        <v>18</v>
      </c>
      <c r="C1743">
        <v>33</v>
      </c>
      <c r="D1743" t="s">
        <v>37</v>
      </c>
      <c r="E1743" t="s">
        <v>69</v>
      </c>
      <c r="F1743" s="1">
        <v>42489</v>
      </c>
      <c r="G1743" s="1">
        <v>42520</v>
      </c>
      <c r="H1743" t="s">
        <v>30</v>
      </c>
      <c r="I1743">
        <v>31</v>
      </c>
      <c r="J1743" t="s">
        <v>22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</v>
      </c>
      <c r="Q1743" t="s">
        <v>23</v>
      </c>
      <c r="R1743">
        <v>0</v>
      </c>
    </row>
    <row r="1744" spans="1:18">
      <c r="A1744" s="4">
        <v>23946273141</v>
      </c>
      <c r="B1744" t="s">
        <v>18</v>
      </c>
      <c r="C1744">
        <v>18</v>
      </c>
      <c r="D1744" t="s">
        <v>37</v>
      </c>
      <c r="E1744" t="s">
        <v>39</v>
      </c>
      <c r="F1744" s="1">
        <v>42489</v>
      </c>
      <c r="G1744" s="1">
        <v>42492</v>
      </c>
      <c r="H1744" t="s">
        <v>30</v>
      </c>
      <c r="I1744">
        <v>3</v>
      </c>
      <c r="J1744" t="s">
        <v>109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</v>
      </c>
      <c r="Q1744" t="s">
        <v>23</v>
      </c>
      <c r="R1744">
        <v>0</v>
      </c>
    </row>
    <row r="1745" spans="1:18">
      <c r="A1745" s="4">
        <v>74228900000000</v>
      </c>
      <c r="B1745" t="s">
        <v>18</v>
      </c>
      <c r="C1745">
        <v>53</v>
      </c>
      <c r="D1745" t="s">
        <v>35</v>
      </c>
      <c r="E1745" t="s">
        <v>99</v>
      </c>
      <c r="F1745" s="1">
        <v>42489</v>
      </c>
      <c r="G1745" s="1">
        <v>42496</v>
      </c>
      <c r="H1745" t="s">
        <v>21</v>
      </c>
      <c r="I1745">
        <v>7</v>
      </c>
      <c r="J1745" t="s">
        <v>107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23</v>
      </c>
      <c r="R1745">
        <v>0</v>
      </c>
    </row>
    <row r="1746" spans="1:18">
      <c r="A1746" s="4">
        <v>89239700000000</v>
      </c>
      <c r="B1746" t="s">
        <v>18</v>
      </c>
      <c r="C1746">
        <v>45</v>
      </c>
      <c r="D1746" t="s">
        <v>27</v>
      </c>
      <c r="E1746" t="s">
        <v>73</v>
      </c>
      <c r="F1746" s="1">
        <v>42489</v>
      </c>
      <c r="G1746" s="1">
        <v>42489</v>
      </c>
      <c r="H1746" t="s">
        <v>21</v>
      </c>
      <c r="I1746">
        <v>0</v>
      </c>
      <c r="J1746" t="s">
        <v>111</v>
      </c>
      <c r="K1746">
        <v>1</v>
      </c>
      <c r="L1746">
        <v>1</v>
      </c>
      <c r="M1746">
        <v>0</v>
      </c>
      <c r="N1746">
        <v>1</v>
      </c>
      <c r="O1746">
        <v>0</v>
      </c>
      <c r="P1746">
        <v>0</v>
      </c>
      <c r="Q1746" t="s">
        <v>23</v>
      </c>
      <c r="R1746">
        <v>0</v>
      </c>
    </row>
    <row r="1747" spans="1:18">
      <c r="A1747" s="4">
        <v>44879439571</v>
      </c>
      <c r="B1747" t="s">
        <v>28</v>
      </c>
      <c r="C1747">
        <v>7</v>
      </c>
      <c r="D1747" t="s">
        <v>31</v>
      </c>
      <c r="E1747" t="s">
        <v>66</v>
      </c>
      <c r="F1747" s="1">
        <v>42489</v>
      </c>
      <c r="G1747" s="1">
        <v>42520</v>
      </c>
      <c r="H1747" t="s">
        <v>30</v>
      </c>
      <c r="I1747">
        <v>31</v>
      </c>
      <c r="J1747" t="s">
        <v>22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23</v>
      </c>
      <c r="R1747">
        <v>0</v>
      </c>
    </row>
    <row r="1748" spans="1:18">
      <c r="A1748" s="4">
        <v>8435223536</v>
      </c>
      <c r="B1748" t="s">
        <v>28</v>
      </c>
      <c r="C1748">
        <v>52</v>
      </c>
      <c r="D1748" t="s">
        <v>35</v>
      </c>
      <c r="E1748" t="s">
        <v>34</v>
      </c>
      <c r="F1748" s="1">
        <v>42489</v>
      </c>
      <c r="G1748" s="1">
        <v>42489</v>
      </c>
      <c r="H1748" t="s">
        <v>21</v>
      </c>
      <c r="I1748">
        <v>0</v>
      </c>
      <c r="J1748" t="s">
        <v>111</v>
      </c>
      <c r="K1748">
        <v>0</v>
      </c>
      <c r="L1748">
        <v>0</v>
      </c>
      <c r="M1748">
        <v>0</v>
      </c>
      <c r="N1748">
        <v>1</v>
      </c>
      <c r="O1748">
        <v>0</v>
      </c>
      <c r="P1748">
        <v>0</v>
      </c>
      <c r="Q1748" t="s">
        <v>23</v>
      </c>
      <c r="R1748">
        <v>0</v>
      </c>
    </row>
    <row r="1749" spans="1:18">
      <c r="A1749" s="4">
        <v>6233640000000</v>
      </c>
      <c r="B1749" t="s">
        <v>18</v>
      </c>
      <c r="C1749">
        <v>72</v>
      </c>
      <c r="D1749" t="s">
        <v>19</v>
      </c>
      <c r="E1749" t="s">
        <v>48</v>
      </c>
      <c r="F1749" s="1">
        <v>42489</v>
      </c>
      <c r="G1749" s="1">
        <v>42506</v>
      </c>
      <c r="H1749" t="s">
        <v>30</v>
      </c>
      <c r="I1749">
        <v>17</v>
      </c>
      <c r="J1749" t="s">
        <v>77</v>
      </c>
      <c r="K1749">
        <v>0</v>
      </c>
      <c r="L1749">
        <v>1</v>
      </c>
      <c r="M1749">
        <v>0</v>
      </c>
      <c r="N1749">
        <v>0</v>
      </c>
      <c r="O1749">
        <v>0</v>
      </c>
      <c r="P1749">
        <v>0</v>
      </c>
      <c r="Q1749" t="s">
        <v>23</v>
      </c>
      <c r="R1749">
        <v>0</v>
      </c>
    </row>
    <row r="1750" spans="1:18">
      <c r="A1750" s="4">
        <v>6885170000000</v>
      </c>
      <c r="B1750" t="s">
        <v>18</v>
      </c>
      <c r="C1750">
        <v>40</v>
      </c>
      <c r="D1750" t="s">
        <v>27</v>
      </c>
      <c r="E1750" t="s">
        <v>55</v>
      </c>
      <c r="F1750" s="1">
        <v>42489</v>
      </c>
      <c r="G1750" s="1">
        <v>42502</v>
      </c>
      <c r="H1750" t="s">
        <v>33</v>
      </c>
      <c r="I1750">
        <v>13</v>
      </c>
      <c r="J1750" t="s">
        <v>92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26</v>
      </c>
      <c r="R1750">
        <v>1</v>
      </c>
    </row>
    <row r="1751" spans="1:18">
      <c r="A1751" s="4">
        <v>351449000000000</v>
      </c>
      <c r="B1751" t="s">
        <v>18</v>
      </c>
      <c r="C1751">
        <v>41</v>
      </c>
      <c r="D1751" t="s">
        <v>27</v>
      </c>
      <c r="E1751" t="s">
        <v>40</v>
      </c>
      <c r="F1751" s="1">
        <v>42489</v>
      </c>
      <c r="G1751" s="1">
        <v>42506</v>
      </c>
      <c r="H1751" t="s">
        <v>30</v>
      </c>
      <c r="I1751">
        <v>17</v>
      </c>
      <c r="J1751" t="s">
        <v>77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26</v>
      </c>
      <c r="R1751">
        <v>1</v>
      </c>
    </row>
    <row r="1752" spans="1:18">
      <c r="A1752" s="4">
        <v>3536520000000</v>
      </c>
      <c r="B1752" t="s">
        <v>18</v>
      </c>
      <c r="C1752">
        <v>52</v>
      </c>
      <c r="D1752" t="s">
        <v>35</v>
      </c>
      <c r="E1752" t="s">
        <v>105</v>
      </c>
      <c r="F1752" s="1">
        <v>42489</v>
      </c>
      <c r="G1752" s="1">
        <v>42520</v>
      </c>
      <c r="H1752" t="s">
        <v>30</v>
      </c>
      <c r="I1752">
        <v>31</v>
      </c>
      <c r="J1752" t="s">
        <v>22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23</v>
      </c>
      <c r="R1752">
        <v>0</v>
      </c>
    </row>
    <row r="1753" spans="1:18">
      <c r="A1753" s="4">
        <v>54586200000000</v>
      </c>
      <c r="B1753" t="s">
        <v>18</v>
      </c>
      <c r="C1753">
        <v>19</v>
      </c>
      <c r="D1753" t="s">
        <v>37</v>
      </c>
      <c r="E1753" t="s">
        <v>58</v>
      </c>
      <c r="F1753" s="1">
        <v>42489</v>
      </c>
      <c r="G1753" s="1">
        <v>42492</v>
      </c>
      <c r="H1753" t="s">
        <v>30</v>
      </c>
      <c r="I1753">
        <v>3</v>
      </c>
      <c r="J1753" t="s">
        <v>109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1</v>
      </c>
      <c r="Q1753" t="s">
        <v>23</v>
      </c>
      <c r="R1753">
        <v>0</v>
      </c>
    </row>
    <row r="1754" spans="1:18">
      <c r="A1754" s="4">
        <v>2685160000000</v>
      </c>
      <c r="B1754" t="s">
        <v>18</v>
      </c>
      <c r="C1754">
        <v>53</v>
      </c>
      <c r="D1754" t="s">
        <v>35</v>
      </c>
      <c r="E1754" t="s">
        <v>40</v>
      </c>
      <c r="F1754" s="1">
        <v>42489</v>
      </c>
      <c r="G1754" s="1">
        <v>42489</v>
      </c>
      <c r="H1754" t="s">
        <v>21</v>
      </c>
      <c r="I1754">
        <v>0</v>
      </c>
      <c r="J1754" t="s">
        <v>111</v>
      </c>
      <c r="K1754">
        <v>0</v>
      </c>
      <c r="L1754">
        <v>0</v>
      </c>
      <c r="M1754">
        <v>0</v>
      </c>
      <c r="N1754">
        <v>0</v>
      </c>
      <c r="O1754">
        <v>1</v>
      </c>
      <c r="P1754">
        <v>0</v>
      </c>
      <c r="Q1754" t="s">
        <v>23</v>
      </c>
      <c r="R1754">
        <v>0</v>
      </c>
    </row>
    <row r="1755" spans="1:18">
      <c r="A1755" s="4">
        <v>954565000000000</v>
      </c>
      <c r="B1755" t="s">
        <v>18</v>
      </c>
      <c r="C1755">
        <v>46</v>
      </c>
      <c r="D1755" t="s">
        <v>27</v>
      </c>
      <c r="E1755" t="s">
        <v>40</v>
      </c>
      <c r="F1755" s="1">
        <v>42489</v>
      </c>
      <c r="G1755" s="1">
        <v>42506</v>
      </c>
      <c r="H1755" t="s">
        <v>30</v>
      </c>
      <c r="I1755">
        <v>17</v>
      </c>
      <c r="J1755" t="s">
        <v>77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23</v>
      </c>
      <c r="R1755">
        <v>0</v>
      </c>
    </row>
    <row r="1756" spans="1:18">
      <c r="A1756" s="4">
        <v>33222557638</v>
      </c>
      <c r="B1756" t="s">
        <v>28</v>
      </c>
      <c r="C1756">
        <v>65</v>
      </c>
      <c r="D1756" t="s">
        <v>35</v>
      </c>
      <c r="E1756" t="s">
        <v>47</v>
      </c>
      <c r="F1756" s="1">
        <v>42489</v>
      </c>
      <c r="G1756" s="1">
        <v>42506</v>
      </c>
      <c r="H1756" t="s">
        <v>30</v>
      </c>
      <c r="I1756">
        <v>17</v>
      </c>
      <c r="J1756" t="s">
        <v>77</v>
      </c>
      <c r="K1756">
        <v>0</v>
      </c>
      <c r="L1756">
        <v>0</v>
      </c>
      <c r="M1756">
        <v>1</v>
      </c>
      <c r="N1756">
        <v>0</v>
      </c>
      <c r="O1756">
        <v>0</v>
      </c>
      <c r="P1756">
        <v>0</v>
      </c>
      <c r="Q1756" t="s">
        <v>23</v>
      </c>
      <c r="R1756">
        <v>0</v>
      </c>
    </row>
    <row r="1757" spans="1:18">
      <c r="A1757" s="4">
        <v>356565000000000</v>
      </c>
      <c r="B1757" t="s">
        <v>28</v>
      </c>
      <c r="C1757">
        <v>18</v>
      </c>
      <c r="D1757" t="s">
        <v>37</v>
      </c>
      <c r="E1757" t="s">
        <v>39</v>
      </c>
      <c r="F1757" s="1">
        <v>42489</v>
      </c>
      <c r="G1757" s="1">
        <v>42493</v>
      </c>
      <c r="H1757" t="s">
        <v>41</v>
      </c>
      <c r="I1757">
        <v>4</v>
      </c>
      <c r="J1757" t="s">
        <v>107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</v>
      </c>
      <c r="Q1757" t="s">
        <v>23</v>
      </c>
      <c r="R1757">
        <v>0</v>
      </c>
    </row>
    <row r="1758" spans="1:18">
      <c r="A1758" s="4">
        <v>16511600000000</v>
      </c>
      <c r="B1758" t="s">
        <v>18</v>
      </c>
      <c r="C1758">
        <v>0</v>
      </c>
      <c r="D1758" t="s">
        <v>31</v>
      </c>
      <c r="E1758" t="s">
        <v>84</v>
      </c>
      <c r="F1758" s="1">
        <v>42489</v>
      </c>
      <c r="G1758" s="1">
        <v>42492</v>
      </c>
      <c r="H1758" t="s">
        <v>30</v>
      </c>
      <c r="I1758">
        <v>3</v>
      </c>
      <c r="J1758" t="s">
        <v>109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1</v>
      </c>
      <c r="Q1758" t="s">
        <v>23</v>
      </c>
      <c r="R1758">
        <v>0</v>
      </c>
    </row>
    <row r="1759" spans="1:18">
      <c r="A1759" s="4">
        <v>9744190000000</v>
      </c>
      <c r="B1759" t="s">
        <v>28</v>
      </c>
      <c r="C1759">
        <v>49</v>
      </c>
      <c r="D1759" t="s">
        <v>27</v>
      </c>
      <c r="E1759" t="s">
        <v>43</v>
      </c>
      <c r="F1759" s="1">
        <v>42489</v>
      </c>
      <c r="G1759" s="1">
        <v>42489</v>
      </c>
      <c r="H1759" t="s">
        <v>21</v>
      </c>
      <c r="I1759">
        <v>0</v>
      </c>
      <c r="J1759" t="s">
        <v>111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23</v>
      </c>
      <c r="R1759">
        <v>0</v>
      </c>
    </row>
    <row r="1760" spans="1:18">
      <c r="A1760" s="4">
        <v>73722900000000</v>
      </c>
      <c r="B1760" t="s">
        <v>28</v>
      </c>
      <c r="C1760">
        <v>8</v>
      </c>
      <c r="D1760" t="s">
        <v>31</v>
      </c>
      <c r="E1760" t="s">
        <v>105</v>
      </c>
      <c r="F1760" s="1">
        <v>42489</v>
      </c>
      <c r="G1760" s="1">
        <v>42489</v>
      </c>
      <c r="H1760" t="s">
        <v>21</v>
      </c>
      <c r="I1760">
        <v>0</v>
      </c>
      <c r="J1760" t="s">
        <v>111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23</v>
      </c>
      <c r="R1760">
        <v>0</v>
      </c>
    </row>
    <row r="1761" spans="1:18">
      <c r="A1761" s="4">
        <v>24448321454</v>
      </c>
      <c r="B1761" t="s">
        <v>28</v>
      </c>
      <c r="C1761">
        <v>1</v>
      </c>
      <c r="D1761" t="s">
        <v>31</v>
      </c>
      <c r="E1761" t="s">
        <v>38</v>
      </c>
      <c r="F1761" s="1">
        <v>42489</v>
      </c>
      <c r="G1761" s="1">
        <v>42489</v>
      </c>
      <c r="H1761" t="s">
        <v>21</v>
      </c>
      <c r="I1761">
        <v>0</v>
      </c>
      <c r="J1761" t="s">
        <v>111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23</v>
      </c>
      <c r="R1761">
        <v>0</v>
      </c>
    </row>
    <row r="1762" spans="1:18">
      <c r="A1762" s="4">
        <v>1693480000000</v>
      </c>
      <c r="B1762" t="s">
        <v>18</v>
      </c>
      <c r="C1762">
        <v>19</v>
      </c>
      <c r="D1762" t="s">
        <v>37</v>
      </c>
      <c r="E1762" t="s">
        <v>61</v>
      </c>
      <c r="F1762" s="1">
        <v>42489</v>
      </c>
      <c r="G1762" s="1">
        <v>42493</v>
      </c>
      <c r="H1762" t="s">
        <v>41</v>
      </c>
      <c r="I1762">
        <v>4</v>
      </c>
      <c r="J1762" t="s">
        <v>107</v>
      </c>
      <c r="K1762">
        <v>1</v>
      </c>
      <c r="L1762">
        <v>0</v>
      </c>
      <c r="M1762">
        <v>0</v>
      </c>
      <c r="N1762">
        <v>0</v>
      </c>
      <c r="O1762">
        <v>0</v>
      </c>
      <c r="P1762">
        <v>1</v>
      </c>
      <c r="Q1762" t="s">
        <v>23</v>
      </c>
      <c r="R1762">
        <v>0</v>
      </c>
    </row>
    <row r="1763" spans="1:18">
      <c r="A1763" s="4">
        <v>739199000000</v>
      </c>
      <c r="B1763" t="s">
        <v>28</v>
      </c>
      <c r="C1763">
        <v>0</v>
      </c>
      <c r="D1763" t="s">
        <v>31</v>
      </c>
      <c r="E1763" t="s">
        <v>91</v>
      </c>
      <c r="F1763" s="1">
        <v>42489</v>
      </c>
      <c r="G1763" s="1">
        <v>42503</v>
      </c>
      <c r="H1763" t="s">
        <v>21</v>
      </c>
      <c r="I1763">
        <v>14</v>
      </c>
      <c r="J1763" t="s">
        <v>92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23</v>
      </c>
      <c r="R1763">
        <v>0</v>
      </c>
    </row>
    <row r="1764" spans="1:18">
      <c r="A1764" s="4">
        <v>7124330000000</v>
      </c>
      <c r="B1764" t="s">
        <v>28</v>
      </c>
      <c r="C1764">
        <v>4</v>
      </c>
      <c r="D1764" t="s">
        <v>31</v>
      </c>
      <c r="E1764" t="s">
        <v>99</v>
      </c>
      <c r="F1764" s="1">
        <v>42489</v>
      </c>
      <c r="G1764" s="1">
        <v>42495</v>
      </c>
      <c r="H1764" t="s">
        <v>33</v>
      </c>
      <c r="I1764">
        <v>6</v>
      </c>
      <c r="J1764" t="s">
        <v>107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1</v>
      </c>
      <c r="Q1764" t="s">
        <v>26</v>
      </c>
      <c r="R1764">
        <v>1</v>
      </c>
    </row>
    <row r="1765" spans="1:18">
      <c r="A1765" s="4">
        <v>221343000000000</v>
      </c>
      <c r="B1765" t="s">
        <v>18</v>
      </c>
      <c r="C1765">
        <v>40</v>
      </c>
      <c r="D1765" t="s">
        <v>27</v>
      </c>
      <c r="E1765" t="s">
        <v>76</v>
      </c>
      <c r="F1765" s="1">
        <v>42489</v>
      </c>
      <c r="G1765" s="1">
        <v>42503</v>
      </c>
      <c r="H1765" t="s">
        <v>21</v>
      </c>
      <c r="I1765">
        <v>14</v>
      </c>
      <c r="J1765" t="s">
        <v>92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23</v>
      </c>
      <c r="R1765">
        <v>0</v>
      </c>
    </row>
    <row r="1766" spans="1:18">
      <c r="A1766" s="4">
        <v>16298300000000</v>
      </c>
      <c r="B1766" t="s">
        <v>28</v>
      </c>
      <c r="C1766">
        <v>2</v>
      </c>
      <c r="D1766" t="s">
        <v>31</v>
      </c>
      <c r="E1766" t="s">
        <v>64</v>
      </c>
      <c r="F1766" s="1">
        <v>42489</v>
      </c>
      <c r="G1766" s="1">
        <v>42489</v>
      </c>
      <c r="H1766" t="s">
        <v>21</v>
      </c>
      <c r="I1766">
        <v>0</v>
      </c>
      <c r="J1766" t="s">
        <v>111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23</v>
      </c>
      <c r="R1766">
        <v>0</v>
      </c>
    </row>
    <row r="1767" spans="1:18">
      <c r="A1767" s="4">
        <v>643485000000</v>
      </c>
      <c r="B1767" t="s">
        <v>18</v>
      </c>
      <c r="C1767">
        <v>74</v>
      </c>
      <c r="D1767" t="s">
        <v>19</v>
      </c>
      <c r="E1767" t="s">
        <v>84</v>
      </c>
      <c r="F1767" s="1">
        <v>42489</v>
      </c>
      <c r="G1767" s="1">
        <v>42494</v>
      </c>
      <c r="H1767" t="s">
        <v>25</v>
      </c>
      <c r="I1767">
        <v>5</v>
      </c>
      <c r="J1767" t="s">
        <v>107</v>
      </c>
      <c r="K1767">
        <v>0</v>
      </c>
      <c r="L1767">
        <v>1</v>
      </c>
      <c r="M1767">
        <v>1</v>
      </c>
      <c r="N1767">
        <v>0</v>
      </c>
      <c r="O1767">
        <v>0</v>
      </c>
      <c r="P1767">
        <v>1</v>
      </c>
      <c r="Q1767" t="s">
        <v>23</v>
      </c>
      <c r="R1767">
        <v>0</v>
      </c>
    </row>
    <row r="1768" spans="1:18">
      <c r="A1768" s="4">
        <v>4975910000000</v>
      </c>
      <c r="B1768" t="s">
        <v>18</v>
      </c>
      <c r="C1768">
        <v>1</v>
      </c>
      <c r="D1768" t="s">
        <v>31</v>
      </c>
      <c r="E1768" t="s">
        <v>72</v>
      </c>
      <c r="F1768" s="1">
        <v>42489</v>
      </c>
      <c r="G1768" s="1">
        <v>42524</v>
      </c>
      <c r="H1768" t="s">
        <v>21</v>
      </c>
      <c r="I1768">
        <v>35</v>
      </c>
      <c r="J1768" t="s">
        <v>22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26</v>
      </c>
      <c r="R1768">
        <v>1</v>
      </c>
    </row>
    <row r="1769" spans="1:18">
      <c r="A1769" s="4">
        <v>293464000000000</v>
      </c>
      <c r="B1769" t="s">
        <v>18</v>
      </c>
      <c r="C1769">
        <v>47</v>
      </c>
      <c r="D1769" t="s">
        <v>27</v>
      </c>
      <c r="E1769" t="s">
        <v>40</v>
      </c>
      <c r="F1769" s="1">
        <v>42489</v>
      </c>
      <c r="G1769" s="1">
        <v>42508</v>
      </c>
      <c r="H1769" t="s">
        <v>25</v>
      </c>
      <c r="I1769">
        <v>19</v>
      </c>
      <c r="J1769" t="s">
        <v>77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26</v>
      </c>
      <c r="R1769">
        <v>1</v>
      </c>
    </row>
    <row r="1770" spans="1:18">
      <c r="A1770" s="4">
        <v>632524000000000</v>
      </c>
      <c r="B1770" t="s">
        <v>18</v>
      </c>
      <c r="C1770">
        <v>45</v>
      </c>
      <c r="D1770" t="s">
        <v>27</v>
      </c>
      <c r="E1770" t="s">
        <v>40</v>
      </c>
      <c r="F1770" s="1">
        <v>42489</v>
      </c>
      <c r="G1770" s="1">
        <v>42489</v>
      </c>
      <c r="H1770" t="s">
        <v>21</v>
      </c>
      <c r="I1770">
        <v>0</v>
      </c>
      <c r="J1770" t="s">
        <v>111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23</v>
      </c>
      <c r="R1770">
        <v>0</v>
      </c>
    </row>
    <row r="1771" spans="1:18">
      <c r="A1771" s="4">
        <v>87979500000000</v>
      </c>
      <c r="B1771" t="s">
        <v>18</v>
      </c>
      <c r="C1771">
        <v>36</v>
      </c>
      <c r="D1771" t="s">
        <v>27</v>
      </c>
      <c r="E1771" t="s">
        <v>40</v>
      </c>
      <c r="F1771" s="1">
        <v>42489</v>
      </c>
      <c r="G1771" s="1">
        <v>42507</v>
      </c>
      <c r="H1771" t="s">
        <v>41</v>
      </c>
      <c r="I1771">
        <v>18</v>
      </c>
      <c r="J1771" t="s">
        <v>77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23</v>
      </c>
      <c r="R1771">
        <v>0</v>
      </c>
    </row>
    <row r="1772" spans="1:18">
      <c r="A1772" s="4">
        <v>85564300000000</v>
      </c>
      <c r="B1772" t="s">
        <v>18</v>
      </c>
      <c r="C1772">
        <v>2</v>
      </c>
      <c r="D1772" t="s">
        <v>31</v>
      </c>
      <c r="E1772" t="s">
        <v>40</v>
      </c>
      <c r="F1772" s="1">
        <v>42489</v>
      </c>
      <c r="G1772" s="1">
        <v>42506</v>
      </c>
      <c r="H1772" t="s">
        <v>30</v>
      </c>
      <c r="I1772">
        <v>17</v>
      </c>
      <c r="J1772" t="s">
        <v>77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23</v>
      </c>
      <c r="R1772">
        <v>0</v>
      </c>
    </row>
    <row r="1773" spans="1:18">
      <c r="A1773" s="4">
        <v>388141000000000</v>
      </c>
      <c r="B1773" t="s">
        <v>28</v>
      </c>
      <c r="C1773">
        <v>30</v>
      </c>
      <c r="D1773" t="s">
        <v>37</v>
      </c>
      <c r="E1773" t="s">
        <v>80</v>
      </c>
      <c r="F1773" s="1">
        <v>42489</v>
      </c>
      <c r="G1773" s="1">
        <v>42489</v>
      </c>
      <c r="H1773" t="s">
        <v>21</v>
      </c>
      <c r="I1773">
        <v>0</v>
      </c>
      <c r="J1773" t="s">
        <v>111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23</v>
      </c>
      <c r="R1773">
        <v>0</v>
      </c>
    </row>
    <row r="1774" spans="1:18">
      <c r="A1774" s="4">
        <v>468979000000000</v>
      </c>
      <c r="B1774" t="s">
        <v>28</v>
      </c>
      <c r="C1774">
        <v>2</v>
      </c>
      <c r="D1774" t="s">
        <v>31</v>
      </c>
      <c r="E1774" t="s">
        <v>99</v>
      </c>
      <c r="F1774" s="1">
        <v>42489</v>
      </c>
      <c r="G1774" s="1">
        <v>42489</v>
      </c>
      <c r="H1774" t="s">
        <v>21</v>
      </c>
      <c r="I1774">
        <v>0</v>
      </c>
      <c r="J1774" t="s">
        <v>111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23</v>
      </c>
      <c r="R1774">
        <v>0</v>
      </c>
    </row>
    <row r="1775" spans="1:18">
      <c r="A1775" s="4">
        <v>3673490000000</v>
      </c>
      <c r="B1775" t="s">
        <v>18</v>
      </c>
      <c r="C1775">
        <v>56</v>
      </c>
      <c r="D1775" t="s">
        <v>35</v>
      </c>
      <c r="E1775" t="s">
        <v>39</v>
      </c>
      <c r="F1775" s="1">
        <v>42489</v>
      </c>
      <c r="G1775" s="1">
        <v>42493</v>
      </c>
      <c r="H1775" t="s">
        <v>41</v>
      </c>
      <c r="I1775">
        <v>4</v>
      </c>
      <c r="J1775" t="s">
        <v>107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1</v>
      </c>
      <c r="Q1775" t="s">
        <v>23</v>
      </c>
      <c r="R1775">
        <v>0</v>
      </c>
    </row>
    <row r="1776" spans="1:18">
      <c r="A1776" s="4">
        <v>8214380000000</v>
      </c>
      <c r="B1776" t="s">
        <v>18</v>
      </c>
      <c r="C1776">
        <v>30</v>
      </c>
      <c r="D1776" t="s">
        <v>37</v>
      </c>
      <c r="E1776" t="s">
        <v>105</v>
      </c>
      <c r="F1776" s="1">
        <v>42489</v>
      </c>
      <c r="G1776" s="1">
        <v>42495</v>
      </c>
      <c r="H1776" t="s">
        <v>33</v>
      </c>
      <c r="I1776">
        <v>6</v>
      </c>
      <c r="J1776" t="s">
        <v>107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1</v>
      </c>
      <c r="Q1776" t="s">
        <v>23</v>
      </c>
      <c r="R1776">
        <v>0</v>
      </c>
    </row>
    <row r="1777" spans="1:18">
      <c r="A1777" s="4">
        <v>3558900000000</v>
      </c>
      <c r="B1777" t="s">
        <v>18</v>
      </c>
      <c r="C1777">
        <v>66</v>
      </c>
      <c r="D1777" t="s">
        <v>19</v>
      </c>
      <c r="E1777" t="s">
        <v>56</v>
      </c>
      <c r="F1777" s="1">
        <v>42489</v>
      </c>
      <c r="G1777" s="1">
        <v>42489</v>
      </c>
      <c r="H1777" t="s">
        <v>21</v>
      </c>
      <c r="I1777">
        <v>0</v>
      </c>
      <c r="J1777" t="s">
        <v>111</v>
      </c>
      <c r="K1777">
        <v>0</v>
      </c>
      <c r="L1777">
        <v>1</v>
      </c>
      <c r="M1777">
        <v>0</v>
      </c>
      <c r="N1777">
        <v>0</v>
      </c>
      <c r="O1777">
        <v>0</v>
      </c>
      <c r="P1777">
        <v>0</v>
      </c>
      <c r="Q1777" t="s">
        <v>23</v>
      </c>
      <c r="R1777">
        <v>0</v>
      </c>
    </row>
    <row r="1778" spans="1:18">
      <c r="A1778" s="4">
        <v>121718000000000</v>
      </c>
      <c r="B1778" t="s">
        <v>18</v>
      </c>
      <c r="C1778">
        <v>66</v>
      </c>
      <c r="D1778" t="s">
        <v>19</v>
      </c>
      <c r="E1778" t="s">
        <v>52</v>
      </c>
      <c r="F1778" s="1">
        <v>42489</v>
      </c>
      <c r="G1778" s="1">
        <v>42499</v>
      </c>
      <c r="H1778" t="s">
        <v>30</v>
      </c>
      <c r="I1778">
        <v>10</v>
      </c>
      <c r="J1778" t="s">
        <v>92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0</v>
      </c>
      <c r="Q1778" t="s">
        <v>23</v>
      </c>
      <c r="R1778">
        <v>0</v>
      </c>
    </row>
    <row r="1779" spans="1:18">
      <c r="A1779" s="4">
        <v>4499380000000</v>
      </c>
      <c r="B1779" t="s">
        <v>18</v>
      </c>
      <c r="C1779">
        <v>56</v>
      </c>
      <c r="D1779" t="s">
        <v>35</v>
      </c>
      <c r="E1779" t="s">
        <v>42</v>
      </c>
      <c r="F1779" s="1">
        <v>42489</v>
      </c>
      <c r="G1779" s="1">
        <v>42489</v>
      </c>
      <c r="H1779" t="s">
        <v>21</v>
      </c>
      <c r="I1779">
        <v>0</v>
      </c>
      <c r="J1779" t="s">
        <v>111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23</v>
      </c>
      <c r="R1779">
        <v>0</v>
      </c>
    </row>
    <row r="1780" spans="1:18">
      <c r="A1780" s="4">
        <v>13621981994</v>
      </c>
      <c r="B1780" t="s">
        <v>18</v>
      </c>
      <c r="C1780">
        <v>27</v>
      </c>
      <c r="D1780" t="s">
        <v>37</v>
      </c>
      <c r="E1780" t="s">
        <v>76</v>
      </c>
      <c r="F1780" s="1">
        <v>42489</v>
      </c>
      <c r="G1780" s="1">
        <v>42503</v>
      </c>
      <c r="H1780" t="s">
        <v>21</v>
      </c>
      <c r="I1780">
        <v>14</v>
      </c>
      <c r="J1780" t="s">
        <v>92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23</v>
      </c>
      <c r="R1780">
        <v>0</v>
      </c>
    </row>
    <row r="1781" spans="1:18">
      <c r="A1781" s="4">
        <v>196952000000</v>
      </c>
      <c r="B1781" t="s">
        <v>18</v>
      </c>
      <c r="C1781">
        <v>0</v>
      </c>
      <c r="D1781" t="s">
        <v>31</v>
      </c>
      <c r="E1781" t="s">
        <v>40</v>
      </c>
      <c r="F1781" s="1">
        <v>42489</v>
      </c>
      <c r="G1781" s="1">
        <v>42514</v>
      </c>
      <c r="H1781" t="s">
        <v>41</v>
      </c>
      <c r="I1781">
        <v>25</v>
      </c>
      <c r="J1781" t="s">
        <v>77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26</v>
      </c>
      <c r="R1781">
        <v>1</v>
      </c>
    </row>
    <row r="1782" spans="1:18">
      <c r="A1782" s="4">
        <v>4652600000000</v>
      </c>
      <c r="B1782" t="s">
        <v>18</v>
      </c>
      <c r="C1782">
        <v>67</v>
      </c>
      <c r="D1782" t="s">
        <v>19</v>
      </c>
      <c r="E1782" t="s">
        <v>40</v>
      </c>
      <c r="F1782" s="1">
        <v>42489</v>
      </c>
      <c r="G1782" s="1">
        <v>42500</v>
      </c>
      <c r="H1782" t="s">
        <v>41</v>
      </c>
      <c r="I1782">
        <v>11</v>
      </c>
      <c r="J1782" t="s">
        <v>92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 t="s">
        <v>26</v>
      </c>
      <c r="R1782">
        <v>1</v>
      </c>
    </row>
    <row r="1783" spans="1:18">
      <c r="A1783" s="4">
        <v>173830000000000</v>
      </c>
      <c r="B1783" t="s">
        <v>18</v>
      </c>
      <c r="C1783">
        <v>0</v>
      </c>
      <c r="D1783" t="s">
        <v>31</v>
      </c>
      <c r="E1783" t="s">
        <v>32</v>
      </c>
      <c r="F1783" s="1">
        <v>42489</v>
      </c>
      <c r="G1783" s="1">
        <v>42489</v>
      </c>
      <c r="H1783" t="s">
        <v>21</v>
      </c>
      <c r="I1783">
        <v>0</v>
      </c>
      <c r="J1783" t="s">
        <v>111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23</v>
      </c>
      <c r="R1783">
        <v>0</v>
      </c>
    </row>
    <row r="1784" spans="1:18">
      <c r="A1784" s="4">
        <v>5241580000000</v>
      </c>
      <c r="B1784" t="s">
        <v>18</v>
      </c>
      <c r="C1784">
        <v>53</v>
      </c>
      <c r="D1784" t="s">
        <v>35</v>
      </c>
      <c r="E1784" t="s">
        <v>67</v>
      </c>
      <c r="F1784" s="1">
        <v>42489</v>
      </c>
      <c r="G1784" s="1">
        <v>42489</v>
      </c>
      <c r="H1784" t="s">
        <v>21</v>
      </c>
      <c r="I1784">
        <v>0</v>
      </c>
      <c r="J1784" t="s">
        <v>111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23</v>
      </c>
      <c r="R1784">
        <v>0</v>
      </c>
    </row>
    <row r="1785" spans="1:18">
      <c r="A1785" s="4">
        <v>871976000000</v>
      </c>
      <c r="B1785" t="s">
        <v>18</v>
      </c>
      <c r="C1785">
        <v>18</v>
      </c>
      <c r="D1785" t="s">
        <v>37</v>
      </c>
      <c r="E1785" t="s">
        <v>93</v>
      </c>
      <c r="F1785" s="1">
        <v>42489</v>
      </c>
      <c r="G1785" s="1">
        <v>42496</v>
      </c>
      <c r="H1785" t="s">
        <v>21</v>
      </c>
      <c r="I1785">
        <v>7</v>
      </c>
      <c r="J1785" t="s">
        <v>107</v>
      </c>
      <c r="K1785">
        <v>1</v>
      </c>
      <c r="L1785">
        <v>0</v>
      </c>
      <c r="M1785">
        <v>0</v>
      </c>
      <c r="N1785">
        <v>0</v>
      </c>
      <c r="O1785">
        <v>1</v>
      </c>
      <c r="P1785">
        <v>0</v>
      </c>
      <c r="Q1785" t="s">
        <v>23</v>
      </c>
      <c r="R1785">
        <v>0</v>
      </c>
    </row>
    <row r="1786" spans="1:18">
      <c r="A1786" s="4">
        <v>27697300000000</v>
      </c>
      <c r="B1786" t="s">
        <v>28</v>
      </c>
      <c r="C1786">
        <v>25</v>
      </c>
      <c r="D1786" t="s">
        <v>37</v>
      </c>
      <c r="E1786" t="s">
        <v>40</v>
      </c>
      <c r="F1786" s="1">
        <v>42489</v>
      </c>
      <c r="G1786" s="1">
        <v>42508</v>
      </c>
      <c r="H1786" t="s">
        <v>25</v>
      </c>
      <c r="I1786">
        <v>19</v>
      </c>
      <c r="J1786" t="s">
        <v>77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26</v>
      </c>
      <c r="R1786">
        <v>1</v>
      </c>
    </row>
    <row r="1787" spans="1:18">
      <c r="A1787" s="4">
        <v>14480000000000</v>
      </c>
      <c r="B1787" t="s">
        <v>28</v>
      </c>
      <c r="C1787">
        <v>36</v>
      </c>
      <c r="D1787" t="s">
        <v>27</v>
      </c>
      <c r="E1787" t="s">
        <v>68</v>
      </c>
      <c r="F1787" s="1">
        <v>42489</v>
      </c>
      <c r="G1787" s="1">
        <v>42494</v>
      </c>
      <c r="H1787" t="s">
        <v>25</v>
      </c>
      <c r="I1787">
        <v>5</v>
      </c>
      <c r="J1787" t="s">
        <v>107</v>
      </c>
      <c r="K1787">
        <v>0</v>
      </c>
      <c r="L1787">
        <v>1</v>
      </c>
      <c r="M1787">
        <v>0</v>
      </c>
      <c r="N1787">
        <v>0</v>
      </c>
      <c r="O1787">
        <v>0</v>
      </c>
      <c r="P1787">
        <v>1</v>
      </c>
      <c r="Q1787" t="s">
        <v>23</v>
      </c>
      <c r="R1787">
        <v>0</v>
      </c>
    </row>
    <row r="1788" spans="1:18">
      <c r="A1788" s="4">
        <v>172924000000000</v>
      </c>
      <c r="B1788" t="s">
        <v>28</v>
      </c>
      <c r="C1788">
        <v>82</v>
      </c>
      <c r="D1788" t="s">
        <v>19</v>
      </c>
      <c r="E1788" t="s">
        <v>78</v>
      </c>
      <c r="F1788" s="1">
        <v>42489</v>
      </c>
      <c r="G1788" s="1">
        <v>42524</v>
      </c>
      <c r="H1788" t="s">
        <v>21</v>
      </c>
      <c r="I1788">
        <v>35</v>
      </c>
      <c r="J1788" t="s">
        <v>22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0</v>
      </c>
      <c r="Q1788" t="s">
        <v>23</v>
      </c>
      <c r="R1788">
        <v>0</v>
      </c>
    </row>
    <row r="1789" spans="1:18">
      <c r="A1789" s="4">
        <v>6229870000000</v>
      </c>
      <c r="B1789" t="s">
        <v>28</v>
      </c>
      <c r="C1789">
        <v>57</v>
      </c>
      <c r="D1789" t="s">
        <v>35</v>
      </c>
      <c r="E1789" t="s">
        <v>59</v>
      </c>
      <c r="F1789" s="1">
        <v>42489</v>
      </c>
      <c r="G1789" s="1">
        <v>42489</v>
      </c>
      <c r="H1789" t="s">
        <v>21</v>
      </c>
      <c r="I1789">
        <v>0</v>
      </c>
      <c r="J1789" t="s">
        <v>111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23</v>
      </c>
      <c r="R1789">
        <v>0</v>
      </c>
    </row>
    <row r="1790" spans="1:18">
      <c r="A1790" s="4">
        <v>6898630000000</v>
      </c>
      <c r="B1790" t="s">
        <v>18</v>
      </c>
      <c r="C1790">
        <v>13</v>
      </c>
      <c r="D1790" t="s">
        <v>60</v>
      </c>
      <c r="E1790" t="s">
        <v>101</v>
      </c>
      <c r="F1790" s="1">
        <v>42489</v>
      </c>
      <c r="G1790" s="1">
        <v>42492</v>
      </c>
      <c r="H1790" t="s">
        <v>30</v>
      </c>
      <c r="I1790">
        <v>3</v>
      </c>
      <c r="J1790" t="s">
        <v>109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 t="s">
        <v>26</v>
      </c>
      <c r="R1790">
        <v>1</v>
      </c>
    </row>
    <row r="1791" spans="1:18">
      <c r="A1791" s="4">
        <v>8718260000000</v>
      </c>
      <c r="B1791" t="s">
        <v>18</v>
      </c>
      <c r="C1791">
        <v>25</v>
      </c>
      <c r="D1791" t="s">
        <v>37</v>
      </c>
      <c r="E1791" t="s">
        <v>55</v>
      </c>
      <c r="F1791" s="1">
        <v>42489</v>
      </c>
      <c r="G1791" s="1">
        <v>42527</v>
      </c>
      <c r="H1791" t="s">
        <v>30</v>
      </c>
      <c r="I1791">
        <v>38</v>
      </c>
      <c r="J1791" t="s">
        <v>22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</v>
      </c>
      <c r="Q1791" t="s">
        <v>26</v>
      </c>
      <c r="R1791">
        <v>1</v>
      </c>
    </row>
    <row r="1792" spans="1:18">
      <c r="A1792" s="4">
        <v>14781900000000</v>
      </c>
      <c r="B1792" t="s">
        <v>18</v>
      </c>
      <c r="C1792">
        <v>73</v>
      </c>
      <c r="D1792" t="s">
        <v>19</v>
      </c>
      <c r="E1792" t="s">
        <v>52</v>
      </c>
      <c r="F1792" s="1">
        <v>42489</v>
      </c>
      <c r="G1792" s="1">
        <v>42514</v>
      </c>
      <c r="H1792" t="s">
        <v>41</v>
      </c>
      <c r="I1792">
        <v>25</v>
      </c>
      <c r="J1792" t="s">
        <v>77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</v>
      </c>
      <c r="Q1792" t="s">
        <v>23</v>
      </c>
      <c r="R1792">
        <v>0</v>
      </c>
    </row>
    <row r="1793" spans="1:18">
      <c r="A1793" s="4">
        <v>336144000000</v>
      </c>
      <c r="B1793" t="s">
        <v>28</v>
      </c>
      <c r="C1793">
        <v>38</v>
      </c>
      <c r="D1793" t="s">
        <v>27</v>
      </c>
      <c r="E1793" t="s">
        <v>32</v>
      </c>
      <c r="F1793" s="1">
        <v>42489</v>
      </c>
      <c r="G1793" s="1">
        <v>42489</v>
      </c>
      <c r="H1793" t="s">
        <v>21</v>
      </c>
      <c r="I1793">
        <v>0</v>
      </c>
      <c r="J1793" t="s">
        <v>111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23</v>
      </c>
      <c r="R1793">
        <v>0</v>
      </c>
    </row>
    <row r="1794" spans="1:18">
      <c r="A1794" s="4">
        <v>3120000000000</v>
      </c>
      <c r="B1794" t="s">
        <v>18</v>
      </c>
      <c r="C1794">
        <v>30</v>
      </c>
      <c r="D1794" t="s">
        <v>37</v>
      </c>
      <c r="E1794" t="s">
        <v>32</v>
      </c>
      <c r="F1794" s="1">
        <v>42489</v>
      </c>
      <c r="G1794" s="1">
        <v>42529</v>
      </c>
      <c r="H1794" t="s">
        <v>25</v>
      </c>
      <c r="I1794">
        <v>40</v>
      </c>
      <c r="J1794" t="s">
        <v>22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1</v>
      </c>
      <c r="Q1794" t="s">
        <v>26</v>
      </c>
      <c r="R1794">
        <v>1</v>
      </c>
    </row>
    <row r="1795" spans="1:18">
      <c r="A1795" s="4">
        <v>65556286469</v>
      </c>
      <c r="B1795" t="s">
        <v>28</v>
      </c>
      <c r="C1795">
        <v>21</v>
      </c>
      <c r="D1795" t="s">
        <v>37</v>
      </c>
      <c r="E1795" t="s">
        <v>38</v>
      </c>
      <c r="F1795" s="1">
        <v>42489</v>
      </c>
      <c r="G1795" s="1">
        <v>42499</v>
      </c>
      <c r="H1795" t="s">
        <v>30</v>
      </c>
      <c r="I1795">
        <v>10</v>
      </c>
      <c r="J1795" t="s">
        <v>92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23</v>
      </c>
      <c r="R1795">
        <v>0</v>
      </c>
    </row>
    <row r="1796" spans="1:18">
      <c r="A1796" s="4">
        <v>675161000000000</v>
      </c>
      <c r="B1796" t="s">
        <v>28</v>
      </c>
      <c r="C1796">
        <v>27</v>
      </c>
      <c r="D1796" t="s">
        <v>37</v>
      </c>
      <c r="E1796" t="s">
        <v>47</v>
      </c>
      <c r="F1796" s="1">
        <v>42489</v>
      </c>
      <c r="G1796" s="1">
        <v>42493</v>
      </c>
      <c r="H1796" t="s">
        <v>41</v>
      </c>
      <c r="I1796">
        <v>4</v>
      </c>
      <c r="J1796" t="s">
        <v>107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 t="s">
        <v>23</v>
      </c>
      <c r="R1796">
        <v>0</v>
      </c>
    </row>
    <row r="1797" spans="1:18">
      <c r="A1797" s="4">
        <v>752269000000000</v>
      </c>
      <c r="B1797" t="s">
        <v>18</v>
      </c>
      <c r="C1797">
        <v>7</v>
      </c>
      <c r="D1797" t="s">
        <v>31</v>
      </c>
      <c r="E1797" t="s">
        <v>45</v>
      </c>
      <c r="F1797" s="1">
        <v>42489</v>
      </c>
      <c r="G1797" s="1">
        <v>42493</v>
      </c>
      <c r="H1797" t="s">
        <v>41</v>
      </c>
      <c r="I1797">
        <v>4</v>
      </c>
      <c r="J1797" t="s">
        <v>107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26</v>
      </c>
      <c r="R1797">
        <v>1</v>
      </c>
    </row>
    <row r="1798" spans="1:18">
      <c r="A1798" s="4">
        <v>4266440000000</v>
      </c>
      <c r="B1798" t="s">
        <v>18</v>
      </c>
      <c r="C1798">
        <v>31</v>
      </c>
      <c r="D1798" t="s">
        <v>37</v>
      </c>
      <c r="E1798" t="s">
        <v>40</v>
      </c>
      <c r="F1798" s="1">
        <v>42489</v>
      </c>
      <c r="G1798" s="1">
        <v>42514</v>
      </c>
      <c r="H1798" t="s">
        <v>41</v>
      </c>
      <c r="I1798">
        <v>25</v>
      </c>
      <c r="J1798" t="s">
        <v>77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1</v>
      </c>
      <c r="Q1798" t="s">
        <v>26</v>
      </c>
      <c r="R1798">
        <v>1</v>
      </c>
    </row>
    <row r="1799" spans="1:18">
      <c r="A1799" s="4">
        <v>163596000000000</v>
      </c>
      <c r="B1799" t="s">
        <v>18</v>
      </c>
      <c r="C1799">
        <v>63</v>
      </c>
      <c r="D1799" t="s">
        <v>35</v>
      </c>
      <c r="E1799" t="s">
        <v>81</v>
      </c>
      <c r="F1799" s="1">
        <v>42489</v>
      </c>
      <c r="G1799" s="1">
        <v>42492</v>
      </c>
      <c r="H1799" t="s">
        <v>30</v>
      </c>
      <c r="I1799">
        <v>3</v>
      </c>
      <c r="J1799" t="s">
        <v>109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1</v>
      </c>
      <c r="Q1799" t="s">
        <v>23</v>
      </c>
      <c r="R1799">
        <v>0</v>
      </c>
    </row>
    <row r="1800" spans="1:18">
      <c r="A1800" s="4">
        <v>173830000000000</v>
      </c>
      <c r="B1800" t="s">
        <v>18</v>
      </c>
      <c r="C1800">
        <v>0</v>
      </c>
      <c r="D1800" t="s">
        <v>31</v>
      </c>
      <c r="E1800" t="s">
        <v>32</v>
      </c>
      <c r="F1800" s="1">
        <v>42489</v>
      </c>
      <c r="G1800" s="1">
        <v>42496</v>
      </c>
      <c r="H1800" t="s">
        <v>21</v>
      </c>
      <c r="I1800">
        <v>7</v>
      </c>
      <c r="J1800" t="s">
        <v>107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1</v>
      </c>
      <c r="Q1800" t="s">
        <v>23</v>
      </c>
      <c r="R1800">
        <v>0</v>
      </c>
    </row>
    <row r="1801" spans="1:18">
      <c r="A1801" s="4">
        <v>89168300000000</v>
      </c>
      <c r="B1801" t="s">
        <v>28</v>
      </c>
      <c r="C1801">
        <v>15</v>
      </c>
      <c r="D1801" t="s">
        <v>60</v>
      </c>
      <c r="E1801" t="s">
        <v>105</v>
      </c>
      <c r="F1801" s="1">
        <v>42489</v>
      </c>
      <c r="G1801" s="1">
        <v>42507</v>
      </c>
      <c r="H1801" t="s">
        <v>41</v>
      </c>
      <c r="I1801">
        <v>18</v>
      </c>
      <c r="J1801" t="s">
        <v>77</v>
      </c>
      <c r="K1801">
        <v>1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26</v>
      </c>
      <c r="R1801">
        <v>1</v>
      </c>
    </row>
    <row r="1802" spans="1:18">
      <c r="A1802" s="4">
        <v>195319000000</v>
      </c>
      <c r="B1802" t="s">
        <v>18</v>
      </c>
      <c r="C1802">
        <v>57</v>
      </c>
      <c r="D1802" t="s">
        <v>35</v>
      </c>
      <c r="E1802" t="s">
        <v>40</v>
      </c>
      <c r="F1802" s="1">
        <v>42489</v>
      </c>
      <c r="G1802" s="1">
        <v>42494</v>
      </c>
      <c r="H1802" t="s">
        <v>25</v>
      </c>
      <c r="I1802">
        <v>5</v>
      </c>
      <c r="J1802" t="s">
        <v>107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 t="s">
        <v>23</v>
      </c>
      <c r="R1802">
        <v>0</v>
      </c>
    </row>
    <row r="1803" spans="1:18">
      <c r="A1803" s="4">
        <v>357786000000</v>
      </c>
      <c r="B1803" t="s">
        <v>18</v>
      </c>
      <c r="C1803">
        <v>39</v>
      </c>
      <c r="D1803" t="s">
        <v>27</v>
      </c>
      <c r="E1803" t="s">
        <v>48</v>
      </c>
      <c r="F1803" s="1">
        <v>42489</v>
      </c>
      <c r="G1803" s="1">
        <v>42489</v>
      </c>
      <c r="H1803" t="s">
        <v>21</v>
      </c>
      <c r="I1803">
        <v>0</v>
      </c>
      <c r="J1803" t="s">
        <v>111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23</v>
      </c>
      <c r="R1803">
        <v>0</v>
      </c>
    </row>
    <row r="1804" spans="1:18">
      <c r="A1804" s="4">
        <v>86484800000000</v>
      </c>
      <c r="B1804" t="s">
        <v>18</v>
      </c>
      <c r="C1804">
        <v>54</v>
      </c>
      <c r="D1804" t="s">
        <v>35</v>
      </c>
      <c r="E1804" t="s">
        <v>32</v>
      </c>
      <c r="F1804" s="1">
        <v>42489</v>
      </c>
      <c r="G1804" s="1">
        <v>42494</v>
      </c>
      <c r="H1804" t="s">
        <v>25</v>
      </c>
      <c r="I1804">
        <v>5</v>
      </c>
      <c r="J1804" t="s">
        <v>107</v>
      </c>
      <c r="K1804">
        <v>0</v>
      </c>
      <c r="L1804">
        <v>1</v>
      </c>
      <c r="M1804">
        <v>1</v>
      </c>
      <c r="N1804">
        <v>0</v>
      </c>
      <c r="O1804">
        <v>0</v>
      </c>
      <c r="P1804">
        <v>1</v>
      </c>
      <c r="Q1804" t="s">
        <v>23</v>
      </c>
      <c r="R1804">
        <v>0</v>
      </c>
    </row>
    <row r="1805" spans="1:18">
      <c r="A1805" s="4">
        <v>78161300000000</v>
      </c>
      <c r="B1805" t="s">
        <v>28</v>
      </c>
      <c r="C1805">
        <v>19</v>
      </c>
      <c r="D1805" t="s">
        <v>37</v>
      </c>
      <c r="E1805" t="s">
        <v>47</v>
      </c>
      <c r="F1805" s="1">
        <v>42489</v>
      </c>
      <c r="G1805" s="1">
        <v>42489</v>
      </c>
      <c r="H1805" t="s">
        <v>21</v>
      </c>
      <c r="I1805">
        <v>0</v>
      </c>
      <c r="J1805" t="s">
        <v>111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23</v>
      </c>
      <c r="R1805">
        <v>0</v>
      </c>
    </row>
    <row r="1806" spans="1:18">
      <c r="A1806" s="4">
        <v>62469500000000</v>
      </c>
      <c r="B1806" t="s">
        <v>28</v>
      </c>
      <c r="C1806">
        <v>4</v>
      </c>
      <c r="D1806" t="s">
        <v>31</v>
      </c>
      <c r="E1806" t="s">
        <v>76</v>
      </c>
      <c r="F1806" s="1">
        <v>42489</v>
      </c>
      <c r="G1806" s="1">
        <v>42494</v>
      </c>
      <c r="H1806" t="s">
        <v>25</v>
      </c>
      <c r="I1806">
        <v>5</v>
      </c>
      <c r="J1806" t="s">
        <v>107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</v>
      </c>
      <c r="Q1806" t="s">
        <v>23</v>
      </c>
      <c r="R1806">
        <v>0</v>
      </c>
    </row>
    <row r="1807" spans="1:18">
      <c r="A1807" s="4">
        <v>28868200000000</v>
      </c>
      <c r="B1807" t="s">
        <v>28</v>
      </c>
      <c r="C1807">
        <v>54</v>
      </c>
      <c r="D1807" t="s">
        <v>35</v>
      </c>
      <c r="E1807" t="s">
        <v>71</v>
      </c>
      <c r="F1807" s="1">
        <v>42489</v>
      </c>
      <c r="G1807" s="1">
        <v>42496</v>
      </c>
      <c r="H1807" t="s">
        <v>21</v>
      </c>
      <c r="I1807">
        <v>7</v>
      </c>
      <c r="J1807" t="s">
        <v>107</v>
      </c>
      <c r="K1807">
        <v>0</v>
      </c>
      <c r="L1807">
        <v>1</v>
      </c>
      <c r="M1807">
        <v>1</v>
      </c>
      <c r="N1807">
        <v>0</v>
      </c>
      <c r="O1807">
        <v>0</v>
      </c>
      <c r="P1807">
        <v>0</v>
      </c>
      <c r="Q1807" t="s">
        <v>23</v>
      </c>
      <c r="R1807">
        <v>0</v>
      </c>
    </row>
    <row r="1808" spans="1:18">
      <c r="A1808" s="4">
        <v>289782000000000</v>
      </c>
      <c r="B1808" t="s">
        <v>18</v>
      </c>
      <c r="C1808">
        <v>57</v>
      </c>
      <c r="D1808" t="s">
        <v>35</v>
      </c>
      <c r="E1808" t="s">
        <v>29</v>
      </c>
      <c r="F1808" s="1">
        <v>42489</v>
      </c>
      <c r="G1808" s="1">
        <v>42492</v>
      </c>
      <c r="H1808" t="s">
        <v>30</v>
      </c>
      <c r="I1808">
        <v>3</v>
      </c>
      <c r="J1808" t="s">
        <v>109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1</v>
      </c>
      <c r="Q1808" t="s">
        <v>23</v>
      </c>
      <c r="R1808">
        <v>0</v>
      </c>
    </row>
    <row r="1809" spans="1:18">
      <c r="A1809" s="4">
        <v>29539000000000</v>
      </c>
      <c r="B1809" t="s">
        <v>28</v>
      </c>
      <c r="C1809">
        <v>53</v>
      </c>
      <c r="D1809" t="s">
        <v>35</v>
      </c>
      <c r="E1809" t="s">
        <v>56</v>
      </c>
      <c r="F1809" s="1">
        <v>42489</v>
      </c>
      <c r="G1809" s="1">
        <v>42489</v>
      </c>
      <c r="H1809" t="s">
        <v>21</v>
      </c>
      <c r="I1809">
        <v>0</v>
      </c>
      <c r="J1809" t="s">
        <v>111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 t="s">
        <v>23</v>
      </c>
      <c r="R1809">
        <v>0</v>
      </c>
    </row>
    <row r="1810" spans="1:18">
      <c r="A1810" s="4">
        <v>236183000000000</v>
      </c>
      <c r="B1810" t="s">
        <v>18</v>
      </c>
      <c r="C1810">
        <v>30</v>
      </c>
      <c r="D1810" t="s">
        <v>37</v>
      </c>
      <c r="E1810" t="s">
        <v>48</v>
      </c>
      <c r="F1810" s="1">
        <v>42489</v>
      </c>
      <c r="G1810" s="1">
        <v>42489</v>
      </c>
      <c r="H1810" t="s">
        <v>21</v>
      </c>
      <c r="I1810">
        <v>0</v>
      </c>
      <c r="J1810" t="s">
        <v>111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23</v>
      </c>
      <c r="R1810">
        <v>0</v>
      </c>
    </row>
    <row r="1811" spans="1:18">
      <c r="A1811" s="4">
        <v>7528570000000</v>
      </c>
      <c r="B1811" t="s">
        <v>18</v>
      </c>
      <c r="C1811">
        <v>43</v>
      </c>
      <c r="D1811" t="s">
        <v>27</v>
      </c>
      <c r="E1811" t="s">
        <v>59</v>
      </c>
      <c r="F1811" s="1">
        <v>42489</v>
      </c>
      <c r="G1811" s="1">
        <v>42502</v>
      </c>
      <c r="H1811" t="s">
        <v>33</v>
      </c>
      <c r="I1811">
        <v>13</v>
      </c>
      <c r="J1811" t="s">
        <v>92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1</v>
      </c>
      <c r="Q1811" t="s">
        <v>23</v>
      </c>
      <c r="R1811">
        <v>0</v>
      </c>
    </row>
    <row r="1812" spans="1:18">
      <c r="A1812" s="4">
        <v>649644000000</v>
      </c>
      <c r="B1812" t="s">
        <v>18</v>
      </c>
      <c r="C1812">
        <v>30</v>
      </c>
      <c r="D1812" t="s">
        <v>37</v>
      </c>
      <c r="E1812" t="s">
        <v>84</v>
      </c>
      <c r="F1812" s="1">
        <v>42489</v>
      </c>
      <c r="G1812" s="1">
        <v>42494</v>
      </c>
      <c r="H1812" t="s">
        <v>25</v>
      </c>
      <c r="I1812">
        <v>5</v>
      </c>
      <c r="J1812" t="s">
        <v>107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1</v>
      </c>
      <c r="Q1812" t="s">
        <v>26</v>
      </c>
      <c r="R1812">
        <v>1</v>
      </c>
    </row>
    <row r="1813" spans="1:18">
      <c r="A1813" s="4">
        <v>81548692662</v>
      </c>
      <c r="B1813" t="s">
        <v>18</v>
      </c>
      <c r="C1813">
        <v>52</v>
      </c>
      <c r="D1813" t="s">
        <v>35</v>
      </c>
      <c r="E1813" t="s">
        <v>59</v>
      </c>
      <c r="F1813" s="1">
        <v>42489</v>
      </c>
      <c r="G1813" s="1">
        <v>42494</v>
      </c>
      <c r="H1813" t="s">
        <v>25</v>
      </c>
      <c r="I1813">
        <v>5</v>
      </c>
      <c r="J1813" t="s">
        <v>107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</v>
      </c>
      <c r="Q1813" t="s">
        <v>23</v>
      </c>
      <c r="R1813">
        <v>0</v>
      </c>
    </row>
    <row r="1814" spans="1:18">
      <c r="A1814" s="4">
        <v>24775900000000</v>
      </c>
      <c r="B1814" t="s">
        <v>18</v>
      </c>
      <c r="C1814">
        <v>32</v>
      </c>
      <c r="D1814" t="s">
        <v>37</v>
      </c>
      <c r="E1814" t="s">
        <v>51</v>
      </c>
      <c r="F1814" s="1">
        <v>42489</v>
      </c>
      <c r="G1814" s="1">
        <v>42489</v>
      </c>
      <c r="H1814" t="s">
        <v>21</v>
      </c>
      <c r="I1814">
        <v>0</v>
      </c>
      <c r="J1814" t="s">
        <v>111</v>
      </c>
      <c r="K1814">
        <v>1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23</v>
      </c>
      <c r="R1814">
        <v>0</v>
      </c>
    </row>
    <row r="1815" spans="1:18">
      <c r="A1815" s="4">
        <v>948820000000000</v>
      </c>
      <c r="B1815" t="s">
        <v>28</v>
      </c>
      <c r="C1815">
        <v>35</v>
      </c>
      <c r="D1815" t="s">
        <v>37</v>
      </c>
      <c r="E1815" t="s">
        <v>40</v>
      </c>
      <c r="F1815" s="1">
        <v>42489</v>
      </c>
      <c r="G1815" s="1">
        <v>42520</v>
      </c>
      <c r="H1815" t="s">
        <v>30</v>
      </c>
      <c r="I1815">
        <v>31</v>
      </c>
      <c r="J1815" t="s">
        <v>22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23</v>
      </c>
      <c r="R1815">
        <v>0</v>
      </c>
    </row>
    <row r="1816" spans="1:18">
      <c r="A1816" s="4">
        <v>392698000000000</v>
      </c>
      <c r="B1816" t="s">
        <v>18</v>
      </c>
      <c r="C1816">
        <v>45</v>
      </c>
      <c r="D1816" t="s">
        <v>27</v>
      </c>
      <c r="E1816" t="s">
        <v>40</v>
      </c>
      <c r="F1816" s="1">
        <v>42489</v>
      </c>
      <c r="G1816" s="1">
        <v>42515</v>
      </c>
      <c r="H1816" t="s">
        <v>25</v>
      </c>
      <c r="I1816">
        <v>26</v>
      </c>
      <c r="J1816" t="s">
        <v>77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</v>
      </c>
      <c r="Q1816" t="s">
        <v>26</v>
      </c>
      <c r="R1816">
        <v>1</v>
      </c>
    </row>
    <row r="1817" spans="1:18">
      <c r="A1817" s="4">
        <v>697622000000</v>
      </c>
      <c r="B1817" t="s">
        <v>18</v>
      </c>
      <c r="C1817">
        <v>42</v>
      </c>
      <c r="D1817" t="s">
        <v>27</v>
      </c>
      <c r="E1817" t="s">
        <v>53</v>
      </c>
      <c r="F1817" s="1">
        <v>42489</v>
      </c>
      <c r="G1817" s="1">
        <v>42489</v>
      </c>
      <c r="H1817" t="s">
        <v>21</v>
      </c>
      <c r="I1817">
        <v>0</v>
      </c>
      <c r="J1817" t="s">
        <v>111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23</v>
      </c>
      <c r="R1817">
        <v>0</v>
      </c>
    </row>
    <row r="1818" spans="1:18">
      <c r="A1818" s="4">
        <v>3711190000000</v>
      </c>
      <c r="B1818" t="s">
        <v>18</v>
      </c>
      <c r="C1818">
        <v>77</v>
      </c>
      <c r="D1818" t="s">
        <v>19</v>
      </c>
      <c r="E1818" t="s">
        <v>29</v>
      </c>
      <c r="F1818" s="1">
        <v>42489</v>
      </c>
      <c r="G1818" s="1">
        <v>42489</v>
      </c>
      <c r="H1818" t="s">
        <v>21</v>
      </c>
      <c r="I1818">
        <v>0</v>
      </c>
      <c r="J1818" t="s">
        <v>111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0</v>
      </c>
      <c r="Q1818" t="s">
        <v>23</v>
      </c>
      <c r="R1818">
        <v>0</v>
      </c>
    </row>
    <row r="1819" spans="1:18">
      <c r="A1819" s="4">
        <v>66293700000000</v>
      </c>
      <c r="B1819" t="s">
        <v>18</v>
      </c>
      <c r="C1819">
        <v>26</v>
      </c>
      <c r="D1819" t="s">
        <v>37</v>
      </c>
      <c r="E1819" t="s">
        <v>67</v>
      </c>
      <c r="F1819" s="1">
        <v>42489</v>
      </c>
      <c r="G1819" s="1">
        <v>42515</v>
      </c>
      <c r="H1819" t="s">
        <v>25</v>
      </c>
      <c r="I1819">
        <v>26</v>
      </c>
      <c r="J1819" t="s">
        <v>77</v>
      </c>
      <c r="K1819">
        <v>0</v>
      </c>
      <c r="L1819">
        <v>0</v>
      </c>
      <c r="M1819">
        <v>1</v>
      </c>
      <c r="N1819">
        <v>0</v>
      </c>
      <c r="O1819">
        <v>0</v>
      </c>
      <c r="P1819">
        <v>1</v>
      </c>
      <c r="Q1819" t="s">
        <v>26</v>
      </c>
      <c r="R1819">
        <v>1</v>
      </c>
    </row>
    <row r="1820" spans="1:18">
      <c r="A1820" s="4">
        <v>42288800000000</v>
      </c>
      <c r="B1820" t="s">
        <v>28</v>
      </c>
      <c r="C1820">
        <v>77</v>
      </c>
      <c r="D1820" t="s">
        <v>19</v>
      </c>
      <c r="E1820" t="s">
        <v>81</v>
      </c>
      <c r="F1820" s="1">
        <v>42489</v>
      </c>
      <c r="G1820" s="1">
        <v>42500</v>
      </c>
      <c r="H1820" t="s">
        <v>41</v>
      </c>
      <c r="I1820">
        <v>11</v>
      </c>
      <c r="J1820" t="s">
        <v>92</v>
      </c>
      <c r="K1820">
        <v>0</v>
      </c>
      <c r="L1820">
        <v>1</v>
      </c>
      <c r="M1820">
        <v>1</v>
      </c>
      <c r="N1820">
        <v>0</v>
      </c>
      <c r="O1820">
        <v>0</v>
      </c>
      <c r="P1820">
        <v>1</v>
      </c>
      <c r="Q1820" t="s">
        <v>26</v>
      </c>
      <c r="R1820">
        <v>1</v>
      </c>
    </row>
    <row r="1821" spans="1:18">
      <c r="A1821" s="4">
        <v>825272000000</v>
      </c>
      <c r="B1821" t="s">
        <v>28</v>
      </c>
      <c r="C1821">
        <v>9</v>
      </c>
      <c r="D1821" t="s">
        <v>31</v>
      </c>
      <c r="E1821" t="s">
        <v>95</v>
      </c>
      <c r="F1821" s="1">
        <v>42489</v>
      </c>
      <c r="G1821" s="1">
        <v>42492</v>
      </c>
      <c r="H1821" t="s">
        <v>30</v>
      </c>
      <c r="I1821">
        <v>3</v>
      </c>
      <c r="J1821" t="s">
        <v>109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  <c r="Q1821" t="s">
        <v>23</v>
      </c>
      <c r="R1821">
        <v>0</v>
      </c>
    </row>
    <row r="1822" spans="1:18">
      <c r="A1822" s="4">
        <v>74738700000000</v>
      </c>
      <c r="B1822" t="s">
        <v>18</v>
      </c>
      <c r="C1822">
        <v>47</v>
      </c>
      <c r="D1822" t="s">
        <v>27</v>
      </c>
      <c r="E1822" t="s">
        <v>40</v>
      </c>
      <c r="F1822" s="1">
        <v>42489</v>
      </c>
      <c r="G1822" s="1">
        <v>42521</v>
      </c>
      <c r="H1822" t="s">
        <v>41</v>
      </c>
      <c r="I1822">
        <v>32</v>
      </c>
      <c r="J1822" t="s">
        <v>22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1</v>
      </c>
      <c r="Q1822" t="s">
        <v>26</v>
      </c>
      <c r="R1822">
        <v>1</v>
      </c>
    </row>
    <row r="1823" spans="1:18">
      <c r="A1823" s="4">
        <v>9489346198</v>
      </c>
      <c r="B1823" t="s">
        <v>18</v>
      </c>
      <c r="C1823">
        <v>11</v>
      </c>
      <c r="D1823" t="s">
        <v>31</v>
      </c>
      <c r="E1823" t="s">
        <v>74</v>
      </c>
      <c r="F1823" s="1">
        <v>42489</v>
      </c>
      <c r="G1823" s="1">
        <v>42493</v>
      </c>
      <c r="H1823" t="s">
        <v>41</v>
      </c>
      <c r="I1823">
        <v>4</v>
      </c>
      <c r="J1823" t="s">
        <v>107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1</v>
      </c>
      <c r="Q1823" t="s">
        <v>23</v>
      </c>
      <c r="R1823">
        <v>0</v>
      </c>
    </row>
    <row r="1824" spans="1:18">
      <c r="A1824" s="4">
        <v>9195790000000</v>
      </c>
      <c r="B1824" t="s">
        <v>18</v>
      </c>
      <c r="C1824">
        <v>44</v>
      </c>
      <c r="D1824" t="s">
        <v>27</v>
      </c>
      <c r="E1824" t="s">
        <v>98</v>
      </c>
      <c r="F1824" s="1">
        <v>42489</v>
      </c>
      <c r="G1824" s="1">
        <v>42493</v>
      </c>
      <c r="H1824" t="s">
        <v>41</v>
      </c>
      <c r="I1824">
        <v>4</v>
      </c>
      <c r="J1824" t="s">
        <v>107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1</v>
      </c>
      <c r="Q1824" t="s">
        <v>23</v>
      </c>
      <c r="R1824">
        <v>0</v>
      </c>
    </row>
    <row r="1825" spans="1:18">
      <c r="A1825" s="4">
        <v>1959450000000</v>
      </c>
      <c r="B1825" t="s">
        <v>18</v>
      </c>
      <c r="C1825">
        <v>68</v>
      </c>
      <c r="D1825" t="s">
        <v>19</v>
      </c>
      <c r="E1825" t="s">
        <v>40</v>
      </c>
      <c r="F1825" s="1">
        <v>42489</v>
      </c>
      <c r="G1825" s="1">
        <v>42489</v>
      </c>
      <c r="H1825" t="s">
        <v>21</v>
      </c>
      <c r="I1825">
        <v>0</v>
      </c>
      <c r="J1825" t="s">
        <v>111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0</v>
      </c>
      <c r="Q1825" t="s">
        <v>23</v>
      </c>
      <c r="R1825">
        <v>0</v>
      </c>
    </row>
    <row r="1826" spans="1:18">
      <c r="A1826" s="4">
        <v>623393000000</v>
      </c>
      <c r="B1826" t="s">
        <v>28</v>
      </c>
      <c r="C1826">
        <v>32</v>
      </c>
      <c r="D1826" t="s">
        <v>37</v>
      </c>
      <c r="E1826" t="s">
        <v>66</v>
      </c>
      <c r="F1826" s="1">
        <v>42489</v>
      </c>
      <c r="G1826" s="1">
        <v>42496</v>
      </c>
      <c r="H1826" t="s">
        <v>21</v>
      </c>
      <c r="I1826">
        <v>7</v>
      </c>
      <c r="J1826" t="s">
        <v>107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1</v>
      </c>
      <c r="Q1826" t="s">
        <v>23</v>
      </c>
      <c r="R1826">
        <v>0</v>
      </c>
    </row>
    <row r="1827" spans="1:18">
      <c r="A1827" s="4">
        <v>96476600000000</v>
      </c>
      <c r="B1827" t="s">
        <v>28</v>
      </c>
      <c r="C1827">
        <v>0</v>
      </c>
      <c r="D1827" t="s">
        <v>31</v>
      </c>
      <c r="E1827" t="s">
        <v>73</v>
      </c>
      <c r="F1827" s="1">
        <v>42489</v>
      </c>
      <c r="G1827" s="1">
        <v>42515</v>
      </c>
      <c r="H1827" t="s">
        <v>25</v>
      </c>
      <c r="I1827">
        <v>26</v>
      </c>
      <c r="J1827" t="s">
        <v>77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1</v>
      </c>
      <c r="Q1827" t="s">
        <v>23</v>
      </c>
      <c r="R1827">
        <v>0</v>
      </c>
    </row>
    <row r="1828" spans="1:18">
      <c r="A1828" s="4">
        <v>3716910000000</v>
      </c>
      <c r="B1828" t="s">
        <v>18</v>
      </c>
      <c r="C1828">
        <v>32</v>
      </c>
      <c r="D1828" t="s">
        <v>37</v>
      </c>
      <c r="E1828" t="s">
        <v>61</v>
      </c>
      <c r="F1828" s="1">
        <v>42489</v>
      </c>
      <c r="G1828" s="1">
        <v>42494</v>
      </c>
      <c r="H1828" t="s">
        <v>25</v>
      </c>
      <c r="I1828">
        <v>5</v>
      </c>
      <c r="J1828" t="s">
        <v>107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1</v>
      </c>
      <c r="Q1828" t="s">
        <v>23</v>
      </c>
      <c r="R1828">
        <v>0</v>
      </c>
    </row>
    <row r="1829" spans="1:18">
      <c r="A1829" s="4">
        <v>19645400000000</v>
      </c>
      <c r="B1829" t="s">
        <v>18</v>
      </c>
      <c r="C1829">
        <v>44</v>
      </c>
      <c r="D1829" t="s">
        <v>27</v>
      </c>
      <c r="E1829" t="s">
        <v>69</v>
      </c>
      <c r="F1829" s="1">
        <v>42489</v>
      </c>
      <c r="G1829" s="1">
        <v>42493</v>
      </c>
      <c r="H1829" t="s">
        <v>41</v>
      </c>
      <c r="I1829">
        <v>4</v>
      </c>
      <c r="J1829" t="s">
        <v>107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1</v>
      </c>
      <c r="Q1829" t="s">
        <v>23</v>
      </c>
      <c r="R1829">
        <v>0</v>
      </c>
    </row>
    <row r="1830" spans="1:18">
      <c r="A1830" s="4">
        <v>815484000000000</v>
      </c>
      <c r="B1830" t="s">
        <v>28</v>
      </c>
      <c r="C1830">
        <v>73</v>
      </c>
      <c r="D1830" t="s">
        <v>19</v>
      </c>
      <c r="E1830" t="s">
        <v>72</v>
      </c>
      <c r="F1830" s="1">
        <v>42489</v>
      </c>
      <c r="G1830" s="1">
        <v>42489</v>
      </c>
      <c r="H1830" t="s">
        <v>21</v>
      </c>
      <c r="I1830">
        <v>0</v>
      </c>
      <c r="J1830" t="s">
        <v>111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23</v>
      </c>
      <c r="R1830">
        <v>0</v>
      </c>
    </row>
    <row r="1831" spans="1:18">
      <c r="A1831" s="4">
        <v>6142380000000</v>
      </c>
      <c r="B1831" t="s">
        <v>18</v>
      </c>
      <c r="C1831">
        <v>47</v>
      </c>
      <c r="D1831" t="s">
        <v>27</v>
      </c>
      <c r="E1831" t="s">
        <v>36</v>
      </c>
      <c r="F1831" s="1">
        <v>42489</v>
      </c>
      <c r="G1831" s="1">
        <v>42489</v>
      </c>
      <c r="H1831" t="s">
        <v>21</v>
      </c>
      <c r="I1831">
        <v>0</v>
      </c>
      <c r="J1831" t="s">
        <v>111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26</v>
      </c>
      <c r="R1831">
        <v>1</v>
      </c>
    </row>
    <row r="1832" spans="1:18">
      <c r="A1832" s="4">
        <v>238717000000000</v>
      </c>
      <c r="B1832" t="s">
        <v>18</v>
      </c>
      <c r="C1832">
        <v>17</v>
      </c>
      <c r="D1832" t="s">
        <v>60</v>
      </c>
      <c r="E1832" t="s">
        <v>84</v>
      </c>
      <c r="F1832" s="1">
        <v>42489</v>
      </c>
      <c r="G1832" s="1">
        <v>42503</v>
      </c>
      <c r="H1832" t="s">
        <v>21</v>
      </c>
      <c r="I1832">
        <v>14</v>
      </c>
      <c r="J1832" t="s">
        <v>92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26</v>
      </c>
      <c r="R1832">
        <v>1</v>
      </c>
    </row>
    <row r="1833" spans="1:18">
      <c r="A1833" s="4">
        <v>768488000000000</v>
      </c>
      <c r="B1833" t="s">
        <v>28</v>
      </c>
      <c r="C1833">
        <v>45</v>
      </c>
      <c r="D1833" t="s">
        <v>27</v>
      </c>
      <c r="E1833" t="s">
        <v>56</v>
      </c>
      <c r="F1833" s="1">
        <v>42489</v>
      </c>
      <c r="G1833" s="1">
        <v>42489</v>
      </c>
      <c r="H1833" t="s">
        <v>21</v>
      </c>
      <c r="I1833">
        <v>0</v>
      </c>
      <c r="J1833" t="s">
        <v>111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23</v>
      </c>
      <c r="R1833">
        <v>0</v>
      </c>
    </row>
    <row r="1834" spans="1:18">
      <c r="A1834" s="4">
        <v>7271860000000</v>
      </c>
      <c r="B1834" t="s">
        <v>28</v>
      </c>
      <c r="C1834">
        <v>44</v>
      </c>
      <c r="D1834" t="s">
        <v>27</v>
      </c>
      <c r="E1834" t="s">
        <v>71</v>
      </c>
      <c r="F1834" s="1">
        <v>42489</v>
      </c>
      <c r="G1834" s="1">
        <v>42493</v>
      </c>
      <c r="H1834" t="s">
        <v>41</v>
      </c>
      <c r="I1834">
        <v>4</v>
      </c>
      <c r="J1834" t="s">
        <v>107</v>
      </c>
      <c r="K1834">
        <v>0</v>
      </c>
      <c r="L1834">
        <v>0</v>
      </c>
      <c r="M1834">
        <v>1</v>
      </c>
      <c r="N1834">
        <v>0</v>
      </c>
      <c r="O1834">
        <v>0</v>
      </c>
      <c r="P1834">
        <v>1</v>
      </c>
      <c r="Q1834" t="s">
        <v>23</v>
      </c>
      <c r="R1834">
        <v>0</v>
      </c>
    </row>
    <row r="1835" spans="1:18">
      <c r="A1835" s="4">
        <v>386920000000000</v>
      </c>
      <c r="B1835" t="s">
        <v>18</v>
      </c>
      <c r="C1835">
        <v>49</v>
      </c>
      <c r="D1835" t="s">
        <v>27</v>
      </c>
      <c r="E1835" t="s">
        <v>72</v>
      </c>
      <c r="F1835" s="1">
        <v>42489</v>
      </c>
      <c r="G1835" s="1">
        <v>42494</v>
      </c>
      <c r="H1835" t="s">
        <v>25</v>
      </c>
      <c r="I1835">
        <v>5</v>
      </c>
      <c r="J1835" t="s">
        <v>107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1</v>
      </c>
      <c r="Q1835" t="s">
        <v>26</v>
      </c>
      <c r="R1835">
        <v>1</v>
      </c>
    </row>
    <row r="1836" spans="1:18">
      <c r="A1836" s="4">
        <v>5312200000000</v>
      </c>
      <c r="B1836" t="s">
        <v>28</v>
      </c>
      <c r="C1836">
        <v>15</v>
      </c>
      <c r="D1836" t="s">
        <v>60</v>
      </c>
      <c r="E1836" t="s">
        <v>99</v>
      </c>
      <c r="F1836" s="1">
        <v>42489</v>
      </c>
      <c r="G1836" s="1">
        <v>42501</v>
      </c>
      <c r="H1836" t="s">
        <v>25</v>
      </c>
      <c r="I1836">
        <v>12</v>
      </c>
      <c r="J1836" t="s">
        <v>92</v>
      </c>
      <c r="K1836">
        <v>1</v>
      </c>
      <c r="L1836">
        <v>0</v>
      </c>
      <c r="M1836">
        <v>0</v>
      </c>
      <c r="N1836">
        <v>0</v>
      </c>
      <c r="O1836">
        <v>0</v>
      </c>
      <c r="P1836">
        <v>1</v>
      </c>
      <c r="Q1836" t="s">
        <v>23</v>
      </c>
      <c r="R1836">
        <v>0</v>
      </c>
    </row>
    <row r="1837" spans="1:18">
      <c r="A1837" s="4">
        <v>743344000000000</v>
      </c>
      <c r="B1837" t="s">
        <v>18</v>
      </c>
      <c r="C1837">
        <v>7</v>
      </c>
      <c r="D1837" t="s">
        <v>31</v>
      </c>
      <c r="E1837" t="s">
        <v>67</v>
      </c>
      <c r="F1837" s="1">
        <v>42489</v>
      </c>
      <c r="G1837" s="1">
        <v>42523</v>
      </c>
      <c r="H1837" t="s">
        <v>33</v>
      </c>
      <c r="I1837">
        <v>34</v>
      </c>
      <c r="J1837" t="s">
        <v>22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1</v>
      </c>
      <c r="Q1837" t="s">
        <v>23</v>
      </c>
      <c r="R1837">
        <v>0</v>
      </c>
    </row>
    <row r="1838" spans="1:18">
      <c r="A1838" s="4">
        <v>374789000000000</v>
      </c>
      <c r="B1838" t="s">
        <v>28</v>
      </c>
      <c r="C1838">
        <v>3</v>
      </c>
      <c r="D1838" t="s">
        <v>31</v>
      </c>
      <c r="E1838" t="s">
        <v>95</v>
      </c>
      <c r="F1838" s="1">
        <v>42489</v>
      </c>
      <c r="G1838" s="1">
        <v>42507</v>
      </c>
      <c r="H1838" t="s">
        <v>41</v>
      </c>
      <c r="I1838">
        <v>18</v>
      </c>
      <c r="J1838" t="s">
        <v>77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26</v>
      </c>
      <c r="R1838">
        <v>1</v>
      </c>
    </row>
    <row r="1839" spans="1:18">
      <c r="A1839" s="4">
        <v>37846600000000</v>
      </c>
      <c r="B1839" t="s">
        <v>28</v>
      </c>
      <c r="C1839">
        <v>12</v>
      </c>
      <c r="D1839" t="s">
        <v>31</v>
      </c>
      <c r="E1839" t="s">
        <v>72</v>
      </c>
      <c r="F1839" s="1">
        <v>42489</v>
      </c>
      <c r="G1839" s="1">
        <v>42489</v>
      </c>
      <c r="H1839" t="s">
        <v>21</v>
      </c>
      <c r="I1839">
        <v>0</v>
      </c>
      <c r="J1839" t="s">
        <v>111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23</v>
      </c>
      <c r="R1839">
        <v>0</v>
      </c>
    </row>
    <row r="1840" spans="1:18">
      <c r="A1840" s="4">
        <v>3995370000000</v>
      </c>
      <c r="B1840" t="s">
        <v>18</v>
      </c>
      <c r="C1840">
        <v>41</v>
      </c>
      <c r="D1840" t="s">
        <v>27</v>
      </c>
      <c r="E1840" t="s">
        <v>72</v>
      </c>
      <c r="F1840" s="1">
        <v>42489</v>
      </c>
      <c r="G1840" s="1">
        <v>42489</v>
      </c>
      <c r="H1840" t="s">
        <v>21</v>
      </c>
      <c r="I1840">
        <v>0</v>
      </c>
      <c r="J1840" t="s">
        <v>111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23</v>
      </c>
      <c r="R1840">
        <v>0</v>
      </c>
    </row>
    <row r="1841" spans="1:18">
      <c r="A1841" s="4">
        <v>4172380000000</v>
      </c>
      <c r="B1841" t="s">
        <v>18</v>
      </c>
      <c r="C1841">
        <v>7</v>
      </c>
      <c r="D1841" t="s">
        <v>31</v>
      </c>
      <c r="E1841" t="s">
        <v>100</v>
      </c>
      <c r="F1841" s="1">
        <v>42489</v>
      </c>
      <c r="G1841" s="1">
        <v>42499</v>
      </c>
      <c r="H1841" t="s">
        <v>30</v>
      </c>
      <c r="I1841">
        <v>10</v>
      </c>
      <c r="J1841" t="s">
        <v>92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23</v>
      </c>
      <c r="R1841">
        <v>0</v>
      </c>
    </row>
    <row r="1842" spans="1:18">
      <c r="A1842" s="4">
        <v>7276250000000</v>
      </c>
      <c r="B1842" t="s">
        <v>18</v>
      </c>
      <c r="C1842">
        <v>67</v>
      </c>
      <c r="D1842" t="s">
        <v>19</v>
      </c>
      <c r="E1842" t="s">
        <v>90</v>
      </c>
      <c r="F1842" s="1">
        <v>42489</v>
      </c>
      <c r="G1842" s="1">
        <v>42495</v>
      </c>
      <c r="H1842" t="s">
        <v>33</v>
      </c>
      <c r="I1842">
        <v>6</v>
      </c>
      <c r="J1842" t="s">
        <v>107</v>
      </c>
      <c r="K1842">
        <v>0</v>
      </c>
      <c r="L1842">
        <v>1</v>
      </c>
      <c r="M1842">
        <v>1</v>
      </c>
      <c r="N1842">
        <v>0</v>
      </c>
      <c r="O1842">
        <v>0</v>
      </c>
      <c r="P1842">
        <v>0</v>
      </c>
      <c r="Q1842" t="s">
        <v>23</v>
      </c>
      <c r="R1842">
        <v>0</v>
      </c>
    </row>
    <row r="1843" spans="1:18">
      <c r="A1843" s="4">
        <v>135762000000000</v>
      </c>
      <c r="B1843" t="s">
        <v>28</v>
      </c>
      <c r="C1843">
        <v>32</v>
      </c>
      <c r="D1843" t="s">
        <v>37</v>
      </c>
      <c r="E1843" t="s">
        <v>40</v>
      </c>
      <c r="F1843" s="1">
        <v>42489</v>
      </c>
      <c r="G1843" s="1">
        <v>42514</v>
      </c>
      <c r="H1843" t="s">
        <v>41</v>
      </c>
      <c r="I1843">
        <v>25</v>
      </c>
      <c r="J1843" t="s">
        <v>77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</v>
      </c>
      <c r="Q1843" t="s">
        <v>23</v>
      </c>
      <c r="R1843">
        <v>0</v>
      </c>
    </row>
    <row r="1844" spans="1:18">
      <c r="A1844" s="4">
        <v>598422000000000</v>
      </c>
      <c r="B1844" t="s">
        <v>18</v>
      </c>
      <c r="C1844">
        <v>9</v>
      </c>
      <c r="D1844" t="s">
        <v>31</v>
      </c>
      <c r="E1844" t="s">
        <v>40</v>
      </c>
      <c r="F1844" s="1">
        <v>42489</v>
      </c>
      <c r="G1844" s="1">
        <v>42522</v>
      </c>
      <c r="H1844" t="s">
        <v>25</v>
      </c>
      <c r="I1844">
        <v>33</v>
      </c>
      <c r="J1844" t="s">
        <v>22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1</v>
      </c>
      <c r="Q1844" t="s">
        <v>26</v>
      </c>
      <c r="R1844">
        <v>1</v>
      </c>
    </row>
    <row r="1845" spans="1:18">
      <c r="A1845" s="4">
        <v>2459840000000</v>
      </c>
      <c r="B1845" t="s">
        <v>18</v>
      </c>
      <c r="C1845">
        <v>65</v>
      </c>
      <c r="D1845" t="s">
        <v>35</v>
      </c>
      <c r="E1845" t="s">
        <v>52</v>
      </c>
      <c r="F1845" s="1">
        <v>42489</v>
      </c>
      <c r="G1845" s="1">
        <v>42506</v>
      </c>
      <c r="H1845" t="s">
        <v>30</v>
      </c>
      <c r="I1845">
        <v>17</v>
      </c>
      <c r="J1845" t="s">
        <v>77</v>
      </c>
      <c r="K1845">
        <v>0</v>
      </c>
      <c r="L1845">
        <v>1</v>
      </c>
      <c r="M1845">
        <v>0</v>
      </c>
      <c r="N1845">
        <v>0</v>
      </c>
      <c r="O1845">
        <v>0</v>
      </c>
      <c r="P1845">
        <v>0</v>
      </c>
      <c r="Q1845" t="s">
        <v>23</v>
      </c>
      <c r="R1845">
        <v>0</v>
      </c>
    </row>
    <row r="1846" spans="1:18">
      <c r="A1846" s="4">
        <v>5618960000000</v>
      </c>
      <c r="B1846" t="s">
        <v>18</v>
      </c>
      <c r="C1846">
        <v>31</v>
      </c>
      <c r="D1846" t="s">
        <v>37</v>
      </c>
      <c r="E1846" t="s">
        <v>48</v>
      </c>
      <c r="F1846" s="1">
        <v>42489</v>
      </c>
      <c r="G1846" s="1">
        <v>42492</v>
      </c>
      <c r="H1846" t="s">
        <v>30</v>
      </c>
      <c r="I1846">
        <v>3</v>
      </c>
      <c r="J1846" t="s">
        <v>109</v>
      </c>
      <c r="K1846">
        <v>1</v>
      </c>
      <c r="L1846">
        <v>0</v>
      </c>
      <c r="M1846">
        <v>0</v>
      </c>
      <c r="N1846">
        <v>0</v>
      </c>
      <c r="O1846">
        <v>0</v>
      </c>
      <c r="P1846">
        <v>1</v>
      </c>
      <c r="Q1846" t="s">
        <v>23</v>
      </c>
      <c r="R1846">
        <v>0</v>
      </c>
    </row>
    <row r="1847" spans="1:18">
      <c r="A1847" s="4">
        <v>174398000000</v>
      </c>
      <c r="B1847" t="s">
        <v>18</v>
      </c>
      <c r="C1847">
        <v>67</v>
      </c>
      <c r="D1847" t="s">
        <v>19</v>
      </c>
      <c r="E1847" t="s">
        <v>65</v>
      </c>
      <c r="F1847" s="1">
        <v>42489</v>
      </c>
      <c r="G1847" s="1">
        <v>42493</v>
      </c>
      <c r="H1847" t="s">
        <v>41</v>
      </c>
      <c r="I1847">
        <v>4</v>
      </c>
      <c r="J1847" t="s">
        <v>107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</v>
      </c>
      <c r="Q1847" t="s">
        <v>26</v>
      </c>
      <c r="R1847">
        <v>1</v>
      </c>
    </row>
    <row r="1848" spans="1:18">
      <c r="A1848" s="4">
        <v>5197840000000</v>
      </c>
      <c r="B1848" t="s">
        <v>18</v>
      </c>
      <c r="C1848">
        <v>41</v>
      </c>
      <c r="D1848" t="s">
        <v>27</v>
      </c>
      <c r="E1848" t="s">
        <v>40</v>
      </c>
      <c r="F1848" s="1">
        <v>42489</v>
      </c>
      <c r="G1848" s="1">
        <v>42507</v>
      </c>
      <c r="H1848" t="s">
        <v>41</v>
      </c>
      <c r="I1848">
        <v>18</v>
      </c>
      <c r="J1848" t="s">
        <v>77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23</v>
      </c>
      <c r="R1848">
        <v>0</v>
      </c>
    </row>
    <row r="1849" spans="1:18">
      <c r="A1849" s="4">
        <v>433939000000</v>
      </c>
      <c r="B1849" t="s">
        <v>18</v>
      </c>
      <c r="C1849">
        <v>77</v>
      </c>
      <c r="D1849" t="s">
        <v>19</v>
      </c>
      <c r="E1849" t="s">
        <v>45</v>
      </c>
      <c r="F1849" s="1">
        <v>42489</v>
      </c>
      <c r="G1849" s="1">
        <v>42499</v>
      </c>
      <c r="H1849" t="s">
        <v>30</v>
      </c>
      <c r="I1849">
        <v>10</v>
      </c>
      <c r="J1849" t="s">
        <v>92</v>
      </c>
      <c r="K1849">
        <v>0</v>
      </c>
      <c r="L1849">
        <v>1</v>
      </c>
      <c r="M1849">
        <v>1</v>
      </c>
      <c r="N1849">
        <v>0</v>
      </c>
      <c r="O1849">
        <v>0</v>
      </c>
      <c r="P1849">
        <v>0</v>
      </c>
      <c r="Q1849" t="s">
        <v>26</v>
      </c>
      <c r="R1849">
        <v>1</v>
      </c>
    </row>
    <row r="1850" spans="1:18">
      <c r="A1850" s="4">
        <v>8746500000000</v>
      </c>
      <c r="B1850" t="s">
        <v>18</v>
      </c>
      <c r="C1850">
        <v>1</v>
      </c>
      <c r="D1850" t="s">
        <v>31</v>
      </c>
      <c r="E1850" t="s">
        <v>71</v>
      </c>
      <c r="F1850" s="1">
        <v>42489</v>
      </c>
      <c r="G1850" s="1">
        <v>42489</v>
      </c>
      <c r="H1850" t="s">
        <v>21</v>
      </c>
      <c r="I1850">
        <v>0</v>
      </c>
      <c r="J1850" t="s">
        <v>111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23</v>
      </c>
      <c r="R1850">
        <v>0</v>
      </c>
    </row>
    <row r="1851" spans="1:18">
      <c r="A1851" s="4">
        <v>847238000000</v>
      </c>
      <c r="B1851" t="s">
        <v>18</v>
      </c>
      <c r="C1851">
        <v>54</v>
      </c>
      <c r="D1851" t="s">
        <v>35</v>
      </c>
      <c r="E1851" t="s">
        <v>47</v>
      </c>
      <c r="F1851" s="1">
        <v>42489</v>
      </c>
      <c r="G1851" s="1">
        <v>42489</v>
      </c>
      <c r="H1851" t="s">
        <v>21</v>
      </c>
      <c r="I1851">
        <v>0</v>
      </c>
      <c r="J1851" t="s">
        <v>111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0</v>
      </c>
      <c r="Q1851" t="s">
        <v>23</v>
      </c>
      <c r="R1851">
        <v>0</v>
      </c>
    </row>
    <row r="1852" spans="1:18">
      <c r="A1852" s="4">
        <v>766439000000000</v>
      </c>
      <c r="B1852" t="s">
        <v>18</v>
      </c>
      <c r="C1852">
        <v>2</v>
      </c>
      <c r="D1852" t="s">
        <v>31</v>
      </c>
      <c r="E1852" t="s">
        <v>72</v>
      </c>
      <c r="F1852" s="1">
        <v>42489</v>
      </c>
      <c r="G1852" s="1">
        <v>42489</v>
      </c>
      <c r="H1852" t="s">
        <v>21</v>
      </c>
      <c r="I1852">
        <v>0</v>
      </c>
      <c r="J1852" t="s">
        <v>111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23</v>
      </c>
      <c r="R1852">
        <v>0</v>
      </c>
    </row>
    <row r="1853" spans="1:18">
      <c r="A1853" s="4">
        <v>96249800000000</v>
      </c>
      <c r="B1853" t="s">
        <v>28</v>
      </c>
      <c r="C1853">
        <v>64</v>
      </c>
      <c r="D1853" t="s">
        <v>35</v>
      </c>
      <c r="E1853" t="s">
        <v>95</v>
      </c>
      <c r="F1853" s="1">
        <v>42489</v>
      </c>
      <c r="G1853" s="1">
        <v>42489</v>
      </c>
      <c r="H1853" t="s">
        <v>21</v>
      </c>
      <c r="I1853">
        <v>0</v>
      </c>
      <c r="J1853" t="s">
        <v>111</v>
      </c>
      <c r="K1853">
        <v>0</v>
      </c>
      <c r="L1853">
        <v>1</v>
      </c>
      <c r="M1853">
        <v>1</v>
      </c>
      <c r="N1853">
        <v>0</v>
      </c>
      <c r="O1853">
        <v>0</v>
      </c>
      <c r="P1853">
        <v>0</v>
      </c>
      <c r="Q1853" t="s">
        <v>23</v>
      </c>
      <c r="R1853">
        <v>0</v>
      </c>
    </row>
    <row r="1854" spans="1:18">
      <c r="A1854" s="4">
        <v>4574310000000</v>
      </c>
      <c r="B1854" t="s">
        <v>18</v>
      </c>
      <c r="C1854">
        <v>49</v>
      </c>
      <c r="D1854" t="s">
        <v>27</v>
      </c>
      <c r="E1854" t="s">
        <v>50</v>
      </c>
      <c r="F1854" s="1">
        <v>42489</v>
      </c>
      <c r="G1854" s="1">
        <v>42489</v>
      </c>
      <c r="H1854" t="s">
        <v>21</v>
      </c>
      <c r="I1854">
        <v>0</v>
      </c>
      <c r="J1854" t="s">
        <v>111</v>
      </c>
      <c r="K1854">
        <v>0</v>
      </c>
      <c r="L1854">
        <v>1</v>
      </c>
      <c r="M1854">
        <v>1</v>
      </c>
      <c r="N1854">
        <v>0</v>
      </c>
      <c r="O1854">
        <v>0</v>
      </c>
      <c r="P1854">
        <v>0</v>
      </c>
      <c r="Q1854" t="s">
        <v>23</v>
      </c>
      <c r="R1854">
        <v>0</v>
      </c>
    </row>
    <row r="1855" spans="1:18">
      <c r="A1855" s="4">
        <v>131288000000000</v>
      </c>
      <c r="B1855" t="s">
        <v>28</v>
      </c>
      <c r="C1855">
        <v>15</v>
      </c>
      <c r="D1855" t="s">
        <v>60</v>
      </c>
      <c r="E1855" t="s">
        <v>32</v>
      </c>
      <c r="F1855" s="1">
        <v>42489</v>
      </c>
      <c r="G1855" s="1">
        <v>42489</v>
      </c>
      <c r="H1855" t="s">
        <v>21</v>
      </c>
      <c r="I1855">
        <v>0</v>
      </c>
      <c r="J1855" t="s">
        <v>111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23</v>
      </c>
      <c r="R1855">
        <v>0</v>
      </c>
    </row>
    <row r="1856" spans="1:18">
      <c r="A1856" s="4">
        <v>2147150000000</v>
      </c>
      <c r="B1856" t="s">
        <v>18</v>
      </c>
      <c r="C1856">
        <v>16</v>
      </c>
      <c r="D1856" t="s">
        <v>60</v>
      </c>
      <c r="E1856" t="s">
        <v>50</v>
      </c>
      <c r="F1856" s="1">
        <v>42489</v>
      </c>
      <c r="G1856" s="1">
        <v>42489</v>
      </c>
      <c r="H1856" t="s">
        <v>21</v>
      </c>
      <c r="I1856">
        <v>0</v>
      </c>
      <c r="J1856" t="s">
        <v>111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23</v>
      </c>
      <c r="R1856">
        <v>0</v>
      </c>
    </row>
    <row r="1857" spans="1:18">
      <c r="A1857" s="4">
        <v>92131800000000</v>
      </c>
      <c r="B1857" t="s">
        <v>28</v>
      </c>
      <c r="C1857">
        <v>5</v>
      </c>
      <c r="D1857" t="s">
        <v>31</v>
      </c>
      <c r="E1857" t="s">
        <v>56</v>
      </c>
      <c r="F1857" s="1">
        <v>42489</v>
      </c>
      <c r="G1857" s="1">
        <v>42489</v>
      </c>
      <c r="H1857" t="s">
        <v>21</v>
      </c>
      <c r="I1857">
        <v>0</v>
      </c>
      <c r="J1857" t="s">
        <v>111</v>
      </c>
      <c r="K1857">
        <v>1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23</v>
      </c>
      <c r="R1857">
        <v>0</v>
      </c>
    </row>
    <row r="1858" spans="1:18">
      <c r="A1858" s="4">
        <v>914158000000000</v>
      </c>
      <c r="B1858" t="s">
        <v>18</v>
      </c>
      <c r="C1858">
        <v>8</v>
      </c>
      <c r="D1858" t="s">
        <v>31</v>
      </c>
      <c r="E1858" t="s">
        <v>104</v>
      </c>
      <c r="F1858" s="1">
        <v>42489</v>
      </c>
      <c r="G1858" s="1">
        <v>42510</v>
      </c>
      <c r="H1858" t="s">
        <v>21</v>
      </c>
      <c r="I1858">
        <v>21</v>
      </c>
      <c r="J1858" t="s">
        <v>77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23</v>
      </c>
      <c r="R1858">
        <v>0</v>
      </c>
    </row>
    <row r="1859" spans="1:18">
      <c r="A1859" s="4">
        <v>6216770000000</v>
      </c>
      <c r="B1859" t="s">
        <v>18</v>
      </c>
      <c r="C1859">
        <v>41</v>
      </c>
      <c r="D1859" t="s">
        <v>27</v>
      </c>
      <c r="E1859" t="s">
        <v>104</v>
      </c>
      <c r="F1859" s="1">
        <v>42489</v>
      </c>
      <c r="G1859" s="1">
        <v>42510</v>
      </c>
      <c r="H1859" t="s">
        <v>21</v>
      </c>
      <c r="I1859">
        <v>21</v>
      </c>
      <c r="J1859" t="s">
        <v>77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23</v>
      </c>
      <c r="R1859">
        <v>0</v>
      </c>
    </row>
    <row r="1860" spans="1:18">
      <c r="A1860" s="4">
        <v>8247350000000</v>
      </c>
      <c r="B1860" t="s">
        <v>18</v>
      </c>
      <c r="C1860">
        <v>30</v>
      </c>
      <c r="D1860" t="s">
        <v>37</v>
      </c>
      <c r="E1860" t="s">
        <v>45</v>
      </c>
      <c r="F1860" s="1">
        <v>42489</v>
      </c>
      <c r="G1860" s="1">
        <v>42492</v>
      </c>
      <c r="H1860" t="s">
        <v>30</v>
      </c>
      <c r="I1860">
        <v>3</v>
      </c>
      <c r="J1860" t="s">
        <v>109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26</v>
      </c>
      <c r="R1860">
        <v>1</v>
      </c>
    </row>
    <row r="1861" spans="1:18">
      <c r="A1861" s="4">
        <v>791343000000000</v>
      </c>
      <c r="B1861" t="s">
        <v>18</v>
      </c>
      <c r="C1861">
        <v>29</v>
      </c>
      <c r="D1861" t="s">
        <v>37</v>
      </c>
      <c r="E1861" t="s">
        <v>32</v>
      </c>
      <c r="F1861" s="1">
        <v>42489</v>
      </c>
      <c r="G1861" s="1">
        <v>42489</v>
      </c>
      <c r="H1861" t="s">
        <v>21</v>
      </c>
      <c r="I1861">
        <v>0</v>
      </c>
      <c r="J1861" t="s">
        <v>111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23</v>
      </c>
      <c r="R1861">
        <v>0</v>
      </c>
    </row>
    <row r="1862" spans="1:18">
      <c r="A1862" s="4">
        <v>844228000000000</v>
      </c>
      <c r="B1862" t="s">
        <v>18</v>
      </c>
      <c r="C1862">
        <v>57</v>
      </c>
      <c r="D1862" t="s">
        <v>35</v>
      </c>
      <c r="E1862" t="s">
        <v>70</v>
      </c>
      <c r="F1862" s="1">
        <v>42489</v>
      </c>
      <c r="G1862" s="1">
        <v>42493</v>
      </c>
      <c r="H1862" t="s">
        <v>41</v>
      </c>
      <c r="I1862">
        <v>4</v>
      </c>
      <c r="J1862" t="s">
        <v>107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</v>
      </c>
      <c r="Q1862" t="s">
        <v>23</v>
      </c>
      <c r="R1862">
        <v>0</v>
      </c>
    </row>
    <row r="1863" spans="1:18">
      <c r="A1863" s="4">
        <v>242365000000000</v>
      </c>
      <c r="B1863" t="s">
        <v>18</v>
      </c>
      <c r="C1863">
        <v>37</v>
      </c>
      <c r="D1863" t="s">
        <v>27</v>
      </c>
      <c r="E1863" t="s">
        <v>40</v>
      </c>
      <c r="F1863" s="1">
        <v>42489</v>
      </c>
      <c r="G1863" s="1">
        <v>42493</v>
      </c>
      <c r="H1863" t="s">
        <v>41</v>
      </c>
      <c r="I1863">
        <v>4</v>
      </c>
      <c r="J1863" t="s">
        <v>107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1</v>
      </c>
      <c r="Q1863" t="s">
        <v>23</v>
      </c>
      <c r="R1863">
        <v>0</v>
      </c>
    </row>
    <row r="1864" spans="1:18">
      <c r="A1864" s="4">
        <v>655179000000</v>
      </c>
      <c r="B1864" t="s">
        <v>18</v>
      </c>
      <c r="C1864">
        <v>43</v>
      </c>
      <c r="D1864" t="s">
        <v>27</v>
      </c>
      <c r="E1864" t="s">
        <v>55</v>
      </c>
      <c r="F1864" s="1">
        <v>42489</v>
      </c>
      <c r="G1864" s="1">
        <v>42510</v>
      </c>
      <c r="H1864" t="s">
        <v>21</v>
      </c>
      <c r="I1864">
        <v>21</v>
      </c>
      <c r="J1864" t="s">
        <v>77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26</v>
      </c>
      <c r="R1864">
        <v>1</v>
      </c>
    </row>
    <row r="1865" spans="1:18">
      <c r="A1865" s="4">
        <v>27436200000000</v>
      </c>
      <c r="B1865" t="s">
        <v>28</v>
      </c>
      <c r="C1865">
        <v>14</v>
      </c>
      <c r="D1865" t="s">
        <v>60</v>
      </c>
      <c r="E1865" t="s">
        <v>45</v>
      </c>
      <c r="F1865" s="1">
        <v>42489</v>
      </c>
      <c r="G1865" s="1">
        <v>42496</v>
      </c>
      <c r="H1865" t="s">
        <v>21</v>
      </c>
      <c r="I1865">
        <v>7</v>
      </c>
      <c r="J1865" t="s">
        <v>107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23</v>
      </c>
      <c r="R1865">
        <v>0</v>
      </c>
    </row>
    <row r="1866" spans="1:18">
      <c r="A1866" s="4">
        <v>3496670000000</v>
      </c>
      <c r="B1866" t="s">
        <v>18</v>
      </c>
      <c r="C1866">
        <v>52</v>
      </c>
      <c r="D1866" t="s">
        <v>35</v>
      </c>
      <c r="E1866" t="s">
        <v>75</v>
      </c>
      <c r="F1866" s="1">
        <v>42489</v>
      </c>
      <c r="G1866" s="1">
        <v>42493</v>
      </c>
      <c r="H1866" t="s">
        <v>41</v>
      </c>
      <c r="I1866">
        <v>4</v>
      </c>
      <c r="J1866" t="s">
        <v>107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23</v>
      </c>
      <c r="R1866">
        <v>0</v>
      </c>
    </row>
    <row r="1867" spans="1:18">
      <c r="A1867" s="4">
        <v>16994800000000</v>
      </c>
      <c r="B1867" t="s">
        <v>28</v>
      </c>
      <c r="C1867">
        <v>36</v>
      </c>
      <c r="D1867" t="s">
        <v>27</v>
      </c>
      <c r="E1867" t="s">
        <v>59</v>
      </c>
      <c r="F1867" s="1">
        <v>42489</v>
      </c>
      <c r="G1867" s="1">
        <v>42514</v>
      </c>
      <c r="H1867" t="s">
        <v>41</v>
      </c>
      <c r="I1867">
        <v>25</v>
      </c>
      <c r="J1867" t="s">
        <v>77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1</v>
      </c>
      <c r="Q1867" t="s">
        <v>26</v>
      </c>
      <c r="R1867">
        <v>1</v>
      </c>
    </row>
    <row r="1868" spans="1:18">
      <c r="A1868" s="4">
        <v>25488700000000</v>
      </c>
      <c r="B1868" t="s">
        <v>18</v>
      </c>
      <c r="C1868">
        <v>27</v>
      </c>
      <c r="D1868" t="s">
        <v>37</v>
      </c>
      <c r="E1868" t="s">
        <v>72</v>
      </c>
      <c r="F1868" s="1">
        <v>42489</v>
      </c>
      <c r="G1868" s="1">
        <v>42495</v>
      </c>
      <c r="H1868" t="s">
        <v>33</v>
      </c>
      <c r="I1868">
        <v>6</v>
      </c>
      <c r="J1868" t="s">
        <v>107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1</v>
      </c>
      <c r="Q1868" t="s">
        <v>26</v>
      </c>
      <c r="R1868">
        <v>1</v>
      </c>
    </row>
    <row r="1869" spans="1:18">
      <c r="A1869" s="4">
        <v>62166400000000</v>
      </c>
      <c r="B1869" t="s">
        <v>18</v>
      </c>
      <c r="C1869">
        <v>61</v>
      </c>
      <c r="D1869" t="s">
        <v>35</v>
      </c>
      <c r="E1869" t="s">
        <v>39</v>
      </c>
      <c r="F1869" s="1">
        <v>42489</v>
      </c>
      <c r="G1869" s="1">
        <v>42492</v>
      </c>
      <c r="H1869" t="s">
        <v>30</v>
      </c>
      <c r="I1869">
        <v>3</v>
      </c>
      <c r="J1869" t="s">
        <v>109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1</v>
      </c>
      <c r="Q1869" t="s">
        <v>23</v>
      </c>
      <c r="R1869">
        <v>0</v>
      </c>
    </row>
    <row r="1870" spans="1:18">
      <c r="A1870" s="4">
        <v>9800000000000</v>
      </c>
      <c r="B1870" t="s">
        <v>18</v>
      </c>
      <c r="C1870">
        <v>34</v>
      </c>
      <c r="D1870" t="s">
        <v>37</v>
      </c>
      <c r="E1870" t="s">
        <v>38</v>
      </c>
      <c r="F1870" s="1">
        <v>42489</v>
      </c>
      <c r="G1870" s="1">
        <v>42514</v>
      </c>
      <c r="H1870" t="s">
        <v>41</v>
      </c>
      <c r="I1870">
        <v>25</v>
      </c>
      <c r="J1870" t="s">
        <v>77</v>
      </c>
      <c r="K1870">
        <v>1</v>
      </c>
      <c r="L1870">
        <v>0</v>
      </c>
      <c r="M1870">
        <v>0</v>
      </c>
      <c r="N1870">
        <v>0</v>
      </c>
      <c r="O1870">
        <v>0</v>
      </c>
      <c r="P1870">
        <v>1</v>
      </c>
      <c r="Q1870" t="s">
        <v>23</v>
      </c>
      <c r="R1870">
        <v>0</v>
      </c>
    </row>
    <row r="1871" spans="1:18">
      <c r="A1871" s="4">
        <v>39419300000000</v>
      </c>
      <c r="B1871" t="s">
        <v>18</v>
      </c>
      <c r="C1871">
        <v>76</v>
      </c>
      <c r="D1871" t="s">
        <v>19</v>
      </c>
      <c r="E1871" t="s">
        <v>89</v>
      </c>
      <c r="F1871" s="1">
        <v>42489</v>
      </c>
      <c r="G1871" s="1">
        <v>42510</v>
      </c>
      <c r="H1871" t="s">
        <v>21</v>
      </c>
      <c r="I1871">
        <v>21</v>
      </c>
      <c r="J1871" t="s">
        <v>77</v>
      </c>
      <c r="K1871">
        <v>0</v>
      </c>
      <c r="L1871">
        <v>1</v>
      </c>
      <c r="M1871">
        <v>1</v>
      </c>
      <c r="N1871">
        <v>0</v>
      </c>
      <c r="O1871">
        <v>0</v>
      </c>
      <c r="P1871">
        <v>0</v>
      </c>
      <c r="Q1871" t="s">
        <v>23</v>
      </c>
      <c r="R1871">
        <v>0</v>
      </c>
    </row>
    <row r="1872" spans="1:18">
      <c r="A1872" s="4">
        <v>268352000000000</v>
      </c>
      <c r="B1872" t="s">
        <v>18</v>
      </c>
      <c r="C1872">
        <v>29</v>
      </c>
      <c r="D1872" t="s">
        <v>37</v>
      </c>
      <c r="E1872" t="s">
        <v>67</v>
      </c>
      <c r="F1872" s="1">
        <v>42489</v>
      </c>
      <c r="G1872" s="1">
        <v>42515</v>
      </c>
      <c r="H1872" t="s">
        <v>25</v>
      </c>
      <c r="I1872">
        <v>26</v>
      </c>
      <c r="J1872" t="s">
        <v>77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</v>
      </c>
      <c r="Q1872" t="s">
        <v>23</v>
      </c>
      <c r="R1872">
        <v>0</v>
      </c>
    </row>
    <row r="1873" spans="1:18">
      <c r="A1873" s="4">
        <v>811875000000000</v>
      </c>
      <c r="B1873" t="s">
        <v>18</v>
      </c>
      <c r="C1873">
        <v>19</v>
      </c>
      <c r="D1873" t="s">
        <v>37</v>
      </c>
      <c r="E1873" t="s">
        <v>36</v>
      </c>
      <c r="F1873" s="1">
        <v>42489</v>
      </c>
      <c r="G1873" s="1">
        <v>42489</v>
      </c>
      <c r="H1873" t="s">
        <v>21</v>
      </c>
      <c r="I1873">
        <v>0</v>
      </c>
      <c r="J1873" t="s">
        <v>111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23</v>
      </c>
      <c r="R1873">
        <v>0</v>
      </c>
    </row>
    <row r="1874" spans="1:18">
      <c r="A1874" s="4">
        <v>938998000000000</v>
      </c>
      <c r="B1874" t="s">
        <v>18</v>
      </c>
      <c r="C1874">
        <v>52</v>
      </c>
      <c r="D1874" t="s">
        <v>35</v>
      </c>
      <c r="E1874" t="s">
        <v>40</v>
      </c>
      <c r="F1874" s="1">
        <v>42489</v>
      </c>
      <c r="G1874" s="1">
        <v>42521</v>
      </c>
      <c r="H1874" t="s">
        <v>41</v>
      </c>
      <c r="I1874">
        <v>32</v>
      </c>
      <c r="J1874" t="s">
        <v>22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1</v>
      </c>
      <c r="Q1874" t="s">
        <v>23</v>
      </c>
      <c r="R1874">
        <v>0</v>
      </c>
    </row>
    <row r="1875" spans="1:18">
      <c r="A1875" s="4">
        <v>547545000000</v>
      </c>
      <c r="B1875" t="s">
        <v>18</v>
      </c>
      <c r="C1875">
        <v>7</v>
      </c>
      <c r="D1875" t="s">
        <v>31</v>
      </c>
      <c r="E1875" t="s">
        <v>47</v>
      </c>
      <c r="F1875" s="1">
        <v>42489</v>
      </c>
      <c r="G1875" s="1">
        <v>42489</v>
      </c>
      <c r="H1875" t="s">
        <v>21</v>
      </c>
      <c r="I1875">
        <v>0</v>
      </c>
      <c r="J1875" t="s">
        <v>111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23</v>
      </c>
      <c r="R1875">
        <v>0</v>
      </c>
    </row>
    <row r="1876" spans="1:18">
      <c r="A1876" s="4">
        <v>2396470000000</v>
      </c>
      <c r="B1876" t="s">
        <v>18</v>
      </c>
      <c r="C1876">
        <v>20</v>
      </c>
      <c r="D1876" t="s">
        <v>37</v>
      </c>
      <c r="E1876" t="s">
        <v>50</v>
      </c>
      <c r="F1876" s="1">
        <v>42489</v>
      </c>
      <c r="G1876" s="1">
        <v>42500</v>
      </c>
      <c r="H1876" t="s">
        <v>41</v>
      </c>
      <c r="I1876">
        <v>11</v>
      </c>
      <c r="J1876" t="s">
        <v>92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1</v>
      </c>
      <c r="Q1876" t="s">
        <v>26</v>
      </c>
      <c r="R1876">
        <v>1</v>
      </c>
    </row>
    <row r="1877" spans="1:18">
      <c r="A1877" s="4">
        <v>73229700000000</v>
      </c>
      <c r="B1877" t="s">
        <v>28</v>
      </c>
      <c r="C1877">
        <v>55</v>
      </c>
      <c r="D1877" t="s">
        <v>35</v>
      </c>
      <c r="E1877" t="s">
        <v>50</v>
      </c>
      <c r="F1877" s="1">
        <v>42489</v>
      </c>
      <c r="G1877" s="1">
        <v>42493</v>
      </c>
      <c r="H1877" t="s">
        <v>41</v>
      </c>
      <c r="I1877">
        <v>4</v>
      </c>
      <c r="J1877" t="s">
        <v>107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1</v>
      </c>
      <c r="Q1877" t="s">
        <v>26</v>
      </c>
      <c r="R1877">
        <v>1</v>
      </c>
    </row>
    <row r="1878" spans="1:18">
      <c r="A1878" s="4">
        <v>19789100000000</v>
      </c>
      <c r="B1878" t="s">
        <v>18</v>
      </c>
      <c r="C1878">
        <v>69</v>
      </c>
      <c r="D1878" t="s">
        <v>19</v>
      </c>
      <c r="E1878" t="s">
        <v>57</v>
      </c>
      <c r="F1878" s="1">
        <v>42489</v>
      </c>
      <c r="G1878" s="1">
        <v>42492</v>
      </c>
      <c r="H1878" t="s">
        <v>30</v>
      </c>
      <c r="I1878">
        <v>3</v>
      </c>
      <c r="J1878" t="s">
        <v>109</v>
      </c>
      <c r="K1878">
        <v>0</v>
      </c>
      <c r="L1878">
        <v>1</v>
      </c>
      <c r="M1878">
        <v>1</v>
      </c>
      <c r="N1878">
        <v>0</v>
      </c>
      <c r="O1878">
        <v>0</v>
      </c>
      <c r="P1878">
        <v>1</v>
      </c>
      <c r="Q1878" t="s">
        <v>23</v>
      </c>
      <c r="R1878">
        <v>0</v>
      </c>
    </row>
    <row r="1879" spans="1:18">
      <c r="A1879" s="4">
        <v>14236800000000</v>
      </c>
      <c r="B1879" t="s">
        <v>18</v>
      </c>
      <c r="C1879">
        <v>16</v>
      </c>
      <c r="D1879" t="s">
        <v>60</v>
      </c>
      <c r="E1879" t="s">
        <v>29</v>
      </c>
      <c r="F1879" s="1">
        <v>42489</v>
      </c>
      <c r="G1879" s="1">
        <v>42489</v>
      </c>
      <c r="H1879" t="s">
        <v>21</v>
      </c>
      <c r="I1879">
        <v>0</v>
      </c>
      <c r="J1879" t="s">
        <v>111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23</v>
      </c>
      <c r="R1879">
        <v>0</v>
      </c>
    </row>
    <row r="1880" spans="1:18">
      <c r="A1880" s="4">
        <v>8177730000000</v>
      </c>
      <c r="B1880" t="s">
        <v>18</v>
      </c>
      <c r="C1880">
        <v>27</v>
      </c>
      <c r="D1880" t="s">
        <v>37</v>
      </c>
      <c r="E1880" t="s">
        <v>72</v>
      </c>
      <c r="F1880" s="1">
        <v>42489</v>
      </c>
      <c r="G1880" s="1">
        <v>42507</v>
      </c>
      <c r="H1880" t="s">
        <v>41</v>
      </c>
      <c r="I1880">
        <v>18</v>
      </c>
      <c r="J1880" t="s">
        <v>77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26</v>
      </c>
      <c r="R1880">
        <v>1</v>
      </c>
    </row>
    <row r="1881" spans="1:18">
      <c r="A1881" s="4">
        <v>231548000000000</v>
      </c>
      <c r="B1881" t="s">
        <v>18</v>
      </c>
      <c r="C1881">
        <v>0</v>
      </c>
      <c r="D1881" t="s">
        <v>31</v>
      </c>
      <c r="E1881" t="s">
        <v>61</v>
      </c>
      <c r="F1881" s="1">
        <v>42489</v>
      </c>
      <c r="G1881" s="1">
        <v>42489</v>
      </c>
      <c r="H1881" t="s">
        <v>21</v>
      </c>
      <c r="I1881">
        <v>0</v>
      </c>
      <c r="J1881" t="s">
        <v>111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23</v>
      </c>
      <c r="R1881">
        <v>0</v>
      </c>
    </row>
    <row r="1882" spans="1:18">
      <c r="A1882" s="4">
        <v>733194000000</v>
      </c>
      <c r="B1882" t="s">
        <v>18</v>
      </c>
      <c r="C1882">
        <v>18</v>
      </c>
      <c r="D1882" t="s">
        <v>37</v>
      </c>
      <c r="E1882" t="s">
        <v>66</v>
      </c>
      <c r="F1882" s="1">
        <v>42489</v>
      </c>
      <c r="G1882" s="1">
        <v>42520</v>
      </c>
      <c r="H1882" t="s">
        <v>30</v>
      </c>
      <c r="I1882">
        <v>31</v>
      </c>
      <c r="J1882" t="s">
        <v>22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23</v>
      </c>
      <c r="R1882">
        <v>0</v>
      </c>
    </row>
    <row r="1883" spans="1:18">
      <c r="A1883" s="4">
        <v>461488000000000</v>
      </c>
      <c r="B1883" t="s">
        <v>18</v>
      </c>
      <c r="C1883">
        <v>40</v>
      </c>
      <c r="D1883" t="s">
        <v>27</v>
      </c>
      <c r="E1883" t="s">
        <v>49</v>
      </c>
      <c r="F1883" s="1">
        <v>42489</v>
      </c>
      <c r="G1883" s="1">
        <v>42508</v>
      </c>
      <c r="H1883" t="s">
        <v>25</v>
      </c>
      <c r="I1883">
        <v>19</v>
      </c>
      <c r="J1883" t="s">
        <v>77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23</v>
      </c>
      <c r="R1883">
        <v>0</v>
      </c>
    </row>
    <row r="1884" spans="1:18">
      <c r="A1884" s="4">
        <v>231548000000000</v>
      </c>
      <c r="B1884" t="s">
        <v>18</v>
      </c>
      <c r="C1884">
        <v>0</v>
      </c>
      <c r="D1884" t="s">
        <v>31</v>
      </c>
      <c r="E1884" t="s">
        <v>61</v>
      </c>
      <c r="F1884" s="1">
        <v>42489</v>
      </c>
      <c r="G1884" s="1">
        <v>42489</v>
      </c>
      <c r="H1884" t="s">
        <v>21</v>
      </c>
      <c r="I1884">
        <v>0</v>
      </c>
      <c r="J1884" t="s">
        <v>111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26</v>
      </c>
      <c r="R1884">
        <v>1</v>
      </c>
    </row>
    <row r="1885" spans="1:18">
      <c r="A1885" s="4">
        <v>9722280000000</v>
      </c>
      <c r="B1885" t="s">
        <v>18</v>
      </c>
      <c r="C1885">
        <v>41</v>
      </c>
      <c r="D1885" t="s">
        <v>27</v>
      </c>
      <c r="E1885" t="s">
        <v>45</v>
      </c>
      <c r="F1885" s="1">
        <v>42489</v>
      </c>
      <c r="G1885" s="1">
        <v>42489</v>
      </c>
      <c r="H1885" t="s">
        <v>21</v>
      </c>
      <c r="I1885">
        <v>0</v>
      </c>
      <c r="J1885" t="s">
        <v>111</v>
      </c>
      <c r="K1885">
        <v>1</v>
      </c>
      <c r="L1885">
        <v>1</v>
      </c>
      <c r="M1885">
        <v>0</v>
      </c>
      <c r="N1885">
        <v>0</v>
      </c>
      <c r="O1885">
        <v>1</v>
      </c>
      <c r="P1885">
        <v>0</v>
      </c>
      <c r="Q1885" t="s">
        <v>23</v>
      </c>
      <c r="R1885">
        <v>0</v>
      </c>
    </row>
    <row r="1886" spans="1:18">
      <c r="A1886" s="4">
        <v>219327000000000</v>
      </c>
      <c r="B1886" t="s">
        <v>18</v>
      </c>
      <c r="C1886">
        <v>32</v>
      </c>
      <c r="D1886" t="s">
        <v>37</v>
      </c>
      <c r="E1886" t="s">
        <v>45</v>
      </c>
      <c r="F1886" s="1">
        <v>42489</v>
      </c>
      <c r="G1886" s="1">
        <v>42489</v>
      </c>
      <c r="H1886" t="s">
        <v>21</v>
      </c>
      <c r="I1886">
        <v>0</v>
      </c>
      <c r="J1886" t="s">
        <v>111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23</v>
      </c>
      <c r="R1886">
        <v>0</v>
      </c>
    </row>
    <row r="1887" spans="1:18">
      <c r="A1887" s="4">
        <v>4972430000000</v>
      </c>
      <c r="B1887" t="s">
        <v>18</v>
      </c>
      <c r="C1887">
        <v>70</v>
      </c>
      <c r="D1887" t="s">
        <v>19</v>
      </c>
      <c r="E1887" t="s">
        <v>57</v>
      </c>
      <c r="F1887" s="1">
        <v>42489</v>
      </c>
      <c r="G1887" s="1">
        <v>42492</v>
      </c>
      <c r="H1887" t="s">
        <v>30</v>
      </c>
      <c r="I1887">
        <v>3</v>
      </c>
      <c r="J1887" t="s">
        <v>109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0</v>
      </c>
      <c r="Q1887" t="s">
        <v>23</v>
      </c>
      <c r="R1887">
        <v>0</v>
      </c>
    </row>
    <row r="1888" spans="1:18">
      <c r="A1888" s="4">
        <v>894265000000000</v>
      </c>
      <c r="B1888" t="s">
        <v>18</v>
      </c>
      <c r="C1888">
        <v>60</v>
      </c>
      <c r="D1888" t="s">
        <v>35</v>
      </c>
      <c r="E1888" t="s">
        <v>51</v>
      </c>
      <c r="F1888" s="1">
        <v>42489</v>
      </c>
      <c r="G1888" s="1">
        <v>42495</v>
      </c>
      <c r="H1888" t="s">
        <v>33</v>
      </c>
      <c r="I1888">
        <v>6</v>
      </c>
      <c r="J1888" t="s">
        <v>107</v>
      </c>
      <c r="K1888">
        <v>0</v>
      </c>
      <c r="L1888">
        <v>1</v>
      </c>
      <c r="M1888">
        <v>0</v>
      </c>
      <c r="N1888">
        <v>0</v>
      </c>
      <c r="O1888">
        <v>0</v>
      </c>
      <c r="P1888">
        <v>1</v>
      </c>
      <c r="Q1888" t="s">
        <v>23</v>
      </c>
      <c r="R1888">
        <v>0</v>
      </c>
    </row>
    <row r="1889" spans="1:18">
      <c r="A1889" s="4">
        <v>78929800000000</v>
      </c>
      <c r="B1889" t="s">
        <v>18</v>
      </c>
      <c r="C1889">
        <v>53</v>
      </c>
      <c r="D1889" t="s">
        <v>35</v>
      </c>
      <c r="E1889" t="s">
        <v>61</v>
      </c>
      <c r="F1889" s="1">
        <v>42489</v>
      </c>
      <c r="G1889" s="1">
        <v>42499</v>
      </c>
      <c r="H1889" t="s">
        <v>30</v>
      </c>
      <c r="I1889">
        <v>10</v>
      </c>
      <c r="J1889" t="s">
        <v>92</v>
      </c>
      <c r="K1889">
        <v>0</v>
      </c>
      <c r="L1889">
        <v>1</v>
      </c>
      <c r="M1889">
        <v>1</v>
      </c>
      <c r="N1889">
        <v>0</v>
      </c>
      <c r="O1889">
        <v>0</v>
      </c>
      <c r="P1889">
        <v>0</v>
      </c>
      <c r="Q1889" t="s">
        <v>23</v>
      </c>
      <c r="R1889">
        <v>0</v>
      </c>
    </row>
    <row r="1890" spans="1:18">
      <c r="A1890" s="4">
        <v>7746650000000</v>
      </c>
      <c r="B1890" t="s">
        <v>28</v>
      </c>
      <c r="C1890">
        <v>25</v>
      </c>
      <c r="D1890" t="s">
        <v>37</v>
      </c>
      <c r="E1890" t="s">
        <v>89</v>
      </c>
      <c r="F1890" s="1">
        <v>42489</v>
      </c>
      <c r="G1890" s="1">
        <v>42489</v>
      </c>
      <c r="H1890" t="s">
        <v>21</v>
      </c>
      <c r="I1890">
        <v>0</v>
      </c>
      <c r="J1890" t="s">
        <v>111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23</v>
      </c>
      <c r="R1890">
        <v>0</v>
      </c>
    </row>
    <row r="1891" spans="1:18">
      <c r="A1891" s="4">
        <v>54954000000000</v>
      </c>
      <c r="B1891" t="s">
        <v>18</v>
      </c>
      <c r="C1891">
        <v>54</v>
      </c>
      <c r="D1891" t="s">
        <v>35</v>
      </c>
      <c r="E1891" t="s">
        <v>43</v>
      </c>
      <c r="F1891" s="1">
        <v>42489</v>
      </c>
      <c r="G1891" s="1">
        <v>42492</v>
      </c>
      <c r="H1891" t="s">
        <v>30</v>
      </c>
      <c r="I1891">
        <v>3</v>
      </c>
      <c r="J1891" t="s">
        <v>109</v>
      </c>
      <c r="K1891">
        <v>0</v>
      </c>
      <c r="L1891">
        <v>0</v>
      </c>
      <c r="M1891">
        <v>0</v>
      </c>
      <c r="N1891">
        <v>1</v>
      </c>
      <c r="O1891">
        <v>0</v>
      </c>
      <c r="P1891">
        <v>1</v>
      </c>
      <c r="Q1891" t="s">
        <v>26</v>
      </c>
      <c r="R1891">
        <v>1</v>
      </c>
    </row>
    <row r="1892" spans="1:18">
      <c r="A1892" s="4">
        <v>298934000000</v>
      </c>
      <c r="B1892" t="s">
        <v>28</v>
      </c>
      <c r="C1892">
        <v>57</v>
      </c>
      <c r="D1892" t="s">
        <v>35</v>
      </c>
      <c r="E1892" t="s">
        <v>50</v>
      </c>
      <c r="F1892" s="1">
        <v>42489</v>
      </c>
      <c r="G1892" s="1">
        <v>42492</v>
      </c>
      <c r="H1892" t="s">
        <v>30</v>
      </c>
      <c r="I1892">
        <v>3</v>
      </c>
      <c r="J1892" t="s">
        <v>109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1</v>
      </c>
      <c r="Q1892" t="s">
        <v>23</v>
      </c>
      <c r="R1892">
        <v>0</v>
      </c>
    </row>
    <row r="1893" spans="1:18">
      <c r="A1893" s="4">
        <v>31478700000000</v>
      </c>
      <c r="B1893" t="s">
        <v>28</v>
      </c>
      <c r="C1893">
        <v>55</v>
      </c>
      <c r="D1893" t="s">
        <v>35</v>
      </c>
      <c r="E1893" t="s">
        <v>32</v>
      </c>
      <c r="F1893" s="1">
        <v>42489</v>
      </c>
      <c r="G1893" s="1">
        <v>42489</v>
      </c>
      <c r="H1893" t="s">
        <v>21</v>
      </c>
      <c r="I1893">
        <v>0</v>
      </c>
      <c r="J1893" t="s">
        <v>111</v>
      </c>
      <c r="K1893">
        <v>0</v>
      </c>
      <c r="L1893">
        <v>1</v>
      </c>
      <c r="M1893">
        <v>0</v>
      </c>
      <c r="N1893">
        <v>1</v>
      </c>
      <c r="O1893">
        <v>0</v>
      </c>
      <c r="P1893">
        <v>0</v>
      </c>
      <c r="Q1893" t="s">
        <v>23</v>
      </c>
      <c r="R1893">
        <v>0</v>
      </c>
    </row>
    <row r="1894" spans="1:18">
      <c r="A1894" s="4">
        <v>15769800000000</v>
      </c>
      <c r="B1894" t="s">
        <v>18</v>
      </c>
      <c r="C1894">
        <v>19</v>
      </c>
      <c r="D1894" t="s">
        <v>37</v>
      </c>
      <c r="E1894" t="s">
        <v>32</v>
      </c>
      <c r="F1894" s="1">
        <v>42489</v>
      </c>
      <c r="G1894" s="1">
        <v>42521</v>
      </c>
      <c r="H1894" t="s">
        <v>41</v>
      </c>
      <c r="I1894">
        <v>32</v>
      </c>
      <c r="J1894" t="s">
        <v>22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1</v>
      </c>
      <c r="Q1894" t="s">
        <v>23</v>
      </c>
      <c r="R1894">
        <v>0</v>
      </c>
    </row>
    <row r="1895" spans="1:18">
      <c r="A1895" s="4">
        <v>31769200000000</v>
      </c>
      <c r="B1895" t="s">
        <v>28</v>
      </c>
      <c r="C1895">
        <v>63</v>
      </c>
      <c r="D1895" t="s">
        <v>35</v>
      </c>
      <c r="E1895" t="s">
        <v>66</v>
      </c>
      <c r="F1895" s="1">
        <v>42489</v>
      </c>
      <c r="G1895" s="1">
        <v>42493</v>
      </c>
      <c r="H1895" t="s">
        <v>41</v>
      </c>
      <c r="I1895">
        <v>4</v>
      </c>
      <c r="J1895" t="s">
        <v>107</v>
      </c>
      <c r="K1895">
        <v>0</v>
      </c>
      <c r="L1895">
        <v>1</v>
      </c>
      <c r="M1895">
        <v>1</v>
      </c>
      <c r="N1895">
        <v>0</v>
      </c>
      <c r="O1895">
        <v>0</v>
      </c>
      <c r="P1895">
        <v>1</v>
      </c>
      <c r="Q1895" t="s">
        <v>23</v>
      </c>
      <c r="R1895">
        <v>0</v>
      </c>
    </row>
    <row r="1896" spans="1:18">
      <c r="A1896" s="4">
        <v>743357000000000</v>
      </c>
      <c r="B1896" t="s">
        <v>18</v>
      </c>
      <c r="C1896">
        <v>68</v>
      </c>
      <c r="D1896" t="s">
        <v>19</v>
      </c>
      <c r="E1896" t="s">
        <v>56</v>
      </c>
      <c r="F1896" s="1">
        <v>42489</v>
      </c>
      <c r="G1896" s="1">
        <v>42527</v>
      </c>
      <c r="H1896" t="s">
        <v>30</v>
      </c>
      <c r="I1896">
        <v>38</v>
      </c>
      <c r="J1896" t="s">
        <v>22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26</v>
      </c>
      <c r="R1896">
        <v>1</v>
      </c>
    </row>
    <row r="1897" spans="1:18">
      <c r="A1897" s="4">
        <v>224936000000000</v>
      </c>
      <c r="B1897" t="s">
        <v>28</v>
      </c>
      <c r="C1897">
        <v>63</v>
      </c>
      <c r="D1897" t="s">
        <v>35</v>
      </c>
      <c r="E1897" t="s">
        <v>52</v>
      </c>
      <c r="F1897" s="1">
        <v>42489</v>
      </c>
      <c r="G1897" s="1">
        <v>42520</v>
      </c>
      <c r="H1897" t="s">
        <v>30</v>
      </c>
      <c r="I1897">
        <v>31</v>
      </c>
      <c r="J1897" t="s">
        <v>22</v>
      </c>
      <c r="K1897">
        <v>0</v>
      </c>
      <c r="L1897">
        <v>1</v>
      </c>
      <c r="M1897">
        <v>0</v>
      </c>
      <c r="N1897">
        <v>0</v>
      </c>
      <c r="O1897">
        <v>1</v>
      </c>
      <c r="P1897">
        <v>1</v>
      </c>
      <c r="Q1897" t="s">
        <v>23</v>
      </c>
      <c r="R1897">
        <v>0</v>
      </c>
    </row>
    <row r="1898" spans="1:18">
      <c r="A1898" s="4">
        <v>42984300000000</v>
      </c>
      <c r="B1898" t="s">
        <v>18</v>
      </c>
      <c r="C1898">
        <v>61</v>
      </c>
      <c r="D1898" t="s">
        <v>35</v>
      </c>
      <c r="E1898" t="s">
        <v>20</v>
      </c>
      <c r="F1898" s="1">
        <v>42489</v>
      </c>
      <c r="G1898" s="1">
        <v>42493</v>
      </c>
      <c r="H1898" t="s">
        <v>41</v>
      </c>
      <c r="I1898">
        <v>4</v>
      </c>
      <c r="J1898" t="s">
        <v>107</v>
      </c>
      <c r="K1898">
        <v>0</v>
      </c>
      <c r="L1898">
        <v>1</v>
      </c>
      <c r="M1898">
        <v>0</v>
      </c>
      <c r="N1898">
        <v>0</v>
      </c>
      <c r="O1898">
        <v>0</v>
      </c>
      <c r="P1898">
        <v>1</v>
      </c>
      <c r="Q1898" t="s">
        <v>23</v>
      </c>
      <c r="R1898">
        <v>0</v>
      </c>
    </row>
    <row r="1899" spans="1:18">
      <c r="A1899" s="4">
        <v>73543300000000</v>
      </c>
      <c r="B1899" t="s">
        <v>18</v>
      </c>
      <c r="C1899">
        <v>49</v>
      </c>
      <c r="D1899" t="s">
        <v>27</v>
      </c>
      <c r="E1899" t="s">
        <v>45</v>
      </c>
      <c r="F1899" s="1">
        <v>42489</v>
      </c>
      <c r="G1899" s="1">
        <v>42493</v>
      </c>
      <c r="H1899" t="s">
        <v>41</v>
      </c>
      <c r="I1899">
        <v>4</v>
      </c>
      <c r="J1899" t="s">
        <v>107</v>
      </c>
      <c r="K1899">
        <v>0</v>
      </c>
      <c r="L1899">
        <v>0</v>
      </c>
      <c r="M1899">
        <v>1</v>
      </c>
      <c r="N1899">
        <v>0</v>
      </c>
      <c r="O1899">
        <v>0</v>
      </c>
      <c r="P1899">
        <v>1</v>
      </c>
      <c r="Q1899" t="s">
        <v>23</v>
      </c>
      <c r="R1899">
        <v>0</v>
      </c>
    </row>
    <row r="1900" spans="1:18">
      <c r="A1900" s="4">
        <v>15296119141</v>
      </c>
      <c r="B1900" t="s">
        <v>18</v>
      </c>
      <c r="C1900">
        <v>80</v>
      </c>
      <c r="D1900" t="s">
        <v>19</v>
      </c>
      <c r="E1900" t="s">
        <v>64</v>
      </c>
      <c r="F1900" s="1">
        <v>42489</v>
      </c>
      <c r="G1900" s="1">
        <v>42493</v>
      </c>
      <c r="H1900" t="s">
        <v>41</v>
      </c>
      <c r="I1900">
        <v>4</v>
      </c>
      <c r="J1900" t="s">
        <v>107</v>
      </c>
      <c r="K1900">
        <v>0</v>
      </c>
      <c r="L1900">
        <v>1</v>
      </c>
      <c r="M1900">
        <v>1</v>
      </c>
      <c r="N1900">
        <v>0</v>
      </c>
      <c r="O1900">
        <v>0</v>
      </c>
      <c r="P1900">
        <v>1</v>
      </c>
      <c r="Q1900" t="s">
        <v>23</v>
      </c>
      <c r="R1900">
        <v>0</v>
      </c>
    </row>
    <row r="1901" spans="1:18">
      <c r="A1901" s="4">
        <v>55854600000000</v>
      </c>
      <c r="B1901" t="s">
        <v>18</v>
      </c>
      <c r="C1901">
        <v>37</v>
      </c>
      <c r="D1901" t="s">
        <v>27</v>
      </c>
      <c r="E1901" t="s">
        <v>45</v>
      </c>
      <c r="F1901" s="1">
        <v>42489</v>
      </c>
      <c r="G1901" s="1">
        <v>42493</v>
      </c>
      <c r="H1901" t="s">
        <v>41</v>
      </c>
      <c r="I1901">
        <v>4</v>
      </c>
      <c r="J1901" t="s">
        <v>107</v>
      </c>
      <c r="K1901">
        <v>1</v>
      </c>
      <c r="L1901">
        <v>1</v>
      </c>
      <c r="M1901">
        <v>0</v>
      </c>
      <c r="N1901">
        <v>0</v>
      </c>
      <c r="O1901">
        <v>0</v>
      </c>
      <c r="P1901">
        <v>1</v>
      </c>
      <c r="Q1901" t="s">
        <v>23</v>
      </c>
      <c r="R1901">
        <v>0</v>
      </c>
    </row>
    <row r="1902" spans="1:18">
      <c r="A1902" s="4">
        <v>16415000000000</v>
      </c>
      <c r="B1902" t="s">
        <v>18</v>
      </c>
      <c r="C1902">
        <v>50</v>
      </c>
      <c r="D1902" t="s">
        <v>27</v>
      </c>
      <c r="E1902" t="s">
        <v>36</v>
      </c>
      <c r="F1902" s="1">
        <v>42489</v>
      </c>
      <c r="G1902" s="1">
        <v>42524</v>
      </c>
      <c r="H1902" t="s">
        <v>21</v>
      </c>
      <c r="I1902">
        <v>35</v>
      </c>
      <c r="J1902" t="s">
        <v>22</v>
      </c>
      <c r="K1902">
        <v>0</v>
      </c>
      <c r="L1902">
        <v>0</v>
      </c>
      <c r="M1902">
        <v>1</v>
      </c>
      <c r="N1902">
        <v>0</v>
      </c>
      <c r="O1902">
        <v>0</v>
      </c>
      <c r="P1902">
        <v>1</v>
      </c>
      <c r="Q1902" t="s">
        <v>23</v>
      </c>
      <c r="R1902">
        <v>0</v>
      </c>
    </row>
    <row r="1903" spans="1:18">
      <c r="A1903" s="4">
        <v>4737460000000</v>
      </c>
      <c r="B1903" t="s">
        <v>18</v>
      </c>
      <c r="C1903">
        <v>1</v>
      </c>
      <c r="D1903" t="s">
        <v>31</v>
      </c>
      <c r="E1903" t="s">
        <v>69</v>
      </c>
      <c r="F1903" s="1">
        <v>42489</v>
      </c>
      <c r="G1903" s="1">
        <v>42492</v>
      </c>
      <c r="H1903" t="s">
        <v>30</v>
      </c>
      <c r="I1903">
        <v>3</v>
      </c>
      <c r="J1903" t="s">
        <v>109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1</v>
      </c>
      <c r="Q1903" t="s">
        <v>23</v>
      </c>
      <c r="R1903">
        <v>0</v>
      </c>
    </row>
    <row r="1904" spans="1:18">
      <c r="A1904" s="4">
        <v>477586000000</v>
      </c>
      <c r="B1904" t="s">
        <v>28</v>
      </c>
      <c r="C1904">
        <v>11</v>
      </c>
      <c r="D1904" t="s">
        <v>31</v>
      </c>
      <c r="E1904" t="s">
        <v>66</v>
      </c>
      <c r="F1904" s="1">
        <v>42489</v>
      </c>
      <c r="G1904" s="1">
        <v>42506</v>
      </c>
      <c r="H1904" t="s">
        <v>30</v>
      </c>
      <c r="I1904">
        <v>17</v>
      </c>
      <c r="J1904" t="s">
        <v>77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26</v>
      </c>
      <c r="R1904">
        <v>1</v>
      </c>
    </row>
    <row r="1905" spans="1:18">
      <c r="A1905" s="4">
        <v>49263500000000</v>
      </c>
      <c r="B1905" t="s">
        <v>18</v>
      </c>
      <c r="C1905">
        <v>54</v>
      </c>
      <c r="D1905" t="s">
        <v>35</v>
      </c>
      <c r="E1905" t="s">
        <v>84</v>
      </c>
      <c r="F1905" s="1">
        <v>42489</v>
      </c>
      <c r="G1905" s="1">
        <v>42492</v>
      </c>
      <c r="H1905" t="s">
        <v>30</v>
      </c>
      <c r="I1905">
        <v>3</v>
      </c>
      <c r="J1905" t="s">
        <v>109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23</v>
      </c>
      <c r="R1905">
        <v>0</v>
      </c>
    </row>
    <row r="1906" spans="1:18">
      <c r="A1906" s="4">
        <v>19359500000000</v>
      </c>
      <c r="B1906" t="s">
        <v>28</v>
      </c>
      <c r="C1906">
        <v>54</v>
      </c>
      <c r="D1906" t="s">
        <v>35</v>
      </c>
      <c r="E1906" t="s">
        <v>40</v>
      </c>
      <c r="F1906" s="1">
        <v>42489</v>
      </c>
      <c r="G1906" s="1">
        <v>42520</v>
      </c>
      <c r="H1906" t="s">
        <v>30</v>
      </c>
      <c r="I1906">
        <v>31</v>
      </c>
      <c r="J1906" t="s">
        <v>22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1</v>
      </c>
      <c r="Q1906" t="s">
        <v>23</v>
      </c>
      <c r="R1906">
        <v>0</v>
      </c>
    </row>
    <row r="1907" spans="1:18">
      <c r="A1907" s="4">
        <v>7916720000000</v>
      </c>
      <c r="B1907" t="s">
        <v>28</v>
      </c>
      <c r="C1907">
        <v>46</v>
      </c>
      <c r="D1907" t="s">
        <v>27</v>
      </c>
      <c r="E1907" t="s">
        <v>36</v>
      </c>
      <c r="F1907" s="1">
        <v>42489</v>
      </c>
      <c r="G1907" s="1">
        <v>42493</v>
      </c>
      <c r="H1907" t="s">
        <v>41</v>
      </c>
      <c r="I1907">
        <v>4</v>
      </c>
      <c r="J1907" t="s">
        <v>107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1</v>
      </c>
      <c r="Q1907" t="s">
        <v>23</v>
      </c>
      <c r="R1907">
        <v>0</v>
      </c>
    </row>
    <row r="1908" spans="1:18">
      <c r="A1908" s="4">
        <v>64855400000000</v>
      </c>
      <c r="B1908" t="s">
        <v>18</v>
      </c>
      <c r="C1908">
        <v>36</v>
      </c>
      <c r="D1908" t="s">
        <v>27</v>
      </c>
      <c r="E1908" t="s">
        <v>72</v>
      </c>
      <c r="F1908" s="1">
        <v>42489</v>
      </c>
      <c r="G1908" s="1">
        <v>42493</v>
      </c>
      <c r="H1908" t="s">
        <v>41</v>
      </c>
      <c r="I1908">
        <v>4</v>
      </c>
      <c r="J1908" t="s">
        <v>107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1</v>
      </c>
      <c r="Q1908" t="s">
        <v>26</v>
      </c>
      <c r="R1908">
        <v>1</v>
      </c>
    </row>
    <row r="1909" spans="1:18">
      <c r="A1909" s="4">
        <v>872433000000000</v>
      </c>
      <c r="B1909" t="s">
        <v>28</v>
      </c>
      <c r="C1909">
        <v>54</v>
      </c>
      <c r="D1909" t="s">
        <v>35</v>
      </c>
      <c r="E1909" t="s">
        <v>39</v>
      </c>
      <c r="F1909" s="1">
        <v>42489</v>
      </c>
      <c r="G1909" s="1">
        <v>42494</v>
      </c>
      <c r="H1909" t="s">
        <v>25</v>
      </c>
      <c r="I1909">
        <v>5</v>
      </c>
      <c r="J1909" t="s">
        <v>107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</v>
      </c>
      <c r="Q1909" t="s">
        <v>23</v>
      </c>
      <c r="R1909">
        <v>0</v>
      </c>
    </row>
    <row r="1910" spans="1:18">
      <c r="A1910" s="4">
        <v>112691000000000</v>
      </c>
      <c r="B1910" t="s">
        <v>18</v>
      </c>
      <c r="C1910">
        <v>56</v>
      </c>
      <c r="D1910" t="s">
        <v>35</v>
      </c>
      <c r="E1910" t="s">
        <v>69</v>
      </c>
      <c r="F1910" s="1">
        <v>42489</v>
      </c>
      <c r="G1910" s="1">
        <v>42492</v>
      </c>
      <c r="H1910" t="s">
        <v>30</v>
      </c>
      <c r="I1910">
        <v>3</v>
      </c>
      <c r="J1910" t="s">
        <v>109</v>
      </c>
      <c r="K1910">
        <v>0</v>
      </c>
      <c r="L1910">
        <v>1</v>
      </c>
      <c r="M1910">
        <v>1</v>
      </c>
      <c r="N1910">
        <v>0</v>
      </c>
      <c r="O1910">
        <v>0</v>
      </c>
      <c r="P1910">
        <v>0</v>
      </c>
      <c r="Q1910" t="s">
        <v>23</v>
      </c>
      <c r="R1910">
        <v>0</v>
      </c>
    </row>
    <row r="1911" spans="1:18">
      <c r="A1911" s="4">
        <v>786992000000</v>
      </c>
      <c r="B1911" t="s">
        <v>18</v>
      </c>
      <c r="C1911">
        <v>44</v>
      </c>
      <c r="D1911" t="s">
        <v>27</v>
      </c>
      <c r="E1911" t="s">
        <v>72</v>
      </c>
      <c r="F1911" s="1">
        <v>42489</v>
      </c>
      <c r="G1911" s="1">
        <v>42489</v>
      </c>
      <c r="H1911" t="s">
        <v>21</v>
      </c>
      <c r="I1911">
        <v>0</v>
      </c>
      <c r="J1911" t="s">
        <v>111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23</v>
      </c>
      <c r="R1911">
        <v>0</v>
      </c>
    </row>
    <row r="1912" spans="1:18">
      <c r="A1912" s="4">
        <v>4974943167</v>
      </c>
      <c r="B1912" t="s">
        <v>18</v>
      </c>
      <c r="C1912">
        <v>47</v>
      </c>
      <c r="D1912" t="s">
        <v>27</v>
      </c>
      <c r="E1912" t="s">
        <v>79</v>
      </c>
      <c r="F1912" s="1">
        <v>42489</v>
      </c>
      <c r="G1912" s="1">
        <v>42515</v>
      </c>
      <c r="H1912" t="s">
        <v>25</v>
      </c>
      <c r="I1912">
        <v>26</v>
      </c>
      <c r="J1912" t="s">
        <v>77</v>
      </c>
      <c r="K1912">
        <v>1</v>
      </c>
      <c r="L1912">
        <v>1</v>
      </c>
      <c r="M1912">
        <v>1</v>
      </c>
      <c r="N1912">
        <v>0</v>
      </c>
      <c r="O1912">
        <v>0</v>
      </c>
      <c r="P1912">
        <v>1</v>
      </c>
      <c r="Q1912" t="s">
        <v>23</v>
      </c>
      <c r="R1912">
        <v>0</v>
      </c>
    </row>
    <row r="1913" spans="1:18">
      <c r="A1913" s="4">
        <v>99637837716</v>
      </c>
      <c r="B1913" t="s">
        <v>18</v>
      </c>
      <c r="C1913">
        <v>31</v>
      </c>
      <c r="D1913" t="s">
        <v>37</v>
      </c>
      <c r="E1913" t="s">
        <v>44</v>
      </c>
      <c r="F1913" s="1">
        <v>42489</v>
      </c>
      <c r="G1913" s="1">
        <v>42492</v>
      </c>
      <c r="H1913" t="s">
        <v>30</v>
      </c>
      <c r="I1913">
        <v>3</v>
      </c>
      <c r="J1913" t="s">
        <v>109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26</v>
      </c>
      <c r="R1913">
        <v>1</v>
      </c>
    </row>
    <row r="1914" spans="1:18">
      <c r="A1914" s="4">
        <v>4283540000000</v>
      </c>
      <c r="B1914" t="s">
        <v>18</v>
      </c>
      <c r="C1914">
        <v>40</v>
      </c>
      <c r="D1914" t="s">
        <v>27</v>
      </c>
      <c r="E1914" t="s">
        <v>75</v>
      </c>
      <c r="F1914" s="1">
        <v>42489</v>
      </c>
      <c r="G1914" s="1">
        <v>42500</v>
      </c>
      <c r="H1914" t="s">
        <v>41</v>
      </c>
      <c r="I1914">
        <v>11</v>
      </c>
      <c r="J1914" t="s">
        <v>92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1</v>
      </c>
      <c r="Q1914" t="s">
        <v>23</v>
      </c>
      <c r="R1914">
        <v>0</v>
      </c>
    </row>
    <row r="1915" spans="1:18">
      <c r="A1915" s="4">
        <v>99584000000000</v>
      </c>
      <c r="B1915" t="s">
        <v>18</v>
      </c>
      <c r="C1915">
        <v>67</v>
      </c>
      <c r="D1915" t="s">
        <v>19</v>
      </c>
      <c r="E1915" t="s">
        <v>29</v>
      </c>
      <c r="F1915" s="1">
        <v>42489</v>
      </c>
      <c r="G1915" s="1">
        <v>42489</v>
      </c>
      <c r="H1915" t="s">
        <v>21</v>
      </c>
      <c r="I1915">
        <v>0</v>
      </c>
      <c r="J1915" t="s">
        <v>111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v>0</v>
      </c>
      <c r="Q1915" t="s">
        <v>23</v>
      </c>
      <c r="R1915">
        <v>0</v>
      </c>
    </row>
    <row r="1916" spans="1:18">
      <c r="A1916" s="4">
        <v>83919700000000</v>
      </c>
      <c r="B1916" t="s">
        <v>28</v>
      </c>
      <c r="C1916">
        <v>27</v>
      </c>
      <c r="D1916" t="s">
        <v>37</v>
      </c>
      <c r="E1916" t="s">
        <v>68</v>
      </c>
      <c r="F1916" s="1">
        <v>42489</v>
      </c>
      <c r="G1916" s="1">
        <v>42503</v>
      </c>
      <c r="H1916" t="s">
        <v>21</v>
      </c>
      <c r="I1916">
        <v>14</v>
      </c>
      <c r="J1916" t="s">
        <v>92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26</v>
      </c>
      <c r="R1916">
        <v>1</v>
      </c>
    </row>
    <row r="1917" spans="1:18">
      <c r="A1917" s="4">
        <v>34964400000000</v>
      </c>
      <c r="B1917" t="s">
        <v>18</v>
      </c>
      <c r="C1917">
        <v>43</v>
      </c>
      <c r="D1917" t="s">
        <v>27</v>
      </c>
      <c r="E1917" t="s">
        <v>44</v>
      </c>
      <c r="F1917" s="1">
        <v>42489</v>
      </c>
      <c r="G1917" s="1">
        <v>42509</v>
      </c>
      <c r="H1917" t="s">
        <v>33</v>
      </c>
      <c r="I1917">
        <v>20</v>
      </c>
      <c r="J1917" t="s">
        <v>77</v>
      </c>
      <c r="K1917">
        <v>0</v>
      </c>
      <c r="L1917">
        <v>0</v>
      </c>
      <c r="M1917">
        <v>0</v>
      </c>
      <c r="N1917">
        <v>1</v>
      </c>
      <c r="O1917">
        <v>0</v>
      </c>
      <c r="P1917">
        <v>0</v>
      </c>
      <c r="Q1917" t="s">
        <v>26</v>
      </c>
      <c r="R1917">
        <v>1</v>
      </c>
    </row>
    <row r="1918" spans="1:18">
      <c r="A1918" s="4">
        <v>692272000000</v>
      </c>
      <c r="B1918" t="s">
        <v>18</v>
      </c>
      <c r="C1918">
        <v>22</v>
      </c>
      <c r="D1918" t="s">
        <v>37</v>
      </c>
      <c r="E1918" t="s">
        <v>56</v>
      </c>
      <c r="F1918" s="1">
        <v>42489</v>
      </c>
      <c r="G1918" s="1">
        <v>42506</v>
      </c>
      <c r="H1918" t="s">
        <v>30</v>
      </c>
      <c r="I1918">
        <v>17</v>
      </c>
      <c r="J1918" t="s">
        <v>77</v>
      </c>
      <c r="K1918">
        <v>1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23</v>
      </c>
      <c r="R1918">
        <v>0</v>
      </c>
    </row>
    <row r="1919" spans="1:18">
      <c r="A1919" s="4">
        <v>535224000000000</v>
      </c>
      <c r="B1919" t="s">
        <v>18</v>
      </c>
      <c r="C1919">
        <v>56</v>
      </c>
      <c r="D1919" t="s">
        <v>35</v>
      </c>
      <c r="E1919" t="s">
        <v>53</v>
      </c>
      <c r="F1919" s="1">
        <v>42490</v>
      </c>
      <c r="G1919" s="1">
        <v>42493</v>
      </c>
      <c r="H1919" t="s">
        <v>41</v>
      </c>
      <c r="I1919">
        <v>3</v>
      </c>
      <c r="J1919" t="s">
        <v>109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23</v>
      </c>
      <c r="R1919">
        <v>0</v>
      </c>
    </row>
    <row r="1920" spans="1:18">
      <c r="A1920" s="4">
        <v>121718000000000</v>
      </c>
      <c r="B1920" t="s">
        <v>18</v>
      </c>
      <c r="C1920">
        <v>66</v>
      </c>
      <c r="D1920" t="s">
        <v>19</v>
      </c>
      <c r="E1920" t="s">
        <v>52</v>
      </c>
      <c r="F1920" s="1">
        <v>42492</v>
      </c>
      <c r="G1920" s="1">
        <v>42495</v>
      </c>
      <c r="H1920" t="s">
        <v>33</v>
      </c>
      <c r="I1920">
        <v>3</v>
      </c>
      <c r="J1920" t="s">
        <v>109</v>
      </c>
      <c r="K1920">
        <v>0</v>
      </c>
      <c r="L1920">
        <v>1</v>
      </c>
      <c r="M1920">
        <v>0</v>
      </c>
      <c r="N1920">
        <v>0</v>
      </c>
      <c r="O1920">
        <v>0</v>
      </c>
      <c r="P1920">
        <v>1</v>
      </c>
      <c r="Q1920" t="s">
        <v>23</v>
      </c>
      <c r="R1920">
        <v>0</v>
      </c>
    </row>
    <row r="1921" spans="1:18">
      <c r="A1921" s="4">
        <v>233659000000000</v>
      </c>
      <c r="B1921" t="s">
        <v>18</v>
      </c>
      <c r="C1921">
        <v>76</v>
      </c>
      <c r="D1921" t="s">
        <v>19</v>
      </c>
      <c r="E1921" t="s">
        <v>36</v>
      </c>
      <c r="F1921" s="1">
        <v>42492</v>
      </c>
      <c r="G1921" s="1">
        <v>42494</v>
      </c>
      <c r="H1921" t="s">
        <v>25</v>
      </c>
      <c r="I1921">
        <v>2</v>
      </c>
      <c r="J1921" t="s">
        <v>109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23</v>
      </c>
      <c r="R1921">
        <v>0</v>
      </c>
    </row>
    <row r="1922" spans="1:18">
      <c r="A1922" s="4">
        <v>35615400000000</v>
      </c>
      <c r="B1922" t="s">
        <v>18</v>
      </c>
      <c r="C1922">
        <v>31</v>
      </c>
      <c r="D1922" t="s">
        <v>37</v>
      </c>
      <c r="E1922" t="s">
        <v>84</v>
      </c>
      <c r="F1922" s="1">
        <v>42492</v>
      </c>
      <c r="G1922" s="1">
        <v>42492</v>
      </c>
      <c r="H1922" t="s">
        <v>30</v>
      </c>
      <c r="I1922">
        <v>0</v>
      </c>
      <c r="J1922" t="s">
        <v>111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23</v>
      </c>
      <c r="R1922">
        <v>0</v>
      </c>
    </row>
    <row r="1923" spans="1:18">
      <c r="A1923" s="4">
        <v>227453000000</v>
      </c>
      <c r="B1923" t="s">
        <v>18</v>
      </c>
      <c r="C1923">
        <v>44</v>
      </c>
      <c r="D1923" t="s">
        <v>27</v>
      </c>
      <c r="E1923" t="s">
        <v>39</v>
      </c>
      <c r="F1923" s="1">
        <v>42492</v>
      </c>
      <c r="G1923" s="1">
        <v>42494</v>
      </c>
      <c r="H1923" t="s">
        <v>25</v>
      </c>
      <c r="I1923">
        <v>2</v>
      </c>
      <c r="J1923" t="s">
        <v>109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26</v>
      </c>
      <c r="R1923">
        <v>1</v>
      </c>
    </row>
    <row r="1924" spans="1:18">
      <c r="A1924" s="4">
        <v>131236000000000</v>
      </c>
      <c r="B1924" t="s">
        <v>18</v>
      </c>
      <c r="C1924">
        <v>58</v>
      </c>
      <c r="D1924" t="s">
        <v>35</v>
      </c>
      <c r="E1924" t="s">
        <v>66</v>
      </c>
      <c r="F1924" s="1">
        <v>42492</v>
      </c>
      <c r="G1924" s="1">
        <v>42492</v>
      </c>
      <c r="H1924" t="s">
        <v>30</v>
      </c>
      <c r="I1924">
        <v>0</v>
      </c>
      <c r="J1924" t="s">
        <v>111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0</v>
      </c>
      <c r="Q1924" t="s">
        <v>23</v>
      </c>
      <c r="R1924">
        <v>0</v>
      </c>
    </row>
    <row r="1925" spans="1:18">
      <c r="A1925" s="4">
        <v>38973800000000</v>
      </c>
      <c r="B1925" t="s">
        <v>28</v>
      </c>
      <c r="C1925">
        <v>61</v>
      </c>
      <c r="D1925" t="s">
        <v>35</v>
      </c>
      <c r="E1925" t="s">
        <v>40</v>
      </c>
      <c r="F1925" s="1">
        <v>42492</v>
      </c>
      <c r="G1925" s="1">
        <v>42499</v>
      </c>
      <c r="H1925" t="s">
        <v>30</v>
      </c>
      <c r="I1925">
        <v>7</v>
      </c>
      <c r="J1925" t="s">
        <v>107</v>
      </c>
      <c r="K1925">
        <v>0</v>
      </c>
      <c r="L1925">
        <v>1</v>
      </c>
      <c r="M1925">
        <v>1</v>
      </c>
      <c r="N1925">
        <v>0</v>
      </c>
      <c r="O1925">
        <v>0</v>
      </c>
      <c r="P1925">
        <v>0</v>
      </c>
      <c r="Q1925" t="s">
        <v>23</v>
      </c>
      <c r="R1925">
        <v>0</v>
      </c>
    </row>
    <row r="1926" spans="1:18">
      <c r="A1926" s="4">
        <v>353918000000000</v>
      </c>
      <c r="B1926" t="s">
        <v>18</v>
      </c>
      <c r="C1926">
        <v>35</v>
      </c>
      <c r="D1926" t="s">
        <v>37</v>
      </c>
      <c r="E1926" t="s">
        <v>66</v>
      </c>
      <c r="F1926" s="1">
        <v>42492</v>
      </c>
      <c r="G1926" s="1">
        <v>42492</v>
      </c>
      <c r="H1926" t="s">
        <v>30</v>
      </c>
      <c r="I1926">
        <v>0</v>
      </c>
      <c r="J1926" t="s">
        <v>111</v>
      </c>
      <c r="K1926">
        <v>1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26</v>
      </c>
      <c r="R1926">
        <v>1</v>
      </c>
    </row>
    <row r="1927" spans="1:18">
      <c r="A1927" s="4">
        <v>74131100000000</v>
      </c>
      <c r="B1927" t="s">
        <v>28</v>
      </c>
      <c r="C1927">
        <v>29</v>
      </c>
      <c r="D1927" t="s">
        <v>37</v>
      </c>
      <c r="E1927" t="s">
        <v>55</v>
      </c>
      <c r="F1927" s="1">
        <v>42492</v>
      </c>
      <c r="G1927" s="1">
        <v>42492</v>
      </c>
      <c r="H1927" t="s">
        <v>30</v>
      </c>
      <c r="I1927">
        <v>0</v>
      </c>
      <c r="J1927" t="s">
        <v>111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23</v>
      </c>
      <c r="R1927">
        <v>0</v>
      </c>
    </row>
    <row r="1928" spans="1:18">
      <c r="A1928" s="4">
        <v>9642480000000</v>
      </c>
      <c r="B1928" t="s">
        <v>18</v>
      </c>
      <c r="C1928">
        <v>9</v>
      </c>
      <c r="D1928" t="s">
        <v>31</v>
      </c>
      <c r="E1928" t="s">
        <v>73</v>
      </c>
      <c r="F1928" s="1">
        <v>42492</v>
      </c>
      <c r="G1928" s="1">
        <v>42492</v>
      </c>
      <c r="H1928" t="s">
        <v>30</v>
      </c>
      <c r="I1928">
        <v>0</v>
      </c>
      <c r="J1928" t="s">
        <v>111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23</v>
      </c>
      <c r="R1928">
        <v>0</v>
      </c>
    </row>
    <row r="1929" spans="1:18">
      <c r="A1929" s="4">
        <v>823513000000</v>
      </c>
      <c r="B1929" t="s">
        <v>28</v>
      </c>
      <c r="C1929">
        <v>11</v>
      </c>
      <c r="D1929" t="s">
        <v>31</v>
      </c>
      <c r="E1929" t="s">
        <v>32</v>
      </c>
      <c r="F1929" s="1">
        <v>42492</v>
      </c>
      <c r="G1929" s="1">
        <v>42492</v>
      </c>
      <c r="H1929" t="s">
        <v>30</v>
      </c>
      <c r="I1929">
        <v>0</v>
      </c>
      <c r="J1929" t="s">
        <v>111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23</v>
      </c>
      <c r="R1929">
        <v>0</v>
      </c>
    </row>
    <row r="1930" spans="1:18">
      <c r="A1930" s="4">
        <v>52212700000000</v>
      </c>
      <c r="B1930" t="s">
        <v>18</v>
      </c>
      <c r="C1930">
        <v>54</v>
      </c>
      <c r="D1930" t="s">
        <v>35</v>
      </c>
      <c r="E1930" t="s">
        <v>61</v>
      </c>
      <c r="F1930" s="1">
        <v>42492</v>
      </c>
      <c r="G1930" s="1">
        <v>42494</v>
      </c>
      <c r="H1930" t="s">
        <v>25</v>
      </c>
      <c r="I1930">
        <v>2</v>
      </c>
      <c r="J1930" t="s">
        <v>109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23</v>
      </c>
      <c r="R1930">
        <v>0</v>
      </c>
    </row>
    <row r="1931" spans="1:18">
      <c r="A1931" s="4">
        <v>47426500000000</v>
      </c>
      <c r="B1931" t="s">
        <v>28</v>
      </c>
      <c r="C1931">
        <v>12</v>
      </c>
      <c r="D1931" t="s">
        <v>31</v>
      </c>
      <c r="E1931" t="s">
        <v>48</v>
      </c>
      <c r="F1931" s="1">
        <v>42492</v>
      </c>
      <c r="G1931" s="1">
        <v>42492</v>
      </c>
      <c r="H1931" t="s">
        <v>30</v>
      </c>
      <c r="I1931">
        <v>0</v>
      </c>
      <c r="J1931" t="s">
        <v>111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23</v>
      </c>
      <c r="R1931">
        <v>0</v>
      </c>
    </row>
    <row r="1932" spans="1:18">
      <c r="A1932" s="4">
        <v>255989000000</v>
      </c>
      <c r="B1932" t="s">
        <v>28</v>
      </c>
      <c r="C1932">
        <v>0</v>
      </c>
      <c r="D1932" t="s">
        <v>31</v>
      </c>
      <c r="E1932" t="s">
        <v>58</v>
      </c>
      <c r="F1932" s="1">
        <v>42492</v>
      </c>
      <c r="G1932" s="1">
        <v>42492</v>
      </c>
      <c r="H1932" t="s">
        <v>30</v>
      </c>
      <c r="I1932">
        <v>0</v>
      </c>
      <c r="J1932" t="s">
        <v>111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23</v>
      </c>
      <c r="R1932">
        <v>0</v>
      </c>
    </row>
    <row r="1933" spans="1:18">
      <c r="A1933" s="4">
        <v>1758980000000</v>
      </c>
      <c r="B1933" t="s">
        <v>28</v>
      </c>
      <c r="C1933">
        <v>32</v>
      </c>
      <c r="D1933" t="s">
        <v>37</v>
      </c>
      <c r="E1933" t="s">
        <v>52</v>
      </c>
      <c r="F1933" s="1">
        <v>42492</v>
      </c>
      <c r="G1933" s="1">
        <v>42492</v>
      </c>
      <c r="H1933" t="s">
        <v>30</v>
      </c>
      <c r="I1933">
        <v>0</v>
      </c>
      <c r="J1933" t="s">
        <v>111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26</v>
      </c>
      <c r="R1933">
        <v>1</v>
      </c>
    </row>
    <row r="1934" spans="1:18">
      <c r="A1934" s="4">
        <v>95541400000000</v>
      </c>
      <c r="B1934" t="s">
        <v>18</v>
      </c>
      <c r="C1934">
        <v>31</v>
      </c>
      <c r="D1934" t="s">
        <v>37</v>
      </c>
      <c r="E1934" t="s">
        <v>72</v>
      </c>
      <c r="F1934" s="1">
        <v>42492</v>
      </c>
      <c r="G1934" s="1">
        <v>42494</v>
      </c>
      <c r="H1934" t="s">
        <v>25</v>
      </c>
      <c r="I1934">
        <v>2</v>
      </c>
      <c r="J1934" t="s">
        <v>109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26</v>
      </c>
      <c r="R1934">
        <v>1</v>
      </c>
    </row>
    <row r="1935" spans="1:18">
      <c r="A1935" s="4">
        <v>98571400000000</v>
      </c>
      <c r="B1935" t="s">
        <v>28</v>
      </c>
      <c r="C1935">
        <v>16</v>
      </c>
      <c r="D1935" t="s">
        <v>60</v>
      </c>
      <c r="E1935" t="s">
        <v>100</v>
      </c>
      <c r="F1935" s="1">
        <v>42492</v>
      </c>
      <c r="G1935" s="1">
        <v>42492</v>
      </c>
      <c r="H1935" t="s">
        <v>30</v>
      </c>
      <c r="I1935">
        <v>0</v>
      </c>
      <c r="J1935" t="s">
        <v>111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23</v>
      </c>
      <c r="R1935">
        <v>0</v>
      </c>
    </row>
    <row r="1936" spans="1:18">
      <c r="A1936" s="4">
        <v>84171700000000</v>
      </c>
      <c r="B1936" t="s">
        <v>18</v>
      </c>
      <c r="C1936">
        <v>38</v>
      </c>
      <c r="D1936" t="s">
        <v>27</v>
      </c>
      <c r="E1936" t="s">
        <v>108</v>
      </c>
      <c r="F1936" s="1">
        <v>42492</v>
      </c>
      <c r="G1936" s="1">
        <v>42494</v>
      </c>
      <c r="H1936" t="s">
        <v>25</v>
      </c>
      <c r="I1936">
        <v>2</v>
      </c>
      <c r="J1936" t="s">
        <v>109</v>
      </c>
      <c r="K1936">
        <v>0</v>
      </c>
      <c r="L1936">
        <v>1</v>
      </c>
      <c r="M1936">
        <v>1</v>
      </c>
      <c r="N1936">
        <v>0</v>
      </c>
      <c r="O1936">
        <v>0</v>
      </c>
      <c r="P1936">
        <v>0</v>
      </c>
      <c r="Q1936" t="s">
        <v>23</v>
      </c>
      <c r="R1936">
        <v>0</v>
      </c>
    </row>
    <row r="1937" spans="1:18">
      <c r="A1937" s="4">
        <v>17893800000000</v>
      </c>
      <c r="B1937" t="s">
        <v>28</v>
      </c>
      <c r="C1937">
        <v>38</v>
      </c>
      <c r="D1937" t="s">
        <v>27</v>
      </c>
      <c r="E1937" t="s">
        <v>73</v>
      </c>
      <c r="F1937" s="1">
        <v>42492</v>
      </c>
      <c r="G1937" s="1">
        <v>42499</v>
      </c>
      <c r="H1937" t="s">
        <v>30</v>
      </c>
      <c r="I1937">
        <v>7</v>
      </c>
      <c r="J1937" t="s">
        <v>107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26</v>
      </c>
      <c r="R1937">
        <v>1</v>
      </c>
    </row>
    <row r="1938" spans="1:18">
      <c r="A1938" s="4">
        <v>31617800000000</v>
      </c>
      <c r="B1938" t="s">
        <v>18</v>
      </c>
      <c r="C1938">
        <v>25</v>
      </c>
      <c r="D1938" t="s">
        <v>37</v>
      </c>
      <c r="E1938" t="s">
        <v>36</v>
      </c>
      <c r="F1938" s="1">
        <v>42492</v>
      </c>
      <c r="G1938" s="1">
        <v>42492</v>
      </c>
      <c r="H1938" t="s">
        <v>30</v>
      </c>
      <c r="I1938">
        <v>0</v>
      </c>
      <c r="J1938" t="s">
        <v>111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23</v>
      </c>
      <c r="R1938">
        <v>0</v>
      </c>
    </row>
    <row r="1939" spans="1:18">
      <c r="A1939" s="4">
        <v>82769000000000</v>
      </c>
      <c r="B1939" t="s">
        <v>28</v>
      </c>
      <c r="C1939">
        <v>12</v>
      </c>
      <c r="D1939" t="s">
        <v>31</v>
      </c>
      <c r="E1939" t="s">
        <v>55</v>
      </c>
      <c r="F1939" s="1">
        <v>42492</v>
      </c>
      <c r="G1939" s="1">
        <v>42492</v>
      </c>
      <c r="H1939" t="s">
        <v>30</v>
      </c>
      <c r="I1939">
        <v>0</v>
      </c>
      <c r="J1939" t="s">
        <v>111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23</v>
      </c>
      <c r="R1939">
        <v>0</v>
      </c>
    </row>
    <row r="1940" spans="1:18">
      <c r="A1940" s="4">
        <v>58818100000000</v>
      </c>
      <c r="B1940" t="s">
        <v>28</v>
      </c>
      <c r="C1940">
        <v>12</v>
      </c>
      <c r="D1940" t="s">
        <v>31</v>
      </c>
      <c r="E1940" t="s">
        <v>38</v>
      </c>
      <c r="F1940" s="1">
        <v>42492</v>
      </c>
      <c r="G1940" s="1">
        <v>42492</v>
      </c>
      <c r="H1940" t="s">
        <v>30</v>
      </c>
      <c r="I1940">
        <v>0</v>
      </c>
      <c r="J1940" t="s">
        <v>111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23</v>
      </c>
      <c r="R1940">
        <v>0</v>
      </c>
    </row>
    <row r="1941" spans="1:18">
      <c r="A1941" s="4">
        <v>7322190000000</v>
      </c>
      <c r="B1941" t="s">
        <v>18</v>
      </c>
      <c r="C1941">
        <v>67</v>
      </c>
      <c r="D1941" t="s">
        <v>19</v>
      </c>
      <c r="E1941" t="s">
        <v>40</v>
      </c>
      <c r="F1941" s="1">
        <v>42492</v>
      </c>
      <c r="G1941" s="1">
        <v>42492</v>
      </c>
      <c r="H1941" t="s">
        <v>30</v>
      </c>
      <c r="I1941">
        <v>0</v>
      </c>
      <c r="J1941" t="s">
        <v>111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23</v>
      </c>
      <c r="R1941">
        <v>0</v>
      </c>
    </row>
    <row r="1942" spans="1:18">
      <c r="A1942" s="4">
        <v>4755690000000</v>
      </c>
      <c r="B1942" t="s">
        <v>28</v>
      </c>
      <c r="C1942">
        <v>8</v>
      </c>
      <c r="D1942" t="s">
        <v>31</v>
      </c>
      <c r="E1942" t="s">
        <v>59</v>
      </c>
      <c r="F1942" s="1">
        <v>42492</v>
      </c>
      <c r="G1942" s="1">
        <v>42492</v>
      </c>
      <c r="H1942" t="s">
        <v>30</v>
      </c>
      <c r="I1942">
        <v>0</v>
      </c>
      <c r="J1942" t="s">
        <v>111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23</v>
      </c>
      <c r="R1942">
        <v>0</v>
      </c>
    </row>
    <row r="1943" spans="1:18">
      <c r="A1943" s="4">
        <v>77619700000000</v>
      </c>
      <c r="B1943" t="s">
        <v>18</v>
      </c>
      <c r="C1943">
        <v>49</v>
      </c>
      <c r="D1943" t="s">
        <v>27</v>
      </c>
      <c r="E1943" t="s">
        <v>32</v>
      </c>
      <c r="F1943" s="1">
        <v>42492</v>
      </c>
      <c r="G1943" s="1">
        <v>42492</v>
      </c>
      <c r="H1943" t="s">
        <v>30</v>
      </c>
      <c r="I1943">
        <v>0</v>
      </c>
      <c r="J1943" t="s">
        <v>111</v>
      </c>
      <c r="K1943">
        <v>0</v>
      </c>
      <c r="L1943">
        <v>1</v>
      </c>
      <c r="M1943">
        <v>0</v>
      </c>
      <c r="N1943">
        <v>0</v>
      </c>
      <c r="O1943">
        <v>0</v>
      </c>
      <c r="P1943">
        <v>0</v>
      </c>
      <c r="Q1943" t="s">
        <v>23</v>
      </c>
      <c r="R1943">
        <v>0</v>
      </c>
    </row>
    <row r="1944" spans="1:18">
      <c r="A1944" s="4">
        <v>99685900000000</v>
      </c>
      <c r="B1944" t="s">
        <v>18</v>
      </c>
      <c r="C1944">
        <v>72</v>
      </c>
      <c r="D1944" t="s">
        <v>19</v>
      </c>
      <c r="E1944" t="s">
        <v>39</v>
      </c>
      <c r="F1944" s="1">
        <v>42492</v>
      </c>
      <c r="G1944" s="1">
        <v>42492</v>
      </c>
      <c r="H1944" t="s">
        <v>30</v>
      </c>
      <c r="I1944">
        <v>0</v>
      </c>
      <c r="J1944" t="s">
        <v>111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23</v>
      </c>
      <c r="R1944">
        <v>0</v>
      </c>
    </row>
    <row r="1945" spans="1:18">
      <c r="A1945" s="4">
        <v>16992900000000</v>
      </c>
      <c r="B1945" t="s">
        <v>18</v>
      </c>
      <c r="C1945">
        <v>6</v>
      </c>
      <c r="D1945" t="s">
        <v>31</v>
      </c>
      <c r="E1945" t="s">
        <v>32</v>
      </c>
      <c r="F1945" s="1">
        <v>42492</v>
      </c>
      <c r="G1945" s="1">
        <v>42492</v>
      </c>
      <c r="H1945" t="s">
        <v>30</v>
      </c>
      <c r="I1945">
        <v>0</v>
      </c>
      <c r="J1945" t="s">
        <v>111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23</v>
      </c>
      <c r="R1945">
        <v>0</v>
      </c>
    </row>
    <row r="1946" spans="1:18">
      <c r="A1946" s="4">
        <v>36629000000000</v>
      </c>
      <c r="B1946" t="s">
        <v>18</v>
      </c>
      <c r="C1946">
        <v>53</v>
      </c>
      <c r="D1946" t="s">
        <v>35</v>
      </c>
      <c r="E1946" t="s">
        <v>68</v>
      </c>
      <c r="F1946" s="1">
        <v>42492</v>
      </c>
      <c r="G1946" s="1">
        <v>42494</v>
      </c>
      <c r="H1946" t="s">
        <v>25</v>
      </c>
      <c r="I1946">
        <v>2</v>
      </c>
      <c r="J1946" t="s">
        <v>109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23</v>
      </c>
      <c r="R1946">
        <v>0</v>
      </c>
    </row>
    <row r="1947" spans="1:18">
      <c r="A1947" s="4">
        <v>19199000000000</v>
      </c>
      <c r="B1947" t="s">
        <v>18</v>
      </c>
      <c r="C1947">
        <v>29</v>
      </c>
      <c r="D1947" t="s">
        <v>37</v>
      </c>
      <c r="E1947" t="s">
        <v>54</v>
      </c>
      <c r="F1947" s="1">
        <v>42492</v>
      </c>
      <c r="G1947" s="1">
        <v>42496</v>
      </c>
      <c r="H1947" t="s">
        <v>21</v>
      </c>
      <c r="I1947">
        <v>4</v>
      </c>
      <c r="J1947" t="s">
        <v>107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1</v>
      </c>
      <c r="Q1947" t="s">
        <v>23</v>
      </c>
      <c r="R1947">
        <v>0</v>
      </c>
    </row>
    <row r="1948" spans="1:18">
      <c r="A1948" s="4">
        <v>26356187571</v>
      </c>
      <c r="B1948" t="s">
        <v>18</v>
      </c>
      <c r="C1948">
        <v>43</v>
      </c>
      <c r="D1948" t="s">
        <v>27</v>
      </c>
      <c r="E1948" t="s">
        <v>65</v>
      </c>
      <c r="F1948" s="1">
        <v>42492</v>
      </c>
      <c r="G1948" s="1">
        <v>42492</v>
      </c>
      <c r="H1948" t="s">
        <v>30</v>
      </c>
      <c r="I1948">
        <v>0</v>
      </c>
      <c r="J1948" t="s">
        <v>111</v>
      </c>
      <c r="K1948">
        <v>1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23</v>
      </c>
      <c r="R1948">
        <v>0</v>
      </c>
    </row>
    <row r="1949" spans="1:18">
      <c r="A1949" s="4">
        <v>856233000000000</v>
      </c>
      <c r="B1949" t="s">
        <v>28</v>
      </c>
      <c r="C1949">
        <v>6</v>
      </c>
      <c r="D1949" t="s">
        <v>31</v>
      </c>
      <c r="E1949" t="s">
        <v>32</v>
      </c>
      <c r="F1949" s="1">
        <v>42492</v>
      </c>
      <c r="G1949" s="1">
        <v>42492</v>
      </c>
      <c r="H1949" t="s">
        <v>30</v>
      </c>
      <c r="I1949">
        <v>0</v>
      </c>
      <c r="J1949" t="s">
        <v>111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23</v>
      </c>
      <c r="R1949">
        <v>0</v>
      </c>
    </row>
    <row r="1950" spans="1:18">
      <c r="A1950" s="4">
        <v>3295310000000</v>
      </c>
      <c r="B1950" t="s">
        <v>18</v>
      </c>
      <c r="C1950">
        <v>37</v>
      </c>
      <c r="D1950" t="s">
        <v>27</v>
      </c>
      <c r="E1950" t="s">
        <v>105</v>
      </c>
      <c r="F1950" s="1">
        <v>42492</v>
      </c>
      <c r="G1950" s="1">
        <v>42515</v>
      </c>
      <c r="H1950" t="s">
        <v>25</v>
      </c>
      <c r="I1950">
        <v>23</v>
      </c>
      <c r="J1950" t="s">
        <v>77</v>
      </c>
      <c r="K1950">
        <v>1</v>
      </c>
      <c r="L1950">
        <v>0</v>
      </c>
      <c r="M1950">
        <v>0</v>
      </c>
      <c r="N1950">
        <v>0</v>
      </c>
      <c r="O1950">
        <v>0</v>
      </c>
      <c r="P1950">
        <v>1</v>
      </c>
      <c r="Q1950" t="s">
        <v>23</v>
      </c>
      <c r="R1950">
        <v>0</v>
      </c>
    </row>
    <row r="1951" spans="1:18">
      <c r="A1951" s="4">
        <v>7254160000000</v>
      </c>
      <c r="B1951" t="s">
        <v>28</v>
      </c>
      <c r="C1951">
        <v>44</v>
      </c>
      <c r="D1951" t="s">
        <v>27</v>
      </c>
      <c r="E1951" t="s">
        <v>44</v>
      </c>
      <c r="F1951" s="1">
        <v>42492</v>
      </c>
      <c r="G1951" s="1">
        <v>42492</v>
      </c>
      <c r="H1951" t="s">
        <v>30</v>
      </c>
      <c r="I1951">
        <v>0</v>
      </c>
      <c r="J1951" t="s">
        <v>111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23</v>
      </c>
      <c r="R1951">
        <v>0</v>
      </c>
    </row>
    <row r="1952" spans="1:18">
      <c r="A1952" s="4">
        <v>3295310000000</v>
      </c>
      <c r="B1952" t="s">
        <v>18</v>
      </c>
      <c r="C1952">
        <v>37</v>
      </c>
      <c r="D1952" t="s">
        <v>27</v>
      </c>
      <c r="E1952" t="s">
        <v>105</v>
      </c>
      <c r="F1952" s="1">
        <v>42492</v>
      </c>
      <c r="G1952" s="1">
        <v>42502</v>
      </c>
      <c r="H1952" t="s">
        <v>33</v>
      </c>
      <c r="I1952">
        <v>10</v>
      </c>
      <c r="J1952" t="s">
        <v>92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1</v>
      </c>
      <c r="Q1952" t="s">
        <v>26</v>
      </c>
      <c r="R1952">
        <v>1</v>
      </c>
    </row>
    <row r="1953" spans="1:18">
      <c r="A1953" s="4">
        <v>3566840000000</v>
      </c>
      <c r="B1953" t="s">
        <v>18</v>
      </c>
      <c r="C1953">
        <v>44</v>
      </c>
      <c r="D1953" t="s">
        <v>27</v>
      </c>
      <c r="E1953" t="s">
        <v>75</v>
      </c>
      <c r="F1953" s="1">
        <v>42492</v>
      </c>
      <c r="G1953" s="1">
        <v>42492</v>
      </c>
      <c r="H1953" t="s">
        <v>30</v>
      </c>
      <c r="I1953">
        <v>0</v>
      </c>
      <c r="J1953" t="s">
        <v>111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23</v>
      </c>
      <c r="R1953">
        <v>0</v>
      </c>
    </row>
    <row r="1954" spans="1:18">
      <c r="A1954" s="4">
        <v>795748000000000</v>
      </c>
      <c r="B1954" t="s">
        <v>28</v>
      </c>
      <c r="C1954">
        <v>22</v>
      </c>
      <c r="D1954" t="s">
        <v>37</v>
      </c>
      <c r="E1954" t="s">
        <v>56</v>
      </c>
      <c r="F1954" s="1">
        <v>42492</v>
      </c>
      <c r="G1954" s="1">
        <v>42506</v>
      </c>
      <c r="H1954" t="s">
        <v>30</v>
      </c>
      <c r="I1954">
        <v>14</v>
      </c>
      <c r="J1954" t="s">
        <v>92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23</v>
      </c>
      <c r="R1954">
        <v>0</v>
      </c>
    </row>
    <row r="1955" spans="1:18">
      <c r="A1955" s="4">
        <v>364297000000</v>
      </c>
      <c r="B1955" t="s">
        <v>18</v>
      </c>
      <c r="C1955">
        <v>18</v>
      </c>
      <c r="D1955" t="s">
        <v>37</v>
      </c>
      <c r="E1955" t="s">
        <v>44</v>
      </c>
      <c r="F1955" s="1">
        <v>42492</v>
      </c>
      <c r="G1955" s="1">
        <v>42492</v>
      </c>
      <c r="H1955" t="s">
        <v>30</v>
      </c>
      <c r="I1955">
        <v>0</v>
      </c>
      <c r="J1955" t="s">
        <v>111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23</v>
      </c>
      <c r="R1955">
        <v>0</v>
      </c>
    </row>
    <row r="1956" spans="1:18">
      <c r="A1956" s="4">
        <v>8223850000000</v>
      </c>
      <c r="B1956" t="s">
        <v>18</v>
      </c>
      <c r="C1956">
        <v>68</v>
      </c>
      <c r="D1956" t="s">
        <v>19</v>
      </c>
      <c r="E1956" t="s">
        <v>50</v>
      </c>
      <c r="F1956" s="1">
        <v>42492</v>
      </c>
      <c r="G1956" s="1">
        <v>42492</v>
      </c>
      <c r="H1956" t="s">
        <v>30</v>
      </c>
      <c r="I1956">
        <v>0</v>
      </c>
      <c r="J1956" t="s">
        <v>111</v>
      </c>
      <c r="K1956">
        <v>0</v>
      </c>
      <c r="L1956">
        <v>1</v>
      </c>
      <c r="M1956">
        <v>0</v>
      </c>
      <c r="N1956">
        <v>0</v>
      </c>
      <c r="O1956">
        <v>0</v>
      </c>
      <c r="P1956">
        <v>0</v>
      </c>
      <c r="Q1956" t="s">
        <v>23</v>
      </c>
      <c r="R1956">
        <v>0</v>
      </c>
    </row>
    <row r="1957" spans="1:18">
      <c r="A1957" s="4">
        <v>7334250000000</v>
      </c>
      <c r="B1957" t="s">
        <v>18</v>
      </c>
      <c r="C1957">
        <v>32</v>
      </c>
      <c r="D1957" t="s">
        <v>37</v>
      </c>
      <c r="E1957" t="s">
        <v>40</v>
      </c>
      <c r="F1957" s="1">
        <v>42492</v>
      </c>
      <c r="G1957" s="1">
        <v>42521</v>
      </c>
      <c r="H1957" t="s">
        <v>41</v>
      </c>
      <c r="I1957">
        <v>29</v>
      </c>
      <c r="J1957" t="s">
        <v>77</v>
      </c>
      <c r="K1957">
        <v>1</v>
      </c>
      <c r="L1957">
        <v>0</v>
      </c>
      <c r="M1957">
        <v>0</v>
      </c>
      <c r="N1957">
        <v>0</v>
      </c>
      <c r="O1957">
        <v>0</v>
      </c>
      <c r="P1957">
        <v>1</v>
      </c>
      <c r="Q1957" t="s">
        <v>23</v>
      </c>
      <c r="R1957">
        <v>0</v>
      </c>
    </row>
    <row r="1958" spans="1:18">
      <c r="A1958" s="4">
        <v>9699760000000</v>
      </c>
      <c r="B1958" t="s">
        <v>18</v>
      </c>
      <c r="C1958">
        <v>0</v>
      </c>
      <c r="D1958" t="s">
        <v>31</v>
      </c>
      <c r="E1958" t="s">
        <v>45</v>
      </c>
      <c r="F1958" s="1">
        <v>42492</v>
      </c>
      <c r="G1958" s="1">
        <v>42492</v>
      </c>
      <c r="H1958" t="s">
        <v>30</v>
      </c>
      <c r="I1958">
        <v>0</v>
      </c>
      <c r="J1958" t="s">
        <v>111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23</v>
      </c>
      <c r="R1958">
        <v>0</v>
      </c>
    </row>
    <row r="1959" spans="1:18">
      <c r="A1959" s="4">
        <v>839797000000</v>
      </c>
      <c r="B1959" t="s">
        <v>18</v>
      </c>
      <c r="C1959">
        <v>27</v>
      </c>
      <c r="D1959" t="s">
        <v>37</v>
      </c>
      <c r="E1959" t="s">
        <v>84</v>
      </c>
      <c r="F1959" s="1">
        <v>42492</v>
      </c>
      <c r="G1959" s="1">
        <v>42521</v>
      </c>
      <c r="H1959" t="s">
        <v>41</v>
      </c>
      <c r="I1959">
        <v>29</v>
      </c>
      <c r="J1959" t="s">
        <v>77</v>
      </c>
      <c r="K1959">
        <v>1</v>
      </c>
      <c r="L1959">
        <v>0</v>
      </c>
      <c r="M1959">
        <v>0</v>
      </c>
      <c r="N1959">
        <v>0</v>
      </c>
      <c r="O1959">
        <v>0</v>
      </c>
      <c r="P1959">
        <v>1</v>
      </c>
      <c r="Q1959" t="s">
        <v>23</v>
      </c>
      <c r="R1959">
        <v>0</v>
      </c>
    </row>
    <row r="1960" spans="1:18">
      <c r="A1960" s="4">
        <v>33618400000000</v>
      </c>
      <c r="B1960" t="s">
        <v>28</v>
      </c>
      <c r="C1960">
        <v>41</v>
      </c>
      <c r="D1960" t="s">
        <v>27</v>
      </c>
      <c r="E1960" t="s">
        <v>50</v>
      </c>
      <c r="F1960" s="1">
        <v>42492</v>
      </c>
      <c r="G1960" s="1">
        <v>42492</v>
      </c>
      <c r="H1960" t="s">
        <v>30</v>
      </c>
      <c r="I1960">
        <v>0</v>
      </c>
      <c r="J1960" t="s">
        <v>111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23</v>
      </c>
      <c r="R1960">
        <v>0</v>
      </c>
    </row>
    <row r="1961" spans="1:18">
      <c r="A1961" s="4">
        <v>91837400000000</v>
      </c>
      <c r="B1961" t="s">
        <v>28</v>
      </c>
      <c r="C1961">
        <v>49</v>
      </c>
      <c r="D1961" t="s">
        <v>27</v>
      </c>
      <c r="E1961" t="s">
        <v>44</v>
      </c>
      <c r="F1961" s="1">
        <v>42492</v>
      </c>
      <c r="G1961" s="1">
        <v>42492</v>
      </c>
      <c r="H1961" t="s">
        <v>30</v>
      </c>
      <c r="I1961">
        <v>0</v>
      </c>
      <c r="J1961" t="s">
        <v>111</v>
      </c>
      <c r="K1961">
        <v>0</v>
      </c>
      <c r="L1961">
        <v>0</v>
      </c>
      <c r="M1961">
        <v>0</v>
      </c>
      <c r="N1961">
        <v>1</v>
      </c>
      <c r="O1961">
        <v>0</v>
      </c>
      <c r="P1961">
        <v>0</v>
      </c>
      <c r="Q1961" t="s">
        <v>23</v>
      </c>
      <c r="R1961">
        <v>0</v>
      </c>
    </row>
    <row r="1962" spans="1:18">
      <c r="A1962" s="4">
        <v>369158000000000</v>
      </c>
      <c r="B1962" t="s">
        <v>18</v>
      </c>
      <c r="C1962">
        <v>16</v>
      </c>
      <c r="D1962" t="s">
        <v>60</v>
      </c>
      <c r="E1962" t="s">
        <v>49</v>
      </c>
      <c r="F1962" s="1">
        <v>42492</v>
      </c>
      <c r="G1962" s="1">
        <v>42492</v>
      </c>
      <c r="H1962" t="s">
        <v>30</v>
      </c>
      <c r="I1962">
        <v>0</v>
      </c>
      <c r="J1962" t="s">
        <v>111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23</v>
      </c>
      <c r="R1962">
        <v>0</v>
      </c>
    </row>
    <row r="1963" spans="1:18">
      <c r="A1963" s="4">
        <v>266956000000000</v>
      </c>
      <c r="B1963" t="s">
        <v>18</v>
      </c>
      <c r="C1963">
        <v>12</v>
      </c>
      <c r="D1963" t="s">
        <v>31</v>
      </c>
      <c r="E1963" t="s">
        <v>106</v>
      </c>
      <c r="F1963" s="1">
        <v>42492</v>
      </c>
      <c r="G1963" s="1">
        <v>42492</v>
      </c>
      <c r="H1963" t="s">
        <v>30</v>
      </c>
      <c r="I1963">
        <v>0</v>
      </c>
      <c r="J1963" t="s">
        <v>111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23</v>
      </c>
      <c r="R1963">
        <v>0</v>
      </c>
    </row>
    <row r="1964" spans="1:18">
      <c r="A1964" s="4">
        <v>17979800000000</v>
      </c>
      <c r="B1964" t="s">
        <v>18</v>
      </c>
      <c r="C1964">
        <v>41</v>
      </c>
      <c r="D1964" t="s">
        <v>27</v>
      </c>
      <c r="E1964" t="s">
        <v>91</v>
      </c>
      <c r="F1964" s="1">
        <v>42492</v>
      </c>
      <c r="G1964" s="1">
        <v>42506</v>
      </c>
      <c r="H1964" t="s">
        <v>30</v>
      </c>
      <c r="I1964">
        <v>14</v>
      </c>
      <c r="J1964" t="s">
        <v>92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23</v>
      </c>
      <c r="R1964">
        <v>0</v>
      </c>
    </row>
    <row r="1965" spans="1:18">
      <c r="A1965" s="4">
        <v>71219300000000</v>
      </c>
      <c r="B1965" t="s">
        <v>18</v>
      </c>
      <c r="C1965">
        <v>50</v>
      </c>
      <c r="D1965" t="s">
        <v>27</v>
      </c>
      <c r="E1965" t="s">
        <v>20</v>
      </c>
      <c r="F1965" s="1">
        <v>42492</v>
      </c>
      <c r="G1965" s="1">
        <v>42492</v>
      </c>
      <c r="H1965" t="s">
        <v>30</v>
      </c>
      <c r="I1965">
        <v>0</v>
      </c>
      <c r="J1965" t="s">
        <v>111</v>
      </c>
      <c r="K1965">
        <v>0</v>
      </c>
      <c r="L1965">
        <v>1</v>
      </c>
      <c r="M1965">
        <v>0</v>
      </c>
      <c r="N1965">
        <v>0</v>
      </c>
      <c r="O1965">
        <v>0</v>
      </c>
      <c r="P1965">
        <v>0</v>
      </c>
      <c r="Q1965" t="s">
        <v>23</v>
      </c>
      <c r="R1965">
        <v>0</v>
      </c>
    </row>
    <row r="1966" spans="1:18">
      <c r="A1966" s="4">
        <v>41178600000000</v>
      </c>
      <c r="B1966" t="s">
        <v>18</v>
      </c>
      <c r="C1966">
        <v>51</v>
      </c>
      <c r="D1966" t="s">
        <v>35</v>
      </c>
      <c r="E1966" t="s">
        <v>91</v>
      </c>
      <c r="F1966" s="1">
        <v>42492</v>
      </c>
      <c r="G1966" s="1">
        <v>42494</v>
      </c>
      <c r="H1966" t="s">
        <v>25</v>
      </c>
      <c r="I1966">
        <v>2</v>
      </c>
      <c r="J1966" t="s">
        <v>109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26</v>
      </c>
      <c r="R1966">
        <v>1</v>
      </c>
    </row>
    <row r="1967" spans="1:18">
      <c r="A1967" s="4">
        <v>9185960000000</v>
      </c>
      <c r="B1967" t="s">
        <v>18</v>
      </c>
      <c r="C1967">
        <v>32</v>
      </c>
      <c r="D1967" t="s">
        <v>37</v>
      </c>
      <c r="E1967" t="s">
        <v>75</v>
      </c>
      <c r="F1967" s="1">
        <v>42492</v>
      </c>
      <c r="G1967" s="1">
        <v>42492</v>
      </c>
      <c r="H1967" t="s">
        <v>30</v>
      </c>
      <c r="I1967">
        <v>0</v>
      </c>
      <c r="J1967" t="s">
        <v>111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23</v>
      </c>
      <c r="R1967">
        <v>0</v>
      </c>
    </row>
    <row r="1968" spans="1:18">
      <c r="A1968" s="4">
        <v>41799300000000</v>
      </c>
      <c r="B1968" t="s">
        <v>28</v>
      </c>
      <c r="C1968">
        <v>2</v>
      </c>
      <c r="D1968" t="s">
        <v>31</v>
      </c>
      <c r="E1968" t="s">
        <v>44</v>
      </c>
      <c r="F1968" s="1">
        <v>42492</v>
      </c>
      <c r="G1968" s="1">
        <v>42492</v>
      </c>
      <c r="H1968" t="s">
        <v>30</v>
      </c>
      <c r="I1968">
        <v>0</v>
      </c>
      <c r="J1968" t="s">
        <v>111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23</v>
      </c>
      <c r="R1968">
        <v>0</v>
      </c>
    </row>
    <row r="1969" spans="1:18">
      <c r="A1969" s="4">
        <v>768211000000000</v>
      </c>
      <c r="B1969" t="s">
        <v>28</v>
      </c>
      <c r="C1969">
        <v>1</v>
      </c>
      <c r="D1969" t="s">
        <v>31</v>
      </c>
      <c r="E1969" t="s">
        <v>54</v>
      </c>
      <c r="F1969" s="1">
        <v>42492</v>
      </c>
      <c r="G1969" s="1">
        <v>42492</v>
      </c>
      <c r="H1969" t="s">
        <v>30</v>
      </c>
      <c r="I1969">
        <v>0</v>
      </c>
      <c r="J1969" t="s">
        <v>111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23</v>
      </c>
      <c r="R1969">
        <v>0</v>
      </c>
    </row>
    <row r="1970" spans="1:18">
      <c r="A1970" s="4">
        <v>56818000000000</v>
      </c>
      <c r="B1970" t="s">
        <v>18</v>
      </c>
      <c r="C1970">
        <v>43</v>
      </c>
      <c r="D1970" t="s">
        <v>27</v>
      </c>
      <c r="E1970" t="s">
        <v>73</v>
      </c>
      <c r="F1970" s="1">
        <v>42492</v>
      </c>
      <c r="G1970" s="1">
        <v>42492</v>
      </c>
      <c r="H1970" t="s">
        <v>30</v>
      </c>
      <c r="I1970">
        <v>0</v>
      </c>
      <c r="J1970" t="s">
        <v>111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23</v>
      </c>
      <c r="R1970">
        <v>0</v>
      </c>
    </row>
    <row r="1971" spans="1:18">
      <c r="A1971" s="4">
        <v>542427000000</v>
      </c>
      <c r="B1971" t="s">
        <v>18</v>
      </c>
      <c r="C1971">
        <v>4</v>
      </c>
      <c r="D1971" t="s">
        <v>31</v>
      </c>
      <c r="E1971" t="s">
        <v>57</v>
      </c>
      <c r="F1971" s="1">
        <v>42492</v>
      </c>
      <c r="G1971" s="1">
        <v>42492</v>
      </c>
      <c r="H1971" t="s">
        <v>30</v>
      </c>
      <c r="I1971">
        <v>0</v>
      </c>
      <c r="J1971" t="s">
        <v>111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23</v>
      </c>
      <c r="R1971">
        <v>0</v>
      </c>
    </row>
    <row r="1972" spans="1:18">
      <c r="A1972" s="4">
        <v>52765200000000</v>
      </c>
      <c r="B1972" t="s">
        <v>18</v>
      </c>
      <c r="C1972">
        <v>65</v>
      </c>
      <c r="D1972" t="s">
        <v>35</v>
      </c>
      <c r="E1972" t="s">
        <v>39</v>
      </c>
      <c r="F1972" s="1">
        <v>42492</v>
      </c>
      <c r="G1972" s="1">
        <v>42507</v>
      </c>
      <c r="H1972" t="s">
        <v>41</v>
      </c>
      <c r="I1972">
        <v>15</v>
      </c>
      <c r="J1972" t="s">
        <v>77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23</v>
      </c>
      <c r="R1972">
        <v>0</v>
      </c>
    </row>
    <row r="1973" spans="1:18">
      <c r="A1973" s="4">
        <v>552332000000000</v>
      </c>
      <c r="B1973" t="s">
        <v>28</v>
      </c>
      <c r="C1973">
        <v>32</v>
      </c>
      <c r="D1973" t="s">
        <v>37</v>
      </c>
      <c r="E1973" t="s">
        <v>32</v>
      </c>
      <c r="F1973" s="1">
        <v>42492</v>
      </c>
      <c r="G1973" s="1">
        <v>42492</v>
      </c>
      <c r="H1973" t="s">
        <v>30</v>
      </c>
      <c r="I1973">
        <v>0</v>
      </c>
      <c r="J1973" t="s">
        <v>111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23</v>
      </c>
      <c r="R1973">
        <v>0</v>
      </c>
    </row>
    <row r="1974" spans="1:18">
      <c r="A1974" s="4">
        <v>989386000000000</v>
      </c>
      <c r="B1974" t="s">
        <v>18</v>
      </c>
      <c r="C1974">
        <v>5</v>
      </c>
      <c r="D1974" t="s">
        <v>31</v>
      </c>
      <c r="E1974" t="s">
        <v>106</v>
      </c>
      <c r="F1974" s="1">
        <v>42492</v>
      </c>
      <c r="G1974" s="1">
        <v>42492</v>
      </c>
      <c r="H1974" t="s">
        <v>30</v>
      </c>
      <c r="I1974">
        <v>0</v>
      </c>
      <c r="J1974" t="s">
        <v>111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23</v>
      </c>
      <c r="R1974">
        <v>0</v>
      </c>
    </row>
    <row r="1975" spans="1:18">
      <c r="A1975" s="4">
        <v>18276800000000</v>
      </c>
      <c r="B1975" t="s">
        <v>28</v>
      </c>
      <c r="C1975">
        <v>1</v>
      </c>
      <c r="D1975" t="s">
        <v>31</v>
      </c>
      <c r="E1975" t="s">
        <v>105</v>
      </c>
      <c r="F1975" s="1">
        <v>42492</v>
      </c>
      <c r="G1975" s="1">
        <v>42492</v>
      </c>
      <c r="H1975" t="s">
        <v>30</v>
      </c>
      <c r="I1975">
        <v>0</v>
      </c>
      <c r="J1975" t="s">
        <v>111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23</v>
      </c>
      <c r="R1975">
        <v>0</v>
      </c>
    </row>
    <row r="1976" spans="1:18">
      <c r="A1976" s="4">
        <v>9486570000000</v>
      </c>
      <c r="B1976" t="s">
        <v>18</v>
      </c>
      <c r="C1976">
        <v>5</v>
      </c>
      <c r="D1976" t="s">
        <v>31</v>
      </c>
      <c r="E1976" t="s">
        <v>64</v>
      </c>
      <c r="F1976" s="1">
        <v>42492</v>
      </c>
      <c r="G1976" s="1">
        <v>42492</v>
      </c>
      <c r="H1976" t="s">
        <v>30</v>
      </c>
      <c r="I1976">
        <v>0</v>
      </c>
      <c r="J1976" t="s">
        <v>111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23</v>
      </c>
      <c r="R1976">
        <v>0</v>
      </c>
    </row>
    <row r="1977" spans="1:18">
      <c r="A1977" s="4">
        <v>6122220000000</v>
      </c>
      <c r="B1977" t="s">
        <v>18</v>
      </c>
      <c r="C1977">
        <v>19</v>
      </c>
      <c r="D1977" t="s">
        <v>37</v>
      </c>
      <c r="E1977" t="s">
        <v>57</v>
      </c>
      <c r="F1977" s="1">
        <v>42492</v>
      </c>
      <c r="G1977" s="1">
        <v>42495</v>
      </c>
      <c r="H1977" t="s">
        <v>33</v>
      </c>
      <c r="I1977">
        <v>3</v>
      </c>
      <c r="J1977" t="s">
        <v>109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23</v>
      </c>
      <c r="R1977">
        <v>0</v>
      </c>
    </row>
    <row r="1978" spans="1:18">
      <c r="A1978" s="4">
        <v>69765200000000</v>
      </c>
      <c r="B1978" t="s">
        <v>28</v>
      </c>
      <c r="C1978">
        <v>37</v>
      </c>
      <c r="D1978" t="s">
        <v>27</v>
      </c>
      <c r="E1978" t="s">
        <v>91</v>
      </c>
      <c r="F1978" s="1">
        <v>42492</v>
      </c>
      <c r="G1978" s="1">
        <v>42492</v>
      </c>
      <c r="H1978" t="s">
        <v>30</v>
      </c>
      <c r="I1978">
        <v>0</v>
      </c>
      <c r="J1978" t="s">
        <v>111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23</v>
      </c>
      <c r="R1978">
        <v>0</v>
      </c>
    </row>
    <row r="1979" spans="1:18">
      <c r="A1979" s="4">
        <v>89473100000000</v>
      </c>
      <c r="B1979" t="s">
        <v>28</v>
      </c>
      <c r="C1979">
        <v>47</v>
      </c>
      <c r="D1979" t="s">
        <v>27</v>
      </c>
      <c r="E1979" t="s">
        <v>44</v>
      </c>
      <c r="F1979" s="1">
        <v>42492</v>
      </c>
      <c r="G1979" s="1">
        <v>42492</v>
      </c>
      <c r="H1979" t="s">
        <v>30</v>
      </c>
      <c r="I1979">
        <v>0</v>
      </c>
      <c r="J1979" t="s">
        <v>111</v>
      </c>
      <c r="K1979">
        <v>0</v>
      </c>
      <c r="L1979">
        <v>1</v>
      </c>
      <c r="M1979">
        <v>0</v>
      </c>
      <c r="N1979">
        <v>0</v>
      </c>
      <c r="O1979">
        <v>0</v>
      </c>
      <c r="P1979">
        <v>0</v>
      </c>
      <c r="Q1979" t="s">
        <v>23</v>
      </c>
      <c r="R1979">
        <v>0</v>
      </c>
    </row>
    <row r="1980" spans="1:18">
      <c r="A1980" s="4">
        <v>24545900000000</v>
      </c>
      <c r="B1980" t="s">
        <v>18</v>
      </c>
      <c r="C1980">
        <v>20</v>
      </c>
      <c r="D1980" t="s">
        <v>37</v>
      </c>
      <c r="E1980" t="s">
        <v>61</v>
      </c>
      <c r="F1980" s="1">
        <v>42492</v>
      </c>
      <c r="G1980" s="1">
        <v>42492</v>
      </c>
      <c r="H1980" t="s">
        <v>30</v>
      </c>
      <c r="I1980">
        <v>0</v>
      </c>
      <c r="J1980" t="s">
        <v>111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23</v>
      </c>
      <c r="R1980">
        <v>0</v>
      </c>
    </row>
    <row r="1981" spans="1:18">
      <c r="A1981" s="4">
        <v>498419000000</v>
      </c>
      <c r="B1981" t="s">
        <v>18</v>
      </c>
      <c r="C1981">
        <v>26</v>
      </c>
      <c r="D1981" t="s">
        <v>37</v>
      </c>
      <c r="E1981" t="s">
        <v>84</v>
      </c>
      <c r="F1981" s="1">
        <v>42492</v>
      </c>
      <c r="G1981" s="1">
        <v>42521</v>
      </c>
      <c r="H1981" t="s">
        <v>41</v>
      </c>
      <c r="I1981">
        <v>29</v>
      </c>
      <c r="J1981" t="s">
        <v>77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1</v>
      </c>
      <c r="Q1981" t="s">
        <v>23</v>
      </c>
      <c r="R1981">
        <v>0</v>
      </c>
    </row>
    <row r="1982" spans="1:18">
      <c r="A1982" s="4">
        <v>32698500000000</v>
      </c>
      <c r="B1982" t="s">
        <v>28</v>
      </c>
      <c r="C1982">
        <v>50</v>
      </c>
      <c r="D1982" t="s">
        <v>27</v>
      </c>
      <c r="E1982" t="s">
        <v>61</v>
      </c>
      <c r="F1982" s="1">
        <v>42492</v>
      </c>
      <c r="G1982" s="1">
        <v>42520</v>
      </c>
      <c r="H1982" t="s">
        <v>30</v>
      </c>
      <c r="I1982">
        <v>28</v>
      </c>
      <c r="J1982" t="s">
        <v>77</v>
      </c>
      <c r="K1982">
        <v>0</v>
      </c>
      <c r="L1982">
        <v>1</v>
      </c>
      <c r="M1982">
        <v>0</v>
      </c>
      <c r="N1982">
        <v>0</v>
      </c>
      <c r="O1982">
        <v>0</v>
      </c>
      <c r="P1982">
        <v>0</v>
      </c>
      <c r="Q1982" t="s">
        <v>23</v>
      </c>
      <c r="R1982">
        <v>0</v>
      </c>
    </row>
    <row r="1983" spans="1:18">
      <c r="A1983" s="4">
        <v>787697000000000</v>
      </c>
      <c r="B1983" t="s">
        <v>18</v>
      </c>
      <c r="C1983">
        <v>37</v>
      </c>
      <c r="D1983" t="s">
        <v>27</v>
      </c>
      <c r="E1983" t="s">
        <v>55</v>
      </c>
      <c r="F1983" s="1">
        <v>42492</v>
      </c>
      <c r="G1983" s="1">
        <v>42506</v>
      </c>
      <c r="H1983" t="s">
        <v>30</v>
      </c>
      <c r="I1983">
        <v>14</v>
      </c>
      <c r="J1983" t="s">
        <v>92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23</v>
      </c>
      <c r="R1983">
        <v>0</v>
      </c>
    </row>
    <row r="1984" spans="1:18">
      <c r="A1984" s="4">
        <v>69979500000000</v>
      </c>
      <c r="B1984" t="s">
        <v>18</v>
      </c>
      <c r="C1984">
        <v>28</v>
      </c>
      <c r="D1984" t="s">
        <v>37</v>
      </c>
      <c r="E1984" t="s">
        <v>69</v>
      </c>
      <c r="F1984" s="1">
        <v>42492</v>
      </c>
      <c r="G1984" s="1">
        <v>42492</v>
      </c>
      <c r="H1984" t="s">
        <v>30</v>
      </c>
      <c r="I1984">
        <v>0</v>
      </c>
      <c r="J1984" t="s">
        <v>111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0</v>
      </c>
      <c r="Q1984" t="s">
        <v>23</v>
      </c>
      <c r="R1984">
        <v>0</v>
      </c>
    </row>
    <row r="1985" spans="1:18">
      <c r="A1985" s="4">
        <v>775164000000000</v>
      </c>
      <c r="B1985" t="s">
        <v>18</v>
      </c>
      <c r="C1985">
        <v>70</v>
      </c>
      <c r="D1985" t="s">
        <v>19</v>
      </c>
      <c r="E1985" t="s">
        <v>84</v>
      </c>
      <c r="F1985" s="1">
        <v>42492</v>
      </c>
      <c r="G1985" s="1">
        <v>42492</v>
      </c>
      <c r="H1985" t="s">
        <v>30</v>
      </c>
      <c r="I1985">
        <v>0</v>
      </c>
      <c r="J1985" t="s">
        <v>111</v>
      </c>
      <c r="K1985">
        <v>0</v>
      </c>
      <c r="L1985">
        <v>1</v>
      </c>
      <c r="M1985">
        <v>1</v>
      </c>
      <c r="N1985">
        <v>0</v>
      </c>
      <c r="O1985">
        <v>0</v>
      </c>
      <c r="P1985">
        <v>0</v>
      </c>
      <c r="Q1985" t="s">
        <v>23</v>
      </c>
      <c r="R1985">
        <v>0</v>
      </c>
    </row>
    <row r="1986" spans="1:18">
      <c r="A1986" s="4">
        <v>17232200000000</v>
      </c>
      <c r="B1986" t="s">
        <v>18</v>
      </c>
      <c r="C1986">
        <v>89</v>
      </c>
      <c r="D1986" t="s">
        <v>19</v>
      </c>
      <c r="E1986" t="s">
        <v>57</v>
      </c>
      <c r="F1986" s="1">
        <v>42492</v>
      </c>
      <c r="G1986" s="1">
        <v>42492</v>
      </c>
      <c r="H1986" t="s">
        <v>30</v>
      </c>
      <c r="I1986">
        <v>0</v>
      </c>
      <c r="J1986" t="s">
        <v>111</v>
      </c>
      <c r="K1986">
        <v>0</v>
      </c>
      <c r="L1986">
        <v>1</v>
      </c>
      <c r="M1986">
        <v>0</v>
      </c>
      <c r="N1986">
        <v>0</v>
      </c>
      <c r="O1986">
        <v>1</v>
      </c>
      <c r="P1986">
        <v>0</v>
      </c>
      <c r="Q1986" t="s">
        <v>26</v>
      </c>
      <c r="R1986">
        <v>1</v>
      </c>
    </row>
    <row r="1987" spans="1:18">
      <c r="A1987" s="4">
        <v>573173000000000</v>
      </c>
      <c r="B1987" t="s">
        <v>28</v>
      </c>
      <c r="C1987">
        <v>9</v>
      </c>
      <c r="D1987" t="s">
        <v>31</v>
      </c>
      <c r="E1987" t="s">
        <v>59</v>
      </c>
      <c r="F1987" s="1">
        <v>42492</v>
      </c>
      <c r="G1987" s="1">
        <v>42514</v>
      </c>
      <c r="H1987" t="s">
        <v>41</v>
      </c>
      <c r="I1987">
        <v>22</v>
      </c>
      <c r="J1987" t="s">
        <v>77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</v>
      </c>
      <c r="Q1987" t="s">
        <v>26</v>
      </c>
      <c r="R1987">
        <v>1</v>
      </c>
    </row>
    <row r="1988" spans="1:18">
      <c r="A1988" s="4">
        <v>82235100000000</v>
      </c>
      <c r="B1988" t="s">
        <v>28</v>
      </c>
      <c r="C1988">
        <v>57</v>
      </c>
      <c r="D1988" t="s">
        <v>35</v>
      </c>
      <c r="E1988" t="s">
        <v>20</v>
      </c>
      <c r="F1988" s="1">
        <v>42492</v>
      </c>
      <c r="G1988" s="1">
        <v>42499</v>
      </c>
      <c r="H1988" t="s">
        <v>30</v>
      </c>
      <c r="I1988">
        <v>7</v>
      </c>
      <c r="J1988" t="s">
        <v>107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23</v>
      </c>
      <c r="R1988">
        <v>0</v>
      </c>
    </row>
    <row r="1989" spans="1:18">
      <c r="A1989" s="4">
        <v>55227000000000</v>
      </c>
      <c r="B1989" t="s">
        <v>28</v>
      </c>
      <c r="C1989">
        <v>56</v>
      </c>
      <c r="D1989" t="s">
        <v>35</v>
      </c>
      <c r="E1989" t="s">
        <v>72</v>
      </c>
      <c r="F1989" s="1">
        <v>42492</v>
      </c>
      <c r="G1989" s="1">
        <v>42499</v>
      </c>
      <c r="H1989" t="s">
        <v>30</v>
      </c>
      <c r="I1989">
        <v>7</v>
      </c>
      <c r="J1989" t="s">
        <v>107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23</v>
      </c>
      <c r="R1989">
        <v>0</v>
      </c>
    </row>
    <row r="1990" spans="1:18">
      <c r="A1990" s="4">
        <v>8532230000000</v>
      </c>
      <c r="B1990" t="s">
        <v>18</v>
      </c>
      <c r="C1990">
        <v>41</v>
      </c>
      <c r="D1990" t="s">
        <v>27</v>
      </c>
      <c r="E1990" t="s">
        <v>57</v>
      </c>
      <c r="F1990" s="1">
        <v>42492</v>
      </c>
      <c r="G1990" s="1">
        <v>42520</v>
      </c>
      <c r="H1990" t="s">
        <v>30</v>
      </c>
      <c r="I1990">
        <v>28</v>
      </c>
      <c r="J1990" t="s">
        <v>77</v>
      </c>
      <c r="K1990">
        <v>1</v>
      </c>
      <c r="L1990">
        <v>0</v>
      </c>
      <c r="M1990">
        <v>0</v>
      </c>
      <c r="N1990">
        <v>0</v>
      </c>
      <c r="O1990">
        <v>0</v>
      </c>
      <c r="P1990">
        <v>1</v>
      </c>
      <c r="Q1990" t="s">
        <v>26</v>
      </c>
      <c r="R1990">
        <v>1</v>
      </c>
    </row>
    <row r="1991" spans="1:18">
      <c r="A1991" s="4">
        <v>748650000000</v>
      </c>
      <c r="B1991" t="s">
        <v>28</v>
      </c>
      <c r="C1991">
        <v>1</v>
      </c>
      <c r="D1991" t="s">
        <v>31</v>
      </c>
      <c r="E1991" t="s">
        <v>55</v>
      </c>
      <c r="F1991" s="1">
        <v>42492</v>
      </c>
      <c r="G1991" s="1">
        <v>42515</v>
      </c>
      <c r="H1991" t="s">
        <v>25</v>
      </c>
      <c r="I1991">
        <v>23</v>
      </c>
      <c r="J1991" t="s">
        <v>77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1</v>
      </c>
      <c r="Q1991" t="s">
        <v>23</v>
      </c>
      <c r="R1991">
        <v>0</v>
      </c>
    </row>
    <row r="1992" spans="1:18">
      <c r="A1992" s="4">
        <v>462221000000000</v>
      </c>
      <c r="B1992" t="s">
        <v>18</v>
      </c>
      <c r="C1992">
        <v>30</v>
      </c>
      <c r="D1992" t="s">
        <v>37</v>
      </c>
      <c r="E1992" t="s">
        <v>52</v>
      </c>
      <c r="F1992" s="1">
        <v>42492</v>
      </c>
      <c r="G1992" s="1">
        <v>42499</v>
      </c>
      <c r="H1992" t="s">
        <v>30</v>
      </c>
      <c r="I1992">
        <v>7</v>
      </c>
      <c r="J1992" t="s">
        <v>107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23</v>
      </c>
      <c r="R1992">
        <v>0</v>
      </c>
    </row>
    <row r="1993" spans="1:18">
      <c r="A1993" s="4">
        <v>328864000000</v>
      </c>
      <c r="B1993" t="s">
        <v>18</v>
      </c>
      <c r="C1993">
        <v>50</v>
      </c>
      <c r="D1993" t="s">
        <v>27</v>
      </c>
      <c r="E1993" t="s">
        <v>29</v>
      </c>
      <c r="F1993" s="1">
        <v>42492</v>
      </c>
      <c r="G1993" s="1">
        <v>42507</v>
      </c>
      <c r="H1993" t="s">
        <v>41</v>
      </c>
      <c r="I1993">
        <v>15</v>
      </c>
      <c r="J1993" t="s">
        <v>77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23</v>
      </c>
      <c r="R1993">
        <v>0</v>
      </c>
    </row>
    <row r="1994" spans="1:18">
      <c r="A1994" s="4">
        <v>367546000000</v>
      </c>
      <c r="B1994" t="s">
        <v>18</v>
      </c>
      <c r="C1994">
        <v>7</v>
      </c>
      <c r="D1994" t="s">
        <v>31</v>
      </c>
      <c r="E1994" t="s">
        <v>58</v>
      </c>
      <c r="F1994" s="1">
        <v>42492</v>
      </c>
      <c r="G1994" s="1">
        <v>42493</v>
      </c>
      <c r="H1994" t="s">
        <v>41</v>
      </c>
      <c r="I1994">
        <v>1</v>
      </c>
      <c r="J1994" t="s">
        <v>109</v>
      </c>
      <c r="K1994">
        <v>1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23</v>
      </c>
      <c r="R1994">
        <v>0</v>
      </c>
    </row>
    <row r="1995" spans="1:18">
      <c r="A1995" s="4">
        <v>53632500000000</v>
      </c>
      <c r="B1995" t="s">
        <v>28</v>
      </c>
      <c r="C1995">
        <v>6</v>
      </c>
      <c r="D1995" t="s">
        <v>31</v>
      </c>
      <c r="E1995" t="s">
        <v>53</v>
      </c>
      <c r="F1995" s="1">
        <v>42492</v>
      </c>
      <c r="G1995" s="1">
        <v>42492</v>
      </c>
      <c r="H1995" t="s">
        <v>30</v>
      </c>
      <c r="I1995">
        <v>0</v>
      </c>
      <c r="J1995" t="s">
        <v>111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23</v>
      </c>
      <c r="R1995">
        <v>0</v>
      </c>
    </row>
    <row r="1996" spans="1:18">
      <c r="A1996" s="4">
        <v>279389000000</v>
      </c>
      <c r="B1996" t="s">
        <v>28</v>
      </c>
      <c r="C1996">
        <v>0</v>
      </c>
      <c r="D1996" t="s">
        <v>31</v>
      </c>
      <c r="E1996" t="s">
        <v>58</v>
      </c>
      <c r="F1996" s="1">
        <v>42492</v>
      </c>
      <c r="G1996" s="1">
        <v>42495</v>
      </c>
      <c r="H1996" t="s">
        <v>33</v>
      </c>
      <c r="I1996">
        <v>3</v>
      </c>
      <c r="J1996" t="s">
        <v>109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1</v>
      </c>
      <c r="Q1996" t="s">
        <v>23</v>
      </c>
      <c r="R1996">
        <v>0</v>
      </c>
    </row>
    <row r="1997" spans="1:18">
      <c r="A1997" s="4">
        <v>35594800000000</v>
      </c>
      <c r="B1997" t="s">
        <v>18</v>
      </c>
      <c r="C1997">
        <v>56</v>
      </c>
      <c r="D1997" t="s">
        <v>35</v>
      </c>
      <c r="E1997" t="s">
        <v>66</v>
      </c>
      <c r="F1997" s="1">
        <v>42492</v>
      </c>
      <c r="G1997" s="1">
        <v>42507</v>
      </c>
      <c r="H1997" t="s">
        <v>41</v>
      </c>
      <c r="I1997">
        <v>15</v>
      </c>
      <c r="J1997" t="s">
        <v>77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23</v>
      </c>
      <c r="R1997">
        <v>0</v>
      </c>
    </row>
    <row r="1998" spans="1:18">
      <c r="A1998" s="4">
        <v>628718000000000</v>
      </c>
      <c r="B1998" t="s">
        <v>18</v>
      </c>
      <c r="C1998">
        <v>61</v>
      </c>
      <c r="D1998" t="s">
        <v>35</v>
      </c>
      <c r="E1998" t="s">
        <v>72</v>
      </c>
      <c r="F1998" s="1">
        <v>42492</v>
      </c>
      <c r="G1998" s="1">
        <v>42492</v>
      </c>
      <c r="H1998" t="s">
        <v>30</v>
      </c>
      <c r="I1998">
        <v>0</v>
      </c>
      <c r="J1998" t="s">
        <v>111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26</v>
      </c>
      <c r="R1998">
        <v>1</v>
      </c>
    </row>
    <row r="1999" spans="1:18">
      <c r="A1999" s="4">
        <v>4276860000000</v>
      </c>
      <c r="B1999" t="s">
        <v>18</v>
      </c>
      <c r="C1999">
        <v>0</v>
      </c>
      <c r="D1999" t="s">
        <v>31</v>
      </c>
      <c r="E1999" t="s">
        <v>89</v>
      </c>
      <c r="F1999" s="1">
        <v>42492</v>
      </c>
      <c r="G1999" s="1">
        <v>42506</v>
      </c>
      <c r="H1999" t="s">
        <v>30</v>
      </c>
      <c r="I1999">
        <v>14</v>
      </c>
      <c r="J1999" t="s">
        <v>92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23</v>
      </c>
      <c r="R1999">
        <v>0</v>
      </c>
    </row>
    <row r="2000" spans="1:18">
      <c r="A2000" s="4">
        <v>7173960000000</v>
      </c>
      <c r="B2000" t="s">
        <v>28</v>
      </c>
      <c r="C2000">
        <v>13</v>
      </c>
      <c r="D2000" t="s">
        <v>60</v>
      </c>
      <c r="E2000" t="s">
        <v>38</v>
      </c>
      <c r="F2000" s="1">
        <v>42492</v>
      </c>
      <c r="G2000" s="1">
        <v>42499</v>
      </c>
      <c r="H2000" t="s">
        <v>30</v>
      </c>
      <c r="I2000">
        <v>7</v>
      </c>
      <c r="J2000" t="s">
        <v>107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23</v>
      </c>
      <c r="R2000">
        <v>0</v>
      </c>
    </row>
    <row r="2001" spans="1:18">
      <c r="A2001" s="4">
        <v>84564200000000</v>
      </c>
      <c r="B2001" t="s">
        <v>28</v>
      </c>
      <c r="C2001">
        <v>5</v>
      </c>
      <c r="D2001" t="s">
        <v>31</v>
      </c>
      <c r="E2001" t="s">
        <v>96</v>
      </c>
      <c r="F2001" s="1">
        <v>42492</v>
      </c>
      <c r="G2001" s="1">
        <v>42492</v>
      </c>
      <c r="H2001" t="s">
        <v>30</v>
      </c>
      <c r="I2001">
        <v>0</v>
      </c>
      <c r="J2001" t="s">
        <v>111</v>
      </c>
      <c r="K2001">
        <v>1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23</v>
      </c>
      <c r="R2001">
        <v>0</v>
      </c>
    </row>
    <row r="2002" spans="1:18">
      <c r="A2002" s="4">
        <v>67548400000000</v>
      </c>
      <c r="B2002" t="s">
        <v>18</v>
      </c>
      <c r="C2002">
        <v>76</v>
      </c>
      <c r="D2002" t="s">
        <v>19</v>
      </c>
      <c r="E2002" t="s">
        <v>59</v>
      </c>
      <c r="F2002" s="1">
        <v>42492</v>
      </c>
      <c r="G2002" s="1">
        <v>42527</v>
      </c>
      <c r="H2002" t="s">
        <v>30</v>
      </c>
      <c r="I2002">
        <v>35</v>
      </c>
      <c r="J2002" t="s">
        <v>22</v>
      </c>
      <c r="K2002">
        <v>0</v>
      </c>
      <c r="L2002">
        <v>1</v>
      </c>
      <c r="M2002">
        <v>1</v>
      </c>
      <c r="N2002">
        <v>0</v>
      </c>
      <c r="O2002">
        <v>0</v>
      </c>
      <c r="P2002">
        <v>1</v>
      </c>
      <c r="Q2002" t="s">
        <v>23</v>
      </c>
      <c r="R2002">
        <v>0</v>
      </c>
    </row>
    <row r="2003" spans="1:18">
      <c r="A2003" s="4">
        <v>254163000000000</v>
      </c>
      <c r="B2003" t="s">
        <v>18</v>
      </c>
      <c r="C2003">
        <v>82</v>
      </c>
      <c r="D2003" t="s">
        <v>19</v>
      </c>
      <c r="E2003" t="s">
        <v>72</v>
      </c>
      <c r="F2003" s="1">
        <v>42492</v>
      </c>
      <c r="G2003" s="1">
        <v>42500</v>
      </c>
      <c r="H2003" t="s">
        <v>41</v>
      </c>
      <c r="I2003">
        <v>8</v>
      </c>
      <c r="J2003" t="s">
        <v>92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1</v>
      </c>
      <c r="Q2003" t="s">
        <v>23</v>
      </c>
      <c r="R2003">
        <v>0</v>
      </c>
    </row>
    <row r="2004" spans="1:18">
      <c r="A2004" s="4">
        <v>3817680000000</v>
      </c>
      <c r="B2004" t="s">
        <v>18</v>
      </c>
      <c r="C2004">
        <v>84</v>
      </c>
      <c r="D2004" t="s">
        <v>19</v>
      </c>
      <c r="E2004" t="s">
        <v>39</v>
      </c>
      <c r="F2004" s="1">
        <v>42492</v>
      </c>
      <c r="G2004" s="1">
        <v>42492</v>
      </c>
      <c r="H2004" t="s">
        <v>30</v>
      </c>
      <c r="I2004">
        <v>0</v>
      </c>
      <c r="J2004" t="s">
        <v>111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23</v>
      </c>
      <c r="R2004">
        <v>0</v>
      </c>
    </row>
    <row r="2005" spans="1:18">
      <c r="A2005" s="4">
        <v>83297400000000</v>
      </c>
      <c r="B2005" t="s">
        <v>18</v>
      </c>
      <c r="C2005">
        <v>18</v>
      </c>
      <c r="D2005" t="s">
        <v>37</v>
      </c>
      <c r="E2005" t="s">
        <v>65</v>
      </c>
      <c r="F2005" s="1">
        <v>42492</v>
      </c>
      <c r="G2005" s="1">
        <v>42510</v>
      </c>
      <c r="H2005" t="s">
        <v>21</v>
      </c>
      <c r="I2005">
        <v>18</v>
      </c>
      <c r="J2005" t="s">
        <v>77</v>
      </c>
      <c r="K2005">
        <v>1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26</v>
      </c>
      <c r="R2005">
        <v>1</v>
      </c>
    </row>
    <row r="2006" spans="1:18">
      <c r="A2006" s="4">
        <v>915397000000000</v>
      </c>
      <c r="B2006" t="s">
        <v>18</v>
      </c>
      <c r="C2006">
        <v>37</v>
      </c>
      <c r="D2006" t="s">
        <v>27</v>
      </c>
      <c r="E2006" t="s">
        <v>57</v>
      </c>
      <c r="F2006" s="1">
        <v>42492</v>
      </c>
      <c r="G2006" s="1">
        <v>42492</v>
      </c>
      <c r="H2006" t="s">
        <v>30</v>
      </c>
      <c r="I2006">
        <v>0</v>
      </c>
      <c r="J2006" t="s">
        <v>111</v>
      </c>
      <c r="K2006">
        <v>1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23</v>
      </c>
      <c r="R2006">
        <v>0</v>
      </c>
    </row>
    <row r="2007" spans="1:18">
      <c r="A2007" s="4">
        <v>68465500000000</v>
      </c>
      <c r="B2007" t="s">
        <v>18</v>
      </c>
      <c r="C2007">
        <v>45</v>
      </c>
      <c r="D2007" t="s">
        <v>27</v>
      </c>
      <c r="E2007" t="s">
        <v>64</v>
      </c>
      <c r="F2007" s="1">
        <v>42492</v>
      </c>
      <c r="G2007" s="1">
        <v>42492</v>
      </c>
      <c r="H2007" t="s">
        <v>30</v>
      </c>
      <c r="I2007">
        <v>0</v>
      </c>
      <c r="J2007" t="s">
        <v>111</v>
      </c>
      <c r="K2007">
        <v>0</v>
      </c>
      <c r="L2007">
        <v>1</v>
      </c>
      <c r="M2007">
        <v>1</v>
      </c>
      <c r="N2007">
        <v>0</v>
      </c>
      <c r="O2007">
        <v>0</v>
      </c>
      <c r="P2007">
        <v>0</v>
      </c>
      <c r="Q2007" t="s">
        <v>23</v>
      </c>
      <c r="R2007">
        <v>0</v>
      </c>
    </row>
    <row r="2008" spans="1:18">
      <c r="A2008" s="4">
        <v>2839330000000</v>
      </c>
      <c r="B2008" t="s">
        <v>18</v>
      </c>
      <c r="C2008">
        <v>3</v>
      </c>
      <c r="D2008" t="s">
        <v>31</v>
      </c>
      <c r="E2008" t="s">
        <v>79</v>
      </c>
      <c r="F2008" s="1">
        <v>42492</v>
      </c>
      <c r="G2008" s="1">
        <v>42492</v>
      </c>
      <c r="H2008" t="s">
        <v>30</v>
      </c>
      <c r="I2008">
        <v>0</v>
      </c>
      <c r="J2008" t="s">
        <v>111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23</v>
      </c>
      <c r="R2008">
        <v>0</v>
      </c>
    </row>
    <row r="2009" spans="1:18">
      <c r="A2009" s="4">
        <v>58621700000000</v>
      </c>
      <c r="B2009" t="s">
        <v>18</v>
      </c>
      <c r="C2009">
        <v>26</v>
      </c>
      <c r="D2009" t="s">
        <v>37</v>
      </c>
      <c r="E2009" t="s">
        <v>44</v>
      </c>
      <c r="F2009" s="1">
        <v>42492</v>
      </c>
      <c r="G2009" s="1">
        <v>42492</v>
      </c>
      <c r="H2009" t="s">
        <v>30</v>
      </c>
      <c r="I2009">
        <v>0</v>
      </c>
      <c r="J2009" t="s">
        <v>111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23</v>
      </c>
      <c r="R2009">
        <v>0</v>
      </c>
    </row>
    <row r="2010" spans="1:18">
      <c r="A2010" s="4">
        <v>315792000000</v>
      </c>
      <c r="B2010" t="s">
        <v>28</v>
      </c>
      <c r="C2010">
        <v>2</v>
      </c>
      <c r="D2010" t="s">
        <v>31</v>
      </c>
      <c r="E2010" t="s">
        <v>100</v>
      </c>
      <c r="F2010" s="1">
        <v>42492</v>
      </c>
      <c r="G2010" s="1">
        <v>42492</v>
      </c>
      <c r="H2010" t="s">
        <v>30</v>
      </c>
      <c r="I2010">
        <v>0</v>
      </c>
      <c r="J2010" t="s">
        <v>111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23</v>
      </c>
      <c r="R2010">
        <v>0</v>
      </c>
    </row>
    <row r="2011" spans="1:18">
      <c r="A2011" s="4">
        <v>55925500000000</v>
      </c>
      <c r="B2011" t="s">
        <v>28</v>
      </c>
      <c r="C2011">
        <v>18</v>
      </c>
      <c r="D2011" t="s">
        <v>37</v>
      </c>
      <c r="E2011" t="s">
        <v>38</v>
      </c>
      <c r="F2011" s="1">
        <v>42492</v>
      </c>
      <c r="G2011" s="1">
        <v>42492</v>
      </c>
      <c r="H2011" t="s">
        <v>30</v>
      </c>
      <c r="I2011">
        <v>0</v>
      </c>
      <c r="J2011" t="s">
        <v>111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23</v>
      </c>
      <c r="R2011">
        <v>0</v>
      </c>
    </row>
    <row r="2012" spans="1:18">
      <c r="A2012" s="4">
        <v>95228100000000</v>
      </c>
      <c r="B2012" t="s">
        <v>28</v>
      </c>
      <c r="C2012">
        <v>2</v>
      </c>
      <c r="D2012" t="s">
        <v>31</v>
      </c>
      <c r="E2012" t="s">
        <v>47</v>
      </c>
      <c r="F2012" s="1">
        <v>42492</v>
      </c>
      <c r="G2012" s="1">
        <v>42492</v>
      </c>
      <c r="H2012" t="s">
        <v>30</v>
      </c>
      <c r="I2012">
        <v>0</v>
      </c>
      <c r="J2012" t="s">
        <v>111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23</v>
      </c>
      <c r="R2012">
        <v>0</v>
      </c>
    </row>
    <row r="2013" spans="1:18">
      <c r="A2013" s="4">
        <v>329274000000000</v>
      </c>
      <c r="B2013" t="s">
        <v>18</v>
      </c>
      <c r="C2013">
        <v>37</v>
      </c>
      <c r="D2013" t="s">
        <v>27</v>
      </c>
      <c r="E2013" t="s">
        <v>75</v>
      </c>
      <c r="F2013" s="1">
        <v>42492</v>
      </c>
      <c r="G2013" s="1">
        <v>42493</v>
      </c>
      <c r="H2013" t="s">
        <v>41</v>
      </c>
      <c r="I2013">
        <v>1</v>
      </c>
      <c r="J2013" t="s">
        <v>109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23</v>
      </c>
      <c r="R2013">
        <v>0</v>
      </c>
    </row>
    <row r="2014" spans="1:18">
      <c r="A2014" s="4">
        <v>981726000000</v>
      </c>
      <c r="B2014" t="s">
        <v>28</v>
      </c>
      <c r="C2014">
        <v>60</v>
      </c>
      <c r="D2014" t="s">
        <v>35</v>
      </c>
      <c r="E2014" t="s">
        <v>81</v>
      </c>
      <c r="F2014" s="1">
        <v>42492</v>
      </c>
      <c r="G2014" s="1">
        <v>42506</v>
      </c>
      <c r="H2014" t="s">
        <v>30</v>
      </c>
      <c r="I2014">
        <v>14</v>
      </c>
      <c r="J2014" t="s">
        <v>92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23</v>
      </c>
      <c r="R2014">
        <v>0</v>
      </c>
    </row>
    <row r="2015" spans="1:18">
      <c r="A2015" s="4">
        <v>566597000000</v>
      </c>
      <c r="B2015" t="s">
        <v>18</v>
      </c>
      <c r="C2015">
        <v>57</v>
      </c>
      <c r="D2015" t="s">
        <v>35</v>
      </c>
      <c r="E2015" t="s">
        <v>81</v>
      </c>
      <c r="F2015" s="1">
        <v>42492</v>
      </c>
      <c r="G2015" s="1">
        <v>42506</v>
      </c>
      <c r="H2015" t="s">
        <v>30</v>
      </c>
      <c r="I2015">
        <v>14</v>
      </c>
      <c r="J2015" t="s">
        <v>92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23</v>
      </c>
      <c r="R2015">
        <v>0</v>
      </c>
    </row>
    <row r="2016" spans="1:18">
      <c r="A2016" s="4">
        <v>51877700000000</v>
      </c>
      <c r="B2016" t="s">
        <v>28</v>
      </c>
      <c r="C2016">
        <v>8</v>
      </c>
      <c r="D2016" t="s">
        <v>31</v>
      </c>
      <c r="E2016" t="s">
        <v>106</v>
      </c>
      <c r="F2016" s="1">
        <v>42492</v>
      </c>
      <c r="G2016" s="1">
        <v>42492</v>
      </c>
      <c r="H2016" t="s">
        <v>30</v>
      </c>
      <c r="I2016">
        <v>0</v>
      </c>
      <c r="J2016" t="s">
        <v>111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23</v>
      </c>
      <c r="R2016">
        <v>0</v>
      </c>
    </row>
    <row r="2017" spans="1:18">
      <c r="A2017" s="4">
        <v>864695000000000</v>
      </c>
      <c r="B2017" t="s">
        <v>18</v>
      </c>
      <c r="C2017">
        <v>2</v>
      </c>
      <c r="D2017" t="s">
        <v>31</v>
      </c>
      <c r="E2017" t="s">
        <v>51</v>
      </c>
      <c r="F2017" s="1">
        <v>42492</v>
      </c>
      <c r="G2017" s="1">
        <v>42492</v>
      </c>
      <c r="H2017" t="s">
        <v>30</v>
      </c>
      <c r="I2017">
        <v>0</v>
      </c>
      <c r="J2017" t="s">
        <v>111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23</v>
      </c>
      <c r="R2017">
        <v>0</v>
      </c>
    </row>
    <row r="2018" spans="1:18">
      <c r="A2018" s="4">
        <v>3721243543</v>
      </c>
      <c r="B2018" t="s">
        <v>28</v>
      </c>
      <c r="C2018">
        <v>58</v>
      </c>
      <c r="D2018" t="s">
        <v>35</v>
      </c>
      <c r="E2018" t="s">
        <v>53</v>
      </c>
      <c r="F2018" s="1">
        <v>42492</v>
      </c>
      <c r="G2018" s="1">
        <v>42493</v>
      </c>
      <c r="H2018" t="s">
        <v>41</v>
      </c>
      <c r="I2018">
        <v>1</v>
      </c>
      <c r="J2018" t="s">
        <v>109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23</v>
      </c>
      <c r="R2018">
        <v>0</v>
      </c>
    </row>
    <row r="2019" spans="1:18">
      <c r="A2019" s="4">
        <v>866517000000000</v>
      </c>
      <c r="B2019" t="s">
        <v>18</v>
      </c>
      <c r="C2019">
        <v>12</v>
      </c>
      <c r="D2019" t="s">
        <v>31</v>
      </c>
      <c r="E2019" t="s">
        <v>56</v>
      </c>
      <c r="F2019" s="1">
        <v>42492</v>
      </c>
      <c r="G2019" s="1">
        <v>42508</v>
      </c>
      <c r="H2019" t="s">
        <v>25</v>
      </c>
      <c r="I2019">
        <v>16</v>
      </c>
      <c r="J2019" t="s">
        <v>77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26</v>
      </c>
      <c r="R2019">
        <v>1</v>
      </c>
    </row>
    <row r="2020" spans="1:18">
      <c r="A2020" s="4">
        <v>16298300000000</v>
      </c>
      <c r="B2020" t="s">
        <v>28</v>
      </c>
      <c r="C2020">
        <v>2</v>
      </c>
      <c r="D2020" t="s">
        <v>31</v>
      </c>
      <c r="E2020" t="s">
        <v>64</v>
      </c>
      <c r="F2020" s="1">
        <v>42492</v>
      </c>
      <c r="G2020" s="1">
        <v>42492</v>
      </c>
      <c r="H2020" t="s">
        <v>30</v>
      </c>
      <c r="I2020">
        <v>0</v>
      </c>
      <c r="J2020" t="s">
        <v>111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23</v>
      </c>
      <c r="R2020">
        <v>0</v>
      </c>
    </row>
    <row r="2021" spans="1:18">
      <c r="A2021" s="4">
        <v>864698000000</v>
      </c>
      <c r="B2021" t="s">
        <v>18</v>
      </c>
      <c r="C2021">
        <v>16</v>
      </c>
      <c r="D2021" t="s">
        <v>60</v>
      </c>
      <c r="E2021" t="s">
        <v>70</v>
      </c>
      <c r="F2021" s="1">
        <v>42492</v>
      </c>
      <c r="G2021" s="1">
        <v>42493</v>
      </c>
      <c r="H2021" t="s">
        <v>41</v>
      </c>
      <c r="I2021">
        <v>1</v>
      </c>
      <c r="J2021" t="s">
        <v>109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23</v>
      </c>
      <c r="R2021">
        <v>0</v>
      </c>
    </row>
    <row r="2022" spans="1:18">
      <c r="A2022" s="4">
        <v>483748000000000</v>
      </c>
      <c r="B2022" t="s">
        <v>18</v>
      </c>
      <c r="C2022">
        <v>78</v>
      </c>
      <c r="D2022" t="s">
        <v>19</v>
      </c>
      <c r="E2022" t="s">
        <v>68</v>
      </c>
      <c r="F2022" s="1">
        <v>42492</v>
      </c>
      <c r="G2022" s="1">
        <v>42495</v>
      </c>
      <c r="H2022" t="s">
        <v>33</v>
      </c>
      <c r="I2022">
        <v>3</v>
      </c>
      <c r="J2022" t="s">
        <v>109</v>
      </c>
      <c r="K2022">
        <v>0</v>
      </c>
      <c r="L2022">
        <v>1</v>
      </c>
      <c r="M2022">
        <v>0</v>
      </c>
      <c r="N2022">
        <v>0</v>
      </c>
      <c r="O2022">
        <v>0</v>
      </c>
      <c r="P2022">
        <v>1</v>
      </c>
      <c r="Q2022" t="s">
        <v>23</v>
      </c>
      <c r="R2022">
        <v>0</v>
      </c>
    </row>
    <row r="2023" spans="1:18">
      <c r="A2023" s="4">
        <v>15169400000000</v>
      </c>
      <c r="B2023" t="s">
        <v>18</v>
      </c>
      <c r="C2023">
        <v>48</v>
      </c>
      <c r="D2023" t="s">
        <v>27</v>
      </c>
      <c r="E2023" t="s">
        <v>66</v>
      </c>
      <c r="F2023" s="1">
        <v>42492</v>
      </c>
      <c r="G2023" s="1">
        <v>42492</v>
      </c>
      <c r="H2023" t="s">
        <v>30</v>
      </c>
      <c r="I2023">
        <v>0</v>
      </c>
      <c r="J2023" t="s">
        <v>111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23</v>
      </c>
      <c r="R2023">
        <v>0</v>
      </c>
    </row>
    <row r="2024" spans="1:18">
      <c r="A2024" s="4">
        <v>987311000000</v>
      </c>
      <c r="B2024" t="s">
        <v>18</v>
      </c>
      <c r="C2024">
        <v>51</v>
      </c>
      <c r="D2024" t="s">
        <v>35</v>
      </c>
      <c r="E2024" t="s">
        <v>72</v>
      </c>
      <c r="F2024" s="1">
        <v>42492</v>
      </c>
      <c r="G2024" s="1">
        <v>42495</v>
      </c>
      <c r="H2024" t="s">
        <v>33</v>
      </c>
      <c r="I2024">
        <v>3</v>
      </c>
      <c r="J2024" t="s">
        <v>109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1</v>
      </c>
      <c r="Q2024" t="s">
        <v>23</v>
      </c>
      <c r="R2024">
        <v>0</v>
      </c>
    </row>
    <row r="2025" spans="1:18">
      <c r="A2025" s="4">
        <v>36362133263</v>
      </c>
      <c r="B2025" t="s">
        <v>28</v>
      </c>
      <c r="C2025">
        <v>62</v>
      </c>
      <c r="D2025" t="s">
        <v>35</v>
      </c>
      <c r="E2025" t="s">
        <v>72</v>
      </c>
      <c r="F2025" s="1">
        <v>42492</v>
      </c>
      <c r="G2025" s="1">
        <v>42493</v>
      </c>
      <c r="H2025" t="s">
        <v>41</v>
      </c>
      <c r="I2025">
        <v>1</v>
      </c>
      <c r="J2025" t="s">
        <v>109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23</v>
      </c>
      <c r="R2025">
        <v>0</v>
      </c>
    </row>
    <row r="2026" spans="1:18">
      <c r="A2026" s="4">
        <v>1979670000000</v>
      </c>
      <c r="B2026" t="s">
        <v>18</v>
      </c>
      <c r="C2026">
        <v>14</v>
      </c>
      <c r="D2026" t="s">
        <v>60</v>
      </c>
      <c r="E2026" t="s">
        <v>65</v>
      </c>
      <c r="F2026" s="1">
        <v>42492</v>
      </c>
      <c r="G2026" s="1">
        <v>42492</v>
      </c>
      <c r="H2026" t="s">
        <v>30</v>
      </c>
      <c r="I2026">
        <v>0</v>
      </c>
      <c r="J2026" t="s">
        <v>111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23</v>
      </c>
      <c r="R2026">
        <v>0</v>
      </c>
    </row>
    <row r="2027" spans="1:18">
      <c r="A2027" s="4">
        <v>463856000000</v>
      </c>
      <c r="B2027" t="s">
        <v>28</v>
      </c>
      <c r="C2027">
        <v>0</v>
      </c>
      <c r="D2027" t="s">
        <v>31</v>
      </c>
      <c r="E2027" t="s">
        <v>44</v>
      </c>
      <c r="F2027" s="1">
        <v>42492</v>
      </c>
      <c r="G2027" s="1">
        <v>42500</v>
      </c>
      <c r="H2027" t="s">
        <v>41</v>
      </c>
      <c r="I2027">
        <v>8</v>
      </c>
      <c r="J2027" t="s">
        <v>92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1</v>
      </c>
      <c r="Q2027" t="s">
        <v>26</v>
      </c>
      <c r="R2027">
        <v>1</v>
      </c>
    </row>
    <row r="2028" spans="1:18">
      <c r="A2028" s="4">
        <v>376414000000000</v>
      </c>
      <c r="B2028" t="s">
        <v>28</v>
      </c>
      <c r="C2028">
        <v>14</v>
      </c>
      <c r="D2028" t="s">
        <v>60</v>
      </c>
      <c r="E2028" t="s">
        <v>47</v>
      </c>
      <c r="F2028" s="1">
        <v>42492</v>
      </c>
      <c r="G2028" s="1">
        <v>42492</v>
      </c>
      <c r="H2028" t="s">
        <v>30</v>
      </c>
      <c r="I2028">
        <v>0</v>
      </c>
      <c r="J2028" t="s">
        <v>111</v>
      </c>
      <c r="K2028">
        <v>1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23</v>
      </c>
      <c r="R2028">
        <v>0</v>
      </c>
    </row>
    <row r="2029" spans="1:18">
      <c r="A2029" s="4">
        <v>54782200000000</v>
      </c>
      <c r="B2029" t="s">
        <v>18</v>
      </c>
      <c r="C2029">
        <v>46</v>
      </c>
      <c r="D2029" t="s">
        <v>27</v>
      </c>
      <c r="E2029" t="s">
        <v>72</v>
      </c>
      <c r="F2029" s="1">
        <v>42492</v>
      </c>
      <c r="G2029" s="1">
        <v>42500</v>
      </c>
      <c r="H2029" t="s">
        <v>41</v>
      </c>
      <c r="I2029">
        <v>8</v>
      </c>
      <c r="J2029" t="s">
        <v>92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1</v>
      </c>
      <c r="Q2029" t="s">
        <v>23</v>
      </c>
      <c r="R2029">
        <v>0</v>
      </c>
    </row>
    <row r="2030" spans="1:18">
      <c r="A2030" s="4">
        <v>23581600000000</v>
      </c>
      <c r="B2030" t="s">
        <v>28</v>
      </c>
      <c r="C2030">
        <v>51</v>
      </c>
      <c r="D2030" t="s">
        <v>35</v>
      </c>
      <c r="E2030" t="s">
        <v>45</v>
      </c>
      <c r="F2030" s="1">
        <v>42492</v>
      </c>
      <c r="G2030" s="1">
        <v>42492</v>
      </c>
      <c r="H2030" t="s">
        <v>30</v>
      </c>
      <c r="I2030">
        <v>0</v>
      </c>
      <c r="J2030" t="s">
        <v>111</v>
      </c>
      <c r="K2030">
        <v>0</v>
      </c>
      <c r="L2030">
        <v>0</v>
      </c>
      <c r="M2030">
        <v>0</v>
      </c>
      <c r="N2030">
        <v>1</v>
      </c>
      <c r="O2030">
        <v>0</v>
      </c>
      <c r="P2030">
        <v>0</v>
      </c>
      <c r="Q2030" t="s">
        <v>23</v>
      </c>
      <c r="R2030">
        <v>0</v>
      </c>
    </row>
    <row r="2031" spans="1:18">
      <c r="A2031" s="4">
        <v>8831790000000</v>
      </c>
      <c r="B2031" t="s">
        <v>28</v>
      </c>
      <c r="C2031">
        <v>88</v>
      </c>
      <c r="D2031" t="s">
        <v>19</v>
      </c>
      <c r="E2031" t="s">
        <v>50</v>
      </c>
      <c r="F2031" s="1">
        <v>42492</v>
      </c>
      <c r="G2031" s="1">
        <v>42493</v>
      </c>
      <c r="H2031" t="s">
        <v>41</v>
      </c>
      <c r="I2031">
        <v>1</v>
      </c>
      <c r="J2031" t="s">
        <v>109</v>
      </c>
      <c r="K2031">
        <v>0</v>
      </c>
      <c r="L2031">
        <v>1</v>
      </c>
      <c r="M2031">
        <v>0</v>
      </c>
      <c r="N2031">
        <v>0</v>
      </c>
      <c r="O2031">
        <v>0</v>
      </c>
      <c r="P2031">
        <v>0</v>
      </c>
      <c r="Q2031" t="s">
        <v>23</v>
      </c>
      <c r="R2031">
        <v>0</v>
      </c>
    </row>
    <row r="2032" spans="1:18">
      <c r="A2032" s="4">
        <v>69237700000000</v>
      </c>
      <c r="B2032" t="s">
        <v>18</v>
      </c>
      <c r="C2032">
        <v>37</v>
      </c>
      <c r="D2032" t="s">
        <v>27</v>
      </c>
      <c r="E2032" t="s">
        <v>72</v>
      </c>
      <c r="F2032" s="1">
        <v>42492</v>
      </c>
      <c r="G2032" s="1">
        <v>42493</v>
      </c>
      <c r="H2032" t="s">
        <v>41</v>
      </c>
      <c r="I2032">
        <v>1</v>
      </c>
      <c r="J2032" t="s">
        <v>109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23</v>
      </c>
      <c r="R2032">
        <v>0</v>
      </c>
    </row>
    <row r="2033" spans="1:18">
      <c r="A2033" s="4">
        <v>26723400000000</v>
      </c>
      <c r="B2033" t="s">
        <v>28</v>
      </c>
      <c r="C2033">
        <v>0</v>
      </c>
      <c r="D2033" t="s">
        <v>31</v>
      </c>
      <c r="E2033" t="s">
        <v>106</v>
      </c>
      <c r="F2033" s="1">
        <v>42492</v>
      </c>
      <c r="G2033" s="1">
        <v>42492</v>
      </c>
      <c r="H2033" t="s">
        <v>30</v>
      </c>
      <c r="I2033">
        <v>0</v>
      </c>
      <c r="J2033" t="s">
        <v>111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23</v>
      </c>
      <c r="R2033">
        <v>0</v>
      </c>
    </row>
    <row r="2034" spans="1:18">
      <c r="A2034" s="4">
        <v>6122250000000</v>
      </c>
      <c r="B2034" t="s">
        <v>18</v>
      </c>
      <c r="C2034">
        <v>65</v>
      </c>
      <c r="D2034" t="s">
        <v>35</v>
      </c>
      <c r="E2034" t="s">
        <v>51</v>
      </c>
      <c r="F2034" s="1">
        <v>42492</v>
      </c>
      <c r="G2034" s="1">
        <v>42492</v>
      </c>
      <c r="H2034" t="s">
        <v>30</v>
      </c>
      <c r="I2034">
        <v>0</v>
      </c>
      <c r="J2034" t="s">
        <v>111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23</v>
      </c>
      <c r="R2034">
        <v>0</v>
      </c>
    </row>
    <row r="2035" spans="1:18">
      <c r="A2035" s="4">
        <v>684640000000000</v>
      </c>
      <c r="B2035" t="s">
        <v>18</v>
      </c>
      <c r="C2035">
        <v>38</v>
      </c>
      <c r="D2035" t="s">
        <v>27</v>
      </c>
      <c r="E2035" t="s">
        <v>80</v>
      </c>
      <c r="F2035" s="1">
        <v>42492</v>
      </c>
      <c r="G2035" s="1">
        <v>42492</v>
      </c>
      <c r="H2035" t="s">
        <v>30</v>
      </c>
      <c r="I2035">
        <v>0</v>
      </c>
      <c r="J2035" t="s">
        <v>111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23</v>
      </c>
      <c r="R2035">
        <v>0</v>
      </c>
    </row>
    <row r="2036" spans="1:18">
      <c r="A2036" s="4">
        <v>3757320000000</v>
      </c>
      <c r="B2036" t="s">
        <v>18</v>
      </c>
      <c r="C2036">
        <v>80</v>
      </c>
      <c r="D2036" t="s">
        <v>19</v>
      </c>
      <c r="E2036" t="s">
        <v>39</v>
      </c>
      <c r="F2036" s="1">
        <v>42492</v>
      </c>
      <c r="G2036" s="1">
        <v>42494</v>
      </c>
      <c r="H2036" t="s">
        <v>25</v>
      </c>
      <c r="I2036">
        <v>2</v>
      </c>
      <c r="J2036" t="s">
        <v>109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23</v>
      </c>
      <c r="R2036">
        <v>0</v>
      </c>
    </row>
    <row r="2037" spans="1:18">
      <c r="A2037" s="4">
        <v>217366000000000</v>
      </c>
      <c r="B2037" t="s">
        <v>28</v>
      </c>
      <c r="C2037">
        <v>16</v>
      </c>
      <c r="D2037" t="s">
        <v>60</v>
      </c>
      <c r="E2037" t="s">
        <v>48</v>
      </c>
      <c r="F2037" s="1">
        <v>42492</v>
      </c>
      <c r="G2037" s="1">
        <v>42493</v>
      </c>
      <c r="H2037" t="s">
        <v>41</v>
      </c>
      <c r="I2037">
        <v>1</v>
      </c>
      <c r="J2037" t="s">
        <v>109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23</v>
      </c>
      <c r="R2037">
        <v>0</v>
      </c>
    </row>
    <row r="2038" spans="1:18">
      <c r="A2038" s="4">
        <v>434236000000000</v>
      </c>
      <c r="B2038" t="s">
        <v>18</v>
      </c>
      <c r="C2038">
        <v>49</v>
      </c>
      <c r="D2038" t="s">
        <v>27</v>
      </c>
      <c r="E2038" t="s">
        <v>40</v>
      </c>
      <c r="F2038" s="1">
        <v>42492</v>
      </c>
      <c r="G2038" s="1">
        <v>42520</v>
      </c>
      <c r="H2038" t="s">
        <v>30</v>
      </c>
      <c r="I2038">
        <v>28</v>
      </c>
      <c r="J2038" t="s">
        <v>77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1</v>
      </c>
      <c r="Q2038" t="s">
        <v>23</v>
      </c>
      <c r="R2038">
        <v>0</v>
      </c>
    </row>
    <row r="2039" spans="1:18">
      <c r="A2039" s="4">
        <v>92293900000000</v>
      </c>
      <c r="B2039" t="s">
        <v>18</v>
      </c>
      <c r="C2039">
        <v>73</v>
      </c>
      <c r="D2039" t="s">
        <v>19</v>
      </c>
      <c r="E2039" t="s">
        <v>75</v>
      </c>
      <c r="F2039" s="1">
        <v>42492</v>
      </c>
      <c r="G2039" s="1">
        <v>42514</v>
      </c>
      <c r="H2039" t="s">
        <v>41</v>
      </c>
      <c r="I2039">
        <v>22</v>
      </c>
      <c r="J2039" t="s">
        <v>77</v>
      </c>
      <c r="K2039">
        <v>0</v>
      </c>
      <c r="L2039">
        <v>1</v>
      </c>
      <c r="M2039">
        <v>0</v>
      </c>
      <c r="N2039">
        <v>0</v>
      </c>
      <c r="O2039">
        <v>1</v>
      </c>
      <c r="P2039">
        <v>0</v>
      </c>
      <c r="Q2039" t="s">
        <v>26</v>
      </c>
      <c r="R2039">
        <v>1</v>
      </c>
    </row>
    <row r="2040" spans="1:18">
      <c r="A2040" s="4">
        <v>53622200000000</v>
      </c>
      <c r="B2040" t="s">
        <v>18</v>
      </c>
      <c r="C2040">
        <v>71</v>
      </c>
      <c r="D2040" t="s">
        <v>19</v>
      </c>
      <c r="E2040" t="s">
        <v>40</v>
      </c>
      <c r="F2040" s="1">
        <v>42492</v>
      </c>
      <c r="G2040" s="1">
        <v>42492</v>
      </c>
      <c r="H2040" t="s">
        <v>30</v>
      </c>
      <c r="I2040">
        <v>0</v>
      </c>
      <c r="J2040" t="s">
        <v>111</v>
      </c>
      <c r="K2040">
        <v>0</v>
      </c>
      <c r="L2040">
        <v>1</v>
      </c>
      <c r="M2040">
        <v>0</v>
      </c>
      <c r="N2040">
        <v>0</v>
      </c>
      <c r="O2040">
        <v>0</v>
      </c>
      <c r="P2040">
        <v>0</v>
      </c>
      <c r="Q2040" t="s">
        <v>23</v>
      </c>
      <c r="R2040">
        <v>0</v>
      </c>
    </row>
    <row r="2041" spans="1:18">
      <c r="A2041" s="4">
        <v>7472860000000</v>
      </c>
      <c r="B2041" t="s">
        <v>18</v>
      </c>
      <c r="C2041">
        <v>44</v>
      </c>
      <c r="D2041" t="s">
        <v>27</v>
      </c>
      <c r="E2041" t="s">
        <v>67</v>
      </c>
      <c r="F2041" s="1">
        <v>42492</v>
      </c>
      <c r="G2041" s="1">
        <v>42509</v>
      </c>
      <c r="H2041" t="s">
        <v>33</v>
      </c>
      <c r="I2041">
        <v>17</v>
      </c>
      <c r="J2041" t="s">
        <v>77</v>
      </c>
      <c r="K2041">
        <v>1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26</v>
      </c>
      <c r="R2041">
        <v>1</v>
      </c>
    </row>
    <row r="2042" spans="1:18">
      <c r="A2042" s="4">
        <v>567139000000000</v>
      </c>
      <c r="B2042" t="s">
        <v>18</v>
      </c>
      <c r="C2042">
        <v>60</v>
      </c>
      <c r="D2042" t="s">
        <v>35</v>
      </c>
      <c r="E2042" t="s">
        <v>91</v>
      </c>
      <c r="F2042" s="1">
        <v>42492</v>
      </c>
      <c r="G2042" s="1">
        <v>42494</v>
      </c>
      <c r="H2042" t="s">
        <v>25</v>
      </c>
      <c r="I2042">
        <v>2</v>
      </c>
      <c r="J2042" t="s">
        <v>109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23</v>
      </c>
      <c r="R2042">
        <v>0</v>
      </c>
    </row>
    <row r="2043" spans="1:18">
      <c r="A2043" s="4">
        <v>7611823977</v>
      </c>
      <c r="B2043" t="s">
        <v>28</v>
      </c>
      <c r="C2043">
        <v>77</v>
      </c>
      <c r="D2043" t="s">
        <v>19</v>
      </c>
      <c r="E2043" t="s">
        <v>72</v>
      </c>
      <c r="F2043" s="1">
        <v>42492</v>
      </c>
      <c r="G2043" s="1">
        <v>42492</v>
      </c>
      <c r="H2043" t="s">
        <v>30</v>
      </c>
      <c r="I2043">
        <v>0</v>
      </c>
      <c r="J2043" t="s">
        <v>111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23</v>
      </c>
      <c r="R2043">
        <v>0</v>
      </c>
    </row>
    <row r="2044" spans="1:18">
      <c r="A2044" s="4">
        <v>954598000000000</v>
      </c>
      <c r="B2044" t="s">
        <v>28</v>
      </c>
      <c r="C2044">
        <v>29</v>
      </c>
      <c r="D2044" t="s">
        <v>37</v>
      </c>
      <c r="E2044" t="s">
        <v>39</v>
      </c>
      <c r="F2044" s="1">
        <v>42492</v>
      </c>
      <c r="G2044" s="1">
        <v>42492</v>
      </c>
      <c r="H2044" t="s">
        <v>30</v>
      </c>
      <c r="I2044">
        <v>0</v>
      </c>
      <c r="J2044" t="s">
        <v>111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23</v>
      </c>
      <c r="R2044">
        <v>0</v>
      </c>
    </row>
    <row r="2045" spans="1:18">
      <c r="A2045" s="4">
        <v>7637660000000</v>
      </c>
      <c r="B2045" t="s">
        <v>28</v>
      </c>
      <c r="C2045">
        <v>7</v>
      </c>
      <c r="D2045" t="s">
        <v>31</v>
      </c>
      <c r="E2045" t="s">
        <v>45</v>
      </c>
      <c r="F2045" s="1">
        <v>42492</v>
      </c>
      <c r="G2045" s="1">
        <v>42524</v>
      </c>
      <c r="H2045" t="s">
        <v>21</v>
      </c>
      <c r="I2045">
        <v>32</v>
      </c>
      <c r="J2045" t="s">
        <v>22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</v>
      </c>
      <c r="Q2045" t="s">
        <v>26</v>
      </c>
      <c r="R2045">
        <v>1</v>
      </c>
    </row>
    <row r="2046" spans="1:18">
      <c r="A2046" s="4">
        <v>55276200000000</v>
      </c>
      <c r="B2046" t="s">
        <v>18</v>
      </c>
      <c r="C2046">
        <v>34</v>
      </c>
      <c r="D2046" t="s">
        <v>37</v>
      </c>
      <c r="E2046" t="s">
        <v>44</v>
      </c>
      <c r="F2046" s="1">
        <v>42492</v>
      </c>
      <c r="G2046" s="1">
        <v>42499</v>
      </c>
      <c r="H2046" t="s">
        <v>30</v>
      </c>
      <c r="I2046">
        <v>7</v>
      </c>
      <c r="J2046" t="s">
        <v>107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26</v>
      </c>
      <c r="R2046">
        <v>1</v>
      </c>
    </row>
    <row r="2047" spans="1:18">
      <c r="A2047" s="4">
        <v>18825700000000</v>
      </c>
      <c r="B2047" t="s">
        <v>28</v>
      </c>
      <c r="C2047">
        <v>58</v>
      </c>
      <c r="D2047" t="s">
        <v>35</v>
      </c>
      <c r="E2047" t="s">
        <v>40</v>
      </c>
      <c r="F2047" s="1">
        <v>42492</v>
      </c>
      <c r="G2047" s="1">
        <v>42528</v>
      </c>
      <c r="H2047" t="s">
        <v>41</v>
      </c>
      <c r="I2047">
        <v>36</v>
      </c>
      <c r="J2047" t="s">
        <v>22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1</v>
      </c>
      <c r="Q2047" t="s">
        <v>23</v>
      </c>
      <c r="R2047">
        <v>0</v>
      </c>
    </row>
    <row r="2048" spans="1:18">
      <c r="A2048" s="4">
        <v>118991000000000</v>
      </c>
      <c r="B2048" t="s">
        <v>18</v>
      </c>
      <c r="C2048">
        <v>21</v>
      </c>
      <c r="D2048" t="s">
        <v>37</v>
      </c>
      <c r="E2048" t="s">
        <v>40</v>
      </c>
      <c r="F2048" s="1">
        <v>42492</v>
      </c>
      <c r="G2048" s="1">
        <v>42524</v>
      </c>
      <c r="H2048" t="s">
        <v>21</v>
      </c>
      <c r="I2048">
        <v>32</v>
      </c>
      <c r="J2048" t="s">
        <v>22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1</v>
      </c>
      <c r="Q2048" t="s">
        <v>26</v>
      </c>
      <c r="R2048">
        <v>1</v>
      </c>
    </row>
    <row r="2049" spans="1:18">
      <c r="A2049" s="4">
        <v>45239200000000</v>
      </c>
      <c r="B2049" t="s">
        <v>18</v>
      </c>
      <c r="C2049">
        <v>68</v>
      </c>
      <c r="D2049" t="s">
        <v>19</v>
      </c>
      <c r="E2049" t="s">
        <v>72</v>
      </c>
      <c r="F2049" s="1">
        <v>42492</v>
      </c>
      <c r="G2049" s="1">
        <v>42496</v>
      </c>
      <c r="H2049" t="s">
        <v>21</v>
      </c>
      <c r="I2049">
        <v>4</v>
      </c>
      <c r="J2049" t="s">
        <v>107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1</v>
      </c>
      <c r="Q2049" t="s">
        <v>23</v>
      </c>
      <c r="R2049">
        <v>0</v>
      </c>
    </row>
    <row r="2050" spans="1:18">
      <c r="A2050" s="4">
        <v>879847000000</v>
      </c>
      <c r="B2050" t="s">
        <v>18</v>
      </c>
      <c r="C2050">
        <v>22</v>
      </c>
      <c r="D2050" t="s">
        <v>37</v>
      </c>
      <c r="E2050" t="s">
        <v>39</v>
      </c>
      <c r="F2050" s="1">
        <v>42492</v>
      </c>
      <c r="G2050" s="1">
        <v>42501</v>
      </c>
      <c r="H2050" t="s">
        <v>25</v>
      </c>
      <c r="I2050">
        <v>9</v>
      </c>
      <c r="J2050" t="s">
        <v>92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1</v>
      </c>
      <c r="Q2050" t="s">
        <v>26</v>
      </c>
      <c r="R2050">
        <v>1</v>
      </c>
    </row>
    <row r="2051" spans="1:18">
      <c r="A2051" s="4">
        <v>25186700000000</v>
      </c>
      <c r="B2051" t="s">
        <v>18</v>
      </c>
      <c r="C2051">
        <v>56</v>
      </c>
      <c r="D2051" t="s">
        <v>35</v>
      </c>
      <c r="E2051" t="s">
        <v>67</v>
      </c>
      <c r="F2051" s="1">
        <v>42492</v>
      </c>
      <c r="G2051" s="1">
        <v>42508</v>
      </c>
      <c r="H2051" t="s">
        <v>25</v>
      </c>
      <c r="I2051">
        <v>16</v>
      </c>
      <c r="J2051" t="s">
        <v>77</v>
      </c>
      <c r="K2051">
        <v>1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23</v>
      </c>
      <c r="R2051">
        <v>0</v>
      </c>
    </row>
    <row r="2052" spans="1:18">
      <c r="A2052" s="4">
        <v>3664860000000</v>
      </c>
      <c r="B2052" t="s">
        <v>18</v>
      </c>
      <c r="C2052">
        <v>20</v>
      </c>
      <c r="D2052" t="s">
        <v>37</v>
      </c>
      <c r="E2052" t="s">
        <v>34</v>
      </c>
      <c r="F2052" s="1">
        <v>42492</v>
      </c>
      <c r="G2052" s="1">
        <v>42494</v>
      </c>
      <c r="H2052" t="s">
        <v>25</v>
      </c>
      <c r="I2052">
        <v>2</v>
      </c>
      <c r="J2052" t="s">
        <v>109</v>
      </c>
      <c r="K2052">
        <v>1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23</v>
      </c>
      <c r="R2052">
        <v>0</v>
      </c>
    </row>
    <row r="2053" spans="1:18">
      <c r="A2053" s="4">
        <v>54494700000000</v>
      </c>
      <c r="B2053" t="s">
        <v>28</v>
      </c>
      <c r="C2053">
        <v>66</v>
      </c>
      <c r="D2053" t="s">
        <v>19</v>
      </c>
      <c r="E2053" t="s">
        <v>68</v>
      </c>
      <c r="F2053" s="1">
        <v>42492</v>
      </c>
      <c r="G2053" s="1">
        <v>42492</v>
      </c>
      <c r="H2053" t="s">
        <v>30</v>
      </c>
      <c r="I2053">
        <v>0</v>
      </c>
      <c r="J2053" t="s">
        <v>111</v>
      </c>
      <c r="K2053">
        <v>0</v>
      </c>
      <c r="L2053">
        <v>1</v>
      </c>
      <c r="M2053">
        <v>1</v>
      </c>
      <c r="N2053">
        <v>0</v>
      </c>
      <c r="O2053">
        <v>0</v>
      </c>
      <c r="P2053">
        <v>0</v>
      </c>
      <c r="Q2053" t="s">
        <v>23</v>
      </c>
      <c r="R2053">
        <v>0</v>
      </c>
    </row>
    <row r="2054" spans="1:18">
      <c r="A2054" s="4">
        <v>81372600000000</v>
      </c>
      <c r="B2054" t="s">
        <v>18</v>
      </c>
      <c r="C2054">
        <v>67</v>
      </c>
      <c r="D2054" t="s">
        <v>19</v>
      </c>
      <c r="E2054" t="s">
        <v>48</v>
      </c>
      <c r="F2054" s="1">
        <v>42492</v>
      </c>
      <c r="G2054" s="1">
        <v>42494</v>
      </c>
      <c r="H2054" t="s">
        <v>25</v>
      </c>
      <c r="I2054">
        <v>2</v>
      </c>
      <c r="J2054" t="s">
        <v>109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23</v>
      </c>
      <c r="R2054">
        <v>0</v>
      </c>
    </row>
    <row r="2055" spans="1:18">
      <c r="A2055" s="4">
        <v>2739850000000</v>
      </c>
      <c r="B2055" t="s">
        <v>18</v>
      </c>
      <c r="C2055">
        <v>70</v>
      </c>
      <c r="D2055" t="s">
        <v>19</v>
      </c>
      <c r="E2055" t="s">
        <v>76</v>
      </c>
      <c r="F2055" s="1">
        <v>42492</v>
      </c>
      <c r="G2055" s="1">
        <v>42494</v>
      </c>
      <c r="H2055" t="s">
        <v>25</v>
      </c>
      <c r="I2055">
        <v>2</v>
      </c>
      <c r="J2055" t="s">
        <v>109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23</v>
      </c>
      <c r="R2055">
        <v>0</v>
      </c>
    </row>
    <row r="2056" spans="1:18">
      <c r="A2056" s="4">
        <v>9899670000000</v>
      </c>
      <c r="B2056" t="s">
        <v>28</v>
      </c>
      <c r="C2056">
        <v>49</v>
      </c>
      <c r="D2056" t="s">
        <v>27</v>
      </c>
      <c r="E2056" t="s">
        <v>57</v>
      </c>
      <c r="F2056" s="1">
        <v>42492</v>
      </c>
      <c r="G2056" s="1">
        <v>42494</v>
      </c>
      <c r="H2056" t="s">
        <v>25</v>
      </c>
      <c r="I2056">
        <v>2</v>
      </c>
      <c r="J2056" t="s">
        <v>109</v>
      </c>
      <c r="K2056">
        <v>0</v>
      </c>
      <c r="L2056">
        <v>1</v>
      </c>
      <c r="M2056">
        <v>0</v>
      </c>
      <c r="N2056">
        <v>1</v>
      </c>
      <c r="O2056">
        <v>0</v>
      </c>
      <c r="P2056">
        <v>0</v>
      </c>
      <c r="Q2056" t="s">
        <v>23</v>
      </c>
      <c r="R2056">
        <v>0</v>
      </c>
    </row>
    <row r="2057" spans="1:18">
      <c r="A2057" s="4">
        <v>37825800000000</v>
      </c>
      <c r="B2057" t="s">
        <v>28</v>
      </c>
      <c r="C2057">
        <v>2</v>
      </c>
      <c r="D2057" t="s">
        <v>31</v>
      </c>
      <c r="E2057" t="s">
        <v>106</v>
      </c>
      <c r="F2057" s="1">
        <v>42492</v>
      </c>
      <c r="G2057" s="1">
        <v>42499</v>
      </c>
      <c r="H2057" t="s">
        <v>30</v>
      </c>
      <c r="I2057">
        <v>7</v>
      </c>
      <c r="J2057" t="s">
        <v>107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23</v>
      </c>
      <c r="R2057">
        <v>0</v>
      </c>
    </row>
    <row r="2058" spans="1:18">
      <c r="A2058" s="4">
        <v>36226000000000</v>
      </c>
      <c r="B2058" t="s">
        <v>28</v>
      </c>
      <c r="C2058">
        <v>50</v>
      </c>
      <c r="D2058" t="s">
        <v>27</v>
      </c>
      <c r="E2058" t="s">
        <v>88</v>
      </c>
      <c r="F2058" s="1">
        <v>42492</v>
      </c>
      <c r="G2058" s="1">
        <v>42494</v>
      </c>
      <c r="H2058" t="s">
        <v>25</v>
      </c>
      <c r="I2058">
        <v>2</v>
      </c>
      <c r="J2058" t="s">
        <v>109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23</v>
      </c>
      <c r="R2058">
        <v>0</v>
      </c>
    </row>
    <row r="2059" spans="1:18">
      <c r="A2059" s="4">
        <v>98779700000000</v>
      </c>
      <c r="B2059" t="s">
        <v>18</v>
      </c>
      <c r="C2059">
        <v>31</v>
      </c>
      <c r="D2059" t="s">
        <v>37</v>
      </c>
      <c r="E2059" t="s">
        <v>106</v>
      </c>
      <c r="F2059" s="1">
        <v>42492</v>
      </c>
      <c r="G2059" s="1">
        <v>42506</v>
      </c>
      <c r="H2059" t="s">
        <v>30</v>
      </c>
      <c r="I2059">
        <v>14</v>
      </c>
      <c r="J2059" t="s">
        <v>92</v>
      </c>
      <c r="K2059">
        <v>1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23</v>
      </c>
      <c r="R2059">
        <v>0</v>
      </c>
    </row>
    <row r="2060" spans="1:18">
      <c r="A2060" s="4">
        <v>69963800000000</v>
      </c>
      <c r="B2060" t="s">
        <v>18</v>
      </c>
      <c r="C2060">
        <v>55</v>
      </c>
      <c r="D2060" t="s">
        <v>35</v>
      </c>
      <c r="E2060" t="s">
        <v>39</v>
      </c>
      <c r="F2060" s="1">
        <v>42492</v>
      </c>
      <c r="G2060" s="1">
        <v>42494</v>
      </c>
      <c r="H2060" t="s">
        <v>25</v>
      </c>
      <c r="I2060">
        <v>2</v>
      </c>
      <c r="J2060" t="s">
        <v>109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23</v>
      </c>
      <c r="R2060">
        <v>0</v>
      </c>
    </row>
    <row r="2061" spans="1:18">
      <c r="A2061" s="4">
        <v>8517740000000</v>
      </c>
      <c r="B2061" t="s">
        <v>18</v>
      </c>
      <c r="C2061">
        <v>15</v>
      </c>
      <c r="D2061" t="s">
        <v>60</v>
      </c>
      <c r="E2061" t="s">
        <v>45</v>
      </c>
      <c r="F2061" s="1">
        <v>42492</v>
      </c>
      <c r="G2061" s="1">
        <v>42494</v>
      </c>
      <c r="H2061" t="s">
        <v>25</v>
      </c>
      <c r="I2061">
        <v>2</v>
      </c>
      <c r="J2061" t="s">
        <v>109</v>
      </c>
      <c r="K2061">
        <v>1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23</v>
      </c>
      <c r="R2061">
        <v>0</v>
      </c>
    </row>
    <row r="2062" spans="1:18">
      <c r="A2062" s="4">
        <v>38899500000000</v>
      </c>
      <c r="B2062" t="s">
        <v>18</v>
      </c>
      <c r="C2062">
        <v>68</v>
      </c>
      <c r="D2062" t="s">
        <v>19</v>
      </c>
      <c r="E2062" t="s">
        <v>105</v>
      </c>
      <c r="F2062" s="1">
        <v>42492</v>
      </c>
      <c r="G2062" s="1">
        <v>42494</v>
      </c>
      <c r="H2062" t="s">
        <v>25</v>
      </c>
      <c r="I2062">
        <v>2</v>
      </c>
      <c r="J2062" t="s">
        <v>109</v>
      </c>
      <c r="K2062">
        <v>0</v>
      </c>
      <c r="L2062">
        <v>1</v>
      </c>
      <c r="M2062">
        <v>1</v>
      </c>
      <c r="N2062">
        <v>0</v>
      </c>
      <c r="O2062">
        <v>0</v>
      </c>
      <c r="P2062">
        <v>0</v>
      </c>
      <c r="Q2062" t="s">
        <v>23</v>
      </c>
      <c r="R2062">
        <v>0</v>
      </c>
    </row>
    <row r="2063" spans="1:18">
      <c r="A2063" s="4">
        <v>151111000000</v>
      </c>
      <c r="B2063" t="s">
        <v>18</v>
      </c>
      <c r="C2063">
        <v>22</v>
      </c>
      <c r="D2063" t="s">
        <v>37</v>
      </c>
      <c r="E2063" t="s">
        <v>57</v>
      </c>
      <c r="F2063" s="1">
        <v>42492</v>
      </c>
      <c r="G2063" s="1">
        <v>42492</v>
      </c>
      <c r="H2063" t="s">
        <v>30</v>
      </c>
      <c r="I2063">
        <v>0</v>
      </c>
      <c r="J2063" t="s">
        <v>111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23</v>
      </c>
      <c r="R2063">
        <v>0</v>
      </c>
    </row>
    <row r="2064" spans="1:18">
      <c r="A2064" s="4">
        <v>659837000000000</v>
      </c>
      <c r="B2064" t="s">
        <v>28</v>
      </c>
      <c r="C2064">
        <v>27</v>
      </c>
      <c r="D2064" t="s">
        <v>37</v>
      </c>
      <c r="E2064" t="s">
        <v>51</v>
      </c>
      <c r="F2064" s="1">
        <v>42492</v>
      </c>
      <c r="G2064" s="1">
        <v>42492</v>
      </c>
      <c r="H2064" t="s">
        <v>30</v>
      </c>
      <c r="I2064">
        <v>0</v>
      </c>
      <c r="J2064" t="s">
        <v>111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23</v>
      </c>
      <c r="R2064">
        <v>0</v>
      </c>
    </row>
    <row r="2065" spans="1:18">
      <c r="A2065" s="4">
        <v>817677000000000</v>
      </c>
      <c r="B2065" t="s">
        <v>18</v>
      </c>
      <c r="C2065">
        <v>58</v>
      </c>
      <c r="D2065" t="s">
        <v>35</v>
      </c>
      <c r="E2065" t="s">
        <v>29</v>
      </c>
      <c r="F2065" s="1">
        <v>42492</v>
      </c>
      <c r="G2065" s="1">
        <v>42510</v>
      </c>
      <c r="H2065" t="s">
        <v>21</v>
      </c>
      <c r="I2065">
        <v>18</v>
      </c>
      <c r="J2065" t="s">
        <v>77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26</v>
      </c>
      <c r="R2065">
        <v>1</v>
      </c>
    </row>
    <row r="2066" spans="1:18">
      <c r="A2066" s="4">
        <v>817677000000000</v>
      </c>
      <c r="B2066" t="s">
        <v>18</v>
      </c>
      <c r="C2066">
        <v>58</v>
      </c>
      <c r="D2066" t="s">
        <v>35</v>
      </c>
      <c r="E2066" t="s">
        <v>29</v>
      </c>
      <c r="F2066" s="1">
        <v>42492</v>
      </c>
      <c r="G2066" s="1">
        <v>42510</v>
      </c>
      <c r="H2066" t="s">
        <v>21</v>
      </c>
      <c r="I2066">
        <v>18</v>
      </c>
      <c r="J2066" t="s">
        <v>77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26</v>
      </c>
      <c r="R2066">
        <v>1</v>
      </c>
    </row>
    <row r="2067" spans="1:18">
      <c r="A2067" s="4">
        <v>4778130000000</v>
      </c>
      <c r="B2067" t="s">
        <v>28</v>
      </c>
      <c r="C2067">
        <v>19</v>
      </c>
      <c r="D2067" t="s">
        <v>37</v>
      </c>
      <c r="E2067" t="s">
        <v>78</v>
      </c>
      <c r="F2067" s="1">
        <v>42492</v>
      </c>
      <c r="G2067" s="1">
        <v>42492</v>
      </c>
      <c r="H2067" t="s">
        <v>30</v>
      </c>
      <c r="I2067">
        <v>0</v>
      </c>
      <c r="J2067" t="s">
        <v>111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23</v>
      </c>
      <c r="R2067">
        <v>0</v>
      </c>
    </row>
    <row r="2068" spans="1:18">
      <c r="A2068" s="4">
        <v>15832800000000</v>
      </c>
      <c r="B2068" t="s">
        <v>18</v>
      </c>
      <c r="C2068">
        <v>40</v>
      </c>
      <c r="D2068" t="s">
        <v>27</v>
      </c>
      <c r="E2068" t="s">
        <v>32</v>
      </c>
      <c r="F2068" s="1">
        <v>42492</v>
      </c>
      <c r="G2068" s="1">
        <v>42492</v>
      </c>
      <c r="H2068" t="s">
        <v>30</v>
      </c>
      <c r="I2068">
        <v>0</v>
      </c>
      <c r="J2068" t="s">
        <v>111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23</v>
      </c>
      <c r="R2068">
        <v>0</v>
      </c>
    </row>
    <row r="2069" spans="1:18">
      <c r="A2069" s="4">
        <v>9851770000000</v>
      </c>
      <c r="B2069" t="s">
        <v>28</v>
      </c>
      <c r="C2069">
        <v>23</v>
      </c>
      <c r="D2069" t="s">
        <v>37</v>
      </c>
      <c r="E2069" t="s">
        <v>45</v>
      </c>
      <c r="F2069" s="1">
        <v>42492</v>
      </c>
      <c r="G2069" s="1">
        <v>42520</v>
      </c>
      <c r="H2069" t="s">
        <v>30</v>
      </c>
      <c r="I2069">
        <v>28</v>
      </c>
      <c r="J2069" t="s">
        <v>77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26</v>
      </c>
      <c r="R2069">
        <v>1</v>
      </c>
    </row>
    <row r="2070" spans="1:18">
      <c r="A2070" s="4">
        <v>652228000000</v>
      </c>
      <c r="B2070" t="s">
        <v>18</v>
      </c>
      <c r="C2070">
        <v>69</v>
      </c>
      <c r="D2070" t="s">
        <v>19</v>
      </c>
      <c r="E2070" t="s">
        <v>39</v>
      </c>
      <c r="F2070" s="1">
        <v>42492</v>
      </c>
      <c r="G2070" s="1">
        <v>42492</v>
      </c>
      <c r="H2070" t="s">
        <v>30</v>
      </c>
      <c r="I2070">
        <v>0</v>
      </c>
      <c r="J2070" t="s">
        <v>111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0</v>
      </c>
      <c r="Q2070" t="s">
        <v>23</v>
      </c>
      <c r="R2070">
        <v>0</v>
      </c>
    </row>
    <row r="2071" spans="1:18">
      <c r="A2071" s="4">
        <v>45269300000000</v>
      </c>
      <c r="B2071" t="s">
        <v>28</v>
      </c>
      <c r="C2071">
        <v>30</v>
      </c>
      <c r="D2071" t="s">
        <v>37</v>
      </c>
      <c r="E2071" t="s">
        <v>66</v>
      </c>
      <c r="F2071" s="1">
        <v>42492</v>
      </c>
      <c r="G2071" s="1">
        <v>42499</v>
      </c>
      <c r="H2071" t="s">
        <v>30</v>
      </c>
      <c r="I2071">
        <v>7</v>
      </c>
      <c r="J2071" t="s">
        <v>107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23</v>
      </c>
      <c r="R2071">
        <v>0</v>
      </c>
    </row>
    <row r="2072" spans="1:18">
      <c r="A2072" s="4">
        <v>272616000000000</v>
      </c>
      <c r="B2072" t="s">
        <v>18</v>
      </c>
      <c r="C2072">
        <v>6</v>
      </c>
      <c r="D2072" t="s">
        <v>31</v>
      </c>
      <c r="E2072" t="s">
        <v>53</v>
      </c>
      <c r="F2072" s="1">
        <v>42492</v>
      </c>
      <c r="G2072" s="1">
        <v>42506</v>
      </c>
      <c r="H2072" t="s">
        <v>30</v>
      </c>
      <c r="I2072">
        <v>14</v>
      </c>
      <c r="J2072" t="s">
        <v>92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26</v>
      </c>
      <c r="R2072">
        <v>1</v>
      </c>
    </row>
    <row r="2073" spans="1:18">
      <c r="A2073" s="4">
        <v>39674000000000</v>
      </c>
      <c r="B2073" t="s">
        <v>18</v>
      </c>
      <c r="C2073">
        <v>28</v>
      </c>
      <c r="D2073" t="s">
        <v>37</v>
      </c>
      <c r="E2073" t="s">
        <v>78</v>
      </c>
      <c r="F2073" s="1">
        <v>42492</v>
      </c>
      <c r="G2073" s="1">
        <v>42503</v>
      </c>
      <c r="H2073" t="s">
        <v>21</v>
      </c>
      <c r="I2073">
        <v>11</v>
      </c>
      <c r="J2073" t="s">
        <v>92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26</v>
      </c>
      <c r="R2073">
        <v>1</v>
      </c>
    </row>
    <row r="2074" spans="1:18">
      <c r="A2074" s="4">
        <v>21461400000000</v>
      </c>
      <c r="B2074" t="s">
        <v>18</v>
      </c>
      <c r="C2074">
        <v>15</v>
      </c>
      <c r="D2074" t="s">
        <v>60</v>
      </c>
      <c r="E2074" t="s">
        <v>75</v>
      </c>
      <c r="F2074" s="1">
        <v>42492</v>
      </c>
      <c r="G2074" s="1">
        <v>42492</v>
      </c>
      <c r="H2074" t="s">
        <v>30</v>
      </c>
      <c r="I2074">
        <v>0</v>
      </c>
      <c r="J2074" t="s">
        <v>111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23</v>
      </c>
      <c r="R2074">
        <v>0</v>
      </c>
    </row>
    <row r="2075" spans="1:18">
      <c r="A2075" s="4">
        <v>57145300000000</v>
      </c>
      <c r="B2075" t="s">
        <v>28</v>
      </c>
      <c r="C2075">
        <v>38</v>
      </c>
      <c r="D2075" t="s">
        <v>27</v>
      </c>
      <c r="E2075" t="s">
        <v>67</v>
      </c>
      <c r="F2075" s="1">
        <v>42492</v>
      </c>
      <c r="G2075" s="1">
        <v>42500</v>
      </c>
      <c r="H2075" t="s">
        <v>41</v>
      </c>
      <c r="I2075">
        <v>8</v>
      </c>
      <c r="J2075" t="s">
        <v>92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</v>
      </c>
      <c r="Q2075" t="s">
        <v>23</v>
      </c>
      <c r="R2075">
        <v>0</v>
      </c>
    </row>
    <row r="2076" spans="1:18">
      <c r="A2076" s="4">
        <v>77961100000000</v>
      </c>
      <c r="B2076" t="s">
        <v>18</v>
      </c>
      <c r="C2076">
        <v>36</v>
      </c>
      <c r="D2076" t="s">
        <v>27</v>
      </c>
      <c r="E2076" t="s">
        <v>48</v>
      </c>
      <c r="F2076" s="1">
        <v>42492</v>
      </c>
      <c r="G2076" s="1">
        <v>42499</v>
      </c>
      <c r="H2076" t="s">
        <v>30</v>
      </c>
      <c r="I2076">
        <v>7</v>
      </c>
      <c r="J2076" t="s">
        <v>107</v>
      </c>
      <c r="K2076">
        <v>1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26</v>
      </c>
      <c r="R2076">
        <v>1</v>
      </c>
    </row>
    <row r="2077" spans="1:18">
      <c r="A2077" s="4">
        <v>22841400000000</v>
      </c>
      <c r="B2077" t="s">
        <v>18</v>
      </c>
      <c r="C2077">
        <v>9</v>
      </c>
      <c r="D2077" t="s">
        <v>31</v>
      </c>
      <c r="E2077" t="s">
        <v>69</v>
      </c>
      <c r="F2077" s="1">
        <v>42492</v>
      </c>
      <c r="G2077" s="1">
        <v>42501</v>
      </c>
      <c r="H2077" t="s">
        <v>25</v>
      </c>
      <c r="I2077">
        <v>9</v>
      </c>
      <c r="J2077" t="s">
        <v>92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</v>
      </c>
      <c r="Q2077" t="s">
        <v>23</v>
      </c>
      <c r="R2077">
        <v>0</v>
      </c>
    </row>
    <row r="2078" spans="1:18">
      <c r="A2078" s="4">
        <v>6846940000000</v>
      </c>
      <c r="B2078" t="s">
        <v>18</v>
      </c>
      <c r="C2078">
        <v>36</v>
      </c>
      <c r="D2078" t="s">
        <v>27</v>
      </c>
      <c r="E2078" t="s">
        <v>70</v>
      </c>
      <c r="F2078" s="1">
        <v>42492</v>
      </c>
      <c r="G2078" s="1">
        <v>42503</v>
      </c>
      <c r="H2078" t="s">
        <v>21</v>
      </c>
      <c r="I2078">
        <v>11</v>
      </c>
      <c r="J2078" t="s">
        <v>92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26</v>
      </c>
      <c r="R2078">
        <v>1</v>
      </c>
    </row>
    <row r="2079" spans="1:18">
      <c r="A2079" s="4">
        <v>64994411483</v>
      </c>
      <c r="B2079" t="s">
        <v>18</v>
      </c>
      <c r="C2079">
        <v>0</v>
      </c>
      <c r="D2079" t="s">
        <v>31</v>
      </c>
      <c r="E2079" t="s">
        <v>69</v>
      </c>
      <c r="F2079" s="1">
        <v>42492</v>
      </c>
      <c r="G2079" s="1">
        <v>42492</v>
      </c>
      <c r="H2079" t="s">
        <v>30</v>
      </c>
      <c r="I2079">
        <v>0</v>
      </c>
      <c r="J2079" t="s">
        <v>111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23</v>
      </c>
      <c r="R2079">
        <v>0</v>
      </c>
    </row>
    <row r="2080" spans="1:18">
      <c r="A2080" s="4">
        <v>58421800000000</v>
      </c>
      <c r="B2080" t="s">
        <v>28</v>
      </c>
      <c r="C2080">
        <v>31</v>
      </c>
      <c r="D2080" t="s">
        <v>37</v>
      </c>
      <c r="E2080" t="s">
        <v>40</v>
      </c>
      <c r="F2080" s="1">
        <v>42492</v>
      </c>
      <c r="G2080" s="1">
        <v>42492</v>
      </c>
      <c r="H2080" t="s">
        <v>30</v>
      </c>
      <c r="I2080">
        <v>0</v>
      </c>
      <c r="J2080" t="s">
        <v>111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23</v>
      </c>
      <c r="R2080">
        <v>0</v>
      </c>
    </row>
    <row r="2081" spans="1:18">
      <c r="A2081" s="4">
        <v>3234390000000</v>
      </c>
      <c r="B2081" t="s">
        <v>28</v>
      </c>
      <c r="C2081">
        <v>1</v>
      </c>
      <c r="D2081" t="s">
        <v>31</v>
      </c>
      <c r="E2081" t="s">
        <v>66</v>
      </c>
      <c r="F2081" s="1">
        <v>42492</v>
      </c>
      <c r="G2081" s="1">
        <v>42507</v>
      </c>
      <c r="H2081" t="s">
        <v>41</v>
      </c>
      <c r="I2081">
        <v>15</v>
      </c>
      <c r="J2081" t="s">
        <v>77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26</v>
      </c>
      <c r="R2081">
        <v>1</v>
      </c>
    </row>
    <row r="2082" spans="1:18">
      <c r="A2082" s="4">
        <v>431787000000000</v>
      </c>
      <c r="B2082" t="s">
        <v>28</v>
      </c>
      <c r="C2082">
        <v>43</v>
      </c>
      <c r="D2082" t="s">
        <v>27</v>
      </c>
      <c r="E2082" t="s">
        <v>34</v>
      </c>
      <c r="F2082" s="1">
        <v>42492</v>
      </c>
      <c r="G2082" s="1">
        <v>42494</v>
      </c>
      <c r="H2082" t="s">
        <v>25</v>
      </c>
      <c r="I2082">
        <v>2</v>
      </c>
      <c r="J2082" t="s">
        <v>109</v>
      </c>
      <c r="K2082">
        <v>0</v>
      </c>
      <c r="L2082">
        <v>1</v>
      </c>
      <c r="M2082">
        <v>0</v>
      </c>
      <c r="N2082">
        <v>0</v>
      </c>
      <c r="O2082">
        <v>0</v>
      </c>
      <c r="P2082">
        <v>0</v>
      </c>
      <c r="Q2082" t="s">
        <v>23</v>
      </c>
      <c r="R2082">
        <v>0</v>
      </c>
    </row>
    <row r="2083" spans="1:18">
      <c r="A2083" s="4">
        <v>8199730000000</v>
      </c>
      <c r="B2083" t="s">
        <v>18</v>
      </c>
      <c r="C2083">
        <v>54</v>
      </c>
      <c r="D2083" t="s">
        <v>35</v>
      </c>
      <c r="E2083" t="s">
        <v>75</v>
      </c>
      <c r="F2083" s="1">
        <v>42492</v>
      </c>
      <c r="G2083" s="1">
        <v>42494</v>
      </c>
      <c r="H2083" t="s">
        <v>25</v>
      </c>
      <c r="I2083">
        <v>2</v>
      </c>
      <c r="J2083" t="s">
        <v>109</v>
      </c>
      <c r="K2083">
        <v>0</v>
      </c>
      <c r="L2083">
        <v>1</v>
      </c>
      <c r="M2083">
        <v>0</v>
      </c>
      <c r="N2083">
        <v>0</v>
      </c>
      <c r="O2083">
        <v>0</v>
      </c>
      <c r="P2083">
        <v>0</v>
      </c>
      <c r="Q2083" t="s">
        <v>23</v>
      </c>
      <c r="R2083">
        <v>0</v>
      </c>
    </row>
    <row r="2084" spans="1:18">
      <c r="A2084" s="4">
        <v>9957510000000</v>
      </c>
      <c r="B2084" t="s">
        <v>28</v>
      </c>
      <c r="C2084">
        <v>0</v>
      </c>
      <c r="D2084" t="s">
        <v>31</v>
      </c>
      <c r="E2084" t="s">
        <v>44</v>
      </c>
      <c r="F2084" s="1">
        <v>42492</v>
      </c>
      <c r="G2084" s="1">
        <v>42500</v>
      </c>
      <c r="H2084" t="s">
        <v>41</v>
      </c>
      <c r="I2084">
        <v>8</v>
      </c>
      <c r="J2084" t="s">
        <v>92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1</v>
      </c>
      <c r="Q2084" t="s">
        <v>23</v>
      </c>
      <c r="R2084">
        <v>0</v>
      </c>
    </row>
    <row r="2085" spans="1:18">
      <c r="A2085" s="4">
        <v>199386000000</v>
      </c>
      <c r="B2085" t="s">
        <v>18</v>
      </c>
      <c r="C2085">
        <v>62</v>
      </c>
      <c r="D2085" t="s">
        <v>35</v>
      </c>
      <c r="E2085" t="s">
        <v>106</v>
      </c>
      <c r="F2085" s="1">
        <v>42492</v>
      </c>
      <c r="G2085" s="1">
        <v>42492</v>
      </c>
      <c r="H2085" t="s">
        <v>30</v>
      </c>
      <c r="I2085">
        <v>0</v>
      </c>
      <c r="J2085" t="s">
        <v>111</v>
      </c>
      <c r="K2085">
        <v>0</v>
      </c>
      <c r="L2085">
        <v>1</v>
      </c>
      <c r="M2085">
        <v>0</v>
      </c>
      <c r="N2085">
        <v>0</v>
      </c>
      <c r="O2085">
        <v>0</v>
      </c>
      <c r="P2085">
        <v>0</v>
      </c>
      <c r="Q2085" t="s">
        <v>23</v>
      </c>
      <c r="R2085">
        <v>0</v>
      </c>
    </row>
    <row r="2086" spans="1:18">
      <c r="A2086" s="4">
        <v>1611158895</v>
      </c>
      <c r="B2086" t="s">
        <v>28</v>
      </c>
      <c r="C2086">
        <v>7</v>
      </c>
      <c r="D2086" t="s">
        <v>31</v>
      </c>
      <c r="E2086" t="s">
        <v>68</v>
      </c>
      <c r="F2086" s="1">
        <v>42492</v>
      </c>
      <c r="G2086" s="1">
        <v>42503</v>
      </c>
      <c r="H2086" t="s">
        <v>21</v>
      </c>
      <c r="I2086">
        <v>11</v>
      </c>
      <c r="J2086" t="s">
        <v>92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23</v>
      </c>
      <c r="R2086">
        <v>0</v>
      </c>
    </row>
    <row r="2087" spans="1:18">
      <c r="A2087" s="4">
        <v>52652900000000</v>
      </c>
      <c r="B2087" t="s">
        <v>28</v>
      </c>
      <c r="C2087">
        <v>11</v>
      </c>
      <c r="D2087" t="s">
        <v>31</v>
      </c>
      <c r="E2087" t="s">
        <v>29</v>
      </c>
      <c r="F2087" s="1">
        <v>42492</v>
      </c>
      <c r="G2087" s="1">
        <v>42492</v>
      </c>
      <c r="H2087" t="s">
        <v>30</v>
      </c>
      <c r="I2087">
        <v>0</v>
      </c>
      <c r="J2087" t="s">
        <v>111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23</v>
      </c>
      <c r="R2087">
        <v>0</v>
      </c>
    </row>
    <row r="2088" spans="1:18">
      <c r="A2088" s="4">
        <v>94525800000000</v>
      </c>
      <c r="B2088" t="s">
        <v>28</v>
      </c>
      <c r="C2088">
        <v>9</v>
      </c>
      <c r="D2088" t="s">
        <v>31</v>
      </c>
      <c r="E2088" t="s">
        <v>57</v>
      </c>
      <c r="F2088" s="1">
        <v>42492</v>
      </c>
      <c r="G2088" s="1">
        <v>42493</v>
      </c>
      <c r="H2088" t="s">
        <v>41</v>
      </c>
      <c r="I2088">
        <v>1</v>
      </c>
      <c r="J2088" t="s">
        <v>109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23</v>
      </c>
      <c r="R2088">
        <v>0</v>
      </c>
    </row>
    <row r="2089" spans="1:18">
      <c r="A2089" s="4">
        <v>216414000000</v>
      </c>
      <c r="B2089" t="s">
        <v>18</v>
      </c>
      <c r="C2089">
        <v>47</v>
      </c>
      <c r="D2089" t="s">
        <v>27</v>
      </c>
      <c r="E2089" t="s">
        <v>40</v>
      </c>
      <c r="F2089" s="1">
        <v>42492</v>
      </c>
      <c r="G2089" s="1">
        <v>42501</v>
      </c>
      <c r="H2089" t="s">
        <v>25</v>
      </c>
      <c r="I2089">
        <v>9</v>
      </c>
      <c r="J2089" t="s">
        <v>92</v>
      </c>
      <c r="K2089">
        <v>0</v>
      </c>
      <c r="L2089">
        <v>0</v>
      </c>
      <c r="M2089">
        <v>0</v>
      </c>
      <c r="N2089">
        <v>0</v>
      </c>
      <c r="O2089">
        <v>1</v>
      </c>
      <c r="P2089">
        <v>1</v>
      </c>
      <c r="Q2089" t="s">
        <v>23</v>
      </c>
      <c r="R2089">
        <v>0</v>
      </c>
    </row>
    <row r="2090" spans="1:18">
      <c r="A2090" s="4">
        <v>748688000000000</v>
      </c>
      <c r="B2090" t="s">
        <v>18</v>
      </c>
      <c r="C2090">
        <v>90</v>
      </c>
      <c r="D2090" t="s">
        <v>19</v>
      </c>
      <c r="E2090" t="s">
        <v>29</v>
      </c>
      <c r="F2090" s="1">
        <v>42492</v>
      </c>
      <c r="G2090" s="1">
        <v>42509</v>
      </c>
      <c r="H2090" t="s">
        <v>33</v>
      </c>
      <c r="I2090">
        <v>17</v>
      </c>
      <c r="J2090" t="s">
        <v>77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 t="s">
        <v>23</v>
      </c>
      <c r="R2090">
        <v>0</v>
      </c>
    </row>
    <row r="2091" spans="1:18">
      <c r="A2091" s="4">
        <v>695445000000000</v>
      </c>
      <c r="B2091" t="s">
        <v>18</v>
      </c>
      <c r="C2091">
        <v>50</v>
      </c>
      <c r="D2091" t="s">
        <v>27</v>
      </c>
      <c r="E2091" t="s">
        <v>39</v>
      </c>
      <c r="F2091" s="1">
        <v>42492</v>
      </c>
      <c r="G2091" s="1">
        <v>42493</v>
      </c>
      <c r="H2091" t="s">
        <v>41</v>
      </c>
      <c r="I2091">
        <v>1</v>
      </c>
      <c r="J2091" t="s">
        <v>109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26</v>
      </c>
      <c r="R2091">
        <v>1</v>
      </c>
    </row>
    <row r="2092" spans="1:18">
      <c r="A2092" s="4">
        <v>617448000000000</v>
      </c>
      <c r="B2092" t="s">
        <v>18</v>
      </c>
      <c r="C2092">
        <v>0</v>
      </c>
      <c r="D2092" t="s">
        <v>31</v>
      </c>
      <c r="E2092" t="s">
        <v>76</v>
      </c>
      <c r="F2092" s="1">
        <v>42492</v>
      </c>
      <c r="G2092" s="1">
        <v>42506</v>
      </c>
      <c r="H2092" t="s">
        <v>30</v>
      </c>
      <c r="I2092">
        <v>14</v>
      </c>
      <c r="J2092" t="s">
        <v>92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23</v>
      </c>
      <c r="R2092">
        <v>0</v>
      </c>
    </row>
    <row r="2093" spans="1:18">
      <c r="A2093" s="4">
        <v>816639000000</v>
      </c>
      <c r="B2093" t="s">
        <v>18</v>
      </c>
      <c r="C2093">
        <v>15</v>
      </c>
      <c r="D2093" t="s">
        <v>60</v>
      </c>
      <c r="E2093" t="s">
        <v>73</v>
      </c>
      <c r="F2093" s="1">
        <v>42492</v>
      </c>
      <c r="G2093" s="1">
        <v>42493</v>
      </c>
      <c r="H2093" t="s">
        <v>41</v>
      </c>
      <c r="I2093">
        <v>1</v>
      </c>
      <c r="J2093" t="s">
        <v>109</v>
      </c>
      <c r="K2093">
        <v>1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26</v>
      </c>
      <c r="R2093">
        <v>1</v>
      </c>
    </row>
    <row r="2094" spans="1:18">
      <c r="A2094" s="4">
        <v>4972200000000</v>
      </c>
      <c r="B2094" t="s">
        <v>28</v>
      </c>
      <c r="C2094">
        <v>73</v>
      </c>
      <c r="D2094" t="s">
        <v>19</v>
      </c>
      <c r="E2094" t="s">
        <v>29</v>
      </c>
      <c r="F2094" s="1">
        <v>42492</v>
      </c>
      <c r="G2094" s="1">
        <v>42521</v>
      </c>
      <c r="H2094" t="s">
        <v>41</v>
      </c>
      <c r="I2094">
        <v>29</v>
      </c>
      <c r="J2094" t="s">
        <v>77</v>
      </c>
      <c r="K2094">
        <v>0</v>
      </c>
      <c r="L2094">
        <v>1</v>
      </c>
      <c r="M2094">
        <v>0</v>
      </c>
      <c r="N2094">
        <v>0</v>
      </c>
      <c r="O2094">
        <v>1</v>
      </c>
      <c r="P2094">
        <v>0</v>
      </c>
      <c r="Q2094" t="s">
        <v>23</v>
      </c>
      <c r="R2094">
        <v>0</v>
      </c>
    </row>
    <row r="2095" spans="1:18">
      <c r="A2095" s="4">
        <v>619245000000000</v>
      </c>
      <c r="B2095" t="s">
        <v>18</v>
      </c>
      <c r="C2095">
        <v>39</v>
      </c>
      <c r="D2095" t="s">
        <v>27</v>
      </c>
      <c r="E2095" t="s">
        <v>84</v>
      </c>
      <c r="F2095" s="1">
        <v>42492</v>
      </c>
      <c r="G2095" s="1">
        <v>42502</v>
      </c>
      <c r="H2095" t="s">
        <v>33</v>
      </c>
      <c r="I2095">
        <v>10</v>
      </c>
      <c r="J2095" t="s">
        <v>92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1</v>
      </c>
      <c r="Q2095" t="s">
        <v>23</v>
      </c>
      <c r="R2095">
        <v>0</v>
      </c>
    </row>
    <row r="2096" spans="1:18">
      <c r="A2096" s="4">
        <v>12648400000000</v>
      </c>
      <c r="B2096" t="s">
        <v>18</v>
      </c>
      <c r="C2096">
        <v>31</v>
      </c>
      <c r="D2096" t="s">
        <v>37</v>
      </c>
      <c r="E2096" t="s">
        <v>51</v>
      </c>
      <c r="F2096" s="1">
        <v>42492</v>
      </c>
      <c r="G2096" s="1">
        <v>42493</v>
      </c>
      <c r="H2096" t="s">
        <v>41</v>
      </c>
      <c r="I2096">
        <v>1</v>
      </c>
      <c r="J2096" t="s">
        <v>109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23</v>
      </c>
      <c r="R2096">
        <v>0</v>
      </c>
    </row>
    <row r="2097" spans="1:18">
      <c r="A2097" s="4">
        <v>727579000000000</v>
      </c>
      <c r="B2097" t="s">
        <v>18</v>
      </c>
      <c r="C2097">
        <v>51</v>
      </c>
      <c r="D2097" t="s">
        <v>35</v>
      </c>
      <c r="E2097" t="s">
        <v>57</v>
      </c>
      <c r="F2097" s="1">
        <v>42492</v>
      </c>
      <c r="G2097" s="1">
        <v>42494</v>
      </c>
      <c r="H2097" t="s">
        <v>25</v>
      </c>
      <c r="I2097">
        <v>2</v>
      </c>
      <c r="J2097" t="s">
        <v>109</v>
      </c>
      <c r="K2097">
        <v>0</v>
      </c>
      <c r="L2097">
        <v>0</v>
      </c>
      <c r="M2097">
        <v>1</v>
      </c>
      <c r="N2097">
        <v>0</v>
      </c>
      <c r="O2097">
        <v>0</v>
      </c>
      <c r="P2097">
        <v>0</v>
      </c>
      <c r="Q2097" t="s">
        <v>23</v>
      </c>
      <c r="R2097">
        <v>0</v>
      </c>
    </row>
    <row r="2098" spans="1:18">
      <c r="A2098" s="4">
        <v>31414200000000</v>
      </c>
      <c r="B2098" t="s">
        <v>18</v>
      </c>
      <c r="C2098">
        <v>72</v>
      </c>
      <c r="D2098" t="s">
        <v>19</v>
      </c>
      <c r="E2098" t="s">
        <v>47</v>
      </c>
      <c r="F2098" s="1">
        <v>42492</v>
      </c>
      <c r="G2098" s="1">
        <v>42492</v>
      </c>
      <c r="H2098" t="s">
        <v>30</v>
      </c>
      <c r="I2098">
        <v>0</v>
      </c>
      <c r="J2098" t="s">
        <v>111</v>
      </c>
      <c r="K2098">
        <v>0</v>
      </c>
      <c r="L2098">
        <v>1</v>
      </c>
      <c r="M2098">
        <v>1</v>
      </c>
      <c r="N2098">
        <v>0</v>
      </c>
      <c r="O2098">
        <v>1</v>
      </c>
      <c r="P2098">
        <v>0</v>
      </c>
      <c r="Q2098" t="s">
        <v>23</v>
      </c>
      <c r="R2098">
        <v>0</v>
      </c>
    </row>
    <row r="2099" spans="1:18">
      <c r="A2099" s="4">
        <v>41166200000000</v>
      </c>
      <c r="B2099" t="s">
        <v>18</v>
      </c>
      <c r="C2099">
        <v>0</v>
      </c>
      <c r="D2099" t="s">
        <v>31</v>
      </c>
      <c r="E2099" t="s">
        <v>42</v>
      </c>
      <c r="F2099" s="1">
        <v>42492</v>
      </c>
      <c r="G2099" s="1">
        <v>42499</v>
      </c>
      <c r="H2099" t="s">
        <v>30</v>
      </c>
      <c r="I2099">
        <v>7</v>
      </c>
      <c r="J2099" t="s">
        <v>107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26</v>
      </c>
      <c r="R2099">
        <v>1</v>
      </c>
    </row>
    <row r="2100" spans="1:18">
      <c r="A2100" s="4">
        <v>38797900000000</v>
      </c>
      <c r="B2100" t="s">
        <v>18</v>
      </c>
      <c r="C2100">
        <v>5</v>
      </c>
      <c r="D2100" t="s">
        <v>31</v>
      </c>
      <c r="E2100" t="s">
        <v>54</v>
      </c>
      <c r="F2100" s="1">
        <v>42492</v>
      </c>
      <c r="G2100" s="1">
        <v>42499</v>
      </c>
      <c r="H2100" t="s">
        <v>30</v>
      </c>
      <c r="I2100">
        <v>7</v>
      </c>
      <c r="J2100" t="s">
        <v>107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23</v>
      </c>
      <c r="R2100">
        <v>0</v>
      </c>
    </row>
    <row r="2101" spans="1:18">
      <c r="A2101" s="4">
        <v>178296000000000</v>
      </c>
      <c r="B2101" t="s">
        <v>18</v>
      </c>
      <c r="C2101">
        <v>30</v>
      </c>
      <c r="D2101" t="s">
        <v>37</v>
      </c>
      <c r="E2101" t="s">
        <v>97</v>
      </c>
      <c r="F2101" s="1">
        <v>42492</v>
      </c>
      <c r="G2101" s="1">
        <v>42501</v>
      </c>
      <c r="H2101" t="s">
        <v>25</v>
      </c>
      <c r="I2101">
        <v>9</v>
      </c>
      <c r="J2101" t="s">
        <v>92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1</v>
      </c>
      <c r="Q2101" t="s">
        <v>26</v>
      </c>
      <c r="R2101">
        <v>1</v>
      </c>
    </row>
    <row r="2102" spans="1:18">
      <c r="A2102" s="4">
        <v>69688400000000</v>
      </c>
      <c r="B2102" t="s">
        <v>18</v>
      </c>
      <c r="C2102">
        <v>1</v>
      </c>
      <c r="D2102" t="s">
        <v>31</v>
      </c>
      <c r="E2102" t="s">
        <v>75</v>
      </c>
      <c r="F2102" s="1">
        <v>42492</v>
      </c>
      <c r="G2102" s="1">
        <v>42494</v>
      </c>
      <c r="H2102" t="s">
        <v>25</v>
      </c>
      <c r="I2102">
        <v>2</v>
      </c>
      <c r="J2102" t="s">
        <v>109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26</v>
      </c>
      <c r="R2102">
        <v>1</v>
      </c>
    </row>
    <row r="2103" spans="1:18">
      <c r="A2103" s="4">
        <v>13495600000000</v>
      </c>
      <c r="B2103" t="s">
        <v>28</v>
      </c>
      <c r="C2103">
        <v>5</v>
      </c>
      <c r="D2103" t="s">
        <v>31</v>
      </c>
      <c r="E2103" t="s">
        <v>46</v>
      </c>
      <c r="F2103" s="1">
        <v>42492</v>
      </c>
      <c r="G2103" s="1">
        <v>42521</v>
      </c>
      <c r="H2103" t="s">
        <v>41</v>
      </c>
      <c r="I2103">
        <v>29</v>
      </c>
      <c r="J2103" t="s">
        <v>77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1</v>
      </c>
      <c r="Q2103" t="s">
        <v>26</v>
      </c>
      <c r="R2103">
        <v>1</v>
      </c>
    </row>
    <row r="2104" spans="1:18">
      <c r="A2104" s="4">
        <v>393612000000000</v>
      </c>
      <c r="B2104" t="s">
        <v>28</v>
      </c>
      <c r="C2104">
        <v>74</v>
      </c>
      <c r="D2104" t="s">
        <v>19</v>
      </c>
      <c r="E2104" t="s">
        <v>47</v>
      </c>
      <c r="F2104" s="1">
        <v>42492</v>
      </c>
      <c r="G2104" s="1">
        <v>42521</v>
      </c>
      <c r="H2104" t="s">
        <v>41</v>
      </c>
      <c r="I2104">
        <v>29</v>
      </c>
      <c r="J2104" t="s">
        <v>77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1</v>
      </c>
      <c r="Q2104" t="s">
        <v>26</v>
      </c>
      <c r="R2104">
        <v>1</v>
      </c>
    </row>
    <row r="2105" spans="1:18">
      <c r="A2105" s="4">
        <v>61769900000000</v>
      </c>
      <c r="B2105" t="s">
        <v>18</v>
      </c>
      <c r="C2105">
        <v>25</v>
      </c>
      <c r="D2105" t="s">
        <v>37</v>
      </c>
      <c r="E2105" t="s">
        <v>29</v>
      </c>
      <c r="F2105" s="1">
        <v>42492</v>
      </c>
      <c r="G2105" s="1">
        <v>42500</v>
      </c>
      <c r="H2105" t="s">
        <v>41</v>
      </c>
      <c r="I2105">
        <v>8</v>
      </c>
      <c r="J2105" t="s">
        <v>92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1</v>
      </c>
      <c r="Q2105" t="s">
        <v>23</v>
      </c>
      <c r="R2105">
        <v>0</v>
      </c>
    </row>
    <row r="2106" spans="1:18">
      <c r="A2106" s="4">
        <v>987382000000000</v>
      </c>
      <c r="B2106" t="s">
        <v>18</v>
      </c>
      <c r="C2106">
        <v>39</v>
      </c>
      <c r="D2106" t="s">
        <v>27</v>
      </c>
      <c r="E2106" t="s">
        <v>76</v>
      </c>
      <c r="F2106" s="1">
        <v>42492</v>
      </c>
      <c r="G2106" s="1">
        <v>42494</v>
      </c>
      <c r="H2106" t="s">
        <v>25</v>
      </c>
      <c r="I2106">
        <v>2</v>
      </c>
      <c r="J2106" t="s">
        <v>109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23</v>
      </c>
      <c r="R2106">
        <v>0</v>
      </c>
    </row>
    <row r="2107" spans="1:18">
      <c r="A2107" s="4">
        <v>57481200000000</v>
      </c>
      <c r="B2107" t="s">
        <v>18</v>
      </c>
      <c r="C2107">
        <v>63</v>
      </c>
      <c r="D2107" t="s">
        <v>35</v>
      </c>
      <c r="E2107" t="s">
        <v>79</v>
      </c>
      <c r="F2107" s="1">
        <v>42492</v>
      </c>
      <c r="G2107" s="1">
        <v>42503</v>
      </c>
      <c r="H2107" t="s">
        <v>21</v>
      </c>
      <c r="I2107">
        <v>11</v>
      </c>
      <c r="J2107" t="s">
        <v>92</v>
      </c>
      <c r="K2107">
        <v>0</v>
      </c>
      <c r="L2107">
        <v>1</v>
      </c>
      <c r="M2107">
        <v>1</v>
      </c>
      <c r="N2107">
        <v>0</v>
      </c>
      <c r="O2107">
        <v>0</v>
      </c>
      <c r="P2107">
        <v>0</v>
      </c>
      <c r="Q2107" t="s">
        <v>23</v>
      </c>
      <c r="R2107">
        <v>0</v>
      </c>
    </row>
    <row r="2108" spans="1:18">
      <c r="A2108" s="4">
        <v>599885000000</v>
      </c>
      <c r="B2108" t="s">
        <v>18</v>
      </c>
      <c r="C2108">
        <v>7</v>
      </c>
      <c r="D2108" t="s">
        <v>31</v>
      </c>
      <c r="E2108" t="s">
        <v>40</v>
      </c>
      <c r="F2108" s="1">
        <v>42492</v>
      </c>
      <c r="G2108" s="1">
        <v>42492</v>
      </c>
      <c r="H2108" t="s">
        <v>30</v>
      </c>
      <c r="I2108">
        <v>0</v>
      </c>
      <c r="J2108" t="s">
        <v>111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23</v>
      </c>
      <c r="R2108">
        <v>0</v>
      </c>
    </row>
    <row r="2109" spans="1:18">
      <c r="A2109" s="4">
        <v>3618380000000</v>
      </c>
      <c r="B2109" t="s">
        <v>28</v>
      </c>
      <c r="C2109">
        <v>47</v>
      </c>
      <c r="D2109" t="s">
        <v>27</v>
      </c>
      <c r="E2109" t="s">
        <v>47</v>
      </c>
      <c r="F2109" s="1">
        <v>42492</v>
      </c>
      <c r="G2109" s="1">
        <v>42494</v>
      </c>
      <c r="H2109" t="s">
        <v>25</v>
      </c>
      <c r="I2109">
        <v>2</v>
      </c>
      <c r="J2109" t="s">
        <v>109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23</v>
      </c>
      <c r="R2109">
        <v>0</v>
      </c>
    </row>
    <row r="2110" spans="1:18">
      <c r="A2110" s="4">
        <v>38192900000000</v>
      </c>
      <c r="B2110" t="s">
        <v>18</v>
      </c>
      <c r="C2110">
        <v>82</v>
      </c>
      <c r="D2110" t="s">
        <v>19</v>
      </c>
      <c r="E2110" t="s">
        <v>38</v>
      </c>
      <c r="F2110" s="1">
        <v>42492</v>
      </c>
      <c r="G2110" s="1">
        <v>42500</v>
      </c>
      <c r="H2110" t="s">
        <v>41</v>
      </c>
      <c r="I2110">
        <v>8</v>
      </c>
      <c r="J2110" t="s">
        <v>92</v>
      </c>
      <c r="K2110">
        <v>0</v>
      </c>
      <c r="L2110">
        <v>1</v>
      </c>
      <c r="M2110">
        <v>0</v>
      </c>
      <c r="N2110">
        <v>0</v>
      </c>
      <c r="O2110">
        <v>1</v>
      </c>
      <c r="P2110">
        <v>0</v>
      </c>
      <c r="Q2110" t="s">
        <v>23</v>
      </c>
      <c r="R2110">
        <v>0</v>
      </c>
    </row>
    <row r="2111" spans="1:18">
      <c r="A2111" s="4">
        <v>28814900000000</v>
      </c>
      <c r="B2111" t="s">
        <v>28</v>
      </c>
      <c r="C2111">
        <v>49</v>
      </c>
      <c r="D2111" t="s">
        <v>27</v>
      </c>
      <c r="E2111" t="s">
        <v>45</v>
      </c>
      <c r="F2111" s="1">
        <v>42492</v>
      </c>
      <c r="G2111" s="1">
        <v>42494</v>
      </c>
      <c r="H2111" t="s">
        <v>25</v>
      </c>
      <c r="I2111">
        <v>2</v>
      </c>
      <c r="J2111" t="s">
        <v>109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26</v>
      </c>
      <c r="R2111">
        <v>1</v>
      </c>
    </row>
    <row r="2112" spans="1:18">
      <c r="A2112" s="4">
        <v>4432850000000</v>
      </c>
      <c r="B2112" t="s">
        <v>18</v>
      </c>
      <c r="C2112">
        <v>34</v>
      </c>
      <c r="D2112" t="s">
        <v>37</v>
      </c>
      <c r="E2112" t="s">
        <v>54</v>
      </c>
      <c r="F2112" s="1">
        <v>42492</v>
      </c>
      <c r="G2112" s="1">
        <v>42500</v>
      </c>
      <c r="H2112" t="s">
        <v>41</v>
      </c>
      <c r="I2112">
        <v>8</v>
      </c>
      <c r="J2112" t="s">
        <v>92</v>
      </c>
      <c r="K2112">
        <v>1</v>
      </c>
      <c r="L2112">
        <v>0</v>
      </c>
      <c r="M2112">
        <v>0</v>
      </c>
      <c r="N2112">
        <v>0</v>
      </c>
      <c r="O2112">
        <v>0</v>
      </c>
      <c r="P2112">
        <v>1</v>
      </c>
      <c r="Q2112" t="s">
        <v>26</v>
      </c>
      <c r="R2112">
        <v>1</v>
      </c>
    </row>
    <row r="2113" spans="1:18">
      <c r="A2113" s="4">
        <v>96882100000000</v>
      </c>
      <c r="B2113" t="s">
        <v>28</v>
      </c>
      <c r="C2113">
        <v>38</v>
      </c>
      <c r="D2113" t="s">
        <v>27</v>
      </c>
      <c r="E2113" t="s">
        <v>44</v>
      </c>
      <c r="F2113" s="1">
        <v>42492</v>
      </c>
      <c r="G2113" s="1">
        <v>42494</v>
      </c>
      <c r="H2113" t="s">
        <v>25</v>
      </c>
      <c r="I2113">
        <v>2</v>
      </c>
      <c r="J2113" t="s">
        <v>109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23</v>
      </c>
      <c r="R2113">
        <v>0</v>
      </c>
    </row>
    <row r="2114" spans="1:18">
      <c r="A2114" s="4">
        <v>476946000000000</v>
      </c>
      <c r="B2114" t="s">
        <v>18</v>
      </c>
      <c r="C2114">
        <v>0</v>
      </c>
      <c r="D2114" t="s">
        <v>31</v>
      </c>
      <c r="E2114" t="s">
        <v>72</v>
      </c>
      <c r="F2114" s="1">
        <v>42492</v>
      </c>
      <c r="G2114" s="1">
        <v>42492</v>
      </c>
      <c r="H2114" t="s">
        <v>30</v>
      </c>
      <c r="I2114">
        <v>0</v>
      </c>
      <c r="J2114" t="s">
        <v>111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23</v>
      </c>
      <c r="R2114">
        <v>0</v>
      </c>
    </row>
    <row r="2115" spans="1:18">
      <c r="A2115" s="4">
        <v>2167140000000</v>
      </c>
      <c r="B2115" t="s">
        <v>18</v>
      </c>
      <c r="C2115">
        <v>23</v>
      </c>
      <c r="D2115" t="s">
        <v>37</v>
      </c>
      <c r="E2115" t="s">
        <v>29</v>
      </c>
      <c r="F2115" s="1">
        <v>42492</v>
      </c>
      <c r="G2115" s="1">
        <v>42501</v>
      </c>
      <c r="H2115" t="s">
        <v>25</v>
      </c>
      <c r="I2115">
        <v>9</v>
      </c>
      <c r="J2115" t="s">
        <v>92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1</v>
      </c>
      <c r="Q2115" t="s">
        <v>26</v>
      </c>
      <c r="R2115">
        <v>1</v>
      </c>
    </row>
    <row r="2116" spans="1:18">
      <c r="A2116" s="4">
        <v>986596000000</v>
      </c>
      <c r="B2116" t="s">
        <v>28</v>
      </c>
      <c r="C2116">
        <v>72</v>
      </c>
      <c r="D2116" t="s">
        <v>19</v>
      </c>
      <c r="E2116" t="s">
        <v>67</v>
      </c>
      <c r="F2116" s="1">
        <v>42492</v>
      </c>
      <c r="G2116" s="1">
        <v>42501</v>
      </c>
      <c r="H2116" t="s">
        <v>25</v>
      </c>
      <c r="I2116">
        <v>9</v>
      </c>
      <c r="J2116" t="s">
        <v>92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1</v>
      </c>
      <c r="Q2116" t="s">
        <v>23</v>
      </c>
      <c r="R2116">
        <v>0</v>
      </c>
    </row>
    <row r="2117" spans="1:18">
      <c r="A2117" s="4">
        <v>5795318431</v>
      </c>
      <c r="B2117" t="s">
        <v>18</v>
      </c>
      <c r="C2117">
        <v>22</v>
      </c>
      <c r="D2117" t="s">
        <v>37</v>
      </c>
      <c r="E2117" t="s">
        <v>50</v>
      </c>
      <c r="F2117" s="1">
        <v>42492</v>
      </c>
      <c r="G2117" s="1">
        <v>42502</v>
      </c>
      <c r="H2117" t="s">
        <v>33</v>
      </c>
      <c r="I2117">
        <v>10</v>
      </c>
      <c r="J2117" t="s">
        <v>92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1</v>
      </c>
      <c r="Q2117" t="s">
        <v>26</v>
      </c>
      <c r="R2117">
        <v>1</v>
      </c>
    </row>
    <row r="2118" spans="1:18">
      <c r="A2118" s="4">
        <v>44688600000000</v>
      </c>
      <c r="B2118" t="s">
        <v>18</v>
      </c>
      <c r="C2118">
        <v>58</v>
      </c>
      <c r="D2118" t="s">
        <v>35</v>
      </c>
      <c r="E2118" t="s">
        <v>79</v>
      </c>
      <c r="F2118" s="1">
        <v>42492</v>
      </c>
      <c r="G2118" s="1">
        <v>42493</v>
      </c>
      <c r="H2118" t="s">
        <v>41</v>
      </c>
      <c r="I2118">
        <v>1</v>
      </c>
      <c r="J2118" t="s">
        <v>109</v>
      </c>
      <c r="K2118">
        <v>0</v>
      </c>
      <c r="L2118">
        <v>1</v>
      </c>
      <c r="M2118">
        <v>0</v>
      </c>
      <c r="N2118">
        <v>0</v>
      </c>
      <c r="O2118">
        <v>0</v>
      </c>
      <c r="P2118">
        <v>0</v>
      </c>
      <c r="Q2118" t="s">
        <v>23</v>
      </c>
      <c r="R2118">
        <v>0</v>
      </c>
    </row>
    <row r="2119" spans="1:18">
      <c r="A2119" s="4">
        <v>1658980000000</v>
      </c>
      <c r="B2119" t="s">
        <v>28</v>
      </c>
      <c r="C2119">
        <v>21</v>
      </c>
      <c r="D2119" t="s">
        <v>37</v>
      </c>
      <c r="E2119" t="s">
        <v>36</v>
      </c>
      <c r="F2119" s="1">
        <v>42492</v>
      </c>
      <c r="G2119" s="1">
        <v>42494</v>
      </c>
      <c r="H2119" t="s">
        <v>25</v>
      </c>
      <c r="I2119">
        <v>2</v>
      </c>
      <c r="J2119" t="s">
        <v>109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23</v>
      </c>
      <c r="R2119">
        <v>0</v>
      </c>
    </row>
    <row r="2120" spans="1:18">
      <c r="A2120" s="4">
        <v>558445000000000</v>
      </c>
      <c r="B2120" t="s">
        <v>18</v>
      </c>
      <c r="C2120">
        <v>6</v>
      </c>
      <c r="D2120" t="s">
        <v>31</v>
      </c>
      <c r="E2120" t="s">
        <v>72</v>
      </c>
      <c r="F2120" s="1">
        <v>42492</v>
      </c>
      <c r="G2120" s="1">
        <v>42524</v>
      </c>
      <c r="H2120" t="s">
        <v>21</v>
      </c>
      <c r="I2120">
        <v>32</v>
      </c>
      <c r="J2120" t="s">
        <v>22</v>
      </c>
      <c r="K2120">
        <v>1</v>
      </c>
      <c r="L2120">
        <v>0</v>
      </c>
      <c r="M2120">
        <v>0</v>
      </c>
      <c r="N2120">
        <v>0</v>
      </c>
      <c r="O2120">
        <v>0</v>
      </c>
      <c r="P2120">
        <v>1</v>
      </c>
      <c r="Q2120" t="s">
        <v>23</v>
      </c>
      <c r="R2120">
        <v>0</v>
      </c>
    </row>
    <row r="2121" spans="1:18">
      <c r="A2121" s="4">
        <v>53131600000000</v>
      </c>
      <c r="B2121" t="s">
        <v>18</v>
      </c>
      <c r="C2121">
        <v>9</v>
      </c>
      <c r="D2121" t="s">
        <v>31</v>
      </c>
      <c r="E2121" t="s">
        <v>67</v>
      </c>
      <c r="F2121" s="1">
        <v>42492</v>
      </c>
      <c r="G2121" s="1">
        <v>42524</v>
      </c>
      <c r="H2121" t="s">
        <v>21</v>
      </c>
      <c r="I2121">
        <v>32</v>
      </c>
      <c r="J2121" t="s">
        <v>22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1</v>
      </c>
      <c r="Q2121" t="s">
        <v>23</v>
      </c>
      <c r="R2121">
        <v>0</v>
      </c>
    </row>
    <row r="2122" spans="1:18">
      <c r="A2122" s="4">
        <v>72416100000000</v>
      </c>
      <c r="B2122" t="s">
        <v>18</v>
      </c>
      <c r="C2122">
        <v>16</v>
      </c>
      <c r="D2122" t="s">
        <v>60</v>
      </c>
      <c r="E2122" t="s">
        <v>54</v>
      </c>
      <c r="F2122" s="1">
        <v>42492</v>
      </c>
      <c r="G2122" s="1">
        <v>42492</v>
      </c>
      <c r="H2122" t="s">
        <v>30</v>
      </c>
      <c r="I2122">
        <v>0</v>
      </c>
      <c r="J2122" t="s">
        <v>111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23</v>
      </c>
      <c r="R2122">
        <v>0</v>
      </c>
    </row>
    <row r="2123" spans="1:18">
      <c r="A2123" s="4">
        <v>99282300000000</v>
      </c>
      <c r="B2123" t="s">
        <v>28</v>
      </c>
      <c r="C2123">
        <v>29</v>
      </c>
      <c r="D2123" t="s">
        <v>37</v>
      </c>
      <c r="E2123" t="s">
        <v>66</v>
      </c>
      <c r="F2123" s="1">
        <v>42492</v>
      </c>
      <c r="G2123" s="1">
        <v>42492</v>
      </c>
      <c r="H2123" t="s">
        <v>30</v>
      </c>
      <c r="I2123">
        <v>0</v>
      </c>
      <c r="J2123" t="s">
        <v>111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26</v>
      </c>
      <c r="R2123">
        <v>1</v>
      </c>
    </row>
    <row r="2124" spans="1:18">
      <c r="A2124" s="4">
        <v>496346000000</v>
      </c>
      <c r="B2124" t="s">
        <v>28</v>
      </c>
      <c r="C2124">
        <v>9</v>
      </c>
      <c r="D2124" t="s">
        <v>31</v>
      </c>
      <c r="E2124" t="s">
        <v>47</v>
      </c>
      <c r="F2124" s="1">
        <v>42492</v>
      </c>
      <c r="G2124" s="1">
        <v>42500</v>
      </c>
      <c r="H2124" t="s">
        <v>41</v>
      </c>
      <c r="I2124">
        <v>8</v>
      </c>
      <c r="J2124" t="s">
        <v>92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26</v>
      </c>
      <c r="R2124">
        <v>1</v>
      </c>
    </row>
    <row r="2125" spans="1:18">
      <c r="A2125" s="4">
        <v>38477200000000</v>
      </c>
      <c r="B2125" t="s">
        <v>18</v>
      </c>
      <c r="C2125">
        <v>56</v>
      </c>
      <c r="D2125" t="s">
        <v>35</v>
      </c>
      <c r="E2125" t="s">
        <v>39</v>
      </c>
      <c r="F2125" s="1">
        <v>42492</v>
      </c>
      <c r="G2125" s="1">
        <v>42493</v>
      </c>
      <c r="H2125" t="s">
        <v>41</v>
      </c>
      <c r="I2125">
        <v>1</v>
      </c>
      <c r="J2125" t="s">
        <v>109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23</v>
      </c>
      <c r="R2125">
        <v>0</v>
      </c>
    </row>
    <row r="2126" spans="1:18">
      <c r="A2126" s="4">
        <v>38477200000000</v>
      </c>
      <c r="B2126" t="s">
        <v>18</v>
      </c>
      <c r="C2126">
        <v>56</v>
      </c>
      <c r="D2126" t="s">
        <v>35</v>
      </c>
      <c r="E2126" t="s">
        <v>39</v>
      </c>
      <c r="F2126" s="1">
        <v>42492</v>
      </c>
      <c r="G2126" s="1">
        <v>42493</v>
      </c>
      <c r="H2126" t="s">
        <v>41</v>
      </c>
      <c r="I2126">
        <v>1</v>
      </c>
      <c r="J2126" t="s">
        <v>109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23</v>
      </c>
      <c r="R2126">
        <v>0</v>
      </c>
    </row>
    <row r="2127" spans="1:18">
      <c r="A2127" s="4">
        <v>54963600000000</v>
      </c>
      <c r="B2127" t="s">
        <v>18</v>
      </c>
      <c r="C2127">
        <v>28</v>
      </c>
      <c r="D2127" t="s">
        <v>37</v>
      </c>
      <c r="E2127" t="s">
        <v>50</v>
      </c>
      <c r="F2127" s="1">
        <v>42492</v>
      </c>
      <c r="G2127" s="1">
        <v>42494</v>
      </c>
      <c r="H2127" t="s">
        <v>25</v>
      </c>
      <c r="I2127">
        <v>2</v>
      </c>
      <c r="J2127" t="s">
        <v>109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26</v>
      </c>
      <c r="R2127">
        <v>1</v>
      </c>
    </row>
    <row r="2128" spans="1:18">
      <c r="A2128" s="4">
        <v>9649560000000</v>
      </c>
      <c r="B2128" t="s">
        <v>18</v>
      </c>
      <c r="C2128">
        <v>51</v>
      </c>
      <c r="D2128" t="s">
        <v>35</v>
      </c>
      <c r="E2128" t="s">
        <v>39</v>
      </c>
      <c r="F2128" s="1">
        <v>42492</v>
      </c>
      <c r="G2128" s="1">
        <v>42492</v>
      </c>
      <c r="H2128" t="s">
        <v>30</v>
      </c>
      <c r="I2128">
        <v>0</v>
      </c>
      <c r="J2128" t="s">
        <v>111</v>
      </c>
      <c r="K2128">
        <v>0</v>
      </c>
      <c r="L2128">
        <v>1</v>
      </c>
      <c r="M2128">
        <v>0</v>
      </c>
      <c r="N2128">
        <v>0</v>
      </c>
      <c r="O2128">
        <v>0</v>
      </c>
      <c r="P2128">
        <v>0</v>
      </c>
      <c r="Q2128" t="s">
        <v>23</v>
      </c>
      <c r="R2128">
        <v>0</v>
      </c>
    </row>
    <row r="2129" spans="1:18">
      <c r="A2129" s="4">
        <v>45728200000000</v>
      </c>
      <c r="B2129" t="s">
        <v>18</v>
      </c>
      <c r="C2129">
        <v>27</v>
      </c>
      <c r="D2129" t="s">
        <v>37</v>
      </c>
      <c r="E2129" t="s">
        <v>73</v>
      </c>
      <c r="F2129" s="1">
        <v>42492</v>
      </c>
      <c r="G2129" s="1">
        <v>42520</v>
      </c>
      <c r="H2129" t="s">
        <v>30</v>
      </c>
      <c r="I2129">
        <v>28</v>
      </c>
      <c r="J2129" t="s">
        <v>77</v>
      </c>
      <c r="K2129">
        <v>1</v>
      </c>
      <c r="L2129">
        <v>0</v>
      </c>
      <c r="M2129">
        <v>0</v>
      </c>
      <c r="N2129">
        <v>0</v>
      </c>
      <c r="O2129">
        <v>0</v>
      </c>
      <c r="P2129">
        <v>1</v>
      </c>
      <c r="Q2129" t="s">
        <v>23</v>
      </c>
      <c r="R2129">
        <v>0</v>
      </c>
    </row>
    <row r="2130" spans="1:18">
      <c r="A2130" s="4">
        <v>18839700000000</v>
      </c>
      <c r="B2130" t="s">
        <v>18</v>
      </c>
      <c r="C2130">
        <v>43</v>
      </c>
      <c r="D2130" t="s">
        <v>27</v>
      </c>
      <c r="E2130" t="s">
        <v>29</v>
      </c>
      <c r="F2130" s="1">
        <v>42492</v>
      </c>
      <c r="G2130" s="1">
        <v>42509</v>
      </c>
      <c r="H2130" t="s">
        <v>33</v>
      </c>
      <c r="I2130">
        <v>17</v>
      </c>
      <c r="J2130" t="s">
        <v>77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23</v>
      </c>
      <c r="R2130">
        <v>0</v>
      </c>
    </row>
    <row r="2131" spans="1:18">
      <c r="A2131" s="4">
        <v>64691800000000</v>
      </c>
      <c r="B2131" t="s">
        <v>28</v>
      </c>
      <c r="C2131">
        <v>71</v>
      </c>
      <c r="D2131" t="s">
        <v>19</v>
      </c>
      <c r="E2131" t="s">
        <v>39</v>
      </c>
      <c r="F2131" s="1">
        <v>42492</v>
      </c>
      <c r="G2131" s="1">
        <v>42494</v>
      </c>
      <c r="H2131" t="s">
        <v>25</v>
      </c>
      <c r="I2131">
        <v>2</v>
      </c>
      <c r="J2131" t="s">
        <v>109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23</v>
      </c>
      <c r="R2131">
        <v>0</v>
      </c>
    </row>
    <row r="2132" spans="1:18">
      <c r="A2132" s="4">
        <v>52695400000000</v>
      </c>
      <c r="B2132" t="s">
        <v>28</v>
      </c>
      <c r="C2132">
        <v>61</v>
      </c>
      <c r="D2132" t="s">
        <v>35</v>
      </c>
      <c r="E2132" t="s">
        <v>64</v>
      </c>
      <c r="F2132" s="1">
        <v>42492</v>
      </c>
      <c r="G2132" s="1">
        <v>42494</v>
      </c>
      <c r="H2132" t="s">
        <v>25</v>
      </c>
      <c r="I2132">
        <v>2</v>
      </c>
      <c r="J2132" t="s">
        <v>109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0</v>
      </c>
      <c r="Q2132" t="s">
        <v>23</v>
      </c>
      <c r="R2132">
        <v>0</v>
      </c>
    </row>
    <row r="2133" spans="1:18">
      <c r="A2133" s="4">
        <v>3285230000000</v>
      </c>
      <c r="B2133" t="s">
        <v>18</v>
      </c>
      <c r="C2133">
        <v>57</v>
      </c>
      <c r="D2133" t="s">
        <v>35</v>
      </c>
      <c r="E2133" t="s">
        <v>68</v>
      </c>
      <c r="F2133" s="1">
        <v>42492</v>
      </c>
      <c r="G2133" s="1">
        <v>42495</v>
      </c>
      <c r="H2133" t="s">
        <v>33</v>
      </c>
      <c r="I2133">
        <v>3</v>
      </c>
      <c r="J2133" t="s">
        <v>109</v>
      </c>
      <c r="K2133">
        <v>0</v>
      </c>
      <c r="L2133">
        <v>1</v>
      </c>
      <c r="M2133">
        <v>0</v>
      </c>
      <c r="N2133">
        <v>0</v>
      </c>
      <c r="O2133">
        <v>0</v>
      </c>
      <c r="P2133">
        <v>0</v>
      </c>
      <c r="Q2133" t="s">
        <v>23</v>
      </c>
      <c r="R2133">
        <v>0</v>
      </c>
    </row>
    <row r="2134" spans="1:18">
      <c r="A2134" s="4">
        <v>38147500000000</v>
      </c>
      <c r="B2134" t="s">
        <v>18</v>
      </c>
      <c r="C2134">
        <v>22</v>
      </c>
      <c r="D2134" t="s">
        <v>37</v>
      </c>
      <c r="E2134" t="s">
        <v>43</v>
      </c>
      <c r="F2134" s="1">
        <v>42492</v>
      </c>
      <c r="G2134" s="1">
        <v>42492</v>
      </c>
      <c r="H2134" t="s">
        <v>30</v>
      </c>
      <c r="I2134">
        <v>0</v>
      </c>
      <c r="J2134" t="s">
        <v>111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23</v>
      </c>
      <c r="R2134">
        <v>0</v>
      </c>
    </row>
    <row r="2135" spans="1:18">
      <c r="A2135" s="4">
        <v>284751000000000</v>
      </c>
      <c r="B2135" t="s">
        <v>18</v>
      </c>
      <c r="C2135">
        <v>0</v>
      </c>
      <c r="D2135" t="s">
        <v>31</v>
      </c>
      <c r="E2135" t="s">
        <v>105</v>
      </c>
      <c r="F2135" s="1">
        <v>42492</v>
      </c>
      <c r="G2135" s="1">
        <v>42521</v>
      </c>
      <c r="H2135" t="s">
        <v>41</v>
      </c>
      <c r="I2135">
        <v>29</v>
      </c>
      <c r="J2135" t="s">
        <v>77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1</v>
      </c>
      <c r="Q2135" t="s">
        <v>26</v>
      </c>
      <c r="R2135">
        <v>1</v>
      </c>
    </row>
    <row r="2136" spans="1:18">
      <c r="A2136" s="4">
        <v>9886917346</v>
      </c>
      <c r="B2136" t="s">
        <v>18</v>
      </c>
      <c r="C2136">
        <v>16</v>
      </c>
      <c r="D2136" t="s">
        <v>60</v>
      </c>
      <c r="E2136" t="s">
        <v>95</v>
      </c>
      <c r="F2136" s="1">
        <v>42492</v>
      </c>
      <c r="G2136" s="1">
        <v>42508</v>
      </c>
      <c r="H2136" t="s">
        <v>25</v>
      </c>
      <c r="I2136">
        <v>16</v>
      </c>
      <c r="J2136" t="s">
        <v>77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23</v>
      </c>
      <c r="R2136">
        <v>0</v>
      </c>
    </row>
    <row r="2137" spans="1:18">
      <c r="A2137" s="4">
        <v>8118440000000</v>
      </c>
      <c r="B2137" t="s">
        <v>18</v>
      </c>
      <c r="C2137">
        <v>52</v>
      </c>
      <c r="D2137" t="s">
        <v>35</v>
      </c>
      <c r="E2137" t="s">
        <v>81</v>
      </c>
      <c r="F2137" s="1">
        <v>42492</v>
      </c>
      <c r="G2137" s="1">
        <v>42495</v>
      </c>
      <c r="H2137" t="s">
        <v>33</v>
      </c>
      <c r="I2137">
        <v>3</v>
      </c>
      <c r="J2137" t="s">
        <v>109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23</v>
      </c>
      <c r="R2137">
        <v>0</v>
      </c>
    </row>
    <row r="2138" spans="1:18">
      <c r="A2138" s="4">
        <v>631652000000000</v>
      </c>
      <c r="B2138" t="s">
        <v>28</v>
      </c>
      <c r="C2138">
        <v>30</v>
      </c>
      <c r="D2138" t="s">
        <v>37</v>
      </c>
      <c r="E2138" t="s">
        <v>73</v>
      </c>
      <c r="F2138" s="1">
        <v>42492</v>
      </c>
      <c r="G2138" s="1">
        <v>42494</v>
      </c>
      <c r="H2138" t="s">
        <v>25</v>
      </c>
      <c r="I2138">
        <v>2</v>
      </c>
      <c r="J2138" t="s">
        <v>109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23</v>
      </c>
      <c r="R2138">
        <v>0</v>
      </c>
    </row>
    <row r="2139" spans="1:18">
      <c r="A2139" s="4">
        <v>7275110000000</v>
      </c>
      <c r="B2139" t="s">
        <v>18</v>
      </c>
      <c r="C2139">
        <v>70</v>
      </c>
      <c r="D2139" t="s">
        <v>19</v>
      </c>
      <c r="E2139" t="s">
        <v>71</v>
      </c>
      <c r="F2139" s="1">
        <v>42492</v>
      </c>
      <c r="G2139" s="1">
        <v>42495</v>
      </c>
      <c r="H2139" t="s">
        <v>33</v>
      </c>
      <c r="I2139">
        <v>3</v>
      </c>
      <c r="J2139" t="s">
        <v>109</v>
      </c>
      <c r="K2139">
        <v>0</v>
      </c>
      <c r="L2139">
        <v>1</v>
      </c>
      <c r="M2139">
        <v>1</v>
      </c>
      <c r="N2139">
        <v>0</v>
      </c>
      <c r="O2139">
        <v>0</v>
      </c>
      <c r="P2139">
        <v>0</v>
      </c>
      <c r="Q2139" t="s">
        <v>23</v>
      </c>
      <c r="R2139">
        <v>0</v>
      </c>
    </row>
    <row r="2140" spans="1:18">
      <c r="A2140" s="4">
        <v>677258000000</v>
      </c>
      <c r="B2140" t="s">
        <v>28</v>
      </c>
      <c r="C2140">
        <v>44</v>
      </c>
      <c r="D2140" t="s">
        <v>27</v>
      </c>
      <c r="E2140" t="s">
        <v>42</v>
      </c>
      <c r="F2140" s="1">
        <v>42492</v>
      </c>
      <c r="G2140" s="1">
        <v>42492</v>
      </c>
      <c r="H2140" t="s">
        <v>30</v>
      </c>
      <c r="I2140">
        <v>0</v>
      </c>
      <c r="J2140" t="s">
        <v>111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23</v>
      </c>
      <c r="R2140">
        <v>0</v>
      </c>
    </row>
    <row r="2141" spans="1:18">
      <c r="A2141" s="4">
        <v>61724300000000</v>
      </c>
      <c r="B2141" t="s">
        <v>18</v>
      </c>
      <c r="C2141">
        <v>58</v>
      </c>
      <c r="D2141" t="s">
        <v>35</v>
      </c>
      <c r="E2141" t="s">
        <v>39</v>
      </c>
      <c r="F2141" s="1">
        <v>42492</v>
      </c>
      <c r="G2141" s="1">
        <v>42492</v>
      </c>
      <c r="H2141" t="s">
        <v>30</v>
      </c>
      <c r="I2141">
        <v>0</v>
      </c>
      <c r="J2141" t="s">
        <v>111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23</v>
      </c>
      <c r="R2141">
        <v>0</v>
      </c>
    </row>
    <row r="2142" spans="1:18">
      <c r="A2142" s="4">
        <v>323449000000</v>
      </c>
      <c r="B2142" t="s">
        <v>18</v>
      </c>
      <c r="C2142">
        <v>17</v>
      </c>
      <c r="D2142" t="s">
        <v>60</v>
      </c>
      <c r="E2142" t="s">
        <v>39</v>
      </c>
      <c r="F2142" s="1">
        <v>42492</v>
      </c>
      <c r="G2142" s="1">
        <v>42494</v>
      </c>
      <c r="H2142" t="s">
        <v>25</v>
      </c>
      <c r="I2142">
        <v>2</v>
      </c>
      <c r="J2142" t="s">
        <v>109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26</v>
      </c>
      <c r="R2142">
        <v>1</v>
      </c>
    </row>
    <row r="2143" spans="1:18">
      <c r="A2143" s="4">
        <v>84253400000000</v>
      </c>
      <c r="B2143" t="s">
        <v>18</v>
      </c>
      <c r="C2143">
        <v>28</v>
      </c>
      <c r="D2143" t="s">
        <v>37</v>
      </c>
      <c r="E2143" t="s">
        <v>20</v>
      </c>
      <c r="F2143" s="1">
        <v>42492</v>
      </c>
      <c r="G2143" s="1">
        <v>42501</v>
      </c>
      <c r="H2143" t="s">
        <v>25</v>
      </c>
      <c r="I2143">
        <v>9</v>
      </c>
      <c r="J2143" t="s">
        <v>92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1</v>
      </c>
      <c r="Q2143" t="s">
        <v>26</v>
      </c>
      <c r="R2143">
        <v>1</v>
      </c>
    </row>
    <row r="2144" spans="1:18">
      <c r="A2144" s="4">
        <v>96677400000000</v>
      </c>
      <c r="B2144" t="s">
        <v>28</v>
      </c>
      <c r="C2144">
        <v>38</v>
      </c>
      <c r="D2144" t="s">
        <v>27</v>
      </c>
      <c r="E2144" t="s">
        <v>53</v>
      </c>
      <c r="F2144" s="1">
        <v>42492</v>
      </c>
      <c r="G2144" s="1">
        <v>42501</v>
      </c>
      <c r="H2144" t="s">
        <v>25</v>
      </c>
      <c r="I2144">
        <v>9</v>
      </c>
      <c r="J2144" t="s">
        <v>92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1</v>
      </c>
      <c r="Q2144" t="s">
        <v>23</v>
      </c>
      <c r="R2144">
        <v>0</v>
      </c>
    </row>
    <row r="2145" spans="1:18">
      <c r="A2145" s="4">
        <v>836852000000</v>
      </c>
      <c r="B2145" t="s">
        <v>28</v>
      </c>
      <c r="C2145">
        <v>7</v>
      </c>
      <c r="D2145" t="s">
        <v>31</v>
      </c>
      <c r="E2145" t="s">
        <v>72</v>
      </c>
      <c r="F2145" s="1">
        <v>42492</v>
      </c>
      <c r="G2145" s="1">
        <v>42529</v>
      </c>
      <c r="H2145" t="s">
        <v>25</v>
      </c>
      <c r="I2145">
        <v>37</v>
      </c>
      <c r="J2145" t="s">
        <v>22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1</v>
      </c>
      <c r="Q2145" t="s">
        <v>23</v>
      </c>
      <c r="R2145">
        <v>0</v>
      </c>
    </row>
    <row r="2146" spans="1:18">
      <c r="A2146" s="4">
        <v>198777000000000</v>
      </c>
      <c r="B2146" t="s">
        <v>18</v>
      </c>
      <c r="C2146">
        <v>60</v>
      </c>
      <c r="D2146" t="s">
        <v>35</v>
      </c>
      <c r="E2146" t="s">
        <v>72</v>
      </c>
      <c r="F2146" s="1">
        <v>42492</v>
      </c>
      <c r="G2146" s="1">
        <v>42502</v>
      </c>
      <c r="H2146" t="s">
        <v>33</v>
      </c>
      <c r="I2146">
        <v>10</v>
      </c>
      <c r="J2146" t="s">
        <v>92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1</v>
      </c>
      <c r="Q2146" t="s">
        <v>23</v>
      </c>
      <c r="R2146">
        <v>0</v>
      </c>
    </row>
    <row r="2147" spans="1:18">
      <c r="A2147" s="4">
        <v>957233000000</v>
      </c>
      <c r="B2147" t="s">
        <v>28</v>
      </c>
      <c r="C2147">
        <v>61</v>
      </c>
      <c r="D2147" t="s">
        <v>35</v>
      </c>
      <c r="E2147" t="s">
        <v>67</v>
      </c>
      <c r="F2147" s="1">
        <v>42492</v>
      </c>
      <c r="G2147" s="1">
        <v>42495</v>
      </c>
      <c r="H2147" t="s">
        <v>33</v>
      </c>
      <c r="I2147">
        <v>3</v>
      </c>
      <c r="J2147" t="s">
        <v>109</v>
      </c>
      <c r="K2147">
        <v>0</v>
      </c>
      <c r="L2147">
        <v>1</v>
      </c>
      <c r="M2147">
        <v>0</v>
      </c>
      <c r="N2147">
        <v>0</v>
      </c>
      <c r="O2147">
        <v>0</v>
      </c>
      <c r="P2147">
        <v>0</v>
      </c>
      <c r="Q2147" t="s">
        <v>23</v>
      </c>
      <c r="R2147">
        <v>0</v>
      </c>
    </row>
    <row r="2148" spans="1:18">
      <c r="A2148" s="4">
        <v>424792000000000</v>
      </c>
      <c r="B2148" t="s">
        <v>18</v>
      </c>
      <c r="C2148">
        <v>53</v>
      </c>
      <c r="D2148" t="s">
        <v>35</v>
      </c>
      <c r="E2148" t="s">
        <v>24</v>
      </c>
      <c r="F2148" s="1">
        <v>42492</v>
      </c>
      <c r="G2148" s="1">
        <v>42494</v>
      </c>
      <c r="H2148" t="s">
        <v>25</v>
      </c>
      <c r="I2148">
        <v>2</v>
      </c>
      <c r="J2148" t="s">
        <v>109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 t="s">
        <v>23</v>
      </c>
      <c r="R2148">
        <v>0</v>
      </c>
    </row>
    <row r="2149" spans="1:18">
      <c r="A2149" s="4">
        <v>8117960000000</v>
      </c>
      <c r="B2149" t="s">
        <v>28</v>
      </c>
      <c r="C2149">
        <v>0</v>
      </c>
      <c r="D2149" t="s">
        <v>31</v>
      </c>
      <c r="E2149" t="s">
        <v>66</v>
      </c>
      <c r="F2149" s="1">
        <v>42492</v>
      </c>
      <c r="G2149" s="1">
        <v>42499</v>
      </c>
      <c r="H2149" t="s">
        <v>30</v>
      </c>
      <c r="I2149">
        <v>7</v>
      </c>
      <c r="J2149" t="s">
        <v>107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26</v>
      </c>
      <c r="R2149">
        <v>1</v>
      </c>
    </row>
    <row r="2150" spans="1:18">
      <c r="A2150" s="4">
        <v>8882580000000</v>
      </c>
      <c r="B2150" t="s">
        <v>28</v>
      </c>
      <c r="C2150">
        <v>1</v>
      </c>
      <c r="D2150" t="s">
        <v>31</v>
      </c>
      <c r="E2150" t="s">
        <v>66</v>
      </c>
      <c r="F2150" s="1">
        <v>42492</v>
      </c>
      <c r="G2150" s="1">
        <v>42499</v>
      </c>
      <c r="H2150" t="s">
        <v>30</v>
      </c>
      <c r="I2150">
        <v>7</v>
      </c>
      <c r="J2150" t="s">
        <v>107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23</v>
      </c>
      <c r="R2150">
        <v>0</v>
      </c>
    </row>
    <row r="2151" spans="1:18">
      <c r="A2151" s="4">
        <v>22851500000000</v>
      </c>
      <c r="B2151" t="s">
        <v>28</v>
      </c>
      <c r="C2151">
        <v>24</v>
      </c>
      <c r="D2151" t="s">
        <v>37</v>
      </c>
      <c r="E2151" t="s">
        <v>72</v>
      </c>
      <c r="F2151" s="1">
        <v>42492</v>
      </c>
      <c r="G2151" s="1">
        <v>42492</v>
      </c>
      <c r="H2151" t="s">
        <v>30</v>
      </c>
      <c r="I2151">
        <v>0</v>
      </c>
      <c r="J2151" t="s">
        <v>111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23</v>
      </c>
      <c r="R2151">
        <v>0</v>
      </c>
    </row>
    <row r="2152" spans="1:18">
      <c r="A2152" s="4">
        <v>83449300000000</v>
      </c>
      <c r="B2152" t="s">
        <v>18</v>
      </c>
      <c r="C2152">
        <v>1</v>
      </c>
      <c r="D2152" t="s">
        <v>31</v>
      </c>
      <c r="E2152" t="s">
        <v>66</v>
      </c>
      <c r="F2152" s="1">
        <v>42492</v>
      </c>
      <c r="G2152" s="1">
        <v>42506</v>
      </c>
      <c r="H2152" t="s">
        <v>30</v>
      </c>
      <c r="I2152">
        <v>14</v>
      </c>
      <c r="J2152" t="s">
        <v>92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23</v>
      </c>
      <c r="R2152">
        <v>0</v>
      </c>
    </row>
    <row r="2153" spans="1:18">
      <c r="A2153" s="4">
        <v>794466000000000</v>
      </c>
      <c r="B2153" t="s">
        <v>18</v>
      </c>
      <c r="C2153">
        <v>21</v>
      </c>
      <c r="D2153" t="s">
        <v>37</v>
      </c>
      <c r="E2153" t="s">
        <v>52</v>
      </c>
      <c r="F2153" s="1">
        <v>42492</v>
      </c>
      <c r="G2153" s="1">
        <v>42521</v>
      </c>
      <c r="H2153" t="s">
        <v>41</v>
      </c>
      <c r="I2153">
        <v>29</v>
      </c>
      <c r="J2153" t="s">
        <v>77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1</v>
      </c>
      <c r="Q2153" t="s">
        <v>23</v>
      </c>
      <c r="R2153">
        <v>0</v>
      </c>
    </row>
    <row r="2154" spans="1:18">
      <c r="A2154" s="4">
        <v>77426400000000</v>
      </c>
      <c r="B2154" t="s">
        <v>18</v>
      </c>
      <c r="C2154">
        <v>32</v>
      </c>
      <c r="D2154" t="s">
        <v>37</v>
      </c>
      <c r="E2154" t="s">
        <v>50</v>
      </c>
      <c r="F2154" s="1">
        <v>42492</v>
      </c>
      <c r="G2154" s="1">
        <v>42493</v>
      </c>
      <c r="H2154" t="s">
        <v>41</v>
      </c>
      <c r="I2154">
        <v>1</v>
      </c>
      <c r="J2154" t="s">
        <v>109</v>
      </c>
      <c r="K2154">
        <v>1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26</v>
      </c>
      <c r="R2154">
        <v>1</v>
      </c>
    </row>
    <row r="2155" spans="1:18">
      <c r="A2155" s="4">
        <v>2243320000000</v>
      </c>
      <c r="B2155" t="s">
        <v>18</v>
      </c>
      <c r="C2155">
        <v>40</v>
      </c>
      <c r="D2155" t="s">
        <v>27</v>
      </c>
      <c r="E2155" t="s">
        <v>47</v>
      </c>
      <c r="F2155" s="1">
        <v>42492</v>
      </c>
      <c r="G2155" s="1">
        <v>42509</v>
      </c>
      <c r="H2155" t="s">
        <v>33</v>
      </c>
      <c r="I2155">
        <v>17</v>
      </c>
      <c r="J2155" t="s">
        <v>77</v>
      </c>
      <c r="K2155">
        <v>0</v>
      </c>
      <c r="L2155">
        <v>1</v>
      </c>
      <c r="M2155">
        <v>0</v>
      </c>
      <c r="N2155">
        <v>0</v>
      </c>
      <c r="O2155">
        <v>0</v>
      </c>
      <c r="P2155">
        <v>0</v>
      </c>
      <c r="Q2155" t="s">
        <v>23</v>
      </c>
      <c r="R2155">
        <v>0</v>
      </c>
    </row>
    <row r="2156" spans="1:18">
      <c r="A2156" s="4">
        <v>6677860000000</v>
      </c>
      <c r="B2156" t="s">
        <v>28</v>
      </c>
      <c r="C2156">
        <v>0</v>
      </c>
      <c r="D2156" t="s">
        <v>31</v>
      </c>
      <c r="E2156" t="s">
        <v>29</v>
      </c>
      <c r="F2156" s="1">
        <v>42492</v>
      </c>
      <c r="G2156" s="1">
        <v>42495</v>
      </c>
      <c r="H2156" t="s">
        <v>33</v>
      </c>
      <c r="I2156">
        <v>3</v>
      </c>
      <c r="J2156" t="s">
        <v>109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23</v>
      </c>
      <c r="R2156">
        <v>0</v>
      </c>
    </row>
    <row r="2157" spans="1:18">
      <c r="A2157" s="4">
        <v>2647790000000</v>
      </c>
      <c r="B2157" t="s">
        <v>28</v>
      </c>
      <c r="C2157">
        <v>75</v>
      </c>
      <c r="D2157" t="s">
        <v>19</v>
      </c>
      <c r="E2157" t="s">
        <v>29</v>
      </c>
      <c r="F2157" s="1">
        <v>42492</v>
      </c>
      <c r="G2157" s="1">
        <v>42492</v>
      </c>
      <c r="H2157" t="s">
        <v>30</v>
      </c>
      <c r="I2157">
        <v>0</v>
      </c>
      <c r="J2157" t="s">
        <v>111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23</v>
      </c>
      <c r="R2157">
        <v>0</v>
      </c>
    </row>
    <row r="2158" spans="1:18">
      <c r="A2158" s="4">
        <v>99637671331</v>
      </c>
      <c r="B2158" t="s">
        <v>28</v>
      </c>
      <c r="C2158">
        <v>46</v>
      </c>
      <c r="D2158" t="s">
        <v>27</v>
      </c>
      <c r="E2158" t="s">
        <v>67</v>
      </c>
      <c r="F2158" s="1">
        <v>42492</v>
      </c>
      <c r="G2158" s="1">
        <v>42492</v>
      </c>
      <c r="H2158" t="s">
        <v>30</v>
      </c>
      <c r="I2158">
        <v>0</v>
      </c>
      <c r="J2158" t="s">
        <v>111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23</v>
      </c>
      <c r="R2158">
        <v>0</v>
      </c>
    </row>
    <row r="2159" spans="1:18">
      <c r="A2159" s="4">
        <v>1484140000000</v>
      </c>
      <c r="B2159" t="s">
        <v>18</v>
      </c>
      <c r="C2159">
        <v>56</v>
      </c>
      <c r="D2159" t="s">
        <v>35</v>
      </c>
      <c r="E2159" t="s">
        <v>78</v>
      </c>
      <c r="F2159" s="1">
        <v>42492</v>
      </c>
      <c r="G2159" s="1">
        <v>42500</v>
      </c>
      <c r="H2159" t="s">
        <v>41</v>
      </c>
      <c r="I2159">
        <v>8</v>
      </c>
      <c r="J2159" t="s">
        <v>92</v>
      </c>
      <c r="K2159">
        <v>0</v>
      </c>
      <c r="L2159">
        <v>1</v>
      </c>
      <c r="M2159">
        <v>0</v>
      </c>
      <c r="N2159">
        <v>0</v>
      </c>
      <c r="O2159">
        <v>0</v>
      </c>
      <c r="P2159">
        <v>0</v>
      </c>
      <c r="Q2159" t="s">
        <v>23</v>
      </c>
      <c r="R2159">
        <v>0</v>
      </c>
    </row>
    <row r="2160" spans="1:18">
      <c r="A2160" s="4">
        <v>1484140000000</v>
      </c>
      <c r="B2160" t="s">
        <v>18</v>
      </c>
      <c r="C2160">
        <v>56</v>
      </c>
      <c r="D2160" t="s">
        <v>35</v>
      </c>
      <c r="E2160" t="s">
        <v>78</v>
      </c>
      <c r="F2160" s="1">
        <v>42492</v>
      </c>
      <c r="G2160" s="1">
        <v>42502</v>
      </c>
      <c r="H2160" t="s">
        <v>33</v>
      </c>
      <c r="I2160">
        <v>10</v>
      </c>
      <c r="J2160" t="s">
        <v>92</v>
      </c>
      <c r="K2160">
        <v>0</v>
      </c>
      <c r="L2160">
        <v>1</v>
      </c>
      <c r="M2160">
        <v>0</v>
      </c>
      <c r="N2160">
        <v>0</v>
      </c>
      <c r="O2160">
        <v>0</v>
      </c>
      <c r="P2160">
        <v>1</v>
      </c>
      <c r="Q2160" t="s">
        <v>23</v>
      </c>
      <c r="R2160">
        <v>0</v>
      </c>
    </row>
    <row r="2161" spans="1:18">
      <c r="A2161" s="4">
        <v>1572720000000</v>
      </c>
      <c r="B2161" t="s">
        <v>18</v>
      </c>
      <c r="C2161">
        <v>58</v>
      </c>
      <c r="D2161" t="s">
        <v>35</v>
      </c>
      <c r="E2161" t="s">
        <v>61</v>
      </c>
      <c r="F2161" s="1">
        <v>42492</v>
      </c>
      <c r="G2161" s="1">
        <v>42501</v>
      </c>
      <c r="H2161" t="s">
        <v>25</v>
      </c>
      <c r="I2161">
        <v>9</v>
      </c>
      <c r="J2161" t="s">
        <v>92</v>
      </c>
      <c r="K2161">
        <v>0</v>
      </c>
      <c r="L2161">
        <v>1</v>
      </c>
      <c r="M2161">
        <v>0</v>
      </c>
      <c r="N2161">
        <v>0</v>
      </c>
      <c r="O2161">
        <v>0</v>
      </c>
      <c r="P2161">
        <v>1</v>
      </c>
      <c r="Q2161" t="s">
        <v>23</v>
      </c>
      <c r="R2161">
        <v>0</v>
      </c>
    </row>
    <row r="2162" spans="1:18">
      <c r="A2162" s="4">
        <v>74432800000000</v>
      </c>
      <c r="B2162" t="s">
        <v>18</v>
      </c>
      <c r="C2162">
        <v>66</v>
      </c>
      <c r="D2162" t="s">
        <v>19</v>
      </c>
      <c r="E2162" t="s">
        <v>71</v>
      </c>
      <c r="F2162" s="1">
        <v>42492</v>
      </c>
      <c r="G2162" s="1">
        <v>42501</v>
      </c>
      <c r="H2162" t="s">
        <v>25</v>
      </c>
      <c r="I2162">
        <v>9</v>
      </c>
      <c r="J2162" t="s">
        <v>92</v>
      </c>
      <c r="K2162">
        <v>0</v>
      </c>
      <c r="L2162">
        <v>1</v>
      </c>
      <c r="M2162">
        <v>1</v>
      </c>
      <c r="N2162">
        <v>0</v>
      </c>
      <c r="O2162">
        <v>0</v>
      </c>
      <c r="P2162">
        <v>1</v>
      </c>
      <c r="Q2162" t="s">
        <v>23</v>
      </c>
      <c r="R2162">
        <v>0</v>
      </c>
    </row>
    <row r="2163" spans="1:18">
      <c r="A2163" s="4">
        <v>692248000000</v>
      </c>
      <c r="B2163" t="s">
        <v>18</v>
      </c>
      <c r="C2163">
        <v>74</v>
      </c>
      <c r="D2163" t="s">
        <v>19</v>
      </c>
      <c r="E2163" t="s">
        <v>100</v>
      </c>
      <c r="F2163" s="1">
        <v>42492</v>
      </c>
      <c r="G2163" s="1">
        <v>42502</v>
      </c>
      <c r="H2163" t="s">
        <v>33</v>
      </c>
      <c r="I2163">
        <v>10</v>
      </c>
      <c r="J2163" t="s">
        <v>92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1</v>
      </c>
      <c r="Q2163" t="s">
        <v>23</v>
      </c>
      <c r="R2163">
        <v>0</v>
      </c>
    </row>
    <row r="2164" spans="1:18">
      <c r="A2164" s="4">
        <v>7122920000000</v>
      </c>
      <c r="B2164" t="s">
        <v>18</v>
      </c>
      <c r="C2164">
        <v>26</v>
      </c>
      <c r="D2164" t="s">
        <v>37</v>
      </c>
      <c r="E2164" t="s">
        <v>39</v>
      </c>
      <c r="F2164" s="1">
        <v>42492</v>
      </c>
      <c r="G2164" s="1">
        <v>42492</v>
      </c>
      <c r="H2164" t="s">
        <v>30</v>
      </c>
      <c r="I2164">
        <v>0</v>
      </c>
      <c r="J2164" t="s">
        <v>111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23</v>
      </c>
      <c r="R2164">
        <v>0</v>
      </c>
    </row>
    <row r="2165" spans="1:18">
      <c r="A2165" s="4">
        <v>9475780000000</v>
      </c>
      <c r="B2165" t="s">
        <v>18</v>
      </c>
      <c r="C2165">
        <v>10</v>
      </c>
      <c r="D2165" t="s">
        <v>31</v>
      </c>
      <c r="E2165" t="s">
        <v>58</v>
      </c>
      <c r="F2165" s="1">
        <v>42493</v>
      </c>
      <c r="G2165" s="1">
        <v>42494</v>
      </c>
      <c r="H2165" t="s">
        <v>25</v>
      </c>
      <c r="I2165">
        <v>1</v>
      </c>
      <c r="J2165" t="s">
        <v>109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23</v>
      </c>
      <c r="R2165">
        <v>0</v>
      </c>
    </row>
    <row r="2166" spans="1:18">
      <c r="A2166" s="4">
        <v>353442000000</v>
      </c>
      <c r="B2166" t="s">
        <v>28</v>
      </c>
      <c r="C2166">
        <v>72</v>
      </c>
      <c r="D2166" t="s">
        <v>19</v>
      </c>
      <c r="E2166" t="s">
        <v>42</v>
      </c>
      <c r="F2166" s="1">
        <v>42493</v>
      </c>
      <c r="G2166" s="1">
        <v>42493</v>
      </c>
      <c r="H2166" t="s">
        <v>41</v>
      </c>
      <c r="I2166">
        <v>0</v>
      </c>
      <c r="J2166" t="s">
        <v>111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23</v>
      </c>
      <c r="R2166">
        <v>0</v>
      </c>
    </row>
    <row r="2167" spans="1:18">
      <c r="A2167" s="4">
        <v>97656700000000</v>
      </c>
      <c r="B2167" t="s">
        <v>28</v>
      </c>
      <c r="C2167">
        <v>46</v>
      </c>
      <c r="D2167" t="s">
        <v>27</v>
      </c>
      <c r="E2167" t="s">
        <v>48</v>
      </c>
      <c r="F2167" s="1">
        <v>42493</v>
      </c>
      <c r="G2167" s="1">
        <v>42495</v>
      </c>
      <c r="H2167" t="s">
        <v>33</v>
      </c>
      <c r="I2167">
        <v>2</v>
      </c>
      <c r="J2167" t="s">
        <v>109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23</v>
      </c>
      <c r="R2167">
        <v>0</v>
      </c>
    </row>
    <row r="2168" spans="1:18">
      <c r="A2168" s="4">
        <v>98227900000000</v>
      </c>
      <c r="B2168" t="s">
        <v>18</v>
      </c>
      <c r="C2168">
        <v>70</v>
      </c>
      <c r="D2168" t="s">
        <v>19</v>
      </c>
      <c r="E2168" t="s">
        <v>68</v>
      </c>
      <c r="F2168" s="1">
        <v>42493</v>
      </c>
      <c r="G2168" s="1">
        <v>42495</v>
      </c>
      <c r="H2168" t="s">
        <v>33</v>
      </c>
      <c r="I2168">
        <v>2</v>
      </c>
      <c r="J2168" t="s">
        <v>109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v>0</v>
      </c>
      <c r="Q2168" t="s">
        <v>23</v>
      </c>
      <c r="R2168">
        <v>0</v>
      </c>
    </row>
    <row r="2169" spans="1:18">
      <c r="A2169" s="4">
        <v>3696120000000</v>
      </c>
      <c r="B2169" t="s">
        <v>28</v>
      </c>
      <c r="C2169">
        <v>43</v>
      </c>
      <c r="D2169" t="s">
        <v>27</v>
      </c>
      <c r="E2169" t="s">
        <v>64</v>
      </c>
      <c r="F2169" s="1">
        <v>42493</v>
      </c>
      <c r="G2169" s="1">
        <v>42499</v>
      </c>
      <c r="H2169" t="s">
        <v>30</v>
      </c>
      <c r="I2169">
        <v>6</v>
      </c>
      <c r="J2169" t="s">
        <v>107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23</v>
      </c>
      <c r="R2169">
        <v>0</v>
      </c>
    </row>
    <row r="2170" spans="1:18">
      <c r="A2170" s="4">
        <v>899228000000000</v>
      </c>
      <c r="B2170" t="s">
        <v>18</v>
      </c>
      <c r="C2170">
        <v>47</v>
      </c>
      <c r="D2170" t="s">
        <v>27</v>
      </c>
      <c r="E2170" t="s">
        <v>81</v>
      </c>
      <c r="F2170" s="1">
        <v>42493</v>
      </c>
      <c r="G2170" s="1">
        <v>42522</v>
      </c>
      <c r="H2170" t="s">
        <v>25</v>
      </c>
      <c r="I2170">
        <v>29</v>
      </c>
      <c r="J2170" t="s">
        <v>77</v>
      </c>
      <c r="K2170">
        <v>0</v>
      </c>
      <c r="L2170">
        <v>1</v>
      </c>
      <c r="M2170">
        <v>0</v>
      </c>
      <c r="N2170">
        <v>0</v>
      </c>
      <c r="O2170">
        <v>0</v>
      </c>
      <c r="P2170">
        <v>1</v>
      </c>
      <c r="Q2170" t="s">
        <v>23</v>
      </c>
      <c r="R2170">
        <v>0</v>
      </c>
    </row>
    <row r="2171" spans="1:18">
      <c r="A2171" s="4">
        <v>39297500000000</v>
      </c>
      <c r="B2171" t="s">
        <v>18</v>
      </c>
      <c r="C2171">
        <v>59</v>
      </c>
      <c r="D2171" t="s">
        <v>35</v>
      </c>
      <c r="E2171" t="s">
        <v>72</v>
      </c>
      <c r="F2171" s="1">
        <v>42493</v>
      </c>
      <c r="G2171" s="1">
        <v>42495</v>
      </c>
      <c r="H2171" t="s">
        <v>33</v>
      </c>
      <c r="I2171">
        <v>2</v>
      </c>
      <c r="J2171" t="s">
        <v>109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23</v>
      </c>
      <c r="R2171">
        <v>0</v>
      </c>
    </row>
    <row r="2172" spans="1:18">
      <c r="A2172" s="4">
        <v>3336660000000</v>
      </c>
      <c r="B2172" t="s">
        <v>28</v>
      </c>
      <c r="C2172">
        <v>81</v>
      </c>
      <c r="D2172" t="s">
        <v>19</v>
      </c>
      <c r="E2172" t="s">
        <v>50</v>
      </c>
      <c r="F2172" s="1">
        <v>42493</v>
      </c>
      <c r="G2172" s="1">
        <v>42495</v>
      </c>
      <c r="H2172" t="s">
        <v>33</v>
      </c>
      <c r="I2172">
        <v>2</v>
      </c>
      <c r="J2172" t="s">
        <v>109</v>
      </c>
      <c r="K2172">
        <v>0</v>
      </c>
      <c r="L2172">
        <v>1</v>
      </c>
      <c r="M2172">
        <v>1</v>
      </c>
      <c r="N2172">
        <v>0</v>
      </c>
      <c r="O2172">
        <v>0</v>
      </c>
      <c r="P2172">
        <v>0</v>
      </c>
      <c r="Q2172" t="s">
        <v>26</v>
      </c>
      <c r="R2172">
        <v>1</v>
      </c>
    </row>
    <row r="2173" spans="1:18">
      <c r="A2173" s="4">
        <v>899228000000000</v>
      </c>
      <c r="B2173" t="s">
        <v>18</v>
      </c>
      <c r="C2173">
        <v>47</v>
      </c>
      <c r="D2173" t="s">
        <v>27</v>
      </c>
      <c r="E2173" t="s">
        <v>81</v>
      </c>
      <c r="F2173" s="1">
        <v>42493</v>
      </c>
      <c r="G2173" s="1">
        <v>42522</v>
      </c>
      <c r="H2173" t="s">
        <v>25</v>
      </c>
      <c r="I2173">
        <v>29</v>
      </c>
      <c r="J2173" t="s">
        <v>77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 t="s">
        <v>23</v>
      </c>
      <c r="R2173">
        <v>0</v>
      </c>
    </row>
    <row r="2174" spans="1:18">
      <c r="A2174" s="4">
        <v>2314360000000</v>
      </c>
      <c r="B2174" t="s">
        <v>18</v>
      </c>
      <c r="C2174">
        <v>32</v>
      </c>
      <c r="D2174" t="s">
        <v>37</v>
      </c>
      <c r="E2174" t="s">
        <v>51</v>
      </c>
      <c r="F2174" s="1">
        <v>42493</v>
      </c>
      <c r="G2174" s="1">
        <v>42523</v>
      </c>
      <c r="H2174" t="s">
        <v>33</v>
      </c>
      <c r="I2174">
        <v>30</v>
      </c>
      <c r="J2174" t="s">
        <v>77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1</v>
      </c>
      <c r="Q2174" t="s">
        <v>23</v>
      </c>
      <c r="R2174">
        <v>0</v>
      </c>
    </row>
    <row r="2175" spans="1:18">
      <c r="A2175" s="4">
        <v>562277000000000</v>
      </c>
      <c r="B2175" t="s">
        <v>28</v>
      </c>
      <c r="C2175">
        <v>48</v>
      </c>
      <c r="D2175" t="s">
        <v>27</v>
      </c>
      <c r="E2175" t="s">
        <v>39</v>
      </c>
      <c r="F2175" s="1">
        <v>42493</v>
      </c>
      <c r="G2175" s="1">
        <v>42495</v>
      </c>
      <c r="H2175" t="s">
        <v>33</v>
      </c>
      <c r="I2175">
        <v>2</v>
      </c>
      <c r="J2175" t="s">
        <v>109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23</v>
      </c>
      <c r="R2175">
        <v>0</v>
      </c>
    </row>
    <row r="2176" spans="1:18">
      <c r="A2176" s="4">
        <v>38311100000000</v>
      </c>
      <c r="B2176" t="s">
        <v>28</v>
      </c>
      <c r="C2176">
        <v>56</v>
      </c>
      <c r="D2176" t="s">
        <v>35</v>
      </c>
      <c r="E2176" t="s">
        <v>49</v>
      </c>
      <c r="F2176" s="1">
        <v>42493</v>
      </c>
      <c r="G2176" s="1">
        <v>42495</v>
      </c>
      <c r="H2176" t="s">
        <v>33</v>
      </c>
      <c r="I2176">
        <v>2</v>
      </c>
      <c r="J2176" t="s">
        <v>109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23</v>
      </c>
      <c r="R2176">
        <v>0</v>
      </c>
    </row>
    <row r="2177" spans="1:18">
      <c r="A2177" s="4">
        <v>62448900000000</v>
      </c>
      <c r="B2177" t="s">
        <v>28</v>
      </c>
      <c r="C2177">
        <v>11</v>
      </c>
      <c r="D2177" t="s">
        <v>31</v>
      </c>
      <c r="E2177" t="s">
        <v>68</v>
      </c>
      <c r="F2177" s="1">
        <v>42493</v>
      </c>
      <c r="G2177" s="1">
        <v>42493</v>
      </c>
      <c r="H2177" t="s">
        <v>41</v>
      </c>
      <c r="I2177">
        <v>0</v>
      </c>
      <c r="J2177" t="s">
        <v>111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23</v>
      </c>
      <c r="R2177">
        <v>0</v>
      </c>
    </row>
    <row r="2178" spans="1:18">
      <c r="A2178" s="4">
        <v>83287147316</v>
      </c>
      <c r="B2178" t="s">
        <v>18</v>
      </c>
      <c r="C2178">
        <v>50</v>
      </c>
      <c r="D2178" t="s">
        <v>27</v>
      </c>
      <c r="E2178" t="s">
        <v>106</v>
      </c>
      <c r="F2178" s="1">
        <v>42493</v>
      </c>
      <c r="G2178" s="1">
        <v>42495</v>
      </c>
      <c r="H2178" t="s">
        <v>33</v>
      </c>
      <c r="I2178">
        <v>2</v>
      </c>
      <c r="J2178" t="s">
        <v>109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23</v>
      </c>
      <c r="R2178">
        <v>0</v>
      </c>
    </row>
    <row r="2179" spans="1:18">
      <c r="A2179" s="4">
        <v>86172747259</v>
      </c>
      <c r="B2179" t="s">
        <v>28</v>
      </c>
      <c r="C2179">
        <v>25</v>
      </c>
      <c r="D2179" t="s">
        <v>37</v>
      </c>
      <c r="E2179" t="s">
        <v>40</v>
      </c>
      <c r="F2179" s="1">
        <v>42493</v>
      </c>
      <c r="G2179" s="1">
        <v>42493</v>
      </c>
      <c r="H2179" t="s">
        <v>41</v>
      </c>
      <c r="I2179">
        <v>0</v>
      </c>
      <c r="J2179" t="s">
        <v>111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23</v>
      </c>
      <c r="R2179">
        <v>0</v>
      </c>
    </row>
    <row r="2180" spans="1:18">
      <c r="A2180" s="4">
        <v>26774100000000</v>
      </c>
      <c r="B2180" t="s">
        <v>18</v>
      </c>
      <c r="C2180">
        <v>52</v>
      </c>
      <c r="D2180" t="s">
        <v>35</v>
      </c>
      <c r="E2180" t="s">
        <v>64</v>
      </c>
      <c r="F2180" s="1">
        <v>42493</v>
      </c>
      <c r="G2180" s="1">
        <v>42500</v>
      </c>
      <c r="H2180" t="s">
        <v>41</v>
      </c>
      <c r="I2180">
        <v>7</v>
      </c>
      <c r="J2180" t="s">
        <v>107</v>
      </c>
      <c r="K2180">
        <v>1</v>
      </c>
      <c r="L2180">
        <v>1</v>
      </c>
      <c r="M2180">
        <v>1</v>
      </c>
      <c r="N2180">
        <v>0</v>
      </c>
      <c r="O2180">
        <v>0</v>
      </c>
      <c r="P2180">
        <v>1</v>
      </c>
      <c r="Q2180" t="s">
        <v>23</v>
      </c>
      <c r="R2180">
        <v>0</v>
      </c>
    </row>
    <row r="2181" spans="1:18">
      <c r="A2181" s="4">
        <v>275922000000000</v>
      </c>
      <c r="B2181" t="s">
        <v>18</v>
      </c>
      <c r="C2181">
        <v>34</v>
      </c>
      <c r="D2181" t="s">
        <v>37</v>
      </c>
      <c r="E2181" t="s">
        <v>96</v>
      </c>
      <c r="F2181" s="1">
        <v>42493</v>
      </c>
      <c r="G2181" s="1">
        <v>42499</v>
      </c>
      <c r="H2181" t="s">
        <v>30</v>
      </c>
      <c r="I2181">
        <v>6</v>
      </c>
      <c r="J2181" t="s">
        <v>107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23</v>
      </c>
      <c r="R2181">
        <v>0</v>
      </c>
    </row>
    <row r="2182" spans="1:18">
      <c r="A2182" s="4">
        <v>494347000000</v>
      </c>
      <c r="B2182" t="s">
        <v>18</v>
      </c>
      <c r="C2182">
        <v>60</v>
      </c>
      <c r="D2182" t="s">
        <v>35</v>
      </c>
      <c r="E2182" t="s">
        <v>43</v>
      </c>
      <c r="F2182" s="1">
        <v>42493</v>
      </c>
      <c r="G2182" s="1">
        <v>42495</v>
      </c>
      <c r="H2182" t="s">
        <v>33</v>
      </c>
      <c r="I2182">
        <v>2</v>
      </c>
      <c r="J2182" t="s">
        <v>109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23</v>
      </c>
      <c r="R2182">
        <v>0</v>
      </c>
    </row>
    <row r="2183" spans="1:18">
      <c r="A2183" s="4">
        <v>548821000000</v>
      </c>
      <c r="B2183" t="s">
        <v>28</v>
      </c>
      <c r="C2183">
        <v>0</v>
      </c>
      <c r="D2183" t="s">
        <v>31</v>
      </c>
      <c r="E2183" t="s">
        <v>58</v>
      </c>
      <c r="F2183" s="1">
        <v>42493</v>
      </c>
      <c r="G2183" s="1">
        <v>42493</v>
      </c>
      <c r="H2183" t="s">
        <v>41</v>
      </c>
      <c r="I2183">
        <v>0</v>
      </c>
      <c r="J2183" t="s">
        <v>111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23</v>
      </c>
      <c r="R2183">
        <v>0</v>
      </c>
    </row>
    <row r="2184" spans="1:18">
      <c r="A2184" s="4">
        <v>2668350000000</v>
      </c>
      <c r="B2184" t="s">
        <v>18</v>
      </c>
      <c r="C2184">
        <v>82</v>
      </c>
      <c r="D2184" t="s">
        <v>19</v>
      </c>
      <c r="E2184" t="s">
        <v>81</v>
      </c>
      <c r="F2184" s="1">
        <v>42493</v>
      </c>
      <c r="G2184" s="1">
        <v>42523</v>
      </c>
      <c r="H2184" t="s">
        <v>33</v>
      </c>
      <c r="I2184">
        <v>30</v>
      </c>
      <c r="J2184" t="s">
        <v>77</v>
      </c>
      <c r="K2184">
        <v>0</v>
      </c>
      <c r="L2184">
        <v>1</v>
      </c>
      <c r="M2184">
        <v>0</v>
      </c>
      <c r="N2184">
        <v>0</v>
      </c>
      <c r="O2184">
        <v>0</v>
      </c>
      <c r="P2184">
        <v>1</v>
      </c>
      <c r="Q2184" t="s">
        <v>26</v>
      </c>
      <c r="R2184">
        <v>1</v>
      </c>
    </row>
    <row r="2185" spans="1:18">
      <c r="A2185" s="4">
        <v>79223700000000</v>
      </c>
      <c r="B2185" t="s">
        <v>18</v>
      </c>
      <c r="C2185">
        <v>10</v>
      </c>
      <c r="D2185" t="s">
        <v>31</v>
      </c>
      <c r="E2185" t="s">
        <v>51</v>
      </c>
      <c r="F2185" s="1">
        <v>42493</v>
      </c>
      <c r="G2185" s="1">
        <v>42524</v>
      </c>
      <c r="H2185" t="s">
        <v>21</v>
      </c>
      <c r="I2185">
        <v>31</v>
      </c>
      <c r="J2185" t="s">
        <v>22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1</v>
      </c>
      <c r="Q2185" t="s">
        <v>23</v>
      </c>
      <c r="R2185">
        <v>0</v>
      </c>
    </row>
    <row r="2186" spans="1:18">
      <c r="A2186" s="4">
        <v>32119000000000</v>
      </c>
      <c r="B2186" t="s">
        <v>18</v>
      </c>
      <c r="C2186">
        <v>7</v>
      </c>
      <c r="D2186" t="s">
        <v>31</v>
      </c>
      <c r="E2186" t="s">
        <v>84</v>
      </c>
      <c r="F2186" s="1">
        <v>42493</v>
      </c>
      <c r="G2186" s="1">
        <v>42501</v>
      </c>
      <c r="H2186" t="s">
        <v>25</v>
      </c>
      <c r="I2186">
        <v>8</v>
      </c>
      <c r="J2186" t="s">
        <v>92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23</v>
      </c>
      <c r="R2186">
        <v>0</v>
      </c>
    </row>
    <row r="2187" spans="1:18">
      <c r="A2187" s="4">
        <v>114618000000000</v>
      </c>
      <c r="B2187" t="s">
        <v>18</v>
      </c>
      <c r="C2187">
        <v>57</v>
      </c>
      <c r="D2187" t="s">
        <v>35</v>
      </c>
      <c r="E2187" t="s">
        <v>64</v>
      </c>
      <c r="F2187" s="1">
        <v>42493</v>
      </c>
      <c r="G2187" s="1">
        <v>42501</v>
      </c>
      <c r="H2187" t="s">
        <v>25</v>
      </c>
      <c r="I2187">
        <v>8</v>
      </c>
      <c r="J2187" t="s">
        <v>92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1</v>
      </c>
      <c r="Q2187" t="s">
        <v>23</v>
      </c>
      <c r="R2187">
        <v>0</v>
      </c>
    </row>
    <row r="2188" spans="1:18">
      <c r="A2188" s="4">
        <v>697370000000000</v>
      </c>
      <c r="B2188" t="s">
        <v>18</v>
      </c>
      <c r="C2188">
        <v>64</v>
      </c>
      <c r="D2188" t="s">
        <v>35</v>
      </c>
      <c r="E2188" t="s">
        <v>74</v>
      </c>
      <c r="F2188" s="1">
        <v>42493</v>
      </c>
      <c r="G2188" s="1">
        <v>42527</v>
      </c>
      <c r="H2188" t="s">
        <v>30</v>
      </c>
      <c r="I2188">
        <v>34</v>
      </c>
      <c r="J2188" t="s">
        <v>22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1</v>
      </c>
      <c r="Q2188" t="s">
        <v>23</v>
      </c>
      <c r="R2188">
        <v>0</v>
      </c>
    </row>
    <row r="2189" spans="1:18">
      <c r="A2189" s="4">
        <v>66534400000000</v>
      </c>
      <c r="B2189" t="s">
        <v>18</v>
      </c>
      <c r="C2189">
        <v>26</v>
      </c>
      <c r="D2189" t="s">
        <v>37</v>
      </c>
      <c r="E2189" t="s">
        <v>48</v>
      </c>
      <c r="F2189" s="1">
        <v>42493</v>
      </c>
      <c r="G2189" s="1">
        <v>42495</v>
      </c>
      <c r="H2189" t="s">
        <v>33</v>
      </c>
      <c r="I2189">
        <v>2</v>
      </c>
      <c r="J2189" t="s">
        <v>109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23</v>
      </c>
      <c r="R2189">
        <v>0</v>
      </c>
    </row>
    <row r="2190" spans="1:18">
      <c r="A2190" s="4">
        <v>11327263153</v>
      </c>
      <c r="B2190" t="s">
        <v>28</v>
      </c>
      <c r="C2190">
        <v>60</v>
      </c>
      <c r="D2190" t="s">
        <v>35</v>
      </c>
      <c r="E2190" t="s">
        <v>87</v>
      </c>
      <c r="F2190" s="1">
        <v>42493</v>
      </c>
      <c r="G2190" s="1">
        <v>42493</v>
      </c>
      <c r="H2190" t="s">
        <v>41</v>
      </c>
      <c r="I2190">
        <v>0</v>
      </c>
      <c r="J2190" t="s">
        <v>111</v>
      </c>
      <c r="K2190">
        <v>0</v>
      </c>
      <c r="L2190">
        <v>1</v>
      </c>
      <c r="M2190">
        <v>0</v>
      </c>
      <c r="N2190">
        <v>0</v>
      </c>
      <c r="O2190">
        <v>0</v>
      </c>
      <c r="P2190">
        <v>0</v>
      </c>
      <c r="Q2190" t="s">
        <v>23</v>
      </c>
      <c r="R2190">
        <v>0</v>
      </c>
    </row>
    <row r="2191" spans="1:18">
      <c r="A2191" s="4">
        <v>33566728287</v>
      </c>
      <c r="B2191" t="s">
        <v>18</v>
      </c>
      <c r="C2191">
        <v>58</v>
      </c>
      <c r="D2191" t="s">
        <v>35</v>
      </c>
      <c r="E2191" t="s">
        <v>80</v>
      </c>
      <c r="F2191" s="1">
        <v>42493</v>
      </c>
      <c r="G2191" s="1">
        <v>42522</v>
      </c>
      <c r="H2191" t="s">
        <v>25</v>
      </c>
      <c r="I2191">
        <v>29</v>
      </c>
      <c r="J2191" t="s">
        <v>77</v>
      </c>
      <c r="K2191">
        <v>0</v>
      </c>
      <c r="L2191">
        <v>1</v>
      </c>
      <c r="M2191">
        <v>0</v>
      </c>
      <c r="N2191">
        <v>0</v>
      </c>
      <c r="O2191">
        <v>0</v>
      </c>
      <c r="P2191">
        <v>1</v>
      </c>
      <c r="Q2191" t="s">
        <v>23</v>
      </c>
      <c r="R2191">
        <v>0</v>
      </c>
    </row>
    <row r="2192" spans="1:18">
      <c r="A2192" s="4">
        <v>51822700000000</v>
      </c>
      <c r="B2192" t="s">
        <v>28</v>
      </c>
      <c r="C2192">
        <v>0</v>
      </c>
      <c r="D2192" t="s">
        <v>31</v>
      </c>
      <c r="E2192" t="s">
        <v>96</v>
      </c>
      <c r="F2192" s="1">
        <v>42493</v>
      </c>
      <c r="G2192" s="1">
        <v>42502</v>
      </c>
      <c r="H2192" t="s">
        <v>33</v>
      </c>
      <c r="I2192">
        <v>9</v>
      </c>
      <c r="J2192" t="s">
        <v>92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1</v>
      </c>
      <c r="Q2192" t="s">
        <v>23</v>
      </c>
      <c r="R2192">
        <v>0</v>
      </c>
    </row>
    <row r="2193" spans="1:18">
      <c r="A2193" s="4">
        <v>619878000000</v>
      </c>
      <c r="B2193" t="s">
        <v>18</v>
      </c>
      <c r="C2193">
        <v>33</v>
      </c>
      <c r="D2193" t="s">
        <v>37</v>
      </c>
      <c r="E2193" t="s">
        <v>64</v>
      </c>
      <c r="F2193" s="1">
        <v>42493</v>
      </c>
      <c r="G2193" s="1">
        <v>42503</v>
      </c>
      <c r="H2193" t="s">
        <v>21</v>
      </c>
      <c r="I2193">
        <v>10</v>
      </c>
      <c r="J2193" t="s">
        <v>92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23</v>
      </c>
      <c r="R2193">
        <v>0</v>
      </c>
    </row>
    <row r="2194" spans="1:18">
      <c r="A2194" s="4">
        <v>22384900000000</v>
      </c>
      <c r="B2194" t="s">
        <v>28</v>
      </c>
      <c r="C2194">
        <v>40</v>
      </c>
      <c r="D2194" t="s">
        <v>27</v>
      </c>
      <c r="E2194" t="s">
        <v>51</v>
      </c>
      <c r="F2194" s="1">
        <v>42493</v>
      </c>
      <c r="G2194" s="1">
        <v>42524</v>
      </c>
      <c r="H2194" t="s">
        <v>21</v>
      </c>
      <c r="I2194">
        <v>31</v>
      </c>
      <c r="J2194" t="s">
        <v>22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1</v>
      </c>
      <c r="Q2194" t="s">
        <v>23</v>
      </c>
      <c r="R2194">
        <v>0</v>
      </c>
    </row>
    <row r="2195" spans="1:18">
      <c r="A2195" s="4">
        <v>39689400000000</v>
      </c>
      <c r="B2195" t="s">
        <v>18</v>
      </c>
      <c r="C2195">
        <v>61</v>
      </c>
      <c r="D2195" t="s">
        <v>35</v>
      </c>
      <c r="E2195" t="s">
        <v>81</v>
      </c>
      <c r="F2195" s="1">
        <v>42493</v>
      </c>
      <c r="G2195" s="1">
        <v>42524</v>
      </c>
      <c r="H2195" t="s">
        <v>21</v>
      </c>
      <c r="I2195">
        <v>31</v>
      </c>
      <c r="J2195" t="s">
        <v>22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1</v>
      </c>
      <c r="Q2195" t="s">
        <v>23</v>
      </c>
      <c r="R2195">
        <v>0</v>
      </c>
    </row>
    <row r="2196" spans="1:18">
      <c r="A2196" s="4">
        <v>495642000000000</v>
      </c>
      <c r="B2196" t="s">
        <v>18</v>
      </c>
      <c r="C2196">
        <v>39</v>
      </c>
      <c r="D2196" t="s">
        <v>27</v>
      </c>
      <c r="E2196" t="s">
        <v>20</v>
      </c>
      <c r="F2196" s="1">
        <v>42493</v>
      </c>
      <c r="G2196" s="1">
        <v>42493</v>
      </c>
      <c r="H2196" t="s">
        <v>41</v>
      </c>
      <c r="I2196">
        <v>0</v>
      </c>
      <c r="J2196" t="s">
        <v>111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23</v>
      </c>
      <c r="R2196">
        <v>0</v>
      </c>
    </row>
    <row r="2197" spans="1:18">
      <c r="A2197" s="4">
        <v>247854000000000</v>
      </c>
      <c r="B2197" t="s">
        <v>28</v>
      </c>
      <c r="C2197">
        <v>52</v>
      </c>
      <c r="D2197" t="s">
        <v>35</v>
      </c>
      <c r="E2197" t="s">
        <v>52</v>
      </c>
      <c r="F2197" s="1">
        <v>42493</v>
      </c>
      <c r="G2197" s="1">
        <v>42514</v>
      </c>
      <c r="H2197" t="s">
        <v>41</v>
      </c>
      <c r="I2197">
        <v>21</v>
      </c>
      <c r="J2197" t="s">
        <v>77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23</v>
      </c>
      <c r="R2197">
        <v>0</v>
      </c>
    </row>
    <row r="2198" spans="1:18">
      <c r="A2198" s="4">
        <v>463679000000</v>
      </c>
      <c r="B2198" t="s">
        <v>18</v>
      </c>
      <c r="C2198">
        <v>1</v>
      </c>
      <c r="D2198" t="s">
        <v>31</v>
      </c>
      <c r="E2198" t="s">
        <v>47</v>
      </c>
      <c r="F2198" s="1">
        <v>42493</v>
      </c>
      <c r="G2198" s="1">
        <v>42493</v>
      </c>
      <c r="H2198" t="s">
        <v>41</v>
      </c>
      <c r="I2198">
        <v>0</v>
      </c>
      <c r="J2198" t="s">
        <v>111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23</v>
      </c>
      <c r="R2198">
        <v>0</v>
      </c>
    </row>
    <row r="2199" spans="1:18">
      <c r="A2199" s="4">
        <v>5766800000000</v>
      </c>
      <c r="B2199" t="s">
        <v>18</v>
      </c>
      <c r="C2199">
        <v>42</v>
      </c>
      <c r="D2199" t="s">
        <v>27</v>
      </c>
      <c r="E2199" t="s">
        <v>61</v>
      </c>
      <c r="F2199" s="1">
        <v>42493</v>
      </c>
      <c r="G2199" s="1">
        <v>42493</v>
      </c>
      <c r="H2199" t="s">
        <v>41</v>
      </c>
      <c r="I2199">
        <v>0</v>
      </c>
      <c r="J2199" t="s">
        <v>111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23</v>
      </c>
      <c r="R2199">
        <v>0</v>
      </c>
    </row>
    <row r="2200" spans="1:18">
      <c r="A2200" s="4">
        <v>67132725646</v>
      </c>
      <c r="B2200" t="s">
        <v>18</v>
      </c>
      <c r="C2200">
        <v>48</v>
      </c>
      <c r="D2200" t="s">
        <v>27</v>
      </c>
      <c r="E2200" t="s">
        <v>64</v>
      </c>
      <c r="F2200" s="1">
        <v>42493</v>
      </c>
      <c r="G2200" s="1">
        <v>42503</v>
      </c>
      <c r="H2200" t="s">
        <v>21</v>
      </c>
      <c r="I2200">
        <v>10</v>
      </c>
      <c r="J2200" t="s">
        <v>92</v>
      </c>
      <c r="K2200">
        <v>0</v>
      </c>
      <c r="L2200">
        <v>1</v>
      </c>
      <c r="M2200">
        <v>1</v>
      </c>
      <c r="N2200">
        <v>0</v>
      </c>
      <c r="O2200">
        <v>0</v>
      </c>
      <c r="P2200">
        <v>0</v>
      </c>
      <c r="Q2200" t="s">
        <v>23</v>
      </c>
      <c r="R2200">
        <v>0</v>
      </c>
    </row>
    <row r="2201" spans="1:18">
      <c r="A2201" s="4">
        <v>84577800000000</v>
      </c>
      <c r="B2201" t="s">
        <v>18</v>
      </c>
      <c r="C2201">
        <v>69</v>
      </c>
      <c r="D2201" t="s">
        <v>19</v>
      </c>
      <c r="E2201" t="s">
        <v>81</v>
      </c>
      <c r="F2201" s="1">
        <v>42493</v>
      </c>
      <c r="G2201" s="1">
        <v>42501</v>
      </c>
      <c r="H2201" t="s">
        <v>25</v>
      </c>
      <c r="I2201">
        <v>8</v>
      </c>
      <c r="J2201" t="s">
        <v>92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1</v>
      </c>
      <c r="Q2201" t="s">
        <v>23</v>
      </c>
      <c r="R2201">
        <v>0</v>
      </c>
    </row>
    <row r="2202" spans="1:18">
      <c r="A2202" s="4">
        <v>14584333893</v>
      </c>
      <c r="B2202" t="s">
        <v>28</v>
      </c>
      <c r="C2202">
        <v>3</v>
      </c>
      <c r="D2202" t="s">
        <v>31</v>
      </c>
      <c r="E2202" t="s">
        <v>32</v>
      </c>
      <c r="F2202" s="1">
        <v>42493</v>
      </c>
      <c r="G2202" s="1">
        <v>42495</v>
      </c>
      <c r="H2202" t="s">
        <v>33</v>
      </c>
      <c r="I2202">
        <v>2</v>
      </c>
      <c r="J2202" t="s">
        <v>109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26</v>
      </c>
      <c r="R2202">
        <v>1</v>
      </c>
    </row>
    <row r="2203" spans="1:18">
      <c r="A2203" s="4">
        <v>9171190000000</v>
      </c>
      <c r="B2203" t="s">
        <v>28</v>
      </c>
      <c r="C2203">
        <v>52</v>
      </c>
      <c r="D2203" t="s">
        <v>35</v>
      </c>
      <c r="E2203" t="s">
        <v>48</v>
      </c>
      <c r="F2203" s="1">
        <v>42493</v>
      </c>
      <c r="G2203" s="1">
        <v>42495</v>
      </c>
      <c r="H2203" t="s">
        <v>33</v>
      </c>
      <c r="I2203">
        <v>2</v>
      </c>
      <c r="J2203" t="s">
        <v>109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26</v>
      </c>
      <c r="R2203">
        <v>1</v>
      </c>
    </row>
    <row r="2204" spans="1:18">
      <c r="A2204" s="4">
        <v>834512000000</v>
      </c>
      <c r="B2204" t="s">
        <v>28</v>
      </c>
      <c r="C2204">
        <v>11</v>
      </c>
      <c r="D2204" t="s">
        <v>31</v>
      </c>
      <c r="E2204" t="s">
        <v>20</v>
      </c>
      <c r="F2204" s="1">
        <v>42493</v>
      </c>
      <c r="G2204" s="1">
        <v>42495</v>
      </c>
      <c r="H2204" t="s">
        <v>33</v>
      </c>
      <c r="I2204">
        <v>2</v>
      </c>
      <c r="J2204" t="s">
        <v>109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23</v>
      </c>
      <c r="R2204">
        <v>0</v>
      </c>
    </row>
    <row r="2205" spans="1:18">
      <c r="A2205" s="4">
        <v>9643850000000</v>
      </c>
      <c r="B2205" t="s">
        <v>28</v>
      </c>
      <c r="C2205">
        <v>12</v>
      </c>
      <c r="D2205" t="s">
        <v>31</v>
      </c>
      <c r="E2205" t="s">
        <v>59</v>
      </c>
      <c r="F2205" s="1">
        <v>42493</v>
      </c>
      <c r="G2205" s="1">
        <v>42494</v>
      </c>
      <c r="H2205" t="s">
        <v>25</v>
      </c>
      <c r="I2205">
        <v>1</v>
      </c>
      <c r="J2205" t="s">
        <v>109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23</v>
      </c>
      <c r="R2205">
        <v>0</v>
      </c>
    </row>
    <row r="2206" spans="1:18">
      <c r="A2206" s="4">
        <v>892861000000000</v>
      </c>
      <c r="B2206" t="s">
        <v>18</v>
      </c>
      <c r="C2206">
        <v>13</v>
      </c>
      <c r="D2206" t="s">
        <v>60</v>
      </c>
      <c r="E2206" t="s">
        <v>20</v>
      </c>
      <c r="F2206" s="1">
        <v>42493</v>
      </c>
      <c r="G2206" s="1">
        <v>42495</v>
      </c>
      <c r="H2206" t="s">
        <v>33</v>
      </c>
      <c r="I2206">
        <v>2</v>
      </c>
      <c r="J2206" t="s">
        <v>109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26</v>
      </c>
      <c r="R2206">
        <v>1</v>
      </c>
    </row>
    <row r="2207" spans="1:18">
      <c r="A2207" s="4">
        <v>2746250000000</v>
      </c>
      <c r="B2207" t="s">
        <v>18</v>
      </c>
      <c r="C2207">
        <v>50</v>
      </c>
      <c r="D2207" t="s">
        <v>27</v>
      </c>
      <c r="E2207" t="s">
        <v>39</v>
      </c>
      <c r="F2207" s="1">
        <v>42493</v>
      </c>
      <c r="G2207" s="1">
        <v>42495</v>
      </c>
      <c r="H2207" t="s">
        <v>33</v>
      </c>
      <c r="I2207">
        <v>2</v>
      </c>
      <c r="J2207" t="s">
        <v>109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23</v>
      </c>
      <c r="R2207">
        <v>0</v>
      </c>
    </row>
    <row r="2208" spans="1:18">
      <c r="A2208" s="4">
        <v>52918700000000</v>
      </c>
      <c r="B2208" t="s">
        <v>18</v>
      </c>
      <c r="C2208">
        <v>72</v>
      </c>
      <c r="D2208" t="s">
        <v>19</v>
      </c>
      <c r="E2208" t="s">
        <v>96</v>
      </c>
      <c r="F2208" s="1">
        <v>42493</v>
      </c>
      <c r="G2208" s="1">
        <v>42494</v>
      </c>
      <c r="H2208" t="s">
        <v>25</v>
      </c>
      <c r="I2208">
        <v>1</v>
      </c>
      <c r="J2208" t="s">
        <v>109</v>
      </c>
      <c r="K2208">
        <v>0</v>
      </c>
      <c r="L2208">
        <v>1</v>
      </c>
      <c r="M2208">
        <v>0</v>
      </c>
      <c r="N2208">
        <v>0</v>
      </c>
      <c r="O2208">
        <v>0</v>
      </c>
      <c r="P2208">
        <v>0</v>
      </c>
      <c r="Q2208" t="s">
        <v>23</v>
      </c>
      <c r="R2208">
        <v>0</v>
      </c>
    </row>
    <row r="2209" spans="1:18">
      <c r="A2209" s="4">
        <v>55647900000000</v>
      </c>
      <c r="B2209" t="s">
        <v>18</v>
      </c>
      <c r="C2209">
        <v>74</v>
      </c>
      <c r="D2209" t="s">
        <v>19</v>
      </c>
      <c r="E2209" t="s">
        <v>59</v>
      </c>
      <c r="F2209" s="1">
        <v>42493</v>
      </c>
      <c r="G2209" s="1">
        <v>42493</v>
      </c>
      <c r="H2209" t="s">
        <v>41</v>
      </c>
      <c r="I2209">
        <v>0</v>
      </c>
      <c r="J2209" t="s">
        <v>111</v>
      </c>
      <c r="K2209">
        <v>0</v>
      </c>
      <c r="L2209">
        <v>1</v>
      </c>
      <c r="M2209">
        <v>1</v>
      </c>
      <c r="N2209">
        <v>0</v>
      </c>
      <c r="O2209">
        <v>1</v>
      </c>
      <c r="P2209">
        <v>0</v>
      </c>
      <c r="Q2209" t="s">
        <v>23</v>
      </c>
      <c r="R2209">
        <v>0</v>
      </c>
    </row>
    <row r="2210" spans="1:18">
      <c r="A2210" s="4">
        <v>322662000000000</v>
      </c>
      <c r="B2210" t="s">
        <v>28</v>
      </c>
      <c r="C2210">
        <v>1</v>
      </c>
      <c r="D2210" t="s">
        <v>31</v>
      </c>
      <c r="E2210" t="s">
        <v>68</v>
      </c>
      <c r="F2210" s="1">
        <v>42493</v>
      </c>
      <c r="G2210" s="1">
        <v>42493</v>
      </c>
      <c r="H2210" t="s">
        <v>41</v>
      </c>
      <c r="I2210">
        <v>0</v>
      </c>
      <c r="J2210" t="s">
        <v>111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23</v>
      </c>
      <c r="R2210">
        <v>0</v>
      </c>
    </row>
    <row r="2211" spans="1:18">
      <c r="A2211" s="4">
        <v>764595000000000</v>
      </c>
      <c r="B2211" t="s">
        <v>18</v>
      </c>
      <c r="C2211">
        <v>58</v>
      </c>
      <c r="D2211" t="s">
        <v>35</v>
      </c>
      <c r="E2211" t="s">
        <v>96</v>
      </c>
      <c r="F2211" s="1">
        <v>42493</v>
      </c>
      <c r="G2211" s="1">
        <v>42493</v>
      </c>
      <c r="H2211" t="s">
        <v>41</v>
      </c>
      <c r="I2211">
        <v>0</v>
      </c>
      <c r="J2211" t="s">
        <v>111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23</v>
      </c>
      <c r="R2211">
        <v>0</v>
      </c>
    </row>
    <row r="2212" spans="1:18">
      <c r="A2212" s="4">
        <v>61561600000000</v>
      </c>
      <c r="B2212" t="s">
        <v>28</v>
      </c>
      <c r="C2212">
        <v>42</v>
      </c>
      <c r="D2212" t="s">
        <v>27</v>
      </c>
      <c r="E2212" t="s">
        <v>48</v>
      </c>
      <c r="F2212" s="1">
        <v>42493</v>
      </c>
      <c r="G2212" s="1">
        <v>42496</v>
      </c>
      <c r="H2212" t="s">
        <v>21</v>
      </c>
      <c r="I2212">
        <v>3</v>
      </c>
      <c r="J2212" t="s">
        <v>109</v>
      </c>
      <c r="K2212">
        <v>0</v>
      </c>
      <c r="L2212">
        <v>0</v>
      </c>
      <c r="M2212">
        <v>1</v>
      </c>
      <c r="N2212">
        <v>0</v>
      </c>
      <c r="O2212">
        <v>0</v>
      </c>
      <c r="P2212">
        <v>1</v>
      </c>
      <c r="Q2212" t="s">
        <v>23</v>
      </c>
      <c r="R2212">
        <v>0</v>
      </c>
    </row>
    <row r="2213" spans="1:18">
      <c r="A2213" s="4">
        <v>733839000000000</v>
      </c>
      <c r="B2213" t="s">
        <v>18</v>
      </c>
      <c r="C2213">
        <v>68</v>
      </c>
      <c r="D2213" t="s">
        <v>19</v>
      </c>
      <c r="E2213" t="s">
        <v>48</v>
      </c>
      <c r="F2213" s="1">
        <v>42493</v>
      </c>
      <c r="G2213" s="1">
        <v>42500</v>
      </c>
      <c r="H2213" t="s">
        <v>41</v>
      </c>
      <c r="I2213">
        <v>7</v>
      </c>
      <c r="J2213" t="s">
        <v>107</v>
      </c>
      <c r="K2213">
        <v>0</v>
      </c>
      <c r="L2213">
        <v>1</v>
      </c>
      <c r="M2213">
        <v>1</v>
      </c>
      <c r="N2213">
        <v>0</v>
      </c>
      <c r="O2213">
        <v>0</v>
      </c>
      <c r="P2213">
        <v>1</v>
      </c>
      <c r="Q2213" t="s">
        <v>23</v>
      </c>
      <c r="R2213">
        <v>0</v>
      </c>
    </row>
    <row r="2214" spans="1:18">
      <c r="A2214" s="4">
        <v>244476000000000</v>
      </c>
      <c r="B2214" t="s">
        <v>28</v>
      </c>
      <c r="C2214">
        <v>86</v>
      </c>
      <c r="D2214" t="s">
        <v>19</v>
      </c>
      <c r="E2214" t="s">
        <v>62</v>
      </c>
      <c r="F2214" s="1">
        <v>42493</v>
      </c>
      <c r="G2214" s="1">
        <v>42495</v>
      </c>
      <c r="H2214" t="s">
        <v>33</v>
      </c>
      <c r="I2214">
        <v>2</v>
      </c>
      <c r="J2214" t="s">
        <v>109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26</v>
      </c>
      <c r="R2214">
        <v>1</v>
      </c>
    </row>
    <row r="2215" spans="1:18">
      <c r="A2215" s="4">
        <v>4636530000000</v>
      </c>
      <c r="B2215" t="s">
        <v>18</v>
      </c>
      <c r="C2215">
        <v>16</v>
      </c>
      <c r="D2215" t="s">
        <v>60</v>
      </c>
      <c r="E2215" t="s">
        <v>80</v>
      </c>
      <c r="F2215" s="1">
        <v>42493</v>
      </c>
      <c r="G2215" s="1">
        <v>42524</v>
      </c>
      <c r="H2215" t="s">
        <v>21</v>
      </c>
      <c r="I2215">
        <v>31</v>
      </c>
      <c r="J2215" t="s">
        <v>22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1</v>
      </c>
      <c r="Q2215" t="s">
        <v>23</v>
      </c>
      <c r="R2215">
        <v>0</v>
      </c>
    </row>
    <row r="2216" spans="1:18">
      <c r="A2216" s="4">
        <v>462842000000000</v>
      </c>
      <c r="B2216" t="s">
        <v>18</v>
      </c>
      <c r="C2216">
        <v>28</v>
      </c>
      <c r="D2216" t="s">
        <v>37</v>
      </c>
      <c r="E2216" t="s">
        <v>45</v>
      </c>
      <c r="F2216" s="1">
        <v>42493</v>
      </c>
      <c r="G2216" s="1">
        <v>42493</v>
      </c>
      <c r="H2216" t="s">
        <v>41</v>
      </c>
      <c r="I2216">
        <v>0</v>
      </c>
      <c r="J2216" t="s">
        <v>111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23</v>
      </c>
      <c r="R2216">
        <v>0</v>
      </c>
    </row>
    <row r="2217" spans="1:18">
      <c r="A2217" s="4">
        <v>715295000000000</v>
      </c>
      <c r="B2217" t="s">
        <v>18</v>
      </c>
      <c r="C2217">
        <v>82</v>
      </c>
      <c r="D2217" t="s">
        <v>19</v>
      </c>
      <c r="E2217" t="s">
        <v>48</v>
      </c>
      <c r="F2217" s="1">
        <v>42493</v>
      </c>
      <c r="G2217" s="1">
        <v>42496</v>
      </c>
      <c r="H2217" t="s">
        <v>21</v>
      </c>
      <c r="I2217">
        <v>3</v>
      </c>
      <c r="J2217" t="s">
        <v>109</v>
      </c>
      <c r="K2217">
        <v>0</v>
      </c>
      <c r="L2217">
        <v>1</v>
      </c>
      <c r="M2217">
        <v>1</v>
      </c>
      <c r="N2217">
        <v>0</v>
      </c>
      <c r="O2217">
        <v>0</v>
      </c>
      <c r="P2217">
        <v>1</v>
      </c>
      <c r="Q2217" t="s">
        <v>23</v>
      </c>
      <c r="R2217">
        <v>0</v>
      </c>
    </row>
    <row r="2218" spans="1:18">
      <c r="A2218" s="4">
        <v>423929000000000</v>
      </c>
      <c r="B2218" t="s">
        <v>28</v>
      </c>
      <c r="C2218">
        <v>21</v>
      </c>
      <c r="D2218" t="s">
        <v>37</v>
      </c>
      <c r="E2218" t="s">
        <v>106</v>
      </c>
      <c r="F2218" s="1">
        <v>42493</v>
      </c>
      <c r="G2218" s="1">
        <v>42510</v>
      </c>
      <c r="H2218" t="s">
        <v>21</v>
      </c>
      <c r="I2218">
        <v>17</v>
      </c>
      <c r="J2218" t="s">
        <v>77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26</v>
      </c>
      <c r="R2218">
        <v>1</v>
      </c>
    </row>
    <row r="2219" spans="1:18">
      <c r="A2219" s="4">
        <v>76855400000000</v>
      </c>
      <c r="B2219" t="s">
        <v>28</v>
      </c>
      <c r="C2219">
        <v>8</v>
      </c>
      <c r="D2219" t="s">
        <v>31</v>
      </c>
      <c r="E2219" t="s">
        <v>47</v>
      </c>
      <c r="F2219" s="1">
        <v>42493</v>
      </c>
      <c r="G2219" s="1">
        <v>42493</v>
      </c>
      <c r="H2219" t="s">
        <v>41</v>
      </c>
      <c r="I2219">
        <v>0</v>
      </c>
      <c r="J2219" t="s">
        <v>111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23</v>
      </c>
      <c r="R2219">
        <v>0</v>
      </c>
    </row>
    <row r="2220" spans="1:18">
      <c r="A2220" s="4">
        <v>3553380000000</v>
      </c>
      <c r="B2220" t="s">
        <v>18</v>
      </c>
      <c r="C2220">
        <v>14</v>
      </c>
      <c r="D2220" t="s">
        <v>60</v>
      </c>
      <c r="E2220" t="s">
        <v>59</v>
      </c>
      <c r="F2220" s="1">
        <v>42493</v>
      </c>
      <c r="G2220" s="1">
        <v>42493</v>
      </c>
      <c r="H2220" t="s">
        <v>41</v>
      </c>
      <c r="I2220">
        <v>0</v>
      </c>
      <c r="J2220" t="s">
        <v>111</v>
      </c>
      <c r="K2220">
        <v>1</v>
      </c>
      <c r="L2220">
        <v>0</v>
      </c>
      <c r="M2220">
        <v>0</v>
      </c>
      <c r="N2220">
        <v>0</v>
      </c>
      <c r="O2220">
        <v>1</v>
      </c>
      <c r="P2220">
        <v>0</v>
      </c>
      <c r="Q2220" t="s">
        <v>23</v>
      </c>
      <c r="R2220">
        <v>0</v>
      </c>
    </row>
    <row r="2221" spans="1:18">
      <c r="A2221" s="4">
        <v>59416500000000</v>
      </c>
      <c r="B2221" t="s">
        <v>18</v>
      </c>
      <c r="C2221">
        <v>46</v>
      </c>
      <c r="D2221" t="s">
        <v>27</v>
      </c>
      <c r="E2221" t="s">
        <v>44</v>
      </c>
      <c r="F2221" s="1">
        <v>42493</v>
      </c>
      <c r="G2221" s="1">
        <v>42493</v>
      </c>
      <c r="H2221" t="s">
        <v>41</v>
      </c>
      <c r="I2221">
        <v>0</v>
      </c>
      <c r="J2221" t="s">
        <v>111</v>
      </c>
      <c r="K2221">
        <v>1</v>
      </c>
      <c r="L2221">
        <v>1</v>
      </c>
      <c r="M2221">
        <v>1</v>
      </c>
      <c r="N2221">
        <v>0</v>
      </c>
      <c r="O2221">
        <v>0</v>
      </c>
      <c r="P2221">
        <v>0</v>
      </c>
      <c r="Q2221" t="s">
        <v>23</v>
      </c>
      <c r="R2221">
        <v>0</v>
      </c>
    </row>
    <row r="2222" spans="1:18">
      <c r="A2222" s="4">
        <v>3552850000000</v>
      </c>
      <c r="B2222" t="s">
        <v>28</v>
      </c>
      <c r="C2222">
        <v>72</v>
      </c>
      <c r="D2222" t="s">
        <v>19</v>
      </c>
      <c r="E2222" t="s">
        <v>20</v>
      </c>
      <c r="F2222" s="1">
        <v>42493</v>
      </c>
      <c r="G2222" s="1">
        <v>42493</v>
      </c>
      <c r="H2222" t="s">
        <v>41</v>
      </c>
      <c r="I2222">
        <v>0</v>
      </c>
      <c r="J2222" t="s">
        <v>111</v>
      </c>
      <c r="K2222">
        <v>0</v>
      </c>
      <c r="L2222">
        <v>1</v>
      </c>
      <c r="M2222">
        <v>0</v>
      </c>
      <c r="N2222">
        <v>0</v>
      </c>
      <c r="O2222">
        <v>0</v>
      </c>
      <c r="P2222">
        <v>0</v>
      </c>
      <c r="Q2222" t="s">
        <v>23</v>
      </c>
      <c r="R2222">
        <v>0</v>
      </c>
    </row>
    <row r="2223" spans="1:18">
      <c r="A2223" s="4">
        <v>34867400000000</v>
      </c>
      <c r="B2223" t="s">
        <v>18</v>
      </c>
      <c r="C2223">
        <v>3</v>
      </c>
      <c r="D2223" t="s">
        <v>31</v>
      </c>
      <c r="E2223" t="s">
        <v>75</v>
      </c>
      <c r="F2223" s="1">
        <v>42493</v>
      </c>
      <c r="G2223" s="1">
        <v>42493</v>
      </c>
      <c r="H2223" t="s">
        <v>41</v>
      </c>
      <c r="I2223">
        <v>0</v>
      </c>
      <c r="J2223" t="s">
        <v>111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23</v>
      </c>
      <c r="R2223">
        <v>0</v>
      </c>
    </row>
    <row r="2224" spans="1:18">
      <c r="A2224" s="4">
        <v>166272000000</v>
      </c>
      <c r="B2224" t="s">
        <v>28</v>
      </c>
      <c r="C2224">
        <v>76</v>
      </c>
      <c r="D2224" t="s">
        <v>19</v>
      </c>
      <c r="E2224" t="s">
        <v>84</v>
      </c>
      <c r="F2224" s="1">
        <v>42493</v>
      </c>
      <c r="G2224" s="1">
        <v>42493</v>
      </c>
      <c r="H2224" t="s">
        <v>41</v>
      </c>
      <c r="I2224">
        <v>0</v>
      </c>
      <c r="J2224" t="s">
        <v>111</v>
      </c>
      <c r="K2224">
        <v>0</v>
      </c>
      <c r="L2224">
        <v>1</v>
      </c>
      <c r="M2224">
        <v>0</v>
      </c>
      <c r="N2224">
        <v>0</v>
      </c>
      <c r="O2224">
        <v>0</v>
      </c>
      <c r="P2224">
        <v>0</v>
      </c>
      <c r="Q2224" t="s">
        <v>23</v>
      </c>
      <c r="R2224">
        <v>0</v>
      </c>
    </row>
    <row r="2225" spans="1:18">
      <c r="A2225" s="4">
        <v>63179900000000</v>
      </c>
      <c r="B2225" t="s">
        <v>28</v>
      </c>
      <c r="C2225">
        <v>0</v>
      </c>
      <c r="D2225" t="s">
        <v>31</v>
      </c>
      <c r="E2225" t="s">
        <v>72</v>
      </c>
      <c r="F2225" s="1">
        <v>42493</v>
      </c>
      <c r="G2225" s="1">
        <v>42493</v>
      </c>
      <c r="H2225" t="s">
        <v>41</v>
      </c>
      <c r="I2225">
        <v>0</v>
      </c>
      <c r="J2225" t="s">
        <v>111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23</v>
      </c>
      <c r="R2225">
        <v>0</v>
      </c>
    </row>
    <row r="2226" spans="1:18">
      <c r="A2226" s="4">
        <v>8759820000000</v>
      </c>
      <c r="B2226" t="s">
        <v>18</v>
      </c>
      <c r="C2226">
        <v>61</v>
      </c>
      <c r="D2226" t="s">
        <v>35</v>
      </c>
      <c r="E2226" t="s">
        <v>81</v>
      </c>
      <c r="F2226" s="1">
        <v>42493</v>
      </c>
      <c r="G2226" s="1">
        <v>42529</v>
      </c>
      <c r="H2226" t="s">
        <v>25</v>
      </c>
      <c r="I2226">
        <v>36</v>
      </c>
      <c r="J2226" t="s">
        <v>22</v>
      </c>
      <c r="K2226">
        <v>1</v>
      </c>
      <c r="L2226">
        <v>0</v>
      </c>
      <c r="M2226">
        <v>0</v>
      </c>
      <c r="N2226">
        <v>0</v>
      </c>
      <c r="O2226">
        <v>0</v>
      </c>
      <c r="P2226">
        <v>1</v>
      </c>
      <c r="Q2226" t="s">
        <v>23</v>
      </c>
      <c r="R2226">
        <v>0</v>
      </c>
    </row>
    <row r="2227" spans="1:18">
      <c r="A2227" s="4">
        <v>656362000000000</v>
      </c>
      <c r="B2227" t="s">
        <v>18</v>
      </c>
      <c r="C2227">
        <v>32</v>
      </c>
      <c r="D2227" t="s">
        <v>37</v>
      </c>
      <c r="E2227" t="s">
        <v>34</v>
      </c>
      <c r="F2227" s="1">
        <v>42493</v>
      </c>
      <c r="G2227" s="1">
        <v>42515</v>
      </c>
      <c r="H2227" t="s">
        <v>25</v>
      </c>
      <c r="I2227">
        <v>22</v>
      </c>
      <c r="J2227" t="s">
        <v>77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1</v>
      </c>
      <c r="Q2227" t="s">
        <v>23</v>
      </c>
      <c r="R2227">
        <v>0</v>
      </c>
    </row>
    <row r="2228" spans="1:18">
      <c r="A2228" s="4">
        <v>435285000000000</v>
      </c>
      <c r="B2228" t="s">
        <v>28</v>
      </c>
      <c r="C2228">
        <v>12</v>
      </c>
      <c r="D2228" t="s">
        <v>31</v>
      </c>
      <c r="E2228" t="s">
        <v>51</v>
      </c>
      <c r="F2228" s="1">
        <v>42493</v>
      </c>
      <c r="G2228" s="1">
        <v>42527</v>
      </c>
      <c r="H2228" t="s">
        <v>30</v>
      </c>
      <c r="I2228">
        <v>34</v>
      </c>
      <c r="J2228" t="s">
        <v>22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23</v>
      </c>
      <c r="R2228">
        <v>0</v>
      </c>
    </row>
    <row r="2229" spans="1:18">
      <c r="A2229" s="4">
        <v>9842780000000</v>
      </c>
      <c r="B2229" t="s">
        <v>18</v>
      </c>
      <c r="C2229">
        <v>37</v>
      </c>
      <c r="D2229" t="s">
        <v>27</v>
      </c>
      <c r="E2229" t="s">
        <v>96</v>
      </c>
      <c r="F2229" s="1">
        <v>42493</v>
      </c>
      <c r="G2229" s="1">
        <v>42500</v>
      </c>
      <c r="H2229" t="s">
        <v>41</v>
      </c>
      <c r="I2229">
        <v>7</v>
      </c>
      <c r="J2229" t="s">
        <v>107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1</v>
      </c>
      <c r="Q2229" t="s">
        <v>23</v>
      </c>
      <c r="R2229">
        <v>0</v>
      </c>
    </row>
    <row r="2230" spans="1:18">
      <c r="A2230" s="4">
        <v>749830000000000</v>
      </c>
      <c r="B2230" t="s">
        <v>28</v>
      </c>
      <c r="C2230">
        <v>26</v>
      </c>
      <c r="D2230" t="s">
        <v>37</v>
      </c>
      <c r="E2230" t="s">
        <v>58</v>
      </c>
      <c r="F2230" s="1">
        <v>42493</v>
      </c>
      <c r="G2230" s="1">
        <v>42493</v>
      </c>
      <c r="H2230" t="s">
        <v>41</v>
      </c>
      <c r="I2230">
        <v>0</v>
      </c>
      <c r="J2230" t="s">
        <v>111</v>
      </c>
      <c r="K2230">
        <v>0</v>
      </c>
      <c r="L2230">
        <v>1</v>
      </c>
      <c r="M2230">
        <v>0</v>
      </c>
      <c r="N2230">
        <v>0</v>
      </c>
      <c r="O2230">
        <v>0</v>
      </c>
      <c r="P2230">
        <v>0</v>
      </c>
      <c r="Q2230" t="s">
        <v>23</v>
      </c>
      <c r="R2230">
        <v>0</v>
      </c>
    </row>
    <row r="2231" spans="1:18">
      <c r="A2231" s="4">
        <v>163518000000</v>
      </c>
      <c r="B2231" t="s">
        <v>28</v>
      </c>
      <c r="C2231">
        <v>0</v>
      </c>
      <c r="D2231" t="s">
        <v>31</v>
      </c>
      <c r="E2231" t="s">
        <v>84</v>
      </c>
      <c r="F2231" s="1">
        <v>42493</v>
      </c>
      <c r="G2231" s="1">
        <v>42493</v>
      </c>
      <c r="H2231" t="s">
        <v>41</v>
      </c>
      <c r="I2231">
        <v>0</v>
      </c>
      <c r="J2231" t="s">
        <v>111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23</v>
      </c>
      <c r="R2231">
        <v>0</v>
      </c>
    </row>
    <row r="2232" spans="1:18">
      <c r="A2232" s="4">
        <v>87312700000000</v>
      </c>
      <c r="B2232" t="s">
        <v>18</v>
      </c>
      <c r="C2232">
        <v>49</v>
      </c>
      <c r="D2232" t="s">
        <v>27</v>
      </c>
      <c r="E2232" t="s">
        <v>29</v>
      </c>
      <c r="F2232" s="1">
        <v>42493</v>
      </c>
      <c r="G2232" s="1">
        <v>42510</v>
      </c>
      <c r="H2232" t="s">
        <v>21</v>
      </c>
      <c r="I2232">
        <v>17</v>
      </c>
      <c r="J2232" t="s">
        <v>77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23</v>
      </c>
      <c r="R2232">
        <v>0</v>
      </c>
    </row>
    <row r="2233" spans="1:18">
      <c r="A2233" s="4">
        <v>615524000000000</v>
      </c>
      <c r="B2233" t="s">
        <v>18</v>
      </c>
      <c r="C2233">
        <v>41</v>
      </c>
      <c r="D2233" t="s">
        <v>27</v>
      </c>
      <c r="E2233" t="s">
        <v>29</v>
      </c>
      <c r="F2233" s="1">
        <v>42493</v>
      </c>
      <c r="G2233" s="1">
        <v>42494</v>
      </c>
      <c r="H2233" t="s">
        <v>25</v>
      </c>
      <c r="I2233">
        <v>1</v>
      </c>
      <c r="J2233" t="s">
        <v>109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26</v>
      </c>
      <c r="R2233">
        <v>1</v>
      </c>
    </row>
    <row r="2234" spans="1:18">
      <c r="A2234" s="4">
        <v>24919200000000</v>
      </c>
      <c r="B2234" t="s">
        <v>18</v>
      </c>
      <c r="C2234">
        <v>9</v>
      </c>
      <c r="D2234" t="s">
        <v>31</v>
      </c>
      <c r="E2234" t="s">
        <v>39</v>
      </c>
      <c r="F2234" s="1">
        <v>42493</v>
      </c>
      <c r="G2234" s="1">
        <v>42493</v>
      </c>
      <c r="H2234" t="s">
        <v>41</v>
      </c>
      <c r="I2234">
        <v>0</v>
      </c>
      <c r="J2234" t="s">
        <v>111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23</v>
      </c>
      <c r="R2234">
        <v>0</v>
      </c>
    </row>
    <row r="2235" spans="1:18">
      <c r="A2235" s="4">
        <v>527495000000000</v>
      </c>
      <c r="B2235" t="s">
        <v>18</v>
      </c>
      <c r="C2235">
        <v>21</v>
      </c>
      <c r="D2235" t="s">
        <v>37</v>
      </c>
      <c r="E2235" t="s">
        <v>68</v>
      </c>
      <c r="F2235" s="1">
        <v>42493</v>
      </c>
      <c r="G2235" s="1">
        <v>42501</v>
      </c>
      <c r="H2235" t="s">
        <v>25</v>
      </c>
      <c r="I2235">
        <v>8</v>
      </c>
      <c r="J2235" t="s">
        <v>92</v>
      </c>
      <c r="K2235">
        <v>0</v>
      </c>
      <c r="L2235">
        <v>0</v>
      </c>
      <c r="M2235">
        <v>1</v>
      </c>
      <c r="N2235">
        <v>0</v>
      </c>
      <c r="O2235">
        <v>0</v>
      </c>
      <c r="P2235">
        <v>1</v>
      </c>
      <c r="Q2235" t="s">
        <v>26</v>
      </c>
      <c r="R2235">
        <v>1</v>
      </c>
    </row>
    <row r="2236" spans="1:18">
      <c r="A2236" s="4">
        <v>11989700000000</v>
      </c>
      <c r="B2236" t="s">
        <v>18</v>
      </c>
      <c r="C2236">
        <v>6</v>
      </c>
      <c r="D2236" t="s">
        <v>31</v>
      </c>
      <c r="E2236" t="s">
        <v>87</v>
      </c>
      <c r="F2236" s="1">
        <v>42493</v>
      </c>
      <c r="G2236" s="1">
        <v>42493</v>
      </c>
      <c r="H2236" t="s">
        <v>41</v>
      </c>
      <c r="I2236">
        <v>0</v>
      </c>
      <c r="J2236" t="s">
        <v>111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23</v>
      </c>
      <c r="R2236">
        <v>0</v>
      </c>
    </row>
    <row r="2237" spans="1:18">
      <c r="A2237" s="4">
        <v>56363300000000</v>
      </c>
      <c r="B2237" t="s">
        <v>18</v>
      </c>
      <c r="C2237">
        <v>18</v>
      </c>
      <c r="D2237" t="s">
        <v>37</v>
      </c>
      <c r="E2237" t="s">
        <v>32</v>
      </c>
      <c r="F2237" s="1">
        <v>42493</v>
      </c>
      <c r="G2237" s="1">
        <v>42493</v>
      </c>
      <c r="H2237" t="s">
        <v>41</v>
      </c>
      <c r="I2237">
        <v>0</v>
      </c>
      <c r="J2237" t="s">
        <v>111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23</v>
      </c>
      <c r="R2237">
        <v>0</v>
      </c>
    </row>
    <row r="2238" spans="1:18">
      <c r="A2238" s="4">
        <v>679157000000000</v>
      </c>
      <c r="B2238" t="s">
        <v>18</v>
      </c>
      <c r="C2238">
        <v>33</v>
      </c>
      <c r="D2238" t="s">
        <v>37</v>
      </c>
      <c r="E2238" t="s">
        <v>48</v>
      </c>
      <c r="F2238" s="1">
        <v>42493</v>
      </c>
      <c r="G2238" s="1">
        <v>42493</v>
      </c>
      <c r="H2238" t="s">
        <v>41</v>
      </c>
      <c r="I2238">
        <v>0</v>
      </c>
      <c r="J2238" t="s">
        <v>111</v>
      </c>
      <c r="K2238">
        <v>0</v>
      </c>
      <c r="L2238">
        <v>1</v>
      </c>
      <c r="M2238">
        <v>0</v>
      </c>
      <c r="N2238">
        <v>0</v>
      </c>
      <c r="O2238">
        <v>0</v>
      </c>
      <c r="P2238">
        <v>0</v>
      </c>
      <c r="Q2238" t="s">
        <v>23</v>
      </c>
      <c r="R2238">
        <v>0</v>
      </c>
    </row>
    <row r="2239" spans="1:18">
      <c r="A2239" s="4">
        <v>462842000000000</v>
      </c>
      <c r="B2239" t="s">
        <v>18</v>
      </c>
      <c r="C2239">
        <v>28</v>
      </c>
      <c r="D2239" t="s">
        <v>37</v>
      </c>
      <c r="E2239" t="s">
        <v>45</v>
      </c>
      <c r="F2239" s="1">
        <v>42493</v>
      </c>
      <c r="G2239" s="1">
        <v>42510</v>
      </c>
      <c r="H2239" t="s">
        <v>21</v>
      </c>
      <c r="I2239">
        <v>17</v>
      </c>
      <c r="J2239" t="s">
        <v>77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23</v>
      </c>
      <c r="R2239">
        <v>0</v>
      </c>
    </row>
    <row r="2240" spans="1:18">
      <c r="A2240" s="4">
        <v>281640000000000</v>
      </c>
      <c r="B2240" t="s">
        <v>18</v>
      </c>
      <c r="C2240">
        <v>47</v>
      </c>
      <c r="D2240" t="s">
        <v>27</v>
      </c>
      <c r="E2240" t="s">
        <v>63</v>
      </c>
      <c r="F2240" s="1">
        <v>42493</v>
      </c>
      <c r="G2240" s="1">
        <v>42515</v>
      </c>
      <c r="H2240" t="s">
        <v>25</v>
      </c>
      <c r="I2240">
        <v>22</v>
      </c>
      <c r="J2240" t="s">
        <v>77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1</v>
      </c>
      <c r="Q2240" t="s">
        <v>23</v>
      </c>
      <c r="R2240">
        <v>0</v>
      </c>
    </row>
    <row r="2241" spans="1:18">
      <c r="A2241" s="4">
        <v>451297000000000</v>
      </c>
      <c r="B2241" t="s">
        <v>28</v>
      </c>
      <c r="C2241">
        <v>69</v>
      </c>
      <c r="D2241" t="s">
        <v>19</v>
      </c>
      <c r="E2241" t="s">
        <v>57</v>
      </c>
      <c r="F2241" s="1">
        <v>42493</v>
      </c>
      <c r="G2241" s="1">
        <v>42493</v>
      </c>
      <c r="H2241" t="s">
        <v>41</v>
      </c>
      <c r="I2241">
        <v>0</v>
      </c>
      <c r="J2241" t="s">
        <v>111</v>
      </c>
      <c r="K2241">
        <v>0</v>
      </c>
      <c r="L2241">
        <v>1</v>
      </c>
      <c r="M2241">
        <v>0</v>
      </c>
      <c r="N2241">
        <v>0</v>
      </c>
      <c r="O2241">
        <v>0</v>
      </c>
      <c r="P2241">
        <v>0</v>
      </c>
      <c r="Q2241" t="s">
        <v>23</v>
      </c>
      <c r="R2241">
        <v>0</v>
      </c>
    </row>
    <row r="2242" spans="1:18">
      <c r="A2242" s="4">
        <v>26695500000000</v>
      </c>
      <c r="B2242" t="s">
        <v>28</v>
      </c>
      <c r="C2242">
        <v>10</v>
      </c>
      <c r="D2242" t="s">
        <v>31</v>
      </c>
      <c r="E2242" t="s">
        <v>44</v>
      </c>
      <c r="F2242" s="1">
        <v>42493</v>
      </c>
      <c r="G2242" s="1">
        <v>42507</v>
      </c>
      <c r="H2242" t="s">
        <v>41</v>
      </c>
      <c r="I2242">
        <v>14</v>
      </c>
      <c r="J2242" t="s">
        <v>92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26</v>
      </c>
      <c r="R2242">
        <v>1</v>
      </c>
    </row>
    <row r="2243" spans="1:18">
      <c r="A2243" s="4">
        <v>25411500000000</v>
      </c>
      <c r="B2243" t="s">
        <v>28</v>
      </c>
      <c r="C2243">
        <v>6</v>
      </c>
      <c r="D2243" t="s">
        <v>31</v>
      </c>
      <c r="E2243" t="s">
        <v>72</v>
      </c>
      <c r="F2243" s="1">
        <v>42493</v>
      </c>
      <c r="G2243" s="1">
        <v>42493</v>
      </c>
      <c r="H2243" t="s">
        <v>41</v>
      </c>
      <c r="I2243">
        <v>0</v>
      </c>
      <c r="J2243" t="s">
        <v>111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23</v>
      </c>
      <c r="R2243">
        <v>0</v>
      </c>
    </row>
    <row r="2244" spans="1:18">
      <c r="A2244" s="4">
        <v>4211920000000</v>
      </c>
      <c r="B2244" t="s">
        <v>18</v>
      </c>
      <c r="C2244">
        <v>52</v>
      </c>
      <c r="D2244" t="s">
        <v>35</v>
      </c>
      <c r="E2244" t="s">
        <v>20</v>
      </c>
      <c r="F2244" s="1">
        <v>42493</v>
      </c>
      <c r="G2244" s="1">
        <v>42493</v>
      </c>
      <c r="H2244" t="s">
        <v>41</v>
      </c>
      <c r="I2244">
        <v>0</v>
      </c>
      <c r="J2244" t="s">
        <v>111</v>
      </c>
      <c r="K2244">
        <v>0</v>
      </c>
      <c r="L2244">
        <v>1</v>
      </c>
      <c r="M2244">
        <v>1</v>
      </c>
      <c r="N2244">
        <v>0</v>
      </c>
      <c r="O2244">
        <v>0</v>
      </c>
      <c r="P2244">
        <v>0</v>
      </c>
      <c r="Q2244" t="s">
        <v>23</v>
      </c>
      <c r="R2244">
        <v>0</v>
      </c>
    </row>
    <row r="2245" spans="1:18">
      <c r="A2245" s="4">
        <v>6567270000000</v>
      </c>
      <c r="B2245" t="s">
        <v>28</v>
      </c>
      <c r="C2245">
        <v>0</v>
      </c>
      <c r="D2245" t="s">
        <v>31</v>
      </c>
      <c r="E2245" t="s">
        <v>63</v>
      </c>
      <c r="F2245" s="1">
        <v>42493</v>
      </c>
      <c r="G2245" s="1">
        <v>42495</v>
      </c>
      <c r="H2245" t="s">
        <v>33</v>
      </c>
      <c r="I2245">
        <v>2</v>
      </c>
      <c r="J2245" t="s">
        <v>109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23</v>
      </c>
      <c r="R2245">
        <v>0</v>
      </c>
    </row>
    <row r="2246" spans="1:18">
      <c r="A2246" s="4">
        <v>743443000000</v>
      </c>
      <c r="B2246" t="s">
        <v>18</v>
      </c>
      <c r="C2246">
        <v>15</v>
      </c>
      <c r="D2246" t="s">
        <v>60</v>
      </c>
      <c r="E2246" t="s">
        <v>63</v>
      </c>
      <c r="F2246" s="1">
        <v>42493</v>
      </c>
      <c r="G2246" s="1">
        <v>42493</v>
      </c>
      <c r="H2246" t="s">
        <v>41</v>
      </c>
      <c r="I2246">
        <v>0</v>
      </c>
      <c r="J2246" t="s">
        <v>111</v>
      </c>
      <c r="K2246">
        <v>1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23</v>
      </c>
      <c r="R2246">
        <v>0</v>
      </c>
    </row>
    <row r="2247" spans="1:18">
      <c r="A2247" s="4">
        <v>144761000000000</v>
      </c>
      <c r="B2247" t="s">
        <v>28</v>
      </c>
      <c r="C2247">
        <v>21</v>
      </c>
      <c r="D2247" t="s">
        <v>37</v>
      </c>
      <c r="E2247" t="s">
        <v>51</v>
      </c>
      <c r="F2247" s="1">
        <v>42493</v>
      </c>
      <c r="G2247" s="1">
        <v>42500</v>
      </c>
      <c r="H2247" t="s">
        <v>41</v>
      </c>
      <c r="I2247">
        <v>7</v>
      </c>
      <c r="J2247" t="s">
        <v>107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1</v>
      </c>
      <c r="Q2247" t="s">
        <v>23</v>
      </c>
      <c r="R2247">
        <v>0</v>
      </c>
    </row>
    <row r="2248" spans="1:18">
      <c r="A2248" s="4">
        <v>8329200000000</v>
      </c>
      <c r="B2248" t="s">
        <v>18</v>
      </c>
      <c r="C2248">
        <v>63</v>
      </c>
      <c r="D2248" t="s">
        <v>35</v>
      </c>
      <c r="E2248" t="s">
        <v>40</v>
      </c>
      <c r="F2248" s="1">
        <v>42493</v>
      </c>
      <c r="G2248" s="1">
        <v>42493</v>
      </c>
      <c r="H2248" t="s">
        <v>41</v>
      </c>
      <c r="I2248">
        <v>0</v>
      </c>
      <c r="J2248" t="s">
        <v>111</v>
      </c>
      <c r="K2248">
        <v>0</v>
      </c>
      <c r="L2248">
        <v>0</v>
      </c>
      <c r="M2248">
        <v>0</v>
      </c>
      <c r="N2248">
        <v>0</v>
      </c>
      <c r="O2248">
        <v>1</v>
      </c>
      <c r="P2248">
        <v>0</v>
      </c>
      <c r="Q2248" t="s">
        <v>26</v>
      </c>
      <c r="R2248">
        <v>1</v>
      </c>
    </row>
    <row r="2249" spans="1:18">
      <c r="A2249" s="4">
        <v>558264000000000</v>
      </c>
      <c r="B2249" t="s">
        <v>28</v>
      </c>
      <c r="C2249">
        <v>46</v>
      </c>
      <c r="D2249" t="s">
        <v>27</v>
      </c>
      <c r="E2249" t="s">
        <v>32</v>
      </c>
      <c r="F2249" s="1">
        <v>42493</v>
      </c>
      <c r="G2249" s="1">
        <v>42493</v>
      </c>
      <c r="H2249" t="s">
        <v>41</v>
      </c>
      <c r="I2249">
        <v>0</v>
      </c>
      <c r="J2249" t="s">
        <v>111</v>
      </c>
      <c r="K2249">
        <v>0</v>
      </c>
      <c r="L2249">
        <v>0</v>
      </c>
      <c r="M2249">
        <v>1</v>
      </c>
      <c r="N2249">
        <v>0</v>
      </c>
      <c r="O2249">
        <v>0</v>
      </c>
      <c r="P2249">
        <v>0</v>
      </c>
      <c r="Q2249" t="s">
        <v>23</v>
      </c>
      <c r="R2249">
        <v>0</v>
      </c>
    </row>
    <row r="2250" spans="1:18">
      <c r="A2250" s="4">
        <v>348192000000000</v>
      </c>
      <c r="B2250" t="s">
        <v>18</v>
      </c>
      <c r="C2250">
        <v>49</v>
      </c>
      <c r="D2250" t="s">
        <v>27</v>
      </c>
      <c r="E2250" t="s">
        <v>80</v>
      </c>
      <c r="F2250" s="1">
        <v>42493</v>
      </c>
      <c r="G2250" s="1">
        <v>42529</v>
      </c>
      <c r="H2250" t="s">
        <v>25</v>
      </c>
      <c r="I2250">
        <v>36</v>
      </c>
      <c r="J2250" t="s">
        <v>22</v>
      </c>
      <c r="K2250">
        <v>1</v>
      </c>
      <c r="L2250">
        <v>0</v>
      </c>
      <c r="M2250">
        <v>0</v>
      </c>
      <c r="N2250">
        <v>0</v>
      </c>
      <c r="O2250">
        <v>0</v>
      </c>
      <c r="P2250">
        <v>1</v>
      </c>
      <c r="Q2250" t="s">
        <v>26</v>
      </c>
      <c r="R2250">
        <v>1</v>
      </c>
    </row>
    <row r="2251" spans="1:18">
      <c r="A2251" s="4">
        <v>2698500000000</v>
      </c>
      <c r="B2251" t="s">
        <v>18</v>
      </c>
      <c r="C2251">
        <v>45</v>
      </c>
      <c r="D2251" t="s">
        <v>27</v>
      </c>
      <c r="E2251" t="s">
        <v>106</v>
      </c>
      <c r="F2251" s="1">
        <v>42493</v>
      </c>
      <c r="G2251" s="1">
        <v>42493</v>
      </c>
      <c r="H2251" t="s">
        <v>41</v>
      </c>
      <c r="I2251">
        <v>0</v>
      </c>
      <c r="J2251" t="s">
        <v>111</v>
      </c>
      <c r="K2251">
        <v>1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23</v>
      </c>
      <c r="R2251">
        <v>0</v>
      </c>
    </row>
    <row r="2252" spans="1:18">
      <c r="A2252" s="4">
        <v>92388600000000</v>
      </c>
      <c r="B2252" t="s">
        <v>18</v>
      </c>
      <c r="C2252">
        <v>59</v>
      </c>
      <c r="D2252" t="s">
        <v>35</v>
      </c>
      <c r="E2252" t="s">
        <v>73</v>
      </c>
      <c r="F2252" s="1">
        <v>42493</v>
      </c>
      <c r="G2252" s="1">
        <v>42493</v>
      </c>
      <c r="H2252" t="s">
        <v>41</v>
      </c>
      <c r="I2252">
        <v>0</v>
      </c>
      <c r="J2252" t="s">
        <v>111</v>
      </c>
      <c r="K2252">
        <v>1</v>
      </c>
      <c r="L2252">
        <v>1</v>
      </c>
      <c r="M2252">
        <v>0</v>
      </c>
      <c r="N2252">
        <v>0</v>
      </c>
      <c r="O2252">
        <v>0</v>
      </c>
      <c r="P2252">
        <v>0</v>
      </c>
      <c r="Q2252" t="s">
        <v>23</v>
      </c>
      <c r="R2252">
        <v>0</v>
      </c>
    </row>
    <row r="2253" spans="1:18">
      <c r="A2253" s="4">
        <v>67254200000000</v>
      </c>
      <c r="B2253" t="s">
        <v>28</v>
      </c>
      <c r="C2253">
        <v>2</v>
      </c>
      <c r="D2253" t="s">
        <v>31</v>
      </c>
      <c r="E2253" t="s">
        <v>57</v>
      </c>
      <c r="F2253" s="1">
        <v>42493</v>
      </c>
      <c r="G2253" s="1">
        <v>42500</v>
      </c>
      <c r="H2253" t="s">
        <v>41</v>
      </c>
      <c r="I2253">
        <v>7</v>
      </c>
      <c r="J2253" t="s">
        <v>107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1</v>
      </c>
      <c r="Q2253" t="s">
        <v>26</v>
      </c>
      <c r="R2253">
        <v>1</v>
      </c>
    </row>
    <row r="2254" spans="1:18">
      <c r="A2254" s="4">
        <v>253866000000000</v>
      </c>
      <c r="B2254" t="s">
        <v>18</v>
      </c>
      <c r="C2254">
        <v>52</v>
      </c>
      <c r="D2254" t="s">
        <v>35</v>
      </c>
      <c r="E2254" t="s">
        <v>74</v>
      </c>
      <c r="F2254" s="1">
        <v>42493</v>
      </c>
      <c r="G2254" s="1">
        <v>42509</v>
      </c>
      <c r="H2254" t="s">
        <v>33</v>
      </c>
      <c r="I2254">
        <v>16</v>
      </c>
      <c r="J2254" t="s">
        <v>77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23</v>
      </c>
      <c r="R2254">
        <v>0</v>
      </c>
    </row>
    <row r="2255" spans="1:18">
      <c r="A2255" s="4">
        <v>4236330000000</v>
      </c>
      <c r="B2255" t="s">
        <v>28</v>
      </c>
      <c r="C2255">
        <v>0</v>
      </c>
      <c r="D2255" t="s">
        <v>31</v>
      </c>
      <c r="E2255" t="s">
        <v>84</v>
      </c>
      <c r="F2255" s="1">
        <v>42493</v>
      </c>
      <c r="G2255" s="1">
        <v>42493</v>
      </c>
      <c r="H2255" t="s">
        <v>41</v>
      </c>
      <c r="I2255">
        <v>0</v>
      </c>
      <c r="J2255" t="s">
        <v>111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23</v>
      </c>
      <c r="R2255">
        <v>0</v>
      </c>
    </row>
    <row r="2256" spans="1:18">
      <c r="A2256" s="4">
        <v>44219600000000</v>
      </c>
      <c r="B2256" t="s">
        <v>18</v>
      </c>
      <c r="C2256">
        <v>57</v>
      </c>
      <c r="D2256" t="s">
        <v>35</v>
      </c>
      <c r="E2256" t="s">
        <v>71</v>
      </c>
      <c r="F2256" s="1">
        <v>42493</v>
      </c>
      <c r="G2256" s="1">
        <v>42499</v>
      </c>
      <c r="H2256" t="s">
        <v>30</v>
      </c>
      <c r="I2256">
        <v>6</v>
      </c>
      <c r="J2256" t="s">
        <v>107</v>
      </c>
      <c r="K2256">
        <v>0</v>
      </c>
      <c r="L2256">
        <v>1</v>
      </c>
      <c r="M2256">
        <v>0</v>
      </c>
      <c r="N2256">
        <v>0</v>
      </c>
      <c r="O2256">
        <v>0</v>
      </c>
      <c r="P2256">
        <v>0</v>
      </c>
      <c r="Q2256" t="s">
        <v>23</v>
      </c>
      <c r="R2256">
        <v>0</v>
      </c>
    </row>
    <row r="2257" spans="1:18">
      <c r="A2257" s="4">
        <v>3662940000000</v>
      </c>
      <c r="B2257" t="s">
        <v>28</v>
      </c>
      <c r="C2257">
        <v>19</v>
      </c>
      <c r="D2257" t="s">
        <v>37</v>
      </c>
      <c r="E2257" t="s">
        <v>29</v>
      </c>
      <c r="F2257" s="1">
        <v>42493</v>
      </c>
      <c r="G2257" s="1">
        <v>42500</v>
      </c>
      <c r="H2257" t="s">
        <v>41</v>
      </c>
      <c r="I2257">
        <v>7</v>
      </c>
      <c r="J2257" t="s">
        <v>107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1</v>
      </c>
      <c r="Q2257" t="s">
        <v>23</v>
      </c>
      <c r="R2257">
        <v>0</v>
      </c>
    </row>
    <row r="2258" spans="1:18">
      <c r="A2258" s="4">
        <v>65445800000000</v>
      </c>
      <c r="B2258" t="s">
        <v>28</v>
      </c>
      <c r="C2258">
        <v>0</v>
      </c>
      <c r="D2258" t="s">
        <v>31</v>
      </c>
      <c r="E2258" t="s">
        <v>86</v>
      </c>
      <c r="F2258" s="1">
        <v>42493</v>
      </c>
      <c r="G2258" s="1">
        <v>42495</v>
      </c>
      <c r="H2258" t="s">
        <v>33</v>
      </c>
      <c r="I2258">
        <v>2</v>
      </c>
      <c r="J2258" t="s">
        <v>109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23</v>
      </c>
      <c r="R2258">
        <v>0</v>
      </c>
    </row>
    <row r="2259" spans="1:18">
      <c r="A2259" s="4">
        <v>16494700000000</v>
      </c>
      <c r="B2259" t="s">
        <v>18</v>
      </c>
      <c r="C2259">
        <v>26</v>
      </c>
      <c r="D2259" t="s">
        <v>37</v>
      </c>
      <c r="E2259" t="s">
        <v>63</v>
      </c>
      <c r="F2259" s="1">
        <v>42493</v>
      </c>
      <c r="G2259" s="1">
        <v>42506</v>
      </c>
      <c r="H2259" t="s">
        <v>30</v>
      </c>
      <c r="I2259">
        <v>13</v>
      </c>
      <c r="J2259" t="s">
        <v>92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23</v>
      </c>
      <c r="R2259">
        <v>0</v>
      </c>
    </row>
    <row r="2260" spans="1:18">
      <c r="A2260" s="4">
        <v>4372870000000</v>
      </c>
      <c r="B2260" t="s">
        <v>28</v>
      </c>
      <c r="C2260">
        <v>4</v>
      </c>
      <c r="D2260" t="s">
        <v>31</v>
      </c>
      <c r="E2260" t="s">
        <v>32</v>
      </c>
      <c r="F2260" s="1">
        <v>42493</v>
      </c>
      <c r="G2260" s="1">
        <v>42493</v>
      </c>
      <c r="H2260" t="s">
        <v>41</v>
      </c>
      <c r="I2260">
        <v>0</v>
      </c>
      <c r="J2260" t="s">
        <v>111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23</v>
      </c>
      <c r="R2260">
        <v>0</v>
      </c>
    </row>
    <row r="2261" spans="1:18">
      <c r="A2261" s="4">
        <v>556622000000000</v>
      </c>
      <c r="B2261" t="s">
        <v>18</v>
      </c>
      <c r="C2261">
        <v>79</v>
      </c>
      <c r="D2261" t="s">
        <v>19</v>
      </c>
      <c r="E2261" t="s">
        <v>29</v>
      </c>
      <c r="F2261" s="1">
        <v>42493</v>
      </c>
      <c r="G2261" s="1">
        <v>42494</v>
      </c>
      <c r="H2261" t="s">
        <v>25</v>
      </c>
      <c r="I2261">
        <v>1</v>
      </c>
      <c r="J2261" t="s">
        <v>109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23</v>
      </c>
      <c r="R2261">
        <v>0</v>
      </c>
    </row>
    <row r="2262" spans="1:18">
      <c r="A2262" s="4">
        <v>465883000000000</v>
      </c>
      <c r="B2262" t="s">
        <v>28</v>
      </c>
      <c r="C2262">
        <v>50</v>
      </c>
      <c r="D2262" t="s">
        <v>27</v>
      </c>
      <c r="E2262" t="s">
        <v>32</v>
      </c>
      <c r="F2262" s="1">
        <v>42493</v>
      </c>
      <c r="G2262" s="1">
        <v>42494</v>
      </c>
      <c r="H2262" t="s">
        <v>25</v>
      </c>
      <c r="I2262">
        <v>1</v>
      </c>
      <c r="J2262" t="s">
        <v>109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23</v>
      </c>
      <c r="R2262">
        <v>0</v>
      </c>
    </row>
    <row r="2263" spans="1:18">
      <c r="A2263" s="4">
        <v>438887000000000</v>
      </c>
      <c r="B2263" t="s">
        <v>18</v>
      </c>
      <c r="C2263">
        <v>31</v>
      </c>
      <c r="D2263" t="s">
        <v>37</v>
      </c>
      <c r="E2263" t="s">
        <v>45</v>
      </c>
      <c r="F2263" s="1">
        <v>42493</v>
      </c>
      <c r="G2263" s="1">
        <v>42521</v>
      </c>
      <c r="H2263" t="s">
        <v>41</v>
      </c>
      <c r="I2263">
        <v>28</v>
      </c>
      <c r="J2263" t="s">
        <v>77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1</v>
      </c>
      <c r="Q2263" t="s">
        <v>23</v>
      </c>
      <c r="R2263">
        <v>0</v>
      </c>
    </row>
    <row r="2264" spans="1:18">
      <c r="A2264" s="4">
        <v>7269330000000</v>
      </c>
      <c r="B2264" t="s">
        <v>28</v>
      </c>
      <c r="C2264">
        <v>55</v>
      </c>
      <c r="D2264" t="s">
        <v>35</v>
      </c>
      <c r="E2264" t="s">
        <v>36</v>
      </c>
      <c r="F2264" s="1">
        <v>42493</v>
      </c>
      <c r="G2264" s="1">
        <v>42493</v>
      </c>
      <c r="H2264" t="s">
        <v>41</v>
      </c>
      <c r="I2264">
        <v>0</v>
      </c>
      <c r="J2264" t="s">
        <v>111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23</v>
      </c>
      <c r="R2264">
        <v>0</v>
      </c>
    </row>
    <row r="2265" spans="1:18">
      <c r="A2265" s="4">
        <v>98928652948</v>
      </c>
      <c r="B2265" t="s">
        <v>28</v>
      </c>
      <c r="C2265">
        <v>35</v>
      </c>
      <c r="D2265" t="s">
        <v>37</v>
      </c>
      <c r="E2265" t="s">
        <v>96</v>
      </c>
      <c r="F2265" s="1">
        <v>42493</v>
      </c>
      <c r="G2265" s="1">
        <v>42500</v>
      </c>
      <c r="H2265" t="s">
        <v>41</v>
      </c>
      <c r="I2265">
        <v>7</v>
      </c>
      <c r="J2265" t="s">
        <v>107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1</v>
      </c>
      <c r="Q2265" t="s">
        <v>23</v>
      </c>
      <c r="R2265">
        <v>0</v>
      </c>
    </row>
    <row r="2266" spans="1:18">
      <c r="A2266" s="4">
        <v>3661960000000</v>
      </c>
      <c r="B2266" t="s">
        <v>28</v>
      </c>
      <c r="C2266">
        <v>38</v>
      </c>
      <c r="D2266" t="s">
        <v>27</v>
      </c>
      <c r="E2266" t="s">
        <v>66</v>
      </c>
      <c r="F2266" s="1">
        <v>42493</v>
      </c>
      <c r="G2266" s="1">
        <v>42496</v>
      </c>
      <c r="H2266" t="s">
        <v>21</v>
      </c>
      <c r="I2266">
        <v>3</v>
      </c>
      <c r="J2266" t="s">
        <v>109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1</v>
      </c>
      <c r="Q2266" t="s">
        <v>23</v>
      </c>
      <c r="R2266">
        <v>0</v>
      </c>
    </row>
    <row r="2267" spans="1:18">
      <c r="A2267" s="4">
        <v>46615500000000</v>
      </c>
      <c r="B2267" t="s">
        <v>18</v>
      </c>
      <c r="C2267">
        <v>2</v>
      </c>
      <c r="D2267" t="s">
        <v>31</v>
      </c>
      <c r="E2267" t="s">
        <v>38</v>
      </c>
      <c r="F2267" s="1">
        <v>42493</v>
      </c>
      <c r="G2267" s="1">
        <v>42493</v>
      </c>
      <c r="H2267" t="s">
        <v>41</v>
      </c>
      <c r="I2267">
        <v>0</v>
      </c>
      <c r="J2267" t="s">
        <v>111</v>
      </c>
      <c r="K2267">
        <v>1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23</v>
      </c>
      <c r="R2267">
        <v>0</v>
      </c>
    </row>
    <row r="2268" spans="1:18">
      <c r="A2268" s="4">
        <v>42434800000000</v>
      </c>
      <c r="B2268" t="s">
        <v>18</v>
      </c>
      <c r="C2268">
        <v>41</v>
      </c>
      <c r="D2268" t="s">
        <v>27</v>
      </c>
      <c r="E2268" t="s">
        <v>55</v>
      </c>
      <c r="F2268" s="1">
        <v>42493</v>
      </c>
      <c r="G2268" s="1">
        <v>42507</v>
      </c>
      <c r="H2268" t="s">
        <v>41</v>
      </c>
      <c r="I2268">
        <v>14</v>
      </c>
      <c r="J2268" t="s">
        <v>92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23</v>
      </c>
      <c r="R2268">
        <v>0</v>
      </c>
    </row>
    <row r="2269" spans="1:18">
      <c r="A2269" s="4">
        <v>74551900000000</v>
      </c>
      <c r="B2269" t="s">
        <v>18</v>
      </c>
      <c r="C2269">
        <v>50</v>
      </c>
      <c r="D2269" t="s">
        <v>27</v>
      </c>
      <c r="E2269" t="s">
        <v>58</v>
      </c>
      <c r="F2269" s="1">
        <v>42493</v>
      </c>
      <c r="G2269" s="1">
        <v>42500</v>
      </c>
      <c r="H2269" t="s">
        <v>41</v>
      </c>
      <c r="I2269">
        <v>7</v>
      </c>
      <c r="J2269" t="s">
        <v>107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1</v>
      </c>
      <c r="Q2269" t="s">
        <v>26</v>
      </c>
      <c r="R2269">
        <v>1</v>
      </c>
    </row>
    <row r="2270" spans="1:18">
      <c r="A2270" s="4">
        <v>486365000000000</v>
      </c>
      <c r="B2270" t="s">
        <v>18</v>
      </c>
      <c r="C2270">
        <v>5</v>
      </c>
      <c r="D2270" t="s">
        <v>31</v>
      </c>
      <c r="E2270" t="s">
        <v>57</v>
      </c>
      <c r="F2270" s="1">
        <v>42493</v>
      </c>
      <c r="G2270" s="1">
        <v>42493</v>
      </c>
      <c r="H2270" t="s">
        <v>41</v>
      </c>
      <c r="I2270">
        <v>0</v>
      </c>
      <c r="J2270" t="s">
        <v>111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23</v>
      </c>
      <c r="R2270">
        <v>0</v>
      </c>
    </row>
    <row r="2271" spans="1:18">
      <c r="A2271" s="4">
        <v>579711000000000</v>
      </c>
      <c r="B2271" t="s">
        <v>18</v>
      </c>
      <c r="C2271">
        <v>41</v>
      </c>
      <c r="D2271" t="s">
        <v>27</v>
      </c>
      <c r="E2271" t="s">
        <v>63</v>
      </c>
      <c r="F2271" s="1">
        <v>42493</v>
      </c>
      <c r="G2271" s="1">
        <v>42503</v>
      </c>
      <c r="H2271" t="s">
        <v>21</v>
      </c>
      <c r="I2271">
        <v>10</v>
      </c>
      <c r="J2271" t="s">
        <v>92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23</v>
      </c>
      <c r="R2271">
        <v>0</v>
      </c>
    </row>
    <row r="2272" spans="1:18">
      <c r="A2272" s="4">
        <v>9129930000000</v>
      </c>
      <c r="B2272" t="s">
        <v>18</v>
      </c>
      <c r="C2272">
        <v>41</v>
      </c>
      <c r="D2272" t="s">
        <v>27</v>
      </c>
      <c r="E2272" t="s">
        <v>57</v>
      </c>
      <c r="F2272" s="1">
        <v>42493</v>
      </c>
      <c r="G2272" s="1">
        <v>42499</v>
      </c>
      <c r="H2272" t="s">
        <v>30</v>
      </c>
      <c r="I2272">
        <v>6</v>
      </c>
      <c r="J2272" t="s">
        <v>107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26</v>
      </c>
      <c r="R2272">
        <v>1</v>
      </c>
    </row>
    <row r="2273" spans="1:18">
      <c r="A2273" s="4">
        <v>99526400000000</v>
      </c>
      <c r="B2273" t="s">
        <v>18</v>
      </c>
      <c r="C2273">
        <v>18</v>
      </c>
      <c r="D2273" t="s">
        <v>37</v>
      </c>
      <c r="E2273" t="s">
        <v>96</v>
      </c>
      <c r="F2273" s="1">
        <v>42493</v>
      </c>
      <c r="G2273" s="1">
        <v>42493</v>
      </c>
      <c r="H2273" t="s">
        <v>41</v>
      </c>
      <c r="I2273">
        <v>0</v>
      </c>
      <c r="J2273" t="s">
        <v>111</v>
      </c>
      <c r="K2273">
        <v>1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23</v>
      </c>
      <c r="R2273">
        <v>0</v>
      </c>
    </row>
    <row r="2274" spans="1:18">
      <c r="A2274" s="4">
        <v>972711000000</v>
      </c>
      <c r="B2274" t="s">
        <v>18</v>
      </c>
      <c r="C2274">
        <v>0</v>
      </c>
      <c r="D2274" t="s">
        <v>31</v>
      </c>
      <c r="E2274" t="s">
        <v>61</v>
      </c>
      <c r="F2274" s="1">
        <v>42493</v>
      </c>
      <c r="G2274" s="1">
        <v>42493</v>
      </c>
      <c r="H2274" t="s">
        <v>41</v>
      </c>
      <c r="I2274">
        <v>0</v>
      </c>
      <c r="J2274" t="s">
        <v>111</v>
      </c>
      <c r="K2274">
        <v>1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23</v>
      </c>
      <c r="R2274">
        <v>0</v>
      </c>
    </row>
    <row r="2275" spans="1:18">
      <c r="A2275" s="4">
        <v>11424400000000</v>
      </c>
      <c r="B2275" t="s">
        <v>18</v>
      </c>
      <c r="C2275">
        <v>35</v>
      </c>
      <c r="D2275" t="s">
        <v>37</v>
      </c>
      <c r="E2275" t="s">
        <v>78</v>
      </c>
      <c r="F2275" s="1">
        <v>42493</v>
      </c>
      <c r="G2275" s="1">
        <v>42503</v>
      </c>
      <c r="H2275" t="s">
        <v>21</v>
      </c>
      <c r="I2275">
        <v>10</v>
      </c>
      <c r="J2275" t="s">
        <v>92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23</v>
      </c>
      <c r="R2275">
        <v>0</v>
      </c>
    </row>
    <row r="2276" spans="1:18">
      <c r="A2276" s="4">
        <v>86887600000000</v>
      </c>
      <c r="B2276" t="s">
        <v>28</v>
      </c>
      <c r="C2276">
        <v>37</v>
      </c>
      <c r="D2276" t="s">
        <v>27</v>
      </c>
      <c r="E2276" t="s">
        <v>58</v>
      </c>
      <c r="F2276" s="1">
        <v>42493</v>
      </c>
      <c r="G2276" s="1">
        <v>42503</v>
      </c>
      <c r="H2276" t="s">
        <v>21</v>
      </c>
      <c r="I2276">
        <v>10</v>
      </c>
      <c r="J2276" t="s">
        <v>92</v>
      </c>
      <c r="K2276">
        <v>1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23</v>
      </c>
      <c r="R2276">
        <v>0</v>
      </c>
    </row>
    <row r="2277" spans="1:18">
      <c r="A2277" s="4">
        <v>758886000000000</v>
      </c>
      <c r="B2277" t="s">
        <v>18</v>
      </c>
      <c r="C2277">
        <v>52</v>
      </c>
      <c r="D2277" t="s">
        <v>35</v>
      </c>
      <c r="E2277" t="s">
        <v>100</v>
      </c>
      <c r="F2277" s="1">
        <v>42493</v>
      </c>
      <c r="G2277" s="1">
        <v>42493</v>
      </c>
      <c r="H2277" t="s">
        <v>41</v>
      </c>
      <c r="I2277">
        <v>0</v>
      </c>
      <c r="J2277" t="s">
        <v>111</v>
      </c>
      <c r="K2277">
        <v>1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23</v>
      </c>
      <c r="R2277">
        <v>0</v>
      </c>
    </row>
    <row r="2278" spans="1:18">
      <c r="A2278" s="4">
        <v>44886400000000</v>
      </c>
      <c r="B2278" t="s">
        <v>18</v>
      </c>
      <c r="C2278">
        <v>37</v>
      </c>
      <c r="D2278" t="s">
        <v>27</v>
      </c>
      <c r="E2278" t="s">
        <v>84</v>
      </c>
      <c r="F2278" s="1">
        <v>42493</v>
      </c>
      <c r="G2278" s="1">
        <v>42493</v>
      </c>
      <c r="H2278" t="s">
        <v>41</v>
      </c>
      <c r="I2278">
        <v>0</v>
      </c>
      <c r="J2278" t="s">
        <v>111</v>
      </c>
      <c r="K2278">
        <v>1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23</v>
      </c>
      <c r="R2278">
        <v>0</v>
      </c>
    </row>
    <row r="2279" spans="1:18">
      <c r="A2279" s="4">
        <v>219948000000000</v>
      </c>
      <c r="B2279" t="s">
        <v>18</v>
      </c>
      <c r="C2279">
        <v>47</v>
      </c>
      <c r="D2279" t="s">
        <v>27</v>
      </c>
      <c r="E2279" t="s">
        <v>84</v>
      </c>
      <c r="F2279" s="1">
        <v>42493</v>
      </c>
      <c r="G2279" s="1">
        <v>42493</v>
      </c>
      <c r="H2279" t="s">
        <v>41</v>
      </c>
      <c r="I2279">
        <v>0</v>
      </c>
      <c r="J2279" t="s">
        <v>111</v>
      </c>
      <c r="K2279">
        <v>1</v>
      </c>
      <c r="L2279">
        <v>0</v>
      </c>
      <c r="M2279">
        <v>0</v>
      </c>
      <c r="N2279">
        <v>1</v>
      </c>
      <c r="O2279">
        <v>0</v>
      </c>
      <c r="P2279">
        <v>0</v>
      </c>
      <c r="Q2279" t="s">
        <v>23</v>
      </c>
      <c r="R2279">
        <v>0</v>
      </c>
    </row>
    <row r="2280" spans="1:18">
      <c r="A2280" s="4">
        <v>9267590000000</v>
      </c>
      <c r="B2280" t="s">
        <v>18</v>
      </c>
      <c r="C2280">
        <v>56</v>
      </c>
      <c r="D2280" t="s">
        <v>35</v>
      </c>
      <c r="E2280" t="s">
        <v>84</v>
      </c>
      <c r="F2280" s="1">
        <v>42493</v>
      </c>
      <c r="G2280" s="1">
        <v>42493</v>
      </c>
      <c r="H2280" t="s">
        <v>41</v>
      </c>
      <c r="I2280">
        <v>0</v>
      </c>
      <c r="J2280" t="s">
        <v>111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26</v>
      </c>
      <c r="R2280">
        <v>1</v>
      </c>
    </row>
    <row r="2281" spans="1:18">
      <c r="A2281" s="4">
        <v>918314000000000</v>
      </c>
      <c r="B2281" t="s">
        <v>18</v>
      </c>
      <c r="C2281">
        <v>32</v>
      </c>
      <c r="D2281" t="s">
        <v>37</v>
      </c>
      <c r="E2281" t="s">
        <v>39</v>
      </c>
      <c r="F2281" s="1">
        <v>42493</v>
      </c>
      <c r="G2281" s="1">
        <v>42493</v>
      </c>
      <c r="H2281" t="s">
        <v>41</v>
      </c>
      <c r="I2281">
        <v>0</v>
      </c>
      <c r="J2281" t="s">
        <v>111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23</v>
      </c>
      <c r="R2281">
        <v>0</v>
      </c>
    </row>
    <row r="2282" spans="1:18">
      <c r="A2282" s="4">
        <v>28227144234</v>
      </c>
      <c r="B2282" t="s">
        <v>28</v>
      </c>
      <c r="C2282">
        <v>75</v>
      </c>
      <c r="D2282" t="s">
        <v>19</v>
      </c>
      <c r="E2282" t="s">
        <v>52</v>
      </c>
      <c r="F2282" s="1">
        <v>42493</v>
      </c>
      <c r="G2282" s="1">
        <v>42506</v>
      </c>
      <c r="H2282" t="s">
        <v>30</v>
      </c>
      <c r="I2282">
        <v>13</v>
      </c>
      <c r="J2282" t="s">
        <v>92</v>
      </c>
      <c r="K2282">
        <v>0</v>
      </c>
      <c r="L2282">
        <v>1</v>
      </c>
      <c r="M2282">
        <v>0</v>
      </c>
      <c r="N2282">
        <v>0</v>
      </c>
      <c r="O2282">
        <v>0</v>
      </c>
      <c r="P2282">
        <v>0</v>
      </c>
      <c r="Q2282" t="s">
        <v>26</v>
      </c>
      <c r="R2282">
        <v>1</v>
      </c>
    </row>
    <row r="2283" spans="1:18">
      <c r="A2283" s="4">
        <v>74686700000000</v>
      </c>
      <c r="B2283" t="s">
        <v>28</v>
      </c>
      <c r="C2283">
        <v>25</v>
      </c>
      <c r="D2283" t="s">
        <v>37</v>
      </c>
      <c r="E2283" t="s">
        <v>47</v>
      </c>
      <c r="F2283" s="1">
        <v>42493</v>
      </c>
      <c r="G2283" s="1">
        <v>42493</v>
      </c>
      <c r="H2283" t="s">
        <v>41</v>
      </c>
      <c r="I2283">
        <v>0</v>
      </c>
      <c r="J2283" t="s">
        <v>111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23</v>
      </c>
      <c r="R2283">
        <v>0</v>
      </c>
    </row>
    <row r="2284" spans="1:18">
      <c r="A2284" s="4">
        <v>8195560000000</v>
      </c>
      <c r="B2284" t="s">
        <v>18</v>
      </c>
      <c r="C2284">
        <v>0</v>
      </c>
      <c r="D2284" t="s">
        <v>31</v>
      </c>
      <c r="E2284" t="s">
        <v>44</v>
      </c>
      <c r="F2284" s="1">
        <v>42493</v>
      </c>
      <c r="G2284" s="1">
        <v>42493</v>
      </c>
      <c r="H2284" t="s">
        <v>41</v>
      </c>
      <c r="I2284">
        <v>0</v>
      </c>
      <c r="J2284" t="s">
        <v>111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23</v>
      </c>
      <c r="R2284">
        <v>0</v>
      </c>
    </row>
    <row r="2285" spans="1:18">
      <c r="A2285" s="4">
        <v>13211500000000</v>
      </c>
      <c r="B2285" t="s">
        <v>18</v>
      </c>
      <c r="C2285">
        <v>57</v>
      </c>
      <c r="D2285" t="s">
        <v>35</v>
      </c>
      <c r="E2285" t="s">
        <v>29</v>
      </c>
      <c r="F2285" s="1">
        <v>42493</v>
      </c>
      <c r="G2285" s="1">
        <v>42493</v>
      </c>
      <c r="H2285" t="s">
        <v>41</v>
      </c>
      <c r="I2285">
        <v>0</v>
      </c>
      <c r="J2285" t="s">
        <v>111</v>
      </c>
      <c r="K2285">
        <v>0</v>
      </c>
      <c r="L2285">
        <v>1</v>
      </c>
      <c r="M2285">
        <v>0</v>
      </c>
      <c r="N2285">
        <v>0</v>
      </c>
      <c r="O2285">
        <v>0</v>
      </c>
      <c r="P2285">
        <v>0</v>
      </c>
      <c r="Q2285" t="s">
        <v>23</v>
      </c>
      <c r="R2285">
        <v>0</v>
      </c>
    </row>
    <row r="2286" spans="1:18">
      <c r="A2286" s="4">
        <v>95426500000000</v>
      </c>
      <c r="B2286" t="s">
        <v>18</v>
      </c>
      <c r="C2286">
        <v>30</v>
      </c>
      <c r="D2286" t="s">
        <v>37</v>
      </c>
      <c r="E2286" t="s">
        <v>44</v>
      </c>
      <c r="F2286" s="1">
        <v>42493</v>
      </c>
      <c r="G2286" s="1">
        <v>42493</v>
      </c>
      <c r="H2286" t="s">
        <v>41</v>
      </c>
      <c r="I2286">
        <v>0</v>
      </c>
      <c r="J2286" t="s">
        <v>111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23</v>
      </c>
      <c r="R2286">
        <v>0</v>
      </c>
    </row>
    <row r="2287" spans="1:18">
      <c r="A2287" s="4">
        <v>392355000000</v>
      </c>
      <c r="B2287" t="s">
        <v>18</v>
      </c>
      <c r="C2287">
        <v>40</v>
      </c>
      <c r="D2287" t="s">
        <v>27</v>
      </c>
      <c r="E2287" t="s">
        <v>32</v>
      </c>
      <c r="F2287" s="1">
        <v>42493</v>
      </c>
      <c r="G2287" s="1">
        <v>42506</v>
      </c>
      <c r="H2287" t="s">
        <v>30</v>
      </c>
      <c r="I2287">
        <v>13</v>
      </c>
      <c r="J2287" t="s">
        <v>92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23</v>
      </c>
      <c r="R2287">
        <v>0</v>
      </c>
    </row>
    <row r="2288" spans="1:18">
      <c r="A2288" s="4">
        <v>2393480000000</v>
      </c>
      <c r="B2288" t="s">
        <v>18</v>
      </c>
      <c r="C2288">
        <v>2</v>
      </c>
      <c r="D2288" t="s">
        <v>31</v>
      </c>
      <c r="E2288" t="s">
        <v>70</v>
      </c>
      <c r="F2288" s="1">
        <v>42493</v>
      </c>
      <c r="G2288" s="1">
        <v>42502</v>
      </c>
      <c r="H2288" t="s">
        <v>33</v>
      </c>
      <c r="I2288">
        <v>9</v>
      </c>
      <c r="J2288" t="s">
        <v>92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26</v>
      </c>
      <c r="R2288">
        <v>1</v>
      </c>
    </row>
    <row r="2289" spans="1:18">
      <c r="A2289" s="4">
        <v>32625300000000</v>
      </c>
      <c r="B2289" t="s">
        <v>18</v>
      </c>
      <c r="C2289">
        <v>54</v>
      </c>
      <c r="D2289" t="s">
        <v>35</v>
      </c>
      <c r="E2289" t="s">
        <v>38</v>
      </c>
      <c r="F2289" s="1">
        <v>42493</v>
      </c>
      <c r="G2289" s="1">
        <v>42521</v>
      </c>
      <c r="H2289" t="s">
        <v>41</v>
      </c>
      <c r="I2289">
        <v>28</v>
      </c>
      <c r="J2289" t="s">
        <v>77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23</v>
      </c>
      <c r="R2289">
        <v>0</v>
      </c>
    </row>
    <row r="2290" spans="1:18">
      <c r="A2290" s="4">
        <v>7719360000000</v>
      </c>
      <c r="B2290" t="s">
        <v>18</v>
      </c>
      <c r="C2290">
        <v>80</v>
      </c>
      <c r="D2290" t="s">
        <v>19</v>
      </c>
      <c r="E2290" t="s">
        <v>96</v>
      </c>
      <c r="F2290" s="1">
        <v>42493</v>
      </c>
      <c r="G2290" s="1">
        <v>42493</v>
      </c>
      <c r="H2290" t="s">
        <v>41</v>
      </c>
      <c r="I2290">
        <v>0</v>
      </c>
      <c r="J2290" t="s">
        <v>111</v>
      </c>
      <c r="K2290">
        <v>0</v>
      </c>
      <c r="L2290">
        <v>1</v>
      </c>
      <c r="M2290">
        <v>1</v>
      </c>
      <c r="N2290">
        <v>0</v>
      </c>
      <c r="O2290">
        <v>0</v>
      </c>
      <c r="P2290">
        <v>0</v>
      </c>
      <c r="Q2290" t="s">
        <v>23</v>
      </c>
      <c r="R2290">
        <v>0</v>
      </c>
    </row>
    <row r="2291" spans="1:18">
      <c r="A2291" s="4">
        <v>66175200000000</v>
      </c>
      <c r="B2291" t="s">
        <v>18</v>
      </c>
      <c r="C2291">
        <v>24</v>
      </c>
      <c r="D2291" t="s">
        <v>37</v>
      </c>
      <c r="E2291" t="s">
        <v>40</v>
      </c>
      <c r="F2291" s="1">
        <v>42493</v>
      </c>
      <c r="G2291" s="1">
        <v>42528</v>
      </c>
      <c r="H2291" t="s">
        <v>41</v>
      </c>
      <c r="I2291">
        <v>35</v>
      </c>
      <c r="J2291" t="s">
        <v>22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23</v>
      </c>
      <c r="R2291">
        <v>0</v>
      </c>
    </row>
    <row r="2292" spans="1:18">
      <c r="A2292" s="4">
        <v>54963600000000</v>
      </c>
      <c r="B2292" t="s">
        <v>18</v>
      </c>
      <c r="C2292">
        <v>28</v>
      </c>
      <c r="D2292" t="s">
        <v>37</v>
      </c>
      <c r="E2292" t="s">
        <v>50</v>
      </c>
      <c r="F2292" s="1">
        <v>42493</v>
      </c>
      <c r="G2292" s="1">
        <v>42493</v>
      </c>
      <c r="H2292" t="s">
        <v>41</v>
      </c>
      <c r="I2292">
        <v>0</v>
      </c>
      <c r="J2292" t="s">
        <v>111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23</v>
      </c>
      <c r="R2292">
        <v>0</v>
      </c>
    </row>
    <row r="2293" spans="1:18">
      <c r="A2293" s="4">
        <v>5331930000000</v>
      </c>
      <c r="B2293" t="s">
        <v>18</v>
      </c>
      <c r="C2293">
        <v>73</v>
      </c>
      <c r="D2293" t="s">
        <v>19</v>
      </c>
      <c r="E2293" t="s">
        <v>73</v>
      </c>
      <c r="F2293" s="1">
        <v>42493</v>
      </c>
      <c r="G2293" s="1">
        <v>42508</v>
      </c>
      <c r="H2293" t="s">
        <v>25</v>
      </c>
      <c r="I2293">
        <v>15</v>
      </c>
      <c r="J2293" t="s">
        <v>77</v>
      </c>
      <c r="K2293">
        <v>0</v>
      </c>
      <c r="L2293">
        <v>1</v>
      </c>
      <c r="M2293">
        <v>0</v>
      </c>
      <c r="N2293">
        <v>0</v>
      </c>
      <c r="O2293">
        <v>0</v>
      </c>
      <c r="P2293">
        <v>0</v>
      </c>
      <c r="Q2293" t="s">
        <v>23</v>
      </c>
      <c r="R2293">
        <v>0</v>
      </c>
    </row>
    <row r="2294" spans="1:18">
      <c r="A2294" s="4">
        <v>35375900000000</v>
      </c>
      <c r="B2294" t="s">
        <v>18</v>
      </c>
      <c r="C2294">
        <v>26</v>
      </c>
      <c r="D2294" t="s">
        <v>37</v>
      </c>
      <c r="E2294" t="s">
        <v>63</v>
      </c>
      <c r="F2294" s="1">
        <v>42493</v>
      </c>
      <c r="G2294" s="1">
        <v>42514</v>
      </c>
      <c r="H2294" t="s">
        <v>41</v>
      </c>
      <c r="I2294">
        <v>21</v>
      </c>
      <c r="J2294" t="s">
        <v>77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1</v>
      </c>
      <c r="Q2294" t="s">
        <v>26</v>
      </c>
      <c r="R2294">
        <v>1</v>
      </c>
    </row>
    <row r="2295" spans="1:18">
      <c r="A2295" s="4">
        <v>464450000000000</v>
      </c>
      <c r="B2295" t="s">
        <v>28</v>
      </c>
      <c r="C2295">
        <v>19</v>
      </c>
      <c r="D2295" t="s">
        <v>37</v>
      </c>
      <c r="E2295" t="s">
        <v>84</v>
      </c>
      <c r="F2295" s="1">
        <v>42493</v>
      </c>
      <c r="G2295" s="1">
        <v>42503</v>
      </c>
      <c r="H2295" t="s">
        <v>21</v>
      </c>
      <c r="I2295">
        <v>10</v>
      </c>
      <c r="J2295" t="s">
        <v>92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23</v>
      </c>
      <c r="R2295">
        <v>0</v>
      </c>
    </row>
    <row r="2296" spans="1:18">
      <c r="A2296" s="4">
        <v>9942680000000</v>
      </c>
      <c r="B2296" t="s">
        <v>18</v>
      </c>
      <c r="C2296">
        <v>27</v>
      </c>
      <c r="D2296" t="s">
        <v>37</v>
      </c>
      <c r="E2296" t="s">
        <v>29</v>
      </c>
      <c r="F2296" s="1">
        <v>42493</v>
      </c>
      <c r="G2296" s="1">
        <v>42521</v>
      </c>
      <c r="H2296" t="s">
        <v>41</v>
      </c>
      <c r="I2296">
        <v>28</v>
      </c>
      <c r="J2296" t="s">
        <v>77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1</v>
      </c>
      <c r="Q2296" t="s">
        <v>23</v>
      </c>
      <c r="R2296">
        <v>0</v>
      </c>
    </row>
    <row r="2297" spans="1:18">
      <c r="A2297" s="4">
        <v>44559500000000</v>
      </c>
      <c r="B2297" t="s">
        <v>18</v>
      </c>
      <c r="C2297">
        <v>5</v>
      </c>
      <c r="D2297" t="s">
        <v>31</v>
      </c>
      <c r="E2297" t="s">
        <v>69</v>
      </c>
      <c r="F2297" s="1">
        <v>42493</v>
      </c>
      <c r="G2297" s="1">
        <v>42494</v>
      </c>
      <c r="H2297" t="s">
        <v>25</v>
      </c>
      <c r="I2297">
        <v>1</v>
      </c>
      <c r="J2297" t="s">
        <v>109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26</v>
      </c>
      <c r="R2297">
        <v>1</v>
      </c>
    </row>
    <row r="2298" spans="1:18">
      <c r="A2298" s="4">
        <v>322278000000</v>
      </c>
      <c r="B2298" t="s">
        <v>18</v>
      </c>
      <c r="C2298">
        <v>0</v>
      </c>
      <c r="D2298" t="s">
        <v>31</v>
      </c>
      <c r="E2298" t="s">
        <v>59</v>
      </c>
      <c r="F2298" s="1">
        <v>42493</v>
      </c>
      <c r="G2298" s="1">
        <v>42500</v>
      </c>
      <c r="H2298" t="s">
        <v>41</v>
      </c>
      <c r="I2298">
        <v>7</v>
      </c>
      <c r="J2298" t="s">
        <v>107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26</v>
      </c>
      <c r="R2298">
        <v>1</v>
      </c>
    </row>
    <row r="2299" spans="1:18">
      <c r="A2299" s="4">
        <v>22491900000000</v>
      </c>
      <c r="B2299" t="s">
        <v>28</v>
      </c>
      <c r="C2299">
        <v>19</v>
      </c>
      <c r="D2299" t="s">
        <v>37</v>
      </c>
      <c r="E2299" t="s">
        <v>69</v>
      </c>
      <c r="F2299" s="1">
        <v>42493</v>
      </c>
      <c r="G2299" s="1">
        <v>42493</v>
      </c>
      <c r="H2299" t="s">
        <v>41</v>
      </c>
      <c r="I2299">
        <v>0</v>
      </c>
      <c r="J2299" t="s">
        <v>111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23</v>
      </c>
      <c r="R2299">
        <v>0</v>
      </c>
    </row>
    <row r="2300" spans="1:18">
      <c r="A2300" s="4">
        <v>74417500000000</v>
      </c>
      <c r="B2300" t="s">
        <v>18</v>
      </c>
      <c r="C2300">
        <v>6</v>
      </c>
      <c r="D2300" t="s">
        <v>31</v>
      </c>
      <c r="E2300" t="s">
        <v>66</v>
      </c>
      <c r="F2300" s="1">
        <v>42493</v>
      </c>
      <c r="G2300" s="1">
        <v>42493</v>
      </c>
      <c r="H2300" t="s">
        <v>41</v>
      </c>
      <c r="I2300">
        <v>0</v>
      </c>
      <c r="J2300" t="s">
        <v>111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23</v>
      </c>
      <c r="R2300">
        <v>0</v>
      </c>
    </row>
    <row r="2301" spans="1:18">
      <c r="A2301" s="4">
        <v>851775000000000</v>
      </c>
      <c r="B2301" t="s">
        <v>18</v>
      </c>
      <c r="C2301">
        <v>37</v>
      </c>
      <c r="D2301" t="s">
        <v>27</v>
      </c>
      <c r="E2301" t="s">
        <v>69</v>
      </c>
      <c r="F2301" s="1">
        <v>42493</v>
      </c>
      <c r="G2301" s="1">
        <v>42510</v>
      </c>
      <c r="H2301" t="s">
        <v>21</v>
      </c>
      <c r="I2301">
        <v>17</v>
      </c>
      <c r="J2301" t="s">
        <v>77</v>
      </c>
      <c r="K2301">
        <v>1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23</v>
      </c>
      <c r="R2301">
        <v>0</v>
      </c>
    </row>
    <row r="2302" spans="1:18">
      <c r="A2302" s="4">
        <v>619982000000000</v>
      </c>
      <c r="B2302" t="s">
        <v>18</v>
      </c>
      <c r="C2302">
        <v>66</v>
      </c>
      <c r="D2302" t="s">
        <v>19</v>
      </c>
      <c r="E2302" t="s">
        <v>79</v>
      </c>
      <c r="F2302" s="1">
        <v>42493</v>
      </c>
      <c r="G2302" s="1">
        <v>42506</v>
      </c>
      <c r="H2302" t="s">
        <v>30</v>
      </c>
      <c r="I2302">
        <v>13</v>
      </c>
      <c r="J2302" t="s">
        <v>92</v>
      </c>
      <c r="K2302">
        <v>0</v>
      </c>
      <c r="L2302">
        <v>1</v>
      </c>
      <c r="M2302">
        <v>0</v>
      </c>
      <c r="N2302">
        <v>0</v>
      </c>
      <c r="O2302">
        <v>0</v>
      </c>
      <c r="P2302">
        <v>0</v>
      </c>
      <c r="Q2302" t="s">
        <v>23</v>
      </c>
      <c r="R2302">
        <v>0</v>
      </c>
    </row>
    <row r="2303" spans="1:18">
      <c r="A2303" s="4">
        <v>81816500000000</v>
      </c>
      <c r="B2303" t="s">
        <v>18</v>
      </c>
      <c r="C2303">
        <v>15</v>
      </c>
      <c r="D2303" t="s">
        <v>60</v>
      </c>
      <c r="E2303" t="s">
        <v>32</v>
      </c>
      <c r="F2303" s="1">
        <v>42493</v>
      </c>
      <c r="G2303" s="1">
        <v>42493</v>
      </c>
      <c r="H2303" t="s">
        <v>41</v>
      </c>
      <c r="I2303">
        <v>0</v>
      </c>
      <c r="J2303" t="s">
        <v>111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23</v>
      </c>
      <c r="R2303">
        <v>0</v>
      </c>
    </row>
    <row r="2304" spans="1:18">
      <c r="A2304" s="4">
        <v>7931610000000</v>
      </c>
      <c r="B2304" t="s">
        <v>18</v>
      </c>
      <c r="C2304">
        <v>47</v>
      </c>
      <c r="D2304" t="s">
        <v>27</v>
      </c>
      <c r="E2304" t="s">
        <v>72</v>
      </c>
      <c r="F2304" s="1">
        <v>42493</v>
      </c>
      <c r="G2304" s="1">
        <v>42527</v>
      </c>
      <c r="H2304" t="s">
        <v>30</v>
      </c>
      <c r="I2304">
        <v>34</v>
      </c>
      <c r="J2304" t="s">
        <v>22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1</v>
      </c>
      <c r="Q2304" t="s">
        <v>23</v>
      </c>
      <c r="R2304">
        <v>0</v>
      </c>
    </row>
    <row r="2305" spans="1:18">
      <c r="A2305" s="4">
        <v>82355000000000</v>
      </c>
      <c r="B2305" t="s">
        <v>18</v>
      </c>
      <c r="C2305">
        <v>64</v>
      </c>
      <c r="D2305" t="s">
        <v>35</v>
      </c>
      <c r="E2305" t="s">
        <v>59</v>
      </c>
      <c r="F2305" s="1">
        <v>42493</v>
      </c>
      <c r="G2305" s="1">
        <v>42493</v>
      </c>
      <c r="H2305" t="s">
        <v>41</v>
      </c>
      <c r="I2305">
        <v>0</v>
      </c>
      <c r="J2305" t="s">
        <v>111</v>
      </c>
      <c r="K2305">
        <v>0</v>
      </c>
      <c r="L2305">
        <v>1</v>
      </c>
      <c r="M2305">
        <v>0</v>
      </c>
      <c r="N2305">
        <v>0</v>
      </c>
      <c r="O2305">
        <v>0</v>
      </c>
      <c r="P2305">
        <v>0</v>
      </c>
      <c r="Q2305" t="s">
        <v>23</v>
      </c>
      <c r="R2305">
        <v>0</v>
      </c>
    </row>
    <row r="2306" spans="1:18">
      <c r="A2306" s="4">
        <v>791438000000000</v>
      </c>
      <c r="B2306" t="s">
        <v>18</v>
      </c>
      <c r="C2306">
        <v>69</v>
      </c>
      <c r="D2306" t="s">
        <v>19</v>
      </c>
      <c r="E2306" t="s">
        <v>63</v>
      </c>
      <c r="F2306" s="1">
        <v>42493</v>
      </c>
      <c r="G2306" s="1">
        <v>42510</v>
      </c>
      <c r="H2306" t="s">
        <v>21</v>
      </c>
      <c r="I2306">
        <v>17</v>
      </c>
      <c r="J2306" t="s">
        <v>77</v>
      </c>
      <c r="K2306">
        <v>0</v>
      </c>
      <c r="L2306">
        <v>1</v>
      </c>
      <c r="M2306">
        <v>1</v>
      </c>
      <c r="N2306">
        <v>0</v>
      </c>
      <c r="O2306">
        <v>0</v>
      </c>
      <c r="P2306">
        <v>0</v>
      </c>
      <c r="Q2306" t="s">
        <v>23</v>
      </c>
      <c r="R2306">
        <v>0</v>
      </c>
    </row>
    <row r="2307" spans="1:18">
      <c r="A2307" s="4">
        <v>77133300000000</v>
      </c>
      <c r="B2307" t="s">
        <v>18</v>
      </c>
      <c r="C2307">
        <v>26</v>
      </c>
      <c r="D2307" t="s">
        <v>37</v>
      </c>
      <c r="E2307" t="s">
        <v>32</v>
      </c>
      <c r="F2307" s="1">
        <v>42493</v>
      </c>
      <c r="G2307" s="1">
        <v>42493</v>
      </c>
      <c r="H2307" t="s">
        <v>41</v>
      </c>
      <c r="I2307">
        <v>0</v>
      </c>
      <c r="J2307" t="s">
        <v>111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23</v>
      </c>
      <c r="R2307">
        <v>0</v>
      </c>
    </row>
    <row r="2308" spans="1:18">
      <c r="A2308" s="4">
        <v>1373780000000</v>
      </c>
      <c r="B2308" t="s">
        <v>18</v>
      </c>
      <c r="C2308">
        <v>49</v>
      </c>
      <c r="D2308" t="s">
        <v>27</v>
      </c>
      <c r="E2308" t="s">
        <v>58</v>
      </c>
      <c r="F2308" s="1">
        <v>42493</v>
      </c>
      <c r="G2308" s="1">
        <v>42494</v>
      </c>
      <c r="H2308" t="s">
        <v>25</v>
      </c>
      <c r="I2308">
        <v>1</v>
      </c>
      <c r="J2308" t="s">
        <v>109</v>
      </c>
      <c r="K2308">
        <v>0</v>
      </c>
      <c r="L2308">
        <v>1</v>
      </c>
      <c r="M2308">
        <v>0</v>
      </c>
      <c r="N2308">
        <v>0</v>
      </c>
      <c r="O2308">
        <v>0</v>
      </c>
      <c r="P2308">
        <v>0</v>
      </c>
      <c r="Q2308" t="s">
        <v>23</v>
      </c>
      <c r="R2308">
        <v>0</v>
      </c>
    </row>
    <row r="2309" spans="1:18">
      <c r="A2309" s="4">
        <v>388684000000</v>
      </c>
      <c r="B2309" t="s">
        <v>18</v>
      </c>
      <c r="C2309">
        <v>19</v>
      </c>
      <c r="D2309" t="s">
        <v>37</v>
      </c>
      <c r="E2309" t="s">
        <v>55</v>
      </c>
      <c r="F2309" s="1">
        <v>42493</v>
      </c>
      <c r="G2309" s="1">
        <v>42528</v>
      </c>
      <c r="H2309" t="s">
        <v>41</v>
      </c>
      <c r="I2309">
        <v>35</v>
      </c>
      <c r="J2309" t="s">
        <v>22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23</v>
      </c>
      <c r="R2309">
        <v>0</v>
      </c>
    </row>
    <row r="2310" spans="1:18">
      <c r="A2310" s="4">
        <v>841649000000000</v>
      </c>
      <c r="B2310" t="s">
        <v>28</v>
      </c>
      <c r="C2310">
        <v>0</v>
      </c>
      <c r="D2310" t="s">
        <v>31</v>
      </c>
      <c r="E2310" t="s">
        <v>106</v>
      </c>
      <c r="F2310" s="1">
        <v>42493</v>
      </c>
      <c r="G2310" s="1">
        <v>42493</v>
      </c>
      <c r="H2310" t="s">
        <v>41</v>
      </c>
      <c r="I2310">
        <v>0</v>
      </c>
      <c r="J2310" t="s">
        <v>111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23</v>
      </c>
      <c r="R2310">
        <v>0</v>
      </c>
    </row>
    <row r="2311" spans="1:18">
      <c r="A2311" s="4">
        <v>971389000000</v>
      </c>
      <c r="B2311" t="s">
        <v>18</v>
      </c>
      <c r="C2311">
        <v>82</v>
      </c>
      <c r="D2311" t="s">
        <v>19</v>
      </c>
      <c r="E2311" t="s">
        <v>51</v>
      </c>
      <c r="F2311" s="1">
        <v>42493</v>
      </c>
      <c r="G2311" s="1">
        <v>42510</v>
      </c>
      <c r="H2311" t="s">
        <v>21</v>
      </c>
      <c r="I2311">
        <v>17</v>
      </c>
      <c r="J2311" t="s">
        <v>77</v>
      </c>
      <c r="K2311">
        <v>0</v>
      </c>
      <c r="L2311">
        <v>1</v>
      </c>
      <c r="M2311">
        <v>1</v>
      </c>
      <c r="N2311">
        <v>0</v>
      </c>
      <c r="O2311">
        <v>0</v>
      </c>
      <c r="P2311">
        <v>0</v>
      </c>
      <c r="Q2311" t="s">
        <v>26</v>
      </c>
      <c r="R2311">
        <v>1</v>
      </c>
    </row>
    <row r="2312" spans="1:18">
      <c r="A2312" s="4">
        <v>177895000000</v>
      </c>
      <c r="B2312" t="s">
        <v>18</v>
      </c>
      <c r="C2312">
        <v>7</v>
      </c>
      <c r="D2312" t="s">
        <v>31</v>
      </c>
      <c r="E2312" t="s">
        <v>66</v>
      </c>
      <c r="F2312" s="1">
        <v>42493</v>
      </c>
      <c r="G2312" s="1">
        <v>42501</v>
      </c>
      <c r="H2312" t="s">
        <v>25</v>
      </c>
      <c r="I2312">
        <v>8</v>
      </c>
      <c r="J2312" t="s">
        <v>92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1</v>
      </c>
      <c r="Q2312" t="s">
        <v>23</v>
      </c>
      <c r="R2312">
        <v>0</v>
      </c>
    </row>
    <row r="2313" spans="1:18">
      <c r="A2313" s="4">
        <v>481366000000</v>
      </c>
      <c r="B2313" t="s">
        <v>18</v>
      </c>
      <c r="C2313">
        <v>74</v>
      </c>
      <c r="D2313" t="s">
        <v>19</v>
      </c>
      <c r="E2313" t="s">
        <v>43</v>
      </c>
      <c r="F2313" s="1">
        <v>42493</v>
      </c>
      <c r="G2313" s="1">
        <v>42493</v>
      </c>
      <c r="H2313" t="s">
        <v>41</v>
      </c>
      <c r="I2313">
        <v>0</v>
      </c>
      <c r="J2313" t="s">
        <v>111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23</v>
      </c>
      <c r="R2313">
        <v>0</v>
      </c>
    </row>
    <row r="2314" spans="1:18">
      <c r="A2314" s="4">
        <v>426872000000000</v>
      </c>
      <c r="B2314" t="s">
        <v>18</v>
      </c>
      <c r="C2314">
        <v>80</v>
      </c>
      <c r="D2314" t="s">
        <v>19</v>
      </c>
      <c r="E2314" t="s">
        <v>36</v>
      </c>
      <c r="F2314" s="1">
        <v>42493</v>
      </c>
      <c r="G2314" s="1">
        <v>42494</v>
      </c>
      <c r="H2314" t="s">
        <v>25</v>
      </c>
      <c r="I2314">
        <v>1</v>
      </c>
      <c r="J2314" t="s">
        <v>109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23</v>
      </c>
      <c r="R2314">
        <v>0</v>
      </c>
    </row>
    <row r="2315" spans="1:18">
      <c r="A2315" s="4">
        <v>847440000000</v>
      </c>
      <c r="B2315" t="s">
        <v>28</v>
      </c>
      <c r="C2315">
        <v>68</v>
      </c>
      <c r="D2315" t="s">
        <v>19</v>
      </c>
      <c r="E2315" t="s">
        <v>46</v>
      </c>
      <c r="F2315" s="1">
        <v>42493</v>
      </c>
      <c r="G2315" s="1">
        <v>42493</v>
      </c>
      <c r="H2315" t="s">
        <v>41</v>
      </c>
      <c r="I2315">
        <v>0</v>
      </c>
      <c r="J2315" t="s">
        <v>111</v>
      </c>
      <c r="K2315">
        <v>1</v>
      </c>
      <c r="L2315">
        <v>1</v>
      </c>
      <c r="M2315">
        <v>0</v>
      </c>
      <c r="N2315">
        <v>0</v>
      </c>
      <c r="O2315">
        <v>0</v>
      </c>
      <c r="P2315">
        <v>0</v>
      </c>
      <c r="Q2315" t="s">
        <v>23</v>
      </c>
      <c r="R2315">
        <v>0</v>
      </c>
    </row>
    <row r="2316" spans="1:18">
      <c r="A2316" s="4">
        <v>853569000000000</v>
      </c>
      <c r="B2316" t="s">
        <v>18</v>
      </c>
      <c r="C2316">
        <v>46</v>
      </c>
      <c r="D2316" t="s">
        <v>27</v>
      </c>
      <c r="E2316" t="s">
        <v>100</v>
      </c>
      <c r="F2316" s="1">
        <v>42493</v>
      </c>
      <c r="G2316" s="1">
        <v>42501</v>
      </c>
      <c r="H2316" t="s">
        <v>25</v>
      </c>
      <c r="I2316">
        <v>8</v>
      </c>
      <c r="J2316" t="s">
        <v>92</v>
      </c>
      <c r="K2316">
        <v>0</v>
      </c>
      <c r="L2316">
        <v>1</v>
      </c>
      <c r="M2316">
        <v>0</v>
      </c>
      <c r="N2316">
        <v>0</v>
      </c>
      <c r="O2316">
        <v>0</v>
      </c>
      <c r="P2316">
        <v>1</v>
      </c>
      <c r="Q2316" t="s">
        <v>23</v>
      </c>
      <c r="R2316">
        <v>0</v>
      </c>
    </row>
    <row r="2317" spans="1:18">
      <c r="A2317" s="4">
        <v>99244200000000</v>
      </c>
      <c r="B2317" t="s">
        <v>28</v>
      </c>
      <c r="C2317">
        <v>63</v>
      </c>
      <c r="D2317" t="s">
        <v>35</v>
      </c>
      <c r="E2317" t="s">
        <v>91</v>
      </c>
      <c r="F2317" s="1">
        <v>42493</v>
      </c>
      <c r="G2317" s="1">
        <v>42494</v>
      </c>
      <c r="H2317" t="s">
        <v>25</v>
      </c>
      <c r="I2317">
        <v>1</v>
      </c>
      <c r="J2317" t="s">
        <v>109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23</v>
      </c>
      <c r="R2317">
        <v>0</v>
      </c>
    </row>
    <row r="2318" spans="1:18">
      <c r="A2318" s="4">
        <v>4246890000000</v>
      </c>
      <c r="B2318" t="s">
        <v>28</v>
      </c>
      <c r="C2318">
        <v>25</v>
      </c>
      <c r="D2318" t="s">
        <v>37</v>
      </c>
      <c r="E2318" t="s">
        <v>89</v>
      </c>
      <c r="F2318" s="1">
        <v>42493</v>
      </c>
      <c r="G2318" s="1">
        <v>42524</v>
      </c>
      <c r="H2318" t="s">
        <v>21</v>
      </c>
      <c r="I2318">
        <v>31</v>
      </c>
      <c r="J2318" t="s">
        <v>22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</v>
      </c>
      <c r="Q2318" t="s">
        <v>23</v>
      </c>
      <c r="R2318">
        <v>0</v>
      </c>
    </row>
    <row r="2319" spans="1:18">
      <c r="A2319" s="4">
        <v>9472630000000</v>
      </c>
      <c r="B2319" t="s">
        <v>18</v>
      </c>
      <c r="C2319">
        <v>86</v>
      </c>
      <c r="D2319" t="s">
        <v>19</v>
      </c>
      <c r="E2319" t="s">
        <v>63</v>
      </c>
      <c r="F2319" s="1">
        <v>42493</v>
      </c>
      <c r="G2319" s="1">
        <v>42500</v>
      </c>
      <c r="H2319" t="s">
        <v>41</v>
      </c>
      <c r="I2319">
        <v>7</v>
      </c>
      <c r="J2319" t="s">
        <v>107</v>
      </c>
      <c r="K2319">
        <v>0</v>
      </c>
      <c r="L2319">
        <v>1</v>
      </c>
      <c r="M2319">
        <v>0</v>
      </c>
      <c r="N2319">
        <v>0</v>
      </c>
      <c r="O2319">
        <v>0</v>
      </c>
      <c r="P2319">
        <v>0</v>
      </c>
      <c r="Q2319" t="s">
        <v>23</v>
      </c>
      <c r="R2319">
        <v>0</v>
      </c>
    </row>
    <row r="2320" spans="1:18">
      <c r="A2320" s="4">
        <v>28846800000000</v>
      </c>
      <c r="B2320" t="s">
        <v>28</v>
      </c>
      <c r="C2320">
        <v>41</v>
      </c>
      <c r="D2320" t="s">
        <v>27</v>
      </c>
      <c r="E2320" t="s">
        <v>105</v>
      </c>
      <c r="F2320" s="1">
        <v>42493</v>
      </c>
      <c r="G2320" s="1">
        <v>42493</v>
      </c>
      <c r="H2320" t="s">
        <v>41</v>
      </c>
      <c r="I2320">
        <v>0</v>
      </c>
      <c r="J2320" t="s">
        <v>111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23</v>
      </c>
      <c r="R2320">
        <v>0</v>
      </c>
    </row>
    <row r="2321" spans="1:18">
      <c r="A2321" s="4">
        <v>47436500000000</v>
      </c>
      <c r="B2321" t="s">
        <v>18</v>
      </c>
      <c r="C2321">
        <v>46</v>
      </c>
      <c r="D2321" t="s">
        <v>27</v>
      </c>
      <c r="E2321" t="s">
        <v>51</v>
      </c>
      <c r="F2321" s="1">
        <v>42493</v>
      </c>
      <c r="G2321" s="1">
        <v>42493</v>
      </c>
      <c r="H2321" t="s">
        <v>41</v>
      </c>
      <c r="I2321">
        <v>0</v>
      </c>
      <c r="J2321" t="s">
        <v>111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23</v>
      </c>
      <c r="R2321">
        <v>0</v>
      </c>
    </row>
    <row r="2322" spans="1:18">
      <c r="A2322" s="4">
        <v>95687300000000</v>
      </c>
      <c r="B2322" t="s">
        <v>18</v>
      </c>
      <c r="C2322">
        <v>69</v>
      </c>
      <c r="D2322" t="s">
        <v>19</v>
      </c>
      <c r="E2322" t="s">
        <v>47</v>
      </c>
      <c r="F2322" s="1">
        <v>42493</v>
      </c>
      <c r="G2322" s="1">
        <v>42493</v>
      </c>
      <c r="H2322" t="s">
        <v>41</v>
      </c>
      <c r="I2322">
        <v>0</v>
      </c>
      <c r="J2322" t="s">
        <v>111</v>
      </c>
      <c r="K2322">
        <v>0</v>
      </c>
      <c r="L2322">
        <v>1</v>
      </c>
      <c r="M2322">
        <v>0</v>
      </c>
      <c r="N2322">
        <v>0</v>
      </c>
      <c r="O2322">
        <v>0</v>
      </c>
      <c r="P2322">
        <v>0</v>
      </c>
      <c r="Q2322" t="s">
        <v>23</v>
      </c>
      <c r="R2322">
        <v>0</v>
      </c>
    </row>
    <row r="2323" spans="1:18">
      <c r="A2323" s="4">
        <v>98586900000000</v>
      </c>
      <c r="B2323" t="s">
        <v>18</v>
      </c>
      <c r="C2323">
        <v>20</v>
      </c>
      <c r="D2323" t="s">
        <v>37</v>
      </c>
      <c r="E2323" t="s">
        <v>71</v>
      </c>
      <c r="F2323" s="1">
        <v>42493</v>
      </c>
      <c r="G2323" s="1">
        <v>42493</v>
      </c>
      <c r="H2323" t="s">
        <v>41</v>
      </c>
      <c r="I2323">
        <v>0</v>
      </c>
      <c r="J2323" t="s">
        <v>111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23</v>
      </c>
      <c r="R2323">
        <v>0</v>
      </c>
    </row>
    <row r="2324" spans="1:18">
      <c r="A2324" s="4">
        <v>118376000000000</v>
      </c>
      <c r="B2324" t="s">
        <v>18</v>
      </c>
      <c r="C2324">
        <v>6</v>
      </c>
      <c r="D2324" t="s">
        <v>31</v>
      </c>
      <c r="E2324" t="s">
        <v>53</v>
      </c>
      <c r="F2324" s="1">
        <v>42493</v>
      </c>
      <c r="G2324" s="1">
        <v>42510</v>
      </c>
      <c r="H2324" t="s">
        <v>21</v>
      </c>
      <c r="I2324">
        <v>17</v>
      </c>
      <c r="J2324" t="s">
        <v>77</v>
      </c>
      <c r="K2324">
        <v>1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26</v>
      </c>
      <c r="R2324">
        <v>1</v>
      </c>
    </row>
    <row r="2325" spans="1:18">
      <c r="A2325" s="4">
        <v>377372000000000</v>
      </c>
      <c r="B2325" t="s">
        <v>18</v>
      </c>
      <c r="C2325">
        <v>19</v>
      </c>
      <c r="D2325" t="s">
        <v>37</v>
      </c>
      <c r="E2325" t="s">
        <v>43</v>
      </c>
      <c r="F2325" s="1">
        <v>42493</v>
      </c>
      <c r="G2325" s="1">
        <v>42500</v>
      </c>
      <c r="H2325" t="s">
        <v>41</v>
      </c>
      <c r="I2325">
        <v>7</v>
      </c>
      <c r="J2325" t="s">
        <v>107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1</v>
      </c>
      <c r="Q2325" t="s">
        <v>23</v>
      </c>
      <c r="R2325">
        <v>0</v>
      </c>
    </row>
    <row r="2326" spans="1:18">
      <c r="A2326" s="4">
        <v>118376000000000</v>
      </c>
      <c r="B2326" t="s">
        <v>18</v>
      </c>
      <c r="C2326">
        <v>6</v>
      </c>
      <c r="D2326" t="s">
        <v>31</v>
      </c>
      <c r="E2326" t="s">
        <v>53</v>
      </c>
      <c r="F2326" s="1">
        <v>42493</v>
      </c>
      <c r="G2326" s="1">
        <v>42510</v>
      </c>
      <c r="H2326" t="s">
        <v>21</v>
      </c>
      <c r="I2326">
        <v>17</v>
      </c>
      <c r="J2326" t="s">
        <v>77</v>
      </c>
      <c r="K2326">
        <v>1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26</v>
      </c>
      <c r="R2326">
        <v>1</v>
      </c>
    </row>
    <row r="2327" spans="1:18">
      <c r="A2327" s="4">
        <v>54516500000000</v>
      </c>
      <c r="B2327" t="s">
        <v>18</v>
      </c>
      <c r="C2327">
        <v>26</v>
      </c>
      <c r="D2327" t="s">
        <v>37</v>
      </c>
      <c r="E2327" t="s">
        <v>58</v>
      </c>
      <c r="F2327" s="1">
        <v>42493</v>
      </c>
      <c r="G2327" s="1">
        <v>42502</v>
      </c>
      <c r="H2327" t="s">
        <v>33</v>
      </c>
      <c r="I2327">
        <v>9</v>
      </c>
      <c r="J2327" t="s">
        <v>92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23</v>
      </c>
      <c r="R2327">
        <v>0</v>
      </c>
    </row>
    <row r="2328" spans="1:18">
      <c r="A2328" s="4">
        <v>85664200000000</v>
      </c>
      <c r="B2328" t="s">
        <v>18</v>
      </c>
      <c r="C2328">
        <v>32</v>
      </c>
      <c r="D2328" t="s">
        <v>37</v>
      </c>
      <c r="E2328" t="s">
        <v>47</v>
      </c>
      <c r="F2328" s="1">
        <v>42493</v>
      </c>
      <c r="G2328" s="1">
        <v>42502</v>
      </c>
      <c r="H2328" t="s">
        <v>33</v>
      </c>
      <c r="I2328">
        <v>9</v>
      </c>
      <c r="J2328" t="s">
        <v>92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1</v>
      </c>
      <c r="Q2328" t="s">
        <v>26</v>
      </c>
      <c r="R2328">
        <v>1</v>
      </c>
    </row>
    <row r="2329" spans="1:18">
      <c r="A2329" s="4">
        <v>9434160000000</v>
      </c>
      <c r="B2329" t="s">
        <v>28</v>
      </c>
      <c r="C2329">
        <v>67</v>
      </c>
      <c r="D2329" t="s">
        <v>19</v>
      </c>
      <c r="E2329" t="s">
        <v>53</v>
      </c>
      <c r="F2329" s="1">
        <v>42493</v>
      </c>
      <c r="G2329" s="1">
        <v>42510</v>
      </c>
      <c r="H2329" t="s">
        <v>21</v>
      </c>
      <c r="I2329">
        <v>17</v>
      </c>
      <c r="J2329" t="s">
        <v>77</v>
      </c>
      <c r="K2329">
        <v>0</v>
      </c>
      <c r="L2329">
        <v>1</v>
      </c>
      <c r="M2329">
        <v>0</v>
      </c>
      <c r="N2329">
        <v>0</v>
      </c>
      <c r="O2329">
        <v>0</v>
      </c>
      <c r="P2329">
        <v>0</v>
      </c>
      <c r="Q2329" t="s">
        <v>26</v>
      </c>
      <c r="R2329">
        <v>1</v>
      </c>
    </row>
    <row r="2330" spans="1:18">
      <c r="A2330" s="4">
        <v>3229460000000</v>
      </c>
      <c r="B2330" t="s">
        <v>18</v>
      </c>
      <c r="C2330">
        <v>51</v>
      </c>
      <c r="D2330" t="s">
        <v>35</v>
      </c>
      <c r="E2330" t="s">
        <v>57</v>
      </c>
      <c r="F2330" s="1">
        <v>42493</v>
      </c>
      <c r="G2330" s="1">
        <v>42495</v>
      </c>
      <c r="H2330" t="s">
        <v>33</v>
      </c>
      <c r="I2330">
        <v>2</v>
      </c>
      <c r="J2330" t="s">
        <v>109</v>
      </c>
      <c r="K2330">
        <v>0</v>
      </c>
      <c r="L2330">
        <v>1</v>
      </c>
      <c r="M2330">
        <v>0</v>
      </c>
      <c r="N2330">
        <v>0</v>
      </c>
      <c r="O2330">
        <v>1</v>
      </c>
      <c r="P2330">
        <v>0</v>
      </c>
      <c r="Q2330" t="s">
        <v>23</v>
      </c>
      <c r="R2330">
        <v>0</v>
      </c>
    </row>
    <row r="2331" spans="1:18">
      <c r="A2331" s="4">
        <v>335369000000</v>
      </c>
      <c r="B2331" t="s">
        <v>18</v>
      </c>
      <c r="C2331">
        <v>62</v>
      </c>
      <c r="D2331" t="s">
        <v>35</v>
      </c>
      <c r="E2331" t="s">
        <v>66</v>
      </c>
      <c r="F2331" s="1">
        <v>42493</v>
      </c>
      <c r="G2331" s="1">
        <v>42495</v>
      </c>
      <c r="H2331" t="s">
        <v>33</v>
      </c>
      <c r="I2331">
        <v>2</v>
      </c>
      <c r="J2331" t="s">
        <v>109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26</v>
      </c>
      <c r="R2331">
        <v>1</v>
      </c>
    </row>
    <row r="2332" spans="1:18">
      <c r="A2332" s="4">
        <v>1457930000000</v>
      </c>
      <c r="B2332" t="s">
        <v>28</v>
      </c>
      <c r="C2332">
        <v>16</v>
      </c>
      <c r="D2332" t="s">
        <v>60</v>
      </c>
      <c r="E2332" t="s">
        <v>61</v>
      </c>
      <c r="F2332" s="1">
        <v>42493</v>
      </c>
      <c r="G2332" s="1">
        <v>42493</v>
      </c>
      <c r="H2332" t="s">
        <v>41</v>
      </c>
      <c r="I2332">
        <v>0</v>
      </c>
      <c r="J2332" t="s">
        <v>111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23</v>
      </c>
      <c r="R2332">
        <v>0</v>
      </c>
    </row>
    <row r="2333" spans="1:18">
      <c r="A2333" s="4">
        <v>9860000000000</v>
      </c>
      <c r="B2333" t="s">
        <v>18</v>
      </c>
      <c r="C2333">
        <v>19</v>
      </c>
      <c r="D2333" t="s">
        <v>37</v>
      </c>
      <c r="E2333" t="s">
        <v>47</v>
      </c>
      <c r="F2333" s="1">
        <v>42493</v>
      </c>
      <c r="G2333" s="1">
        <v>42493</v>
      </c>
      <c r="H2333" t="s">
        <v>41</v>
      </c>
      <c r="I2333">
        <v>0</v>
      </c>
      <c r="J2333" t="s">
        <v>111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23</v>
      </c>
      <c r="R2333">
        <v>0</v>
      </c>
    </row>
    <row r="2334" spans="1:18">
      <c r="A2334" s="4">
        <v>7117910000000</v>
      </c>
      <c r="B2334" t="s">
        <v>18</v>
      </c>
      <c r="C2334">
        <v>51</v>
      </c>
      <c r="D2334" t="s">
        <v>35</v>
      </c>
      <c r="E2334" t="s">
        <v>38</v>
      </c>
      <c r="F2334" s="1">
        <v>42493</v>
      </c>
      <c r="G2334" s="1">
        <v>42500</v>
      </c>
      <c r="H2334" t="s">
        <v>41</v>
      </c>
      <c r="I2334">
        <v>7</v>
      </c>
      <c r="J2334" t="s">
        <v>107</v>
      </c>
      <c r="K2334">
        <v>0</v>
      </c>
      <c r="L2334">
        <v>1</v>
      </c>
      <c r="M2334">
        <v>1</v>
      </c>
      <c r="N2334">
        <v>0</v>
      </c>
      <c r="O2334">
        <v>0</v>
      </c>
      <c r="P2334">
        <v>0</v>
      </c>
      <c r="Q2334" t="s">
        <v>26</v>
      </c>
      <c r="R2334">
        <v>1</v>
      </c>
    </row>
    <row r="2335" spans="1:18">
      <c r="A2335" s="4">
        <v>8177620000000</v>
      </c>
      <c r="B2335" t="s">
        <v>18</v>
      </c>
      <c r="C2335">
        <v>57</v>
      </c>
      <c r="D2335" t="s">
        <v>35</v>
      </c>
      <c r="E2335" t="s">
        <v>40</v>
      </c>
      <c r="F2335" s="1">
        <v>42493</v>
      </c>
      <c r="G2335" s="1">
        <v>42495</v>
      </c>
      <c r="H2335" t="s">
        <v>33</v>
      </c>
      <c r="I2335">
        <v>2</v>
      </c>
      <c r="J2335" t="s">
        <v>109</v>
      </c>
      <c r="K2335">
        <v>0</v>
      </c>
      <c r="L2335">
        <v>1</v>
      </c>
      <c r="M2335">
        <v>0</v>
      </c>
      <c r="N2335">
        <v>0</v>
      </c>
      <c r="O2335">
        <v>0</v>
      </c>
      <c r="P2335">
        <v>0</v>
      </c>
      <c r="Q2335" t="s">
        <v>26</v>
      </c>
      <c r="R2335">
        <v>1</v>
      </c>
    </row>
    <row r="2336" spans="1:18">
      <c r="A2336" s="4">
        <v>26746200000000</v>
      </c>
      <c r="B2336" t="s">
        <v>18</v>
      </c>
      <c r="C2336">
        <v>18</v>
      </c>
      <c r="D2336" t="s">
        <v>37</v>
      </c>
      <c r="E2336" t="s">
        <v>39</v>
      </c>
      <c r="F2336" s="1">
        <v>42493</v>
      </c>
      <c r="G2336" s="1">
        <v>42495</v>
      </c>
      <c r="H2336" t="s">
        <v>33</v>
      </c>
      <c r="I2336">
        <v>2</v>
      </c>
      <c r="J2336" t="s">
        <v>109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23</v>
      </c>
      <c r="R2336">
        <v>0</v>
      </c>
    </row>
    <row r="2337" spans="1:18">
      <c r="A2337" s="4">
        <v>4967980000000</v>
      </c>
      <c r="B2337" t="s">
        <v>18</v>
      </c>
      <c r="C2337">
        <v>6</v>
      </c>
      <c r="D2337" t="s">
        <v>31</v>
      </c>
      <c r="E2337" t="s">
        <v>51</v>
      </c>
      <c r="F2337" s="1">
        <v>42493</v>
      </c>
      <c r="G2337" s="1">
        <v>42493</v>
      </c>
      <c r="H2337" t="s">
        <v>41</v>
      </c>
      <c r="I2337">
        <v>0</v>
      </c>
      <c r="J2337" t="s">
        <v>111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23</v>
      </c>
      <c r="R2337">
        <v>0</v>
      </c>
    </row>
    <row r="2338" spans="1:18">
      <c r="A2338" s="4">
        <v>197483000000</v>
      </c>
      <c r="B2338" t="s">
        <v>18</v>
      </c>
      <c r="C2338">
        <v>72</v>
      </c>
      <c r="D2338" t="s">
        <v>19</v>
      </c>
      <c r="E2338" t="s">
        <v>49</v>
      </c>
      <c r="F2338" s="1">
        <v>42493</v>
      </c>
      <c r="G2338" s="1">
        <v>42507</v>
      </c>
      <c r="H2338" t="s">
        <v>41</v>
      </c>
      <c r="I2338">
        <v>14</v>
      </c>
      <c r="J2338" t="s">
        <v>92</v>
      </c>
      <c r="K2338">
        <v>0</v>
      </c>
      <c r="L2338">
        <v>1</v>
      </c>
      <c r="M2338">
        <v>0</v>
      </c>
      <c r="N2338">
        <v>0</v>
      </c>
      <c r="O2338">
        <v>0</v>
      </c>
      <c r="P2338">
        <v>0</v>
      </c>
      <c r="Q2338" t="s">
        <v>23</v>
      </c>
      <c r="R2338">
        <v>0</v>
      </c>
    </row>
    <row r="2339" spans="1:18">
      <c r="A2339" s="4">
        <v>8437760000000</v>
      </c>
      <c r="B2339" t="s">
        <v>18</v>
      </c>
      <c r="C2339">
        <v>54</v>
      </c>
      <c r="D2339" t="s">
        <v>35</v>
      </c>
      <c r="E2339" t="s">
        <v>32</v>
      </c>
      <c r="F2339" s="1">
        <v>42493</v>
      </c>
      <c r="G2339" s="1">
        <v>42494</v>
      </c>
      <c r="H2339" t="s">
        <v>25</v>
      </c>
      <c r="I2339">
        <v>1</v>
      </c>
      <c r="J2339" t="s">
        <v>109</v>
      </c>
      <c r="K2339">
        <v>0</v>
      </c>
      <c r="L2339">
        <v>1</v>
      </c>
      <c r="M2339">
        <v>0</v>
      </c>
      <c r="N2339">
        <v>0</v>
      </c>
      <c r="O2339">
        <v>0</v>
      </c>
      <c r="P2339">
        <v>0</v>
      </c>
      <c r="Q2339" t="s">
        <v>23</v>
      </c>
      <c r="R2339">
        <v>0</v>
      </c>
    </row>
    <row r="2340" spans="1:18">
      <c r="A2340" s="4">
        <v>866919000000</v>
      </c>
      <c r="B2340" t="s">
        <v>18</v>
      </c>
      <c r="C2340">
        <v>78</v>
      </c>
      <c r="D2340" t="s">
        <v>19</v>
      </c>
      <c r="E2340" t="s">
        <v>99</v>
      </c>
      <c r="F2340" s="1">
        <v>42493</v>
      </c>
      <c r="G2340" s="1">
        <v>42494</v>
      </c>
      <c r="H2340" t="s">
        <v>25</v>
      </c>
      <c r="I2340">
        <v>1</v>
      </c>
      <c r="J2340" t="s">
        <v>109</v>
      </c>
      <c r="K2340">
        <v>0</v>
      </c>
      <c r="L2340">
        <v>1</v>
      </c>
      <c r="M2340">
        <v>0</v>
      </c>
      <c r="N2340">
        <v>0</v>
      </c>
      <c r="O2340">
        <v>1</v>
      </c>
      <c r="P2340">
        <v>0</v>
      </c>
      <c r="Q2340" t="s">
        <v>23</v>
      </c>
      <c r="R2340">
        <v>0</v>
      </c>
    </row>
    <row r="2341" spans="1:18">
      <c r="A2341" s="4">
        <v>922294000000</v>
      </c>
      <c r="B2341" t="s">
        <v>18</v>
      </c>
      <c r="C2341">
        <v>51</v>
      </c>
      <c r="D2341" t="s">
        <v>35</v>
      </c>
      <c r="E2341" t="s">
        <v>65</v>
      </c>
      <c r="F2341" s="1">
        <v>42493</v>
      </c>
      <c r="G2341" s="1">
        <v>42494</v>
      </c>
      <c r="H2341" t="s">
        <v>25</v>
      </c>
      <c r="I2341">
        <v>1</v>
      </c>
      <c r="J2341" t="s">
        <v>109</v>
      </c>
      <c r="K2341">
        <v>0</v>
      </c>
      <c r="L2341">
        <v>1</v>
      </c>
      <c r="M2341">
        <v>0</v>
      </c>
      <c r="N2341">
        <v>0</v>
      </c>
      <c r="O2341">
        <v>0</v>
      </c>
      <c r="P2341">
        <v>0</v>
      </c>
      <c r="Q2341" t="s">
        <v>23</v>
      </c>
      <c r="R2341">
        <v>0</v>
      </c>
    </row>
    <row r="2342" spans="1:18">
      <c r="A2342" s="4">
        <v>3628570000000</v>
      </c>
      <c r="B2342" t="s">
        <v>28</v>
      </c>
      <c r="C2342">
        <v>20</v>
      </c>
      <c r="D2342" t="s">
        <v>37</v>
      </c>
      <c r="E2342" t="s">
        <v>85</v>
      </c>
      <c r="F2342" s="1">
        <v>42493</v>
      </c>
      <c r="G2342" s="1">
        <v>42493</v>
      </c>
      <c r="H2342" t="s">
        <v>41</v>
      </c>
      <c r="I2342">
        <v>0</v>
      </c>
      <c r="J2342" t="s">
        <v>111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23</v>
      </c>
      <c r="R2342">
        <v>0</v>
      </c>
    </row>
    <row r="2343" spans="1:18">
      <c r="A2343" s="4">
        <v>155421000000000</v>
      </c>
      <c r="B2343" t="s">
        <v>18</v>
      </c>
      <c r="C2343">
        <v>15</v>
      </c>
      <c r="D2343" t="s">
        <v>60</v>
      </c>
      <c r="E2343" t="s">
        <v>59</v>
      </c>
      <c r="F2343" s="1">
        <v>42493</v>
      </c>
      <c r="G2343" s="1">
        <v>42493</v>
      </c>
      <c r="H2343" t="s">
        <v>41</v>
      </c>
      <c r="I2343">
        <v>0</v>
      </c>
      <c r="J2343" t="s">
        <v>111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23</v>
      </c>
      <c r="R2343">
        <v>0</v>
      </c>
    </row>
    <row r="2344" spans="1:18">
      <c r="A2344" s="4">
        <v>68177800000000</v>
      </c>
      <c r="B2344" t="s">
        <v>28</v>
      </c>
      <c r="C2344">
        <v>55</v>
      </c>
      <c r="D2344" t="s">
        <v>35</v>
      </c>
      <c r="E2344" t="s">
        <v>59</v>
      </c>
      <c r="F2344" s="1">
        <v>42493</v>
      </c>
      <c r="G2344" s="1">
        <v>42493</v>
      </c>
      <c r="H2344" t="s">
        <v>41</v>
      </c>
      <c r="I2344">
        <v>0</v>
      </c>
      <c r="J2344" t="s">
        <v>111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23</v>
      </c>
      <c r="R2344">
        <v>0</v>
      </c>
    </row>
    <row r="2345" spans="1:18">
      <c r="A2345" s="4">
        <v>3273320000000</v>
      </c>
      <c r="B2345" t="s">
        <v>28</v>
      </c>
      <c r="C2345">
        <v>0</v>
      </c>
      <c r="D2345" t="s">
        <v>31</v>
      </c>
      <c r="E2345" t="s">
        <v>105</v>
      </c>
      <c r="F2345" s="1">
        <v>42493</v>
      </c>
      <c r="G2345" s="1">
        <v>42501</v>
      </c>
      <c r="H2345" t="s">
        <v>25</v>
      </c>
      <c r="I2345">
        <v>8</v>
      </c>
      <c r="J2345" t="s">
        <v>92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</v>
      </c>
      <c r="Q2345" t="s">
        <v>23</v>
      </c>
      <c r="R2345">
        <v>0</v>
      </c>
    </row>
    <row r="2346" spans="1:18">
      <c r="A2346" s="4">
        <v>46442500000000</v>
      </c>
      <c r="B2346" t="s">
        <v>18</v>
      </c>
      <c r="C2346">
        <v>30</v>
      </c>
      <c r="D2346" t="s">
        <v>37</v>
      </c>
      <c r="E2346" t="s">
        <v>59</v>
      </c>
      <c r="F2346" s="1">
        <v>42493</v>
      </c>
      <c r="G2346" s="1">
        <v>42500</v>
      </c>
      <c r="H2346" t="s">
        <v>41</v>
      </c>
      <c r="I2346">
        <v>7</v>
      </c>
      <c r="J2346" t="s">
        <v>107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1</v>
      </c>
      <c r="Q2346" t="s">
        <v>26</v>
      </c>
      <c r="R2346">
        <v>1</v>
      </c>
    </row>
    <row r="2347" spans="1:18">
      <c r="A2347" s="4">
        <v>4624220000000</v>
      </c>
      <c r="B2347" t="s">
        <v>18</v>
      </c>
      <c r="C2347">
        <v>39</v>
      </c>
      <c r="D2347" t="s">
        <v>27</v>
      </c>
      <c r="E2347" t="s">
        <v>29</v>
      </c>
      <c r="F2347" s="1">
        <v>42493</v>
      </c>
      <c r="G2347" s="1">
        <v>42501</v>
      </c>
      <c r="H2347" t="s">
        <v>25</v>
      </c>
      <c r="I2347">
        <v>8</v>
      </c>
      <c r="J2347" t="s">
        <v>92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1</v>
      </c>
      <c r="Q2347" t="s">
        <v>23</v>
      </c>
      <c r="R2347">
        <v>0</v>
      </c>
    </row>
    <row r="2348" spans="1:18">
      <c r="A2348" s="4">
        <v>462269000000</v>
      </c>
      <c r="B2348" t="s">
        <v>28</v>
      </c>
      <c r="C2348">
        <v>1</v>
      </c>
      <c r="D2348" t="s">
        <v>31</v>
      </c>
      <c r="E2348" t="s">
        <v>59</v>
      </c>
      <c r="F2348" s="1">
        <v>42493</v>
      </c>
      <c r="G2348" s="1">
        <v>42493</v>
      </c>
      <c r="H2348" t="s">
        <v>41</v>
      </c>
      <c r="I2348">
        <v>0</v>
      </c>
      <c r="J2348" t="s">
        <v>111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23</v>
      </c>
      <c r="R2348">
        <v>0</v>
      </c>
    </row>
    <row r="2349" spans="1:18">
      <c r="A2349" s="4">
        <v>25597900000000</v>
      </c>
      <c r="B2349" t="s">
        <v>18</v>
      </c>
      <c r="C2349">
        <v>13</v>
      </c>
      <c r="D2349" t="s">
        <v>60</v>
      </c>
      <c r="E2349" t="s">
        <v>96</v>
      </c>
      <c r="F2349" s="1">
        <v>42493</v>
      </c>
      <c r="G2349" s="1">
        <v>42493</v>
      </c>
      <c r="H2349" t="s">
        <v>41</v>
      </c>
      <c r="I2349">
        <v>0</v>
      </c>
      <c r="J2349" t="s">
        <v>111</v>
      </c>
      <c r="K2349">
        <v>1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23</v>
      </c>
      <c r="R2349">
        <v>0</v>
      </c>
    </row>
    <row r="2350" spans="1:18">
      <c r="A2350" s="4">
        <v>54524600000000</v>
      </c>
      <c r="B2350" t="s">
        <v>18</v>
      </c>
      <c r="C2350">
        <v>35</v>
      </c>
      <c r="D2350" t="s">
        <v>37</v>
      </c>
      <c r="E2350" t="s">
        <v>75</v>
      </c>
      <c r="F2350" s="1">
        <v>42493</v>
      </c>
      <c r="G2350" s="1">
        <v>42495</v>
      </c>
      <c r="H2350" t="s">
        <v>33</v>
      </c>
      <c r="I2350">
        <v>2</v>
      </c>
      <c r="J2350" t="s">
        <v>109</v>
      </c>
      <c r="K2350">
        <v>0</v>
      </c>
      <c r="L2350">
        <v>1</v>
      </c>
      <c r="M2350">
        <v>1</v>
      </c>
      <c r="N2350">
        <v>0</v>
      </c>
      <c r="O2350">
        <v>1</v>
      </c>
      <c r="P2350">
        <v>0</v>
      </c>
      <c r="Q2350" t="s">
        <v>26</v>
      </c>
      <c r="R2350">
        <v>1</v>
      </c>
    </row>
    <row r="2351" spans="1:18">
      <c r="A2351" s="4">
        <v>5636920000000</v>
      </c>
      <c r="B2351" t="s">
        <v>18</v>
      </c>
      <c r="C2351">
        <v>58</v>
      </c>
      <c r="D2351" t="s">
        <v>35</v>
      </c>
      <c r="E2351" t="s">
        <v>61</v>
      </c>
      <c r="F2351" s="1">
        <v>42493</v>
      </c>
      <c r="G2351" s="1">
        <v>42495</v>
      </c>
      <c r="H2351" t="s">
        <v>33</v>
      </c>
      <c r="I2351">
        <v>2</v>
      </c>
      <c r="J2351" t="s">
        <v>109</v>
      </c>
      <c r="K2351">
        <v>0</v>
      </c>
      <c r="L2351">
        <v>1</v>
      </c>
      <c r="M2351">
        <v>0</v>
      </c>
      <c r="N2351">
        <v>0</v>
      </c>
      <c r="O2351">
        <v>0</v>
      </c>
      <c r="P2351">
        <v>0</v>
      </c>
      <c r="Q2351" t="s">
        <v>23</v>
      </c>
      <c r="R2351">
        <v>0</v>
      </c>
    </row>
    <row r="2352" spans="1:18">
      <c r="A2352" s="4">
        <v>99977900000000</v>
      </c>
      <c r="B2352" t="s">
        <v>28</v>
      </c>
      <c r="C2352">
        <v>11</v>
      </c>
      <c r="D2352" t="s">
        <v>31</v>
      </c>
      <c r="E2352" t="s">
        <v>72</v>
      </c>
      <c r="F2352" s="1">
        <v>42493</v>
      </c>
      <c r="G2352" s="1">
        <v>42493</v>
      </c>
      <c r="H2352" t="s">
        <v>41</v>
      </c>
      <c r="I2352">
        <v>0</v>
      </c>
      <c r="J2352" t="s">
        <v>111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23</v>
      </c>
      <c r="R2352">
        <v>0</v>
      </c>
    </row>
    <row r="2353" spans="1:18">
      <c r="A2353" s="4">
        <v>448729000000000</v>
      </c>
      <c r="B2353" t="s">
        <v>18</v>
      </c>
      <c r="C2353">
        <v>48</v>
      </c>
      <c r="D2353" t="s">
        <v>27</v>
      </c>
      <c r="E2353" t="s">
        <v>53</v>
      </c>
      <c r="F2353" s="1">
        <v>42493</v>
      </c>
      <c r="G2353" s="1">
        <v>42494</v>
      </c>
      <c r="H2353" t="s">
        <v>25</v>
      </c>
      <c r="I2353">
        <v>1</v>
      </c>
      <c r="J2353" t="s">
        <v>109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23</v>
      </c>
      <c r="R2353">
        <v>0</v>
      </c>
    </row>
    <row r="2354" spans="1:18">
      <c r="A2354" s="4">
        <v>15641567448</v>
      </c>
      <c r="B2354" t="s">
        <v>18</v>
      </c>
      <c r="C2354">
        <v>21</v>
      </c>
      <c r="D2354" t="s">
        <v>37</v>
      </c>
      <c r="E2354" t="s">
        <v>29</v>
      </c>
      <c r="F2354" s="1">
        <v>42493</v>
      </c>
      <c r="G2354" s="1">
        <v>42493</v>
      </c>
      <c r="H2354" t="s">
        <v>41</v>
      </c>
      <c r="I2354">
        <v>0</v>
      </c>
      <c r="J2354" t="s">
        <v>111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23</v>
      </c>
      <c r="R2354">
        <v>0</v>
      </c>
    </row>
    <row r="2355" spans="1:18">
      <c r="A2355" s="4">
        <v>413286000000000</v>
      </c>
      <c r="B2355" t="s">
        <v>18</v>
      </c>
      <c r="C2355">
        <v>26</v>
      </c>
      <c r="D2355" t="s">
        <v>37</v>
      </c>
      <c r="E2355" t="s">
        <v>29</v>
      </c>
      <c r="F2355" s="1">
        <v>42493</v>
      </c>
      <c r="G2355" s="1">
        <v>42515</v>
      </c>
      <c r="H2355" t="s">
        <v>25</v>
      </c>
      <c r="I2355">
        <v>22</v>
      </c>
      <c r="J2355" t="s">
        <v>77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1</v>
      </c>
      <c r="Q2355" t="s">
        <v>26</v>
      </c>
      <c r="R2355">
        <v>1</v>
      </c>
    </row>
    <row r="2356" spans="1:18">
      <c r="A2356" s="4">
        <v>38917200000000</v>
      </c>
      <c r="B2356" t="s">
        <v>18</v>
      </c>
      <c r="C2356">
        <v>46</v>
      </c>
      <c r="D2356" t="s">
        <v>27</v>
      </c>
      <c r="E2356" t="s">
        <v>48</v>
      </c>
      <c r="F2356" s="1">
        <v>42493</v>
      </c>
      <c r="G2356" s="1">
        <v>42501</v>
      </c>
      <c r="H2356" t="s">
        <v>25</v>
      </c>
      <c r="I2356">
        <v>8</v>
      </c>
      <c r="J2356" t="s">
        <v>92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1</v>
      </c>
      <c r="Q2356" t="s">
        <v>23</v>
      </c>
      <c r="R2356">
        <v>0</v>
      </c>
    </row>
    <row r="2357" spans="1:18">
      <c r="A2357" s="4">
        <v>8691860000000</v>
      </c>
      <c r="B2357" t="s">
        <v>18</v>
      </c>
      <c r="C2357">
        <v>63</v>
      </c>
      <c r="D2357" t="s">
        <v>35</v>
      </c>
      <c r="E2357" t="s">
        <v>69</v>
      </c>
      <c r="F2357" s="1">
        <v>42493</v>
      </c>
      <c r="G2357" s="1">
        <v>42495</v>
      </c>
      <c r="H2357" t="s">
        <v>33</v>
      </c>
      <c r="I2357">
        <v>2</v>
      </c>
      <c r="J2357" t="s">
        <v>109</v>
      </c>
      <c r="K2357">
        <v>0</v>
      </c>
      <c r="L2357">
        <v>1</v>
      </c>
      <c r="M2357">
        <v>0</v>
      </c>
      <c r="N2357">
        <v>0</v>
      </c>
      <c r="O2357">
        <v>0</v>
      </c>
      <c r="P2357">
        <v>0</v>
      </c>
      <c r="Q2357" t="s">
        <v>23</v>
      </c>
      <c r="R2357">
        <v>0</v>
      </c>
    </row>
    <row r="2358" spans="1:18">
      <c r="A2358" s="4">
        <v>31963132454</v>
      </c>
      <c r="B2358" t="s">
        <v>28</v>
      </c>
      <c r="C2358">
        <v>66</v>
      </c>
      <c r="D2358" t="s">
        <v>19</v>
      </c>
      <c r="E2358" t="s">
        <v>40</v>
      </c>
      <c r="F2358" s="1">
        <v>42493</v>
      </c>
      <c r="G2358" s="1">
        <v>42495</v>
      </c>
      <c r="H2358" t="s">
        <v>33</v>
      </c>
      <c r="I2358">
        <v>2</v>
      </c>
      <c r="J2358" t="s">
        <v>109</v>
      </c>
      <c r="K2358">
        <v>0</v>
      </c>
      <c r="L2358">
        <v>1</v>
      </c>
      <c r="M2358">
        <v>0</v>
      </c>
      <c r="N2358">
        <v>0</v>
      </c>
      <c r="O2358">
        <v>0</v>
      </c>
      <c r="P2358">
        <v>0</v>
      </c>
      <c r="Q2358" t="s">
        <v>23</v>
      </c>
      <c r="R2358">
        <v>0</v>
      </c>
    </row>
    <row r="2359" spans="1:18">
      <c r="A2359" s="4">
        <v>2184335789</v>
      </c>
      <c r="B2359" t="s">
        <v>18</v>
      </c>
      <c r="C2359">
        <v>47</v>
      </c>
      <c r="D2359" t="s">
        <v>27</v>
      </c>
      <c r="E2359" t="s">
        <v>39</v>
      </c>
      <c r="F2359" s="1">
        <v>42493</v>
      </c>
      <c r="G2359" s="1">
        <v>42493</v>
      </c>
      <c r="H2359" t="s">
        <v>41</v>
      </c>
      <c r="I2359">
        <v>0</v>
      </c>
      <c r="J2359" t="s">
        <v>111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23</v>
      </c>
      <c r="R2359">
        <v>0</v>
      </c>
    </row>
    <row r="2360" spans="1:18">
      <c r="A2360" s="4">
        <v>27789400000000</v>
      </c>
      <c r="B2360" t="s">
        <v>28</v>
      </c>
      <c r="C2360">
        <v>35</v>
      </c>
      <c r="D2360" t="s">
        <v>37</v>
      </c>
      <c r="E2360" t="s">
        <v>72</v>
      </c>
      <c r="F2360" s="1">
        <v>42493</v>
      </c>
      <c r="G2360" s="1">
        <v>42493</v>
      </c>
      <c r="H2360" t="s">
        <v>41</v>
      </c>
      <c r="I2360">
        <v>0</v>
      </c>
      <c r="J2360" t="s">
        <v>111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23</v>
      </c>
      <c r="R2360">
        <v>0</v>
      </c>
    </row>
    <row r="2361" spans="1:18">
      <c r="A2361" s="4">
        <v>39388600000000</v>
      </c>
      <c r="B2361" t="s">
        <v>18</v>
      </c>
      <c r="C2361">
        <v>6</v>
      </c>
      <c r="D2361" t="s">
        <v>31</v>
      </c>
      <c r="E2361" t="s">
        <v>58</v>
      </c>
      <c r="F2361" s="1">
        <v>42493</v>
      </c>
      <c r="G2361" s="1">
        <v>42500</v>
      </c>
      <c r="H2361" t="s">
        <v>41</v>
      </c>
      <c r="I2361">
        <v>7</v>
      </c>
      <c r="J2361" t="s">
        <v>107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1</v>
      </c>
      <c r="Q2361" t="s">
        <v>23</v>
      </c>
      <c r="R2361">
        <v>0</v>
      </c>
    </row>
    <row r="2362" spans="1:18">
      <c r="A2362" s="4">
        <v>499651000000000</v>
      </c>
      <c r="B2362" t="s">
        <v>28</v>
      </c>
      <c r="C2362">
        <v>67</v>
      </c>
      <c r="D2362" t="s">
        <v>19</v>
      </c>
      <c r="E2362" t="s">
        <v>29</v>
      </c>
      <c r="F2362" s="1">
        <v>42493</v>
      </c>
      <c r="G2362" s="1">
        <v>42495</v>
      </c>
      <c r="H2362" t="s">
        <v>33</v>
      </c>
      <c r="I2362">
        <v>2</v>
      </c>
      <c r="J2362" t="s">
        <v>109</v>
      </c>
      <c r="K2362">
        <v>0</v>
      </c>
      <c r="L2362">
        <v>1</v>
      </c>
      <c r="M2362">
        <v>1</v>
      </c>
      <c r="N2362">
        <v>0</v>
      </c>
      <c r="O2362">
        <v>0</v>
      </c>
      <c r="P2362">
        <v>0</v>
      </c>
      <c r="Q2362" t="s">
        <v>23</v>
      </c>
      <c r="R2362">
        <v>0</v>
      </c>
    </row>
    <row r="2363" spans="1:18">
      <c r="A2363" s="4">
        <v>188232000000000</v>
      </c>
      <c r="B2363" t="s">
        <v>28</v>
      </c>
      <c r="C2363">
        <v>45</v>
      </c>
      <c r="D2363" t="s">
        <v>27</v>
      </c>
      <c r="E2363" t="s">
        <v>67</v>
      </c>
      <c r="F2363" s="1">
        <v>42493</v>
      </c>
      <c r="G2363" s="1">
        <v>42493</v>
      </c>
      <c r="H2363" t="s">
        <v>41</v>
      </c>
      <c r="I2363">
        <v>0</v>
      </c>
      <c r="J2363" t="s">
        <v>111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23</v>
      </c>
      <c r="R2363">
        <v>0</v>
      </c>
    </row>
    <row r="2364" spans="1:18">
      <c r="A2364" s="4">
        <v>59368600000000</v>
      </c>
      <c r="B2364" t="s">
        <v>18</v>
      </c>
      <c r="C2364">
        <v>52</v>
      </c>
      <c r="D2364" t="s">
        <v>35</v>
      </c>
      <c r="E2364" t="s">
        <v>86</v>
      </c>
      <c r="F2364" s="1">
        <v>42493</v>
      </c>
      <c r="G2364" s="1">
        <v>42495</v>
      </c>
      <c r="H2364" t="s">
        <v>33</v>
      </c>
      <c r="I2364">
        <v>2</v>
      </c>
      <c r="J2364" t="s">
        <v>109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23</v>
      </c>
      <c r="R2364">
        <v>0</v>
      </c>
    </row>
    <row r="2365" spans="1:18">
      <c r="A2365" s="4">
        <v>81894500000000</v>
      </c>
      <c r="B2365" t="s">
        <v>28</v>
      </c>
      <c r="C2365">
        <v>35</v>
      </c>
      <c r="D2365" t="s">
        <v>37</v>
      </c>
      <c r="E2365" t="s">
        <v>54</v>
      </c>
      <c r="F2365" s="1">
        <v>42493</v>
      </c>
      <c r="G2365" s="1">
        <v>42493</v>
      </c>
      <c r="H2365" t="s">
        <v>41</v>
      </c>
      <c r="I2365">
        <v>0</v>
      </c>
      <c r="J2365" t="s">
        <v>111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23</v>
      </c>
      <c r="R2365">
        <v>0</v>
      </c>
    </row>
    <row r="2366" spans="1:18">
      <c r="A2366" s="4">
        <v>917324000000000</v>
      </c>
      <c r="B2366" t="s">
        <v>18</v>
      </c>
      <c r="C2366">
        <v>24</v>
      </c>
      <c r="D2366" t="s">
        <v>37</v>
      </c>
      <c r="E2366" t="s">
        <v>71</v>
      </c>
      <c r="F2366" s="1">
        <v>42493</v>
      </c>
      <c r="G2366" s="1">
        <v>42524</v>
      </c>
      <c r="H2366" t="s">
        <v>21</v>
      </c>
      <c r="I2366">
        <v>31</v>
      </c>
      <c r="J2366" t="s">
        <v>22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1</v>
      </c>
      <c r="Q2366" t="s">
        <v>26</v>
      </c>
      <c r="R2366">
        <v>1</v>
      </c>
    </row>
    <row r="2367" spans="1:18">
      <c r="A2367" s="4">
        <v>648638000000000</v>
      </c>
      <c r="B2367" t="s">
        <v>28</v>
      </c>
      <c r="C2367">
        <v>16</v>
      </c>
      <c r="D2367" t="s">
        <v>60</v>
      </c>
      <c r="E2367" t="s">
        <v>67</v>
      </c>
      <c r="F2367" s="1">
        <v>42493</v>
      </c>
      <c r="G2367" s="1">
        <v>42493</v>
      </c>
      <c r="H2367" t="s">
        <v>41</v>
      </c>
      <c r="I2367">
        <v>0</v>
      </c>
      <c r="J2367" t="s">
        <v>111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23</v>
      </c>
      <c r="R2367">
        <v>0</v>
      </c>
    </row>
    <row r="2368" spans="1:18">
      <c r="A2368" s="4">
        <v>94555700000000</v>
      </c>
      <c r="B2368" t="s">
        <v>18</v>
      </c>
      <c r="C2368">
        <v>63</v>
      </c>
      <c r="D2368" t="s">
        <v>35</v>
      </c>
      <c r="E2368" t="s">
        <v>84</v>
      </c>
      <c r="F2368" s="1">
        <v>42493</v>
      </c>
      <c r="G2368" s="1">
        <v>42493</v>
      </c>
      <c r="H2368" t="s">
        <v>41</v>
      </c>
      <c r="I2368">
        <v>0</v>
      </c>
      <c r="J2368" t="s">
        <v>111</v>
      </c>
      <c r="K2368">
        <v>1</v>
      </c>
      <c r="L2368">
        <v>1</v>
      </c>
      <c r="M2368">
        <v>1</v>
      </c>
      <c r="N2368">
        <v>1</v>
      </c>
      <c r="O2368">
        <v>0</v>
      </c>
      <c r="P2368">
        <v>0</v>
      </c>
      <c r="Q2368" t="s">
        <v>23</v>
      </c>
      <c r="R2368">
        <v>0</v>
      </c>
    </row>
    <row r="2369" spans="1:18">
      <c r="A2369" s="4">
        <v>731623000000000</v>
      </c>
      <c r="B2369" t="s">
        <v>18</v>
      </c>
      <c r="C2369">
        <v>22</v>
      </c>
      <c r="D2369" t="s">
        <v>37</v>
      </c>
      <c r="E2369" t="s">
        <v>100</v>
      </c>
      <c r="F2369" s="1">
        <v>42493</v>
      </c>
      <c r="G2369" s="1">
        <v>42493</v>
      </c>
      <c r="H2369" t="s">
        <v>41</v>
      </c>
      <c r="I2369">
        <v>0</v>
      </c>
      <c r="J2369" t="s">
        <v>111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23</v>
      </c>
      <c r="R2369">
        <v>0</v>
      </c>
    </row>
    <row r="2370" spans="1:18">
      <c r="A2370" s="4">
        <v>798858000000</v>
      </c>
      <c r="B2370" t="s">
        <v>18</v>
      </c>
      <c r="C2370">
        <v>40</v>
      </c>
      <c r="D2370" t="s">
        <v>27</v>
      </c>
      <c r="E2370" t="s">
        <v>39</v>
      </c>
      <c r="F2370" s="1">
        <v>42493</v>
      </c>
      <c r="G2370" s="1">
        <v>42494</v>
      </c>
      <c r="H2370" t="s">
        <v>25</v>
      </c>
      <c r="I2370">
        <v>1</v>
      </c>
      <c r="J2370" t="s">
        <v>109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23</v>
      </c>
      <c r="R2370">
        <v>0</v>
      </c>
    </row>
    <row r="2371" spans="1:18">
      <c r="A2371" s="4">
        <v>536746000000</v>
      </c>
      <c r="B2371" t="s">
        <v>18</v>
      </c>
      <c r="C2371">
        <v>62</v>
      </c>
      <c r="D2371" t="s">
        <v>35</v>
      </c>
      <c r="E2371" t="s">
        <v>58</v>
      </c>
      <c r="F2371" s="1">
        <v>42493</v>
      </c>
      <c r="G2371" s="1">
        <v>42493</v>
      </c>
      <c r="H2371" t="s">
        <v>41</v>
      </c>
      <c r="I2371">
        <v>0</v>
      </c>
      <c r="J2371" t="s">
        <v>111</v>
      </c>
      <c r="K2371">
        <v>0</v>
      </c>
      <c r="L2371">
        <v>0</v>
      </c>
      <c r="M2371">
        <v>0</v>
      </c>
      <c r="N2371">
        <v>0</v>
      </c>
      <c r="O2371">
        <v>1</v>
      </c>
      <c r="P2371">
        <v>0</v>
      </c>
      <c r="Q2371" t="s">
        <v>23</v>
      </c>
      <c r="R2371">
        <v>0</v>
      </c>
    </row>
    <row r="2372" spans="1:18">
      <c r="A2372" s="4">
        <v>966156000000000</v>
      </c>
      <c r="B2372" t="s">
        <v>18</v>
      </c>
      <c r="C2372">
        <v>11</v>
      </c>
      <c r="D2372" t="s">
        <v>31</v>
      </c>
      <c r="E2372" t="s">
        <v>73</v>
      </c>
      <c r="F2372" s="1">
        <v>42493</v>
      </c>
      <c r="G2372" s="1">
        <v>42494</v>
      </c>
      <c r="H2372" t="s">
        <v>25</v>
      </c>
      <c r="I2372">
        <v>1</v>
      </c>
      <c r="J2372" t="s">
        <v>109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26</v>
      </c>
      <c r="R2372">
        <v>1</v>
      </c>
    </row>
    <row r="2373" spans="1:18">
      <c r="A2373" s="4">
        <v>932763000000000</v>
      </c>
      <c r="B2373" t="s">
        <v>28</v>
      </c>
      <c r="C2373">
        <v>1</v>
      </c>
      <c r="D2373" t="s">
        <v>31</v>
      </c>
      <c r="E2373" t="s">
        <v>61</v>
      </c>
      <c r="F2373" s="1">
        <v>42493</v>
      </c>
      <c r="G2373" s="1">
        <v>42493</v>
      </c>
      <c r="H2373" t="s">
        <v>41</v>
      </c>
      <c r="I2373">
        <v>0</v>
      </c>
      <c r="J2373" t="s">
        <v>111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23</v>
      </c>
      <c r="R2373">
        <v>0</v>
      </c>
    </row>
    <row r="2374" spans="1:18">
      <c r="A2374" s="4">
        <v>9785990000000</v>
      </c>
      <c r="B2374" t="s">
        <v>18</v>
      </c>
      <c r="C2374">
        <v>8</v>
      </c>
      <c r="D2374" t="s">
        <v>31</v>
      </c>
      <c r="E2374" t="s">
        <v>96</v>
      </c>
      <c r="F2374" s="1">
        <v>42493</v>
      </c>
      <c r="G2374" s="1">
        <v>42493</v>
      </c>
      <c r="H2374" t="s">
        <v>41</v>
      </c>
      <c r="I2374">
        <v>0</v>
      </c>
      <c r="J2374" t="s">
        <v>111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23</v>
      </c>
      <c r="R2374">
        <v>0</v>
      </c>
    </row>
    <row r="2375" spans="1:18">
      <c r="A2375" s="4">
        <v>997567000000000</v>
      </c>
      <c r="B2375" t="s">
        <v>18</v>
      </c>
      <c r="C2375">
        <v>48</v>
      </c>
      <c r="D2375" t="s">
        <v>27</v>
      </c>
      <c r="E2375" t="s">
        <v>40</v>
      </c>
      <c r="F2375" s="1">
        <v>42493</v>
      </c>
      <c r="G2375" s="1">
        <v>42524</v>
      </c>
      <c r="H2375" t="s">
        <v>21</v>
      </c>
      <c r="I2375">
        <v>31</v>
      </c>
      <c r="J2375" t="s">
        <v>22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23</v>
      </c>
      <c r="R2375">
        <v>0</v>
      </c>
    </row>
    <row r="2376" spans="1:18">
      <c r="A2376" s="4">
        <v>646660000000</v>
      </c>
      <c r="B2376" t="s">
        <v>18</v>
      </c>
      <c r="C2376">
        <v>43</v>
      </c>
      <c r="D2376" t="s">
        <v>27</v>
      </c>
      <c r="E2376" t="s">
        <v>24</v>
      </c>
      <c r="F2376" s="1">
        <v>42493</v>
      </c>
      <c r="G2376" s="1">
        <v>42493</v>
      </c>
      <c r="H2376" t="s">
        <v>41</v>
      </c>
      <c r="I2376">
        <v>0</v>
      </c>
      <c r="J2376" t="s">
        <v>111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23</v>
      </c>
      <c r="R2376">
        <v>0</v>
      </c>
    </row>
    <row r="2377" spans="1:18">
      <c r="A2377" s="4">
        <v>15466900000000</v>
      </c>
      <c r="B2377" t="s">
        <v>28</v>
      </c>
      <c r="C2377">
        <v>61</v>
      </c>
      <c r="D2377" t="s">
        <v>35</v>
      </c>
      <c r="E2377" t="s">
        <v>68</v>
      </c>
      <c r="F2377" s="1">
        <v>42493</v>
      </c>
      <c r="G2377" s="1">
        <v>42494</v>
      </c>
      <c r="H2377" t="s">
        <v>25</v>
      </c>
      <c r="I2377">
        <v>1</v>
      </c>
      <c r="J2377" t="s">
        <v>109</v>
      </c>
      <c r="K2377">
        <v>0</v>
      </c>
      <c r="L2377">
        <v>1</v>
      </c>
      <c r="M2377">
        <v>1</v>
      </c>
      <c r="N2377">
        <v>0</v>
      </c>
      <c r="O2377">
        <v>0</v>
      </c>
      <c r="P2377">
        <v>0</v>
      </c>
      <c r="Q2377" t="s">
        <v>23</v>
      </c>
      <c r="R2377">
        <v>0</v>
      </c>
    </row>
    <row r="2378" spans="1:18">
      <c r="A2378" s="4">
        <v>9998230000000</v>
      </c>
      <c r="B2378" t="s">
        <v>28</v>
      </c>
      <c r="C2378">
        <v>47</v>
      </c>
      <c r="D2378" t="s">
        <v>27</v>
      </c>
      <c r="E2378" t="s">
        <v>67</v>
      </c>
      <c r="F2378" s="1">
        <v>42493</v>
      </c>
      <c r="G2378" s="1">
        <v>42494</v>
      </c>
      <c r="H2378" t="s">
        <v>25</v>
      </c>
      <c r="I2378">
        <v>1</v>
      </c>
      <c r="J2378" t="s">
        <v>109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23</v>
      </c>
      <c r="R2378">
        <v>0</v>
      </c>
    </row>
    <row r="2379" spans="1:18">
      <c r="A2379" s="4">
        <v>51765600000000</v>
      </c>
      <c r="B2379" t="s">
        <v>18</v>
      </c>
      <c r="C2379">
        <v>37</v>
      </c>
      <c r="D2379" t="s">
        <v>27</v>
      </c>
      <c r="E2379" t="s">
        <v>87</v>
      </c>
      <c r="F2379" s="1">
        <v>42493</v>
      </c>
      <c r="G2379" s="1">
        <v>42502</v>
      </c>
      <c r="H2379" t="s">
        <v>33</v>
      </c>
      <c r="I2379">
        <v>9</v>
      </c>
      <c r="J2379" t="s">
        <v>92</v>
      </c>
      <c r="K2379">
        <v>1</v>
      </c>
      <c r="L2379">
        <v>1</v>
      </c>
      <c r="M2379">
        <v>0</v>
      </c>
      <c r="N2379">
        <v>0</v>
      </c>
      <c r="O2379">
        <v>0</v>
      </c>
      <c r="P2379">
        <v>1</v>
      </c>
      <c r="Q2379" t="s">
        <v>23</v>
      </c>
      <c r="R2379">
        <v>0</v>
      </c>
    </row>
    <row r="2380" spans="1:18">
      <c r="A2380" s="4">
        <v>1119680000000</v>
      </c>
      <c r="B2380" t="s">
        <v>18</v>
      </c>
      <c r="C2380">
        <v>19</v>
      </c>
      <c r="D2380" t="s">
        <v>37</v>
      </c>
      <c r="E2380" t="s">
        <v>106</v>
      </c>
      <c r="F2380" s="1">
        <v>42493</v>
      </c>
      <c r="G2380" s="1">
        <v>42503</v>
      </c>
      <c r="H2380" t="s">
        <v>21</v>
      </c>
      <c r="I2380">
        <v>10</v>
      </c>
      <c r="J2380" t="s">
        <v>92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26</v>
      </c>
      <c r="R2380">
        <v>1</v>
      </c>
    </row>
    <row r="2381" spans="1:18">
      <c r="A2381" s="4">
        <v>59136200000000</v>
      </c>
      <c r="B2381" t="s">
        <v>18</v>
      </c>
      <c r="C2381">
        <v>64</v>
      </c>
      <c r="D2381" t="s">
        <v>35</v>
      </c>
      <c r="E2381" t="s">
        <v>47</v>
      </c>
      <c r="F2381" s="1">
        <v>42493</v>
      </c>
      <c r="G2381" s="1">
        <v>42494</v>
      </c>
      <c r="H2381" t="s">
        <v>25</v>
      </c>
      <c r="I2381">
        <v>1</v>
      </c>
      <c r="J2381" t="s">
        <v>109</v>
      </c>
      <c r="K2381">
        <v>0</v>
      </c>
      <c r="L2381">
        <v>1</v>
      </c>
      <c r="M2381">
        <v>0</v>
      </c>
      <c r="N2381">
        <v>0</v>
      </c>
      <c r="O2381">
        <v>0</v>
      </c>
      <c r="P2381">
        <v>0</v>
      </c>
      <c r="Q2381" t="s">
        <v>23</v>
      </c>
      <c r="R2381">
        <v>0</v>
      </c>
    </row>
    <row r="2382" spans="1:18">
      <c r="A2382" s="4">
        <v>4954280000000</v>
      </c>
      <c r="B2382" t="s">
        <v>18</v>
      </c>
      <c r="C2382">
        <v>41</v>
      </c>
      <c r="D2382" t="s">
        <v>27</v>
      </c>
      <c r="E2382" t="s">
        <v>75</v>
      </c>
      <c r="F2382" s="1">
        <v>42493</v>
      </c>
      <c r="G2382" s="1">
        <v>42495</v>
      </c>
      <c r="H2382" t="s">
        <v>33</v>
      </c>
      <c r="I2382">
        <v>2</v>
      </c>
      <c r="J2382" t="s">
        <v>109</v>
      </c>
      <c r="K2382">
        <v>1</v>
      </c>
      <c r="L2382">
        <v>0</v>
      </c>
      <c r="M2382">
        <v>0</v>
      </c>
      <c r="N2382">
        <v>1</v>
      </c>
      <c r="O2382">
        <v>0</v>
      </c>
      <c r="P2382">
        <v>0</v>
      </c>
      <c r="Q2382" t="s">
        <v>26</v>
      </c>
      <c r="R2382">
        <v>1</v>
      </c>
    </row>
    <row r="2383" spans="1:18">
      <c r="A2383" s="4">
        <v>9442340000000</v>
      </c>
      <c r="B2383" t="s">
        <v>28</v>
      </c>
      <c r="C2383">
        <v>47</v>
      </c>
      <c r="D2383" t="s">
        <v>27</v>
      </c>
      <c r="E2383" t="s">
        <v>50</v>
      </c>
      <c r="F2383" s="1">
        <v>42493</v>
      </c>
      <c r="G2383" s="1">
        <v>42507</v>
      </c>
      <c r="H2383" t="s">
        <v>41</v>
      </c>
      <c r="I2383">
        <v>14</v>
      </c>
      <c r="J2383" t="s">
        <v>92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23</v>
      </c>
      <c r="R2383">
        <v>0</v>
      </c>
    </row>
    <row r="2384" spans="1:18">
      <c r="A2384" s="4">
        <v>374449000000</v>
      </c>
      <c r="B2384" t="s">
        <v>28</v>
      </c>
      <c r="C2384">
        <v>55</v>
      </c>
      <c r="D2384" t="s">
        <v>35</v>
      </c>
      <c r="E2384" t="s">
        <v>88</v>
      </c>
      <c r="F2384" s="1">
        <v>42493</v>
      </c>
      <c r="G2384" s="1">
        <v>42500</v>
      </c>
      <c r="H2384" t="s">
        <v>41</v>
      </c>
      <c r="I2384">
        <v>7</v>
      </c>
      <c r="J2384" t="s">
        <v>107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1</v>
      </c>
      <c r="Q2384" t="s">
        <v>23</v>
      </c>
      <c r="R2384">
        <v>0</v>
      </c>
    </row>
    <row r="2385" spans="1:18">
      <c r="A2385" s="4">
        <v>249226000000</v>
      </c>
      <c r="B2385" t="s">
        <v>18</v>
      </c>
      <c r="C2385">
        <v>7</v>
      </c>
      <c r="D2385" t="s">
        <v>31</v>
      </c>
      <c r="E2385" t="s">
        <v>100</v>
      </c>
      <c r="F2385" s="1">
        <v>42493</v>
      </c>
      <c r="G2385" s="1">
        <v>42500</v>
      </c>
      <c r="H2385" t="s">
        <v>41</v>
      </c>
      <c r="I2385">
        <v>7</v>
      </c>
      <c r="J2385" t="s">
        <v>107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1</v>
      </c>
      <c r="Q2385" t="s">
        <v>26</v>
      </c>
      <c r="R2385">
        <v>1</v>
      </c>
    </row>
    <row r="2386" spans="1:18">
      <c r="A2386" s="4">
        <v>96871300000000</v>
      </c>
      <c r="B2386" t="s">
        <v>18</v>
      </c>
      <c r="C2386">
        <v>14</v>
      </c>
      <c r="D2386" t="s">
        <v>60</v>
      </c>
      <c r="E2386" t="s">
        <v>96</v>
      </c>
      <c r="F2386" s="1">
        <v>42493</v>
      </c>
      <c r="G2386" s="1">
        <v>42500</v>
      </c>
      <c r="H2386" t="s">
        <v>41</v>
      </c>
      <c r="I2386">
        <v>7</v>
      </c>
      <c r="J2386" t="s">
        <v>107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23</v>
      </c>
      <c r="R2386">
        <v>0</v>
      </c>
    </row>
    <row r="2387" spans="1:18">
      <c r="A2387" s="4">
        <v>6495930000000</v>
      </c>
      <c r="B2387" t="s">
        <v>18</v>
      </c>
      <c r="C2387">
        <v>36</v>
      </c>
      <c r="D2387" t="s">
        <v>27</v>
      </c>
      <c r="E2387" t="s">
        <v>34</v>
      </c>
      <c r="F2387" s="1">
        <v>42493</v>
      </c>
      <c r="G2387" s="1">
        <v>42506</v>
      </c>
      <c r="H2387" t="s">
        <v>30</v>
      </c>
      <c r="I2387">
        <v>13</v>
      </c>
      <c r="J2387" t="s">
        <v>92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23</v>
      </c>
      <c r="R2387">
        <v>0</v>
      </c>
    </row>
    <row r="2388" spans="1:18">
      <c r="A2388" s="4">
        <v>31178400000000</v>
      </c>
      <c r="B2388" t="s">
        <v>28</v>
      </c>
      <c r="C2388">
        <v>34</v>
      </c>
      <c r="D2388" t="s">
        <v>37</v>
      </c>
      <c r="E2388" t="s">
        <v>29</v>
      </c>
      <c r="F2388" s="1">
        <v>42493</v>
      </c>
      <c r="G2388" s="1">
        <v>42521</v>
      </c>
      <c r="H2388" t="s">
        <v>41</v>
      </c>
      <c r="I2388">
        <v>28</v>
      </c>
      <c r="J2388" t="s">
        <v>77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1</v>
      </c>
      <c r="Q2388" t="s">
        <v>23</v>
      </c>
      <c r="R2388">
        <v>0</v>
      </c>
    </row>
    <row r="2389" spans="1:18">
      <c r="A2389" s="4">
        <v>449812000000000</v>
      </c>
      <c r="B2389" t="s">
        <v>18</v>
      </c>
      <c r="C2389">
        <v>59</v>
      </c>
      <c r="D2389" t="s">
        <v>35</v>
      </c>
      <c r="E2389" t="s">
        <v>71</v>
      </c>
      <c r="F2389" s="1">
        <v>42493</v>
      </c>
      <c r="G2389" s="1">
        <v>42496</v>
      </c>
      <c r="H2389" t="s">
        <v>21</v>
      </c>
      <c r="I2389">
        <v>3</v>
      </c>
      <c r="J2389" t="s">
        <v>109</v>
      </c>
      <c r="K2389">
        <v>0</v>
      </c>
      <c r="L2389">
        <v>0</v>
      </c>
      <c r="M2389">
        <v>0</v>
      </c>
      <c r="N2389">
        <v>0</v>
      </c>
      <c r="O2389">
        <v>1</v>
      </c>
      <c r="P2389">
        <v>0</v>
      </c>
      <c r="Q2389" t="s">
        <v>23</v>
      </c>
      <c r="R2389">
        <v>0</v>
      </c>
    </row>
    <row r="2390" spans="1:18">
      <c r="A2390" s="4">
        <v>117226000000000</v>
      </c>
      <c r="B2390" t="s">
        <v>28</v>
      </c>
      <c r="C2390">
        <v>70</v>
      </c>
      <c r="D2390" t="s">
        <v>19</v>
      </c>
      <c r="E2390" t="s">
        <v>84</v>
      </c>
      <c r="F2390" s="1">
        <v>42493</v>
      </c>
      <c r="G2390" s="1">
        <v>42496</v>
      </c>
      <c r="H2390" t="s">
        <v>21</v>
      </c>
      <c r="I2390">
        <v>3</v>
      </c>
      <c r="J2390" t="s">
        <v>109</v>
      </c>
      <c r="K2390">
        <v>0</v>
      </c>
      <c r="L2390">
        <v>1</v>
      </c>
      <c r="M2390">
        <v>0</v>
      </c>
      <c r="N2390">
        <v>0</v>
      </c>
      <c r="O2390">
        <v>0</v>
      </c>
      <c r="P2390">
        <v>0</v>
      </c>
      <c r="Q2390" t="s">
        <v>23</v>
      </c>
      <c r="R2390">
        <v>0</v>
      </c>
    </row>
    <row r="2391" spans="1:18">
      <c r="A2391" s="4">
        <v>21214600000000</v>
      </c>
      <c r="B2391" t="s">
        <v>28</v>
      </c>
      <c r="C2391">
        <v>2</v>
      </c>
      <c r="D2391" t="s">
        <v>31</v>
      </c>
      <c r="E2391" t="s">
        <v>32</v>
      </c>
      <c r="F2391" s="1">
        <v>42493</v>
      </c>
      <c r="G2391" s="1">
        <v>42529</v>
      </c>
      <c r="H2391" t="s">
        <v>25</v>
      </c>
      <c r="I2391">
        <v>36</v>
      </c>
      <c r="J2391" t="s">
        <v>22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1</v>
      </c>
      <c r="Q2391" t="s">
        <v>23</v>
      </c>
      <c r="R2391">
        <v>0</v>
      </c>
    </row>
    <row r="2392" spans="1:18">
      <c r="A2392" s="4">
        <v>12778300000000</v>
      </c>
      <c r="B2392" t="s">
        <v>28</v>
      </c>
      <c r="C2392">
        <v>79</v>
      </c>
      <c r="D2392" t="s">
        <v>19</v>
      </c>
      <c r="E2392" t="s">
        <v>36</v>
      </c>
      <c r="F2392" s="1">
        <v>42493</v>
      </c>
      <c r="G2392" s="1">
        <v>42495</v>
      </c>
      <c r="H2392" t="s">
        <v>33</v>
      </c>
      <c r="I2392">
        <v>2</v>
      </c>
      <c r="J2392" t="s">
        <v>109</v>
      </c>
      <c r="K2392">
        <v>0</v>
      </c>
      <c r="L2392">
        <v>1</v>
      </c>
      <c r="M2392">
        <v>0</v>
      </c>
      <c r="N2392">
        <v>0</v>
      </c>
      <c r="O2392">
        <v>0</v>
      </c>
      <c r="P2392">
        <v>0</v>
      </c>
      <c r="Q2392" t="s">
        <v>23</v>
      </c>
      <c r="R2392">
        <v>0</v>
      </c>
    </row>
    <row r="2393" spans="1:18">
      <c r="A2393" s="4">
        <v>56154396464</v>
      </c>
      <c r="B2393" t="s">
        <v>18</v>
      </c>
      <c r="C2393">
        <v>36</v>
      </c>
      <c r="D2393" t="s">
        <v>27</v>
      </c>
      <c r="E2393" t="s">
        <v>68</v>
      </c>
      <c r="F2393" s="1">
        <v>42493</v>
      </c>
      <c r="G2393" s="1">
        <v>42499</v>
      </c>
      <c r="H2393" t="s">
        <v>30</v>
      </c>
      <c r="I2393">
        <v>6</v>
      </c>
      <c r="J2393" t="s">
        <v>107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23</v>
      </c>
      <c r="R2393">
        <v>0</v>
      </c>
    </row>
    <row r="2394" spans="1:18">
      <c r="A2394" s="4">
        <v>5159790000000</v>
      </c>
      <c r="B2394" t="s">
        <v>18</v>
      </c>
      <c r="C2394">
        <v>73</v>
      </c>
      <c r="D2394" t="s">
        <v>19</v>
      </c>
      <c r="E2394" t="s">
        <v>40</v>
      </c>
      <c r="F2394" s="1">
        <v>42493</v>
      </c>
      <c r="G2394" s="1">
        <v>42495</v>
      </c>
      <c r="H2394" t="s">
        <v>33</v>
      </c>
      <c r="I2394">
        <v>2</v>
      </c>
      <c r="J2394" t="s">
        <v>109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23</v>
      </c>
      <c r="R2394">
        <v>0</v>
      </c>
    </row>
    <row r="2395" spans="1:18">
      <c r="A2395" s="4">
        <v>358868000000</v>
      </c>
      <c r="B2395" t="s">
        <v>28</v>
      </c>
      <c r="C2395">
        <v>58</v>
      </c>
      <c r="D2395" t="s">
        <v>35</v>
      </c>
      <c r="E2395" t="s">
        <v>59</v>
      </c>
      <c r="F2395" s="1">
        <v>42493</v>
      </c>
      <c r="G2395" s="1">
        <v>42495</v>
      </c>
      <c r="H2395" t="s">
        <v>33</v>
      </c>
      <c r="I2395">
        <v>2</v>
      </c>
      <c r="J2395" t="s">
        <v>109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23</v>
      </c>
      <c r="R2395">
        <v>0</v>
      </c>
    </row>
    <row r="2396" spans="1:18">
      <c r="A2396" s="4">
        <v>3925790000000</v>
      </c>
      <c r="B2396" t="s">
        <v>28</v>
      </c>
      <c r="C2396">
        <v>17</v>
      </c>
      <c r="D2396" t="s">
        <v>60</v>
      </c>
      <c r="E2396" t="s">
        <v>39</v>
      </c>
      <c r="F2396" s="1">
        <v>42493</v>
      </c>
      <c r="G2396" s="1">
        <v>42493</v>
      </c>
      <c r="H2396" t="s">
        <v>41</v>
      </c>
      <c r="I2396">
        <v>0</v>
      </c>
      <c r="J2396" t="s">
        <v>111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23</v>
      </c>
      <c r="R2396">
        <v>0</v>
      </c>
    </row>
    <row r="2397" spans="1:18">
      <c r="A2397" s="4">
        <v>6945810000000</v>
      </c>
      <c r="B2397" t="s">
        <v>28</v>
      </c>
      <c r="C2397">
        <v>30</v>
      </c>
      <c r="D2397" t="s">
        <v>37</v>
      </c>
      <c r="E2397" t="s">
        <v>58</v>
      </c>
      <c r="F2397" s="1">
        <v>42493</v>
      </c>
      <c r="G2397" s="1">
        <v>42493</v>
      </c>
      <c r="H2397" t="s">
        <v>41</v>
      </c>
      <c r="I2397">
        <v>0</v>
      </c>
      <c r="J2397" t="s">
        <v>111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26</v>
      </c>
      <c r="R2397">
        <v>1</v>
      </c>
    </row>
    <row r="2398" spans="1:18">
      <c r="A2398" s="4">
        <v>87223300000000</v>
      </c>
      <c r="B2398" t="s">
        <v>18</v>
      </c>
      <c r="C2398">
        <v>46</v>
      </c>
      <c r="D2398" t="s">
        <v>27</v>
      </c>
      <c r="E2398" t="s">
        <v>72</v>
      </c>
      <c r="F2398" s="1">
        <v>42493</v>
      </c>
      <c r="G2398" s="1">
        <v>42509</v>
      </c>
      <c r="H2398" t="s">
        <v>33</v>
      </c>
      <c r="I2398">
        <v>16</v>
      </c>
      <c r="J2398" t="s">
        <v>77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23</v>
      </c>
      <c r="R2398">
        <v>0</v>
      </c>
    </row>
    <row r="2399" spans="1:18">
      <c r="A2399" s="4">
        <v>491987000000000</v>
      </c>
      <c r="B2399" t="s">
        <v>28</v>
      </c>
      <c r="C2399">
        <v>62</v>
      </c>
      <c r="D2399" t="s">
        <v>35</v>
      </c>
      <c r="E2399" t="s">
        <v>47</v>
      </c>
      <c r="F2399" s="1">
        <v>42493</v>
      </c>
      <c r="G2399" s="1">
        <v>42493</v>
      </c>
      <c r="H2399" t="s">
        <v>41</v>
      </c>
      <c r="I2399">
        <v>0</v>
      </c>
      <c r="J2399" t="s">
        <v>111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23</v>
      </c>
      <c r="R2399">
        <v>0</v>
      </c>
    </row>
    <row r="2400" spans="1:18">
      <c r="A2400" s="4">
        <v>43847300000000</v>
      </c>
      <c r="B2400" t="s">
        <v>18</v>
      </c>
      <c r="C2400">
        <v>53</v>
      </c>
      <c r="D2400" t="s">
        <v>35</v>
      </c>
      <c r="E2400" t="s">
        <v>67</v>
      </c>
      <c r="F2400" s="1">
        <v>42493</v>
      </c>
      <c r="G2400" s="1">
        <v>42493</v>
      </c>
      <c r="H2400" t="s">
        <v>41</v>
      </c>
      <c r="I2400">
        <v>0</v>
      </c>
      <c r="J2400" t="s">
        <v>111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23</v>
      </c>
      <c r="R2400">
        <v>0</v>
      </c>
    </row>
    <row r="2401" spans="1:18">
      <c r="A2401" s="4">
        <v>2753470000000</v>
      </c>
      <c r="B2401" t="s">
        <v>28</v>
      </c>
      <c r="C2401">
        <v>55</v>
      </c>
      <c r="D2401" t="s">
        <v>35</v>
      </c>
      <c r="E2401" t="s">
        <v>32</v>
      </c>
      <c r="F2401" s="1">
        <v>42493</v>
      </c>
      <c r="G2401" s="1">
        <v>42514</v>
      </c>
      <c r="H2401" t="s">
        <v>41</v>
      </c>
      <c r="I2401">
        <v>21</v>
      </c>
      <c r="J2401" t="s">
        <v>77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26</v>
      </c>
      <c r="R2401">
        <v>1</v>
      </c>
    </row>
    <row r="2402" spans="1:18">
      <c r="A2402" s="4">
        <v>161362000000000</v>
      </c>
      <c r="B2402" t="s">
        <v>28</v>
      </c>
      <c r="C2402">
        <v>13</v>
      </c>
      <c r="D2402" t="s">
        <v>60</v>
      </c>
      <c r="E2402" t="s">
        <v>96</v>
      </c>
      <c r="F2402" s="1">
        <v>42493</v>
      </c>
      <c r="G2402" s="1">
        <v>42503</v>
      </c>
      <c r="H2402" t="s">
        <v>21</v>
      </c>
      <c r="I2402">
        <v>10</v>
      </c>
      <c r="J2402" t="s">
        <v>92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23</v>
      </c>
      <c r="R2402">
        <v>0</v>
      </c>
    </row>
    <row r="2403" spans="1:18">
      <c r="A2403" s="4">
        <v>633955000000000</v>
      </c>
      <c r="B2403" t="s">
        <v>18</v>
      </c>
      <c r="C2403">
        <v>1</v>
      </c>
      <c r="D2403" t="s">
        <v>31</v>
      </c>
      <c r="E2403" t="s">
        <v>105</v>
      </c>
      <c r="F2403" s="1">
        <v>42493</v>
      </c>
      <c r="G2403" s="1">
        <v>42493</v>
      </c>
      <c r="H2403" t="s">
        <v>41</v>
      </c>
      <c r="I2403">
        <v>0</v>
      </c>
      <c r="J2403" t="s">
        <v>111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23</v>
      </c>
      <c r="R2403">
        <v>0</v>
      </c>
    </row>
    <row r="2404" spans="1:18">
      <c r="A2404" s="4">
        <v>219327000000000</v>
      </c>
      <c r="B2404" t="s">
        <v>18</v>
      </c>
      <c r="C2404">
        <v>32</v>
      </c>
      <c r="D2404" t="s">
        <v>37</v>
      </c>
      <c r="E2404" t="s">
        <v>45</v>
      </c>
      <c r="F2404" s="1">
        <v>42493</v>
      </c>
      <c r="G2404" s="1">
        <v>42508</v>
      </c>
      <c r="H2404" t="s">
        <v>25</v>
      </c>
      <c r="I2404">
        <v>15</v>
      </c>
      <c r="J2404" t="s">
        <v>77</v>
      </c>
      <c r="K2404">
        <v>1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26</v>
      </c>
      <c r="R2404">
        <v>1</v>
      </c>
    </row>
    <row r="2405" spans="1:18">
      <c r="A2405" s="4">
        <v>411171000000</v>
      </c>
      <c r="B2405" t="s">
        <v>28</v>
      </c>
      <c r="C2405">
        <v>61</v>
      </c>
      <c r="D2405" t="s">
        <v>35</v>
      </c>
      <c r="E2405" t="s">
        <v>32</v>
      </c>
      <c r="F2405" s="1">
        <v>42493</v>
      </c>
      <c r="G2405" s="1">
        <v>42493</v>
      </c>
      <c r="H2405" t="s">
        <v>41</v>
      </c>
      <c r="I2405">
        <v>0</v>
      </c>
      <c r="J2405" t="s">
        <v>111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23</v>
      </c>
      <c r="R2405">
        <v>0</v>
      </c>
    </row>
    <row r="2406" spans="1:18">
      <c r="A2406" s="4">
        <v>1666520000000</v>
      </c>
      <c r="B2406" t="s">
        <v>18</v>
      </c>
      <c r="C2406">
        <v>77</v>
      </c>
      <c r="D2406" t="s">
        <v>19</v>
      </c>
      <c r="E2406" t="s">
        <v>39</v>
      </c>
      <c r="F2406" s="1">
        <v>42493</v>
      </c>
      <c r="G2406" s="1">
        <v>42493</v>
      </c>
      <c r="H2406" t="s">
        <v>41</v>
      </c>
      <c r="I2406">
        <v>0</v>
      </c>
      <c r="J2406" t="s">
        <v>111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23</v>
      </c>
      <c r="R2406">
        <v>0</v>
      </c>
    </row>
    <row r="2407" spans="1:18">
      <c r="A2407" s="4">
        <v>62786400000000</v>
      </c>
      <c r="B2407" t="s">
        <v>18</v>
      </c>
      <c r="C2407">
        <v>43</v>
      </c>
      <c r="D2407" t="s">
        <v>27</v>
      </c>
      <c r="E2407" t="s">
        <v>104</v>
      </c>
      <c r="F2407" s="1">
        <v>42493</v>
      </c>
      <c r="G2407" s="1">
        <v>42493</v>
      </c>
      <c r="H2407" t="s">
        <v>41</v>
      </c>
      <c r="I2407">
        <v>0</v>
      </c>
      <c r="J2407" t="s">
        <v>111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23</v>
      </c>
      <c r="R2407">
        <v>0</v>
      </c>
    </row>
    <row r="2408" spans="1:18">
      <c r="A2408" s="4">
        <v>221346000000000</v>
      </c>
      <c r="B2408" t="s">
        <v>28</v>
      </c>
      <c r="C2408">
        <v>12</v>
      </c>
      <c r="D2408" t="s">
        <v>31</v>
      </c>
      <c r="E2408" t="s">
        <v>34</v>
      </c>
      <c r="F2408" s="1">
        <v>42493</v>
      </c>
      <c r="G2408" s="1">
        <v>42494</v>
      </c>
      <c r="H2408" t="s">
        <v>25</v>
      </c>
      <c r="I2408">
        <v>1</v>
      </c>
      <c r="J2408" t="s">
        <v>109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23</v>
      </c>
      <c r="R2408">
        <v>0</v>
      </c>
    </row>
    <row r="2409" spans="1:18">
      <c r="A2409" s="4">
        <v>133870000000</v>
      </c>
      <c r="B2409" t="s">
        <v>28</v>
      </c>
      <c r="C2409">
        <v>68</v>
      </c>
      <c r="D2409" t="s">
        <v>19</v>
      </c>
      <c r="E2409" t="s">
        <v>90</v>
      </c>
      <c r="F2409" s="1">
        <v>42493</v>
      </c>
      <c r="G2409" s="1">
        <v>42495</v>
      </c>
      <c r="H2409" t="s">
        <v>33</v>
      </c>
      <c r="I2409">
        <v>2</v>
      </c>
      <c r="J2409" t="s">
        <v>109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23</v>
      </c>
      <c r="R2409">
        <v>0</v>
      </c>
    </row>
    <row r="2410" spans="1:18">
      <c r="A2410" s="4">
        <v>39644500000000</v>
      </c>
      <c r="B2410" t="s">
        <v>28</v>
      </c>
      <c r="C2410">
        <v>55</v>
      </c>
      <c r="D2410" t="s">
        <v>35</v>
      </c>
      <c r="E2410" t="s">
        <v>55</v>
      </c>
      <c r="F2410" s="1">
        <v>42493</v>
      </c>
      <c r="G2410" s="1">
        <v>42495</v>
      </c>
      <c r="H2410" t="s">
        <v>33</v>
      </c>
      <c r="I2410">
        <v>2</v>
      </c>
      <c r="J2410" t="s">
        <v>109</v>
      </c>
      <c r="K2410">
        <v>0</v>
      </c>
      <c r="L2410">
        <v>0</v>
      </c>
      <c r="M2410">
        <v>0</v>
      </c>
      <c r="N2410">
        <v>1</v>
      </c>
      <c r="O2410">
        <v>0</v>
      </c>
      <c r="P2410">
        <v>0</v>
      </c>
      <c r="Q2410" t="s">
        <v>23</v>
      </c>
      <c r="R2410">
        <v>0</v>
      </c>
    </row>
    <row r="2411" spans="1:18">
      <c r="A2411" s="4">
        <v>8535630000000</v>
      </c>
      <c r="B2411" t="s">
        <v>28</v>
      </c>
      <c r="C2411">
        <v>17</v>
      </c>
      <c r="D2411" t="s">
        <v>60</v>
      </c>
      <c r="E2411" t="s">
        <v>66</v>
      </c>
      <c r="F2411" s="1">
        <v>42493</v>
      </c>
      <c r="G2411" s="1">
        <v>42493</v>
      </c>
      <c r="H2411" t="s">
        <v>41</v>
      </c>
      <c r="I2411">
        <v>0</v>
      </c>
      <c r="J2411" t="s">
        <v>111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23</v>
      </c>
      <c r="R2411">
        <v>0</v>
      </c>
    </row>
    <row r="2412" spans="1:18">
      <c r="A2412" s="4">
        <v>68341200000000</v>
      </c>
      <c r="B2412" t="s">
        <v>18</v>
      </c>
      <c r="C2412">
        <v>23</v>
      </c>
      <c r="D2412" t="s">
        <v>37</v>
      </c>
      <c r="E2412" t="s">
        <v>56</v>
      </c>
      <c r="F2412" s="1">
        <v>42493</v>
      </c>
      <c r="G2412" s="1">
        <v>42502</v>
      </c>
      <c r="H2412" t="s">
        <v>33</v>
      </c>
      <c r="I2412">
        <v>9</v>
      </c>
      <c r="J2412" t="s">
        <v>92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1</v>
      </c>
      <c r="Q2412" t="s">
        <v>26</v>
      </c>
      <c r="R2412">
        <v>1</v>
      </c>
    </row>
    <row r="2413" spans="1:18">
      <c r="A2413" s="4">
        <v>532617000000000</v>
      </c>
      <c r="B2413" t="s">
        <v>18</v>
      </c>
      <c r="C2413">
        <v>39</v>
      </c>
      <c r="D2413" t="s">
        <v>27</v>
      </c>
      <c r="E2413" t="s">
        <v>96</v>
      </c>
      <c r="F2413" s="1">
        <v>42493</v>
      </c>
      <c r="G2413" s="1">
        <v>42496</v>
      </c>
      <c r="H2413" t="s">
        <v>21</v>
      </c>
      <c r="I2413">
        <v>3</v>
      </c>
      <c r="J2413" t="s">
        <v>109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23</v>
      </c>
      <c r="R2413">
        <v>0</v>
      </c>
    </row>
    <row r="2414" spans="1:18">
      <c r="A2414" s="4">
        <v>71216400000000</v>
      </c>
      <c r="B2414" t="s">
        <v>28</v>
      </c>
      <c r="C2414">
        <v>28</v>
      </c>
      <c r="D2414" t="s">
        <v>37</v>
      </c>
      <c r="E2414" t="s">
        <v>39</v>
      </c>
      <c r="F2414" s="1">
        <v>42493</v>
      </c>
      <c r="G2414" s="1">
        <v>42494</v>
      </c>
      <c r="H2414" t="s">
        <v>25</v>
      </c>
      <c r="I2414">
        <v>1</v>
      </c>
      <c r="J2414" t="s">
        <v>109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23</v>
      </c>
      <c r="R2414">
        <v>0</v>
      </c>
    </row>
    <row r="2415" spans="1:18">
      <c r="A2415" s="4">
        <v>5362140000000</v>
      </c>
      <c r="B2415" t="s">
        <v>28</v>
      </c>
      <c r="C2415">
        <v>49</v>
      </c>
      <c r="D2415" t="s">
        <v>27</v>
      </c>
      <c r="E2415" t="s">
        <v>72</v>
      </c>
      <c r="F2415" s="1">
        <v>42493</v>
      </c>
      <c r="G2415" s="1">
        <v>42493</v>
      </c>
      <c r="H2415" t="s">
        <v>41</v>
      </c>
      <c r="I2415">
        <v>0</v>
      </c>
      <c r="J2415" t="s">
        <v>111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23</v>
      </c>
      <c r="R2415">
        <v>0</v>
      </c>
    </row>
    <row r="2416" spans="1:18">
      <c r="A2416" s="4">
        <v>161847000000000</v>
      </c>
      <c r="B2416" t="s">
        <v>18</v>
      </c>
      <c r="C2416">
        <v>61</v>
      </c>
      <c r="D2416" t="s">
        <v>35</v>
      </c>
      <c r="E2416" t="s">
        <v>36</v>
      </c>
      <c r="F2416" s="1">
        <v>42493</v>
      </c>
      <c r="G2416" s="1">
        <v>42495</v>
      </c>
      <c r="H2416" t="s">
        <v>33</v>
      </c>
      <c r="I2416">
        <v>2</v>
      </c>
      <c r="J2416" t="s">
        <v>109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23</v>
      </c>
      <c r="R2416">
        <v>0</v>
      </c>
    </row>
    <row r="2417" spans="1:18">
      <c r="A2417" s="4">
        <v>39288400000000</v>
      </c>
      <c r="B2417" t="s">
        <v>28</v>
      </c>
      <c r="C2417">
        <v>14</v>
      </c>
      <c r="D2417" t="s">
        <v>60</v>
      </c>
      <c r="E2417" t="s">
        <v>98</v>
      </c>
      <c r="F2417" s="1">
        <v>42493</v>
      </c>
      <c r="G2417" s="1">
        <v>42500</v>
      </c>
      <c r="H2417" t="s">
        <v>41</v>
      </c>
      <c r="I2417">
        <v>7</v>
      </c>
      <c r="J2417" t="s">
        <v>107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1</v>
      </c>
      <c r="Q2417" t="s">
        <v>26</v>
      </c>
      <c r="R2417">
        <v>1</v>
      </c>
    </row>
    <row r="2418" spans="1:18">
      <c r="A2418" s="4">
        <v>9586750000000</v>
      </c>
      <c r="B2418" t="s">
        <v>28</v>
      </c>
      <c r="C2418">
        <v>13</v>
      </c>
      <c r="D2418" t="s">
        <v>60</v>
      </c>
      <c r="E2418" t="s">
        <v>63</v>
      </c>
      <c r="F2418" s="1">
        <v>42493</v>
      </c>
      <c r="G2418" s="1">
        <v>42510</v>
      </c>
      <c r="H2418" t="s">
        <v>21</v>
      </c>
      <c r="I2418">
        <v>17</v>
      </c>
      <c r="J2418" t="s">
        <v>77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23</v>
      </c>
      <c r="R2418">
        <v>0</v>
      </c>
    </row>
    <row r="2419" spans="1:18">
      <c r="A2419" s="4">
        <v>261125000000000</v>
      </c>
      <c r="B2419" t="s">
        <v>18</v>
      </c>
      <c r="C2419">
        <v>28</v>
      </c>
      <c r="D2419" t="s">
        <v>37</v>
      </c>
      <c r="E2419" t="s">
        <v>75</v>
      </c>
      <c r="F2419" s="1">
        <v>42493</v>
      </c>
      <c r="G2419" s="1">
        <v>42510</v>
      </c>
      <c r="H2419" t="s">
        <v>21</v>
      </c>
      <c r="I2419">
        <v>17</v>
      </c>
      <c r="J2419" t="s">
        <v>77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26</v>
      </c>
      <c r="R2419">
        <v>1</v>
      </c>
    </row>
    <row r="2420" spans="1:18">
      <c r="A2420" s="4">
        <v>18442900000000</v>
      </c>
      <c r="B2420" t="s">
        <v>18</v>
      </c>
      <c r="C2420">
        <v>24</v>
      </c>
      <c r="D2420" t="s">
        <v>37</v>
      </c>
      <c r="E2420" t="s">
        <v>44</v>
      </c>
      <c r="F2420" s="1">
        <v>42493</v>
      </c>
      <c r="G2420" s="1">
        <v>42506</v>
      </c>
      <c r="H2420" t="s">
        <v>30</v>
      </c>
      <c r="I2420">
        <v>13</v>
      </c>
      <c r="J2420" t="s">
        <v>92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23</v>
      </c>
      <c r="R2420">
        <v>0</v>
      </c>
    </row>
    <row r="2421" spans="1:18">
      <c r="A2421" s="4">
        <v>845752000000</v>
      </c>
      <c r="B2421" t="s">
        <v>18</v>
      </c>
      <c r="C2421">
        <v>68</v>
      </c>
      <c r="D2421" t="s">
        <v>19</v>
      </c>
      <c r="E2421" t="s">
        <v>39</v>
      </c>
      <c r="F2421" s="1">
        <v>42493</v>
      </c>
      <c r="G2421" s="1">
        <v>42493</v>
      </c>
      <c r="H2421" t="s">
        <v>41</v>
      </c>
      <c r="I2421">
        <v>0</v>
      </c>
      <c r="J2421" t="s">
        <v>111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23</v>
      </c>
      <c r="R2421">
        <v>0</v>
      </c>
    </row>
    <row r="2422" spans="1:18">
      <c r="A2422" s="4">
        <v>1278650000000</v>
      </c>
      <c r="B2422" t="s">
        <v>18</v>
      </c>
      <c r="C2422">
        <v>48</v>
      </c>
      <c r="D2422" t="s">
        <v>27</v>
      </c>
      <c r="E2422" t="s">
        <v>51</v>
      </c>
      <c r="F2422" s="1">
        <v>42493</v>
      </c>
      <c r="G2422" s="1">
        <v>42494</v>
      </c>
      <c r="H2422" t="s">
        <v>25</v>
      </c>
      <c r="I2422">
        <v>1</v>
      </c>
      <c r="J2422" t="s">
        <v>109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23</v>
      </c>
      <c r="R2422">
        <v>0</v>
      </c>
    </row>
    <row r="2423" spans="1:18">
      <c r="A2423" s="4">
        <v>5247740000000</v>
      </c>
      <c r="B2423" t="s">
        <v>18</v>
      </c>
      <c r="C2423">
        <v>29</v>
      </c>
      <c r="D2423" t="s">
        <v>37</v>
      </c>
      <c r="E2423" t="s">
        <v>66</v>
      </c>
      <c r="F2423" s="1">
        <v>42493</v>
      </c>
      <c r="G2423" s="1">
        <v>42521</v>
      </c>
      <c r="H2423" t="s">
        <v>41</v>
      </c>
      <c r="I2423">
        <v>28</v>
      </c>
      <c r="J2423" t="s">
        <v>77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1</v>
      </c>
      <c r="Q2423" t="s">
        <v>23</v>
      </c>
      <c r="R2423">
        <v>0</v>
      </c>
    </row>
    <row r="2424" spans="1:18">
      <c r="A2424" s="4">
        <v>967319000000000</v>
      </c>
      <c r="B2424" t="s">
        <v>18</v>
      </c>
      <c r="C2424">
        <v>37</v>
      </c>
      <c r="D2424" t="s">
        <v>27</v>
      </c>
      <c r="E2424" t="s">
        <v>32</v>
      </c>
      <c r="F2424" s="1">
        <v>42493</v>
      </c>
      <c r="G2424" s="1">
        <v>42502</v>
      </c>
      <c r="H2424" t="s">
        <v>33</v>
      </c>
      <c r="I2424">
        <v>9</v>
      </c>
      <c r="J2424" t="s">
        <v>92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1</v>
      </c>
      <c r="Q2424" t="s">
        <v>26</v>
      </c>
      <c r="R2424">
        <v>1</v>
      </c>
    </row>
    <row r="2425" spans="1:18">
      <c r="A2425" s="4">
        <v>56356200000000</v>
      </c>
      <c r="B2425" t="s">
        <v>18</v>
      </c>
      <c r="C2425">
        <v>49</v>
      </c>
      <c r="D2425" t="s">
        <v>27</v>
      </c>
      <c r="E2425" t="s">
        <v>20</v>
      </c>
      <c r="F2425" s="1">
        <v>42493</v>
      </c>
      <c r="G2425" s="1">
        <v>42503</v>
      </c>
      <c r="H2425" t="s">
        <v>21</v>
      </c>
      <c r="I2425">
        <v>10</v>
      </c>
      <c r="J2425" t="s">
        <v>92</v>
      </c>
      <c r="K2425">
        <v>0</v>
      </c>
      <c r="L2425">
        <v>1</v>
      </c>
      <c r="M2425">
        <v>0</v>
      </c>
      <c r="N2425">
        <v>0</v>
      </c>
      <c r="O2425">
        <v>0</v>
      </c>
      <c r="P2425">
        <v>0</v>
      </c>
      <c r="Q2425" t="s">
        <v>26</v>
      </c>
      <c r="R2425">
        <v>1</v>
      </c>
    </row>
    <row r="2426" spans="1:18">
      <c r="A2426" s="4">
        <v>4328330000000</v>
      </c>
      <c r="B2426" t="s">
        <v>18</v>
      </c>
      <c r="C2426">
        <v>83</v>
      </c>
      <c r="D2426" t="s">
        <v>19</v>
      </c>
      <c r="E2426" t="s">
        <v>49</v>
      </c>
      <c r="F2426" s="1">
        <v>42493</v>
      </c>
      <c r="G2426" s="1">
        <v>42503</v>
      </c>
      <c r="H2426" t="s">
        <v>21</v>
      </c>
      <c r="I2426">
        <v>10</v>
      </c>
      <c r="J2426" t="s">
        <v>92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0</v>
      </c>
      <c r="Q2426" t="s">
        <v>26</v>
      </c>
      <c r="R2426">
        <v>1</v>
      </c>
    </row>
    <row r="2427" spans="1:18">
      <c r="A2427" s="4">
        <v>4627650000000</v>
      </c>
      <c r="B2427" t="s">
        <v>18</v>
      </c>
      <c r="C2427">
        <v>61</v>
      </c>
      <c r="D2427" t="s">
        <v>35</v>
      </c>
      <c r="E2427" t="s">
        <v>47</v>
      </c>
      <c r="F2427" s="1">
        <v>42493</v>
      </c>
      <c r="G2427" s="1">
        <v>42501</v>
      </c>
      <c r="H2427" t="s">
        <v>25</v>
      </c>
      <c r="I2427">
        <v>8</v>
      </c>
      <c r="J2427" t="s">
        <v>92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1</v>
      </c>
      <c r="Q2427" t="s">
        <v>23</v>
      </c>
      <c r="R2427">
        <v>0</v>
      </c>
    </row>
    <row r="2428" spans="1:18">
      <c r="A2428" s="4">
        <v>65429600000000</v>
      </c>
      <c r="B2428" t="s">
        <v>18</v>
      </c>
      <c r="C2428">
        <v>55</v>
      </c>
      <c r="D2428" t="s">
        <v>35</v>
      </c>
      <c r="E2428" t="s">
        <v>29</v>
      </c>
      <c r="F2428" s="1">
        <v>42493</v>
      </c>
      <c r="G2428" s="1">
        <v>42522</v>
      </c>
      <c r="H2428" t="s">
        <v>25</v>
      </c>
      <c r="I2428">
        <v>29</v>
      </c>
      <c r="J2428" t="s">
        <v>77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1</v>
      </c>
      <c r="Q2428" t="s">
        <v>23</v>
      </c>
      <c r="R2428">
        <v>0</v>
      </c>
    </row>
    <row r="2429" spans="1:18">
      <c r="A2429" s="4">
        <v>1281490000000</v>
      </c>
      <c r="B2429" t="s">
        <v>18</v>
      </c>
      <c r="C2429">
        <v>46</v>
      </c>
      <c r="D2429" t="s">
        <v>27</v>
      </c>
      <c r="E2429" t="s">
        <v>39</v>
      </c>
      <c r="F2429" s="1">
        <v>42493</v>
      </c>
      <c r="G2429" s="1">
        <v>42499</v>
      </c>
      <c r="H2429" t="s">
        <v>30</v>
      </c>
      <c r="I2429">
        <v>6</v>
      </c>
      <c r="J2429" t="s">
        <v>107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23</v>
      </c>
      <c r="R2429">
        <v>0</v>
      </c>
    </row>
    <row r="2430" spans="1:18">
      <c r="A2430" s="4">
        <v>216225000000</v>
      </c>
      <c r="B2430" t="s">
        <v>28</v>
      </c>
      <c r="C2430">
        <v>49</v>
      </c>
      <c r="D2430" t="s">
        <v>27</v>
      </c>
      <c r="E2430" t="s">
        <v>71</v>
      </c>
      <c r="F2430" s="1">
        <v>42494</v>
      </c>
      <c r="G2430" s="1">
        <v>42496</v>
      </c>
      <c r="H2430" t="s">
        <v>21</v>
      </c>
      <c r="I2430">
        <v>2</v>
      </c>
      <c r="J2430" t="s">
        <v>109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26</v>
      </c>
      <c r="R2430">
        <v>1</v>
      </c>
    </row>
    <row r="2431" spans="1:18">
      <c r="A2431" s="4">
        <v>31535500000000</v>
      </c>
      <c r="B2431" t="s">
        <v>28</v>
      </c>
      <c r="C2431">
        <v>23</v>
      </c>
      <c r="D2431" t="s">
        <v>37</v>
      </c>
      <c r="E2431" t="s">
        <v>59</v>
      </c>
      <c r="F2431" s="1">
        <v>42494</v>
      </c>
      <c r="G2431" s="1">
        <v>42503</v>
      </c>
      <c r="H2431" t="s">
        <v>21</v>
      </c>
      <c r="I2431">
        <v>9</v>
      </c>
      <c r="J2431" t="s">
        <v>92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26</v>
      </c>
      <c r="R2431">
        <v>1</v>
      </c>
    </row>
    <row r="2432" spans="1:18">
      <c r="A2432" s="4">
        <v>6722980000000</v>
      </c>
      <c r="B2432" t="s">
        <v>28</v>
      </c>
      <c r="C2432">
        <v>6</v>
      </c>
      <c r="D2432" t="s">
        <v>31</v>
      </c>
      <c r="E2432" t="s">
        <v>39</v>
      </c>
      <c r="F2432" s="1">
        <v>42494</v>
      </c>
      <c r="G2432" s="1">
        <v>42494</v>
      </c>
      <c r="H2432" t="s">
        <v>25</v>
      </c>
      <c r="I2432">
        <v>0</v>
      </c>
      <c r="J2432" t="s">
        <v>111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23</v>
      </c>
      <c r="R2432">
        <v>0</v>
      </c>
    </row>
    <row r="2433" spans="1:18">
      <c r="A2433" s="4">
        <v>23352300000000</v>
      </c>
      <c r="B2433" t="s">
        <v>18</v>
      </c>
      <c r="C2433">
        <v>51</v>
      </c>
      <c r="D2433" t="s">
        <v>35</v>
      </c>
      <c r="E2433" t="s">
        <v>34</v>
      </c>
      <c r="F2433" s="1">
        <v>42494</v>
      </c>
      <c r="G2433" s="1">
        <v>42495</v>
      </c>
      <c r="H2433" t="s">
        <v>33</v>
      </c>
      <c r="I2433">
        <v>1</v>
      </c>
      <c r="J2433" t="s">
        <v>109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23</v>
      </c>
      <c r="R2433">
        <v>0</v>
      </c>
    </row>
    <row r="2434" spans="1:18">
      <c r="A2434" s="4">
        <v>298956000000000</v>
      </c>
      <c r="B2434" t="s">
        <v>18</v>
      </c>
      <c r="C2434">
        <v>68</v>
      </c>
      <c r="D2434" t="s">
        <v>19</v>
      </c>
      <c r="E2434" t="s">
        <v>47</v>
      </c>
      <c r="F2434" s="1">
        <v>42494</v>
      </c>
      <c r="G2434" s="1">
        <v>42494</v>
      </c>
      <c r="H2434" t="s">
        <v>25</v>
      </c>
      <c r="I2434">
        <v>0</v>
      </c>
      <c r="J2434" t="s">
        <v>111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26</v>
      </c>
      <c r="R2434">
        <v>1</v>
      </c>
    </row>
    <row r="2435" spans="1:18">
      <c r="A2435" s="4">
        <v>19686000000000</v>
      </c>
      <c r="B2435" t="s">
        <v>28</v>
      </c>
      <c r="C2435">
        <v>72</v>
      </c>
      <c r="D2435" t="s">
        <v>19</v>
      </c>
      <c r="E2435" t="s">
        <v>69</v>
      </c>
      <c r="F2435" s="1">
        <v>42494</v>
      </c>
      <c r="G2435" s="1">
        <v>42494</v>
      </c>
      <c r="H2435" t="s">
        <v>25</v>
      </c>
      <c r="I2435">
        <v>0</v>
      </c>
      <c r="J2435" t="s">
        <v>111</v>
      </c>
      <c r="K2435">
        <v>0</v>
      </c>
      <c r="L2435">
        <v>1</v>
      </c>
      <c r="M2435">
        <v>1</v>
      </c>
      <c r="N2435">
        <v>0</v>
      </c>
      <c r="O2435">
        <v>0</v>
      </c>
      <c r="P2435">
        <v>0</v>
      </c>
      <c r="Q2435" t="s">
        <v>23</v>
      </c>
      <c r="R2435">
        <v>0</v>
      </c>
    </row>
    <row r="2436" spans="1:18">
      <c r="A2436" s="4">
        <v>654128000000000</v>
      </c>
      <c r="B2436" t="s">
        <v>18</v>
      </c>
      <c r="C2436">
        <v>13</v>
      </c>
      <c r="D2436" t="s">
        <v>60</v>
      </c>
      <c r="E2436" t="s">
        <v>93</v>
      </c>
      <c r="F2436" s="1">
        <v>42494</v>
      </c>
      <c r="G2436" s="1">
        <v>42494</v>
      </c>
      <c r="H2436" t="s">
        <v>25</v>
      </c>
      <c r="I2436">
        <v>0</v>
      </c>
      <c r="J2436" t="s">
        <v>111</v>
      </c>
      <c r="K2436">
        <v>1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23</v>
      </c>
      <c r="R2436">
        <v>0</v>
      </c>
    </row>
    <row r="2437" spans="1:18">
      <c r="A2437" s="4">
        <v>646175000000000</v>
      </c>
      <c r="B2437" t="s">
        <v>18</v>
      </c>
      <c r="C2437">
        <v>2</v>
      </c>
      <c r="D2437" t="s">
        <v>31</v>
      </c>
      <c r="E2437" t="s">
        <v>48</v>
      </c>
      <c r="F2437" s="1">
        <v>42494</v>
      </c>
      <c r="G2437" s="1">
        <v>42494</v>
      </c>
      <c r="H2437" t="s">
        <v>25</v>
      </c>
      <c r="I2437">
        <v>0</v>
      </c>
      <c r="J2437" t="s">
        <v>111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23</v>
      </c>
      <c r="R2437">
        <v>0</v>
      </c>
    </row>
    <row r="2438" spans="1:18">
      <c r="A2438" s="4">
        <v>58797500000000</v>
      </c>
      <c r="B2438" t="s">
        <v>18</v>
      </c>
      <c r="C2438">
        <v>4</v>
      </c>
      <c r="D2438" t="s">
        <v>31</v>
      </c>
      <c r="E2438" t="s">
        <v>39</v>
      </c>
      <c r="F2438" s="1">
        <v>42494</v>
      </c>
      <c r="G2438" s="1">
        <v>42514</v>
      </c>
      <c r="H2438" t="s">
        <v>41</v>
      </c>
      <c r="I2438">
        <v>20</v>
      </c>
      <c r="J2438" t="s">
        <v>77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1</v>
      </c>
      <c r="Q2438" t="s">
        <v>23</v>
      </c>
      <c r="R2438">
        <v>0</v>
      </c>
    </row>
    <row r="2439" spans="1:18">
      <c r="A2439" s="4">
        <v>367438000000000</v>
      </c>
      <c r="B2439" t="s">
        <v>18</v>
      </c>
      <c r="C2439">
        <v>59</v>
      </c>
      <c r="D2439" t="s">
        <v>35</v>
      </c>
      <c r="E2439" t="s">
        <v>67</v>
      </c>
      <c r="F2439" s="1">
        <v>42494</v>
      </c>
      <c r="G2439" s="1">
        <v>42494</v>
      </c>
      <c r="H2439" t="s">
        <v>25</v>
      </c>
      <c r="I2439">
        <v>0</v>
      </c>
      <c r="J2439" t="s">
        <v>111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23</v>
      </c>
      <c r="R2439">
        <v>0</v>
      </c>
    </row>
    <row r="2440" spans="1:18">
      <c r="A2440" s="4">
        <v>246664000000</v>
      </c>
      <c r="B2440" t="s">
        <v>18</v>
      </c>
      <c r="C2440">
        <v>58</v>
      </c>
      <c r="D2440" t="s">
        <v>35</v>
      </c>
      <c r="E2440" t="s">
        <v>61</v>
      </c>
      <c r="F2440" s="1">
        <v>42494</v>
      </c>
      <c r="G2440" s="1">
        <v>42496</v>
      </c>
      <c r="H2440" t="s">
        <v>21</v>
      </c>
      <c r="I2440">
        <v>2</v>
      </c>
      <c r="J2440" t="s">
        <v>109</v>
      </c>
      <c r="K2440">
        <v>0</v>
      </c>
      <c r="L2440">
        <v>1</v>
      </c>
      <c r="M2440">
        <v>0</v>
      </c>
      <c r="N2440">
        <v>0</v>
      </c>
      <c r="O2440">
        <v>0</v>
      </c>
      <c r="P2440">
        <v>0</v>
      </c>
      <c r="Q2440" t="s">
        <v>23</v>
      </c>
      <c r="R2440">
        <v>0</v>
      </c>
    </row>
    <row r="2441" spans="1:18">
      <c r="A2441" s="4">
        <v>4471960000000</v>
      </c>
      <c r="B2441" t="s">
        <v>28</v>
      </c>
      <c r="C2441">
        <v>80</v>
      </c>
      <c r="D2441" t="s">
        <v>19</v>
      </c>
      <c r="E2441" t="s">
        <v>96</v>
      </c>
      <c r="F2441" s="1">
        <v>42494</v>
      </c>
      <c r="G2441" s="1">
        <v>42494</v>
      </c>
      <c r="H2441" t="s">
        <v>25</v>
      </c>
      <c r="I2441">
        <v>0</v>
      </c>
      <c r="J2441" t="s">
        <v>111</v>
      </c>
      <c r="K2441">
        <v>0</v>
      </c>
      <c r="L2441">
        <v>1</v>
      </c>
      <c r="M2441">
        <v>0</v>
      </c>
      <c r="N2441">
        <v>0</v>
      </c>
      <c r="O2441">
        <v>0</v>
      </c>
      <c r="P2441">
        <v>0</v>
      </c>
      <c r="Q2441" t="s">
        <v>23</v>
      </c>
      <c r="R2441">
        <v>0</v>
      </c>
    </row>
    <row r="2442" spans="1:18">
      <c r="A2442" s="4">
        <v>942589000000000</v>
      </c>
      <c r="B2442" t="s">
        <v>28</v>
      </c>
      <c r="C2442">
        <v>57</v>
      </c>
      <c r="D2442" t="s">
        <v>35</v>
      </c>
      <c r="E2442" t="s">
        <v>40</v>
      </c>
      <c r="F2442" s="1">
        <v>42494</v>
      </c>
      <c r="G2442" s="1">
        <v>42494</v>
      </c>
      <c r="H2442" t="s">
        <v>25</v>
      </c>
      <c r="I2442">
        <v>0</v>
      </c>
      <c r="J2442" t="s">
        <v>111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23</v>
      </c>
      <c r="R2442">
        <v>0</v>
      </c>
    </row>
    <row r="2443" spans="1:18">
      <c r="A2443" s="4">
        <v>347282000000000</v>
      </c>
      <c r="B2443" t="s">
        <v>18</v>
      </c>
      <c r="C2443">
        <v>36</v>
      </c>
      <c r="D2443" t="s">
        <v>27</v>
      </c>
      <c r="E2443" t="s">
        <v>43</v>
      </c>
      <c r="F2443" s="1">
        <v>42494</v>
      </c>
      <c r="G2443" s="1">
        <v>42494</v>
      </c>
      <c r="H2443" t="s">
        <v>25</v>
      </c>
      <c r="I2443">
        <v>0</v>
      </c>
      <c r="J2443" t="s">
        <v>111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23</v>
      </c>
      <c r="R2443">
        <v>0</v>
      </c>
    </row>
    <row r="2444" spans="1:18">
      <c r="A2444" s="4">
        <v>38831600000000</v>
      </c>
      <c r="B2444" t="s">
        <v>18</v>
      </c>
      <c r="C2444">
        <v>63</v>
      </c>
      <c r="D2444" t="s">
        <v>35</v>
      </c>
      <c r="E2444" t="s">
        <v>64</v>
      </c>
      <c r="F2444" s="1">
        <v>42494</v>
      </c>
      <c r="G2444" s="1">
        <v>42501</v>
      </c>
      <c r="H2444" t="s">
        <v>25</v>
      </c>
      <c r="I2444">
        <v>7</v>
      </c>
      <c r="J2444" t="s">
        <v>107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1</v>
      </c>
      <c r="Q2444" t="s">
        <v>23</v>
      </c>
      <c r="R2444">
        <v>0</v>
      </c>
    </row>
    <row r="2445" spans="1:18">
      <c r="A2445" s="4">
        <v>15616600000000</v>
      </c>
      <c r="B2445" t="s">
        <v>28</v>
      </c>
      <c r="C2445">
        <v>52</v>
      </c>
      <c r="D2445" t="s">
        <v>35</v>
      </c>
      <c r="E2445" t="s">
        <v>99</v>
      </c>
      <c r="F2445" s="1">
        <v>42494</v>
      </c>
      <c r="G2445" s="1">
        <v>42494</v>
      </c>
      <c r="H2445" t="s">
        <v>25</v>
      </c>
      <c r="I2445">
        <v>0</v>
      </c>
      <c r="J2445" t="s">
        <v>111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23</v>
      </c>
      <c r="R2445">
        <v>0</v>
      </c>
    </row>
    <row r="2446" spans="1:18">
      <c r="A2446" s="4">
        <v>256165000000000</v>
      </c>
      <c r="B2446" t="s">
        <v>28</v>
      </c>
      <c r="C2446">
        <v>18</v>
      </c>
      <c r="D2446" t="s">
        <v>37</v>
      </c>
      <c r="E2446" t="s">
        <v>64</v>
      </c>
      <c r="F2446" s="1">
        <v>42494</v>
      </c>
      <c r="G2446" s="1">
        <v>42501</v>
      </c>
      <c r="H2446" t="s">
        <v>25</v>
      </c>
      <c r="I2446">
        <v>7</v>
      </c>
      <c r="J2446" t="s">
        <v>107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1</v>
      </c>
      <c r="Q2446" t="s">
        <v>23</v>
      </c>
      <c r="R2446">
        <v>0</v>
      </c>
    </row>
    <row r="2447" spans="1:18">
      <c r="A2447" s="4">
        <v>694215000000</v>
      </c>
      <c r="B2447" t="s">
        <v>28</v>
      </c>
      <c r="C2447">
        <v>37</v>
      </c>
      <c r="D2447" t="s">
        <v>27</v>
      </c>
      <c r="E2447" t="s">
        <v>56</v>
      </c>
      <c r="F2447" s="1">
        <v>42494</v>
      </c>
      <c r="G2447" s="1">
        <v>42509</v>
      </c>
      <c r="H2447" t="s">
        <v>33</v>
      </c>
      <c r="I2447">
        <v>15</v>
      </c>
      <c r="J2447" t="s">
        <v>77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23</v>
      </c>
      <c r="R2447">
        <v>0</v>
      </c>
    </row>
    <row r="2448" spans="1:18">
      <c r="A2448" s="4">
        <v>1582240000000</v>
      </c>
      <c r="B2448" t="s">
        <v>18</v>
      </c>
      <c r="C2448">
        <v>53</v>
      </c>
      <c r="D2448" t="s">
        <v>35</v>
      </c>
      <c r="E2448" t="s">
        <v>64</v>
      </c>
      <c r="F2448" s="1">
        <v>42494</v>
      </c>
      <c r="G2448" s="1">
        <v>42502</v>
      </c>
      <c r="H2448" t="s">
        <v>33</v>
      </c>
      <c r="I2448">
        <v>8</v>
      </c>
      <c r="J2448" t="s">
        <v>92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1</v>
      </c>
      <c r="Q2448" t="s">
        <v>23</v>
      </c>
      <c r="R2448">
        <v>0</v>
      </c>
    </row>
    <row r="2449" spans="1:18">
      <c r="A2449" s="4">
        <v>654826000000</v>
      </c>
      <c r="B2449" t="s">
        <v>28</v>
      </c>
      <c r="C2449">
        <v>8</v>
      </c>
      <c r="D2449" t="s">
        <v>31</v>
      </c>
      <c r="E2449" t="s">
        <v>66</v>
      </c>
      <c r="F2449" s="1">
        <v>42494</v>
      </c>
      <c r="G2449" s="1">
        <v>42494</v>
      </c>
      <c r="H2449" t="s">
        <v>25</v>
      </c>
      <c r="I2449">
        <v>0</v>
      </c>
      <c r="J2449" t="s">
        <v>111</v>
      </c>
      <c r="K2449">
        <v>1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23</v>
      </c>
      <c r="R2449">
        <v>0</v>
      </c>
    </row>
    <row r="2450" spans="1:18">
      <c r="A2450" s="4">
        <v>22567800000000</v>
      </c>
      <c r="B2450" t="s">
        <v>28</v>
      </c>
      <c r="C2450">
        <v>59</v>
      </c>
      <c r="D2450" t="s">
        <v>35</v>
      </c>
      <c r="E2450" t="s">
        <v>39</v>
      </c>
      <c r="F2450" s="1">
        <v>42494</v>
      </c>
      <c r="G2450" s="1">
        <v>42496</v>
      </c>
      <c r="H2450" t="s">
        <v>21</v>
      </c>
      <c r="I2450">
        <v>2</v>
      </c>
      <c r="J2450" t="s">
        <v>109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23</v>
      </c>
      <c r="R2450">
        <v>0</v>
      </c>
    </row>
    <row r="2451" spans="1:18">
      <c r="A2451" s="4">
        <v>662282000000000</v>
      </c>
      <c r="B2451" t="s">
        <v>28</v>
      </c>
      <c r="C2451">
        <v>13</v>
      </c>
      <c r="D2451" t="s">
        <v>60</v>
      </c>
      <c r="E2451" t="s">
        <v>101</v>
      </c>
      <c r="F2451" s="1">
        <v>42494</v>
      </c>
      <c r="G2451" s="1">
        <v>42496</v>
      </c>
      <c r="H2451" t="s">
        <v>21</v>
      </c>
      <c r="I2451">
        <v>2</v>
      </c>
      <c r="J2451" t="s">
        <v>109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26</v>
      </c>
      <c r="R2451">
        <v>1</v>
      </c>
    </row>
    <row r="2452" spans="1:18">
      <c r="A2452" s="4">
        <v>4553520000000</v>
      </c>
      <c r="B2452" t="s">
        <v>28</v>
      </c>
      <c r="C2452">
        <v>46</v>
      </c>
      <c r="D2452" t="s">
        <v>27</v>
      </c>
      <c r="E2452" t="s">
        <v>20</v>
      </c>
      <c r="F2452" s="1">
        <v>42494</v>
      </c>
      <c r="G2452" s="1">
        <v>42494</v>
      </c>
      <c r="H2452" t="s">
        <v>25</v>
      </c>
      <c r="I2452">
        <v>0</v>
      </c>
      <c r="J2452" t="s">
        <v>111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23</v>
      </c>
      <c r="R2452">
        <v>0</v>
      </c>
    </row>
    <row r="2453" spans="1:18">
      <c r="A2453" s="4">
        <v>387519000000</v>
      </c>
      <c r="B2453" t="s">
        <v>28</v>
      </c>
      <c r="C2453">
        <v>51</v>
      </c>
      <c r="D2453" t="s">
        <v>35</v>
      </c>
      <c r="E2453" t="s">
        <v>59</v>
      </c>
      <c r="F2453" s="1">
        <v>42494</v>
      </c>
      <c r="G2453" s="1">
        <v>42494</v>
      </c>
      <c r="H2453" t="s">
        <v>25</v>
      </c>
      <c r="I2453">
        <v>0</v>
      </c>
      <c r="J2453" t="s">
        <v>111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23</v>
      </c>
      <c r="R2453">
        <v>0</v>
      </c>
    </row>
    <row r="2454" spans="1:18">
      <c r="A2454" s="4">
        <v>3624150000000</v>
      </c>
      <c r="B2454" t="s">
        <v>18</v>
      </c>
      <c r="C2454">
        <v>38</v>
      </c>
      <c r="D2454" t="s">
        <v>27</v>
      </c>
      <c r="E2454" t="s">
        <v>71</v>
      </c>
      <c r="F2454" s="1">
        <v>42494</v>
      </c>
      <c r="G2454" s="1">
        <v>42494</v>
      </c>
      <c r="H2454" t="s">
        <v>25</v>
      </c>
      <c r="I2454">
        <v>0</v>
      </c>
      <c r="J2454" t="s">
        <v>111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23</v>
      </c>
      <c r="R2454">
        <v>0</v>
      </c>
    </row>
    <row r="2455" spans="1:18">
      <c r="A2455" s="4">
        <v>721799000000000</v>
      </c>
      <c r="B2455" t="s">
        <v>18</v>
      </c>
      <c r="C2455">
        <v>18</v>
      </c>
      <c r="D2455" t="s">
        <v>37</v>
      </c>
      <c r="E2455" t="s">
        <v>59</v>
      </c>
      <c r="F2455" s="1">
        <v>42494</v>
      </c>
      <c r="G2455" s="1">
        <v>42494</v>
      </c>
      <c r="H2455" t="s">
        <v>25</v>
      </c>
      <c r="I2455">
        <v>0</v>
      </c>
      <c r="J2455" t="s">
        <v>111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23</v>
      </c>
      <c r="R2455">
        <v>0</v>
      </c>
    </row>
    <row r="2456" spans="1:18">
      <c r="A2456" s="4">
        <v>95321400000000</v>
      </c>
      <c r="B2456" t="s">
        <v>28</v>
      </c>
      <c r="C2456">
        <v>30</v>
      </c>
      <c r="D2456" t="s">
        <v>37</v>
      </c>
      <c r="E2456" t="s">
        <v>103</v>
      </c>
      <c r="F2456" s="1">
        <v>42494</v>
      </c>
      <c r="G2456" s="1">
        <v>42496</v>
      </c>
      <c r="H2456" t="s">
        <v>21</v>
      </c>
      <c r="I2456">
        <v>2</v>
      </c>
      <c r="J2456" t="s">
        <v>109</v>
      </c>
      <c r="K2456">
        <v>0</v>
      </c>
      <c r="L2456">
        <v>1</v>
      </c>
      <c r="M2456">
        <v>1</v>
      </c>
      <c r="N2456">
        <v>0</v>
      </c>
      <c r="O2456">
        <v>0</v>
      </c>
      <c r="P2456">
        <v>0</v>
      </c>
      <c r="Q2456" t="s">
        <v>23</v>
      </c>
      <c r="R2456">
        <v>0</v>
      </c>
    </row>
    <row r="2457" spans="1:18">
      <c r="A2457" s="4">
        <v>47368700000000</v>
      </c>
      <c r="B2457" t="s">
        <v>28</v>
      </c>
      <c r="C2457">
        <v>6</v>
      </c>
      <c r="D2457" t="s">
        <v>31</v>
      </c>
      <c r="E2457" t="s">
        <v>32</v>
      </c>
      <c r="F2457" s="1">
        <v>42494</v>
      </c>
      <c r="G2457" s="1">
        <v>42494</v>
      </c>
      <c r="H2457" t="s">
        <v>25</v>
      </c>
      <c r="I2457">
        <v>0</v>
      </c>
      <c r="J2457" t="s">
        <v>111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23</v>
      </c>
      <c r="R2457">
        <v>0</v>
      </c>
    </row>
    <row r="2458" spans="1:18">
      <c r="A2458" s="4">
        <v>478829000000000</v>
      </c>
      <c r="B2458" t="s">
        <v>18</v>
      </c>
      <c r="C2458">
        <v>55</v>
      </c>
      <c r="D2458" t="s">
        <v>35</v>
      </c>
      <c r="E2458" t="s">
        <v>68</v>
      </c>
      <c r="F2458" s="1">
        <v>42494</v>
      </c>
      <c r="G2458" s="1">
        <v>42494</v>
      </c>
      <c r="H2458" t="s">
        <v>25</v>
      </c>
      <c r="I2458">
        <v>0</v>
      </c>
      <c r="J2458" t="s">
        <v>111</v>
      </c>
      <c r="K2458">
        <v>0</v>
      </c>
      <c r="L2458">
        <v>1</v>
      </c>
      <c r="M2458">
        <v>1</v>
      </c>
      <c r="N2458">
        <v>0</v>
      </c>
      <c r="O2458">
        <v>0</v>
      </c>
      <c r="P2458">
        <v>0</v>
      </c>
      <c r="Q2458" t="s">
        <v>23</v>
      </c>
      <c r="R2458">
        <v>0</v>
      </c>
    </row>
    <row r="2459" spans="1:18">
      <c r="A2459" s="4">
        <v>373386000000000</v>
      </c>
      <c r="B2459" t="s">
        <v>18</v>
      </c>
      <c r="C2459">
        <v>53</v>
      </c>
      <c r="D2459" t="s">
        <v>35</v>
      </c>
      <c r="E2459" t="s">
        <v>39</v>
      </c>
      <c r="F2459" s="1">
        <v>42494</v>
      </c>
      <c r="G2459" s="1">
        <v>42494</v>
      </c>
      <c r="H2459" t="s">
        <v>25</v>
      </c>
      <c r="I2459">
        <v>0</v>
      </c>
      <c r="J2459" t="s">
        <v>111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23</v>
      </c>
      <c r="R2459">
        <v>0</v>
      </c>
    </row>
    <row r="2460" spans="1:18">
      <c r="A2460" s="4">
        <v>51517000000000</v>
      </c>
      <c r="B2460" t="s">
        <v>18</v>
      </c>
      <c r="C2460">
        <v>69</v>
      </c>
      <c r="D2460" t="s">
        <v>19</v>
      </c>
      <c r="E2460" t="s">
        <v>38</v>
      </c>
      <c r="F2460" s="1">
        <v>42494</v>
      </c>
      <c r="G2460" s="1">
        <v>42524</v>
      </c>
      <c r="H2460" t="s">
        <v>21</v>
      </c>
      <c r="I2460">
        <v>30</v>
      </c>
      <c r="J2460" t="s">
        <v>77</v>
      </c>
      <c r="K2460">
        <v>0</v>
      </c>
      <c r="L2460">
        <v>1</v>
      </c>
      <c r="M2460">
        <v>0</v>
      </c>
      <c r="N2460">
        <v>0</v>
      </c>
      <c r="O2460">
        <v>0</v>
      </c>
      <c r="P2460">
        <v>0</v>
      </c>
      <c r="Q2460" t="s">
        <v>23</v>
      </c>
      <c r="R2460">
        <v>0</v>
      </c>
    </row>
    <row r="2461" spans="1:18">
      <c r="A2461" s="4">
        <v>18793200000000</v>
      </c>
      <c r="B2461" t="s">
        <v>28</v>
      </c>
      <c r="C2461">
        <v>66</v>
      </c>
      <c r="D2461" t="s">
        <v>19</v>
      </c>
      <c r="E2461" t="s">
        <v>44</v>
      </c>
      <c r="F2461" s="1">
        <v>42494</v>
      </c>
      <c r="G2461" s="1">
        <v>42494</v>
      </c>
      <c r="H2461" t="s">
        <v>25</v>
      </c>
      <c r="I2461">
        <v>0</v>
      </c>
      <c r="J2461" t="s">
        <v>111</v>
      </c>
      <c r="K2461">
        <v>1</v>
      </c>
      <c r="L2461">
        <v>1</v>
      </c>
      <c r="M2461">
        <v>0</v>
      </c>
      <c r="N2461">
        <v>0</v>
      </c>
      <c r="O2461">
        <v>0</v>
      </c>
      <c r="P2461">
        <v>0</v>
      </c>
      <c r="Q2461" t="s">
        <v>23</v>
      </c>
      <c r="R2461">
        <v>0</v>
      </c>
    </row>
    <row r="2462" spans="1:18">
      <c r="A2462" s="4">
        <v>282349000000000</v>
      </c>
      <c r="B2462" t="s">
        <v>18</v>
      </c>
      <c r="C2462">
        <v>72</v>
      </c>
      <c r="D2462" t="s">
        <v>19</v>
      </c>
      <c r="E2462" t="s">
        <v>38</v>
      </c>
      <c r="F2462" s="1">
        <v>42494</v>
      </c>
      <c r="G2462" s="1">
        <v>42494</v>
      </c>
      <c r="H2462" t="s">
        <v>25</v>
      </c>
      <c r="I2462">
        <v>0</v>
      </c>
      <c r="J2462" t="s">
        <v>111</v>
      </c>
      <c r="K2462">
        <v>0</v>
      </c>
      <c r="L2462">
        <v>1</v>
      </c>
      <c r="M2462">
        <v>0</v>
      </c>
      <c r="N2462">
        <v>0</v>
      </c>
      <c r="O2462">
        <v>0</v>
      </c>
      <c r="P2462">
        <v>0</v>
      </c>
      <c r="Q2462" t="s">
        <v>26</v>
      </c>
      <c r="R2462">
        <v>1</v>
      </c>
    </row>
    <row r="2463" spans="1:18">
      <c r="A2463" s="4">
        <v>684939000000000</v>
      </c>
      <c r="B2463" t="s">
        <v>18</v>
      </c>
      <c r="C2463">
        <v>44</v>
      </c>
      <c r="D2463" t="s">
        <v>27</v>
      </c>
      <c r="E2463" t="s">
        <v>70</v>
      </c>
      <c r="F2463" s="1">
        <v>42494</v>
      </c>
      <c r="G2463" s="1">
        <v>42521</v>
      </c>
      <c r="H2463" t="s">
        <v>41</v>
      </c>
      <c r="I2463">
        <v>27</v>
      </c>
      <c r="J2463" t="s">
        <v>77</v>
      </c>
      <c r="K2463">
        <v>0</v>
      </c>
      <c r="L2463">
        <v>1</v>
      </c>
      <c r="M2463">
        <v>1</v>
      </c>
      <c r="N2463">
        <v>0</v>
      </c>
      <c r="O2463">
        <v>0</v>
      </c>
      <c r="P2463">
        <v>1</v>
      </c>
      <c r="Q2463" t="s">
        <v>23</v>
      </c>
      <c r="R2463">
        <v>0</v>
      </c>
    </row>
    <row r="2464" spans="1:18">
      <c r="A2464" s="4">
        <v>381547000000000</v>
      </c>
      <c r="B2464" t="s">
        <v>28</v>
      </c>
      <c r="C2464">
        <v>14</v>
      </c>
      <c r="D2464" t="s">
        <v>60</v>
      </c>
      <c r="E2464" t="s">
        <v>72</v>
      </c>
      <c r="F2464" s="1">
        <v>42494</v>
      </c>
      <c r="G2464" s="1">
        <v>42494</v>
      </c>
      <c r="H2464" t="s">
        <v>25</v>
      </c>
      <c r="I2464">
        <v>0</v>
      </c>
      <c r="J2464" t="s">
        <v>111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23</v>
      </c>
      <c r="R2464">
        <v>0</v>
      </c>
    </row>
    <row r="2465" spans="1:18">
      <c r="A2465" s="4">
        <v>86227900000000</v>
      </c>
      <c r="B2465" t="s">
        <v>18</v>
      </c>
      <c r="C2465">
        <v>69</v>
      </c>
      <c r="D2465" t="s">
        <v>19</v>
      </c>
      <c r="E2465" t="s">
        <v>54</v>
      </c>
      <c r="F2465" s="1">
        <v>42494</v>
      </c>
      <c r="G2465" s="1">
        <v>42494</v>
      </c>
      <c r="H2465" t="s">
        <v>25</v>
      </c>
      <c r="I2465">
        <v>0</v>
      </c>
      <c r="J2465" t="s">
        <v>111</v>
      </c>
      <c r="K2465">
        <v>0</v>
      </c>
      <c r="L2465">
        <v>1</v>
      </c>
      <c r="M2465">
        <v>0</v>
      </c>
      <c r="N2465">
        <v>0</v>
      </c>
      <c r="O2465">
        <v>0</v>
      </c>
      <c r="P2465">
        <v>0</v>
      </c>
      <c r="Q2465" t="s">
        <v>23</v>
      </c>
      <c r="R2465">
        <v>0</v>
      </c>
    </row>
    <row r="2466" spans="1:18">
      <c r="A2466" s="4">
        <v>3498910000000</v>
      </c>
      <c r="B2466" t="s">
        <v>18</v>
      </c>
      <c r="C2466">
        <v>34</v>
      </c>
      <c r="D2466" t="s">
        <v>37</v>
      </c>
      <c r="E2466" t="s">
        <v>78</v>
      </c>
      <c r="F2466" s="1">
        <v>42494</v>
      </c>
      <c r="G2466" s="1">
        <v>42494</v>
      </c>
      <c r="H2466" t="s">
        <v>25</v>
      </c>
      <c r="I2466">
        <v>0</v>
      </c>
      <c r="J2466" t="s">
        <v>111</v>
      </c>
      <c r="K2466">
        <v>1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23</v>
      </c>
      <c r="R2466">
        <v>0</v>
      </c>
    </row>
    <row r="2467" spans="1:18">
      <c r="A2467" s="4">
        <v>666742000000000</v>
      </c>
      <c r="B2467" t="s">
        <v>18</v>
      </c>
      <c r="C2467">
        <v>29</v>
      </c>
      <c r="D2467" t="s">
        <v>37</v>
      </c>
      <c r="E2467" t="s">
        <v>50</v>
      </c>
      <c r="F2467" s="1">
        <v>42494</v>
      </c>
      <c r="G2467" s="1">
        <v>42496</v>
      </c>
      <c r="H2467" t="s">
        <v>21</v>
      </c>
      <c r="I2467">
        <v>2</v>
      </c>
      <c r="J2467" t="s">
        <v>109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26</v>
      </c>
      <c r="R2467">
        <v>1</v>
      </c>
    </row>
    <row r="2468" spans="1:18">
      <c r="A2468" s="4">
        <v>2769230000000</v>
      </c>
      <c r="B2468" t="s">
        <v>18</v>
      </c>
      <c r="C2468">
        <v>7</v>
      </c>
      <c r="D2468" t="s">
        <v>31</v>
      </c>
      <c r="E2468" t="s">
        <v>59</v>
      </c>
      <c r="F2468" s="1">
        <v>42494</v>
      </c>
      <c r="G2468" s="1">
        <v>42499</v>
      </c>
      <c r="H2468" t="s">
        <v>30</v>
      </c>
      <c r="I2468">
        <v>5</v>
      </c>
      <c r="J2468" t="s">
        <v>107</v>
      </c>
      <c r="K2468">
        <v>1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26</v>
      </c>
      <c r="R2468">
        <v>1</v>
      </c>
    </row>
    <row r="2469" spans="1:18">
      <c r="A2469" s="4">
        <v>42378700000000</v>
      </c>
      <c r="B2469" t="s">
        <v>18</v>
      </c>
      <c r="C2469">
        <v>11</v>
      </c>
      <c r="D2469" t="s">
        <v>31</v>
      </c>
      <c r="E2469" t="s">
        <v>38</v>
      </c>
      <c r="F2469" s="1">
        <v>42494</v>
      </c>
      <c r="G2469" s="1">
        <v>42501</v>
      </c>
      <c r="H2469" t="s">
        <v>25</v>
      </c>
      <c r="I2469">
        <v>7</v>
      </c>
      <c r="J2469" t="s">
        <v>107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23</v>
      </c>
      <c r="R2469">
        <v>0</v>
      </c>
    </row>
    <row r="2470" spans="1:18">
      <c r="A2470" s="4">
        <v>4821290000000</v>
      </c>
      <c r="B2470" t="s">
        <v>18</v>
      </c>
      <c r="C2470">
        <v>45</v>
      </c>
      <c r="D2470" t="s">
        <v>27</v>
      </c>
      <c r="E2470" t="s">
        <v>50</v>
      </c>
      <c r="F2470" s="1">
        <v>42494</v>
      </c>
      <c r="G2470" s="1">
        <v>42507</v>
      </c>
      <c r="H2470" t="s">
        <v>41</v>
      </c>
      <c r="I2470">
        <v>13</v>
      </c>
      <c r="J2470" t="s">
        <v>92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26</v>
      </c>
      <c r="R2470">
        <v>1</v>
      </c>
    </row>
    <row r="2471" spans="1:18">
      <c r="A2471" s="4">
        <v>74459500000000</v>
      </c>
      <c r="B2471" t="s">
        <v>18</v>
      </c>
      <c r="C2471">
        <v>24</v>
      </c>
      <c r="D2471" t="s">
        <v>37</v>
      </c>
      <c r="E2471" t="s">
        <v>81</v>
      </c>
      <c r="F2471" s="1">
        <v>42494</v>
      </c>
      <c r="G2471" s="1">
        <v>42524</v>
      </c>
      <c r="H2471" t="s">
        <v>21</v>
      </c>
      <c r="I2471">
        <v>30</v>
      </c>
      <c r="J2471" t="s">
        <v>77</v>
      </c>
      <c r="K2471">
        <v>1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23</v>
      </c>
      <c r="R2471">
        <v>0</v>
      </c>
    </row>
    <row r="2472" spans="1:18">
      <c r="A2472" s="4">
        <v>73472900000000</v>
      </c>
      <c r="B2472" t="s">
        <v>28</v>
      </c>
      <c r="C2472">
        <v>36</v>
      </c>
      <c r="D2472" t="s">
        <v>27</v>
      </c>
      <c r="E2472" t="s">
        <v>50</v>
      </c>
      <c r="F2472" s="1">
        <v>42494</v>
      </c>
      <c r="G2472" s="1">
        <v>42494</v>
      </c>
      <c r="H2472" t="s">
        <v>25</v>
      </c>
      <c r="I2472">
        <v>0</v>
      </c>
      <c r="J2472" t="s">
        <v>111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23</v>
      </c>
      <c r="R2472">
        <v>0</v>
      </c>
    </row>
    <row r="2473" spans="1:18">
      <c r="A2473" s="4">
        <v>27717200000000</v>
      </c>
      <c r="B2473" t="s">
        <v>28</v>
      </c>
      <c r="C2473">
        <v>10</v>
      </c>
      <c r="D2473" t="s">
        <v>31</v>
      </c>
      <c r="E2473" t="s">
        <v>93</v>
      </c>
      <c r="F2473" s="1">
        <v>42494</v>
      </c>
      <c r="G2473" s="1">
        <v>42496</v>
      </c>
      <c r="H2473" t="s">
        <v>21</v>
      </c>
      <c r="I2473">
        <v>2</v>
      </c>
      <c r="J2473" t="s">
        <v>109</v>
      </c>
      <c r="K2473">
        <v>1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23</v>
      </c>
      <c r="R2473">
        <v>0</v>
      </c>
    </row>
    <row r="2474" spans="1:18">
      <c r="A2474" s="4">
        <v>434954000000</v>
      </c>
      <c r="B2474" t="s">
        <v>18</v>
      </c>
      <c r="C2474">
        <v>29</v>
      </c>
      <c r="D2474" t="s">
        <v>37</v>
      </c>
      <c r="E2474" t="s">
        <v>50</v>
      </c>
      <c r="F2474" s="1">
        <v>42494</v>
      </c>
      <c r="G2474" s="1">
        <v>42501</v>
      </c>
      <c r="H2474" t="s">
        <v>25</v>
      </c>
      <c r="I2474">
        <v>7</v>
      </c>
      <c r="J2474" t="s">
        <v>107</v>
      </c>
      <c r="K2474">
        <v>0</v>
      </c>
      <c r="L2474">
        <v>1</v>
      </c>
      <c r="M2474">
        <v>1</v>
      </c>
      <c r="N2474">
        <v>0</v>
      </c>
      <c r="O2474">
        <v>0</v>
      </c>
      <c r="P2474">
        <v>1</v>
      </c>
      <c r="Q2474" t="s">
        <v>23</v>
      </c>
      <c r="R2474">
        <v>0</v>
      </c>
    </row>
    <row r="2475" spans="1:18">
      <c r="A2475" s="4">
        <v>84224268133</v>
      </c>
      <c r="B2475" t="s">
        <v>18</v>
      </c>
      <c r="C2475">
        <v>41</v>
      </c>
      <c r="D2475" t="s">
        <v>27</v>
      </c>
      <c r="E2475" t="s">
        <v>42</v>
      </c>
      <c r="F2475" s="1">
        <v>42494</v>
      </c>
      <c r="G2475" s="1">
        <v>42494</v>
      </c>
      <c r="H2475" t="s">
        <v>25</v>
      </c>
      <c r="I2475">
        <v>0</v>
      </c>
      <c r="J2475" t="s">
        <v>111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23</v>
      </c>
      <c r="R2475">
        <v>0</v>
      </c>
    </row>
    <row r="2476" spans="1:18">
      <c r="A2476" s="4">
        <v>8229280000000</v>
      </c>
      <c r="B2476" t="s">
        <v>18</v>
      </c>
      <c r="C2476">
        <v>46</v>
      </c>
      <c r="D2476" t="s">
        <v>27</v>
      </c>
      <c r="E2476" t="s">
        <v>52</v>
      </c>
      <c r="F2476" s="1">
        <v>42494</v>
      </c>
      <c r="G2476" s="1">
        <v>42494</v>
      </c>
      <c r="H2476" t="s">
        <v>25</v>
      </c>
      <c r="I2476">
        <v>0</v>
      </c>
      <c r="J2476" t="s">
        <v>111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23</v>
      </c>
      <c r="R2476">
        <v>0</v>
      </c>
    </row>
    <row r="2477" spans="1:18">
      <c r="A2477" s="4">
        <v>23558600000000</v>
      </c>
      <c r="B2477" t="s">
        <v>18</v>
      </c>
      <c r="C2477">
        <v>48</v>
      </c>
      <c r="D2477" t="s">
        <v>27</v>
      </c>
      <c r="E2477" t="s">
        <v>81</v>
      </c>
      <c r="F2477" s="1">
        <v>42494</v>
      </c>
      <c r="G2477" s="1">
        <v>42495</v>
      </c>
      <c r="H2477" t="s">
        <v>33</v>
      </c>
      <c r="I2477">
        <v>1</v>
      </c>
      <c r="J2477" t="s">
        <v>109</v>
      </c>
      <c r="K2477">
        <v>1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23</v>
      </c>
      <c r="R2477">
        <v>0</v>
      </c>
    </row>
    <row r="2478" spans="1:18">
      <c r="A2478" s="4">
        <v>797499000000</v>
      </c>
      <c r="B2478" t="s">
        <v>18</v>
      </c>
      <c r="C2478">
        <v>21</v>
      </c>
      <c r="D2478" t="s">
        <v>37</v>
      </c>
      <c r="E2478" t="s">
        <v>72</v>
      </c>
      <c r="F2478" s="1">
        <v>42494</v>
      </c>
      <c r="G2478" s="1">
        <v>42509</v>
      </c>
      <c r="H2478" t="s">
        <v>33</v>
      </c>
      <c r="I2478">
        <v>15</v>
      </c>
      <c r="J2478" t="s">
        <v>77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23</v>
      </c>
      <c r="R2478">
        <v>0</v>
      </c>
    </row>
    <row r="2479" spans="1:18">
      <c r="A2479" s="4">
        <v>318479000000</v>
      </c>
      <c r="B2479" t="s">
        <v>18</v>
      </c>
      <c r="C2479">
        <v>28</v>
      </c>
      <c r="D2479" t="s">
        <v>37</v>
      </c>
      <c r="E2479" t="s">
        <v>64</v>
      </c>
      <c r="F2479" s="1">
        <v>42494</v>
      </c>
      <c r="G2479" s="1">
        <v>42494</v>
      </c>
      <c r="H2479" t="s">
        <v>25</v>
      </c>
      <c r="I2479">
        <v>0</v>
      </c>
      <c r="J2479" t="s">
        <v>111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23</v>
      </c>
      <c r="R2479">
        <v>0</v>
      </c>
    </row>
    <row r="2480" spans="1:18">
      <c r="A2480" s="4">
        <v>88270000000000</v>
      </c>
      <c r="B2480" t="s">
        <v>18</v>
      </c>
      <c r="C2480">
        <v>57</v>
      </c>
      <c r="D2480" t="s">
        <v>35</v>
      </c>
      <c r="E2480" t="s">
        <v>72</v>
      </c>
      <c r="F2480" s="1">
        <v>42494</v>
      </c>
      <c r="G2480" s="1">
        <v>42523</v>
      </c>
      <c r="H2480" t="s">
        <v>33</v>
      </c>
      <c r="I2480">
        <v>29</v>
      </c>
      <c r="J2480" t="s">
        <v>77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1</v>
      </c>
      <c r="Q2480" t="s">
        <v>23</v>
      </c>
      <c r="R2480">
        <v>0</v>
      </c>
    </row>
    <row r="2481" spans="1:18">
      <c r="A2481" s="4">
        <v>533578000000</v>
      </c>
      <c r="B2481" t="s">
        <v>18</v>
      </c>
      <c r="C2481">
        <v>31</v>
      </c>
      <c r="D2481" t="s">
        <v>37</v>
      </c>
      <c r="E2481" t="s">
        <v>38</v>
      </c>
      <c r="F2481" s="1">
        <v>42494</v>
      </c>
      <c r="G2481" s="1">
        <v>42508</v>
      </c>
      <c r="H2481" t="s">
        <v>25</v>
      </c>
      <c r="I2481">
        <v>14</v>
      </c>
      <c r="J2481" t="s">
        <v>92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23</v>
      </c>
      <c r="R2481">
        <v>0</v>
      </c>
    </row>
    <row r="2482" spans="1:18">
      <c r="A2482" s="4">
        <v>75276500000000</v>
      </c>
      <c r="B2482" t="s">
        <v>18</v>
      </c>
      <c r="C2482">
        <v>44</v>
      </c>
      <c r="D2482" t="s">
        <v>27</v>
      </c>
      <c r="E2482" t="s">
        <v>50</v>
      </c>
      <c r="F2482" s="1">
        <v>42494</v>
      </c>
      <c r="G2482" s="1">
        <v>42494</v>
      </c>
      <c r="H2482" t="s">
        <v>25</v>
      </c>
      <c r="I2482">
        <v>0</v>
      </c>
      <c r="J2482" t="s">
        <v>111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23</v>
      </c>
      <c r="R2482">
        <v>0</v>
      </c>
    </row>
    <row r="2483" spans="1:18">
      <c r="A2483" s="4">
        <v>7838390000000</v>
      </c>
      <c r="B2483" t="s">
        <v>18</v>
      </c>
      <c r="C2483">
        <v>19</v>
      </c>
      <c r="D2483" t="s">
        <v>37</v>
      </c>
      <c r="E2483" t="s">
        <v>59</v>
      </c>
      <c r="F2483" s="1">
        <v>42494</v>
      </c>
      <c r="G2483" s="1">
        <v>42494</v>
      </c>
      <c r="H2483" t="s">
        <v>25</v>
      </c>
      <c r="I2483">
        <v>0</v>
      </c>
      <c r="J2483" t="s">
        <v>111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23</v>
      </c>
      <c r="R2483">
        <v>0</v>
      </c>
    </row>
    <row r="2484" spans="1:18">
      <c r="A2484" s="4">
        <v>8696612447</v>
      </c>
      <c r="B2484" t="s">
        <v>18</v>
      </c>
      <c r="C2484">
        <v>34</v>
      </c>
      <c r="D2484" t="s">
        <v>37</v>
      </c>
      <c r="E2484" t="s">
        <v>97</v>
      </c>
      <c r="F2484" s="1">
        <v>42494</v>
      </c>
      <c r="G2484" s="1">
        <v>42508</v>
      </c>
      <c r="H2484" t="s">
        <v>25</v>
      </c>
      <c r="I2484">
        <v>14</v>
      </c>
      <c r="J2484" t="s">
        <v>92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26</v>
      </c>
      <c r="R2484">
        <v>1</v>
      </c>
    </row>
    <row r="2485" spans="1:18">
      <c r="A2485" s="4">
        <v>294843000000000</v>
      </c>
      <c r="B2485" t="s">
        <v>18</v>
      </c>
      <c r="C2485">
        <v>50</v>
      </c>
      <c r="D2485" t="s">
        <v>27</v>
      </c>
      <c r="E2485" t="s">
        <v>39</v>
      </c>
      <c r="F2485" s="1">
        <v>42494</v>
      </c>
      <c r="G2485" s="1">
        <v>42503</v>
      </c>
      <c r="H2485" t="s">
        <v>21</v>
      </c>
      <c r="I2485">
        <v>9</v>
      </c>
      <c r="J2485" t="s">
        <v>92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23</v>
      </c>
      <c r="R2485">
        <v>0</v>
      </c>
    </row>
    <row r="2486" spans="1:18">
      <c r="A2486" s="4">
        <v>11923700000000</v>
      </c>
      <c r="B2486" t="s">
        <v>28</v>
      </c>
      <c r="C2486">
        <v>2</v>
      </c>
      <c r="D2486" t="s">
        <v>31</v>
      </c>
      <c r="E2486" t="s">
        <v>40</v>
      </c>
      <c r="F2486" s="1">
        <v>42494</v>
      </c>
      <c r="G2486" s="1">
        <v>42494</v>
      </c>
      <c r="H2486" t="s">
        <v>25</v>
      </c>
      <c r="I2486">
        <v>0</v>
      </c>
      <c r="J2486" t="s">
        <v>111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23</v>
      </c>
      <c r="R2486">
        <v>0</v>
      </c>
    </row>
    <row r="2487" spans="1:18">
      <c r="A2487" s="4">
        <v>857246000000000</v>
      </c>
      <c r="B2487" t="s">
        <v>18</v>
      </c>
      <c r="C2487">
        <v>13</v>
      </c>
      <c r="D2487" t="s">
        <v>60</v>
      </c>
      <c r="E2487" t="s">
        <v>56</v>
      </c>
      <c r="F2487" s="1">
        <v>42494</v>
      </c>
      <c r="G2487" s="1">
        <v>42508</v>
      </c>
      <c r="H2487" t="s">
        <v>25</v>
      </c>
      <c r="I2487">
        <v>14</v>
      </c>
      <c r="J2487" t="s">
        <v>92</v>
      </c>
      <c r="K2487">
        <v>1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23</v>
      </c>
      <c r="R2487">
        <v>0</v>
      </c>
    </row>
    <row r="2488" spans="1:18">
      <c r="A2488" s="4">
        <v>69387000000000</v>
      </c>
      <c r="B2488" t="s">
        <v>18</v>
      </c>
      <c r="C2488">
        <v>51</v>
      </c>
      <c r="D2488" t="s">
        <v>35</v>
      </c>
      <c r="E2488" t="s">
        <v>68</v>
      </c>
      <c r="F2488" s="1">
        <v>42494</v>
      </c>
      <c r="G2488" s="1">
        <v>42494</v>
      </c>
      <c r="H2488" t="s">
        <v>25</v>
      </c>
      <c r="I2488">
        <v>0</v>
      </c>
      <c r="J2488" t="s">
        <v>111</v>
      </c>
      <c r="K2488">
        <v>1</v>
      </c>
      <c r="L2488">
        <v>1</v>
      </c>
      <c r="M2488">
        <v>0</v>
      </c>
      <c r="N2488">
        <v>0</v>
      </c>
      <c r="O2488">
        <v>0</v>
      </c>
      <c r="P2488">
        <v>0</v>
      </c>
      <c r="Q2488" t="s">
        <v>23</v>
      </c>
      <c r="R2488">
        <v>0</v>
      </c>
    </row>
    <row r="2489" spans="1:18">
      <c r="A2489" s="4">
        <v>26435900000000</v>
      </c>
      <c r="B2489" t="s">
        <v>28</v>
      </c>
      <c r="C2489">
        <v>74</v>
      </c>
      <c r="D2489" t="s">
        <v>19</v>
      </c>
      <c r="E2489" t="s">
        <v>51</v>
      </c>
      <c r="F2489" s="1">
        <v>42494</v>
      </c>
      <c r="G2489" s="1">
        <v>42494</v>
      </c>
      <c r="H2489" t="s">
        <v>25</v>
      </c>
      <c r="I2489">
        <v>0</v>
      </c>
      <c r="J2489" t="s">
        <v>111</v>
      </c>
      <c r="K2489">
        <v>0</v>
      </c>
      <c r="L2489">
        <v>1</v>
      </c>
      <c r="M2489">
        <v>0</v>
      </c>
      <c r="N2489">
        <v>0</v>
      </c>
      <c r="O2489">
        <v>0</v>
      </c>
      <c r="P2489">
        <v>0</v>
      </c>
      <c r="Q2489" t="s">
        <v>23</v>
      </c>
      <c r="R2489">
        <v>0</v>
      </c>
    </row>
    <row r="2490" spans="1:18">
      <c r="A2490" s="4">
        <v>3246670000000</v>
      </c>
      <c r="B2490" t="s">
        <v>18</v>
      </c>
      <c r="C2490">
        <v>10</v>
      </c>
      <c r="D2490" t="s">
        <v>31</v>
      </c>
      <c r="E2490" t="s">
        <v>45</v>
      </c>
      <c r="F2490" s="1">
        <v>42494</v>
      </c>
      <c r="G2490" s="1">
        <v>42529</v>
      </c>
      <c r="H2490" t="s">
        <v>25</v>
      </c>
      <c r="I2490">
        <v>35</v>
      </c>
      <c r="J2490" t="s">
        <v>22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1</v>
      </c>
      <c r="Q2490" t="s">
        <v>23</v>
      </c>
      <c r="R2490">
        <v>0</v>
      </c>
    </row>
    <row r="2491" spans="1:18">
      <c r="A2491" s="4">
        <v>188232000000000</v>
      </c>
      <c r="B2491" t="s">
        <v>28</v>
      </c>
      <c r="C2491">
        <v>45</v>
      </c>
      <c r="D2491" t="s">
        <v>27</v>
      </c>
      <c r="E2491" t="s">
        <v>67</v>
      </c>
      <c r="F2491" s="1">
        <v>42494</v>
      </c>
      <c r="G2491" s="1">
        <v>42494</v>
      </c>
      <c r="H2491" t="s">
        <v>25</v>
      </c>
      <c r="I2491">
        <v>0</v>
      </c>
      <c r="J2491" t="s">
        <v>111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23</v>
      </c>
      <c r="R2491">
        <v>0</v>
      </c>
    </row>
    <row r="2492" spans="1:18">
      <c r="A2492" s="4">
        <v>12948400000000</v>
      </c>
      <c r="B2492" t="s">
        <v>28</v>
      </c>
      <c r="C2492">
        <v>7</v>
      </c>
      <c r="D2492" t="s">
        <v>31</v>
      </c>
      <c r="E2492" t="s">
        <v>66</v>
      </c>
      <c r="F2492" s="1">
        <v>42494</v>
      </c>
      <c r="G2492" s="1">
        <v>42494</v>
      </c>
      <c r="H2492" t="s">
        <v>25</v>
      </c>
      <c r="I2492">
        <v>0</v>
      </c>
      <c r="J2492" t="s">
        <v>111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23</v>
      </c>
      <c r="R2492">
        <v>0</v>
      </c>
    </row>
    <row r="2493" spans="1:18">
      <c r="A2493" s="4">
        <v>88213500000000</v>
      </c>
      <c r="B2493" t="s">
        <v>28</v>
      </c>
      <c r="C2493">
        <v>82</v>
      </c>
      <c r="D2493" t="s">
        <v>19</v>
      </c>
      <c r="E2493" t="s">
        <v>38</v>
      </c>
      <c r="F2493" s="1">
        <v>42494</v>
      </c>
      <c r="G2493" s="1">
        <v>42506</v>
      </c>
      <c r="H2493" t="s">
        <v>30</v>
      </c>
      <c r="I2493">
        <v>12</v>
      </c>
      <c r="J2493" t="s">
        <v>92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23</v>
      </c>
      <c r="R2493">
        <v>0</v>
      </c>
    </row>
    <row r="2494" spans="1:18">
      <c r="A2494" s="4">
        <v>7991980000000</v>
      </c>
      <c r="B2494" t="s">
        <v>18</v>
      </c>
      <c r="C2494">
        <v>12</v>
      </c>
      <c r="D2494" t="s">
        <v>31</v>
      </c>
      <c r="E2494" t="s">
        <v>80</v>
      </c>
      <c r="F2494" s="1">
        <v>42494</v>
      </c>
      <c r="G2494" s="1">
        <v>42494</v>
      </c>
      <c r="H2494" t="s">
        <v>25</v>
      </c>
      <c r="I2494">
        <v>0</v>
      </c>
      <c r="J2494" t="s">
        <v>111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23</v>
      </c>
      <c r="R2494">
        <v>0</v>
      </c>
    </row>
    <row r="2495" spans="1:18">
      <c r="A2495" s="4">
        <v>19216300000000</v>
      </c>
      <c r="B2495" t="s">
        <v>28</v>
      </c>
      <c r="C2495">
        <v>4</v>
      </c>
      <c r="D2495" t="s">
        <v>31</v>
      </c>
      <c r="E2495" t="s">
        <v>45</v>
      </c>
      <c r="F2495" s="1">
        <v>42494</v>
      </c>
      <c r="G2495" s="1">
        <v>42506</v>
      </c>
      <c r="H2495" t="s">
        <v>30</v>
      </c>
      <c r="I2495">
        <v>12</v>
      </c>
      <c r="J2495" t="s">
        <v>92</v>
      </c>
      <c r="K2495">
        <v>0</v>
      </c>
      <c r="L2495">
        <v>0</v>
      </c>
      <c r="M2495">
        <v>0</v>
      </c>
      <c r="N2495">
        <v>0</v>
      </c>
      <c r="O2495">
        <v>1</v>
      </c>
      <c r="P2495">
        <v>0</v>
      </c>
      <c r="Q2495" t="s">
        <v>26</v>
      </c>
      <c r="R2495">
        <v>1</v>
      </c>
    </row>
    <row r="2496" spans="1:18">
      <c r="A2496" s="4">
        <v>243482000000000</v>
      </c>
      <c r="B2496" t="s">
        <v>18</v>
      </c>
      <c r="C2496">
        <v>5</v>
      </c>
      <c r="D2496" t="s">
        <v>31</v>
      </c>
      <c r="E2496" t="s">
        <v>59</v>
      </c>
      <c r="F2496" s="1">
        <v>42494</v>
      </c>
      <c r="G2496" s="1">
        <v>42509</v>
      </c>
      <c r="H2496" t="s">
        <v>33</v>
      </c>
      <c r="I2496">
        <v>15</v>
      </c>
      <c r="J2496" t="s">
        <v>77</v>
      </c>
      <c r="K2496">
        <v>1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23</v>
      </c>
      <c r="R2496">
        <v>0</v>
      </c>
    </row>
    <row r="2497" spans="1:18">
      <c r="A2497" s="4">
        <v>189248000000000</v>
      </c>
      <c r="B2497" t="s">
        <v>18</v>
      </c>
      <c r="C2497">
        <v>46</v>
      </c>
      <c r="D2497" t="s">
        <v>27</v>
      </c>
      <c r="E2497" t="s">
        <v>64</v>
      </c>
      <c r="F2497" s="1">
        <v>42494</v>
      </c>
      <c r="G2497" s="1">
        <v>42494</v>
      </c>
      <c r="H2497" t="s">
        <v>25</v>
      </c>
      <c r="I2497">
        <v>0</v>
      </c>
      <c r="J2497" t="s">
        <v>111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23</v>
      </c>
      <c r="R2497">
        <v>0</v>
      </c>
    </row>
    <row r="2498" spans="1:18">
      <c r="A2498" s="4">
        <v>76612100000000</v>
      </c>
      <c r="B2498" t="s">
        <v>18</v>
      </c>
      <c r="C2498">
        <v>50</v>
      </c>
      <c r="D2498" t="s">
        <v>27</v>
      </c>
      <c r="E2498" t="s">
        <v>36</v>
      </c>
      <c r="F2498" s="1">
        <v>42494</v>
      </c>
      <c r="G2498" s="1">
        <v>42494</v>
      </c>
      <c r="H2498" t="s">
        <v>25</v>
      </c>
      <c r="I2498">
        <v>0</v>
      </c>
      <c r="J2498" t="s">
        <v>111</v>
      </c>
      <c r="K2498">
        <v>0</v>
      </c>
      <c r="L2498">
        <v>1</v>
      </c>
      <c r="M2498">
        <v>0</v>
      </c>
      <c r="N2498">
        <v>0</v>
      </c>
      <c r="O2498">
        <v>0</v>
      </c>
      <c r="P2498">
        <v>0</v>
      </c>
      <c r="Q2498" t="s">
        <v>23</v>
      </c>
      <c r="R2498">
        <v>0</v>
      </c>
    </row>
    <row r="2499" spans="1:18">
      <c r="A2499" s="4">
        <v>6578330000000</v>
      </c>
      <c r="B2499" t="s">
        <v>18</v>
      </c>
      <c r="C2499">
        <v>2</v>
      </c>
      <c r="D2499" t="s">
        <v>31</v>
      </c>
      <c r="E2499" t="s">
        <v>66</v>
      </c>
      <c r="F2499" s="1">
        <v>42494</v>
      </c>
      <c r="G2499" s="1">
        <v>42494</v>
      </c>
      <c r="H2499" t="s">
        <v>25</v>
      </c>
      <c r="I2499">
        <v>0</v>
      </c>
      <c r="J2499" t="s">
        <v>111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23</v>
      </c>
      <c r="R2499">
        <v>0</v>
      </c>
    </row>
    <row r="2500" spans="1:18">
      <c r="A2500" s="4">
        <v>61932900000000</v>
      </c>
      <c r="B2500" t="s">
        <v>18</v>
      </c>
      <c r="C2500">
        <v>21</v>
      </c>
      <c r="D2500" t="s">
        <v>37</v>
      </c>
      <c r="E2500" t="s">
        <v>75</v>
      </c>
      <c r="F2500" s="1">
        <v>42494</v>
      </c>
      <c r="G2500" s="1">
        <v>42494</v>
      </c>
      <c r="H2500" t="s">
        <v>25</v>
      </c>
      <c r="I2500">
        <v>0</v>
      </c>
      <c r="J2500" t="s">
        <v>111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23</v>
      </c>
      <c r="R2500">
        <v>0</v>
      </c>
    </row>
    <row r="2501" spans="1:18">
      <c r="A2501" s="4">
        <v>998813000000000</v>
      </c>
      <c r="B2501" t="s">
        <v>28</v>
      </c>
      <c r="C2501">
        <v>1</v>
      </c>
      <c r="D2501" t="s">
        <v>31</v>
      </c>
      <c r="E2501" t="s">
        <v>50</v>
      </c>
      <c r="F2501" s="1">
        <v>42494</v>
      </c>
      <c r="G2501" s="1">
        <v>42506</v>
      </c>
      <c r="H2501" t="s">
        <v>30</v>
      </c>
      <c r="I2501">
        <v>12</v>
      </c>
      <c r="J2501" t="s">
        <v>92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26</v>
      </c>
      <c r="R2501">
        <v>1</v>
      </c>
    </row>
    <row r="2502" spans="1:18">
      <c r="A2502" s="4">
        <v>64732200000000</v>
      </c>
      <c r="B2502" t="s">
        <v>18</v>
      </c>
      <c r="C2502">
        <v>68</v>
      </c>
      <c r="D2502" t="s">
        <v>19</v>
      </c>
      <c r="E2502" t="s">
        <v>73</v>
      </c>
      <c r="F2502" s="1">
        <v>42494</v>
      </c>
      <c r="G2502" s="1">
        <v>42501</v>
      </c>
      <c r="H2502" t="s">
        <v>25</v>
      </c>
      <c r="I2502">
        <v>7</v>
      </c>
      <c r="J2502" t="s">
        <v>107</v>
      </c>
      <c r="K2502">
        <v>0</v>
      </c>
      <c r="L2502">
        <v>1</v>
      </c>
      <c r="M2502">
        <v>0</v>
      </c>
      <c r="N2502">
        <v>0</v>
      </c>
      <c r="O2502">
        <v>0</v>
      </c>
      <c r="P2502">
        <v>1</v>
      </c>
      <c r="Q2502" t="s">
        <v>23</v>
      </c>
      <c r="R2502">
        <v>0</v>
      </c>
    </row>
    <row r="2503" spans="1:18">
      <c r="A2503" s="4">
        <v>19345600000000</v>
      </c>
      <c r="B2503" t="s">
        <v>18</v>
      </c>
      <c r="C2503">
        <v>33</v>
      </c>
      <c r="D2503" t="s">
        <v>37</v>
      </c>
      <c r="E2503" t="s">
        <v>67</v>
      </c>
      <c r="F2503" s="1">
        <v>42494</v>
      </c>
      <c r="G2503" s="1">
        <v>42514</v>
      </c>
      <c r="H2503" t="s">
        <v>41</v>
      </c>
      <c r="I2503">
        <v>20</v>
      </c>
      <c r="J2503" t="s">
        <v>77</v>
      </c>
      <c r="K2503">
        <v>1</v>
      </c>
      <c r="L2503">
        <v>0</v>
      </c>
      <c r="M2503">
        <v>0</v>
      </c>
      <c r="N2503">
        <v>0</v>
      </c>
      <c r="O2503">
        <v>0</v>
      </c>
      <c r="P2503">
        <v>1</v>
      </c>
      <c r="Q2503" t="s">
        <v>23</v>
      </c>
      <c r="R2503">
        <v>0</v>
      </c>
    </row>
    <row r="2504" spans="1:18">
      <c r="A2504" s="4">
        <v>185156000000000</v>
      </c>
      <c r="B2504" t="s">
        <v>18</v>
      </c>
      <c r="C2504">
        <v>11</v>
      </c>
      <c r="D2504" t="s">
        <v>31</v>
      </c>
      <c r="E2504" t="s">
        <v>43</v>
      </c>
      <c r="F2504" s="1">
        <v>42494</v>
      </c>
      <c r="G2504" s="1">
        <v>42494</v>
      </c>
      <c r="H2504" t="s">
        <v>25</v>
      </c>
      <c r="I2504">
        <v>0</v>
      </c>
      <c r="J2504" t="s">
        <v>111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26</v>
      </c>
      <c r="R2504">
        <v>1</v>
      </c>
    </row>
    <row r="2505" spans="1:18">
      <c r="A2505" s="4">
        <v>926785000000000</v>
      </c>
      <c r="B2505" t="s">
        <v>18</v>
      </c>
      <c r="C2505">
        <v>61</v>
      </c>
      <c r="D2505" t="s">
        <v>35</v>
      </c>
      <c r="E2505" t="s">
        <v>72</v>
      </c>
      <c r="F2505" s="1">
        <v>42494</v>
      </c>
      <c r="G2505" s="1">
        <v>42496</v>
      </c>
      <c r="H2505" t="s">
        <v>21</v>
      </c>
      <c r="I2505">
        <v>2</v>
      </c>
      <c r="J2505" t="s">
        <v>109</v>
      </c>
      <c r="K2505">
        <v>0</v>
      </c>
      <c r="L2505">
        <v>1</v>
      </c>
      <c r="M2505">
        <v>0</v>
      </c>
      <c r="N2505">
        <v>0</v>
      </c>
      <c r="O2505">
        <v>0</v>
      </c>
      <c r="P2505">
        <v>0</v>
      </c>
      <c r="Q2505" t="s">
        <v>23</v>
      </c>
      <c r="R2505">
        <v>0</v>
      </c>
    </row>
    <row r="2506" spans="1:18">
      <c r="A2506" s="4">
        <v>943144000000</v>
      </c>
      <c r="B2506" t="s">
        <v>18</v>
      </c>
      <c r="C2506">
        <v>51</v>
      </c>
      <c r="D2506" t="s">
        <v>35</v>
      </c>
      <c r="E2506" t="s">
        <v>67</v>
      </c>
      <c r="F2506" s="1">
        <v>42494</v>
      </c>
      <c r="G2506" s="1">
        <v>42494</v>
      </c>
      <c r="H2506" t="s">
        <v>25</v>
      </c>
      <c r="I2506">
        <v>0</v>
      </c>
      <c r="J2506" t="s">
        <v>111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23</v>
      </c>
      <c r="R2506">
        <v>0</v>
      </c>
    </row>
    <row r="2507" spans="1:18">
      <c r="A2507" s="4">
        <v>2444830000000</v>
      </c>
      <c r="B2507" t="s">
        <v>28</v>
      </c>
      <c r="C2507">
        <v>0</v>
      </c>
      <c r="D2507" t="s">
        <v>31</v>
      </c>
      <c r="E2507" t="s">
        <v>61</v>
      </c>
      <c r="F2507" s="1">
        <v>42494</v>
      </c>
      <c r="G2507" s="1">
        <v>42515</v>
      </c>
      <c r="H2507" t="s">
        <v>25</v>
      </c>
      <c r="I2507">
        <v>21</v>
      </c>
      <c r="J2507" t="s">
        <v>77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26</v>
      </c>
      <c r="R2507">
        <v>1</v>
      </c>
    </row>
    <row r="2508" spans="1:18">
      <c r="A2508" s="4">
        <v>5123250000000</v>
      </c>
      <c r="B2508" t="s">
        <v>28</v>
      </c>
      <c r="C2508">
        <v>15</v>
      </c>
      <c r="D2508" t="s">
        <v>60</v>
      </c>
      <c r="E2508" t="s">
        <v>59</v>
      </c>
      <c r="F2508" s="1">
        <v>42494</v>
      </c>
      <c r="G2508" s="1">
        <v>42507</v>
      </c>
      <c r="H2508" t="s">
        <v>41</v>
      </c>
      <c r="I2508">
        <v>13</v>
      </c>
      <c r="J2508" t="s">
        <v>92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26</v>
      </c>
      <c r="R2508">
        <v>1</v>
      </c>
    </row>
    <row r="2509" spans="1:18">
      <c r="A2509" s="4">
        <v>797855000000000</v>
      </c>
      <c r="B2509" t="s">
        <v>18</v>
      </c>
      <c r="C2509">
        <v>26</v>
      </c>
      <c r="D2509" t="s">
        <v>37</v>
      </c>
      <c r="E2509" t="s">
        <v>45</v>
      </c>
      <c r="F2509" s="1">
        <v>42494</v>
      </c>
      <c r="G2509" s="1">
        <v>42520</v>
      </c>
      <c r="H2509" t="s">
        <v>30</v>
      </c>
      <c r="I2509">
        <v>26</v>
      </c>
      <c r="J2509" t="s">
        <v>77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26</v>
      </c>
      <c r="R2509">
        <v>1</v>
      </c>
    </row>
    <row r="2510" spans="1:18">
      <c r="A2510" s="4">
        <v>6368410000000</v>
      </c>
      <c r="B2510" t="s">
        <v>18</v>
      </c>
      <c r="C2510">
        <v>52</v>
      </c>
      <c r="D2510" t="s">
        <v>35</v>
      </c>
      <c r="E2510" t="s">
        <v>34</v>
      </c>
      <c r="F2510" s="1">
        <v>42494</v>
      </c>
      <c r="G2510" s="1">
        <v>42495</v>
      </c>
      <c r="H2510" t="s">
        <v>33</v>
      </c>
      <c r="I2510">
        <v>1</v>
      </c>
      <c r="J2510" t="s">
        <v>109</v>
      </c>
      <c r="K2510">
        <v>0</v>
      </c>
      <c r="L2510">
        <v>1</v>
      </c>
      <c r="M2510">
        <v>0</v>
      </c>
      <c r="N2510">
        <v>0</v>
      </c>
      <c r="O2510">
        <v>1</v>
      </c>
      <c r="P2510">
        <v>0</v>
      </c>
      <c r="Q2510" t="s">
        <v>23</v>
      </c>
      <c r="R2510">
        <v>0</v>
      </c>
    </row>
    <row r="2511" spans="1:18">
      <c r="A2511" s="4">
        <v>8449150000000</v>
      </c>
      <c r="B2511" t="s">
        <v>18</v>
      </c>
      <c r="C2511">
        <v>33</v>
      </c>
      <c r="D2511" t="s">
        <v>37</v>
      </c>
      <c r="E2511" t="s">
        <v>105</v>
      </c>
      <c r="F2511" s="1">
        <v>42494</v>
      </c>
      <c r="G2511" s="1">
        <v>42502</v>
      </c>
      <c r="H2511" t="s">
        <v>33</v>
      </c>
      <c r="I2511">
        <v>8</v>
      </c>
      <c r="J2511" t="s">
        <v>92</v>
      </c>
      <c r="K2511">
        <v>1</v>
      </c>
      <c r="L2511">
        <v>0</v>
      </c>
      <c r="M2511">
        <v>0</v>
      </c>
      <c r="N2511">
        <v>0</v>
      </c>
      <c r="O2511">
        <v>0</v>
      </c>
      <c r="P2511">
        <v>1</v>
      </c>
      <c r="Q2511" t="s">
        <v>23</v>
      </c>
      <c r="R2511">
        <v>0</v>
      </c>
    </row>
    <row r="2512" spans="1:18">
      <c r="A2512" s="4">
        <v>123451000000000</v>
      </c>
      <c r="B2512" t="s">
        <v>18</v>
      </c>
      <c r="C2512">
        <v>32</v>
      </c>
      <c r="D2512" t="s">
        <v>37</v>
      </c>
      <c r="E2512" t="s">
        <v>86</v>
      </c>
      <c r="F2512" s="1">
        <v>42494</v>
      </c>
      <c r="G2512" s="1">
        <v>42503</v>
      </c>
      <c r="H2512" t="s">
        <v>21</v>
      </c>
      <c r="I2512">
        <v>9</v>
      </c>
      <c r="J2512" t="s">
        <v>92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26</v>
      </c>
      <c r="R2512">
        <v>1</v>
      </c>
    </row>
    <row r="2513" spans="1:18">
      <c r="A2513" s="4">
        <v>134721000000000</v>
      </c>
      <c r="B2513" t="s">
        <v>18</v>
      </c>
      <c r="C2513">
        <v>55</v>
      </c>
      <c r="D2513" t="s">
        <v>35</v>
      </c>
      <c r="E2513" t="s">
        <v>44</v>
      </c>
      <c r="F2513" s="1">
        <v>42494</v>
      </c>
      <c r="G2513" s="1">
        <v>42494</v>
      </c>
      <c r="H2513" t="s">
        <v>25</v>
      </c>
      <c r="I2513">
        <v>0</v>
      </c>
      <c r="J2513" t="s">
        <v>111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23</v>
      </c>
      <c r="R2513">
        <v>0</v>
      </c>
    </row>
    <row r="2514" spans="1:18">
      <c r="A2514" s="4">
        <v>375786000000000</v>
      </c>
      <c r="B2514" t="s">
        <v>18</v>
      </c>
      <c r="C2514">
        <v>23</v>
      </c>
      <c r="D2514" t="s">
        <v>37</v>
      </c>
      <c r="E2514" t="s">
        <v>78</v>
      </c>
      <c r="F2514" s="1">
        <v>42494</v>
      </c>
      <c r="G2514" s="1">
        <v>42496</v>
      </c>
      <c r="H2514" t="s">
        <v>21</v>
      </c>
      <c r="I2514">
        <v>2</v>
      </c>
      <c r="J2514" t="s">
        <v>109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23</v>
      </c>
      <c r="R2514">
        <v>0</v>
      </c>
    </row>
    <row r="2515" spans="1:18">
      <c r="A2515" s="4">
        <v>5882840000000</v>
      </c>
      <c r="B2515" t="s">
        <v>28</v>
      </c>
      <c r="C2515">
        <v>11</v>
      </c>
      <c r="D2515" t="s">
        <v>31</v>
      </c>
      <c r="E2515" t="s">
        <v>38</v>
      </c>
      <c r="F2515" s="1">
        <v>42494</v>
      </c>
      <c r="G2515" s="1">
        <v>42507</v>
      </c>
      <c r="H2515" t="s">
        <v>41</v>
      </c>
      <c r="I2515">
        <v>13</v>
      </c>
      <c r="J2515" t="s">
        <v>92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23</v>
      </c>
      <c r="R2515">
        <v>0</v>
      </c>
    </row>
    <row r="2516" spans="1:18">
      <c r="A2516" s="4">
        <v>46682500000000</v>
      </c>
      <c r="B2516" t="s">
        <v>28</v>
      </c>
      <c r="C2516">
        <v>51</v>
      </c>
      <c r="D2516" t="s">
        <v>35</v>
      </c>
      <c r="E2516" t="s">
        <v>43</v>
      </c>
      <c r="F2516" s="1">
        <v>42494</v>
      </c>
      <c r="G2516" s="1">
        <v>42494</v>
      </c>
      <c r="H2516" t="s">
        <v>25</v>
      </c>
      <c r="I2516">
        <v>0</v>
      </c>
      <c r="J2516" t="s">
        <v>111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23</v>
      </c>
      <c r="R2516">
        <v>0</v>
      </c>
    </row>
    <row r="2517" spans="1:18">
      <c r="A2517" s="4">
        <v>19677700000000</v>
      </c>
      <c r="B2517" t="s">
        <v>18</v>
      </c>
      <c r="C2517">
        <v>21</v>
      </c>
      <c r="D2517" t="s">
        <v>37</v>
      </c>
      <c r="E2517" t="s">
        <v>38</v>
      </c>
      <c r="F2517" s="1">
        <v>42494</v>
      </c>
      <c r="G2517" s="1">
        <v>42494</v>
      </c>
      <c r="H2517" t="s">
        <v>25</v>
      </c>
      <c r="I2517">
        <v>0</v>
      </c>
      <c r="J2517" t="s">
        <v>111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23</v>
      </c>
      <c r="R2517">
        <v>0</v>
      </c>
    </row>
    <row r="2518" spans="1:18">
      <c r="A2518" s="4">
        <v>36556500000000</v>
      </c>
      <c r="B2518" t="s">
        <v>28</v>
      </c>
      <c r="C2518">
        <v>18</v>
      </c>
      <c r="D2518" t="s">
        <v>37</v>
      </c>
      <c r="E2518" t="s">
        <v>56</v>
      </c>
      <c r="F2518" s="1">
        <v>42494</v>
      </c>
      <c r="G2518" s="1">
        <v>42495</v>
      </c>
      <c r="H2518" t="s">
        <v>33</v>
      </c>
      <c r="I2518">
        <v>1</v>
      </c>
      <c r="J2518" t="s">
        <v>109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26</v>
      </c>
      <c r="R2518">
        <v>1</v>
      </c>
    </row>
    <row r="2519" spans="1:18">
      <c r="A2519" s="4">
        <v>4644120000000</v>
      </c>
      <c r="B2519" t="s">
        <v>28</v>
      </c>
      <c r="C2519">
        <v>27</v>
      </c>
      <c r="D2519" t="s">
        <v>37</v>
      </c>
      <c r="E2519" t="s">
        <v>59</v>
      </c>
      <c r="F2519" s="1">
        <v>42494</v>
      </c>
      <c r="G2519" s="1">
        <v>42494</v>
      </c>
      <c r="H2519" t="s">
        <v>25</v>
      </c>
      <c r="I2519">
        <v>0</v>
      </c>
      <c r="J2519" t="s">
        <v>111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23</v>
      </c>
      <c r="R2519">
        <v>0</v>
      </c>
    </row>
    <row r="2520" spans="1:18">
      <c r="A2520" s="4">
        <v>142389000000000</v>
      </c>
      <c r="B2520" t="s">
        <v>18</v>
      </c>
      <c r="C2520">
        <v>67</v>
      </c>
      <c r="D2520" t="s">
        <v>19</v>
      </c>
      <c r="E2520" t="s">
        <v>39</v>
      </c>
      <c r="F2520" s="1">
        <v>42494</v>
      </c>
      <c r="G2520" s="1">
        <v>42515</v>
      </c>
      <c r="H2520" t="s">
        <v>25</v>
      </c>
      <c r="I2520">
        <v>21</v>
      </c>
      <c r="J2520" t="s">
        <v>77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</v>
      </c>
      <c r="Q2520" t="s">
        <v>23</v>
      </c>
      <c r="R2520">
        <v>0</v>
      </c>
    </row>
    <row r="2521" spans="1:18">
      <c r="A2521" s="4">
        <v>5498430000000</v>
      </c>
      <c r="B2521" t="s">
        <v>18</v>
      </c>
      <c r="C2521">
        <v>47</v>
      </c>
      <c r="D2521" t="s">
        <v>27</v>
      </c>
      <c r="E2521" t="s">
        <v>96</v>
      </c>
      <c r="F2521" s="1">
        <v>42494</v>
      </c>
      <c r="G2521" s="1">
        <v>42494</v>
      </c>
      <c r="H2521" t="s">
        <v>25</v>
      </c>
      <c r="I2521">
        <v>0</v>
      </c>
      <c r="J2521" t="s">
        <v>111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23</v>
      </c>
      <c r="R2521">
        <v>0</v>
      </c>
    </row>
    <row r="2522" spans="1:18">
      <c r="A2522" s="4">
        <v>4462250000000</v>
      </c>
      <c r="B2522" t="s">
        <v>28</v>
      </c>
      <c r="C2522">
        <v>10</v>
      </c>
      <c r="D2522" t="s">
        <v>31</v>
      </c>
      <c r="E2522" t="s">
        <v>32</v>
      </c>
      <c r="F2522" s="1">
        <v>42494</v>
      </c>
      <c r="G2522" s="1">
        <v>42508</v>
      </c>
      <c r="H2522" t="s">
        <v>25</v>
      </c>
      <c r="I2522">
        <v>14</v>
      </c>
      <c r="J2522" t="s">
        <v>92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26</v>
      </c>
      <c r="R2522">
        <v>1</v>
      </c>
    </row>
    <row r="2523" spans="1:18">
      <c r="A2523" s="4">
        <v>94326800000000</v>
      </c>
      <c r="B2523" t="s">
        <v>18</v>
      </c>
      <c r="C2523">
        <v>70</v>
      </c>
      <c r="D2523" t="s">
        <v>19</v>
      </c>
      <c r="E2523" t="s">
        <v>55</v>
      </c>
      <c r="F2523" s="1">
        <v>42494</v>
      </c>
      <c r="G2523" s="1">
        <v>42494</v>
      </c>
      <c r="H2523" t="s">
        <v>25</v>
      </c>
      <c r="I2523">
        <v>0</v>
      </c>
      <c r="J2523" t="s">
        <v>111</v>
      </c>
      <c r="K2523">
        <v>1</v>
      </c>
      <c r="L2523">
        <v>0</v>
      </c>
      <c r="M2523">
        <v>0</v>
      </c>
      <c r="N2523">
        <v>0</v>
      </c>
      <c r="O2523">
        <v>1</v>
      </c>
      <c r="P2523">
        <v>0</v>
      </c>
      <c r="Q2523" t="s">
        <v>23</v>
      </c>
      <c r="R2523">
        <v>0</v>
      </c>
    </row>
    <row r="2524" spans="1:18">
      <c r="A2524" s="4">
        <v>957413000000000</v>
      </c>
      <c r="B2524" t="s">
        <v>18</v>
      </c>
      <c r="C2524">
        <v>58</v>
      </c>
      <c r="D2524" t="s">
        <v>35</v>
      </c>
      <c r="E2524" t="s">
        <v>68</v>
      </c>
      <c r="F2524" s="1">
        <v>42494</v>
      </c>
      <c r="G2524" s="1">
        <v>42496</v>
      </c>
      <c r="H2524" t="s">
        <v>21</v>
      </c>
      <c r="I2524">
        <v>2</v>
      </c>
      <c r="J2524" t="s">
        <v>109</v>
      </c>
      <c r="K2524">
        <v>0</v>
      </c>
      <c r="L2524">
        <v>1</v>
      </c>
      <c r="M2524">
        <v>1</v>
      </c>
      <c r="N2524">
        <v>0</v>
      </c>
      <c r="O2524">
        <v>0</v>
      </c>
      <c r="P2524">
        <v>0</v>
      </c>
      <c r="Q2524" t="s">
        <v>26</v>
      </c>
      <c r="R2524">
        <v>1</v>
      </c>
    </row>
    <row r="2525" spans="1:18">
      <c r="A2525" s="4">
        <v>618320000000000</v>
      </c>
      <c r="B2525" t="s">
        <v>18</v>
      </c>
      <c r="C2525">
        <v>65</v>
      </c>
      <c r="D2525" t="s">
        <v>35</v>
      </c>
      <c r="E2525" t="s">
        <v>38</v>
      </c>
      <c r="F2525" s="1">
        <v>42494</v>
      </c>
      <c r="G2525" s="1">
        <v>42495</v>
      </c>
      <c r="H2525" t="s">
        <v>33</v>
      </c>
      <c r="I2525">
        <v>1</v>
      </c>
      <c r="J2525" t="s">
        <v>109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23</v>
      </c>
      <c r="R2525">
        <v>0</v>
      </c>
    </row>
    <row r="2526" spans="1:18">
      <c r="A2526" s="4">
        <v>5115990000000</v>
      </c>
      <c r="B2526" t="s">
        <v>18</v>
      </c>
      <c r="C2526">
        <v>37</v>
      </c>
      <c r="D2526" t="s">
        <v>27</v>
      </c>
      <c r="E2526" t="s">
        <v>66</v>
      </c>
      <c r="F2526" s="1">
        <v>42494</v>
      </c>
      <c r="G2526" s="1">
        <v>42494</v>
      </c>
      <c r="H2526" t="s">
        <v>25</v>
      </c>
      <c r="I2526">
        <v>0</v>
      </c>
      <c r="J2526" t="s">
        <v>111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23</v>
      </c>
      <c r="R2526">
        <v>0</v>
      </c>
    </row>
    <row r="2527" spans="1:18">
      <c r="A2527" s="4">
        <v>269465000000</v>
      </c>
      <c r="B2527" t="s">
        <v>18</v>
      </c>
      <c r="C2527">
        <v>58</v>
      </c>
      <c r="D2527" t="s">
        <v>35</v>
      </c>
      <c r="E2527" t="s">
        <v>87</v>
      </c>
      <c r="F2527" s="1">
        <v>42494</v>
      </c>
      <c r="G2527" s="1">
        <v>42494</v>
      </c>
      <c r="H2527" t="s">
        <v>25</v>
      </c>
      <c r="I2527">
        <v>0</v>
      </c>
      <c r="J2527" t="s">
        <v>111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23</v>
      </c>
      <c r="R2527">
        <v>0</v>
      </c>
    </row>
    <row r="2528" spans="1:18">
      <c r="A2528" s="4">
        <v>55933700000000</v>
      </c>
      <c r="B2528" t="s">
        <v>28</v>
      </c>
      <c r="C2528">
        <v>46</v>
      </c>
      <c r="D2528" t="s">
        <v>27</v>
      </c>
      <c r="E2528" t="s">
        <v>87</v>
      </c>
      <c r="F2528" s="1">
        <v>42494</v>
      </c>
      <c r="G2528" s="1">
        <v>42494</v>
      </c>
      <c r="H2528" t="s">
        <v>25</v>
      </c>
      <c r="I2528">
        <v>0</v>
      </c>
      <c r="J2528" t="s">
        <v>111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23</v>
      </c>
      <c r="R2528">
        <v>0</v>
      </c>
    </row>
    <row r="2529" spans="1:18">
      <c r="A2529" s="4">
        <v>5643000000000</v>
      </c>
      <c r="B2529" t="s">
        <v>18</v>
      </c>
      <c r="C2529">
        <v>22</v>
      </c>
      <c r="D2529" t="s">
        <v>37</v>
      </c>
      <c r="E2529" t="s">
        <v>39</v>
      </c>
      <c r="F2529" s="1">
        <v>42494</v>
      </c>
      <c r="G2529" s="1">
        <v>42494</v>
      </c>
      <c r="H2529" t="s">
        <v>25</v>
      </c>
      <c r="I2529">
        <v>0</v>
      </c>
      <c r="J2529" t="s">
        <v>111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23</v>
      </c>
      <c r="R2529">
        <v>0</v>
      </c>
    </row>
    <row r="2530" spans="1:18">
      <c r="A2530" s="4">
        <v>98492700000000</v>
      </c>
      <c r="B2530" t="s">
        <v>18</v>
      </c>
      <c r="C2530">
        <v>25</v>
      </c>
      <c r="D2530" t="s">
        <v>37</v>
      </c>
      <c r="E2530" t="s">
        <v>61</v>
      </c>
      <c r="F2530" s="1">
        <v>42494</v>
      </c>
      <c r="G2530" s="1">
        <v>42499</v>
      </c>
      <c r="H2530" t="s">
        <v>30</v>
      </c>
      <c r="I2530">
        <v>5</v>
      </c>
      <c r="J2530" t="s">
        <v>107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23</v>
      </c>
      <c r="R2530">
        <v>0</v>
      </c>
    </row>
    <row r="2531" spans="1:18">
      <c r="A2531" s="4">
        <v>14668900000000</v>
      </c>
      <c r="B2531" t="s">
        <v>18</v>
      </c>
      <c r="C2531">
        <v>7</v>
      </c>
      <c r="D2531" t="s">
        <v>31</v>
      </c>
      <c r="E2531" t="s">
        <v>40</v>
      </c>
      <c r="F2531" s="1">
        <v>42494</v>
      </c>
      <c r="G2531" s="1">
        <v>42494</v>
      </c>
      <c r="H2531" t="s">
        <v>25</v>
      </c>
      <c r="I2531">
        <v>0</v>
      </c>
      <c r="J2531" t="s">
        <v>111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23</v>
      </c>
      <c r="R2531">
        <v>0</v>
      </c>
    </row>
    <row r="2532" spans="1:18">
      <c r="A2532" s="4">
        <v>818741000000000</v>
      </c>
      <c r="B2532" t="s">
        <v>18</v>
      </c>
      <c r="C2532">
        <v>20</v>
      </c>
      <c r="D2532" t="s">
        <v>37</v>
      </c>
      <c r="E2532" t="s">
        <v>43</v>
      </c>
      <c r="F2532" s="1">
        <v>42494</v>
      </c>
      <c r="G2532" s="1">
        <v>42501</v>
      </c>
      <c r="H2532" t="s">
        <v>25</v>
      </c>
      <c r="I2532">
        <v>7</v>
      </c>
      <c r="J2532" t="s">
        <v>107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1</v>
      </c>
      <c r="Q2532" t="s">
        <v>26</v>
      </c>
      <c r="R2532">
        <v>1</v>
      </c>
    </row>
    <row r="2533" spans="1:18">
      <c r="A2533" s="4">
        <v>46986582965</v>
      </c>
      <c r="B2533" t="s">
        <v>28</v>
      </c>
      <c r="C2533">
        <v>7</v>
      </c>
      <c r="D2533" t="s">
        <v>31</v>
      </c>
      <c r="E2533" t="s">
        <v>75</v>
      </c>
      <c r="F2533" s="1">
        <v>42494</v>
      </c>
      <c r="G2533" s="1">
        <v>42501</v>
      </c>
      <c r="H2533" t="s">
        <v>25</v>
      </c>
      <c r="I2533">
        <v>7</v>
      </c>
      <c r="J2533" t="s">
        <v>107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</v>
      </c>
      <c r="Q2533" t="s">
        <v>23</v>
      </c>
      <c r="R2533">
        <v>0</v>
      </c>
    </row>
    <row r="2534" spans="1:18">
      <c r="A2534" s="4">
        <v>6869130000000</v>
      </c>
      <c r="B2534" t="s">
        <v>18</v>
      </c>
      <c r="C2534">
        <v>23</v>
      </c>
      <c r="D2534" t="s">
        <v>37</v>
      </c>
      <c r="E2534" t="s">
        <v>75</v>
      </c>
      <c r="F2534" s="1">
        <v>42494</v>
      </c>
      <c r="G2534" s="1">
        <v>42494</v>
      </c>
      <c r="H2534" t="s">
        <v>25</v>
      </c>
      <c r="I2534">
        <v>0</v>
      </c>
      <c r="J2534" t="s">
        <v>111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23</v>
      </c>
      <c r="R2534">
        <v>0</v>
      </c>
    </row>
    <row r="2535" spans="1:18">
      <c r="A2535" s="4">
        <v>9148410000000</v>
      </c>
      <c r="B2535" t="s">
        <v>18</v>
      </c>
      <c r="C2535">
        <v>48</v>
      </c>
      <c r="D2535" t="s">
        <v>27</v>
      </c>
      <c r="E2535" t="s">
        <v>81</v>
      </c>
      <c r="F2535" s="1">
        <v>42494</v>
      </c>
      <c r="G2535" s="1">
        <v>42495</v>
      </c>
      <c r="H2535" t="s">
        <v>33</v>
      </c>
      <c r="I2535">
        <v>1</v>
      </c>
      <c r="J2535" t="s">
        <v>109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23</v>
      </c>
      <c r="R2535">
        <v>0</v>
      </c>
    </row>
    <row r="2536" spans="1:18">
      <c r="A2536" s="4">
        <v>7363150000000</v>
      </c>
      <c r="B2536" t="s">
        <v>18</v>
      </c>
      <c r="C2536">
        <v>27</v>
      </c>
      <c r="D2536" t="s">
        <v>37</v>
      </c>
      <c r="E2536" t="s">
        <v>72</v>
      </c>
      <c r="F2536" s="1">
        <v>42494</v>
      </c>
      <c r="G2536" s="1">
        <v>42494</v>
      </c>
      <c r="H2536" t="s">
        <v>25</v>
      </c>
      <c r="I2536">
        <v>0</v>
      </c>
      <c r="J2536" t="s">
        <v>111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23</v>
      </c>
      <c r="R2536">
        <v>0</v>
      </c>
    </row>
    <row r="2537" spans="1:18">
      <c r="A2537" s="4">
        <v>4514640000000</v>
      </c>
      <c r="B2537" t="s">
        <v>28</v>
      </c>
      <c r="C2537">
        <v>64</v>
      </c>
      <c r="D2537" t="s">
        <v>35</v>
      </c>
      <c r="E2537" t="s">
        <v>88</v>
      </c>
      <c r="F2537" s="1">
        <v>42494</v>
      </c>
      <c r="G2537" s="1">
        <v>42494</v>
      </c>
      <c r="H2537" t="s">
        <v>25</v>
      </c>
      <c r="I2537">
        <v>0</v>
      </c>
      <c r="J2537" t="s">
        <v>111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23</v>
      </c>
      <c r="R2537">
        <v>0</v>
      </c>
    </row>
    <row r="2538" spans="1:18">
      <c r="A2538" s="4">
        <v>683993000000000</v>
      </c>
      <c r="B2538" t="s">
        <v>28</v>
      </c>
      <c r="C2538">
        <v>10</v>
      </c>
      <c r="D2538" t="s">
        <v>31</v>
      </c>
      <c r="E2538" t="s">
        <v>51</v>
      </c>
      <c r="F2538" s="1">
        <v>42494</v>
      </c>
      <c r="G2538" s="1">
        <v>42494</v>
      </c>
      <c r="H2538" t="s">
        <v>25</v>
      </c>
      <c r="I2538">
        <v>0</v>
      </c>
      <c r="J2538" t="s">
        <v>111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23</v>
      </c>
      <c r="R2538">
        <v>0</v>
      </c>
    </row>
    <row r="2539" spans="1:18">
      <c r="A2539" s="4">
        <v>9195440000000</v>
      </c>
      <c r="B2539" t="s">
        <v>28</v>
      </c>
      <c r="C2539">
        <v>4</v>
      </c>
      <c r="D2539" t="s">
        <v>31</v>
      </c>
      <c r="E2539" t="s">
        <v>68</v>
      </c>
      <c r="F2539" s="1">
        <v>42494</v>
      </c>
      <c r="G2539" s="1">
        <v>42494</v>
      </c>
      <c r="H2539" t="s">
        <v>25</v>
      </c>
      <c r="I2539">
        <v>0</v>
      </c>
      <c r="J2539" t="s">
        <v>111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23</v>
      </c>
      <c r="R2539">
        <v>0</v>
      </c>
    </row>
    <row r="2540" spans="1:18">
      <c r="A2540" s="4">
        <v>72980000000000</v>
      </c>
      <c r="B2540" t="s">
        <v>18</v>
      </c>
      <c r="C2540">
        <v>3</v>
      </c>
      <c r="D2540" t="s">
        <v>31</v>
      </c>
      <c r="E2540" t="s">
        <v>59</v>
      </c>
      <c r="F2540" s="1">
        <v>42494</v>
      </c>
      <c r="G2540" s="1">
        <v>42494</v>
      </c>
      <c r="H2540" t="s">
        <v>25</v>
      </c>
      <c r="I2540">
        <v>0</v>
      </c>
      <c r="J2540" t="s">
        <v>111</v>
      </c>
      <c r="K2540">
        <v>1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23</v>
      </c>
      <c r="R2540">
        <v>0</v>
      </c>
    </row>
    <row r="2541" spans="1:18">
      <c r="A2541" s="4">
        <v>41376400000000</v>
      </c>
      <c r="B2541" t="s">
        <v>28</v>
      </c>
      <c r="C2541">
        <v>8</v>
      </c>
      <c r="D2541" t="s">
        <v>31</v>
      </c>
      <c r="E2541" t="s">
        <v>66</v>
      </c>
      <c r="F2541" s="1">
        <v>42494</v>
      </c>
      <c r="G2541" s="1">
        <v>42508</v>
      </c>
      <c r="H2541" t="s">
        <v>25</v>
      </c>
      <c r="I2541">
        <v>14</v>
      </c>
      <c r="J2541" t="s">
        <v>92</v>
      </c>
      <c r="K2541">
        <v>1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23</v>
      </c>
      <c r="R2541">
        <v>0</v>
      </c>
    </row>
    <row r="2542" spans="1:18">
      <c r="A2542" s="4">
        <v>1951920000000</v>
      </c>
      <c r="B2542" t="s">
        <v>28</v>
      </c>
      <c r="C2542">
        <v>43</v>
      </c>
      <c r="D2542" t="s">
        <v>27</v>
      </c>
      <c r="E2542" t="s">
        <v>70</v>
      </c>
      <c r="F2542" s="1">
        <v>42494</v>
      </c>
      <c r="G2542" s="1">
        <v>42496</v>
      </c>
      <c r="H2542" t="s">
        <v>21</v>
      </c>
      <c r="I2542">
        <v>2</v>
      </c>
      <c r="J2542" t="s">
        <v>109</v>
      </c>
      <c r="K2542">
        <v>0</v>
      </c>
      <c r="L2542">
        <v>0</v>
      </c>
      <c r="M2542">
        <v>1</v>
      </c>
      <c r="N2542">
        <v>0</v>
      </c>
      <c r="O2542">
        <v>1</v>
      </c>
      <c r="P2542">
        <v>0</v>
      </c>
      <c r="Q2542" t="s">
        <v>23</v>
      </c>
      <c r="R2542">
        <v>0</v>
      </c>
    </row>
    <row r="2543" spans="1:18">
      <c r="A2543" s="4">
        <v>8849290000000</v>
      </c>
      <c r="B2543" t="s">
        <v>28</v>
      </c>
      <c r="C2543">
        <v>12</v>
      </c>
      <c r="D2543" t="s">
        <v>31</v>
      </c>
      <c r="E2543" t="s">
        <v>38</v>
      </c>
      <c r="F2543" s="1">
        <v>42494</v>
      </c>
      <c r="G2543" s="1">
        <v>42499</v>
      </c>
      <c r="H2543" t="s">
        <v>30</v>
      </c>
      <c r="I2543">
        <v>5</v>
      </c>
      <c r="J2543" t="s">
        <v>107</v>
      </c>
      <c r="K2543">
        <v>1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26</v>
      </c>
      <c r="R2543">
        <v>1</v>
      </c>
    </row>
    <row r="2544" spans="1:18">
      <c r="A2544" s="4">
        <v>623170000000</v>
      </c>
      <c r="B2544" t="s">
        <v>18</v>
      </c>
      <c r="C2544">
        <v>67</v>
      </c>
      <c r="D2544" t="s">
        <v>19</v>
      </c>
      <c r="E2544" t="s">
        <v>32</v>
      </c>
      <c r="F2544" s="1">
        <v>42494</v>
      </c>
      <c r="G2544" s="1">
        <v>42506</v>
      </c>
      <c r="H2544" t="s">
        <v>30</v>
      </c>
      <c r="I2544">
        <v>12</v>
      </c>
      <c r="J2544" t="s">
        <v>92</v>
      </c>
      <c r="K2544">
        <v>0</v>
      </c>
      <c r="L2544">
        <v>1</v>
      </c>
      <c r="M2544">
        <v>1</v>
      </c>
      <c r="N2544">
        <v>0</v>
      </c>
      <c r="O2544">
        <v>0</v>
      </c>
      <c r="P2544">
        <v>0</v>
      </c>
      <c r="Q2544" t="s">
        <v>23</v>
      </c>
      <c r="R2544">
        <v>0</v>
      </c>
    </row>
    <row r="2545" spans="1:18">
      <c r="A2545" s="4">
        <v>927748000000</v>
      </c>
      <c r="B2545" t="s">
        <v>28</v>
      </c>
      <c r="C2545">
        <v>5</v>
      </c>
      <c r="D2545" t="s">
        <v>31</v>
      </c>
      <c r="E2545" t="s">
        <v>32</v>
      </c>
      <c r="F2545" s="1">
        <v>42494</v>
      </c>
      <c r="G2545" s="1">
        <v>42496</v>
      </c>
      <c r="H2545" t="s">
        <v>21</v>
      </c>
      <c r="I2545">
        <v>2</v>
      </c>
      <c r="J2545" t="s">
        <v>109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23</v>
      </c>
      <c r="R2545">
        <v>0</v>
      </c>
    </row>
    <row r="2546" spans="1:18">
      <c r="A2546" s="4">
        <v>72733500000000</v>
      </c>
      <c r="B2546" t="s">
        <v>18</v>
      </c>
      <c r="C2546">
        <v>23</v>
      </c>
      <c r="D2546" t="s">
        <v>37</v>
      </c>
      <c r="E2546" t="s">
        <v>71</v>
      </c>
      <c r="F2546" s="1">
        <v>42494</v>
      </c>
      <c r="G2546" s="1">
        <v>42496</v>
      </c>
      <c r="H2546" t="s">
        <v>21</v>
      </c>
      <c r="I2546">
        <v>2</v>
      </c>
      <c r="J2546" t="s">
        <v>109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23</v>
      </c>
      <c r="R2546">
        <v>0</v>
      </c>
    </row>
    <row r="2547" spans="1:18">
      <c r="A2547" s="4">
        <v>134732000000000</v>
      </c>
      <c r="B2547" t="s">
        <v>18</v>
      </c>
      <c r="C2547">
        <v>32</v>
      </c>
      <c r="D2547" t="s">
        <v>37</v>
      </c>
      <c r="E2547" t="s">
        <v>38</v>
      </c>
      <c r="F2547" s="1">
        <v>42494</v>
      </c>
      <c r="G2547" s="1">
        <v>42501</v>
      </c>
      <c r="H2547" t="s">
        <v>25</v>
      </c>
      <c r="I2547">
        <v>7</v>
      </c>
      <c r="J2547" t="s">
        <v>107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1</v>
      </c>
      <c r="Q2547" t="s">
        <v>23</v>
      </c>
      <c r="R2547">
        <v>0</v>
      </c>
    </row>
    <row r="2548" spans="1:18">
      <c r="A2548" s="4">
        <v>8966880000000</v>
      </c>
      <c r="B2548" t="s">
        <v>28</v>
      </c>
      <c r="C2548">
        <v>5</v>
      </c>
      <c r="D2548" t="s">
        <v>31</v>
      </c>
      <c r="E2548" t="s">
        <v>32</v>
      </c>
      <c r="F2548" s="1">
        <v>42494</v>
      </c>
      <c r="G2548" s="1">
        <v>42494</v>
      </c>
      <c r="H2548" t="s">
        <v>25</v>
      </c>
      <c r="I2548">
        <v>0</v>
      </c>
      <c r="J2548" t="s">
        <v>111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23</v>
      </c>
      <c r="R2548">
        <v>0</v>
      </c>
    </row>
    <row r="2549" spans="1:18">
      <c r="A2549" s="4">
        <v>47385300000000</v>
      </c>
      <c r="B2549" t="s">
        <v>18</v>
      </c>
      <c r="C2549">
        <v>24</v>
      </c>
      <c r="D2549" t="s">
        <v>37</v>
      </c>
      <c r="E2549" t="s">
        <v>32</v>
      </c>
      <c r="F2549" s="1">
        <v>42494</v>
      </c>
      <c r="G2549" s="1">
        <v>42494</v>
      </c>
      <c r="H2549" t="s">
        <v>25</v>
      </c>
      <c r="I2549">
        <v>0</v>
      </c>
      <c r="J2549" t="s">
        <v>111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23</v>
      </c>
      <c r="R2549">
        <v>0</v>
      </c>
    </row>
    <row r="2550" spans="1:18">
      <c r="A2550" s="4">
        <v>83254800000000</v>
      </c>
      <c r="B2550" t="s">
        <v>18</v>
      </c>
      <c r="C2550">
        <v>59</v>
      </c>
      <c r="D2550" t="s">
        <v>35</v>
      </c>
      <c r="E2550" t="s">
        <v>54</v>
      </c>
      <c r="F2550" s="1">
        <v>42494</v>
      </c>
      <c r="G2550" s="1">
        <v>42501</v>
      </c>
      <c r="H2550" t="s">
        <v>25</v>
      </c>
      <c r="I2550">
        <v>7</v>
      </c>
      <c r="J2550" t="s">
        <v>107</v>
      </c>
      <c r="K2550">
        <v>1</v>
      </c>
      <c r="L2550">
        <v>1</v>
      </c>
      <c r="M2550">
        <v>1</v>
      </c>
      <c r="N2550">
        <v>0</v>
      </c>
      <c r="O2550">
        <v>0</v>
      </c>
      <c r="P2550">
        <v>1</v>
      </c>
      <c r="Q2550" t="s">
        <v>23</v>
      </c>
      <c r="R2550">
        <v>0</v>
      </c>
    </row>
    <row r="2551" spans="1:18">
      <c r="A2551" s="4">
        <v>1362570000000</v>
      </c>
      <c r="B2551" t="s">
        <v>18</v>
      </c>
      <c r="C2551">
        <v>55</v>
      </c>
      <c r="D2551" t="s">
        <v>35</v>
      </c>
      <c r="E2551" t="s">
        <v>91</v>
      </c>
      <c r="F2551" s="1">
        <v>42494</v>
      </c>
      <c r="G2551" s="1">
        <v>42496</v>
      </c>
      <c r="H2551" t="s">
        <v>21</v>
      </c>
      <c r="I2551">
        <v>2</v>
      </c>
      <c r="J2551" t="s">
        <v>109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23</v>
      </c>
      <c r="R2551">
        <v>0</v>
      </c>
    </row>
    <row r="2552" spans="1:18">
      <c r="A2552" s="4">
        <v>87983900000000</v>
      </c>
      <c r="B2552" t="s">
        <v>18</v>
      </c>
      <c r="C2552">
        <v>31</v>
      </c>
      <c r="D2552" t="s">
        <v>37</v>
      </c>
      <c r="E2552" t="s">
        <v>50</v>
      </c>
      <c r="F2552" s="1">
        <v>42494</v>
      </c>
      <c r="G2552" s="1">
        <v>42515</v>
      </c>
      <c r="H2552" t="s">
        <v>25</v>
      </c>
      <c r="I2552">
        <v>21</v>
      </c>
      <c r="J2552" t="s">
        <v>77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1</v>
      </c>
      <c r="Q2552" t="s">
        <v>23</v>
      </c>
      <c r="R2552">
        <v>0</v>
      </c>
    </row>
    <row r="2553" spans="1:18">
      <c r="A2553" s="4">
        <v>15566200000000</v>
      </c>
      <c r="B2553" t="s">
        <v>28</v>
      </c>
      <c r="C2553">
        <v>48</v>
      </c>
      <c r="D2553" t="s">
        <v>27</v>
      </c>
      <c r="E2553" t="s">
        <v>81</v>
      </c>
      <c r="F2553" s="1">
        <v>42494</v>
      </c>
      <c r="G2553" s="1">
        <v>42499</v>
      </c>
      <c r="H2553" t="s">
        <v>30</v>
      </c>
      <c r="I2553">
        <v>5</v>
      </c>
      <c r="J2553" t="s">
        <v>107</v>
      </c>
      <c r="K2553">
        <v>0</v>
      </c>
      <c r="L2553">
        <v>0</v>
      </c>
      <c r="M2553">
        <v>0</v>
      </c>
      <c r="N2553">
        <v>1</v>
      </c>
      <c r="O2553">
        <v>0</v>
      </c>
      <c r="P2553">
        <v>0</v>
      </c>
      <c r="Q2553" t="s">
        <v>26</v>
      </c>
      <c r="R2553">
        <v>1</v>
      </c>
    </row>
    <row r="2554" spans="1:18">
      <c r="A2554" s="4">
        <v>7144420000000</v>
      </c>
      <c r="B2554" t="s">
        <v>18</v>
      </c>
      <c r="C2554">
        <v>73</v>
      </c>
      <c r="D2554" t="s">
        <v>19</v>
      </c>
      <c r="E2554" t="s">
        <v>80</v>
      </c>
      <c r="F2554" s="1">
        <v>42494</v>
      </c>
      <c r="G2554" s="1">
        <v>42496</v>
      </c>
      <c r="H2554" t="s">
        <v>21</v>
      </c>
      <c r="I2554">
        <v>2</v>
      </c>
      <c r="J2554" t="s">
        <v>109</v>
      </c>
      <c r="K2554">
        <v>0</v>
      </c>
      <c r="L2554">
        <v>1</v>
      </c>
      <c r="M2554">
        <v>1</v>
      </c>
      <c r="N2554">
        <v>0</v>
      </c>
      <c r="O2554">
        <v>0</v>
      </c>
      <c r="P2554">
        <v>0</v>
      </c>
      <c r="Q2554" t="s">
        <v>23</v>
      </c>
      <c r="R2554">
        <v>0</v>
      </c>
    </row>
    <row r="2555" spans="1:18">
      <c r="A2555" s="4">
        <v>4621610000000</v>
      </c>
      <c r="B2555" t="s">
        <v>28</v>
      </c>
      <c r="C2555">
        <v>57</v>
      </c>
      <c r="D2555" t="s">
        <v>35</v>
      </c>
      <c r="E2555" t="s">
        <v>39</v>
      </c>
      <c r="F2555" s="1">
        <v>42494</v>
      </c>
      <c r="G2555" s="1">
        <v>42496</v>
      </c>
      <c r="H2555" t="s">
        <v>21</v>
      </c>
      <c r="I2555">
        <v>2</v>
      </c>
      <c r="J2555" t="s">
        <v>109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26</v>
      </c>
      <c r="R2555">
        <v>1</v>
      </c>
    </row>
    <row r="2556" spans="1:18">
      <c r="A2556" s="4">
        <v>619744000000000</v>
      </c>
      <c r="B2556" t="s">
        <v>18</v>
      </c>
      <c r="C2556">
        <v>43</v>
      </c>
      <c r="D2556" t="s">
        <v>27</v>
      </c>
      <c r="E2556" t="s">
        <v>50</v>
      </c>
      <c r="F2556" s="1">
        <v>42494</v>
      </c>
      <c r="G2556" s="1">
        <v>42495</v>
      </c>
      <c r="H2556" t="s">
        <v>33</v>
      </c>
      <c r="I2556">
        <v>1</v>
      </c>
      <c r="J2556" t="s">
        <v>109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26</v>
      </c>
      <c r="R2556">
        <v>1</v>
      </c>
    </row>
    <row r="2557" spans="1:18">
      <c r="A2557" s="4">
        <v>68293800000000</v>
      </c>
      <c r="B2557" t="s">
        <v>28</v>
      </c>
      <c r="C2557">
        <v>61</v>
      </c>
      <c r="D2557" t="s">
        <v>35</v>
      </c>
      <c r="E2557" t="s">
        <v>44</v>
      </c>
      <c r="F2557" s="1">
        <v>42494</v>
      </c>
      <c r="G2557" s="1">
        <v>42496</v>
      </c>
      <c r="H2557" t="s">
        <v>21</v>
      </c>
      <c r="I2557">
        <v>2</v>
      </c>
      <c r="J2557" t="s">
        <v>109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23</v>
      </c>
      <c r="R2557">
        <v>0</v>
      </c>
    </row>
    <row r="2558" spans="1:18">
      <c r="A2558" s="4">
        <v>53366300000000</v>
      </c>
      <c r="B2558" t="s">
        <v>18</v>
      </c>
      <c r="C2558">
        <v>75</v>
      </c>
      <c r="D2558" t="s">
        <v>19</v>
      </c>
      <c r="E2558" t="s">
        <v>32</v>
      </c>
      <c r="F2558" s="1">
        <v>42494</v>
      </c>
      <c r="G2558" s="1">
        <v>42494</v>
      </c>
      <c r="H2558" t="s">
        <v>25</v>
      </c>
      <c r="I2558">
        <v>0</v>
      </c>
      <c r="J2558" t="s">
        <v>111</v>
      </c>
      <c r="K2558">
        <v>0</v>
      </c>
      <c r="L2558">
        <v>1</v>
      </c>
      <c r="M2558">
        <v>0</v>
      </c>
      <c r="N2558">
        <v>0</v>
      </c>
      <c r="O2558">
        <v>0</v>
      </c>
      <c r="P2558">
        <v>0</v>
      </c>
      <c r="Q2558" t="s">
        <v>23</v>
      </c>
      <c r="R2558">
        <v>0</v>
      </c>
    </row>
    <row r="2559" spans="1:18">
      <c r="A2559" s="4">
        <v>99637671331</v>
      </c>
      <c r="B2559" t="s">
        <v>28</v>
      </c>
      <c r="C2559">
        <v>46</v>
      </c>
      <c r="D2559" t="s">
        <v>27</v>
      </c>
      <c r="E2559" t="s">
        <v>67</v>
      </c>
      <c r="F2559" s="1">
        <v>42494</v>
      </c>
      <c r="G2559" s="1">
        <v>42494</v>
      </c>
      <c r="H2559" t="s">
        <v>25</v>
      </c>
      <c r="I2559">
        <v>0</v>
      </c>
      <c r="J2559" t="s">
        <v>111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23</v>
      </c>
      <c r="R2559">
        <v>0</v>
      </c>
    </row>
    <row r="2560" spans="1:18">
      <c r="A2560" s="4">
        <v>4335760000000</v>
      </c>
      <c r="B2560" t="s">
        <v>28</v>
      </c>
      <c r="C2560">
        <v>42</v>
      </c>
      <c r="D2560" t="s">
        <v>27</v>
      </c>
      <c r="E2560" t="s">
        <v>68</v>
      </c>
      <c r="F2560" s="1">
        <v>42494</v>
      </c>
      <c r="G2560" s="1">
        <v>42515</v>
      </c>
      <c r="H2560" t="s">
        <v>25</v>
      </c>
      <c r="I2560">
        <v>21</v>
      </c>
      <c r="J2560" t="s">
        <v>77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1</v>
      </c>
      <c r="Q2560" t="s">
        <v>23</v>
      </c>
      <c r="R2560">
        <v>0</v>
      </c>
    </row>
    <row r="2561" spans="1:18">
      <c r="A2561" s="4">
        <v>36166400000000</v>
      </c>
      <c r="B2561" t="s">
        <v>28</v>
      </c>
      <c r="C2561">
        <v>7</v>
      </c>
      <c r="D2561" t="s">
        <v>31</v>
      </c>
      <c r="E2561" t="s">
        <v>68</v>
      </c>
      <c r="F2561" s="1">
        <v>42494</v>
      </c>
      <c r="G2561" s="1">
        <v>42510</v>
      </c>
      <c r="H2561" t="s">
        <v>21</v>
      </c>
      <c r="I2561">
        <v>16</v>
      </c>
      <c r="J2561" t="s">
        <v>77</v>
      </c>
      <c r="K2561">
        <v>0</v>
      </c>
      <c r="L2561">
        <v>0</v>
      </c>
      <c r="M2561">
        <v>0</v>
      </c>
      <c r="N2561">
        <v>0</v>
      </c>
      <c r="O2561">
        <v>1</v>
      </c>
      <c r="P2561">
        <v>0</v>
      </c>
      <c r="Q2561" t="s">
        <v>26</v>
      </c>
      <c r="R2561">
        <v>1</v>
      </c>
    </row>
    <row r="2562" spans="1:18">
      <c r="A2562" s="4">
        <v>1125830000000</v>
      </c>
      <c r="B2562" t="s">
        <v>28</v>
      </c>
      <c r="C2562">
        <v>33</v>
      </c>
      <c r="D2562" t="s">
        <v>37</v>
      </c>
      <c r="E2562" t="s">
        <v>36</v>
      </c>
      <c r="F2562" s="1">
        <v>42494</v>
      </c>
      <c r="G2562" s="1">
        <v>42500</v>
      </c>
      <c r="H2562" t="s">
        <v>41</v>
      </c>
      <c r="I2562">
        <v>6</v>
      </c>
      <c r="J2562" t="s">
        <v>107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1</v>
      </c>
      <c r="Q2562" t="s">
        <v>23</v>
      </c>
      <c r="R2562">
        <v>0</v>
      </c>
    </row>
    <row r="2563" spans="1:18">
      <c r="A2563" s="4">
        <v>917584000000000</v>
      </c>
      <c r="B2563" t="s">
        <v>28</v>
      </c>
      <c r="C2563">
        <v>28</v>
      </c>
      <c r="D2563" t="s">
        <v>37</v>
      </c>
      <c r="E2563" t="s">
        <v>49</v>
      </c>
      <c r="F2563" s="1">
        <v>42494</v>
      </c>
      <c r="G2563" s="1">
        <v>42507</v>
      </c>
      <c r="H2563" t="s">
        <v>41</v>
      </c>
      <c r="I2563">
        <v>13</v>
      </c>
      <c r="J2563" t="s">
        <v>92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23</v>
      </c>
      <c r="R2563">
        <v>0</v>
      </c>
    </row>
    <row r="2564" spans="1:18">
      <c r="A2564" s="4">
        <v>8393430000000</v>
      </c>
      <c r="B2564" t="s">
        <v>18</v>
      </c>
      <c r="C2564">
        <v>22</v>
      </c>
      <c r="D2564" t="s">
        <v>37</v>
      </c>
      <c r="E2564" t="s">
        <v>50</v>
      </c>
      <c r="F2564" s="1">
        <v>42494</v>
      </c>
      <c r="G2564" s="1">
        <v>42501</v>
      </c>
      <c r="H2564" t="s">
        <v>25</v>
      </c>
      <c r="I2564">
        <v>7</v>
      </c>
      <c r="J2564" t="s">
        <v>107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1</v>
      </c>
      <c r="Q2564" t="s">
        <v>23</v>
      </c>
      <c r="R2564">
        <v>0</v>
      </c>
    </row>
    <row r="2565" spans="1:18">
      <c r="A2565" s="4">
        <v>35918900000000</v>
      </c>
      <c r="B2565" t="s">
        <v>18</v>
      </c>
      <c r="C2565">
        <v>24</v>
      </c>
      <c r="D2565" t="s">
        <v>37</v>
      </c>
      <c r="E2565" t="s">
        <v>66</v>
      </c>
      <c r="F2565" s="1">
        <v>42494</v>
      </c>
      <c r="G2565" s="1">
        <v>42508</v>
      </c>
      <c r="H2565" t="s">
        <v>25</v>
      </c>
      <c r="I2565">
        <v>14</v>
      </c>
      <c r="J2565" t="s">
        <v>92</v>
      </c>
      <c r="K2565">
        <v>1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23</v>
      </c>
      <c r="R2565">
        <v>0</v>
      </c>
    </row>
    <row r="2566" spans="1:18">
      <c r="A2566" s="4">
        <v>25462200000000</v>
      </c>
      <c r="B2566" t="s">
        <v>18</v>
      </c>
      <c r="C2566">
        <v>72</v>
      </c>
      <c r="D2566" t="s">
        <v>19</v>
      </c>
      <c r="E2566" t="s">
        <v>48</v>
      </c>
      <c r="F2566" s="1">
        <v>42494</v>
      </c>
      <c r="G2566" s="1">
        <v>42509</v>
      </c>
      <c r="H2566" t="s">
        <v>33</v>
      </c>
      <c r="I2566">
        <v>15</v>
      </c>
      <c r="J2566" t="s">
        <v>77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26</v>
      </c>
      <c r="R2566">
        <v>1</v>
      </c>
    </row>
    <row r="2567" spans="1:18">
      <c r="A2567" s="4">
        <v>57821400000000</v>
      </c>
      <c r="B2567" t="s">
        <v>28</v>
      </c>
      <c r="C2567">
        <v>11</v>
      </c>
      <c r="D2567" t="s">
        <v>31</v>
      </c>
      <c r="E2567" t="s">
        <v>61</v>
      </c>
      <c r="F2567" s="1">
        <v>42494</v>
      </c>
      <c r="G2567" s="1">
        <v>42494</v>
      </c>
      <c r="H2567" t="s">
        <v>25</v>
      </c>
      <c r="I2567">
        <v>0</v>
      </c>
      <c r="J2567" t="s">
        <v>111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23</v>
      </c>
      <c r="R2567">
        <v>0</v>
      </c>
    </row>
    <row r="2568" spans="1:18">
      <c r="A2568" s="4">
        <v>9297870000000</v>
      </c>
      <c r="B2568" t="s">
        <v>18</v>
      </c>
      <c r="C2568">
        <v>17</v>
      </c>
      <c r="D2568" t="s">
        <v>60</v>
      </c>
      <c r="E2568" t="s">
        <v>51</v>
      </c>
      <c r="F2568" s="1">
        <v>42494</v>
      </c>
      <c r="G2568" s="1">
        <v>42494</v>
      </c>
      <c r="H2568" t="s">
        <v>25</v>
      </c>
      <c r="I2568">
        <v>0</v>
      </c>
      <c r="J2568" t="s">
        <v>111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23</v>
      </c>
      <c r="R2568">
        <v>0</v>
      </c>
    </row>
    <row r="2569" spans="1:18">
      <c r="A2569" s="4">
        <v>574553000000000</v>
      </c>
      <c r="B2569" t="s">
        <v>18</v>
      </c>
      <c r="C2569">
        <v>0</v>
      </c>
      <c r="D2569" t="s">
        <v>31</v>
      </c>
      <c r="E2569" t="s">
        <v>48</v>
      </c>
      <c r="F2569" s="1">
        <v>42494</v>
      </c>
      <c r="G2569" s="1">
        <v>42495</v>
      </c>
      <c r="H2569" t="s">
        <v>33</v>
      </c>
      <c r="I2569">
        <v>1</v>
      </c>
      <c r="J2569" t="s">
        <v>109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23</v>
      </c>
      <c r="R2569">
        <v>0</v>
      </c>
    </row>
    <row r="2570" spans="1:18">
      <c r="A2570" s="4">
        <v>2646350000000</v>
      </c>
      <c r="B2570" t="s">
        <v>18</v>
      </c>
      <c r="C2570">
        <v>20</v>
      </c>
      <c r="D2570" t="s">
        <v>37</v>
      </c>
      <c r="E2570" t="s">
        <v>96</v>
      </c>
      <c r="F2570" s="1">
        <v>42494</v>
      </c>
      <c r="G2570" s="1">
        <v>42496</v>
      </c>
      <c r="H2570" t="s">
        <v>21</v>
      </c>
      <c r="I2570">
        <v>2</v>
      </c>
      <c r="J2570" t="s">
        <v>109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26</v>
      </c>
      <c r="R2570">
        <v>1</v>
      </c>
    </row>
    <row r="2571" spans="1:18">
      <c r="A2571" s="4">
        <v>168832000000000</v>
      </c>
      <c r="B2571" t="s">
        <v>18</v>
      </c>
      <c r="C2571">
        <v>14</v>
      </c>
      <c r="D2571" t="s">
        <v>60</v>
      </c>
      <c r="E2571" t="s">
        <v>54</v>
      </c>
      <c r="F2571" s="1">
        <v>42494</v>
      </c>
      <c r="G2571" s="1">
        <v>42499</v>
      </c>
      <c r="H2571" t="s">
        <v>30</v>
      </c>
      <c r="I2571">
        <v>5</v>
      </c>
      <c r="J2571" t="s">
        <v>107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23</v>
      </c>
      <c r="R2571">
        <v>0</v>
      </c>
    </row>
    <row r="2572" spans="1:18">
      <c r="A2572" s="4">
        <v>45455900000000</v>
      </c>
      <c r="B2572" t="s">
        <v>18</v>
      </c>
      <c r="C2572">
        <v>40</v>
      </c>
      <c r="D2572" t="s">
        <v>27</v>
      </c>
      <c r="E2572" t="s">
        <v>65</v>
      </c>
      <c r="F2572" s="1">
        <v>42494</v>
      </c>
      <c r="G2572" s="1">
        <v>42500</v>
      </c>
      <c r="H2572" t="s">
        <v>41</v>
      </c>
      <c r="I2572">
        <v>6</v>
      </c>
      <c r="J2572" t="s">
        <v>107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1</v>
      </c>
      <c r="Q2572" t="s">
        <v>23</v>
      </c>
      <c r="R2572">
        <v>0</v>
      </c>
    </row>
    <row r="2573" spans="1:18">
      <c r="A2573" s="4">
        <v>76393392811</v>
      </c>
      <c r="B2573" t="s">
        <v>18</v>
      </c>
      <c r="C2573">
        <v>5</v>
      </c>
      <c r="D2573" t="s">
        <v>31</v>
      </c>
      <c r="E2573" t="s">
        <v>40</v>
      </c>
      <c r="F2573" s="1">
        <v>42494</v>
      </c>
      <c r="G2573" s="1">
        <v>42521</v>
      </c>
      <c r="H2573" t="s">
        <v>41</v>
      </c>
      <c r="I2573">
        <v>27</v>
      </c>
      <c r="J2573" t="s">
        <v>77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</v>
      </c>
      <c r="Q2573" t="s">
        <v>23</v>
      </c>
      <c r="R2573">
        <v>0</v>
      </c>
    </row>
    <row r="2574" spans="1:18">
      <c r="A2574" s="4">
        <v>7485680000000</v>
      </c>
      <c r="B2574" t="s">
        <v>18</v>
      </c>
      <c r="C2574">
        <v>19</v>
      </c>
      <c r="D2574" t="s">
        <v>37</v>
      </c>
      <c r="E2574" t="s">
        <v>70</v>
      </c>
      <c r="F2574" s="1">
        <v>42494</v>
      </c>
      <c r="G2574" s="1">
        <v>42500</v>
      </c>
      <c r="H2574" t="s">
        <v>41</v>
      </c>
      <c r="I2574">
        <v>6</v>
      </c>
      <c r="J2574" t="s">
        <v>107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1</v>
      </c>
      <c r="Q2574" t="s">
        <v>23</v>
      </c>
      <c r="R2574">
        <v>0</v>
      </c>
    </row>
    <row r="2575" spans="1:18">
      <c r="A2575" s="4">
        <v>71324900000000</v>
      </c>
      <c r="B2575" t="s">
        <v>28</v>
      </c>
      <c r="C2575">
        <v>56</v>
      </c>
      <c r="D2575" t="s">
        <v>35</v>
      </c>
      <c r="E2575" t="s">
        <v>94</v>
      </c>
      <c r="F2575" s="1">
        <v>42494</v>
      </c>
      <c r="G2575" s="1">
        <v>42494</v>
      </c>
      <c r="H2575" t="s">
        <v>25</v>
      </c>
      <c r="I2575">
        <v>0</v>
      </c>
      <c r="J2575" t="s">
        <v>111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23</v>
      </c>
      <c r="R2575">
        <v>0</v>
      </c>
    </row>
    <row r="2576" spans="1:18">
      <c r="A2576" s="4">
        <v>9434160000000</v>
      </c>
      <c r="B2576" t="s">
        <v>28</v>
      </c>
      <c r="C2576">
        <v>67</v>
      </c>
      <c r="D2576" t="s">
        <v>19</v>
      </c>
      <c r="E2576" t="s">
        <v>53</v>
      </c>
      <c r="F2576" s="1">
        <v>42494</v>
      </c>
      <c r="G2576" s="1">
        <v>42522</v>
      </c>
      <c r="H2576" t="s">
        <v>25</v>
      </c>
      <c r="I2576">
        <v>28</v>
      </c>
      <c r="J2576" t="s">
        <v>77</v>
      </c>
      <c r="K2576">
        <v>0</v>
      </c>
      <c r="L2576">
        <v>1</v>
      </c>
      <c r="M2576">
        <v>0</v>
      </c>
      <c r="N2576">
        <v>0</v>
      </c>
      <c r="O2576">
        <v>0</v>
      </c>
      <c r="P2576">
        <v>1</v>
      </c>
      <c r="Q2576" t="s">
        <v>23</v>
      </c>
      <c r="R2576">
        <v>0</v>
      </c>
    </row>
    <row r="2577" spans="1:18">
      <c r="A2577" s="4">
        <v>332671000000</v>
      </c>
      <c r="B2577" t="s">
        <v>28</v>
      </c>
      <c r="C2577">
        <v>32</v>
      </c>
      <c r="D2577" t="s">
        <v>37</v>
      </c>
      <c r="E2577" t="s">
        <v>55</v>
      </c>
      <c r="F2577" s="1">
        <v>42494</v>
      </c>
      <c r="G2577" s="1">
        <v>42496</v>
      </c>
      <c r="H2577" t="s">
        <v>21</v>
      </c>
      <c r="I2577">
        <v>2</v>
      </c>
      <c r="J2577" t="s">
        <v>109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23</v>
      </c>
      <c r="R2577">
        <v>0</v>
      </c>
    </row>
    <row r="2578" spans="1:18">
      <c r="A2578" s="4">
        <v>9951350000000</v>
      </c>
      <c r="B2578" t="s">
        <v>18</v>
      </c>
      <c r="C2578">
        <v>41</v>
      </c>
      <c r="D2578" t="s">
        <v>27</v>
      </c>
      <c r="E2578" t="s">
        <v>96</v>
      </c>
      <c r="F2578" s="1">
        <v>42494</v>
      </c>
      <c r="G2578" s="1">
        <v>42501</v>
      </c>
      <c r="H2578" t="s">
        <v>25</v>
      </c>
      <c r="I2578">
        <v>7</v>
      </c>
      <c r="J2578" t="s">
        <v>107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</v>
      </c>
      <c r="Q2578" t="s">
        <v>23</v>
      </c>
      <c r="R2578">
        <v>0</v>
      </c>
    </row>
    <row r="2579" spans="1:18">
      <c r="A2579" s="4">
        <v>26763900000000</v>
      </c>
      <c r="B2579" t="s">
        <v>28</v>
      </c>
      <c r="C2579">
        <v>3</v>
      </c>
      <c r="D2579" t="s">
        <v>31</v>
      </c>
      <c r="E2579" t="s">
        <v>67</v>
      </c>
      <c r="F2579" s="1">
        <v>42494</v>
      </c>
      <c r="G2579" s="1">
        <v>42524</v>
      </c>
      <c r="H2579" t="s">
        <v>21</v>
      </c>
      <c r="I2579">
        <v>30</v>
      </c>
      <c r="J2579" t="s">
        <v>77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1</v>
      </c>
      <c r="Q2579" t="s">
        <v>26</v>
      </c>
      <c r="R2579">
        <v>1</v>
      </c>
    </row>
    <row r="2580" spans="1:18">
      <c r="A2580" s="4">
        <v>21331200000000</v>
      </c>
      <c r="B2580" t="s">
        <v>18</v>
      </c>
      <c r="C2580">
        <v>23</v>
      </c>
      <c r="D2580" t="s">
        <v>37</v>
      </c>
      <c r="E2580" t="s">
        <v>80</v>
      </c>
      <c r="F2580" s="1">
        <v>42494</v>
      </c>
      <c r="G2580" s="1">
        <v>42499</v>
      </c>
      <c r="H2580" t="s">
        <v>30</v>
      </c>
      <c r="I2580">
        <v>5</v>
      </c>
      <c r="J2580" t="s">
        <v>107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23</v>
      </c>
      <c r="R2580">
        <v>0</v>
      </c>
    </row>
    <row r="2581" spans="1:18">
      <c r="A2581" s="4">
        <v>79238500000000</v>
      </c>
      <c r="B2581" t="s">
        <v>28</v>
      </c>
      <c r="C2581">
        <v>65</v>
      </c>
      <c r="D2581" t="s">
        <v>35</v>
      </c>
      <c r="E2581" t="s">
        <v>69</v>
      </c>
      <c r="F2581" s="1">
        <v>42494</v>
      </c>
      <c r="G2581" s="1">
        <v>42494</v>
      </c>
      <c r="H2581" t="s">
        <v>25</v>
      </c>
      <c r="I2581">
        <v>0</v>
      </c>
      <c r="J2581" t="s">
        <v>111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23</v>
      </c>
      <c r="R2581">
        <v>0</v>
      </c>
    </row>
    <row r="2582" spans="1:18">
      <c r="A2582" s="4">
        <v>714362000000</v>
      </c>
      <c r="B2582" t="s">
        <v>28</v>
      </c>
      <c r="C2582">
        <v>35</v>
      </c>
      <c r="D2582" t="s">
        <v>37</v>
      </c>
      <c r="E2582" t="s">
        <v>68</v>
      </c>
      <c r="F2582" s="1">
        <v>42494</v>
      </c>
      <c r="G2582" s="1">
        <v>42502</v>
      </c>
      <c r="H2582" t="s">
        <v>33</v>
      </c>
      <c r="I2582">
        <v>8</v>
      </c>
      <c r="J2582" t="s">
        <v>92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26</v>
      </c>
      <c r="R2582">
        <v>1</v>
      </c>
    </row>
    <row r="2583" spans="1:18">
      <c r="A2583" s="4">
        <v>868354000000000</v>
      </c>
      <c r="B2583" t="s">
        <v>18</v>
      </c>
      <c r="C2583">
        <v>33</v>
      </c>
      <c r="D2583" t="s">
        <v>37</v>
      </c>
      <c r="E2583" t="s">
        <v>38</v>
      </c>
      <c r="F2583" s="1">
        <v>42494</v>
      </c>
      <c r="G2583" s="1">
        <v>42494</v>
      </c>
      <c r="H2583" t="s">
        <v>25</v>
      </c>
      <c r="I2583">
        <v>0</v>
      </c>
      <c r="J2583" t="s">
        <v>111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23</v>
      </c>
      <c r="R2583">
        <v>0</v>
      </c>
    </row>
    <row r="2584" spans="1:18">
      <c r="A2584" s="4">
        <v>467619000000</v>
      </c>
      <c r="B2584" t="s">
        <v>18</v>
      </c>
      <c r="C2584">
        <v>62</v>
      </c>
      <c r="D2584" t="s">
        <v>35</v>
      </c>
      <c r="E2584" t="s">
        <v>40</v>
      </c>
      <c r="F2584" s="1">
        <v>42494</v>
      </c>
      <c r="G2584" s="1">
        <v>42494</v>
      </c>
      <c r="H2584" t="s">
        <v>25</v>
      </c>
      <c r="I2584">
        <v>0</v>
      </c>
      <c r="J2584" t="s">
        <v>111</v>
      </c>
      <c r="K2584">
        <v>0</v>
      </c>
      <c r="L2584">
        <v>1</v>
      </c>
      <c r="M2584">
        <v>1</v>
      </c>
      <c r="N2584">
        <v>0</v>
      </c>
      <c r="O2584">
        <v>0</v>
      </c>
      <c r="P2584">
        <v>0</v>
      </c>
      <c r="Q2584" t="s">
        <v>23</v>
      </c>
      <c r="R2584">
        <v>0</v>
      </c>
    </row>
    <row r="2585" spans="1:18">
      <c r="A2585" s="4">
        <v>68544400000000</v>
      </c>
      <c r="B2585" t="s">
        <v>28</v>
      </c>
      <c r="C2585">
        <v>54</v>
      </c>
      <c r="D2585" t="s">
        <v>35</v>
      </c>
      <c r="E2585" t="s">
        <v>76</v>
      </c>
      <c r="F2585" s="1">
        <v>42494</v>
      </c>
      <c r="G2585" s="1">
        <v>42522</v>
      </c>
      <c r="H2585" t="s">
        <v>25</v>
      </c>
      <c r="I2585">
        <v>28</v>
      </c>
      <c r="J2585" t="s">
        <v>77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</v>
      </c>
      <c r="Q2585" t="s">
        <v>23</v>
      </c>
      <c r="R2585">
        <v>0</v>
      </c>
    </row>
    <row r="2586" spans="1:18">
      <c r="A2586" s="4">
        <v>263136000000000</v>
      </c>
      <c r="B2586" t="s">
        <v>18</v>
      </c>
      <c r="C2586">
        <v>36</v>
      </c>
      <c r="D2586" t="s">
        <v>27</v>
      </c>
      <c r="E2586" t="s">
        <v>29</v>
      </c>
      <c r="F2586" s="1">
        <v>42494</v>
      </c>
      <c r="G2586" s="1">
        <v>42522</v>
      </c>
      <c r="H2586" t="s">
        <v>25</v>
      </c>
      <c r="I2586">
        <v>28</v>
      </c>
      <c r="J2586" t="s">
        <v>77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1</v>
      </c>
      <c r="Q2586" t="s">
        <v>23</v>
      </c>
      <c r="R2586">
        <v>0</v>
      </c>
    </row>
    <row r="2587" spans="1:18">
      <c r="A2587" s="4">
        <v>9488280000000</v>
      </c>
      <c r="B2587" t="s">
        <v>28</v>
      </c>
      <c r="C2587">
        <v>18</v>
      </c>
      <c r="D2587" t="s">
        <v>37</v>
      </c>
      <c r="E2587" t="s">
        <v>72</v>
      </c>
      <c r="F2587" s="1">
        <v>42494</v>
      </c>
      <c r="G2587" s="1">
        <v>42494</v>
      </c>
      <c r="H2587" t="s">
        <v>25</v>
      </c>
      <c r="I2587">
        <v>0</v>
      </c>
      <c r="J2587" t="s">
        <v>111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23</v>
      </c>
      <c r="R2587">
        <v>0</v>
      </c>
    </row>
    <row r="2588" spans="1:18">
      <c r="A2588" s="4">
        <v>223925000000000</v>
      </c>
      <c r="B2588" t="s">
        <v>18</v>
      </c>
      <c r="C2588">
        <v>13</v>
      </c>
      <c r="D2588" t="s">
        <v>60</v>
      </c>
      <c r="E2588" t="s">
        <v>103</v>
      </c>
      <c r="F2588" s="1">
        <v>42494</v>
      </c>
      <c r="G2588" s="1">
        <v>42501</v>
      </c>
      <c r="H2588" t="s">
        <v>25</v>
      </c>
      <c r="I2588">
        <v>7</v>
      </c>
      <c r="J2588" t="s">
        <v>107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</v>
      </c>
      <c r="Q2588" t="s">
        <v>23</v>
      </c>
      <c r="R2588">
        <v>0</v>
      </c>
    </row>
    <row r="2589" spans="1:18">
      <c r="A2589" s="4">
        <v>697929000000</v>
      </c>
      <c r="B2589" t="s">
        <v>28</v>
      </c>
      <c r="C2589">
        <v>11</v>
      </c>
      <c r="D2589" t="s">
        <v>31</v>
      </c>
      <c r="E2589" t="s">
        <v>106</v>
      </c>
      <c r="F2589" s="1">
        <v>42494</v>
      </c>
      <c r="G2589" s="1">
        <v>42501</v>
      </c>
      <c r="H2589" t="s">
        <v>25</v>
      </c>
      <c r="I2589">
        <v>7</v>
      </c>
      <c r="J2589" t="s">
        <v>107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1</v>
      </c>
      <c r="Q2589" t="s">
        <v>23</v>
      </c>
      <c r="R2589">
        <v>0</v>
      </c>
    </row>
    <row r="2590" spans="1:18">
      <c r="A2590" s="4">
        <v>89838800000000</v>
      </c>
      <c r="B2590" t="s">
        <v>18</v>
      </c>
      <c r="C2590">
        <v>29</v>
      </c>
      <c r="D2590" t="s">
        <v>37</v>
      </c>
      <c r="E2590" t="s">
        <v>63</v>
      </c>
      <c r="F2590" s="1">
        <v>42494</v>
      </c>
      <c r="G2590" s="1">
        <v>42501</v>
      </c>
      <c r="H2590" t="s">
        <v>25</v>
      </c>
      <c r="I2590">
        <v>7</v>
      </c>
      <c r="J2590" t="s">
        <v>107</v>
      </c>
      <c r="K2590">
        <v>1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23</v>
      </c>
      <c r="R2590">
        <v>0</v>
      </c>
    </row>
    <row r="2591" spans="1:18">
      <c r="A2591" s="4">
        <v>634255000000000</v>
      </c>
      <c r="B2591" t="s">
        <v>18</v>
      </c>
      <c r="C2591">
        <v>40</v>
      </c>
      <c r="D2591" t="s">
        <v>27</v>
      </c>
      <c r="E2591" t="s">
        <v>72</v>
      </c>
      <c r="F2591" s="1">
        <v>42494</v>
      </c>
      <c r="G2591" s="1">
        <v>42494</v>
      </c>
      <c r="H2591" t="s">
        <v>25</v>
      </c>
      <c r="I2591">
        <v>0</v>
      </c>
      <c r="J2591" t="s">
        <v>111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23</v>
      </c>
      <c r="R2591">
        <v>0</v>
      </c>
    </row>
    <row r="2592" spans="1:18">
      <c r="A2592" s="4">
        <v>4354650000000</v>
      </c>
      <c r="B2592" t="s">
        <v>18</v>
      </c>
      <c r="C2592">
        <v>75</v>
      </c>
      <c r="D2592" t="s">
        <v>19</v>
      </c>
      <c r="E2592" t="s">
        <v>48</v>
      </c>
      <c r="F2592" s="1">
        <v>42494</v>
      </c>
      <c r="G2592" s="1">
        <v>42494</v>
      </c>
      <c r="H2592" t="s">
        <v>25</v>
      </c>
      <c r="I2592">
        <v>0</v>
      </c>
      <c r="J2592" t="s">
        <v>111</v>
      </c>
      <c r="K2592">
        <v>0</v>
      </c>
      <c r="L2592">
        <v>1</v>
      </c>
      <c r="M2592">
        <v>0</v>
      </c>
      <c r="N2592">
        <v>0</v>
      </c>
      <c r="O2592">
        <v>0</v>
      </c>
      <c r="P2592">
        <v>0</v>
      </c>
      <c r="Q2592" t="s">
        <v>23</v>
      </c>
      <c r="R2592">
        <v>0</v>
      </c>
    </row>
    <row r="2593" spans="1:18">
      <c r="A2593" s="4">
        <v>511264000000</v>
      </c>
      <c r="B2593" t="s">
        <v>18</v>
      </c>
      <c r="C2593">
        <v>45</v>
      </c>
      <c r="D2593" t="s">
        <v>27</v>
      </c>
      <c r="E2593" t="s">
        <v>38</v>
      </c>
      <c r="F2593" s="1">
        <v>42494</v>
      </c>
      <c r="G2593" s="1">
        <v>42500</v>
      </c>
      <c r="H2593" t="s">
        <v>41</v>
      </c>
      <c r="I2593">
        <v>6</v>
      </c>
      <c r="J2593" t="s">
        <v>107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1</v>
      </c>
      <c r="Q2593" t="s">
        <v>23</v>
      </c>
      <c r="R2593">
        <v>0</v>
      </c>
    </row>
    <row r="2594" spans="1:18">
      <c r="A2594" s="4">
        <v>955226000000000</v>
      </c>
      <c r="B2594" t="s">
        <v>18</v>
      </c>
      <c r="C2594">
        <v>16</v>
      </c>
      <c r="D2594" t="s">
        <v>60</v>
      </c>
      <c r="E2594" t="s">
        <v>97</v>
      </c>
      <c r="F2594" s="1">
        <v>42494</v>
      </c>
      <c r="G2594" s="1">
        <v>42495</v>
      </c>
      <c r="H2594" t="s">
        <v>33</v>
      </c>
      <c r="I2594">
        <v>1</v>
      </c>
      <c r="J2594" t="s">
        <v>109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23</v>
      </c>
      <c r="R2594">
        <v>0</v>
      </c>
    </row>
    <row r="2595" spans="1:18">
      <c r="A2595" s="4">
        <v>587972000000000</v>
      </c>
      <c r="B2595" t="s">
        <v>18</v>
      </c>
      <c r="C2595">
        <v>20</v>
      </c>
      <c r="D2595" t="s">
        <v>37</v>
      </c>
      <c r="E2595" t="s">
        <v>64</v>
      </c>
      <c r="F2595" s="1">
        <v>42494</v>
      </c>
      <c r="G2595" s="1">
        <v>42500</v>
      </c>
      <c r="H2595" t="s">
        <v>41</v>
      </c>
      <c r="I2595">
        <v>6</v>
      </c>
      <c r="J2595" t="s">
        <v>107</v>
      </c>
      <c r="K2595">
        <v>0</v>
      </c>
      <c r="L2595">
        <v>1</v>
      </c>
      <c r="M2595">
        <v>0</v>
      </c>
      <c r="N2595">
        <v>0</v>
      </c>
      <c r="O2595">
        <v>0</v>
      </c>
      <c r="P2595">
        <v>1</v>
      </c>
      <c r="Q2595" t="s">
        <v>26</v>
      </c>
      <c r="R2595">
        <v>1</v>
      </c>
    </row>
    <row r="2596" spans="1:18">
      <c r="A2596" s="4">
        <v>2482920000000</v>
      </c>
      <c r="B2596" t="s">
        <v>18</v>
      </c>
      <c r="C2596">
        <v>60</v>
      </c>
      <c r="D2596" t="s">
        <v>35</v>
      </c>
      <c r="E2596" t="s">
        <v>84</v>
      </c>
      <c r="F2596" s="1">
        <v>42494</v>
      </c>
      <c r="G2596" s="1">
        <v>42500</v>
      </c>
      <c r="H2596" t="s">
        <v>41</v>
      </c>
      <c r="I2596">
        <v>6</v>
      </c>
      <c r="J2596" t="s">
        <v>107</v>
      </c>
      <c r="K2596">
        <v>0</v>
      </c>
      <c r="L2596">
        <v>1</v>
      </c>
      <c r="M2596">
        <v>1</v>
      </c>
      <c r="N2596">
        <v>0</v>
      </c>
      <c r="O2596">
        <v>0</v>
      </c>
      <c r="P2596">
        <v>1</v>
      </c>
      <c r="Q2596" t="s">
        <v>26</v>
      </c>
      <c r="R2596">
        <v>1</v>
      </c>
    </row>
    <row r="2597" spans="1:18">
      <c r="A2597" s="4">
        <v>262268000000</v>
      </c>
      <c r="B2597" t="s">
        <v>18</v>
      </c>
      <c r="C2597">
        <v>14</v>
      </c>
      <c r="D2597" t="s">
        <v>60</v>
      </c>
      <c r="E2597" t="s">
        <v>72</v>
      </c>
      <c r="F2597" s="1">
        <v>42494</v>
      </c>
      <c r="G2597" s="1">
        <v>42527</v>
      </c>
      <c r="H2597" t="s">
        <v>30</v>
      </c>
      <c r="I2597">
        <v>33</v>
      </c>
      <c r="J2597" t="s">
        <v>22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23</v>
      </c>
      <c r="R2597">
        <v>0</v>
      </c>
    </row>
    <row r="2598" spans="1:18">
      <c r="A2598" s="4">
        <v>79173500000000</v>
      </c>
      <c r="B2598" t="s">
        <v>18</v>
      </c>
      <c r="C2598">
        <v>30</v>
      </c>
      <c r="D2598" t="s">
        <v>37</v>
      </c>
      <c r="E2598" t="s">
        <v>105</v>
      </c>
      <c r="F2598" s="1">
        <v>42494</v>
      </c>
      <c r="G2598" s="1">
        <v>42509</v>
      </c>
      <c r="H2598" t="s">
        <v>33</v>
      </c>
      <c r="I2598">
        <v>15</v>
      </c>
      <c r="J2598" t="s">
        <v>77</v>
      </c>
      <c r="K2598">
        <v>1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23</v>
      </c>
      <c r="R2598">
        <v>0</v>
      </c>
    </row>
    <row r="2599" spans="1:18">
      <c r="A2599" s="4">
        <v>946427000000000</v>
      </c>
      <c r="B2599" t="s">
        <v>18</v>
      </c>
      <c r="C2599">
        <v>18</v>
      </c>
      <c r="D2599" t="s">
        <v>37</v>
      </c>
      <c r="E2599" t="s">
        <v>68</v>
      </c>
      <c r="F2599" s="1">
        <v>42494</v>
      </c>
      <c r="G2599" s="1">
        <v>42502</v>
      </c>
      <c r="H2599" t="s">
        <v>33</v>
      </c>
      <c r="I2599">
        <v>8</v>
      </c>
      <c r="J2599" t="s">
        <v>92</v>
      </c>
      <c r="K2599">
        <v>1</v>
      </c>
      <c r="L2599">
        <v>0</v>
      </c>
      <c r="M2599">
        <v>0</v>
      </c>
      <c r="N2599">
        <v>0</v>
      </c>
      <c r="O2599">
        <v>0</v>
      </c>
      <c r="P2599">
        <v>1</v>
      </c>
      <c r="Q2599" t="s">
        <v>23</v>
      </c>
      <c r="R2599">
        <v>0</v>
      </c>
    </row>
    <row r="2600" spans="1:18">
      <c r="A2600" s="4">
        <v>946427000000000</v>
      </c>
      <c r="B2600" t="s">
        <v>18</v>
      </c>
      <c r="C2600">
        <v>18</v>
      </c>
      <c r="D2600" t="s">
        <v>37</v>
      </c>
      <c r="E2600" t="s">
        <v>68</v>
      </c>
      <c r="F2600" s="1">
        <v>42494</v>
      </c>
      <c r="G2600" s="1">
        <v>42502</v>
      </c>
      <c r="H2600" t="s">
        <v>33</v>
      </c>
      <c r="I2600">
        <v>8</v>
      </c>
      <c r="J2600" t="s">
        <v>92</v>
      </c>
      <c r="K2600">
        <v>1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23</v>
      </c>
      <c r="R2600">
        <v>0</v>
      </c>
    </row>
    <row r="2601" spans="1:18">
      <c r="A2601" s="4">
        <v>77675800000000</v>
      </c>
      <c r="B2601" t="s">
        <v>18</v>
      </c>
      <c r="C2601">
        <v>12</v>
      </c>
      <c r="D2601" t="s">
        <v>31</v>
      </c>
      <c r="E2601" t="s">
        <v>64</v>
      </c>
      <c r="F2601" s="1">
        <v>42494</v>
      </c>
      <c r="G2601" s="1">
        <v>42524</v>
      </c>
      <c r="H2601" t="s">
        <v>21</v>
      </c>
      <c r="I2601">
        <v>30</v>
      </c>
      <c r="J2601" t="s">
        <v>77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23</v>
      </c>
      <c r="R2601">
        <v>0</v>
      </c>
    </row>
    <row r="2602" spans="1:18">
      <c r="A2602" s="4">
        <v>6964460000000</v>
      </c>
      <c r="B2602" t="s">
        <v>18</v>
      </c>
      <c r="C2602">
        <v>49</v>
      </c>
      <c r="D2602" t="s">
        <v>27</v>
      </c>
      <c r="E2602" t="s">
        <v>58</v>
      </c>
      <c r="F2602" s="1">
        <v>42494</v>
      </c>
      <c r="G2602" s="1">
        <v>42494</v>
      </c>
      <c r="H2602" t="s">
        <v>25</v>
      </c>
      <c r="I2602">
        <v>0</v>
      </c>
      <c r="J2602" t="s">
        <v>111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23</v>
      </c>
      <c r="R2602">
        <v>0</v>
      </c>
    </row>
    <row r="2603" spans="1:18">
      <c r="A2603" s="4">
        <v>7583000000000</v>
      </c>
      <c r="B2603" t="s">
        <v>18</v>
      </c>
      <c r="C2603">
        <v>58</v>
      </c>
      <c r="D2603" t="s">
        <v>35</v>
      </c>
      <c r="E2603" t="s">
        <v>63</v>
      </c>
      <c r="F2603" s="1">
        <v>42494</v>
      </c>
      <c r="G2603" s="1">
        <v>42494</v>
      </c>
      <c r="H2603" t="s">
        <v>25</v>
      </c>
      <c r="I2603">
        <v>0</v>
      </c>
      <c r="J2603" t="s">
        <v>111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23</v>
      </c>
      <c r="R2603">
        <v>0</v>
      </c>
    </row>
    <row r="2604" spans="1:18">
      <c r="A2604" s="4">
        <v>194594000000000</v>
      </c>
      <c r="B2604" t="s">
        <v>18</v>
      </c>
      <c r="C2604">
        <v>23</v>
      </c>
      <c r="D2604" t="s">
        <v>37</v>
      </c>
      <c r="E2604" t="s">
        <v>106</v>
      </c>
      <c r="F2604" s="1">
        <v>42494</v>
      </c>
      <c r="G2604" s="1">
        <v>42502</v>
      </c>
      <c r="H2604" t="s">
        <v>33</v>
      </c>
      <c r="I2604">
        <v>8</v>
      </c>
      <c r="J2604" t="s">
        <v>92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1</v>
      </c>
      <c r="Q2604" t="s">
        <v>26</v>
      </c>
      <c r="R2604">
        <v>1</v>
      </c>
    </row>
    <row r="2605" spans="1:18">
      <c r="A2605" s="4">
        <v>6223210000000</v>
      </c>
      <c r="B2605" t="s">
        <v>18</v>
      </c>
      <c r="C2605">
        <v>36</v>
      </c>
      <c r="D2605" t="s">
        <v>27</v>
      </c>
      <c r="E2605" t="s">
        <v>45</v>
      </c>
      <c r="F2605" s="1">
        <v>42494</v>
      </c>
      <c r="G2605" s="1">
        <v>42508</v>
      </c>
      <c r="H2605" t="s">
        <v>25</v>
      </c>
      <c r="I2605">
        <v>14</v>
      </c>
      <c r="J2605" t="s">
        <v>92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26</v>
      </c>
      <c r="R2605">
        <v>1</v>
      </c>
    </row>
    <row r="2606" spans="1:18">
      <c r="A2606" s="4">
        <v>919415000000000</v>
      </c>
      <c r="B2606" t="s">
        <v>18</v>
      </c>
      <c r="C2606">
        <v>19</v>
      </c>
      <c r="D2606" t="s">
        <v>37</v>
      </c>
      <c r="E2606" t="s">
        <v>73</v>
      </c>
      <c r="F2606" s="1">
        <v>42494</v>
      </c>
      <c r="G2606" s="1">
        <v>42520</v>
      </c>
      <c r="H2606" t="s">
        <v>30</v>
      </c>
      <c r="I2606">
        <v>26</v>
      </c>
      <c r="J2606" t="s">
        <v>77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1</v>
      </c>
      <c r="Q2606" t="s">
        <v>23</v>
      </c>
      <c r="R2606">
        <v>0</v>
      </c>
    </row>
    <row r="2607" spans="1:18">
      <c r="A2607" s="4">
        <v>47294200000000</v>
      </c>
      <c r="B2607" t="s">
        <v>18</v>
      </c>
      <c r="C2607">
        <v>24</v>
      </c>
      <c r="D2607" t="s">
        <v>37</v>
      </c>
      <c r="E2607" t="s">
        <v>82</v>
      </c>
      <c r="F2607" s="1">
        <v>42494</v>
      </c>
      <c r="G2607" s="1">
        <v>42499</v>
      </c>
      <c r="H2607" t="s">
        <v>30</v>
      </c>
      <c r="I2607">
        <v>5</v>
      </c>
      <c r="J2607" t="s">
        <v>107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23</v>
      </c>
      <c r="R2607">
        <v>0</v>
      </c>
    </row>
    <row r="2608" spans="1:18">
      <c r="A2608" s="4">
        <v>469112000000</v>
      </c>
      <c r="B2608" t="s">
        <v>28</v>
      </c>
      <c r="C2608">
        <v>36</v>
      </c>
      <c r="D2608" t="s">
        <v>27</v>
      </c>
      <c r="E2608" t="s">
        <v>68</v>
      </c>
      <c r="F2608" s="1">
        <v>42494</v>
      </c>
      <c r="G2608" s="1">
        <v>42495</v>
      </c>
      <c r="H2608" t="s">
        <v>33</v>
      </c>
      <c r="I2608">
        <v>1</v>
      </c>
      <c r="J2608" t="s">
        <v>109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23</v>
      </c>
      <c r="R2608">
        <v>0</v>
      </c>
    </row>
    <row r="2609" spans="1:18">
      <c r="A2609" s="4">
        <v>419163000000</v>
      </c>
      <c r="B2609" t="s">
        <v>18</v>
      </c>
      <c r="C2609">
        <v>20</v>
      </c>
      <c r="D2609" t="s">
        <v>37</v>
      </c>
      <c r="E2609" t="s">
        <v>79</v>
      </c>
      <c r="F2609" s="1">
        <v>42494</v>
      </c>
      <c r="G2609" s="1">
        <v>42503</v>
      </c>
      <c r="H2609" t="s">
        <v>21</v>
      </c>
      <c r="I2609">
        <v>9</v>
      </c>
      <c r="J2609" t="s">
        <v>92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23</v>
      </c>
      <c r="R2609">
        <v>0</v>
      </c>
    </row>
    <row r="2610" spans="1:18">
      <c r="A2610" s="4">
        <v>7943290000000</v>
      </c>
      <c r="B2610" t="s">
        <v>18</v>
      </c>
      <c r="C2610">
        <v>52</v>
      </c>
      <c r="D2610" t="s">
        <v>35</v>
      </c>
      <c r="E2610" t="s">
        <v>55</v>
      </c>
      <c r="F2610" s="1">
        <v>42494</v>
      </c>
      <c r="G2610" s="1">
        <v>42501</v>
      </c>
      <c r="H2610" t="s">
        <v>25</v>
      </c>
      <c r="I2610">
        <v>7</v>
      </c>
      <c r="J2610" t="s">
        <v>107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26</v>
      </c>
      <c r="R2610">
        <v>1</v>
      </c>
    </row>
    <row r="2611" spans="1:18">
      <c r="A2611" s="4">
        <v>64498118518</v>
      </c>
      <c r="B2611" t="s">
        <v>18</v>
      </c>
      <c r="C2611">
        <v>29</v>
      </c>
      <c r="D2611" t="s">
        <v>37</v>
      </c>
      <c r="E2611" t="s">
        <v>58</v>
      </c>
      <c r="F2611" s="1">
        <v>42494</v>
      </c>
      <c r="G2611" s="1">
        <v>42515</v>
      </c>
      <c r="H2611" t="s">
        <v>25</v>
      </c>
      <c r="I2611">
        <v>21</v>
      </c>
      <c r="J2611" t="s">
        <v>77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1</v>
      </c>
      <c r="Q2611" t="s">
        <v>23</v>
      </c>
      <c r="R2611">
        <v>0</v>
      </c>
    </row>
    <row r="2612" spans="1:18">
      <c r="A2612" s="4">
        <v>415862000000000</v>
      </c>
      <c r="B2612" t="s">
        <v>18</v>
      </c>
      <c r="C2612">
        <v>21</v>
      </c>
      <c r="D2612" t="s">
        <v>37</v>
      </c>
      <c r="E2612" t="s">
        <v>68</v>
      </c>
      <c r="F2612" s="1">
        <v>42494</v>
      </c>
      <c r="G2612" s="1">
        <v>42528</v>
      </c>
      <c r="H2612" t="s">
        <v>41</v>
      </c>
      <c r="I2612">
        <v>34</v>
      </c>
      <c r="J2612" t="s">
        <v>22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1</v>
      </c>
      <c r="Q2612" t="s">
        <v>23</v>
      </c>
      <c r="R2612">
        <v>0</v>
      </c>
    </row>
    <row r="2613" spans="1:18">
      <c r="A2613" s="4">
        <v>3715210000000</v>
      </c>
      <c r="B2613" t="s">
        <v>28</v>
      </c>
      <c r="C2613">
        <v>38</v>
      </c>
      <c r="D2613" t="s">
        <v>27</v>
      </c>
      <c r="E2613" t="s">
        <v>51</v>
      </c>
      <c r="F2613" s="1">
        <v>42494</v>
      </c>
      <c r="G2613" s="1">
        <v>42499</v>
      </c>
      <c r="H2613" t="s">
        <v>30</v>
      </c>
      <c r="I2613">
        <v>5</v>
      </c>
      <c r="J2613" t="s">
        <v>107</v>
      </c>
      <c r="K2613">
        <v>0</v>
      </c>
      <c r="L2613">
        <v>1</v>
      </c>
      <c r="M2613">
        <v>0</v>
      </c>
      <c r="N2613">
        <v>0</v>
      </c>
      <c r="O2613">
        <v>0</v>
      </c>
      <c r="P2613">
        <v>0</v>
      </c>
      <c r="Q2613" t="s">
        <v>23</v>
      </c>
      <c r="R2613">
        <v>0</v>
      </c>
    </row>
    <row r="2614" spans="1:18">
      <c r="A2614" s="4">
        <v>42743600000000</v>
      </c>
      <c r="B2614" t="s">
        <v>18</v>
      </c>
      <c r="C2614">
        <v>26</v>
      </c>
      <c r="D2614" t="s">
        <v>37</v>
      </c>
      <c r="E2614" t="s">
        <v>59</v>
      </c>
      <c r="F2614" s="1">
        <v>42494</v>
      </c>
      <c r="G2614" s="1">
        <v>42508</v>
      </c>
      <c r="H2614" t="s">
        <v>25</v>
      </c>
      <c r="I2614">
        <v>14</v>
      </c>
      <c r="J2614" t="s">
        <v>92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23</v>
      </c>
      <c r="R2614">
        <v>0</v>
      </c>
    </row>
    <row r="2615" spans="1:18">
      <c r="A2615" s="4">
        <v>89511300000000</v>
      </c>
      <c r="B2615" t="s">
        <v>18</v>
      </c>
      <c r="C2615">
        <v>34</v>
      </c>
      <c r="D2615" t="s">
        <v>37</v>
      </c>
      <c r="E2615" t="s">
        <v>61</v>
      </c>
      <c r="F2615" s="1">
        <v>42494</v>
      </c>
      <c r="G2615" s="1">
        <v>42499</v>
      </c>
      <c r="H2615" t="s">
        <v>30</v>
      </c>
      <c r="I2615">
        <v>5</v>
      </c>
      <c r="J2615" t="s">
        <v>107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26</v>
      </c>
      <c r="R2615">
        <v>1</v>
      </c>
    </row>
    <row r="2616" spans="1:18">
      <c r="A2616" s="4">
        <v>78832500000000</v>
      </c>
      <c r="B2616" t="s">
        <v>18</v>
      </c>
      <c r="C2616">
        <v>15</v>
      </c>
      <c r="D2616" t="s">
        <v>60</v>
      </c>
      <c r="E2616" t="s">
        <v>43</v>
      </c>
      <c r="F2616" s="1">
        <v>42494</v>
      </c>
      <c r="G2616" s="1">
        <v>42494</v>
      </c>
      <c r="H2616" t="s">
        <v>25</v>
      </c>
      <c r="I2616">
        <v>0</v>
      </c>
      <c r="J2616" t="s">
        <v>111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23</v>
      </c>
      <c r="R2616">
        <v>0</v>
      </c>
    </row>
    <row r="2617" spans="1:18">
      <c r="A2617" s="4">
        <v>1143790000000</v>
      </c>
      <c r="B2617" t="s">
        <v>18</v>
      </c>
      <c r="C2617">
        <v>19</v>
      </c>
      <c r="D2617" t="s">
        <v>37</v>
      </c>
      <c r="E2617" t="s">
        <v>44</v>
      </c>
      <c r="F2617" s="1">
        <v>42494</v>
      </c>
      <c r="G2617" s="1">
        <v>42494</v>
      </c>
      <c r="H2617" t="s">
        <v>25</v>
      </c>
      <c r="I2617">
        <v>0</v>
      </c>
      <c r="J2617" t="s">
        <v>111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23</v>
      </c>
      <c r="R2617">
        <v>0</v>
      </c>
    </row>
    <row r="2618" spans="1:18">
      <c r="A2618" s="4">
        <v>1756700000000</v>
      </c>
      <c r="B2618" t="s">
        <v>28</v>
      </c>
      <c r="C2618">
        <v>74</v>
      </c>
      <c r="D2618" t="s">
        <v>19</v>
      </c>
      <c r="E2618" t="s">
        <v>96</v>
      </c>
      <c r="F2618" s="1">
        <v>42494</v>
      </c>
      <c r="G2618" s="1">
        <v>42494</v>
      </c>
      <c r="H2618" t="s">
        <v>25</v>
      </c>
      <c r="I2618">
        <v>0</v>
      </c>
      <c r="J2618" t="s">
        <v>111</v>
      </c>
      <c r="K2618">
        <v>0</v>
      </c>
      <c r="L2618">
        <v>1</v>
      </c>
      <c r="M2618">
        <v>0</v>
      </c>
      <c r="N2618">
        <v>1</v>
      </c>
      <c r="O2618">
        <v>0</v>
      </c>
      <c r="P2618">
        <v>0</v>
      </c>
      <c r="Q2618" t="s">
        <v>23</v>
      </c>
      <c r="R2618">
        <v>0</v>
      </c>
    </row>
    <row r="2619" spans="1:18">
      <c r="A2619" s="4">
        <v>71898800000000</v>
      </c>
      <c r="B2619" t="s">
        <v>28</v>
      </c>
      <c r="C2619">
        <v>49</v>
      </c>
      <c r="D2619" t="s">
        <v>27</v>
      </c>
      <c r="E2619" t="s">
        <v>39</v>
      </c>
      <c r="F2619" s="1">
        <v>42494</v>
      </c>
      <c r="G2619" s="1">
        <v>42494</v>
      </c>
      <c r="H2619" t="s">
        <v>25</v>
      </c>
      <c r="I2619">
        <v>0</v>
      </c>
      <c r="J2619" t="s">
        <v>111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23</v>
      </c>
      <c r="R2619">
        <v>0</v>
      </c>
    </row>
    <row r="2620" spans="1:18">
      <c r="A2620" s="4">
        <v>871375000000000</v>
      </c>
      <c r="B2620" t="s">
        <v>28</v>
      </c>
      <c r="C2620">
        <v>63</v>
      </c>
      <c r="D2620" t="s">
        <v>35</v>
      </c>
      <c r="E2620" t="s">
        <v>54</v>
      </c>
      <c r="F2620" s="1">
        <v>42494</v>
      </c>
      <c r="G2620" s="1">
        <v>42494</v>
      </c>
      <c r="H2620" t="s">
        <v>25</v>
      </c>
      <c r="I2620">
        <v>0</v>
      </c>
      <c r="J2620" t="s">
        <v>111</v>
      </c>
      <c r="K2620">
        <v>0</v>
      </c>
      <c r="L2620">
        <v>0</v>
      </c>
      <c r="M2620">
        <v>0</v>
      </c>
      <c r="N2620">
        <v>1</v>
      </c>
      <c r="O2620">
        <v>0</v>
      </c>
      <c r="P2620">
        <v>0</v>
      </c>
      <c r="Q2620" t="s">
        <v>23</v>
      </c>
      <c r="R2620">
        <v>0</v>
      </c>
    </row>
    <row r="2621" spans="1:18">
      <c r="A2621" s="4">
        <v>9452750000000</v>
      </c>
      <c r="B2621" t="s">
        <v>28</v>
      </c>
      <c r="C2621">
        <v>59</v>
      </c>
      <c r="D2621" t="s">
        <v>35</v>
      </c>
      <c r="E2621" t="s">
        <v>62</v>
      </c>
      <c r="F2621" s="1">
        <v>42494</v>
      </c>
      <c r="G2621" s="1">
        <v>42494</v>
      </c>
      <c r="H2621" t="s">
        <v>25</v>
      </c>
      <c r="I2621">
        <v>0</v>
      </c>
      <c r="J2621" t="s">
        <v>111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23</v>
      </c>
      <c r="R2621">
        <v>0</v>
      </c>
    </row>
    <row r="2622" spans="1:18">
      <c r="A2622" s="4">
        <v>89186900000000</v>
      </c>
      <c r="B2622" t="s">
        <v>18</v>
      </c>
      <c r="C2622">
        <v>52</v>
      </c>
      <c r="D2622" t="s">
        <v>35</v>
      </c>
      <c r="E2622" t="s">
        <v>65</v>
      </c>
      <c r="F2622" s="1">
        <v>42494</v>
      </c>
      <c r="G2622" s="1">
        <v>42500</v>
      </c>
      <c r="H2622" t="s">
        <v>41</v>
      </c>
      <c r="I2622">
        <v>6</v>
      </c>
      <c r="J2622" t="s">
        <v>107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1</v>
      </c>
      <c r="Q2622" t="s">
        <v>26</v>
      </c>
      <c r="R2622">
        <v>1</v>
      </c>
    </row>
    <row r="2623" spans="1:18">
      <c r="A2623" s="4">
        <v>66844900000000</v>
      </c>
      <c r="B2623" t="s">
        <v>18</v>
      </c>
      <c r="C2623">
        <v>52</v>
      </c>
      <c r="D2623" t="s">
        <v>35</v>
      </c>
      <c r="E2623" t="s">
        <v>49</v>
      </c>
      <c r="F2623" s="1">
        <v>42494</v>
      </c>
      <c r="G2623" s="1">
        <v>42494</v>
      </c>
      <c r="H2623" t="s">
        <v>25</v>
      </c>
      <c r="I2623">
        <v>0</v>
      </c>
      <c r="J2623" t="s">
        <v>111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23</v>
      </c>
      <c r="R2623">
        <v>0</v>
      </c>
    </row>
    <row r="2624" spans="1:18">
      <c r="A2624" s="4">
        <v>168738000000000</v>
      </c>
      <c r="B2624" t="s">
        <v>18</v>
      </c>
      <c r="C2624">
        <v>53</v>
      </c>
      <c r="D2624" t="s">
        <v>35</v>
      </c>
      <c r="E2624" t="s">
        <v>67</v>
      </c>
      <c r="F2624" s="1">
        <v>42494</v>
      </c>
      <c r="G2624" s="1">
        <v>42522</v>
      </c>
      <c r="H2624" t="s">
        <v>25</v>
      </c>
      <c r="I2624">
        <v>28</v>
      </c>
      <c r="J2624" t="s">
        <v>77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1</v>
      </c>
      <c r="Q2624" t="s">
        <v>26</v>
      </c>
      <c r="R2624">
        <v>1</v>
      </c>
    </row>
    <row r="2625" spans="1:18">
      <c r="A2625" s="4">
        <v>894627000000000</v>
      </c>
      <c r="B2625" t="s">
        <v>28</v>
      </c>
      <c r="C2625">
        <v>12</v>
      </c>
      <c r="D2625" t="s">
        <v>31</v>
      </c>
      <c r="E2625" t="s">
        <v>57</v>
      </c>
      <c r="F2625" s="1">
        <v>42494</v>
      </c>
      <c r="G2625" s="1">
        <v>42495</v>
      </c>
      <c r="H2625" t="s">
        <v>33</v>
      </c>
      <c r="I2625">
        <v>1</v>
      </c>
      <c r="J2625" t="s">
        <v>109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23</v>
      </c>
      <c r="R2625">
        <v>0</v>
      </c>
    </row>
    <row r="2626" spans="1:18">
      <c r="A2626" s="4">
        <v>74694000000000</v>
      </c>
      <c r="B2626" t="s">
        <v>18</v>
      </c>
      <c r="C2626">
        <v>51</v>
      </c>
      <c r="D2626" t="s">
        <v>35</v>
      </c>
      <c r="E2626" t="s">
        <v>67</v>
      </c>
      <c r="F2626" s="1">
        <v>42494</v>
      </c>
      <c r="G2626" s="1">
        <v>42522</v>
      </c>
      <c r="H2626" t="s">
        <v>25</v>
      </c>
      <c r="I2626">
        <v>28</v>
      </c>
      <c r="J2626" t="s">
        <v>77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1</v>
      </c>
      <c r="Q2626" t="s">
        <v>26</v>
      </c>
      <c r="R2626">
        <v>1</v>
      </c>
    </row>
    <row r="2627" spans="1:18">
      <c r="A2627" s="4">
        <v>42154500000000</v>
      </c>
      <c r="B2627" t="s">
        <v>18</v>
      </c>
      <c r="C2627">
        <v>25</v>
      </c>
      <c r="D2627" t="s">
        <v>37</v>
      </c>
      <c r="E2627" t="s">
        <v>50</v>
      </c>
      <c r="F2627" s="1">
        <v>42494</v>
      </c>
      <c r="G2627" s="1">
        <v>42499</v>
      </c>
      <c r="H2627" t="s">
        <v>30</v>
      </c>
      <c r="I2627">
        <v>5</v>
      </c>
      <c r="J2627" t="s">
        <v>107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23</v>
      </c>
      <c r="R2627">
        <v>0</v>
      </c>
    </row>
    <row r="2628" spans="1:18">
      <c r="A2628" s="4">
        <v>6383700000000</v>
      </c>
      <c r="B2628" t="s">
        <v>28</v>
      </c>
      <c r="C2628">
        <v>9</v>
      </c>
      <c r="D2628" t="s">
        <v>31</v>
      </c>
      <c r="E2628" t="s">
        <v>69</v>
      </c>
      <c r="F2628" s="1">
        <v>42494</v>
      </c>
      <c r="G2628" s="1">
        <v>42494</v>
      </c>
      <c r="H2628" t="s">
        <v>25</v>
      </c>
      <c r="I2628">
        <v>0</v>
      </c>
      <c r="J2628" t="s">
        <v>111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23</v>
      </c>
      <c r="R2628">
        <v>0</v>
      </c>
    </row>
    <row r="2629" spans="1:18">
      <c r="A2629" s="4">
        <v>563514000000000</v>
      </c>
      <c r="B2629" t="s">
        <v>28</v>
      </c>
      <c r="C2629">
        <v>9</v>
      </c>
      <c r="D2629" t="s">
        <v>31</v>
      </c>
      <c r="E2629" t="s">
        <v>84</v>
      </c>
      <c r="F2629" s="1">
        <v>42494</v>
      </c>
      <c r="G2629" s="1">
        <v>42494</v>
      </c>
      <c r="H2629" t="s">
        <v>25</v>
      </c>
      <c r="I2629">
        <v>0</v>
      </c>
      <c r="J2629" t="s">
        <v>111</v>
      </c>
      <c r="K2629">
        <v>1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26</v>
      </c>
      <c r="R2629">
        <v>1</v>
      </c>
    </row>
    <row r="2630" spans="1:18">
      <c r="A2630" s="4">
        <v>3799780000000</v>
      </c>
      <c r="B2630" t="s">
        <v>18</v>
      </c>
      <c r="C2630">
        <v>15</v>
      </c>
      <c r="D2630" t="s">
        <v>60</v>
      </c>
      <c r="E2630" t="s">
        <v>53</v>
      </c>
      <c r="F2630" s="1">
        <v>42494</v>
      </c>
      <c r="G2630" s="1">
        <v>42515</v>
      </c>
      <c r="H2630" t="s">
        <v>25</v>
      </c>
      <c r="I2630">
        <v>21</v>
      </c>
      <c r="J2630" t="s">
        <v>77</v>
      </c>
      <c r="K2630">
        <v>1</v>
      </c>
      <c r="L2630">
        <v>0</v>
      </c>
      <c r="M2630">
        <v>0</v>
      </c>
      <c r="N2630">
        <v>0</v>
      </c>
      <c r="O2630">
        <v>0</v>
      </c>
      <c r="P2630">
        <v>1</v>
      </c>
      <c r="Q2630" t="s">
        <v>23</v>
      </c>
      <c r="R2630">
        <v>0</v>
      </c>
    </row>
    <row r="2631" spans="1:18">
      <c r="A2631" s="4">
        <v>2338830000000</v>
      </c>
      <c r="B2631" t="s">
        <v>28</v>
      </c>
      <c r="C2631">
        <v>16</v>
      </c>
      <c r="D2631" t="s">
        <v>60</v>
      </c>
      <c r="E2631" t="s">
        <v>48</v>
      </c>
      <c r="F2631" s="1">
        <v>42494</v>
      </c>
      <c r="G2631" s="1">
        <v>42494</v>
      </c>
      <c r="H2631" t="s">
        <v>25</v>
      </c>
      <c r="I2631">
        <v>0</v>
      </c>
      <c r="J2631" t="s">
        <v>111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23</v>
      </c>
      <c r="R2631">
        <v>0</v>
      </c>
    </row>
    <row r="2632" spans="1:18">
      <c r="A2632" s="4">
        <v>7489750000000</v>
      </c>
      <c r="B2632" t="s">
        <v>18</v>
      </c>
      <c r="C2632">
        <v>33</v>
      </c>
      <c r="D2632" t="s">
        <v>37</v>
      </c>
      <c r="E2632" t="s">
        <v>45</v>
      </c>
      <c r="F2632" s="1">
        <v>42494</v>
      </c>
      <c r="G2632" s="1">
        <v>42524</v>
      </c>
      <c r="H2632" t="s">
        <v>21</v>
      </c>
      <c r="I2632">
        <v>30</v>
      </c>
      <c r="J2632" t="s">
        <v>77</v>
      </c>
      <c r="K2632">
        <v>1</v>
      </c>
      <c r="L2632">
        <v>0</v>
      </c>
      <c r="M2632">
        <v>0</v>
      </c>
      <c r="N2632">
        <v>0</v>
      </c>
      <c r="O2632">
        <v>0</v>
      </c>
      <c r="P2632">
        <v>1</v>
      </c>
      <c r="Q2632" t="s">
        <v>23</v>
      </c>
      <c r="R2632">
        <v>0</v>
      </c>
    </row>
    <row r="2633" spans="1:18">
      <c r="A2633" s="4">
        <v>78939426492</v>
      </c>
      <c r="B2633" t="s">
        <v>18</v>
      </c>
      <c r="C2633">
        <v>33</v>
      </c>
      <c r="D2633" t="s">
        <v>37</v>
      </c>
      <c r="E2633" t="s">
        <v>61</v>
      </c>
      <c r="F2633" s="1">
        <v>42494</v>
      </c>
      <c r="G2633" s="1">
        <v>42500</v>
      </c>
      <c r="H2633" t="s">
        <v>41</v>
      </c>
      <c r="I2633">
        <v>6</v>
      </c>
      <c r="J2633" t="s">
        <v>107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1</v>
      </c>
      <c r="Q2633" t="s">
        <v>26</v>
      </c>
      <c r="R2633">
        <v>1</v>
      </c>
    </row>
    <row r="2634" spans="1:18">
      <c r="A2634" s="4">
        <v>721734000000000</v>
      </c>
      <c r="B2634" t="s">
        <v>18</v>
      </c>
      <c r="C2634">
        <v>66</v>
      </c>
      <c r="D2634" t="s">
        <v>19</v>
      </c>
      <c r="E2634" t="s">
        <v>29</v>
      </c>
      <c r="F2634" s="1">
        <v>42494</v>
      </c>
      <c r="G2634" s="1">
        <v>42494</v>
      </c>
      <c r="H2634" t="s">
        <v>25</v>
      </c>
      <c r="I2634">
        <v>0</v>
      </c>
      <c r="J2634" t="s">
        <v>111</v>
      </c>
      <c r="K2634">
        <v>0</v>
      </c>
      <c r="L2634">
        <v>1</v>
      </c>
      <c r="M2634">
        <v>1</v>
      </c>
      <c r="N2634">
        <v>0</v>
      </c>
      <c r="O2634">
        <v>0</v>
      </c>
      <c r="P2634">
        <v>0</v>
      </c>
      <c r="Q2634" t="s">
        <v>23</v>
      </c>
      <c r="R2634">
        <v>0</v>
      </c>
    </row>
    <row r="2635" spans="1:18">
      <c r="A2635" s="4">
        <v>249164000000000</v>
      </c>
      <c r="B2635" t="s">
        <v>28</v>
      </c>
      <c r="C2635">
        <v>8</v>
      </c>
      <c r="D2635" t="s">
        <v>31</v>
      </c>
      <c r="E2635" t="s">
        <v>47</v>
      </c>
      <c r="F2635" s="1">
        <v>42494</v>
      </c>
      <c r="G2635" s="1">
        <v>42494</v>
      </c>
      <c r="H2635" t="s">
        <v>25</v>
      </c>
      <c r="I2635">
        <v>0</v>
      </c>
      <c r="J2635" t="s">
        <v>111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26</v>
      </c>
      <c r="R2635">
        <v>1</v>
      </c>
    </row>
    <row r="2636" spans="1:18">
      <c r="A2636" s="4">
        <v>5669580000000</v>
      </c>
      <c r="B2636" t="s">
        <v>18</v>
      </c>
      <c r="C2636">
        <v>10</v>
      </c>
      <c r="D2636" t="s">
        <v>31</v>
      </c>
      <c r="E2636" t="s">
        <v>68</v>
      </c>
      <c r="F2636" s="1">
        <v>42494</v>
      </c>
      <c r="G2636" s="1">
        <v>42494</v>
      </c>
      <c r="H2636" t="s">
        <v>25</v>
      </c>
      <c r="I2636">
        <v>0</v>
      </c>
      <c r="J2636" t="s">
        <v>111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26</v>
      </c>
      <c r="R2636">
        <v>1</v>
      </c>
    </row>
    <row r="2637" spans="1:18">
      <c r="A2637" s="4">
        <v>6383700000000</v>
      </c>
      <c r="B2637" t="s">
        <v>28</v>
      </c>
      <c r="C2637">
        <v>9</v>
      </c>
      <c r="D2637" t="s">
        <v>31</v>
      </c>
      <c r="E2637" t="s">
        <v>69</v>
      </c>
      <c r="F2637" s="1">
        <v>42494</v>
      </c>
      <c r="G2637" s="1">
        <v>42494</v>
      </c>
      <c r="H2637" t="s">
        <v>25</v>
      </c>
      <c r="I2637">
        <v>0</v>
      </c>
      <c r="J2637" t="s">
        <v>111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26</v>
      </c>
      <c r="R2637">
        <v>1</v>
      </c>
    </row>
    <row r="2638" spans="1:18">
      <c r="A2638" s="4">
        <v>4176780000000</v>
      </c>
      <c r="B2638" t="s">
        <v>18</v>
      </c>
      <c r="C2638">
        <v>60</v>
      </c>
      <c r="D2638" t="s">
        <v>35</v>
      </c>
      <c r="E2638" t="s">
        <v>78</v>
      </c>
      <c r="F2638" s="1">
        <v>42494</v>
      </c>
      <c r="G2638" s="1">
        <v>42496</v>
      </c>
      <c r="H2638" t="s">
        <v>21</v>
      </c>
      <c r="I2638">
        <v>2</v>
      </c>
      <c r="J2638" t="s">
        <v>109</v>
      </c>
      <c r="K2638">
        <v>0</v>
      </c>
      <c r="L2638">
        <v>1</v>
      </c>
      <c r="M2638">
        <v>1</v>
      </c>
      <c r="N2638">
        <v>0</v>
      </c>
      <c r="O2638">
        <v>0</v>
      </c>
      <c r="P2638">
        <v>0</v>
      </c>
      <c r="Q2638" t="s">
        <v>23</v>
      </c>
      <c r="R2638">
        <v>0</v>
      </c>
    </row>
    <row r="2639" spans="1:18">
      <c r="A2639" s="4">
        <v>7612860000000</v>
      </c>
      <c r="B2639" t="s">
        <v>18</v>
      </c>
      <c r="C2639">
        <v>37</v>
      </c>
      <c r="D2639" t="s">
        <v>27</v>
      </c>
      <c r="E2639" t="s">
        <v>39</v>
      </c>
      <c r="F2639" s="1">
        <v>42494</v>
      </c>
      <c r="G2639" s="1">
        <v>42494</v>
      </c>
      <c r="H2639" t="s">
        <v>25</v>
      </c>
      <c r="I2639">
        <v>0</v>
      </c>
      <c r="J2639" t="s">
        <v>111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23</v>
      </c>
      <c r="R2639">
        <v>0</v>
      </c>
    </row>
    <row r="2640" spans="1:18">
      <c r="A2640" s="4">
        <v>224493000000</v>
      </c>
      <c r="B2640" t="s">
        <v>18</v>
      </c>
      <c r="C2640">
        <v>36</v>
      </c>
      <c r="D2640" t="s">
        <v>27</v>
      </c>
      <c r="E2640" t="s">
        <v>29</v>
      </c>
      <c r="F2640" s="1">
        <v>42494</v>
      </c>
      <c r="G2640" s="1">
        <v>42507</v>
      </c>
      <c r="H2640" t="s">
        <v>41</v>
      </c>
      <c r="I2640">
        <v>13</v>
      </c>
      <c r="J2640" t="s">
        <v>92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26</v>
      </c>
      <c r="R2640">
        <v>1</v>
      </c>
    </row>
    <row r="2641" spans="1:18">
      <c r="A2641" s="4">
        <v>229228000000000</v>
      </c>
      <c r="B2641" t="s">
        <v>18</v>
      </c>
      <c r="C2641">
        <v>49</v>
      </c>
      <c r="D2641" t="s">
        <v>27</v>
      </c>
      <c r="E2641" t="s">
        <v>75</v>
      </c>
      <c r="F2641" s="1">
        <v>42494</v>
      </c>
      <c r="G2641" s="1">
        <v>42496</v>
      </c>
      <c r="H2641" t="s">
        <v>21</v>
      </c>
      <c r="I2641">
        <v>2</v>
      </c>
      <c r="J2641" t="s">
        <v>109</v>
      </c>
      <c r="K2641">
        <v>0</v>
      </c>
      <c r="L2641">
        <v>1</v>
      </c>
      <c r="M2641">
        <v>1</v>
      </c>
      <c r="N2641">
        <v>0</v>
      </c>
      <c r="O2641">
        <v>0</v>
      </c>
      <c r="P2641">
        <v>0</v>
      </c>
      <c r="Q2641" t="s">
        <v>26</v>
      </c>
      <c r="R2641">
        <v>1</v>
      </c>
    </row>
    <row r="2642" spans="1:18">
      <c r="A2642" s="4">
        <v>395674000000</v>
      </c>
      <c r="B2642" t="s">
        <v>18</v>
      </c>
      <c r="C2642">
        <v>45</v>
      </c>
      <c r="D2642" t="s">
        <v>27</v>
      </c>
      <c r="E2642" t="s">
        <v>40</v>
      </c>
      <c r="F2642" s="1">
        <v>42494</v>
      </c>
      <c r="G2642" s="1">
        <v>42496</v>
      </c>
      <c r="H2642" t="s">
        <v>21</v>
      </c>
      <c r="I2642">
        <v>2</v>
      </c>
      <c r="J2642" t="s">
        <v>109</v>
      </c>
      <c r="K2642">
        <v>0</v>
      </c>
      <c r="L2642">
        <v>1</v>
      </c>
      <c r="M2642">
        <v>1</v>
      </c>
      <c r="N2642">
        <v>0</v>
      </c>
      <c r="O2642">
        <v>0</v>
      </c>
      <c r="P2642">
        <v>0</v>
      </c>
      <c r="Q2642" t="s">
        <v>23</v>
      </c>
      <c r="R2642">
        <v>0</v>
      </c>
    </row>
    <row r="2643" spans="1:18">
      <c r="A2643" s="4">
        <v>731784000000000</v>
      </c>
      <c r="B2643" t="s">
        <v>18</v>
      </c>
      <c r="C2643">
        <v>49</v>
      </c>
      <c r="D2643" t="s">
        <v>27</v>
      </c>
      <c r="E2643" t="s">
        <v>43</v>
      </c>
      <c r="F2643" s="1">
        <v>42494</v>
      </c>
      <c r="G2643" s="1">
        <v>42496</v>
      </c>
      <c r="H2643" t="s">
        <v>21</v>
      </c>
      <c r="I2643">
        <v>2</v>
      </c>
      <c r="J2643" t="s">
        <v>109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23</v>
      </c>
      <c r="R2643">
        <v>0</v>
      </c>
    </row>
    <row r="2644" spans="1:18">
      <c r="A2644" s="4">
        <v>4653950000000</v>
      </c>
      <c r="B2644" t="s">
        <v>18</v>
      </c>
      <c r="C2644">
        <v>74</v>
      </c>
      <c r="D2644" t="s">
        <v>19</v>
      </c>
      <c r="E2644" t="s">
        <v>72</v>
      </c>
      <c r="F2644" s="1">
        <v>42494</v>
      </c>
      <c r="G2644" s="1">
        <v>42522</v>
      </c>
      <c r="H2644" t="s">
        <v>25</v>
      </c>
      <c r="I2644">
        <v>28</v>
      </c>
      <c r="J2644" t="s">
        <v>77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1</v>
      </c>
      <c r="Q2644" t="s">
        <v>23</v>
      </c>
      <c r="R2644">
        <v>0</v>
      </c>
    </row>
    <row r="2645" spans="1:18">
      <c r="A2645" s="4">
        <v>71457100000000</v>
      </c>
      <c r="B2645" t="s">
        <v>28</v>
      </c>
      <c r="C2645">
        <v>50</v>
      </c>
      <c r="D2645" t="s">
        <v>27</v>
      </c>
      <c r="E2645" t="s">
        <v>34</v>
      </c>
      <c r="F2645" s="1">
        <v>42494</v>
      </c>
      <c r="G2645" s="1">
        <v>42496</v>
      </c>
      <c r="H2645" t="s">
        <v>21</v>
      </c>
      <c r="I2645">
        <v>2</v>
      </c>
      <c r="J2645" t="s">
        <v>109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23</v>
      </c>
      <c r="R2645">
        <v>0</v>
      </c>
    </row>
    <row r="2646" spans="1:18">
      <c r="A2646" s="4">
        <v>6521740000000</v>
      </c>
      <c r="B2646" t="s">
        <v>18</v>
      </c>
      <c r="C2646">
        <v>73</v>
      </c>
      <c r="D2646" t="s">
        <v>19</v>
      </c>
      <c r="E2646" t="s">
        <v>59</v>
      </c>
      <c r="F2646" s="1">
        <v>42494</v>
      </c>
      <c r="G2646" s="1">
        <v>42496</v>
      </c>
      <c r="H2646" t="s">
        <v>21</v>
      </c>
      <c r="I2646">
        <v>2</v>
      </c>
      <c r="J2646" t="s">
        <v>109</v>
      </c>
      <c r="K2646">
        <v>0</v>
      </c>
      <c r="L2646">
        <v>1</v>
      </c>
      <c r="M2646">
        <v>0</v>
      </c>
      <c r="N2646">
        <v>0</v>
      </c>
      <c r="O2646">
        <v>0</v>
      </c>
      <c r="P2646">
        <v>0</v>
      </c>
      <c r="Q2646" t="s">
        <v>23</v>
      </c>
      <c r="R2646">
        <v>0</v>
      </c>
    </row>
    <row r="2647" spans="1:18">
      <c r="A2647" s="4">
        <v>414369000000</v>
      </c>
      <c r="B2647" t="s">
        <v>18</v>
      </c>
      <c r="C2647">
        <v>54</v>
      </c>
      <c r="D2647" t="s">
        <v>35</v>
      </c>
      <c r="E2647" t="s">
        <v>61</v>
      </c>
      <c r="F2647" s="1">
        <v>42494</v>
      </c>
      <c r="G2647" s="1">
        <v>42496</v>
      </c>
      <c r="H2647" t="s">
        <v>21</v>
      </c>
      <c r="I2647">
        <v>2</v>
      </c>
      <c r="J2647" t="s">
        <v>109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26</v>
      </c>
      <c r="R2647">
        <v>1</v>
      </c>
    </row>
    <row r="2648" spans="1:18">
      <c r="A2648" s="4">
        <v>15594200000000</v>
      </c>
      <c r="B2648" t="s">
        <v>18</v>
      </c>
      <c r="C2648">
        <v>12</v>
      </c>
      <c r="D2648" t="s">
        <v>31</v>
      </c>
      <c r="E2648" t="s">
        <v>72</v>
      </c>
      <c r="F2648" s="1">
        <v>42494</v>
      </c>
      <c r="G2648" s="1">
        <v>42499</v>
      </c>
      <c r="H2648" t="s">
        <v>30</v>
      </c>
      <c r="I2648">
        <v>5</v>
      </c>
      <c r="J2648" t="s">
        <v>107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23</v>
      </c>
      <c r="R2648">
        <v>0</v>
      </c>
    </row>
    <row r="2649" spans="1:18">
      <c r="A2649" s="4">
        <v>1387310000000</v>
      </c>
      <c r="B2649" t="s">
        <v>28</v>
      </c>
      <c r="C2649">
        <v>11</v>
      </c>
      <c r="D2649" t="s">
        <v>31</v>
      </c>
      <c r="E2649" t="s">
        <v>72</v>
      </c>
      <c r="F2649" s="1">
        <v>42494</v>
      </c>
      <c r="G2649" s="1">
        <v>42500</v>
      </c>
      <c r="H2649" t="s">
        <v>41</v>
      </c>
      <c r="I2649">
        <v>6</v>
      </c>
      <c r="J2649" t="s">
        <v>107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1</v>
      </c>
      <c r="Q2649" t="s">
        <v>23</v>
      </c>
      <c r="R2649">
        <v>0</v>
      </c>
    </row>
    <row r="2650" spans="1:18">
      <c r="A2650" s="4">
        <v>2916430000000</v>
      </c>
      <c r="B2650" t="s">
        <v>18</v>
      </c>
      <c r="C2650">
        <v>42</v>
      </c>
      <c r="D2650" t="s">
        <v>27</v>
      </c>
      <c r="E2650" t="s">
        <v>72</v>
      </c>
      <c r="F2650" s="1">
        <v>42494</v>
      </c>
      <c r="G2650" s="1">
        <v>42502</v>
      </c>
      <c r="H2650" t="s">
        <v>33</v>
      </c>
      <c r="I2650">
        <v>8</v>
      </c>
      <c r="J2650" t="s">
        <v>92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1</v>
      </c>
      <c r="Q2650" t="s">
        <v>26</v>
      </c>
      <c r="R2650">
        <v>1</v>
      </c>
    </row>
    <row r="2651" spans="1:18">
      <c r="A2651" s="4">
        <v>38616100000000</v>
      </c>
      <c r="B2651" t="s">
        <v>18</v>
      </c>
      <c r="C2651">
        <v>60</v>
      </c>
      <c r="D2651" t="s">
        <v>35</v>
      </c>
      <c r="E2651" t="s">
        <v>29</v>
      </c>
      <c r="F2651" s="1">
        <v>42494</v>
      </c>
      <c r="G2651" s="1">
        <v>42520</v>
      </c>
      <c r="H2651" t="s">
        <v>30</v>
      </c>
      <c r="I2651">
        <v>26</v>
      </c>
      <c r="J2651" t="s">
        <v>77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1</v>
      </c>
      <c r="Q2651" t="s">
        <v>23</v>
      </c>
      <c r="R2651">
        <v>0</v>
      </c>
    </row>
    <row r="2652" spans="1:18">
      <c r="A2652" s="4">
        <v>626842000000000</v>
      </c>
      <c r="B2652" t="s">
        <v>18</v>
      </c>
      <c r="C2652">
        <v>79</v>
      </c>
      <c r="D2652" t="s">
        <v>19</v>
      </c>
      <c r="E2652" t="s">
        <v>39</v>
      </c>
      <c r="F2652" s="1">
        <v>42494</v>
      </c>
      <c r="G2652" s="1">
        <v>42496</v>
      </c>
      <c r="H2652" t="s">
        <v>21</v>
      </c>
      <c r="I2652">
        <v>2</v>
      </c>
      <c r="J2652" t="s">
        <v>109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23</v>
      </c>
      <c r="R2652">
        <v>0</v>
      </c>
    </row>
    <row r="2653" spans="1:18">
      <c r="A2653" s="4">
        <v>258424000000</v>
      </c>
      <c r="B2653" t="s">
        <v>28</v>
      </c>
      <c r="C2653">
        <v>49</v>
      </c>
      <c r="D2653" t="s">
        <v>27</v>
      </c>
      <c r="E2653" t="s">
        <v>68</v>
      </c>
      <c r="F2653" s="1">
        <v>42494</v>
      </c>
      <c r="G2653" s="1">
        <v>42494</v>
      </c>
      <c r="H2653" t="s">
        <v>25</v>
      </c>
      <c r="I2653">
        <v>0</v>
      </c>
      <c r="J2653" t="s">
        <v>111</v>
      </c>
      <c r="K2653">
        <v>0</v>
      </c>
      <c r="L2653">
        <v>1</v>
      </c>
      <c r="M2653">
        <v>0</v>
      </c>
      <c r="N2653">
        <v>1</v>
      </c>
      <c r="O2653">
        <v>0</v>
      </c>
      <c r="P2653">
        <v>0</v>
      </c>
      <c r="Q2653" t="s">
        <v>23</v>
      </c>
      <c r="R2653">
        <v>0</v>
      </c>
    </row>
    <row r="2654" spans="1:18">
      <c r="A2654" s="4">
        <v>292537000000000</v>
      </c>
      <c r="B2654" t="s">
        <v>28</v>
      </c>
      <c r="C2654">
        <v>53</v>
      </c>
      <c r="D2654" t="s">
        <v>35</v>
      </c>
      <c r="E2654" t="s">
        <v>39</v>
      </c>
      <c r="F2654" s="1">
        <v>42494</v>
      </c>
      <c r="G2654" s="1">
        <v>42494</v>
      </c>
      <c r="H2654" t="s">
        <v>25</v>
      </c>
      <c r="I2654">
        <v>0</v>
      </c>
      <c r="J2654" t="s">
        <v>111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23</v>
      </c>
      <c r="R2654">
        <v>0</v>
      </c>
    </row>
    <row r="2655" spans="1:18">
      <c r="A2655" s="4">
        <v>231426000000</v>
      </c>
      <c r="B2655" t="s">
        <v>18</v>
      </c>
      <c r="C2655">
        <v>25</v>
      </c>
      <c r="D2655" t="s">
        <v>37</v>
      </c>
      <c r="E2655" t="s">
        <v>39</v>
      </c>
      <c r="F2655" s="1">
        <v>42494</v>
      </c>
      <c r="G2655" s="1">
        <v>42529</v>
      </c>
      <c r="H2655" t="s">
        <v>25</v>
      </c>
      <c r="I2655">
        <v>35</v>
      </c>
      <c r="J2655" t="s">
        <v>22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</v>
      </c>
      <c r="Q2655" t="s">
        <v>23</v>
      </c>
      <c r="R2655">
        <v>0</v>
      </c>
    </row>
    <row r="2656" spans="1:18">
      <c r="A2656" s="4">
        <v>7366590000000</v>
      </c>
      <c r="B2656" t="s">
        <v>18</v>
      </c>
      <c r="C2656">
        <v>54</v>
      </c>
      <c r="D2656" t="s">
        <v>35</v>
      </c>
      <c r="E2656" t="s">
        <v>29</v>
      </c>
      <c r="F2656" s="1">
        <v>42494</v>
      </c>
      <c r="G2656" s="1">
        <v>42496</v>
      </c>
      <c r="H2656" t="s">
        <v>21</v>
      </c>
      <c r="I2656">
        <v>2</v>
      </c>
      <c r="J2656" t="s">
        <v>109</v>
      </c>
      <c r="K2656">
        <v>0</v>
      </c>
      <c r="L2656">
        <v>1</v>
      </c>
      <c r="M2656">
        <v>0</v>
      </c>
      <c r="N2656">
        <v>0</v>
      </c>
      <c r="O2656">
        <v>0</v>
      </c>
      <c r="P2656">
        <v>0</v>
      </c>
      <c r="Q2656" t="s">
        <v>23</v>
      </c>
      <c r="R2656">
        <v>0</v>
      </c>
    </row>
    <row r="2657" spans="1:18">
      <c r="A2657" s="4">
        <v>948498000000000</v>
      </c>
      <c r="B2657" t="s">
        <v>18</v>
      </c>
      <c r="C2657">
        <v>37</v>
      </c>
      <c r="D2657" t="s">
        <v>27</v>
      </c>
      <c r="E2657" t="s">
        <v>39</v>
      </c>
      <c r="F2657" s="1">
        <v>42494</v>
      </c>
      <c r="G2657" s="1">
        <v>42494</v>
      </c>
      <c r="H2657" t="s">
        <v>25</v>
      </c>
      <c r="I2657">
        <v>0</v>
      </c>
      <c r="J2657" t="s">
        <v>111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23</v>
      </c>
      <c r="R2657">
        <v>0</v>
      </c>
    </row>
    <row r="2658" spans="1:18">
      <c r="A2658" s="4">
        <v>552326000000000</v>
      </c>
      <c r="B2658" t="s">
        <v>28</v>
      </c>
      <c r="C2658">
        <v>60</v>
      </c>
      <c r="D2658" t="s">
        <v>35</v>
      </c>
      <c r="E2658" t="s">
        <v>39</v>
      </c>
      <c r="F2658" s="1">
        <v>42494</v>
      </c>
      <c r="G2658" s="1">
        <v>42494</v>
      </c>
      <c r="H2658" t="s">
        <v>25</v>
      </c>
      <c r="I2658">
        <v>0</v>
      </c>
      <c r="J2658" t="s">
        <v>111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23</v>
      </c>
      <c r="R2658">
        <v>0</v>
      </c>
    </row>
    <row r="2659" spans="1:18">
      <c r="A2659" s="4">
        <v>793192000000000</v>
      </c>
      <c r="B2659" t="s">
        <v>18</v>
      </c>
      <c r="C2659">
        <v>45</v>
      </c>
      <c r="D2659" t="s">
        <v>27</v>
      </c>
      <c r="E2659" t="s">
        <v>56</v>
      </c>
      <c r="F2659" s="1">
        <v>42494</v>
      </c>
      <c r="G2659" s="1">
        <v>42507</v>
      </c>
      <c r="H2659" t="s">
        <v>41</v>
      </c>
      <c r="I2659">
        <v>13</v>
      </c>
      <c r="J2659" t="s">
        <v>92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23</v>
      </c>
      <c r="R2659">
        <v>0</v>
      </c>
    </row>
    <row r="2660" spans="1:18">
      <c r="A2660" s="4">
        <v>5392670000000</v>
      </c>
      <c r="B2660" t="s">
        <v>18</v>
      </c>
      <c r="C2660">
        <v>44</v>
      </c>
      <c r="D2660" t="s">
        <v>27</v>
      </c>
      <c r="E2660" t="s">
        <v>39</v>
      </c>
      <c r="F2660" s="1">
        <v>42495</v>
      </c>
      <c r="G2660" s="1">
        <v>42499</v>
      </c>
      <c r="H2660" t="s">
        <v>30</v>
      </c>
      <c r="I2660">
        <v>4</v>
      </c>
      <c r="J2660" t="s">
        <v>107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26</v>
      </c>
      <c r="R2660">
        <v>1</v>
      </c>
    </row>
    <row r="2661" spans="1:18">
      <c r="A2661" s="4">
        <v>38971600000000</v>
      </c>
      <c r="B2661" t="s">
        <v>18</v>
      </c>
      <c r="C2661">
        <v>14</v>
      </c>
      <c r="D2661" t="s">
        <v>60</v>
      </c>
      <c r="E2661" t="s">
        <v>40</v>
      </c>
      <c r="F2661" s="1">
        <v>42495</v>
      </c>
      <c r="G2661" s="1">
        <v>42495</v>
      </c>
      <c r="H2661" t="s">
        <v>33</v>
      </c>
      <c r="I2661">
        <v>0</v>
      </c>
      <c r="J2661" t="s">
        <v>111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23</v>
      </c>
      <c r="R2661">
        <v>0</v>
      </c>
    </row>
    <row r="2662" spans="1:18">
      <c r="A2662" s="4">
        <v>89567300000000</v>
      </c>
      <c r="B2662" t="s">
        <v>18</v>
      </c>
      <c r="C2662">
        <v>24</v>
      </c>
      <c r="D2662" t="s">
        <v>37</v>
      </c>
      <c r="E2662" t="s">
        <v>48</v>
      </c>
      <c r="F2662" s="1">
        <v>42495</v>
      </c>
      <c r="G2662" s="1">
        <v>42495</v>
      </c>
      <c r="H2662" t="s">
        <v>33</v>
      </c>
      <c r="I2662">
        <v>0</v>
      </c>
      <c r="J2662" t="s">
        <v>111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23</v>
      </c>
      <c r="R2662">
        <v>0</v>
      </c>
    </row>
    <row r="2663" spans="1:18">
      <c r="A2663" s="4">
        <v>5353693525</v>
      </c>
      <c r="B2663" t="s">
        <v>18</v>
      </c>
      <c r="C2663">
        <v>60</v>
      </c>
      <c r="D2663" t="s">
        <v>35</v>
      </c>
      <c r="E2663" t="s">
        <v>51</v>
      </c>
      <c r="F2663" s="1">
        <v>42495</v>
      </c>
      <c r="G2663" s="1">
        <v>42499</v>
      </c>
      <c r="H2663" t="s">
        <v>30</v>
      </c>
      <c r="I2663">
        <v>4</v>
      </c>
      <c r="J2663" t="s">
        <v>107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23</v>
      </c>
      <c r="R2663">
        <v>0</v>
      </c>
    </row>
    <row r="2664" spans="1:18">
      <c r="A2664" s="4">
        <v>33455400000000</v>
      </c>
      <c r="B2664" t="s">
        <v>18</v>
      </c>
      <c r="C2664">
        <v>54</v>
      </c>
      <c r="D2664" t="s">
        <v>35</v>
      </c>
      <c r="E2664" t="s">
        <v>84</v>
      </c>
      <c r="F2664" s="1">
        <v>42495</v>
      </c>
      <c r="G2664" s="1">
        <v>42501</v>
      </c>
      <c r="H2664" t="s">
        <v>25</v>
      </c>
      <c r="I2664">
        <v>6</v>
      </c>
      <c r="J2664" t="s">
        <v>107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1</v>
      </c>
      <c r="Q2664" t="s">
        <v>23</v>
      </c>
      <c r="R2664">
        <v>0</v>
      </c>
    </row>
    <row r="2665" spans="1:18">
      <c r="A2665" s="4">
        <v>2794660000000</v>
      </c>
      <c r="B2665" t="s">
        <v>18</v>
      </c>
      <c r="C2665">
        <v>26</v>
      </c>
      <c r="D2665" t="s">
        <v>37</v>
      </c>
      <c r="E2665" t="s">
        <v>40</v>
      </c>
      <c r="F2665" s="1">
        <v>42495</v>
      </c>
      <c r="G2665" s="1">
        <v>42495</v>
      </c>
      <c r="H2665" t="s">
        <v>33</v>
      </c>
      <c r="I2665">
        <v>0</v>
      </c>
      <c r="J2665" t="s">
        <v>111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23</v>
      </c>
      <c r="R2665">
        <v>0</v>
      </c>
    </row>
    <row r="2666" spans="1:18">
      <c r="A2666" s="4">
        <v>281640000000000</v>
      </c>
      <c r="B2666" t="s">
        <v>18</v>
      </c>
      <c r="C2666">
        <v>47</v>
      </c>
      <c r="D2666" t="s">
        <v>27</v>
      </c>
      <c r="E2666" t="s">
        <v>63</v>
      </c>
      <c r="F2666" s="1">
        <v>42495</v>
      </c>
      <c r="G2666" s="1">
        <v>42495</v>
      </c>
      <c r="H2666" t="s">
        <v>33</v>
      </c>
      <c r="I2666">
        <v>0</v>
      </c>
      <c r="J2666" t="s">
        <v>111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23</v>
      </c>
      <c r="R2666">
        <v>0</v>
      </c>
    </row>
    <row r="2667" spans="1:18">
      <c r="A2667" s="4">
        <v>71248300000000</v>
      </c>
      <c r="B2667" t="s">
        <v>18</v>
      </c>
      <c r="C2667">
        <v>32</v>
      </c>
      <c r="D2667" t="s">
        <v>37</v>
      </c>
      <c r="E2667" t="s">
        <v>38</v>
      </c>
      <c r="F2667" s="1">
        <v>42495</v>
      </c>
      <c r="G2667" s="1">
        <v>42495</v>
      </c>
      <c r="H2667" t="s">
        <v>33</v>
      </c>
      <c r="I2667">
        <v>0</v>
      </c>
      <c r="J2667" t="s">
        <v>111</v>
      </c>
      <c r="K2667">
        <v>0</v>
      </c>
      <c r="L2667">
        <v>1</v>
      </c>
      <c r="M2667">
        <v>0</v>
      </c>
      <c r="N2667">
        <v>0</v>
      </c>
      <c r="O2667">
        <v>0</v>
      </c>
      <c r="P2667">
        <v>0</v>
      </c>
      <c r="Q2667" t="s">
        <v>23</v>
      </c>
      <c r="R2667">
        <v>0</v>
      </c>
    </row>
    <row r="2668" spans="1:18">
      <c r="A2668" s="4">
        <v>5664430000000</v>
      </c>
      <c r="B2668" t="s">
        <v>28</v>
      </c>
      <c r="C2668">
        <v>41</v>
      </c>
      <c r="D2668" t="s">
        <v>27</v>
      </c>
      <c r="E2668" t="s">
        <v>32</v>
      </c>
      <c r="F2668" s="1">
        <v>42495</v>
      </c>
      <c r="G2668" s="1">
        <v>42495</v>
      </c>
      <c r="H2668" t="s">
        <v>33</v>
      </c>
      <c r="I2668">
        <v>0</v>
      </c>
      <c r="J2668" t="s">
        <v>111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23</v>
      </c>
      <c r="R2668">
        <v>0</v>
      </c>
    </row>
    <row r="2669" spans="1:18">
      <c r="A2669" s="4">
        <v>827537000000</v>
      </c>
      <c r="B2669" t="s">
        <v>18</v>
      </c>
      <c r="C2669">
        <v>34</v>
      </c>
      <c r="D2669" t="s">
        <v>37</v>
      </c>
      <c r="E2669" t="s">
        <v>103</v>
      </c>
      <c r="F2669" s="1">
        <v>42495</v>
      </c>
      <c r="G2669" s="1">
        <v>42499</v>
      </c>
      <c r="H2669" t="s">
        <v>30</v>
      </c>
      <c r="I2669">
        <v>4</v>
      </c>
      <c r="J2669" t="s">
        <v>107</v>
      </c>
      <c r="K2669">
        <v>1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23</v>
      </c>
      <c r="R2669">
        <v>0</v>
      </c>
    </row>
    <row r="2670" spans="1:18">
      <c r="A2670" s="4">
        <v>77845814766</v>
      </c>
      <c r="B2670" t="s">
        <v>28</v>
      </c>
      <c r="C2670">
        <v>22</v>
      </c>
      <c r="D2670" t="s">
        <v>37</v>
      </c>
      <c r="E2670" t="s">
        <v>105</v>
      </c>
      <c r="F2670" s="1">
        <v>42495</v>
      </c>
      <c r="G2670" s="1">
        <v>42507</v>
      </c>
      <c r="H2670" t="s">
        <v>41</v>
      </c>
      <c r="I2670">
        <v>12</v>
      </c>
      <c r="J2670" t="s">
        <v>92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26</v>
      </c>
      <c r="R2670">
        <v>1</v>
      </c>
    </row>
    <row r="2671" spans="1:18">
      <c r="A2671" s="4">
        <v>68975300000000</v>
      </c>
      <c r="B2671" t="s">
        <v>18</v>
      </c>
      <c r="C2671">
        <v>22</v>
      </c>
      <c r="D2671" t="s">
        <v>37</v>
      </c>
      <c r="E2671" t="s">
        <v>72</v>
      </c>
      <c r="F2671" s="1">
        <v>42495</v>
      </c>
      <c r="G2671" s="1">
        <v>42495</v>
      </c>
      <c r="H2671" t="s">
        <v>33</v>
      </c>
      <c r="I2671">
        <v>0</v>
      </c>
      <c r="J2671" t="s">
        <v>111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23</v>
      </c>
      <c r="R2671">
        <v>0</v>
      </c>
    </row>
    <row r="2672" spans="1:18">
      <c r="A2672" s="4">
        <v>9592990000000</v>
      </c>
      <c r="B2672" t="s">
        <v>18</v>
      </c>
      <c r="C2672">
        <v>49</v>
      </c>
      <c r="D2672" t="s">
        <v>27</v>
      </c>
      <c r="E2672" t="s">
        <v>66</v>
      </c>
      <c r="F2672" s="1">
        <v>42495</v>
      </c>
      <c r="G2672" s="1">
        <v>42495</v>
      </c>
      <c r="H2672" t="s">
        <v>33</v>
      </c>
      <c r="I2672">
        <v>0</v>
      </c>
      <c r="J2672" t="s">
        <v>111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23</v>
      </c>
      <c r="R2672">
        <v>0</v>
      </c>
    </row>
    <row r="2673" spans="1:18">
      <c r="A2673" s="4">
        <v>3525370000000</v>
      </c>
      <c r="B2673" t="s">
        <v>28</v>
      </c>
      <c r="C2673">
        <v>64</v>
      </c>
      <c r="D2673" t="s">
        <v>35</v>
      </c>
      <c r="E2673" t="s">
        <v>32</v>
      </c>
      <c r="F2673" s="1">
        <v>42495</v>
      </c>
      <c r="G2673" s="1">
        <v>42495</v>
      </c>
      <c r="H2673" t="s">
        <v>33</v>
      </c>
      <c r="I2673">
        <v>0</v>
      </c>
      <c r="J2673" t="s">
        <v>111</v>
      </c>
      <c r="K2673">
        <v>0</v>
      </c>
      <c r="L2673">
        <v>1</v>
      </c>
      <c r="M2673">
        <v>0</v>
      </c>
      <c r="N2673">
        <v>0</v>
      </c>
      <c r="O2673">
        <v>0</v>
      </c>
      <c r="P2673">
        <v>0</v>
      </c>
      <c r="Q2673" t="s">
        <v>23</v>
      </c>
      <c r="R2673">
        <v>0</v>
      </c>
    </row>
    <row r="2674" spans="1:18">
      <c r="A2674" s="4">
        <v>619398000000</v>
      </c>
      <c r="B2674" t="s">
        <v>28</v>
      </c>
      <c r="C2674">
        <v>23</v>
      </c>
      <c r="D2674" t="s">
        <v>37</v>
      </c>
      <c r="E2674" t="s">
        <v>68</v>
      </c>
      <c r="F2674" s="1">
        <v>42495</v>
      </c>
      <c r="G2674" s="1">
        <v>42495</v>
      </c>
      <c r="H2674" t="s">
        <v>33</v>
      </c>
      <c r="I2674">
        <v>0</v>
      </c>
      <c r="J2674" t="s">
        <v>111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23</v>
      </c>
      <c r="R2674">
        <v>0</v>
      </c>
    </row>
    <row r="2675" spans="1:18">
      <c r="A2675" s="4">
        <v>227585000000000</v>
      </c>
      <c r="B2675" t="s">
        <v>18</v>
      </c>
      <c r="C2675">
        <v>22</v>
      </c>
      <c r="D2675" t="s">
        <v>37</v>
      </c>
      <c r="E2675" t="s">
        <v>61</v>
      </c>
      <c r="F2675" s="1">
        <v>42495</v>
      </c>
      <c r="G2675" s="1">
        <v>42499</v>
      </c>
      <c r="H2675" t="s">
        <v>30</v>
      </c>
      <c r="I2675">
        <v>4</v>
      </c>
      <c r="J2675" t="s">
        <v>107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23</v>
      </c>
      <c r="R2675">
        <v>0</v>
      </c>
    </row>
    <row r="2676" spans="1:18">
      <c r="A2676" s="4">
        <v>2466460000000</v>
      </c>
      <c r="B2676" t="s">
        <v>18</v>
      </c>
      <c r="C2676">
        <v>14</v>
      </c>
      <c r="D2676" t="s">
        <v>60</v>
      </c>
      <c r="E2676" t="s">
        <v>61</v>
      </c>
      <c r="F2676" s="1">
        <v>42495</v>
      </c>
      <c r="G2676" s="1">
        <v>42500</v>
      </c>
      <c r="H2676" t="s">
        <v>41</v>
      </c>
      <c r="I2676">
        <v>5</v>
      </c>
      <c r="J2676" t="s">
        <v>107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1</v>
      </c>
      <c r="Q2676" t="s">
        <v>23</v>
      </c>
      <c r="R2676">
        <v>0</v>
      </c>
    </row>
    <row r="2677" spans="1:18">
      <c r="A2677" s="4">
        <v>73473500000000</v>
      </c>
      <c r="B2677" t="s">
        <v>18</v>
      </c>
      <c r="C2677">
        <v>37</v>
      </c>
      <c r="D2677" t="s">
        <v>27</v>
      </c>
      <c r="E2677" t="s">
        <v>50</v>
      </c>
      <c r="F2677" s="1">
        <v>42495</v>
      </c>
      <c r="G2677" s="1">
        <v>42520</v>
      </c>
      <c r="H2677" t="s">
        <v>30</v>
      </c>
      <c r="I2677">
        <v>25</v>
      </c>
      <c r="J2677" t="s">
        <v>77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1</v>
      </c>
      <c r="Q2677" t="s">
        <v>23</v>
      </c>
      <c r="R2677">
        <v>0</v>
      </c>
    </row>
    <row r="2678" spans="1:18">
      <c r="A2678" s="4">
        <v>43719100000000</v>
      </c>
      <c r="B2678" t="s">
        <v>18</v>
      </c>
      <c r="C2678">
        <v>56</v>
      </c>
      <c r="D2678" t="s">
        <v>35</v>
      </c>
      <c r="E2678" t="s">
        <v>29</v>
      </c>
      <c r="F2678" s="1">
        <v>42495</v>
      </c>
      <c r="G2678" s="1">
        <v>42496</v>
      </c>
      <c r="H2678" t="s">
        <v>21</v>
      </c>
      <c r="I2678">
        <v>1</v>
      </c>
      <c r="J2678" t="s">
        <v>109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26</v>
      </c>
      <c r="R2678">
        <v>1</v>
      </c>
    </row>
    <row r="2679" spans="1:18">
      <c r="A2679" s="4">
        <v>932347000000000</v>
      </c>
      <c r="B2679" t="s">
        <v>18</v>
      </c>
      <c r="C2679">
        <v>43</v>
      </c>
      <c r="D2679" t="s">
        <v>27</v>
      </c>
      <c r="E2679" t="s">
        <v>73</v>
      </c>
      <c r="F2679" s="1">
        <v>42495</v>
      </c>
      <c r="G2679" s="1">
        <v>42495</v>
      </c>
      <c r="H2679" t="s">
        <v>33</v>
      </c>
      <c r="I2679">
        <v>0</v>
      </c>
      <c r="J2679" t="s">
        <v>111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23</v>
      </c>
      <c r="R2679">
        <v>0</v>
      </c>
    </row>
    <row r="2680" spans="1:18">
      <c r="A2680" s="4">
        <v>3657390000000</v>
      </c>
      <c r="B2680" t="s">
        <v>28</v>
      </c>
      <c r="C2680">
        <v>78</v>
      </c>
      <c r="D2680" t="s">
        <v>19</v>
      </c>
      <c r="E2680" t="s">
        <v>45</v>
      </c>
      <c r="F2680" s="1">
        <v>42495</v>
      </c>
      <c r="G2680" s="1">
        <v>42499</v>
      </c>
      <c r="H2680" t="s">
        <v>30</v>
      </c>
      <c r="I2680">
        <v>4</v>
      </c>
      <c r="J2680" t="s">
        <v>107</v>
      </c>
      <c r="K2680">
        <v>0</v>
      </c>
      <c r="L2680">
        <v>0</v>
      </c>
      <c r="M2680">
        <v>1</v>
      </c>
      <c r="N2680">
        <v>0</v>
      </c>
      <c r="O2680">
        <v>0</v>
      </c>
      <c r="P2680">
        <v>0</v>
      </c>
      <c r="Q2680" t="s">
        <v>23</v>
      </c>
      <c r="R2680">
        <v>0</v>
      </c>
    </row>
    <row r="2681" spans="1:18">
      <c r="A2681" s="4">
        <v>2452266376</v>
      </c>
      <c r="B2681" t="s">
        <v>18</v>
      </c>
      <c r="C2681">
        <v>7</v>
      </c>
      <c r="D2681" t="s">
        <v>31</v>
      </c>
      <c r="E2681" t="s">
        <v>72</v>
      </c>
      <c r="F2681" s="1">
        <v>42495</v>
      </c>
      <c r="G2681" s="1">
        <v>42495</v>
      </c>
      <c r="H2681" t="s">
        <v>33</v>
      </c>
      <c r="I2681">
        <v>0</v>
      </c>
      <c r="J2681" t="s">
        <v>111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23</v>
      </c>
      <c r="R2681">
        <v>0</v>
      </c>
    </row>
    <row r="2682" spans="1:18">
      <c r="A2682" s="4">
        <v>76451700000000</v>
      </c>
      <c r="B2682" t="s">
        <v>18</v>
      </c>
      <c r="C2682">
        <v>44</v>
      </c>
      <c r="D2682" t="s">
        <v>27</v>
      </c>
      <c r="E2682" t="s">
        <v>57</v>
      </c>
      <c r="F2682" s="1">
        <v>42495</v>
      </c>
      <c r="G2682" s="1">
        <v>42495</v>
      </c>
      <c r="H2682" t="s">
        <v>33</v>
      </c>
      <c r="I2682">
        <v>0</v>
      </c>
      <c r="J2682" t="s">
        <v>111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23</v>
      </c>
      <c r="R2682">
        <v>0</v>
      </c>
    </row>
    <row r="2683" spans="1:18">
      <c r="A2683" s="4">
        <v>81884900000000</v>
      </c>
      <c r="B2683" t="s">
        <v>18</v>
      </c>
      <c r="C2683">
        <v>0</v>
      </c>
      <c r="D2683" t="s">
        <v>31</v>
      </c>
      <c r="E2683" t="s">
        <v>71</v>
      </c>
      <c r="F2683" s="1">
        <v>42495</v>
      </c>
      <c r="G2683" s="1">
        <v>42495</v>
      </c>
      <c r="H2683" t="s">
        <v>33</v>
      </c>
      <c r="I2683">
        <v>0</v>
      </c>
      <c r="J2683" t="s">
        <v>111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23</v>
      </c>
      <c r="R2683">
        <v>0</v>
      </c>
    </row>
    <row r="2684" spans="1:18">
      <c r="A2684" s="4">
        <v>422634000000000</v>
      </c>
      <c r="B2684" t="s">
        <v>18</v>
      </c>
      <c r="C2684">
        <v>50</v>
      </c>
      <c r="D2684" t="s">
        <v>27</v>
      </c>
      <c r="E2684" t="s">
        <v>47</v>
      </c>
      <c r="F2684" s="1">
        <v>42495</v>
      </c>
      <c r="G2684" s="1">
        <v>42496</v>
      </c>
      <c r="H2684" t="s">
        <v>21</v>
      </c>
      <c r="I2684">
        <v>1</v>
      </c>
      <c r="J2684" t="s">
        <v>109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23</v>
      </c>
      <c r="R2684">
        <v>0</v>
      </c>
    </row>
    <row r="2685" spans="1:18">
      <c r="A2685" s="4">
        <v>65811600000000</v>
      </c>
      <c r="B2685" t="s">
        <v>18</v>
      </c>
      <c r="C2685">
        <v>48</v>
      </c>
      <c r="D2685" t="s">
        <v>27</v>
      </c>
      <c r="E2685" t="s">
        <v>55</v>
      </c>
      <c r="F2685" s="1">
        <v>42495</v>
      </c>
      <c r="G2685" s="1">
        <v>42499</v>
      </c>
      <c r="H2685" t="s">
        <v>30</v>
      </c>
      <c r="I2685">
        <v>4</v>
      </c>
      <c r="J2685" t="s">
        <v>107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23</v>
      </c>
      <c r="R2685">
        <v>0</v>
      </c>
    </row>
    <row r="2686" spans="1:18">
      <c r="A2686" s="4">
        <v>917618000000000</v>
      </c>
      <c r="B2686" t="s">
        <v>18</v>
      </c>
      <c r="C2686">
        <v>88</v>
      </c>
      <c r="D2686" t="s">
        <v>19</v>
      </c>
      <c r="E2686" t="s">
        <v>69</v>
      </c>
      <c r="F2686" s="1">
        <v>42495</v>
      </c>
      <c r="G2686" s="1">
        <v>42523</v>
      </c>
      <c r="H2686" t="s">
        <v>33</v>
      </c>
      <c r="I2686">
        <v>28</v>
      </c>
      <c r="J2686" t="s">
        <v>77</v>
      </c>
      <c r="K2686">
        <v>0</v>
      </c>
      <c r="L2686">
        <v>1</v>
      </c>
      <c r="M2686">
        <v>0</v>
      </c>
      <c r="N2686">
        <v>0</v>
      </c>
      <c r="O2686">
        <v>0</v>
      </c>
      <c r="P2686">
        <v>1</v>
      </c>
      <c r="Q2686" t="s">
        <v>23</v>
      </c>
      <c r="R2686">
        <v>0</v>
      </c>
    </row>
    <row r="2687" spans="1:18">
      <c r="A2687" s="4">
        <v>58319700000000</v>
      </c>
      <c r="B2687" t="s">
        <v>28</v>
      </c>
      <c r="C2687">
        <v>39</v>
      </c>
      <c r="D2687" t="s">
        <v>27</v>
      </c>
      <c r="E2687" t="s">
        <v>87</v>
      </c>
      <c r="F2687" s="1">
        <v>42495</v>
      </c>
      <c r="G2687" s="1">
        <v>42495</v>
      </c>
      <c r="H2687" t="s">
        <v>33</v>
      </c>
      <c r="I2687">
        <v>0</v>
      </c>
      <c r="J2687" t="s">
        <v>111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23</v>
      </c>
      <c r="R2687">
        <v>0</v>
      </c>
    </row>
    <row r="2688" spans="1:18">
      <c r="A2688" s="4">
        <v>94825000000000</v>
      </c>
      <c r="B2688" t="s">
        <v>28</v>
      </c>
      <c r="C2688">
        <v>7</v>
      </c>
      <c r="D2688" t="s">
        <v>31</v>
      </c>
      <c r="E2688" t="s">
        <v>71</v>
      </c>
      <c r="F2688" s="1">
        <v>42495</v>
      </c>
      <c r="G2688" s="1">
        <v>42495</v>
      </c>
      <c r="H2688" t="s">
        <v>33</v>
      </c>
      <c r="I2688">
        <v>0</v>
      </c>
      <c r="J2688" t="s">
        <v>111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23</v>
      </c>
      <c r="R2688">
        <v>0</v>
      </c>
    </row>
    <row r="2689" spans="1:18">
      <c r="A2689" s="4">
        <v>116978000000000</v>
      </c>
      <c r="B2689" t="s">
        <v>18</v>
      </c>
      <c r="C2689">
        <v>19</v>
      </c>
      <c r="D2689" t="s">
        <v>37</v>
      </c>
      <c r="E2689" t="s">
        <v>47</v>
      </c>
      <c r="F2689" s="1">
        <v>42495</v>
      </c>
      <c r="G2689" s="1">
        <v>42495</v>
      </c>
      <c r="H2689" t="s">
        <v>33</v>
      </c>
      <c r="I2689">
        <v>0</v>
      </c>
      <c r="J2689" t="s">
        <v>111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23</v>
      </c>
      <c r="R2689">
        <v>0</v>
      </c>
    </row>
    <row r="2690" spans="1:18">
      <c r="A2690" s="4">
        <v>78613200000000</v>
      </c>
      <c r="B2690" t="s">
        <v>18</v>
      </c>
      <c r="C2690">
        <v>35</v>
      </c>
      <c r="D2690" t="s">
        <v>37</v>
      </c>
      <c r="E2690" t="s">
        <v>54</v>
      </c>
      <c r="F2690" s="1">
        <v>42495</v>
      </c>
      <c r="G2690" s="1">
        <v>42501</v>
      </c>
      <c r="H2690" t="s">
        <v>25</v>
      </c>
      <c r="I2690">
        <v>6</v>
      </c>
      <c r="J2690" t="s">
        <v>107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1</v>
      </c>
      <c r="Q2690" t="s">
        <v>26</v>
      </c>
      <c r="R2690">
        <v>1</v>
      </c>
    </row>
    <row r="2691" spans="1:18">
      <c r="A2691" s="4">
        <v>53983800000000</v>
      </c>
      <c r="B2691" t="s">
        <v>18</v>
      </c>
      <c r="C2691">
        <v>33</v>
      </c>
      <c r="D2691" t="s">
        <v>37</v>
      </c>
      <c r="E2691" t="s">
        <v>67</v>
      </c>
      <c r="F2691" s="1">
        <v>42495</v>
      </c>
      <c r="G2691" s="1">
        <v>42495</v>
      </c>
      <c r="H2691" t="s">
        <v>33</v>
      </c>
      <c r="I2691">
        <v>0</v>
      </c>
      <c r="J2691" t="s">
        <v>111</v>
      </c>
      <c r="K2691">
        <v>1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23</v>
      </c>
      <c r="R2691">
        <v>0</v>
      </c>
    </row>
    <row r="2692" spans="1:18">
      <c r="A2692" s="4">
        <v>2561780000000</v>
      </c>
      <c r="B2692" t="s">
        <v>18</v>
      </c>
      <c r="C2692">
        <v>36</v>
      </c>
      <c r="D2692" t="s">
        <v>27</v>
      </c>
      <c r="E2692" t="s">
        <v>105</v>
      </c>
      <c r="F2692" s="1">
        <v>42495</v>
      </c>
      <c r="G2692" s="1">
        <v>42523</v>
      </c>
      <c r="H2692" t="s">
        <v>33</v>
      </c>
      <c r="I2692">
        <v>28</v>
      </c>
      <c r="J2692" t="s">
        <v>77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1</v>
      </c>
      <c r="Q2692" t="s">
        <v>23</v>
      </c>
      <c r="R2692">
        <v>0</v>
      </c>
    </row>
    <row r="2693" spans="1:18">
      <c r="A2693" s="4">
        <v>2983520000000</v>
      </c>
      <c r="B2693" t="s">
        <v>28</v>
      </c>
      <c r="C2693">
        <v>39</v>
      </c>
      <c r="D2693" t="s">
        <v>27</v>
      </c>
      <c r="E2693" t="s">
        <v>87</v>
      </c>
      <c r="F2693" s="1">
        <v>42495</v>
      </c>
      <c r="G2693" s="1">
        <v>42496</v>
      </c>
      <c r="H2693" t="s">
        <v>21</v>
      </c>
      <c r="I2693">
        <v>1</v>
      </c>
      <c r="J2693" t="s">
        <v>109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23</v>
      </c>
      <c r="R2693">
        <v>0</v>
      </c>
    </row>
    <row r="2694" spans="1:18">
      <c r="A2694" s="4">
        <v>67827700000000</v>
      </c>
      <c r="B2694" t="s">
        <v>28</v>
      </c>
      <c r="C2694">
        <v>14</v>
      </c>
      <c r="D2694" t="s">
        <v>60</v>
      </c>
      <c r="E2694" t="s">
        <v>55</v>
      </c>
      <c r="F2694" s="1">
        <v>42495</v>
      </c>
      <c r="G2694" s="1">
        <v>42495</v>
      </c>
      <c r="H2694" t="s">
        <v>33</v>
      </c>
      <c r="I2694">
        <v>0</v>
      </c>
      <c r="J2694" t="s">
        <v>111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23</v>
      </c>
      <c r="R2694">
        <v>0</v>
      </c>
    </row>
    <row r="2695" spans="1:18">
      <c r="A2695" s="4">
        <v>9425740000000</v>
      </c>
      <c r="B2695" t="s">
        <v>28</v>
      </c>
      <c r="C2695">
        <v>5</v>
      </c>
      <c r="D2695" t="s">
        <v>31</v>
      </c>
      <c r="E2695" t="s">
        <v>68</v>
      </c>
      <c r="F2695" s="1">
        <v>42495</v>
      </c>
      <c r="G2695" s="1">
        <v>42495</v>
      </c>
      <c r="H2695" t="s">
        <v>33</v>
      </c>
      <c r="I2695">
        <v>0</v>
      </c>
      <c r="J2695" t="s">
        <v>111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23</v>
      </c>
      <c r="R2695">
        <v>0</v>
      </c>
    </row>
    <row r="2696" spans="1:18">
      <c r="A2696" s="4">
        <v>89535600000000</v>
      </c>
      <c r="B2696" t="s">
        <v>18</v>
      </c>
      <c r="C2696">
        <v>16</v>
      </c>
      <c r="D2696" t="s">
        <v>60</v>
      </c>
      <c r="E2696" t="s">
        <v>55</v>
      </c>
      <c r="F2696" s="1">
        <v>42495</v>
      </c>
      <c r="G2696" s="1">
        <v>42503</v>
      </c>
      <c r="H2696" t="s">
        <v>21</v>
      </c>
      <c r="I2696">
        <v>8</v>
      </c>
      <c r="J2696" t="s">
        <v>92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23</v>
      </c>
      <c r="R2696">
        <v>0</v>
      </c>
    </row>
    <row r="2697" spans="1:18">
      <c r="A2697" s="4">
        <v>289685000000000</v>
      </c>
      <c r="B2697" t="s">
        <v>18</v>
      </c>
      <c r="C2697">
        <v>50</v>
      </c>
      <c r="D2697" t="s">
        <v>27</v>
      </c>
      <c r="E2697" t="s">
        <v>105</v>
      </c>
      <c r="F2697" s="1">
        <v>42495</v>
      </c>
      <c r="G2697" s="1">
        <v>42495</v>
      </c>
      <c r="H2697" t="s">
        <v>33</v>
      </c>
      <c r="I2697">
        <v>0</v>
      </c>
      <c r="J2697" t="s">
        <v>111</v>
      </c>
      <c r="K2697">
        <v>0</v>
      </c>
      <c r="L2697">
        <v>1</v>
      </c>
      <c r="M2697">
        <v>0</v>
      </c>
      <c r="N2697">
        <v>0</v>
      </c>
      <c r="O2697">
        <v>0</v>
      </c>
      <c r="P2697">
        <v>0</v>
      </c>
      <c r="Q2697" t="s">
        <v>23</v>
      </c>
      <c r="R2697">
        <v>0</v>
      </c>
    </row>
    <row r="2698" spans="1:18">
      <c r="A2698" s="4">
        <v>398894000000</v>
      </c>
      <c r="B2698" t="s">
        <v>28</v>
      </c>
      <c r="C2698">
        <v>49</v>
      </c>
      <c r="D2698" t="s">
        <v>27</v>
      </c>
      <c r="E2698" t="s">
        <v>72</v>
      </c>
      <c r="F2698" s="1">
        <v>42495</v>
      </c>
      <c r="G2698" s="1">
        <v>42499</v>
      </c>
      <c r="H2698" t="s">
        <v>30</v>
      </c>
      <c r="I2698">
        <v>4</v>
      </c>
      <c r="J2698" t="s">
        <v>107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23</v>
      </c>
      <c r="R2698">
        <v>0</v>
      </c>
    </row>
    <row r="2699" spans="1:18">
      <c r="A2699" s="4">
        <v>389244000000000</v>
      </c>
      <c r="B2699" t="s">
        <v>18</v>
      </c>
      <c r="C2699">
        <v>51</v>
      </c>
      <c r="D2699" t="s">
        <v>35</v>
      </c>
      <c r="E2699" t="s">
        <v>32</v>
      </c>
      <c r="F2699" s="1">
        <v>42495</v>
      </c>
      <c r="G2699" s="1">
        <v>42495</v>
      </c>
      <c r="H2699" t="s">
        <v>33</v>
      </c>
      <c r="I2699">
        <v>0</v>
      </c>
      <c r="J2699" t="s">
        <v>111</v>
      </c>
      <c r="K2699">
        <v>1</v>
      </c>
      <c r="L2699">
        <v>1</v>
      </c>
      <c r="M2699">
        <v>0</v>
      </c>
      <c r="N2699">
        <v>0</v>
      </c>
      <c r="O2699">
        <v>0</v>
      </c>
      <c r="P2699">
        <v>0</v>
      </c>
      <c r="Q2699" t="s">
        <v>23</v>
      </c>
      <c r="R2699">
        <v>0</v>
      </c>
    </row>
    <row r="2700" spans="1:18">
      <c r="A2700" s="4">
        <v>1588140000000</v>
      </c>
      <c r="B2700" t="s">
        <v>28</v>
      </c>
      <c r="C2700">
        <v>17</v>
      </c>
      <c r="D2700" t="s">
        <v>60</v>
      </c>
      <c r="E2700" t="s">
        <v>57</v>
      </c>
      <c r="F2700" s="1">
        <v>42495</v>
      </c>
      <c r="G2700" s="1">
        <v>42495</v>
      </c>
      <c r="H2700" t="s">
        <v>33</v>
      </c>
      <c r="I2700">
        <v>0</v>
      </c>
      <c r="J2700" t="s">
        <v>111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23</v>
      </c>
      <c r="R2700">
        <v>0</v>
      </c>
    </row>
    <row r="2701" spans="1:18">
      <c r="A2701" s="4">
        <v>823885000000000</v>
      </c>
      <c r="B2701" t="s">
        <v>18</v>
      </c>
      <c r="C2701">
        <v>46</v>
      </c>
      <c r="D2701" t="s">
        <v>27</v>
      </c>
      <c r="E2701" t="s">
        <v>40</v>
      </c>
      <c r="F2701" s="1">
        <v>42495</v>
      </c>
      <c r="G2701" s="1">
        <v>42500</v>
      </c>
      <c r="H2701" t="s">
        <v>41</v>
      </c>
      <c r="I2701">
        <v>5</v>
      </c>
      <c r="J2701" t="s">
        <v>107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</v>
      </c>
      <c r="Q2701" t="s">
        <v>26</v>
      </c>
      <c r="R2701">
        <v>1</v>
      </c>
    </row>
    <row r="2702" spans="1:18">
      <c r="A2702" s="4">
        <v>34422500000000</v>
      </c>
      <c r="B2702" t="s">
        <v>28</v>
      </c>
      <c r="C2702">
        <v>63</v>
      </c>
      <c r="D2702" t="s">
        <v>35</v>
      </c>
      <c r="E2702" t="s">
        <v>50</v>
      </c>
      <c r="F2702" s="1">
        <v>42495</v>
      </c>
      <c r="G2702" s="1">
        <v>42499</v>
      </c>
      <c r="H2702" t="s">
        <v>30</v>
      </c>
      <c r="I2702">
        <v>4</v>
      </c>
      <c r="J2702" t="s">
        <v>107</v>
      </c>
      <c r="K2702">
        <v>0</v>
      </c>
      <c r="L2702">
        <v>1</v>
      </c>
      <c r="M2702">
        <v>0</v>
      </c>
      <c r="N2702">
        <v>0</v>
      </c>
      <c r="O2702">
        <v>0</v>
      </c>
      <c r="P2702">
        <v>0</v>
      </c>
      <c r="Q2702" t="s">
        <v>23</v>
      </c>
      <c r="R2702">
        <v>0</v>
      </c>
    </row>
    <row r="2703" spans="1:18">
      <c r="A2703" s="4">
        <v>95862400000000</v>
      </c>
      <c r="B2703" t="s">
        <v>18</v>
      </c>
      <c r="C2703">
        <v>54</v>
      </c>
      <c r="D2703" t="s">
        <v>35</v>
      </c>
      <c r="E2703" t="s">
        <v>20</v>
      </c>
      <c r="F2703" s="1">
        <v>42495</v>
      </c>
      <c r="G2703" s="1">
        <v>42499</v>
      </c>
      <c r="H2703" t="s">
        <v>30</v>
      </c>
      <c r="I2703">
        <v>4</v>
      </c>
      <c r="J2703" t="s">
        <v>107</v>
      </c>
      <c r="K2703">
        <v>0</v>
      </c>
      <c r="L2703">
        <v>1</v>
      </c>
      <c r="M2703">
        <v>1</v>
      </c>
      <c r="N2703">
        <v>0</v>
      </c>
      <c r="O2703">
        <v>0</v>
      </c>
      <c r="P2703">
        <v>0</v>
      </c>
      <c r="Q2703" t="s">
        <v>23</v>
      </c>
      <c r="R2703">
        <v>0</v>
      </c>
    </row>
    <row r="2704" spans="1:18">
      <c r="A2704" s="4">
        <v>515272000000000</v>
      </c>
      <c r="B2704" t="s">
        <v>28</v>
      </c>
      <c r="C2704">
        <v>29</v>
      </c>
      <c r="D2704" t="s">
        <v>37</v>
      </c>
      <c r="E2704" t="s">
        <v>59</v>
      </c>
      <c r="F2704" s="1">
        <v>42495</v>
      </c>
      <c r="G2704" s="1">
        <v>42495</v>
      </c>
      <c r="H2704" t="s">
        <v>33</v>
      </c>
      <c r="I2704">
        <v>0</v>
      </c>
      <c r="J2704" t="s">
        <v>111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23</v>
      </c>
      <c r="R2704">
        <v>0</v>
      </c>
    </row>
    <row r="2705" spans="1:18">
      <c r="A2705" s="4">
        <v>9748120000000</v>
      </c>
      <c r="B2705" t="s">
        <v>18</v>
      </c>
      <c r="C2705">
        <v>45</v>
      </c>
      <c r="D2705" t="s">
        <v>27</v>
      </c>
      <c r="E2705" t="s">
        <v>95</v>
      </c>
      <c r="F2705" s="1">
        <v>42495</v>
      </c>
      <c r="G2705" s="1">
        <v>42499</v>
      </c>
      <c r="H2705" t="s">
        <v>30</v>
      </c>
      <c r="I2705">
        <v>4</v>
      </c>
      <c r="J2705" t="s">
        <v>107</v>
      </c>
      <c r="K2705">
        <v>0</v>
      </c>
      <c r="L2705">
        <v>1</v>
      </c>
      <c r="M2705">
        <v>0</v>
      </c>
      <c r="N2705">
        <v>0</v>
      </c>
      <c r="O2705">
        <v>0</v>
      </c>
      <c r="P2705">
        <v>0</v>
      </c>
      <c r="Q2705" t="s">
        <v>23</v>
      </c>
      <c r="R2705">
        <v>0</v>
      </c>
    </row>
    <row r="2706" spans="1:18">
      <c r="A2706" s="4">
        <v>6657570000000</v>
      </c>
      <c r="B2706" t="s">
        <v>28</v>
      </c>
      <c r="C2706">
        <v>48</v>
      </c>
      <c r="D2706" t="s">
        <v>27</v>
      </c>
      <c r="E2706" t="s">
        <v>98</v>
      </c>
      <c r="F2706" s="1">
        <v>42495</v>
      </c>
      <c r="G2706" s="1">
        <v>42499</v>
      </c>
      <c r="H2706" t="s">
        <v>30</v>
      </c>
      <c r="I2706">
        <v>4</v>
      </c>
      <c r="J2706" t="s">
        <v>107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23</v>
      </c>
      <c r="R2706">
        <v>0</v>
      </c>
    </row>
    <row r="2707" spans="1:18">
      <c r="A2707" s="4">
        <v>72614000000000</v>
      </c>
      <c r="B2707" t="s">
        <v>28</v>
      </c>
      <c r="C2707">
        <v>16</v>
      </c>
      <c r="D2707" t="s">
        <v>60</v>
      </c>
      <c r="E2707" t="s">
        <v>29</v>
      </c>
      <c r="F2707" s="1">
        <v>42495</v>
      </c>
      <c r="G2707" s="1">
        <v>42495</v>
      </c>
      <c r="H2707" t="s">
        <v>33</v>
      </c>
      <c r="I2707">
        <v>0</v>
      </c>
      <c r="J2707" t="s">
        <v>111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23</v>
      </c>
      <c r="R2707">
        <v>0</v>
      </c>
    </row>
    <row r="2708" spans="1:18">
      <c r="A2708" s="4">
        <v>27239500000000</v>
      </c>
      <c r="B2708" t="s">
        <v>18</v>
      </c>
      <c r="C2708">
        <v>47</v>
      </c>
      <c r="D2708" t="s">
        <v>27</v>
      </c>
      <c r="E2708" t="s">
        <v>71</v>
      </c>
      <c r="F2708" s="1">
        <v>42495</v>
      </c>
      <c r="G2708" s="1">
        <v>42499</v>
      </c>
      <c r="H2708" t="s">
        <v>30</v>
      </c>
      <c r="I2708">
        <v>4</v>
      </c>
      <c r="J2708" t="s">
        <v>107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23</v>
      </c>
      <c r="R2708">
        <v>0</v>
      </c>
    </row>
    <row r="2709" spans="1:18">
      <c r="A2709" s="4">
        <v>5685570000000</v>
      </c>
      <c r="B2709" t="s">
        <v>18</v>
      </c>
      <c r="C2709">
        <v>40</v>
      </c>
      <c r="D2709" t="s">
        <v>27</v>
      </c>
      <c r="E2709" t="s">
        <v>44</v>
      </c>
      <c r="F2709" s="1">
        <v>42495</v>
      </c>
      <c r="G2709" s="1">
        <v>42495</v>
      </c>
      <c r="H2709" t="s">
        <v>33</v>
      </c>
      <c r="I2709">
        <v>0</v>
      </c>
      <c r="J2709" t="s">
        <v>111</v>
      </c>
      <c r="K2709">
        <v>0</v>
      </c>
      <c r="L2709">
        <v>1</v>
      </c>
      <c r="M2709">
        <v>0</v>
      </c>
      <c r="N2709">
        <v>0</v>
      </c>
      <c r="O2709">
        <v>0</v>
      </c>
      <c r="P2709">
        <v>0</v>
      </c>
      <c r="Q2709" t="s">
        <v>23</v>
      </c>
      <c r="R2709">
        <v>0</v>
      </c>
    </row>
    <row r="2710" spans="1:18">
      <c r="A2710" s="4">
        <v>73873700000000</v>
      </c>
      <c r="B2710" t="s">
        <v>28</v>
      </c>
      <c r="C2710">
        <v>16</v>
      </c>
      <c r="D2710" t="s">
        <v>60</v>
      </c>
      <c r="E2710" t="s">
        <v>39</v>
      </c>
      <c r="F2710" s="1">
        <v>42495</v>
      </c>
      <c r="G2710" s="1">
        <v>42499</v>
      </c>
      <c r="H2710" t="s">
        <v>30</v>
      </c>
      <c r="I2710">
        <v>4</v>
      </c>
      <c r="J2710" t="s">
        <v>107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26</v>
      </c>
      <c r="R2710">
        <v>1</v>
      </c>
    </row>
    <row r="2711" spans="1:18">
      <c r="A2711" s="4">
        <v>92273700000000</v>
      </c>
      <c r="B2711" t="s">
        <v>18</v>
      </c>
      <c r="C2711">
        <v>59</v>
      </c>
      <c r="D2711" t="s">
        <v>35</v>
      </c>
      <c r="E2711" t="s">
        <v>58</v>
      </c>
      <c r="F2711" s="1">
        <v>42495</v>
      </c>
      <c r="G2711" s="1">
        <v>42499</v>
      </c>
      <c r="H2711" t="s">
        <v>30</v>
      </c>
      <c r="I2711">
        <v>4</v>
      </c>
      <c r="J2711" t="s">
        <v>107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26</v>
      </c>
      <c r="R2711">
        <v>1</v>
      </c>
    </row>
    <row r="2712" spans="1:18">
      <c r="A2712" s="4">
        <v>2277760000000</v>
      </c>
      <c r="B2712" t="s">
        <v>28</v>
      </c>
      <c r="C2712">
        <v>7</v>
      </c>
      <c r="D2712" t="s">
        <v>31</v>
      </c>
      <c r="E2712" t="s">
        <v>104</v>
      </c>
      <c r="F2712" s="1">
        <v>42495</v>
      </c>
      <c r="G2712" s="1">
        <v>42507</v>
      </c>
      <c r="H2712" t="s">
        <v>41</v>
      </c>
      <c r="I2712">
        <v>12</v>
      </c>
      <c r="J2712" t="s">
        <v>92</v>
      </c>
      <c r="K2712">
        <v>1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26</v>
      </c>
      <c r="R2712">
        <v>1</v>
      </c>
    </row>
    <row r="2713" spans="1:18">
      <c r="A2713" s="4">
        <v>17586700000000</v>
      </c>
      <c r="B2713" t="s">
        <v>18</v>
      </c>
      <c r="C2713">
        <v>36</v>
      </c>
      <c r="D2713" t="s">
        <v>27</v>
      </c>
      <c r="E2713" t="s">
        <v>47</v>
      </c>
      <c r="F2713" s="1">
        <v>42495</v>
      </c>
      <c r="G2713" s="1">
        <v>42499</v>
      </c>
      <c r="H2713" t="s">
        <v>30</v>
      </c>
      <c r="I2713">
        <v>4</v>
      </c>
      <c r="J2713" t="s">
        <v>107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23</v>
      </c>
      <c r="R2713">
        <v>0</v>
      </c>
    </row>
    <row r="2714" spans="1:18">
      <c r="A2714" s="4">
        <v>6321520000000</v>
      </c>
      <c r="B2714" t="s">
        <v>28</v>
      </c>
      <c r="C2714">
        <v>29</v>
      </c>
      <c r="D2714" t="s">
        <v>37</v>
      </c>
      <c r="E2714" t="s">
        <v>32</v>
      </c>
      <c r="F2714" s="1">
        <v>42495</v>
      </c>
      <c r="G2714" s="1">
        <v>42501</v>
      </c>
      <c r="H2714" t="s">
        <v>25</v>
      </c>
      <c r="I2714">
        <v>6</v>
      </c>
      <c r="J2714" t="s">
        <v>107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1</v>
      </c>
      <c r="Q2714" t="s">
        <v>23</v>
      </c>
      <c r="R2714">
        <v>0</v>
      </c>
    </row>
    <row r="2715" spans="1:18">
      <c r="A2715" s="4">
        <v>7931130000000</v>
      </c>
      <c r="B2715" t="s">
        <v>18</v>
      </c>
      <c r="C2715">
        <v>27</v>
      </c>
      <c r="D2715" t="s">
        <v>37</v>
      </c>
      <c r="E2715" t="s">
        <v>75</v>
      </c>
      <c r="F2715" s="1">
        <v>42495</v>
      </c>
      <c r="G2715" s="1">
        <v>42495</v>
      </c>
      <c r="H2715" t="s">
        <v>33</v>
      </c>
      <c r="I2715">
        <v>0</v>
      </c>
      <c r="J2715" t="s">
        <v>111</v>
      </c>
      <c r="K2715">
        <v>1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23</v>
      </c>
      <c r="R2715">
        <v>0</v>
      </c>
    </row>
    <row r="2716" spans="1:18">
      <c r="A2716" s="4">
        <v>9873440000000</v>
      </c>
      <c r="B2716" t="s">
        <v>28</v>
      </c>
      <c r="C2716">
        <v>3</v>
      </c>
      <c r="D2716" t="s">
        <v>31</v>
      </c>
      <c r="E2716" t="s">
        <v>36</v>
      </c>
      <c r="F2716" s="1">
        <v>42495</v>
      </c>
      <c r="G2716" s="1">
        <v>42495</v>
      </c>
      <c r="H2716" t="s">
        <v>33</v>
      </c>
      <c r="I2716">
        <v>0</v>
      </c>
      <c r="J2716" t="s">
        <v>111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23</v>
      </c>
      <c r="R2716">
        <v>0</v>
      </c>
    </row>
    <row r="2717" spans="1:18">
      <c r="A2717" s="4">
        <v>63496100000000</v>
      </c>
      <c r="B2717" t="s">
        <v>18</v>
      </c>
      <c r="C2717">
        <v>41</v>
      </c>
      <c r="D2717" t="s">
        <v>27</v>
      </c>
      <c r="E2717" t="s">
        <v>47</v>
      </c>
      <c r="F2717" s="1">
        <v>42495</v>
      </c>
      <c r="G2717" s="1">
        <v>42506</v>
      </c>
      <c r="H2717" t="s">
        <v>30</v>
      </c>
      <c r="I2717">
        <v>11</v>
      </c>
      <c r="J2717" t="s">
        <v>92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23</v>
      </c>
      <c r="R2717">
        <v>0</v>
      </c>
    </row>
    <row r="2718" spans="1:18">
      <c r="A2718" s="4">
        <v>31995800000000</v>
      </c>
      <c r="B2718" t="s">
        <v>18</v>
      </c>
      <c r="C2718">
        <v>31</v>
      </c>
      <c r="D2718" t="s">
        <v>37</v>
      </c>
      <c r="E2718" t="s">
        <v>45</v>
      </c>
      <c r="F2718" s="1">
        <v>42495</v>
      </c>
      <c r="G2718" s="1">
        <v>42495</v>
      </c>
      <c r="H2718" t="s">
        <v>33</v>
      </c>
      <c r="I2718">
        <v>0</v>
      </c>
      <c r="J2718" t="s">
        <v>111</v>
      </c>
      <c r="K2718">
        <v>1</v>
      </c>
      <c r="L2718">
        <v>1</v>
      </c>
      <c r="M2718">
        <v>0</v>
      </c>
      <c r="N2718">
        <v>0</v>
      </c>
      <c r="O2718">
        <v>0</v>
      </c>
      <c r="P2718">
        <v>0</v>
      </c>
      <c r="Q2718" t="s">
        <v>23</v>
      </c>
      <c r="R2718">
        <v>0</v>
      </c>
    </row>
    <row r="2719" spans="1:18">
      <c r="A2719" s="4">
        <v>4945210000000</v>
      </c>
      <c r="B2719" t="s">
        <v>28</v>
      </c>
      <c r="C2719">
        <v>4</v>
      </c>
      <c r="D2719" t="s">
        <v>31</v>
      </c>
      <c r="E2719" t="s">
        <v>71</v>
      </c>
      <c r="F2719" s="1">
        <v>42495</v>
      </c>
      <c r="G2719" s="1">
        <v>42528</v>
      </c>
      <c r="H2719" t="s">
        <v>41</v>
      </c>
      <c r="I2719">
        <v>33</v>
      </c>
      <c r="J2719" t="s">
        <v>22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1</v>
      </c>
      <c r="Q2719" t="s">
        <v>23</v>
      </c>
      <c r="R2719">
        <v>0</v>
      </c>
    </row>
    <row r="2720" spans="1:18">
      <c r="A2720" s="4">
        <v>55676600000000</v>
      </c>
      <c r="B2720" t="s">
        <v>28</v>
      </c>
      <c r="C2720">
        <v>1</v>
      </c>
      <c r="D2720" t="s">
        <v>31</v>
      </c>
      <c r="E2720" t="s">
        <v>69</v>
      </c>
      <c r="F2720" s="1">
        <v>42495</v>
      </c>
      <c r="G2720" s="1">
        <v>42522</v>
      </c>
      <c r="H2720" t="s">
        <v>25</v>
      </c>
      <c r="I2720">
        <v>27</v>
      </c>
      <c r="J2720" t="s">
        <v>77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26</v>
      </c>
      <c r="R2720">
        <v>1</v>
      </c>
    </row>
    <row r="2721" spans="1:18">
      <c r="A2721" s="4">
        <v>8168830000000</v>
      </c>
      <c r="B2721" t="s">
        <v>28</v>
      </c>
      <c r="C2721">
        <v>3</v>
      </c>
      <c r="D2721" t="s">
        <v>31</v>
      </c>
      <c r="E2721" t="s">
        <v>45</v>
      </c>
      <c r="F2721" s="1">
        <v>42495</v>
      </c>
      <c r="G2721" s="1">
        <v>42495</v>
      </c>
      <c r="H2721" t="s">
        <v>33</v>
      </c>
      <c r="I2721">
        <v>0</v>
      </c>
      <c r="J2721" t="s">
        <v>111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23</v>
      </c>
      <c r="R2721">
        <v>0</v>
      </c>
    </row>
    <row r="2722" spans="1:18">
      <c r="A2722" s="4">
        <v>358428000000000</v>
      </c>
      <c r="B2722" t="s">
        <v>18</v>
      </c>
      <c r="C2722">
        <v>23</v>
      </c>
      <c r="D2722" t="s">
        <v>37</v>
      </c>
      <c r="E2722" t="s">
        <v>47</v>
      </c>
      <c r="F2722" s="1">
        <v>42495</v>
      </c>
      <c r="G2722" s="1">
        <v>42506</v>
      </c>
      <c r="H2722" t="s">
        <v>30</v>
      </c>
      <c r="I2722">
        <v>11</v>
      </c>
      <c r="J2722" t="s">
        <v>92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26</v>
      </c>
      <c r="R2722">
        <v>1</v>
      </c>
    </row>
    <row r="2723" spans="1:18">
      <c r="A2723" s="4">
        <v>919700000000000</v>
      </c>
      <c r="B2723" t="s">
        <v>18</v>
      </c>
      <c r="C2723">
        <v>68</v>
      </c>
      <c r="D2723" t="s">
        <v>19</v>
      </c>
      <c r="E2723" t="s">
        <v>56</v>
      </c>
      <c r="F2723" s="1">
        <v>42495</v>
      </c>
      <c r="G2723" s="1">
        <v>42514</v>
      </c>
      <c r="H2723" t="s">
        <v>41</v>
      </c>
      <c r="I2723">
        <v>19</v>
      </c>
      <c r="J2723" t="s">
        <v>77</v>
      </c>
      <c r="K2723">
        <v>1</v>
      </c>
      <c r="L2723">
        <v>1</v>
      </c>
      <c r="M2723">
        <v>0</v>
      </c>
      <c r="N2723">
        <v>0</v>
      </c>
      <c r="O2723">
        <v>0</v>
      </c>
      <c r="P2723">
        <v>1</v>
      </c>
      <c r="Q2723" t="s">
        <v>23</v>
      </c>
      <c r="R2723">
        <v>0</v>
      </c>
    </row>
    <row r="2724" spans="1:18">
      <c r="A2724" s="4">
        <v>51888900000000</v>
      </c>
      <c r="B2724" t="s">
        <v>18</v>
      </c>
      <c r="C2724">
        <v>22</v>
      </c>
      <c r="D2724" t="s">
        <v>37</v>
      </c>
      <c r="E2724" t="s">
        <v>72</v>
      </c>
      <c r="F2724" s="1">
        <v>42495</v>
      </c>
      <c r="G2724" s="1">
        <v>42509</v>
      </c>
      <c r="H2724" t="s">
        <v>33</v>
      </c>
      <c r="I2724">
        <v>14</v>
      </c>
      <c r="J2724" t="s">
        <v>92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26</v>
      </c>
      <c r="R2724">
        <v>1</v>
      </c>
    </row>
    <row r="2725" spans="1:18">
      <c r="A2725" s="4">
        <v>869892000000</v>
      </c>
      <c r="B2725" t="s">
        <v>18</v>
      </c>
      <c r="C2725">
        <v>19</v>
      </c>
      <c r="D2725" t="s">
        <v>37</v>
      </c>
      <c r="E2725" t="s">
        <v>61</v>
      </c>
      <c r="F2725" s="1">
        <v>42495</v>
      </c>
      <c r="G2725" s="1">
        <v>42495</v>
      </c>
      <c r="H2725" t="s">
        <v>33</v>
      </c>
      <c r="I2725">
        <v>0</v>
      </c>
      <c r="J2725" t="s">
        <v>111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23</v>
      </c>
      <c r="R2725">
        <v>0</v>
      </c>
    </row>
    <row r="2726" spans="1:18">
      <c r="A2726" s="4">
        <v>8583720000000</v>
      </c>
      <c r="B2726" t="s">
        <v>28</v>
      </c>
      <c r="C2726">
        <v>11</v>
      </c>
      <c r="D2726" t="s">
        <v>31</v>
      </c>
      <c r="E2726" t="s">
        <v>29</v>
      </c>
      <c r="F2726" s="1">
        <v>42495</v>
      </c>
      <c r="G2726" s="1">
        <v>42495</v>
      </c>
      <c r="H2726" t="s">
        <v>33</v>
      </c>
      <c r="I2726">
        <v>0</v>
      </c>
      <c r="J2726" t="s">
        <v>111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23</v>
      </c>
      <c r="R2726">
        <v>0</v>
      </c>
    </row>
    <row r="2727" spans="1:18">
      <c r="A2727" s="4">
        <v>385748000000</v>
      </c>
      <c r="B2727" t="s">
        <v>18</v>
      </c>
      <c r="C2727">
        <v>52</v>
      </c>
      <c r="D2727" t="s">
        <v>35</v>
      </c>
      <c r="E2727" t="s">
        <v>50</v>
      </c>
      <c r="F2727" s="1">
        <v>42495</v>
      </c>
      <c r="G2727" s="1">
        <v>42496</v>
      </c>
      <c r="H2727" t="s">
        <v>21</v>
      </c>
      <c r="I2727">
        <v>1</v>
      </c>
      <c r="J2727" t="s">
        <v>109</v>
      </c>
      <c r="K2727">
        <v>0</v>
      </c>
      <c r="L2727">
        <v>1</v>
      </c>
      <c r="M2727">
        <v>0</v>
      </c>
      <c r="N2727">
        <v>0</v>
      </c>
      <c r="O2727">
        <v>0</v>
      </c>
      <c r="P2727">
        <v>0</v>
      </c>
      <c r="Q2727" t="s">
        <v>23</v>
      </c>
      <c r="R2727">
        <v>0</v>
      </c>
    </row>
    <row r="2728" spans="1:18">
      <c r="A2728" s="4">
        <v>91485600000000</v>
      </c>
      <c r="B2728" t="s">
        <v>18</v>
      </c>
      <c r="C2728">
        <v>20</v>
      </c>
      <c r="D2728" t="s">
        <v>37</v>
      </c>
      <c r="E2728" t="s">
        <v>75</v>
      </c>
      <c r="F2728" s="1">
        <v>42495</v>
      </c>
      <c r="G2728" s="1">
        <v>42495</v>
      </c>
      <c r="H2728" t="s">
        <v>33</v>
      </c>
      <c r="I2728">
        <v>0</v>
      </c>
      <c r="J2728" t="s">
        <v>111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23</v>
      </c>
      <c r="R2728">
        <v>0</v>
      </c>
    </row>
    <row r="2729" spans="1:18">
      <c r="A2729" s="4">
        <v>87334200000000</v>
      </c>
      <c r="B2729" t="s">
        <v>18</v>
      </c>
      <c r="C2729">
        <v>69</v>
      </c>
      <c r="D2729" t="s">
        <v>19</v>
      </c>
      <c r="E2729" t="s">
        <v>62</v>
      </c>
      <c r="F2729" s="1">
        <v>42495</v>
      </c>
      <c r="G2729" s="1">
        <v>42495</v>
      </c>
      <c r="H2729" t="s">
        <v>33</v>
      </c>
      <c r="I2729">
        <v>0</v>
      </c>
      <c r="J2729" t="s">
        <v>111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23</v>
      </c>
      <c r="R2729">
        <v>0</v>
      </c>
    </row>
    <row r="2730" spans="1:18">
      <c r="A2730" s="4">
        <v>6528850000000</v>
      </c>
      <c r="B2730" t="s">
        <v>18</v>
      </c>
      <c r="C2730">
        <v>57</v>
      </c>
      <c r="D2730" t="s">
        <v>35</v>
      </c>
      <c r="E2730" t="s">
        <v>47</v>
      </c>
      <c r="F2730" s="1">
        <v>42495</v>
      </c>
      <c r="G2730" s="1">
        <v>42495</v>
      </c>
      <c r="H2730" t="s">
        <v>33</v>
      </c>
      <c r="I2730">
        <v>0</v>
      </c>
      <c r="J2730" t="s">
        <v>111</v>
      </c>
      <c r="K2730">
        <v>0</v>
      </c>
      <c r="L2730">
        <v>1</v>
      </c>
      <c r="M2730">
        <v>0</v>
      </c>
      <c r="N2730">
        <v>0</v>
      </c>
      <c r="O2730">
        <v>0</v>
      </c>
      <c r="P2730">
        <v>0</v>
      </c>
      <c r="Q2730" t="s">
        <v>23</v>
      </c>
      <c r="R2730">
        <v>0</v>
      </c>
    </row>
    <row r="2731" spans="1:18">
      <c r="A2731" s="4">
        <v>25725500000000</v>
      </c>
      <c r="B2731" t="s">
        <v>18</v>
      </c>
      <c r="C2731">
        <v>60</v>
      </c>
      <c r="D2731" t="s">
        <v>35</v>
      </c>
      <c r="E2731" t="s">
        <v>39</v>
      </c>
      <c r="F2731" s="1">
        <v>42495</v>
      </c>
      <c r="G2731" s="1">
        <v>42500</v>
      </c>
      <c r="H2731" t="s">
        <v>41</v>
      </c>
      <c r="I2731">
        <v>5</v>
      </c>
      <c r="J2731" t="s">
        <v>107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1</v>
      </c>
      <c r="Q2731" t="s">
        <v>23</v>
      </c>
      <c r="R2731">
        <v>0</v>
      </c>
    </row>
    <row r="2732" spans="1:18">
      <c r="A2732" s="4">
        <v>4933180000000</v>
      </c>
      <c r="B2732" t="s">
        <v>18</v>
      </c>
      <c r="C2732">
        <v>1</v>
      </c>
      <c r="D2732" t="s">
        <v>31</v>
      </c>
      <c r="E2732" t="s">
        <v>75</v>
      </c>
      <c r="F2732" s="1">
        <v>42495</v>
      </c>
      <c r="G2732" s="1">
        <v>42495</v>
      </c>
      <c r="H2732" t="s">
        <v>33</v>
      </c>
      <c r="I2732">
        <v>0</v>
      </c>
      <c r="J2732" t="s">
        <v>111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23</v>
      </c>
      <c r="R2732">
        <v>0</v>
      </c>
    </row>
    <row r="2733" spans="1:18">
      <c r="A2733" s="4">
        <v>53529700000000</v>
      </c>
      <c r="B2733" t="s">
        <v>18</v>
      </c>
      <c r="C2733">
        <v>13</v>
      </c>
      <c r="D2733" t="s">
        <v>60</v>
      </c>
      <c r="E2733" t="s">
        <v>38</v>
      </c>
      <c r="F2733" s="1">
        <v>42495</v>
      </c>
      <c r="G2733" s="1">
        <v>42495</v>
      </c>
      <c r="H2733" t="s">
        <v>33</v>
      </c>
      <c r="I2733">
        <v>0</v>
      </c>
      <c r="J2733" t="s">
        <v>111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23</v>
      </c>
      <c r="R2733">
        <v>0</v>
      </c>
    </row>
    <row r="2734" spans="1:18">
      <c r="A2734" s="4">
        <v>53517700000000</v>
      </c>
      <c r="B2734" t="s">
        <v>18</v>
      </c>
      <c r="C2734">
        <v>34</v>
      </c>
      <c r="D2734" t="s">
        <v>37</v>
      </c>
      <c r="E2734" t="s">
        <v>57</v>
      </c>
      <c r="F2734" s="1">
        <v>42495</v>
      </c>
      <c r="G2734" s="1">
        <v>42515</v>
      </c>
      <c r="H2734" t="s">
        <v>25</v>
      </c>
      <c r="I2734">
        <v>20</v>
      </c>
      <c r="J2734" t="s">
        <v>77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1</v>
      </c>
      <c r="Q2734" t="s">
        <v>23</v>
      </c>
      <c r="R2734">
        <v>0</v>
      </c>
    </row>
    <row r="2735" spans="1:18">
      <c r="A2735" s="4">
        <v>527153000000000</v>
      </c>
      <c r="B2735" t="s">
        <v>28</v>
      </c>
      <c r="C2735">
        <v>34</v>
      </c>
      <c r="D2735" t="s">
        <v>37</v>
      </c>
      <c r="E2735" t="s">
        <v>69</v>
      </c>
      <c r="F2735" s="1">
        <v>42495</v>
      </c>
      <c r="G2735" s="1">
        <v>42515</v>
      </c>
      <c r="H2735" t="s">
        <v>25</v>
      </c>
      <c r="I2735">
        <v>20</v>
      </c>
      <c r="J2735" t="s">
        <v>77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1</v>
      </c>
      <c r="Q2735" t="s">
        <v>23</v>
      </c>
      <c r="R2735">
        <v>0</v>
      </c>
    </row>
    <row r="2736" spans="1:18">
      <c r="A2736" s="4">
        <v>7354240000000</v>
      </c>
      <c r="B2736" t="s">
        <v>18</v>
      </c>
      <c r="C2736">
        <v>29</v>
      </c>
      <c r="D2736" t="s">
        <v>37</v>
      </c>
      <c r="E2736" t="s">
        <v>61</v>
      </c>
      <c r="F2736" s="1">
        <v>42495</v>
      </c>
      <c r="G2736" s="1">
        <v>42507</v>
      </c>
      <c r="H2736" t="s">
        <v>41</v>
      </c>
      <c r="I2736">
        <v>12</v>
      </c>
      <c r="J2736" t="s">
        <v>92</v>
      </c>
      <c r="K2736">
        <v>1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23</v>
      </c>
      <c r="R2736">
        <v>0</v>
      </c>
    </row>
    <row r="2737" spans="1:18">
      <c r="A2737" s="4">
        <v>643582000000000</v>
      </c>
      <c r="B2737" t="s">
        <v>18</v>
      </c>
      <c r="C2737">
        <v>36</v>
      </c>
      <c r="D2737" t="s">
        <v>27</v>
      </c>
      <c r="E2737" t="s">
        <v>54</v>
      </c>
      <c r="F2737" s="1">
        <v>42495</v>
      </c>
      <c r="G2737" s="1">
        <v>42502</v>
      </c>
      <c r="H2737" t="s">
        <v>33</v>
      </c>
      <c r="I2737">
        <v>7</v>
      </c>
      <c r="J2737" t="s">
        <v>107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1</v>
      </c>
      <c r="Q2737" t="s">
        <v>23</v>
      </c>
      <c r="R2737">
        <v>0</v>
      </c>
    </row>
    <row r="2738" spans="1:18">
      <c r="A2738" s="4">
        <v>74131100000000</v>
      </c>
      <c r="B2738" t="s">
        <v>28</v>
      </c>
      <c r="C2738">
        <v>29</v>
      </c>
      <c r="D2738" t="s">
        <v>37</v>
      </c>
      <c r="E2738" t="s">
        <v>55</v>
      </c>
      <c r="F2738" s="1">
        <v>42495</v>
      </c>
      <c r="G2738" s="1">
        <v>42501</v>
      </c>
      <c r="H2738" t="s">
        <v>25</v>
      </c>
      <c r="I2738">
        <v>6</v>
      </c>
      <c r="J2738" t="s">
        <v>107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1</v>
      </c>
      <c r="Q2738" t="s">
        <v>23</v>
      </c>
      <c r="R2738">
        <v>0</v>
      </c>
    </row>
    <row r="2739" spans="1:18">
      <c r="A2739" s="4">
        <v>78964500000000</v>
      </c>
      <c r="B2739" t="s">
        <v>18</v>
      </c>
      <c r="C2739">
        <v>0</v>
      </c>
      <c r="D2739" t="s">
        <v>31</v>
      </c>
      <c r="E2739" t="s">
        <v>86</v>
      </c>
      <c r="F2739" s="1">
        <v>42495</v>
      </c>
      <c r="G2739" s="1">
        <v>42499</v>
      </c>
      <c r="H2739" t="s">
        <v>30</v>
      </c>
      <c r="I2739">
        <v>4</v>
      </c>
      <c r="J2739" t="s">
        <v>107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26</v>
      </c>
      <c r="R2739">
        <v>1</v>
      </c>
    </row>
    <row r="2740" spans="1:18">
      <c r="A2740" s="4">
        <v>9549640000000</v>
      </c>
      <c r="B2740" t="s">
        <v>28</v>
      </c>
      <c r="C2740">
        <v>48</v>
      </c>
      <c r="D2740" t="s">
        <v>27</v>
      </c>
      <c r="E2740" t="s">
        <v>52</v>
      </c>
      <c r="F2740" s="1">
        <v>42495</v>
      </c>
      <c r="G2740" s="1">
        <v>42495</v>
      </c>
      <c r="H2740" t="s">
        <v>33</v>
      </c>
      <c r="I2740">
        <v>0</v>
      </c>
      <c r="J2740" t="s">
        <v>111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23</v>
      </c>
      <c r="R2740">
        <v>0</v>
      </c>
    </row>
    <row r="2741" spans="1:18">
      <c r="A2741" s="4">
        <v>2271580000000</v>
      </c>
      <c r="B2741" t="s">
        <v>28</v>
      </c>
      <c r="C2741">
        <v>57</v>
      </c>
      <c r="D2741" t="s">
        <v>35</v>
      </c>
      <c r="E2741" t="s">
        <v>43</v>
      </c>
      <c r="F2741" s="1">
        <v>42495</v>
      </c>
      <c r="G2741" s="1">
        <v>42495</v>
      </c>
      <c r="H2741" t="s">
        <v>33</v>
      </c>
      <c r="I2741">
        <v>0</v>
      </c>
      <c r="J2741" t="s">
        <v>111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23</v>
      </c>
      <c r="R2741">
        <v>0</v>
      </c>
    </row>
    <row r="2742" spans="1:18">
      <c r="A2742" s="4">
        <v>243475000000</v>
      </c>
      <c r="B2742" t="s">
        <v>28</v>
      </c>
      <c r="C2742">
        <v>0</v>
      </c>
      <c r="D2742" t="s">
        <v>31</v>
      </c>
      <c r="E2742" t="s">
        <v>69</v>
      </c>
      <c r="F2742" s="1">
        <v>42495</v>
      </c>
      <c r="G2742" s="1">
        <v>42495</v>
      </c>
      <c r="H2742" t="s">
        <v>33</v>
      </c>
      <c r="I2742">
        <v>0</v>
      </c>
      <c r="J2742" t="s">
        <v>111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23</v>
      </c>
      <c r="R2742">
        <v>0</v>
      </c>
    </row>
    <row r="2743" spans="1:18">
      <c r="A2743" s="4">
        <v>42151200000000</v>
      </c>
      <c r="B2743" t="s">
        <v>28</v>
      </c>
      <c r="C2743">
        <v>15</v>
      </c>
      <c r="D2743" t="s">
        <v>60</v>
      </c>
      <c r="E2743" t="s">
        <v>72</v>
      </c>
      <c r="F2743" s="1">
        <v>42495</v>
      </c>
      <c r="G2743" s="1">
        <v>42527</v>
      </c>
      <c r="H2743" t="s">
        <v>30</v>
      </c>
      <c r="I2743">
        <v>32</v>
      </c>
      <c r="J2743" t="s">
        <v>22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1</v>
      </c>
      <c r="Q2743" t="s">
        <v>23</v>
      </c>
      <c r="R2743">
        <v>0</v>
      </c>
    </row>
    <row r="2744" spans="1:18">
      <c r="A2744" s="4">
        <v>37864500000000</v>
      </c>
      <c r="B2744" t="s">
        <v>28</v>
      </c>
      <c r="C2744">
        <v>0</v>
      </c>
      <c r="D2744" t="s">
        <v>31</v>
      </c>
      <c r="E2744" t="s">
        <v>64</v>
      </c>
      <c r="F2744" s="1">
        <v>42495</v>
      </c>
      <c r="G2744" s="1">
        <v>42495</v>
      </c>
      <c r="H2744" t="s">
        <v>33</v>
      </c>
      <c r="I2744">
        <v>0</v>
      </c>
      <c r="J2744" t="s">
        <v>111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23</v>
      </c>
      <c r="R2744">
        <v>0</v>
      </c>
    </row>
    <row r="2745" spans="1:18">
      <c r="A2745" s="4">
        <v>37778200000000</v>
      </c>
      <c r="B2745" t="s">
        <v>28</v>
      </c>
      <c r="C2745">
        <v>13</v>
      </c>
      <c r="D2745" t="s">
        <v>60</v>
      </c>
      <c r="E2745" t="s">
        <v>54</v>
      </c>
      <c r="F2745" s="1">
        <v>42495</v>
      </c>
      <c r="G2745" s="1">
        <v>42495</v>
      </c>
      <c r="H2745" t="s">
        <v>33</v>
      </c>
      <c r="I2745">
        <v>0</v>
      </c>
      <c r="J2745" t="s">
        <v>111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23</v>
      </c>
      <c r="R2745">
        <v>0</v>
      </c>
    </row>
    <row r="2746" spans="1:18">
      <c r="A2746" s="4">
        <v>3425390000000</v>
      </c>
      <c r="B2746" t="s">
        <v>28</v>
      </c>
      <c r="C2746">
        <v>15</v>
      </c>
      <c r="D2746" t="s">
        <v>60</v>
      </c>
      <c r="E2746" t="s">
        <v>72</v>
      </c>
      <c r="F2746" s="1">
        <v>42495</v>
      </c>
      <c r="G2746" s="1">
        <v>42495</v>
      </c>
      <c r="H2746" t="s">
        <v>33</v>
      </c>
      <c r="I2746">
        <v>0</v>
      </c>
      <c r="J2746" t="s">
        <v>111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23</v>
      </c>
      <c r="R2746">
        <v>0</v>
      </c>
    </row>
    <row r="2747" spans="1:18">
      <c r="A2747" s="4">
        <v>927879000000</v>
      </c>
      <c r="B2747" t="s">
        <v>18</v>
      </c>
      <c r="C2747">
        <v>20</v>
      </c>
      <c r="D2747" t="s">
        <v>37</v>
      </c>
      <c r="E2747" t="s">
        <v>73</v>
      </c>
      <c r="F2747" s="1">
        <v>42495</v>
      </c>
      <c r="G2747" s="1">
        <v>42502</v>
      </c>
      <c r="H2747" t="s">
        <v>33</v>
      </c>
      <c r="I2747">
        <v>7</v>
      </c>
      <c r="J2747" t="s">
        <v>107</v>
      </c>
      <c r="K2747">
        <v>1</v>
      </c>
      <c r="L2747">
        <v>0</v>
      </c>
      <c r="M2747">
        <v>0</v>
      </c>
      <c r="N2747">
        <v>0</v>
      </c>
      <c r="O2747">
        <v>0</v>
      </c>
      <c r="P2747">
        <v>1</v>
      </c>
      <c r="Q2747" t="s">
        <v>26</v>
      </c>
      <c r="R2747">
        <v>1</v>
      </c>
    </row>
    <row r="2748" spans="1:18">
      <c r="A2748" s="4">
        <v>761713000000</v>
      </c>
      <c r="B2748" t="s">
        <v>18</v>
      </c>
      <c r="C2748">
        <v>52</v>
      </c>
      <c r="D2748" t="s">
        <v>35</v>
      </c>
      <c r="E2748" t="s">
        <v>67</v>
      </c>
      <c r="F2748" s="1">
        <v>42495</v>
      </c>
      <c r="G2748" s="1">
        <v>42502</v>
      </c>
      <c r="H2748" t="s">
        <v>33</v>
      </c>
      <c r="I2748">
        <v>7</v>
      </c>
      <c r="J2748" t="s">
        <v>107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1</v>
      </c>
      <c r="Q2748" t="s">
        <v>26</v>
      </c>
      <c r="R2748">
        <v>1</v>
      </c>
    </row>
    <row r="2749" spans="1:18">
      <c r="A2749" s="4">
        <v>4265690000000</v>
      </c>
      <c r="B2749" t="s">
        <v>18</v>
      </c>
      <c r="C2749">
        <v>24</v>
      </c>
      <c r="D2749" t="s">
        <v>37</v>
      </c>
      <c r="E2749" t="s">
        <v>57</v>
      </c>
      <c r="F2749" s="1">
        <v>42495</v>
      </c>
      <c r="G2749" s="1">
        <v>42510</v>
      </c>
      <c r="H2749" t="s">
        <v>21</v>
      </c>
      <c r="I2749">
        <v>15</v>
      </c>
      <c r="J2749" t="s">
        <v>77</v>
      </c>
      <c r="K2749">
        <v>0</v>
      </c>
      <c r="L2749">
        <v>0</v>
      </c>
      <c r="M2749">
        <v>0</v>
      </c>
      <c r="N2749">
        <v>1</v>
      </c>
      <c r="O2749">
        <v>0</v>
      </c>
      <c r="P2749">
        <v>0</v>
      </c>
      <c r="Q2749" t="s">
        <v>23</v>
      </c>
      <c r="R2749">
        <v>0</v>
      </c>
    </row>
    <row r="2750" spans="1:18">
      <c r="A2750" s="4">
        <v>69249300000000</v>
      </c>
      <c r="B2750" t="s">
        <v>18</v>
      </c>
      <c r="C2750">
        <v>61</v>
      </c>
      <c r="D2750" t="s">
        <v>35</v>
      </c>
      <c r="E2750" t="s">
        <v>48</v>
      </c>
      <c r="F2750" s="1">
        <v>42495</v>
      </c>
      <c r="G2750" s="1">
        <v>42495</v>
      </c>
      <c r="H2750" t="s">
        <v>33</v>
      </c>
      <c r="I2750">
        <v>0</v>
      </c>
      <c r="J2750" t="s">
        <v>111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23</v>
      </c>
      <c r="R2750">
        <v>0</v>
      </c>
    </row>
    <row r="2751" spans="1:18">
      <c r="A2751" s="4">
        <v>4932120000000</v>
      </c>
      <c r="B2751" t="s">
        <v>28</v>
      </c>
      <c r="C2751">
        <v>53</v>
      </c>
      <c r="D2751" t="s">
        <v>35</v>
      </c>
      <c r="E2751" t="s">
        <v>20</v>
      </c>
      <c r="F2751" s="1">
        <v>42495</v>
      </c>
      <c r="G2751" s="1">
        <v>42495</v>
      </c>
      <c r="H2751" t="s">
        <v>33</v>
      </c>
      <c r="I2751">
        <v>0</v>
      </c>
      <c r="J2751" t="s">
        <v>111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23</v>
      </c>
      <c r="R2751">
        <v>0</v>
      </c>
    </row>
    <row r="2752" spans="1:18">
      <c r="A2752" s="4">
        <v>8174120000000</v>
      </c>
      <c r="B2752" t="s">
        <v>18</v>
      </c>
      <c r="C2752">
        <v>57</v>
      </c>
      <c r="D2752" t="s">
        <v>35</v>
      </c>
      <c r="E2752" t="s">
        <v>29</v>
      </c>
      <c r="F2752" s="1">
        <v>42495</v>
      </c>
      <c r="G2752" s="1">
        <v>42520</v>
      </c>
      <c r="H2752" t="s">
        <v>30</v>
      </c>
      <c r="I2752">
        <v>25</v>
      </c>
      <c r="J2752" t="s">
        <v>77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1</v>
      </c>
      <c r="Q2752" t="s">
        <v>23</v>
      </c>
      <c r="R2752">
        <v>0</v>
      </c>
    </row>
    <row r="2753" spans="1:18">
      <c r="A2753" s="4">
        <v>521618000000000</v>
      </c>
      <c r="B2753" t="s">
        <v>28</v>
      </c>
      <c r="C2753">
        <v>0</v>
      </c>
      <c r="D2753" t="s">
        <v>31</v>
      </c>
      <c r="E2753" t="s">
        <v>96</v>
      </c>
      <c r="F2753" s="1">
        <v>42495</v>
      </c>
      <c r="G2753" s="1">
        <v>42495</v>
      </c>
      <c r="H2753" t="s">
        <v>33</v>
      </c>
      <c r="I2753">
        <v>0</v>
      </c>
      <c r="J2753" t="s">
        <v>111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23</v>
      </c>
      <c r="R2753">
        <v>0</v>
      </c>
    </row>
    <row r="2754" spans="1:18">
      <c r="A2754" s="4">
        <v>64284900000000</v>
      </c>
      <c r="B2754" t="s">
        <v>18</v>
      </c>
      <c r="C2754">
        <v>53</v>
      </c>
      <c r="D2754" t="s">
        <v>35</v>
      </c>
      <c r="E2754" t="s">
        <v>97</v>
      </c>
      <c r="F2754" s="1">
        <v>42495</v>
      </c>
      <c r="G2754" s="1">
        <v>42501</v>
      </c>
      <c r="H2754" t="s">
        <v>25</v>
      </c>
      <c r="I2754">
        <v>6</v>
      </c>
      <c r="J2754" t="s">
        <v>107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1</v>
      </c>
      <c r="Q2754" t="s">
        <v>23</v>
      </c>
      <c r="R2754">
        <v>0</v>
      </c>
    </row>
    <row r="2755" spans="1:18">
      <c r="A2755" s="4">
        <v>651832000000000</v>
      </c>
      <c r="B2755" t="s">
        <v>28</v>
      </c>
      <c r="C2755">
        <v>5</v>
      </c>
      <c r="D2755" t="s">
        <v>31</v>
      </c>
      <c r="E2755" t="s">
        <v>45</v>
      </c>
      <c r="F2755" s="1">
        <v>42495</v>
      </c>
      <c r="G2755" s="1">
        <v>42503</v>
      </c>
      <c r="H2755" t="s">
        <v>21</v>
      </c>
      <c r="I2755">
        <v>8</v>
      </c>
      <c r="J2755" t="s">
        <v>92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23</v>
      </c>
      <c r="R2755">
        <v>0</v>
      </c>
    </row>
    <row r="2756" spans="1:18">
      <c r="A2756" s="4">
        <v>9682960000000</v>
      </c>
      <c r="B2756" t="s">
        <v>28</v>
      </c>
      <c r="C2756">
        <v>39</v>
      </c>
      <c r="D2756" t="s">
        <v>27</v>
      </c>
      <c r="E2756" t="s">
        <v>44</v>
      </c>
      <c r="F2756" s="1">
        <v>42495</v>
      </c>
      <c r="G2756" s="1">
        <v>42495</v>
      </c>
      <c r="H2756" t="s">
        <v>33</v>
      </c>
      <c r="I2756">
        <v>0</v>
      </c>
      <c r="J2756" t="s">
        <v>111</v>
      </c>
      <c r="K2756">
        <v>0</v>
      </c>
      <c r="L2756">
        <v>1</v>
      </c>
      <c r="M2756">
        <v>0</v>
      </c>
      <c r="N2756">
        <v>0</v>
      </c>
      <c r="O2756">
        <v>0</v>
      </c>
      <c r="P2756">
        <v>0</v>
      </c>
      <c r="Q2756" t="s">
        <v>23</v>
      </c>
      <c r="R2756">
        <v>0</v>
      </c>
    </row>
    <row r="2757" spans="1:18">
      <c r="A2757" s="4">
        <v>982186000000</v>
      </c>
      <c r="B2757" t="s">
        <v>18</v>
      </c>
      <c r="C2757">
        <v>83</v>
      </c>
      <c r="D2757" t="s">
        <v>19</v>
      </c>
      <c r="E2757" t="s">
        <v>70</v>
      </c>
      <c r="F2757" s="1">
        <v>42495</v>
      </c>
      <c r="G2757" s="1">
        <v>42495</v>
      </c>
      <c r="H2757" t="s">
        <v>33</v>
      </c>
      <c r="I2757">
        <v>0</v>
      </c>
      <c r="J2757" t="s">
        <v>111</v>
      </c>
      <c r="K2757">
        <v>0</v>
      </c>
      <c r="L2757">
        <v>1</v>
      </c>
      <c r="M2757">
        <v>0</v>
      </c>
      <c r="N2757">
        <v>0</v>
      </c>
      <c r="O2757">
        <v>1</v>
      </c>
      <c r="P2757">
        <v>0</v>
      </c>
      <c r="Q2757" t="s">
        <v>23</v>
      </c>
      <c r="R2757">
        <v>0</v>
      </c>
    </row>
    <row r="2758" spans="1:18">
      <c r="A2758" s="4">
        <v>68921400000000</v>
      </c>
      <c r="B2758" t="s">
        <v>28</v>
      </c>
      <c r="C2758">
        <v>48</v>
      </c>
      <c r="D2758" t="s">
        <v>27</v>
      </c>
      <c r="E2758" t="s">
        <v>73</v>
      </c>
      <c r="F2758" s="1">
        <v>42495</v>
      </c>
      <c r="G2758" s="1">
        <v>42495</v>
      </c>
      <c r="H2758" t="s">
        <v>33</v>
      </c>
      <c r="I2758">
        <v>0</v>
      </c>
      <c r="J2758" t="s">
        <v>111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23</v>
      </c>
      <c r="R2758">
        <v>0</v>
      </c>
    </row>
    <row r="2759" spans="1:18">
      <c r="A2759" s="4">
        <v>858282000000</v>
      </c>
      <c r="B2759" t="s">
        <v>18</v>
      </c>
      <c r="C2759">
        <v>41</v>
      </c>
      <c r="D2759" t="s">
        <v>27</v>
      </c>
      <c r="E2759" t="s">
        <v>34</v>
      </c>
      <c r="F2759" s="1">
        <v>42495</v>
      </c>
      <c r="G2759" s="1">
        <v>42509</v>
      </c>
      <c r="H2759" t="s">
        <v>33</v>
      </c>
      <c r="I2759">
        <v>14</v>
      </c>
      <c r="J2759" t="s">
        <v>92</v>
      </c>
      <c r="K2759">
        <v>1</v>
      </c>
      <c r="L2759">
        <v>1</v>
      </c>
      <c r="M2759">
        <v>0</v>
      </c>
      <c r="N2759">
        <v>1</v>
      </c>
      <c r="O2759">
        <v>0</v>
      </c>
      <c r="P2759">
        <v>0</v>
      </c>
      <c r="Q2759" t="s">
        <v>23</v>
      </c>
      <c r="R2759">
        <v>0</v>
      </c>
    </row>
    <row r="2760" spans="1:18">
      <c r="A2760" s="4">
        <v>933790000000000</v>
      </c>
      <c r="B2760" t="s">
        <v>18</v>
      </c>
      <c r="C2760">
        <v>31</v>
      </c>
      <c r="D2760" t="s">
        <v>37</v>
      </c>
      <c r="E2760" t="s">
        <v>32</v>
      </c>
      <c r="F2760" s="1">
        <v>42495</v>
      </c>
      <c r="G2760" s="1">
        <v>42499</v>
      </c>
      <c r="H2760" t="s">
        <v>30</v>
      </c>
      <c r="I2760">
        <v>4</v>
      </c>
      <c r="J2760" t="s">
        <v>107</v>
      </c>
      <c r="K2760">
        <v>0</v>
      </c>
      <c r="L2760">
        <v>0</v>
      </c>
      <c r="M2760">
        <v>0</v>
      </c>
      <c r="N2760">
        <v>0</v>
      </c>
      <c r="O2760">
        <v>1</v>
      </c>
      <c r="P2760">
        <v>0</v>
      </c>
      <c r="Q2760" t="s">
        <v>23</v>
      </c>
      <c r="R2760">
        <v>0</v>
      </c>
    </row>
    <row r="2761" spans="1:18">
      <c r="A2761" s="4">
        <v>814920000000000</v>
      </c>
      <c r="B2761" t="s">
        <v>28</v>
      </c>
      <c r="C2761">
        <v>17</v>
      </c>
      <c r="D2761" t="s">
        <v>60</v>
      </c>
      <c r="E2761" t="s">
        <v>72</v>
      </c>
      <c r="F2761" s="1">
        <v>42495</v>
      </c>
      <c r="G2761" s="1">
        <v>42495</v>
      </c>
      <c r="H2761" t="s">
        <v>33</v>
      </c>
      <c r="I2761">
        <v>0</v>
      </c>
      <c r="J2761" t="s">
        <v>111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23</v>
      </c>
      <c r="R2761">
        <v>0</v>
      </c>
    </row>
    <row r="2762" spans="1:18">
      <c r="A2762" s="4">
        <v>484169000000000</v>
      </c>
      <c r="B2762" t="s">
        <v>18</v>
      </c>
      <c r="C2762">
        <v>45</v>
      </c>
      <c r="D2762" t="s">
        <v>27</v>
      </c>
      <c r="E2762" t="s">
        <v>58</v>
      </c>
      <c r="F2762" s="1">
        <v>42495</v>
      </c>
      <c r="G2762" s="1">
        <v>42508</v>
      </c>
      <c r="H2762" t="s">
        <v>25</v>
      </c>
      <c r="I2762">
        <v>13</v>
      </c>
      <c r="J2762" t="s">
        <v>92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23</v>
      </c>
      <c r="R2762">
        <v>0</v>
      </c>
    </row>
    <row r="2763" spans="1:18">
      <c r="A2763" s="4">
        <v>494423000000</v>
      </c>
      <c r="B2763" t="s">
        <v>28</v>
      </c>
      <c r="C2763">
        <v>11</v>
      </c>
      <c r="D2763" t="s">
        <v>31</v>
      </c>
      <c r="E2763" t="s">
        <v>36</v>
      </c>
      <c r="F2763" s="1">
        <v>42495</v>
      </c>
      <c r="G2763" s="1">
        <v>42521</v>
      </c>
      <c r="H2763" t="s">
        <v>41</v>
      </c>
      <c r="I2763">
        <v>26</v>
      </c>
      <c r="J2763" t="s">
        <v>77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1</v>
      </c>
      <c r="Q2763" t="s">
        <v>26</v>
      </c>
      <c r="R2763">
        <v>1</v>
      </c>
    </row>
    <row r="2764" spans="1:18">
      <c r="A2764" s="4">
        <v>3428310000000</v>
      </c>
      <c r="B2764" t="s">
        <v>18</v>
      </c>
      <c r="C2764">
        <v>33</v>
      </c>
      <c r="D2764" t="s">
        <v>37</v>
      </c>
      <c r="E2764" t="s">
        <v>68</v>
      </c>
      <c r="F2764" s="1">
        <v>42495</v>
      </c>
      <c r="G2764" s="1">
        <v>42508</v>
      </c>
      <c r="H2764" t="s">
        <v>25</v>
      </c>
      <c r="I2764">
        <v>13</v>
      </c>
      <c r="J2764" t="s">
        <v>92</v>
      </c>
      <c r="K2764">
        <v>1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26</v>
      </c>
      <c r="R2764">
        <v>1</v>
      </c>
    </row>
    <row r="2765" spans="1:18">
      <c r="A2765" s="4">
        <v>25268700000000</v>
      </c>
      <c r="B2765" t="s">
        <v>18</v>
      </c>
      <c r="C2765">
        <v>3</v>
      </c>
      <c r="D2765" t="s">
        <v>31</v>
      </c>
      <c r="E2765" t="s">
        <v>72</v>
      </c>
      <c r="F2765" s="1">
        <v>42495</v>
      </c>
      <c r="G2765" s="1">
        <v>42495</v>
      </c>
      <c r="H2765" t="s">
        <v>33</v>
      </c>
      <c r="I2765">
        <v>0</v>
      </c>
      <c r="J2765" t="s">
        <v>111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23</v>
      </c>
      <c r="R2765">
        <v>0</v>
      </c>
    </row>
    <row r="2766" spans="1:18">
      <c r="A2766" s="4">
        <v>674794000000</v>
      </c>
      <c r="B2766" t="s">
        <v>18</v>
      </c>
      <c r="C2766">
        <v>14</v>
      </c>
      <c r="D2766" t="s">
        <v>60</v>
      </c>
      <c r="E2766" t="s">
        <v>34</v>
      </c>
      <c r="F2766" s="1">
        <v>42495</v>
      </c>
      <c r="G2766" s="1">
        <v>42503</v>
      </c>
      <c r="H2766" t="s">
        <v>21</v>
      </c>
      <c r="I2766">
        <v>8</v>
      </c>
      <c r="J2766" t="s">
        <v>92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23</v>
      </c>
      <c r="R2766">
        <v>0</v>
      </c>
    </row>
    <row r="2767" spans="1:18">
      <c r="A2767" s="4">
        <v>46434500000000</v>
      </c>
      <c r="B2767" t="s">
        <v>28</v>
      </c>
      <c r="C2767">
        <v>8</v>
      </c>
      <c r="D2767" t="s">
        <v>31</v>
      </c>
      <c r="E2767" t="s">
        <v>34</v>
      </c>
      <c r="F2767" s="1">
        <v>42495</v>
      </c>
      <c r="G2767" s="1">
        <v>42520</v>
      </c>
      <c r="H2767" t="s">
        <v>30</v>
      </c>
      <c r="I2767">
        <v>25</v>
      </c>
      <c r="J2767" t="s">
        <v>77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1</v>
      </c>
      <c r="Q2767" t="s">
        <v>23</v>
      </c>
      <c r="R2767">
        <v>0</v>
      </c>
    </row>
    <row r="2768" spans="1:18">
      <c r="A2768" s="4">
        <v>256267000000000</v>
      </c>
      <c r="B2768" t="s">
        <v>18</v>
      </c>
      <c r="C2768">
        <v>12</v>
      </c>
      <c r="D2768" t="s">
        <v>31</v>
      </c>
      <c r="E2768" t="s">
        <v>68</v>
      </c>
      <c r="F2768" s="1">
        <v>42495</v>
      </c>
      <c r="G2768" s="1">
        <v>42501</v>
      </c>
      <c r="H2768" t="s">
        <v>25</v>
      </c>
      <c r="I2768">
        <v>6</v>
      </c>
      <c r="J2768" t="s">
        <v>107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1</v>
      </c>
      <c r="Q2768" t="s">
        <v>23</v>
      </c>
      <c r="R2768">
        <v>0</v>
      </c>
    </row>
    <row r="2769" spans="1:18">
      <c r="A2769" s="4">
        <v>596517000000</v>
      </c>
      <c r="B2769" t="s">
        <v>18</v>
      </c>
      <c r="C2769">
        <v>36</v>
      </c>
      <c r="D2769" t="s">
        <v>27</v>
      </c>
      <c r="E2769" t="s">
        <v>59</v>
      </c>
      <c r="F2769" s="1">
        <v>42495</v>
      </c>
      <c r="G2769" s="1">
        <v>42506</v>
      </c>
      <c r="H2769" t="s">
        <v>30</v>
      </c>
      <c r="I2769">
        <v>11</v>
      </c>
      <c r="J2769" t="s">
        <v>92</v>
      </c>
      <c r="K2769">
        <v>1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26</v>
      </c>
      <c r="R2769">
        <v>1</v>
      </c>
    </row>
    <row r="2770" spans="1:18">
      <c r="A2770" s="4">
        <v>4735510000000</v>
      </c>
      <c r="B2770" t="s">
        <v>28</v>
      </c>
      <c r="C2770">
        <v>45</v>
      </c>
      <c r="D2770" t="s">
        <v>27</v>
      </c>
      <c r="E2770" t="s">
        <v>59</v>
      </c>
      <c r="F2770" s="1">
        <v>42495</v>
      </c>
      <c r="G2770" s="1">
        <v>42495</v>
      </c>
      <c r="H2770" t="s">
        <v>33</v>
      </c>
      <c r="I2770">
        <v>0</v>
      </c>
      <c r="J2770" t="s">
        <v>111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23</v>
      </c>
      <c r="R2770">
        <v>0</v>
      </c>
    </row>
    <row r="2771" spans="1:18">
      <c r="A2771" s="4">
        <v>32839000000000</v>
      </c>
      <c r="B2771" t="s">
        <v>28</v>
      </c>
      <c r="C2771">
        <v>28</v>
      </c>
      <c r="D2771" t="s">
        <v>37</v>
      </c>
      <c r="E2771" t="s">
        <v>57</v>
      </c>
      <c r="F2771" s="1">
        <v>42495</v>
      </c>
      <c r="G2771" s="1">
        <v>42509</v>
      </c>
      <c r="H2771" t="s">
        <v>33</v>
      </c>
      <c r="I2771">
        <v>14</v>
      </c>
      <c r="J2771" t="s">
        <v>92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23</v>
      </c>
      <c r="R2771">
        <v>0</v>
      </c>
    </row>
    <row r="2772" spans="1:18">
      <c r="A2772" s="4">
        <v>9164710000000</v>
      </c>
      <c r="B2772" t="s">
        <v>18</v>
      </c>
      <c r="C2772">
        <v>38</v>
      </c>
      <c r="D2772" t="s">
        <v>27</v>
      </c>
      <c r="E2772" t="s">
        <v>44</v>
      </c>
      <c r="F2772" s="1">
        <v>42495</v>
      </c>
      <c r="G2772" s="1">
        <v>42495</v>
      </c>
      <c r="H2772" t="s">
        <v>33</v>
      </c>
      <c r="I2772">
        <v>0</v>
      </c>
      <c r="J2772" t="s">
        <v>111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23</v>
      </c>
      <c r="R2772">
        <v>0</v>
      </c>
    </row>
    <row r="2773" spans="1:18">
      <c r="A2773" s="4">
        <v>932889000000</v>
      </c>
      <c r="B2773" t="s">
        <v>18</v>
      </c>
      <c r="C2773">
        <v>19</v>
      </c>
      <c r="D2773" t="s">
        <v>37</v>
      </c>
      <c r="E2773" t="s">
        <v>69</v>
      </c>
      <c r="F2773" s="1">
        <v>42495</v>
      </c>
      <c r="G2773" s="1">
        <v>42499</v>
      </c>
      <c r="H2773" t="s">
        <v>30</v>
      </c>
      <c r="I2773">
        <v>4</v>
      </c>
      <c r="J2773" t="s">
        <v>107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26</v>
      </c>
      <c r="R2773">
        <v>1</v>
      </c>
    </row>
    <row r="2774" spans="1:18">
      <c r="A2774" s="4">
        <v>379476000000000</v>
      </c>
      <c r="B2774" t="s">
        <v>28</v>
      </c>
      <c r="C2774">
        <v>66</v>
      </c>
      <c r="D2774" t="s">
        <v>19</v>
      </c>
      <c r="E2774" t="s">
        <v>59</v>
      </c>
      <c r="F2774" s="1">
        <v>42495</v>
      </c>
      <c r="G2774" s="1">
        <v>42495</v>
      </c>
      <c r="H2774" t="s">
        <v>33</v>
      </c>
      <c r="I2774">
        <v>0</v>
      </c>
      <c r="J2774" t="s">
        <v>111</v>
      </c>
      <c r="K2774">
        <v>0</v>
      </c>
      <c r="L2774">
        <v>1</v>
      </c>
      <c r="M2774">
        <v>1</v>
      </c>
      <c r="N2774">
        <v>0</v>
      </c>
      <c r="O2774">
        <v>0</v>
      </c>
      <c r="P2774">
        <v>0</v>
      </c>
      <c r="Q2774" t="s">
        <v>23</v>
      </c>
      <c r="R2774">
        <v>0</v>
      </c>
    </row>
    <row r="2775" spans="1:18">
      <c r="A2775" s="4">
        <v>864314000000</v>
      </c>
      <c r="B2775" t="s">
        <v>18</v>
      </c>
      <c r="C2775">
        <v>53</v>
      </c>
      <c r="D2775" t="s">
        <v>35</v>
      </c>
      <c r="E2775" t="s">
        <v>91</v>
      </c>
      <c r="F2775" s="1">
        <v>42495</v>
      </c>
      <c r="G2775" s="1">
        <v>42496</v>
      </c>
      <c r="H2775" t="s">
        <v>21</v>
      </c>
      <c r="I2775">
        <v>1</v>
      </c>
      <c r="J2775" t="s">
        <v>109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23</v>
      </c>
      <c r="R2775">
        <v>0</v>
      </c>
    </row>
    <row r="2776" spans="1:18">
      <c r="A2776" s="4">
        <v>613372000000000</v>
      </c>
      <c r="B2776" t="s">
        <v>18</v>
      </c>
      <c r="C2776">
        <v>26</v>
      </c>
      <c r="D2776" t="s">
        <v>37</v>
      </c>
      <c r="E2776" t="s">
        <v>73</v>
      </c>
      <c r="F2776" s="1">
        <v>42495</v>
      </c>
      <c r="G2776" s="1">
        <v>42499</v>
      </c>
      <c r="H2776" t="s">
        <v>30</v>
      </c>
      <c r="I2776">
        <v>4</v>
      </c>
      <c r="J2776" t="s">
        <v>107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26</v>
      </c>
      <c r="R2776">
        <v>1</v>
      </c>
    </row>
    <row r="2777" spans="1:18">
      <c r="A2777" s="4">
        <v>7226740000000</v>
      </c>
      <c r="B2777" t="s">
        <v>18</v>
      </c>
      <c r="C2777">
        <v>51</v>
      </c>
      <c r="D2777" t="s">
        <v>35</v>
      </c>
      <c r="E2777" t="s">
        <v>112</v>
      </c>
      <c r="F2777" s="1">
        <v>42495</v>
      </c>
      <c r="G2777" s="1">
        <v>42499</v>
      </c>
      <c r="H2777" t="s">
        <v>30</v>
      </c>
      <c r="I2777">
        <v>4</v>
      </c>
      <c r="J2777" t="s">
        <v>107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26</v>
      </c>
      <c r="R2777">
        <v>1</v>
      </c>
    </row>
    <row r="2778" spans="1:18">
      <c r="A2778" s="4">
        <v>2639470000000</v>
      </c>
      <c r="B2778" t="s">
        <v>18</v>
      </c>
      <c r="C2778">
        <v>70</v>
      </c>
      <c r="D2778" t="s">
        <v>19</v>
      </c>
      <c r="E2778" t="s">
        <v>36</v>
      </c>
      <c r="F2778" s="1">
        <v>42495</v>
      </c>
      <c r="G2778" s="1">
        <v>42495</v>
      </c>
      <c r="H2778" t="s">
        <v>33</v>
      </c>
      <c r="I2778">
        <v>0</v>
      </c>
      <c r="J2778" t="s">
        <v>111</v>
      </c>
      <c r="K2778">
        <v>0</v>
      </c>
      <c r="L2778">
        <v>1</v>
      </c>
      <c r="M2778">
        <v>0</v>
      </c>
      <c r="N2778">
        <v>0</v>
      </c>
      <c r="O2778">
        <v>0</v>
      </c>
      <c r="P2778">
        <v>0</v>
      </c>
      <c r="Q2778" t="s">
        <v>23</v>
      </c>
      <c r="R2778">
        <v>0</v>
      </c>
    </row>
    <row r="2779" spans="1:18">
      <c r="A2779" s="4">
        <v>88472800000000</v>
      </c>
      <c r="B2779" t="s">
        <v>18</v>
      </c>
      <c r="C2779">
        <v>6</v>
      </c>
      <c r="D2779" t="s">
        <v>31</v>
      </c>
      <c r="E2779" t="s">
        <v>53</v>
      </c>
      <c r="F2779" s="1">
        <v>42495</v>
      </c>
      <c r="G2779" s="1">
        <v>42508</v>
      </c>
      <c r="H2779" t="s">
        <v>25</v>
      </c>
      <c r="I2779">
        <v>13</v>
      </c>
      <c r="J2779" t="s">
        <v>92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26</v>
      </c>
      <c r="R2779">
        <v>1</v>
      </c>
    </row>
    <row r="2780" spans="1:18">
      <c r="A2780" s="4">
        <v>32273200000000</v>
      </c>
      <c r="B2780" t="s">
        <v>28</v>
      </c>
      <c r="C2780">
        <v>39</v>
      </c>
      <c r="D2780" t="s">
        <v>27</v>
      </c>
      <c r="E2780" t="s">
        <v>75</v>
      </c>
      <c r="F2780" s="1">
        <v>42495</v>
      </c>
      <c r="G2780" s="1">
        <v>42509</v>
      </c>
      <c r="H2780" t="s">
        <v>33</v>
      </c>
      <c r="I2780">
        <v>14</v>
      </c>
      <c r="J2780" t="s">
        <v>92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26</v>
      </c>
      <c r="R2780">
        <v>1</v>
      </c>
    </row>
    <row r="2781" spans="1:18">
      <c r="A2781" s="4">
        <v>883321000000000</v>
      </c>
      <c r="B2781" t="s">
        <v>18</v>
      </c>
      <c r="C2781">
        <v>72</v>
      </c>
      <c r="D2781" t="s">
        <v>19</v>
      </c>
      <c r="E2781" t="s">
        <v>56</v>
      </c>
      <c r="F2781" s="1">
        <v>42495</v>
      </c>
      <c r="G2781" s="1">
        <v>42495</v>
      </c>
      <c r="H2781" t="s">
        <v>33</v>
      </c>
      <c r="I2781">
        <v>0</v>
      </c>
      <c r="J2781" t="s">
        <v>111</v>
      </c>
      <c r="K2781">
        <v>0</v>
      </c>
      <c r="L2781">
        <v>1</v>
      </c>
      <c r="M2781">
        <v>1</v>
      </c>
      <c r="N2781">
        <v>0</v>
      </c>
      <c r="O2781">
        <v>0</v>
      </c>
      <c r="P2781">
        <v>0</v>
      </c>
      <c r="Q2781" t="s">
        <v>23</v>
      </c>
      <c r="R2781">
        <v>0</v>
      </c>
    </row>
    <row r="2782" spans="1:18">
      <c r="A2782" s="4">
        <v>422696000000000</v>
      </c>
      <c r="B2782" t="s">
        <v>28</v>
      </c>
      <c r="C2782">
        <v>6</v>
      </c>
      <c r="D2782" t="s">
        <v>31</v>
      </c>
      <c r="E2782" t="s">
        <v>105</v>
      </c>
      <c r="F2782" s="1">
        <v>42495</v>
      </c>
      <c r="G2782" s="1">
        <v>42520</v>
      </c>
      <c r="H2782" t="s">
        <v>30</v>
      </c>
      <c r="I2782">
        <v>25</v>
      </c>
      <c r="J2782" t="s">
        <v>77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1</v>
      </c>
      <c r="Q2782" t="s">
        <v>26</v>
      </c>
      <c r="R2782">
        <v>1</v>
      </c>
    </row>
    <row r="2783" spans="1:18">
      <c r="A2783" s="4">
        <v>22189700000000</v>
      </c>
      <c r="B2783" t="s">
        <v>18</v>
      </c>
      <c r="C2783">
        <v>41</v>
      </c>
      <c r="D2783" t="s">
        <v>27</v>
      </c>
      <c r="E2783" t="s">
        <v>39</v>
      </c>
      <c r="F2783" s="1">
        <v>42495</v>
      </c>
      <c r="G2783" s="1">
        <v>42499</v>
      </c>
      <c r="H2783" t="s">
        <v>30</v>
      </c>
      <c r="I2783">
        <v>4</v>
      </c>
      <c r="J2783" t="s">
        <v>107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26</v>
      </c>
      <c r="R2783">
        <v>1</v>
      </c>
    </row>
    <row r="2784" spans="1:18">
      <c r="A2784" s="4">
        <v>765249000000000</v>
      </c>
      <c r="B2784" t="s">
        <v>18</v>
      </c>
      <c r="C2784">
        <v>2</v>
      </c>
      <c r="D2784" t="s">
        <v>31</v>
      </c>
      <c r="E2784" t="s">
        <v>48</v>
      </c>
      <c r="F2784" s="1">
        <v>42495</v>
      </c>
      <c r="G2784" s="1">
        <v>42496</v>
      </c>
      <c r="H2784" t="s">
        <v>21</v>
      </c>
      <c r="I2784">
        <v>1</v>
      </c>
      <c r="J2784" t="s">
        <v>109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23</v>
      </c>
      <c r="R2784">
        <v>0</v>
      </c>
    </row>
    <row r="2785" spans="1:18">
      <c r="A2785" s="4">
        <v>2786180000000</v>
      </c>
      <c r="B2785" t="s">
        <v>18</v>
      </c>
      <c r="C2785">
        <v>37</v>
      </c>
      <c r="D2785" t="s">
        <v>27</v>
      </c>
      <c r="E2785" t="s">
        <v>47</v>
      </c>
      <c r="F2785" s="1">
        <v>42495</v>
      </c>
      <c r="G2785" s="1">
        <v>42514</v>
      </c>
      <c r="H2785" t="s">
        <v>41</v>
      </c>
      <c r="I2785">
        <v>19</v>
      </c>
      <c r="J2785" t="s">
        <v>77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1</v>
      </c>
      <c r="Q2785" t="s">
        <v>23</v>
      </c>
      <c r="R2785">
        <v>0</v>
      </c>
    </row>
    <row r="2786" spans="1:18">
      <c r="A2786" s="4">
        <v>32219600000000</v>
      </c>
      <c r="B2786" t="s">
        <v>28</v>
      </c>
      <c r="C2786">
        <v>35</v>
      </c>
      <c r="D2786" t="s">
        <v>37</v>
      </c>
      <c r="E2786" t="s">
        <v>73</v>
      </c>
      <c r="F2786" s="1">
        <v>42495</v>
      </c>
      <c r="G2786" s="1">
        <v>42520</v>
      </c>
      <c r="H2786" t="s">
        <v>30</v>
      </c>
      <c r="I2786">
        <v>25</v>
      </c>
      <c r="J2786" t="s">
        <v>77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1</v>
      </c>
      <c r="Q2786" t="s">
        <v>23</v>
      </c>
      <c r="R2786">
        <v>0</v>
      </c>
    </row>
    <row r="2787" spans="1:18">
      <c r="A2787" s="4">
        <v>722559000000000</v>
      </c>
      <c r="B2787" t="s">
        <v>18</v>
      </c>
      <c r="C2787">
        <v>55</v>
      </c>
      <c r="D2787" t="s">
        <v>35</v>
      </c>
      <c r="E2787" t="s">
        <v>42</v>
      </c>
      <c r="F2787" s="1">
        <v>42495</v>
      </c>
      <c r="G2787" s="1">
        <v>42495</v>
      </c>
      <c r="H2787" t="s">
        <v>33</v>
      </c>
      <c r="I2787">
        <v>0</v>
      </c>
      <c r="J2787" t="s">
        <v>111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23</v>
      </c>
      <c r="R2787">
        <v>0</v>
      </c>
    </row>
    <row r="2788" spans="1:18">
      <c r="A2788" s="4">
        <v>32944400000000</v>
      </c>
      <c r="B2788" t="s">
        <v>18</v>
      </c>
      <c r="C2788">
        <v>22</v>
      </c>
      <c r="D2788" t="s">
        <v>37</v>
      </c>
      <c r="E2788" t="s">
        <v>45</v>
      </c>
      <c r="F2788" s="1">
        <v>42495</v>
      </c>
      <c r="G2788" s="1">
        <v>42500</v>
      </c>
      <c r="H2788" t="s">
        <v>41</v>
      </c>
      <c r="I2788">
        <v>5</v>
      </c>
      <c r="J2788" t="s">
        <v>107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1</v>
      </c>
      <c r="Q2788" t="s">
        <v>26</v>
      </c>
      <c r="R2788">
        <v>1</v>
      </c>
    </row>
    <row r="2789" spans="1:18">
      <c r="A2789" s="4">
        <v>14480000000000</v>
      </c>
      <c r="B2789" t="s">
        <v>28</v>
      </c>
      <c r="C2789">
        <v>36</v>
      </c>
      <c r="D2789" t="s">
        <v>27</v>
      </c>
      <c r="E2789" t="s">
        <v>68</v>
      </c>
      <c r="F2789" s="1">
        <v>42495</v>
      </c>
      <c r="G2789" s="1">
        <v>42495</v>
      </c>
      <c r="H2789" t="s">
        <v>33</v>
      </c>
      <c r="I2789">
        <v>0</v>
      </c>
      <c r="J2789" t="s">
        <v>111</v>
      </c>
      <c r="K2789">
        <v>0</v>
      </c>
      <c r="L2789">
        <v>1</v>
      </c>
      <c r="M2789">
        <v>0</v>
      </c>
      <c r="N2789">
        <v>0</v>
      </c>
      <c r="O2789">
        <v>0</v>
      </c>
      <c r="P2789">
        <v>0</v>
      </c>
      <c r="Q2789" t="s">
        <v>23</v>
      </c>
      <c r="R2789">
        <v>0</v>
      </c>
    </row>
    <row r="2790" spans="1:18">
      <c r="A2790" s="4">
        <v>95659200000000</v>
      </c>
      <c r="B2790" t="s">
        <v>18</v>
      </c>
      <c r="C2790">
        <v>62</v>
      </c>
      <c r="D2790" t="s">
        <v>35</v>
      </c>
      <c r="E2790" t="s">
        <v>38</v>
      </c>
      <c r="F2790" s="1">
        <v>42495</v>
      </c>
      <c r="G2790" s="1">
        <v>42500</v>
      </c>
      <c r="H2790" t="s">
        <v>41</v>
      </c>
      <c r="I2790">
        <v>5</v>
      </c>
      <c r="J2790" t="s">
        <v>107</v>
      </c>
      <c r="K2790">
        <v>0</v>
      </c>
      <c r="L2790">
        <v>1</v>
      </c>
      <c r="M2790">
        <v>1</v>
      </c>
      <c r="N2790">
        <v>0</v>
      </c>
      <c r="O2790">
        <v>0</v>
      </c>
      <c r="P2790">
        <v>1</v>
      </c>
      <c r="Q2790" t="s">
        <v>23</v>
      </c>
      <c r="R2790">
        <v>0</v>
      </c>
    </row>
    <row r="2791" spans="1:18">
      <c r="A2791" s="4">
        <v>26413400000000</v>
      </c>
      <c r="B2791" t="s">
        <v>28</v>
      </c>
      <c r="C2791">
        <v>18</v>
      </c>
      <c r="D2791" t="s">
        <v>37</v>
      </c>
      <c r="E2791" t="s">
        <v>66</v>
      </c>
      <c r="F2791" s="1">
        <v>42495</v>
      </c>
      <c r="G2791" s="1">
        <v>42509</v>
      </c>
      <c r="H2791" t="s">
        <v>33</v>
      </c>
      <c r="I2791">
        <v>14</v>
      </c>
      <c r="J2791" t="s">
        <v>92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26</v>
      </c>
      <c r="R2791">
        <v>1</v>
      </c>
    </row>
    <row r="2792" spans="1:18">
      <c r="A2792" s="4">
        <v>654725000000000</v>
      </c>
      <c r="B2792" t="s">
        <v>18</v>
      </c>
      <c r="C2792">
        <v>80</v>
      </c>
      <c r="D2792" t="s">
        <v>19</v>
      </c>
      <c r="E2792" t="s">
        <v>55</v>
      </c>
      <c r="F2792" s="1">
        <v>42495</v>
      </c>
      <c r="G2792" s="1">
        <v>42495</v>
      </c>
      <c r="H2792" t="s">
        <v>33</v>
      </c>
      <c r="I2792">
        <v>0</v>
      </c>
      <c r="J2792" t="s">
        <v>111</v>
      </c>
      <c r="K2792">
        <v>0</v>
      </c>
      <c r="L2792">
        <v>1</v>
      </c>
      <c r="M2792">
        <v>0</v>
      </c>
      <c r="N2792">
        <v>0</v>
      </c>
      <c r="O2792">
        <v>0</v>
      </c>
      <c r="P2792">
        <v>0</v>
      </c>
      <c r="Q2792" t="s">
        <v>23</v>
      </c>
      <c r="R2792">
        <v>0</v>
      </c>
    </row>
    <row r="2793" spans="1:18">
      <c r="A2793" s="4">
        <v>5619440000000</v>
      </c>
      <c r="B2793" t="s">
        <v>18</v>
      </c>
      <c r="C2793">
        <v>5</v>
      </c>
      <c r="D2793" t="s">
        <v>31</v>
      </c>
      <c r="E2793" t="s">
        <v>44</v>
      </c>
      <c r="F2793" s="1">
        <v>42495</v>
      </c>
      <c r="G2793" s="1">
        <v>42495</v>
      </c>
      <c r="H2793" t="s">
        <v>33</v>
      </c>
      <c r="I2793">
        <v>0</v>
      </c>
      <c r="J2793" t="s">
        <v>111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23</v>
      </c>
      <c r="R2793">
        <v>0</v>
      </c>
    </row>
    <row r="2794" spans="1:18">
      <c r="A2794" s="4">
        <v>43777800000000</v>
      </c>
      <c r="B2794" t="s">
        <v>18</v>
      </c>
      <c r="C2794">
        <v>28</v>
      </c>
      <c r="D2794" t="s">
        <v>37</v>
      </c>
      <c r="E2794" t="s">
        <v>45</v>
      </c>
      <c r="F2794" s="1">
        <v>42495</v>
      </c>
      <c r="G2794" s="1">
        <v>42495</v>
      </c>
      <c r="H2794" t="s">
        <v>33</v>
      </c>
      <c r="I2794">
        <v>0</v>
      </c>
      <c r="J2794" t="s">
        <v>111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23</v>
      </c>
      <c r="R2794">
        <v>0</v>
      </c>
    </row>
    <row r="2795" spans="1:18">
      <c r="A2795" s="4">
        <v>2576380000000</v>
      </c>
      <c r="B2795" t="s">
        <v>28</v>
      </c>
      <c r="C2795">
        <v>51</v>
      </c>
      <c r="D2795" t="s">
        <v>35</v>
      </c>
      <c r="E2795" t="s">
        <v>91</v>
      </c>
      <c r="F2795" s="1">
        <v>42495</v>
      </c>
      <c r="G2795" s="1">
        <v>42495</v>
      </c>
      <c r="H2795" t="s">
        <v>33</v>
      </c>
      <c r="I2795">
        <v>0</v>
      </c>
      <c r="J2795" t="s">
        <v>111</v>
      </c>
      <c r="K2795">
        <v>0</v>
      </c>
      <c r="L2795">
        <v>0</v>
      </c>
      <c r="M2795">
        <v>1</v>
      </c>
      <c r="N2795">
        <v>0</v>
      </c>
      <c r="O2795">
        <v>0</v>
      </c>
      <c r="P2795">
        <v>0</v>
      </c>
      <c r="Q2795" t="s">
        <v>23</v>
      </c>
      <c r="R2795">
        <v>0</v>
      </c>
    </row>
    <row r="2796" spans="1:18">
      <c r="A2796" s="4">
        <v>4447830000000</v>
      </c>
      <c r="B2796" t="s">
        <v>18</v>
      </c>
      <c r="C2796">
        <v>80</v>
      </c>
      <c r="D2796" t="s">
        <v>19</v>
      </c>
      <c r="E2796" t="s">
        <v>38</v>
      </c>
      <c r="F2796" s="1">
        <v>42495</v>
      </c>
      <c r="G2796" s="1">
        <v>42499</v>
      </c>
      <c r="H2796" t="s">
        <v>30</v>
      </c>
      <c r="I2796">
        <v>4</v>
      </c>
      <c r="J2796" t="s">
        <v>107</v>
      </c>
      <c r="K2796">
        <v>0</v>
      </c>
      <c r="L2796">
        <v>1</v>
      </c>
      <c r="M2796">
        <v>0</v>
      </c>
      <c r="N2796">
        <v>0</v>
      </c>
      <c r="O2796">
        <v>0</v>
      </c>
      <c r="P2796">
        <v>0</v>
      </c>
      <c r="Q2796" t="s">
        <v>23</v>
      </c>
      <c r="R2796">
        <v>0</v>
      </c>
    </row>
    <row r="2797" spans="1:18">
      <c r="A2797" s="4">
        <v>75478617958</v>
      </c>
      <c r="B2797" t="s">
        <v>18</v>
      </c>
      <c r="C2797">
        <v>27</v>
      </c>
      <c r="D2797" t="s">
        <v>37</v>
      </c>
      <c r="E2797" t="s">
        <v>96</v>
      </c>
      <c r="F2797" s="1">
        <v>42495</v>
      </c>
      <c r="G2797" s="1">
        <v>42506</v>
      </c>
      <c r="H2797" t="s">
        <v>30</v>
      </c>
      <c r="I2797">
        <v>11</v>
      </c>
      <c r="J2797" t="s">
        <v>92</v>
      </c>
      <c r="K2797">
        <v>1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26</v>
      </c>
      <c r="R2797">
        <v>1</v>
      </c>
    </row>
    <row r="2798" spans="1:18">
      <c r="A2798" s="4">
        <v>3866520000000</v>
      </c>
      <c r="B2798" t="s">
        <v>18</v>
      </c>
      <c r="C2798">
        <v>22</v>
      </c>
      <c r="D2798" t="s">
        <v>37</v>
      </c>
      <c r="E2798" t="s">
        <v>32</v>
      </c>
      <c r="F2798" s="1">
        <v>42495</v>
      </c>
      <c r="G2798" s="1">
        <v>42502</v>
      </c>
      <c r="H2798" t="s">
        <v>33</v>
      </c>
      <c r="I2798">
        <v>7</v>
      </c>
      <c r="J2798" t="s">
        <v>107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26</v>
      </c>
      <c r="R2798">
        <v>1</v>
      </c>
    </row>
    <row r="2799" spans="1:18">
      <c r="A2799" s="4">
        <v>52642300000000</v>
      </c>
      <c r="B2799" t="s">
        <v>18</v>
      </c>
      <c r="C2799">
        <v>80</v>
      </c>
      <c r="D2799" t="s">
        <v>19</v>
      </c>
      <c r="E2799" t="s">
        <v>38</v>
      </c>
      <c r="F2799" s="1">
        <v>42495</v>
      </c>
      <c r="G2799" s="1">
        <v>42501</v>
      </c>
      <c r="H2799" t="s">
        <v>25</v>
      </c>
      <c r="I2799">
        <v>6</v>
      </c>
      <c r="J2799" t="s">
        <v>107</v>
      </c>
      <c r="K2799">
        <v>0</v>
      </c>
      <c r="L2799">
        <v>1</v>
      </c>
      <c r="M2799">
        <v>0</v>
      </c>
      <c r="N2799">
        <v>0</v>
      </c>
      <c r="O2799">
        <v>0</v>
      </c>
      <c r="P2799">
        <v>0</v>
      </c>
      <c r="Q2799" t="s">
        <v>23</v>
      </c>
      <c r="R2799">
        <v>0</v>
      </c>
    </row>
    <row r="2800" spans="1:18">
      <c r="A2800" s="4">
        <v>5918410000000</v>
      </c>
      <c r="B2800" t="s">
        <v>18</v>
      </c>
      <c r="C2800">
        <v>41</v>
      </c>
      <c r="D2800" t="s">
        <v>27</v>
      </c>
      <c r="E2800" t="s">
        <v>49</v>
      </c>
      <c r="F2800" s="1">
        <v>42495</v>
      </c>
      <c r="G2800" s="1">
        <v>42510</v>
      </c>
      <c r="H2800" t="s">
        <v>21</v>
      </c>
      <c r="I2800">
        <v>15</v>
      </c>
      <c r="J2800" t="s">
        <v>77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23</v>
      </c>
      <c r="R2800">
        <v>0</v>
      </c>
    </row>
    <row r="2801" spans="1:18">
      <c r="A2801" s="4">
        <v>844512000000</v>
      </c>
      <c r="B2801" t="s">
        <v>28</v>
      </c>
      <c r="C2801">
        <v>43</v>
      </c>
      <c r="D2801" t="s">
        <v>27</v>
      </c>
      <c r="E2801" t="s">
        <v>67</v>
      </c>
      <c r="F2801" s="1">
        <v>42495</v>
      </c>
      <c r="G2801" s="1">
        <v>42495</v>
      </c>
      <c r="H2801" t="s">
        <v>33</v>
      </c>
      <c r="I2801">
        <v>0</v>
      </c>
      <c r="J2801" t="s">
        <v>111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23</v>
      </c>
      <c r="R2801">
        <v>0</v>
      </c>
    </row>
    <row r="2802" spans="1:18">
      <c r="A2802" s="4">
        <v>12286500000000</v>
      </c>
      <c r="B2802" t="s">
        <v>28</v>
      </c>
      <c r="C2802">
        <v>50</v>
      </c>
      <c r="D2802" t="s">
        <v>27</v>
      </c>
      <c r="E2802" t="s">
        <v>108</v>
      </c>
      <c r="F2802" s="1">
        <v>42495</v>
      </c>
      <c r="G2802" s="1">
        <v>42502</v>
      </c>
      <c r="H2802" t="s">
        <v>33</v>
      </c>
      <c r="I2802">
        <v>7</v>
      </c>
      <c r="J2802" t="s">
        <v>107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1</v>
      </c>
      <c r="Q2802" t="s">
        <v>23</v>
      </c>
      <c r="R2802">
        <v>0</v>
      </c>
    </row>
    <row r="2803" spans="1:18">
      <c r="A2803" s="4">
        <v>3176760000000</v>
      </c>
      <c r="B2803" t="s">
        <v>18</v>
      </c>
      <c r="C2803">
        <v>87</v>
      </c>
      <c r="D2803" t="s">
        <v>19</v>
      </c>
      <c r="E2803" t="s">
        <v>32</v>
      </c>
      <c r="F2803" s="1">
        <v>42495</v>
      </c>
      <c r="G2803" s="1">
        <v>42499</v>
      </c>
      <c r="H2803" t="s">
        <v>30</v>
      </c>
      <c r="I2803">
        <v>4</v>
      </c>
      <c r="J2803" t="s">
        <v>107</v>
      </c>
      <c r="K2803">
        <v>0</v>
      </c>
      <c r="L2803">
        <v>1</v>
      </c>
      <c r="M2803">
        <v>0</v>
      </c>
      <c r="N2803">
        <v>0</v>
      </c>
      <c r="O2803">
        <v>0</v>
      </c>
      <c r="P2803">
        <v>0</v>
      </c>
      <c r="Q2803" t="s">
        <v>23</v>
      </c>
      <c r="R2803">
        <v>0</v>
      </c>
    </row>
    <row r="2804" spans="1:18">
      <c r="A2804" s="4">
        <v>678439000000</v>
      </c>
      <c r="B2804" t="s">
        <v>18</v>
      </c>
      <c r="C2804">
        <v>29</v>
      </c>
      <c r="D2804" t="s">
        <v>37</v>
      </c>
      <c r="E2804" t="s">
        <v>44</v>
      </c>
      <c r="F2804" s="1">
        <v>42495</v>
      </c>
      <c r="G2804" s="1">
        <v>42496</v>
      </c>
      <c r="H2804" t="s">
        <v>21</v>
      </c>
      <c r="I2804">
        <v>1</v>
      </c>
      <c r="J2804" t="s">
        <v>109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23</v>
      </c>
      <c r="R2804">
        <v>0</v>
      </c>
    </row>
    <row r="2805" spans="1:18">
      <c r="A2805" s="4">
        <v>232122000000</v>
      </c>
      <c r="B2805" t="s">
        <v>18</v>
      </c>
      <c r="C2805">
        <v>51</v>
      </c>
      <c r="D2805" t="s">
        <v>35</v>
      </c>
      <c r="E2805" t="s">
        <v>75</v>
      </c>
      <c r="F2805" s="1">
        <v>42495</v>
      </c>
      <c r="G2805" s="1">
        <v>42499</v>
      </c>
      <c r="H2805" t="s">
        <v>30</v>
      </c>
      <c r="I2805">
        <v>4</v>
      </c>
      <c r="J2805" t="s">
        <v>107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26</v>
      </c>
      <c r="R2805">
        <v>1</v>
      </c>
    </row>
    <row r="2806" spans="1:18">
      <c r="A2806" s="4">
        <v>353257000000000</v>
      </c>
      <c r="B2806" t="s">
        <v>18</v>
      </c>
      <c r="C2806">
        <v>59</v>
      </c>
      <c r="D2806" t="s">
        <v>35</v>
      </c>
      <c r="E2806" t="s">
        <v>72</v>
      </c>
      <c r="F2806" s="1">
        <v>42495</v>
      </c>
      <c r="G2806" s="1">
        <v>42515</v>
      </c>
      <c r="H2806" t="s">
        <v>25</v>
      </c>
      <c r="I2806">
        <v>20</v>
      </c>
      <c r="J2806" t="s">
        <v>77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1</v>
      </c>
      <c r="Q2806" t="s">
        <v>26</v>
      </c>
      <c r="R2806">
        <v>1</v>
      </c>
    </row>
    <row r="2807" spans="1:18">
      <c r="A2807" s="4">
        <v>613372000000000</v>
      </c>
      <c r="B2807" t="s">
        <v>18</v>
      </c>
      <c r="C2807">
        <v>26</v>
      </c>
      <c r="D2807" t="s">
        <v>37</v>
      </c>
      <c r="E2807" t="s">
        <v>73</v>
      </c>
      <c r="F2807" s="1">
        <v>42495</v>
      </c>
      <c r="G2807" s="1">
        <v>42495</v>
      </c>
      <c r="H2807" t="s">
        <v>33</v>
      </c>
      <c r="I2807">
        <v>0</v>
      </c>
      <c r="J2807" t="s">
        <v>111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23</v>
      </c>
      <c r="R2807">
        <v>0</v>
      </c>
    </row>
    <row r="2808" spans="1:18">
      <c r="A2808" s="4">
        <v>684813000000000</v>
      </c>
      <c r="B2808" t="s">
        <v>18</v>
      </c>
      <c r="C2808">
        <v>20</v>
      </c>
      <c r="D2808" t="s">
        <v>37</v>
      </c>
      <c r="E2808" t="s">
        <v>29</v>
      </c>
      <c r="F2808" s="1">
        <v>42495</v>
      </c>
      <c r="G2808" s="1">
        <v>42496</v>
      </c>
      <c r="H2808" t="s">
        <v>21</v>
      </c>
      <c r="I2808">
        <v>1</v>
      </c>
      <c r="J2808" t="s">
        <v>109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23</v>
      </c>
      <c r="R2808">
        <v>0</v>
      </c>
    </row>
    <row r="2809" spans="1:18">
      <c r="A2809" s="4">
        <v>847476000000000</v>
      </c>
      <c r="B2809" t="s">
        <v>18</v>
      </c>
      <c r="C2809">
        <v>10</v>
      </c>
      <c r="D2809" t="s">
        <v>31</v>
      </c>
      <c r="E2809" t="s">
        <v>61</v>
      </c>
      <c r="F2809" s="1">
        <v>42495</v>
      </c>
      <c r="G2809" s="1">
        <v>42523</v>
      </c>
      <c r="H2809" t="s">
        <v>33</v>
      </c>
      <c r="I2809">
        <v>28</v>
      </c>
      <c r="J2809" t="s">
        <v>77</v>
      </c>
      <c r="K2809">
        <v>1</v>
      </c>
      <c r="L2809">
        <v>0</v>
      </c>
      <c r="M2809">
        <v>0</v>
      </c>
      <c r="N2809">
        <v>0</v>
      </c>
      <c r="O2809">
        <v>0</v>
      </c>
      <c r="P2809">
        <v>1</v>
      </c>
      <c r="Q2809" t="s">
        <v>23</v>
      </c>
      <c r="R2809">
        <v>0</v>
      </c>
    </row>
    <row r="2810" spans="1:18">
      <c r="A2810" s="4">
        <v>14918300000000</v>
      </c>
      <c r="B2810" t="s">
        <v>18</v>
      </c>
      <c r="C2810">
        <v>11</v>
      </c>
      <c r="D2810" t="s">
        <v>31</v>
      </c>
      <c r="E2810" t="s">
        <v>38</v>
      </c>
      <c r="F2810" s="1">
        <v>42495</v>
      </c>
      <c r="G2810" s="1">
        <v>42495</v>
      </c>
      <c r="H2810" t="s">
        <v>33</v>
      </c>
      <c r="I2810">
        <v>0</v>
      </c>
      <c r="J2810" t="s">
        <v>111</v>
      </c>
      <c r="K2810">
        <v>0</v>
      </c>
      <c r="L2810">
        <v>0</v>
      </c>
      <c r="M2810">
        <v>0</v>
      </c>
      <c r="N2810">
        <v>0</v>
      </c>
      <c r="O2810">
        <v>1</v>
      </c>
      <c r="P2810">
        <v>0</v>
      </c>
      <c r="Q2810" t="s">
        <v>23</v>
      </c>
      <c r="R2810">
        <v>0</v>
      </c>
    </row>
    <row r="2811" spans="1:18">
      <c r="A2811" s="4">
        <v>581169000000</v>
      </c>
      <c r="B2811" t="s">
        <v>28</v>
      </c>
      <c r="C2811">
        <v>78</v>
      </c>
      <c r="D2811" t="s">
        <v>19</v>
      </c>
      <c r="E2811" t="s">
        <v>39</v>
      </c>
      <c r="F2811" s="1">
        <v>42495</v>
      </c>
      <c r="G2811" s="1">
        <v>42503</v>
      </c>
      <c r="H2811" t="s">
        <v>21</v>
      </c>
      <c r="I2811">
        <v>8</v>
      </c>
      <c r="J2811" t="s">
        <v>92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23</v>
      </c>
      <c r="R2811">
        <v>0</v>
      </c>
    </row>
    <row r="2812" spans="1:18">
      <c r="A2812" s="4">
        <v>292694000000000</v>
      </c>
      <c r="B2812" t="s">
        <v>28</v>
      </c>
      <c r="C2812">
        <v>15</v>
      </c>
      <c r="D2812" t="s">
        <v>60</v>
      </c>
      <c r="E2812" t="s">
        <v>72</v>
      </c>
      <c r="F2812" s="1">
        <v>42495</v>
      </c>
      <c r="G2812" s="1">
        <v>42495</v>
      </c>
      <c r="H2812" t="s">
        <v>33</v>
      </c>
      <c r="I2812">
        <v>0</v>
      </c>
      <c r="J2812" t="s">
        <v>111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23</v>
      </c>
      <c r="R2812">
        <v>0</v>
      </c>
    </row>
    <row r="2813" spans="1:18">
      <c r="A2813" s="4">
        <v>8629680000000</v>
      </c>
      <c r="B2813" t="s">
        <v>18</v>
      </c>
      <c r="C2813">
        <v>1</v>
      </c>
      <c r="D2813" t="s">
        <v>31</v>
      </c>
      <c r="E2813" t="s">
        <v>105</v>
      </c>
      <c r="F2813" s="1">
        <v>42495</v>
      </c>
      <c r="G2813" s="1">
        <v>42495</v>
      </c>
      <c r="H2813" t="s">
        <v>33</v>
      </c>
      <c r="I2813">
        <v>0</v>
      </c>
      <c r="J2813" t="s">
        <v>111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23</v>
      </c>
      <c r="R2813">
        <v>0</v>
      </c>
    </row>
    <row r="2814" spans="1:18">
      <c r="A2814" s="4">
        <v>66761500000000</v>
      </c>
      <c r="B2814" t="s">
        <v>28</v>
      </c>
      <c r="C2814">
        <v>25</v>
      </c>
      <c r="D2814" t="s">
        <v>37</v>
      </c>
      <c r="E2814" t="s">
        <v>43</v>
      </c>
      <c r="F2814" s="1">
        <v>42495</v>
      </c>
      <c r="G2814" s="1">
        <v>42495</v>
      </c>
      <c r="H2814" t="s">
        <v>33</v>
      </c>
      <c r="I2814">
        <v>0</v>
      </c>
      <c r="J2814" t="s">
        <v>111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23</v>
      </c>
      <c r="R2814">
        <v>0</v>
      </c>
    </row>
    <row r="2815" spans="1:18">
      <c r="A2815" s="4">
        <v>649644000000</v>
      </c>
      <c r="B2815" t="s">
        <v>18</v>
      </c>
      <c r="C2815">
        <v>30</v>
      </c>
      <c r="D2815" t="s">
        <v>37</v>
      </c>
      <c r="E2815" t="s">
        <v>84</v>
      </c>
      <c r="F2815" s="1">
        <v>42495</v>
      </c>
      <c r="G2815" s="1">
        <v>42520</v>
      </c>
      <c r="H2815" t="s">
        <v>30</v>
      </c>
      <c r="I2815">
        <v>25</v>
      </c>
      <c r="J2815" t="s">
        <v>77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</v>
      </c>
      <c r="Q2815" t="s">
        <v>23</v>
      </c>
      <c r="R2815">
        <v>0</v>
      </c>
    </row>
    <row r="2816" spans="1:18">
      <c r="A2816" s="4">
        <v>339798000000000</v>
      </c>
      <c r="B2816" t="s">
        <v>18</v>
      </c>
      <c r="C2816">
        <v>21</v>
      </c>
      <c r="D2816" t="s">
        <v>37</v>
      </c>
      <c r="E2816" t="s">
        <v>84</v>
      </c>
      <c r="F2816" s="1">
        <v>42495</v>
      </c>
      <c r="G2816" s="1">
        <v>42522</v>
      </c>
      <c r="H2816" t="s">
        <v>25</v>
      </c>
      <c r="I2816">
        <v>27</v>
      </c>
      <c r="J2816" t="s">
        <v>77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1</v>
      </c>
      <c r="Q2816" t="s">
        <v>23</v>
      </c>
      <c r="R2816">
        <v>0</v>
      </c>
    </row>
    <row r="2817" spans="1:18">
      <c r="A2817" s="4">
        <v>67684600000000</v>
      </c>
      <c r="B2817" t="s">
        <v>18</v>
      </c>
      <c r="C2817">
        <v>27</v>
      </c>
      <c r="D2817" t="s">
        <v>37</v>
      </c>
      <c r="E2817" t="s">
        <v>44</v>
      </c>
      <c r="F2817" s="1">
        <v>42495</v>
      </c>
      <c r="G2817" s="1">
        <v>42495</v>
      </c>
      <c r="H2817" t="s">
        <v>33</v>
      </c>
      <c r="I2817">
        <v>0</v>
      </c>
      <c r="J2817" t="s">
        <v>111</v>
      </c>
      <c r="K2817">
        <v>1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26</v>
      </c>
      <c r="R2817">
        <v>1</v>
      </c>
    </row>
    <row r="2818" spans="1:18">
      <c r="A2818" s="4">
        <v>685300000000</v>
      </c>
      <c r="B2818" t="s">
        <v>18</v>
      </c>
      <c r="C2818">
        <v>11</v>
      </c>
      <c r="D2818" t="s">
        <v>31</v>
      </c>
      <c r="E2818" t="s">
        <v>38</v>
      </c>
      <c r="F2818" s="1">
        <v>42495</v>
      </c>
      <c r="G2818" s="1">
        <v>42495</v>
      </c>
      <c r="H2818" t="s">
        <v>33</v>
      </c>
      <c r="I2818">
        <v>0</v>
      </c>
      <c r="J2818" t="s">
        <v>111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23</v>
      </c>
      <c r="R2818">
        <v>0</v>
      </c>
    </row>
    <row r="2819" spans="1:18">
      <c r="A2819" s="4">
        <v>427724000000000</v>
      </c>
      <c r="B2819" t="s">
        <v>18</v>
      </c>
      <c r="C2819">
        <v>2</v>
      </c>
      <c r="D2819" t="s">
        <v>31</v>
      </c>
      <c r="E2819" t="s">
        <v>82</v>
      </c>
      <c r="F2819" s="1">
        <v>42495</v>
      </c>
      <c r="G2819" s="1">
        <v>42506</v>
      </c>
      <c r="H2819" t="s">
        <v>30</v>
      </c>
      <c r="I2819">
        <v>11</v>
      </c>
      <c r="J2819" t="s">
        <v>92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26</v>
      </c>
      <c r="R2819">
        <v>1</v>
      </c>
    </row>
    <row r="2820" spans="1:18">
      <c r="A2820" s="4">
        <v>442852000000000</v>
      </c>
      <c r="B2820" t="s">
        <v>18</v>
      </c>
      <c r="C2820">
        <v>81</v>
      </c>
      <c r="D2820" t="s">
        <v>19</v>
      </c>
      <c r="E2820" t="s">
        <v>51</v>
      </c>
      <c r="F2820" s="1">
        <v>42495</v>
      </c>
      <c r="G2820" s="1">
        <v>42495</v>
      </c>
      <c r="H2820" t="s">
        <v>33</v>
      </c>
      <c r="I2820">
        <v>0</v>
      </c>
      <c r="J2820" t="s">
        <v>111</v>
      </c>
      <c r="K2820">
        <v>0</v>
      </c>
      <c r="L2820">
        <v>1</v>
      </c>
      <c r="M2820">
        <v>1</v>
      </c>
      <c r="N2820">
        <v>0</v>
      </c>
      <c r="O2820">
        <v>0</v>
      </c>
      <c r="P2820">
        <v>0</v>
      </c>
      <c r="Q2820" t="s">
        <v>23</v>
      </c>
      <c r="R2820">
        <v>0</v>
      </c>
    </row>
    <row r="2821" spans="1:18">
      <c r="A2821" s="4">
        <v>37736200000000</v>
      </c>
      <c r="B2821" t="s">
        <v>18</v>
      </c>
      <c r="C2821">
        <v>47</v>
      </c>
      <c r="D2821" t="s">
        <v>27</v>
      </c>
      <c r="E2821" t="s">
        <v>80</v>
      </c>
      <c r="F2821" s="1">
        <v>42495</v>
      </c>
      <c r="G2821" s="1">
        <v>42495</v>
      </c>
      <c r="H2821" t="s">
        <v>33</v>
      </c>
      <c r="I2821">
        <v>0</v>
      </c>
      <c r="J2821" t="s">
        <v>111</v>
      </c>
      <c r="K2821">
        <v>0</v>
      </c>
      <c r="L2821">
        <v>1</v>
      </c>
      <c r="M2821">
        <v>0</v>
      </c>
      <c r="N2821">
        <v>0</v>
      </c>
      <c r="O2821">
        <v>0</v>
      </c>
      <c r="P2821">
        <v>0</v>
      </c>
      <c r="Q2821" t="s">
        <v>23</v>
      </c>
      <c r="R2821">
        <v>0</v>
      </c>
    </row>
    <row r="2822" spans="1:18">
      <c r="A2822" s="4">
        <v>88513200000000</v>
      </c>
      <c r="B2822" t="s">
        <v>28</v>
      </c>
      <c r="C2822">
        <v>53</v>
      </c>
      <c r="D2822" t="s">
        <v>35</v>
      </c>
      <c r="E2822" t="s">
        <v>98</v>
      </c>
      <c r="F2822" s="1">
        <v>42495</v>
      </c>
      <c r="G2822" s="1">
        <v>42520</v>
      </c>
      <c r="H2822" t="s">
        <v>30</v>
      </c>
      <c r="I2822">
        <v>25</v>
      </c>
      <c r="J2822" t="s">
        <v>77</v>
      </c>
      <c r="K2822">
        <v>0</v>
      </c>
      <c r="L2822">
        <v>0</v>
      </c>
      <c r="M2822">
        <v>1</v>
      </c>
      <c r="N2822">
        <v>0</v>
      </c>
      <c r="O2822">
        <v>0</v>
      </c>
      <c r="P2822">
        <v>1</v>
      </c>
      <c r="Q2822" t="s">
        <v>23</v>
      </c>
      <c r="R2822">
        <v>0</v>
      </c>
    </row>
    <row r="2823" spans="1:18">
      <c r="A2823" s="4">
        <v>973517000000000</v>
      </c>
      <c r="B2823" t="s">
        <v>18</v>
      </c>
      <c r="C2823">
        <v>9</v>
      </c>
      <c r="D2823" t="s">
        <v>31</v>
      </c>
      <c r="E2823" t="s">
        <v>71</v>
      </c>
      <c r="F2823" s="1">
        <v>42495</v>
      </c>
      <c r="G2823" s="1">
        <v>42500</v>
      </c>
      <c r="H2823" t="s">
        <v>41</v>
      </c>
      <c r="I2823">
        <v>5</v>
      </c>
      <c r="J2823" t="s">
        <v>107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1</v>
      </c>
      <c r="Q2823" t="s">
        <v>23</v>
      </c>
      <c r="R2823">
        <v>0</v>
      </c>
    </row>
    <row r="2824" spans="1:18">
      <c r="A2824" s="4">
        <v>92273700000000</v>
      </c>
      <c r="B2824" t="s">
        <v>18</v>
      </c>
      <c r="C2824">
        <v>59</v>
      </c>
      <c r="D2824" t="s">
        <v>35</v>
      </c>
      <c r="E2824" t="s">
        <v>58</v>
      </c>
      <c r="F2824" s="1">
        <v>42495</v>
      </c>
      <c r="G2824" s="1">
        <v>42499</v>
      </c>
      <c r="H2824" t="s">
        <v>30</v>
      </c>
      <c r="I2824">
        <v>4</v>
      </c>
      <c r="J2824" t="s">
        <v>107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23</v>
      </c>
      <c r="R2824">
        <v>0</v>
      </c>
    </row>
    <row r="2825" spans="1:18">
      <c r="A2825" s="4">
        <v>1397160000000</v>
      </c>
      <c r="B2825" t="s">
        <v>18</v>
      </c>
      <c r="C2825">
        <v>92</v>
      </c>
      <c r="D2825" t="s">
        <v>19</v>
      </c>
      <c r="E2825" t="s">
        <v>81</v>
      </c>
      <c r="F2825" s="1">
        <v>42495</v>
      </c>
      <c r="G2825" s="1">
        <v>42495</v>
      </c>
      <c r="H2825" t="s">
        <v>33</v>
      </c>
      <c r="I2825">
        <v>0</v>
      </c>
      <c r="J2825" t="s">
        <v>111</v>
      </c>
      <c r="K2825">
        <v>0</v>
      </c>
      <c r="L2825">
        <v>1</v>
      </c>
      <c r="M2825">
        <v>0</v>
      </c>
      <c r="N2825">
        <v>0</v>
      </c>
      <c r="O2825">
        <v>0</v>
      </c>
      <c r="P2825">
        <v>0</v>
      </c>
      <c r="Q2825" t="s">
        <v>23</v>
      </c>
      <c r="R2825">
        <v>0</v>
      </c>
    </row>
    <row r="2826" spans="1:18">
      <c r="A2826" s="4">
        <v>885355000000</v>
      </c>
      <c r="B2826" t="s">
        <v>28</v>
      </c>
      <c r="C2826">
        <v>30</v>
      </c>
      <c r="D2826" t="s">
        <v>37</v>
      </c>
      <c r="E2826" t="s">
        <v>64</v>
      </c>
      <c r="F2826" s="1">
        <v>42495</v>
      </c>
      <c r="G2826" s="1">
        <v>42501</v>
      </c>
      <c r="H2826" t="s">
        <v>25</v>
      </c>
      <c r="I2826">
        <v>6</v>
      </c>
      <c r="J2826" t="s">
        <v>107</v>
      </c>
      <c r="K2826">
        <v>0</v>
      </c>
      <c r="L2826">
        <v>1</v>
      </c>
      <c r="M2826">
        <v>0</v>
      </c>
      <c r="N2826">
        <v>0</v>
      </c>
      <c r="O2826">
        <v>0</v>
      </c>
      <c r="P2826">
        <v>1</v>
      </c>
      <c r="Q2826" t="s">
        <v>23</v>
      </c>
      <c r="R2826">
        <v>0</v>
      </c>
    </row>
    <row r="2827" spans="1:18">
      <c r="A2827" s="4">
        <v>795612000000</v>
      </c>
      <c r="B2827" t="s">
        <v>18</v>
      </c>
      <c r="C2827">
        <v>26</v>
      </c>
      <c r="D2827" t="s">
        <v>37</v>
      </c>
      <c r="E2827" t="s">
        <v>72</v>
      </c>
      <c r="F2827" s="1">
        <v>42495</v>
      </c>
      <c r="G2827" s="1">
        <v>42514</v>
      </c>
      <c r="H2827" t="s">
        <v>41</v>
      </c>
      <c r="I2827">
        <v>19</v>
      </c>
      <c r="J2827" t="s">
        <v>77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1</v>
      </c>
      <c r="Q2827" t="s">
        <v>23</v>
      </c>
      <c r="R2827">
        <v>0</v>
      </c>
    </row>
    <row r="2828" spans="1:18">
      <c r="A2828" s="4">
        <v>71923200000000</v>
      </c>
      <c r="B2828" t="s">
        <v>28</v>
      </c>
      <c r="C2828">
        <v>63</v>
      </c>
      <c r="D2828" t="s">
        <v>35</v>
      </c>
      <c r="E2828" t="s">
        <v>40</v>
      </c>
      <c r="F2828" s="1">
        <v>42495</v>
      </c>
      <c r="G2828" s="1">
        <v>42499</v>
      </c>
      <c r="H2828" t="s">
        <v>30</v>
      </c>
      <c r="I2828">
        <v>4</v>
      </c>
      <c r="J2828" t="s">
        <v>107</v>
      </c>
      <c r="K2828">
        <v>0</v>
      </c>
      <c r="L2828">
        <v>1</v>
      </c>
      <c r="M2828">
        <v>1</v>
      </c>
      <c r="N2828">
        <v>0</v>
      </c>
      <c r="O2828">
        <v>0</v>
      </c>
      <c r="P2828">
        <v>0</v>
      </c>
      <c r="Q2828" t="s">
        <v>23</v>
      </c>
      <c r="R2828">
        <v>0</v>
      </c>
    </row>
    <row r="2829" spans="1:18">
      <c r="A2829" s="4">
        <v>9532770000000</v>
      </c>
      <c r="B2829" t="s">
        <v>18</v>
      </c>
      <c r="C2829">
        <v>56</v>
      </c>
      <c r="D2829" t="s">
        <v>35</v>
      </c>
      <c r="E2829" t="s">
        <v>57</v>
      </c>
      <c r="F2829" s="1">
        <v>42495</v>
      </c>
      <c r="G2829" s="1">
        <v>42499</v>
      </c>
      <c r="H2829" t="s">
        <v>30</v>
      </c>
      <c r="I2829">
        <v>4</v>
      </c>
      <c r="J2829" t="s">
        <v>107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23</v>
      </c>
      <c r="R2829">
        <v>0</v>
      </c>
    </row>
    <row r="2830" spans="1:18">
      <c r="A2830" s="4">
        <v>149785000000000</v>
      </c>
      <c r="B2830" t="s">
        <v>18</v>
      </c>
      <c r="C2830">
        <v>59</v>
      </c>
      <c r="D2830" t="s">
        <v>35</v>
      </c>
      <c r="E2830" t="s">
        <v>72</v>
      </c>
      <c r="F2830" s="1">
        <v>42495</v>
      </c>
      <c r="G2830" s="1">
        <v>42508</v>
      </c>
      <c r="H2830" t="s">
        <v>25</v>
      </c>
      <c r="I2830">
        <v>13</v>
      </c>
      <c r="J2830" t="s">
        <v>92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23</v>
      </c>
      <c r="R2830">
        <v>0</v>
      </c>
    </row>
    <row r="2831" spans="1:18">
      <c r="A2831" s="4">
        <v>646338000000000</v>
      </c>
      <c r="B2831" t="s">
        <v>28</v>
      </c>
      <c r="C2831">
        <v>74</v>
      </c>
      <c r="D2831" t="s">
        <v>19</v>
      </c>
      <c r="E2831" t="s">
        <v>38</v>
      </c>
      <c r="F2831" s="1">
        <v>42495</v>
      </c>
      <c r="G2831" s="1">
        <v>42509</v>
      </c>
      <c r="H2831" t="s">
        <v>33</v>
      </c>
      <c r="I2831">
        <v>14</v>
      </c>
      <c r="J2831" t="s">
        <v>92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23</v>
      </c>
      <c r="R2831">
        <v>0</v>
      </c>
    </row>
    <row r="2832" spans="1:18">
      <c r="A2832" s="4">
        <v>791790000000</v>
      </c>
      <c r="B2832" t="s">
        <v>18</v>
      </c>
      <c r="C2832">
        <v>43</v>
      </c>
      <c r="D2832" t="s">
        <v>27</v>
      </c>
      <c r="E2832" t="s">
        <v>69</v>
      </c>
      <c r="F2832" s="1">
        <v>42495</v>
      </c>
      <c r="G2832" s="1">
        <v>42502</v>
      </c>
      <c r="H2832" t="s">
        <v>33</v>
      </c>
      <c r="I2832">
        <v>7</v>
      </c>
      <c r="J2832" t="s">
        <v>107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1</v>
      </c>
      <c r="Q2832" t="s">
        <v>23</v>
      </c>
      <c r="R2832">
        <v>0</v>
      </c>
    </row>
    <row r="2833" spans="1:18">
      <c r="A2833" s="4">
        <v>45493900000000</v>
      </c>
      <c r="B2833" t="s">
        <v>18</v>
      </c>
      <c r="C2833">
        <v>48</v>
      </c>
      <c r="D2833" t="s">
        <v>27</v>
      </c>
      <c r="E2833" t="s">
        <v>59</v>
      </c>
      <c r="F2833" s="1">
        <v>42495</v>
      </c>
      <c r="G2833" s="1">
        <v>42495</v>
      </c>
      <c r="H2833" t="s">
        <v>33</v>
      </c>
      <c r="I2833">
        <v>0</v>
      </c>
      <c r="J2833" t="s">
        <v>111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23</v>
      </c>
      <c r="R2833">
        <v>0</v>
      </c>
    </row>
    <row r="2834" spans="1:18">
      <c r="A2834" s="4">
        <v>16785200000000</v>
      </c>
      <c r="B2834" t="s">
        <v>18</v>
      </c>
      <c r="C2834">
        <v>74</v>
      </c>
      <c r="D2834" t="s">
        <v>19</v>
      </c>
      <c r="E2834" t="s">
        <v>67</v>
      </c>
      <c r="F2834" s="1">
        <v>42495</v>
      </c>
      <c r="G2834" s="1">
        <v>42523</v>
      </c>
      <c r="H2834" t="s">
        <v>33</v>
      </c>
      <c r="I2834">
        <v>28</v>
      </c>
      <c r="J2834" t="s">
        <v>77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1</v>
      </c>
      <c r="Q2834" t="s">
        <v>23</v>
      </c>
      <c r="R2834">
        <v>0</v>
      </c>
    </row>
    <row r="2835" spans="1:18">
      <c r="A2835" s="4">
        <v>64178200000000</v>
      </c>
      <c r="B2835" t="s">
        <v>28</v>
      </c>
      <c r="C2835">
        <v>5</v>
      </c>
      <c r="D2835" t="s">
        <v>31</v>
      </c>
      <c r="E2835" t="s">
        <v>84</v>
      </c>
      <c r="F2835" s="1">
        <v>42495</v>
      </c>
      <c r="G2835" s="1">
        <v>42503</v>
      </c>
      <c r="H2835" t="s">
        <v>21</v>
      </c>
      <c r="I2835">
        <v>8</v>
      </c>
      <c r="J2835" t="s">
        <v>92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23</v>
      </c>
      <c r="R2835">
        <v>0</v>
      </c>
    </row>
    <row r="2836" spans="1:18">
      <c r="A2836" s="4">
        <v>4528570000000</v>
      </c>
      <c r="B2836" t="s">
        <v>28</v>
      </c>
      <c r="C2836">
        <v>64</v>
      </c>
      <c r="D2836" t="s">
        <v>35</v>
      </c>
      <c r="E2836" t="s">
        <v>32</v>
      </c>
      <c r="F2836" s="1">
        <v>42495</v>
      </c>
      <c r="G2836" s="1">
        <v>42495</v>
      </c>
      <c r="H2836" t="s">
        <v>33</v>
      </c>
      <c r="I2836">
        <v>0</v>
      </c>
      <c r="J2836" t="s">
        <v>111</v>
      </c>
      <c r="K2836">
        <v>0</v>
      </c>
      <c r="L2836">
        <v>1</v>
      </c>
      <c r="M2836">
        <v>0</v>
      </c>
      <c r="N2836">
        <v>1</v>
      </c>
      <c r="O2836">
        <v>0</v>
      </c>
      <c r="P2836">
        <v>0</v>
      </c>
      <c r="Q2836" t="s">
        <v>23</v>
      </c>
      <c r="R2836">
        <v>0</v>
      </c>
    </row>
    <row r="2837" spans="1:18">
      <c r="A2837" s="4">
        <v>599514000000000</v>
      </c>
      <c r="B2837" t="s">
        <v>28</v>
      </c>
      <c r="C2837">
        <v>37</v>
      </c>
      <c r="D2837" t="s">
        <v>27</v>
      </c>
      <c r="E2837" t="s">
        <v>66</v>
      </c>
      <c r="F2837" s="1">
        <v>42495</v>
      </c>
      <c r="G2837" s="1">
        <v>42500</v>
      </c>
      <c r="H2837" t="s">
        <v>41</v>
      </c>
      <c r="I2837">
        <v>5</v>
      </c>
      <c r="J2837" t="s">
        <v>107</v>
      </c>
      <c r="K2837">
        <v>0</v>
      </c>
      <c r="L2837">
        <v>0</v>
      </c>
      <c r="M2837">
        <v>0</v>
      </c>
      <c r="N2837">
        <v>1</v>
      </c>
      <c r="O2837">
        <v>1</v>
      </c>
      <c r="P2837">
        <v>1</v>
      </c>
      <c r="Q2837" t="s">
        <v>23</v>
      </c>
      <c r="R2837">
        <v>0</v>
      </c>
    </row>
    <row r="2838" spans="1:18">
      <c r="A2838" s="4">
        <v>59945600000000</v>
      </c>
      <c r="B2838" t="s">
        <v>18</v>
      </c>
      <c r="C2838">
        <v>59</v>
      </c>
      <c r="D2838" t="s">
        <v>35</v>
      </c>
      <c r="E2838" t="s">
        <v>64</v>
      </c>
      <c r="F2838" s="1">
        <v>42495</v>
      </c>
      <c r="G2838" s="1">
        <v>42495</v>
      </c>
      <c r="H2838" t="s">
        <v>33</v>
      </c>
      <c r="I2838">
        <v>0</v>
      </c>
      <c r="J2838" t="s">
        <v>111</v>
      </c>
      <c r="K2838">
        <v>0</v>
      </c>
      <c r="L2838">
        <v>0</v>
      </c>
      <c r="M2838">
        <v>1</v>
      </c>
      <c r="N2838">
        <v>0</v>
      </c>
      <c r="O2838">
        <v>0</v>
      </c>
      <c r="P2838">
        <v>0</v>
      </c>
      <c r="Q2838" t="s">
        <v>23</v>
      </c>
      <c r="R2838">
        <v>0</v>
      </c>
    </row>
    <row r="2839" spans="1:18">
      <c r="A2839" s="4">
        <v>775974000000000</v>
      </c>
      <c r="B2839" t="s">
        <v>18</v>
      </c>
      <c r="C2839">
        <v>83</v>
      </c>
      <c r="D2839" t="s">
        <v>19</v>
      </c>
      <c r="E2839" t="s">
        <v>66</v>
      </c>
      <c r="F2839" s="1">
        <v>42495</v>
      </c>
      <c r="G2839" s="1">
        <v>42500</v>
      </c>
      <c r="H2839" t="s">
        <v>41</v>
      </c>
      <c r="I2839">
        <v>5</v>
      </c>
      <c r="J2839" t="s">
        <v>107</v>
      </c>
      <c r="K2839">
        <v>0</v>
      </c>
      <c r="L2839">
        <v>1</v>
      </c>
      <c r="M2839">
        <v>0</v>
      </c>
      <c r="N2839">
        <v>0</v>
      </c>
      <c r="O2839">
        <v>0</v>
      </c>
      <c r="P2839">
        <v>1</v>
      </c>
      <c r="Q2839" t="s">
        <v>23</v>
      </c>
      <c r="R2839">
        <v>0</v>
      </c>
    </row>
    <row r="2840" spans="1:18">
      <c r="A2840" s="4">
        <v>6879600000000</v>
      </c>
      <c r="B2840" t="s">
        <v>18</v>
      </c>
      <c r="C2840">
        <v>45</v>
      </c>
      <c r="D2840" t="s">
        <v>27</v>
      </c>
      <c r="E2840" t="s">
        <v>66</v>
      </c>
      <c r="F2840" s="1">
        <v>42495</v>
      </c>
      <c r="G2840" s="1">
        <v>42500</v>
      </c>
      <c r="H2840" t="s">
        <v>41</v>
      </c>
      <c r="I2840">
        <v>5</v>
      </c>
      <c r="J2840" t="s">
        <v>107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1</v>
      </c>
      <c r="Q2840" t="s">
        <v>23</v>
      </c>
      <c r="R2840">
        <v>0</v>
      </c>
    </row>
    <row r="2841" spans="1:18">
      <c r="A2841" s="4">
        <v>78846200000000</v>
      </c>
      <c r="B2841" t="s">
        <v>28</v>
      </c>
      <c r="C2841">
        <v>40</v>
      </c>
      <c r="D2841" t="s">
        <v>27</v>
      </c>
      <c r="E2841" t="s">
        <v>38</v>
      </c>
      <c r="F2841" s="1">
        <v>42495</v>
      </c>
      <c r="G2841" s="1">
        <v>42502</v>
      </c>
      <c r="H2841" t="s">
        <v>33</v>
      </c>
      <c r="I2841">
        <v>7</v>
      </c>
      <c r="J2841" t="s">
        <v>107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1</v>
      </c>
      <c r="Q2841" t="s">
        <v>23</v>
      </c>
      <c r="R2841">
        <v>0</v>
      </c>
    </row>
    <row r="2842" spans="1:18">
      <c r="A2842" s="4">
        <v>552332000000000</v>
      </c>
      <c r="B2842" t="s">
        <v>28</v>
      </c>
      <c r="C2842">
        <v>43</v>
      </c>
      <c r="D2842" t="s">
        <v>27</v>
      </c>
      <c r="E2842" t="s">
        <v>44</v>
      </c>
      <c r="F2842" s="1">
        <v>42495</v>
      </c>
      <c r="G2842" s="1">
        <v>42495</v>
      </c>
      <c r="H2842" t="s">
        <v>33</v>
      </c>
      <c r="I2842">
        <v>0</v>
      </c>
      <c r="J2842" t="s">
        <v>111</v>
      </c>
      <c r="K2842">
        <v>0</v>
      </c>
      <c r="L2842">
        <v>0</v>
      </c>
      <c r="M2842">
        <v>0</v>
      </c>
      <c r="N2842">
        <v>1</v>
      </c>
      <c r="O2842">
        <v>0</v>
      </c>
      <c r="P2842">
        <v>0</v>
      </c>
      <c r="Q2842" t="s">
        <v>23</v>
      </c>
      <c r="R2842">
        <v>0</v>
      </c>
    </row>
    <row r="2843" spans="1:18">
      <c r="A2843" s="4">
        <v>693143000000</v>
      </c>
      <c r="B2843" t="s">
        <v>18</v>
      </c>
      <c r="C2843">
        <v>0</v>
      </c>
      <c r="D2843" t="s">
        <v>31</v>
      </c>
      <c r="E2843" t="s">
        <v>105</v>
      </c>
      <c r="F2843" s="1">
        <v>42495</v>
      </c>
      <c r="G2843" s="1">
        <v>42502</v>
      </c>
      <c r="H2843" t="s">
        <v>33</v>
      </c>
      <c r="I2843">
        <v>7</v>
      </c>
      <c r="J2843" t="s">
        <v>107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26</v>
      </c>
      <c r="R2843">
        <v>1</v>
      </c>
    </row>
    <row r="2844" spans="1:18">
      <c r="A2844" s="4">
        <v>8529170000000</v>
      </c>
      <c r="B2844" t="s">
        <v>28</v>
      </c>
      <c r="C2844">
        <v>35</v>
      </c>
      <c r="D2844" t="s">
        <v>37</v>
      </c>
      <c r="E2844" t="s">
        <v>29</v>
      </c>
      <c r="F2844" s="1">
        <v>42495</v>
      </c>
      <c r="G2844" s="1">
        <v>42495</v>
      </c>
      <c r="H2844" t="s">
        <v>33</v>
      </c>
      <c r="I2844">
        <v>0</v>
      </c>
      <c r="J2844" t="s">
        <v>111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23</v>
      </c>
      <c r="R2844">
        <v>0</v>
      </c>
    </row>
    <row r="2845" spans="1:18">
      <c r="A2845" s="4">
        <v>5627430000000</v>
      </c>
      <c r="B2845" t="s">
        <v>28</v>
      </c>
      <c r="C2845">
        <v>46</v>
      </c>
      <c r="D2845" t="s">
        <v>27</v>
      </c>
      <c r="E2845" t="s">
        <v>72</v>
      </c>
      <c r="F2845" s="1">
        <v>42495</v>
      </c>
      <c r="G2845" s="1">
        <v>42506</v>
      </c>
      <c r="H2845" t="s">
        <v>30</v>
      </c>
      <c r="I2845">
        <v>11</v>
      </c>
      <c r="J2845" t="s">
        <v>92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23</v>
      </c>
      <c r="R2845">
        <v>0</v>
      </c>
    </row>
    <row r="2846" spans="1:18">
      <c r="A2846" s="4">
        <v>31763700000000</v>
      </c>
      <c r="B2846" t="s">
        <v>28</v>
      </c>
      <c r="C2846">
        <v>38</v>
      </c>
      <c r="D2846" t="s">
        <v>27</v>
      </c>
      <c r="E2846" t="s">
        <v>54</v>
      </c>
      <c r="F2846" s="1">
        <v>42495</v>
      </c>
      <c r="G2846" s="1">
        <v>42495</v>
      </c>
      <c r="H2846" t="s">
        <v>33</v>
      </c>
      <c r="I2846">
        <v>0</v>
      </c>
      <c r="J2846" t="s">
        <v>111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23</v>
      </c>
      <c r="R2846">
        <v>0</v>
      </c>
    </row>
    <row r="2847" spans="1:18">
      <c r="A2847" s="4">
        <v>768729000000000</v>
      </c>
      <c r="B2847" t="s">
        <v>28</v>
      </c>
      <c r="C2847">
        <v>20</v>
      </c>
      <c r="D2847" t="s">
        <v>37</v>
      </c>
      <c r="E2847" t="s">
        <v>67</v>
      </c>
      <c r="F2847" s="1">
        <v>42495</v>
      </c>
      <c r="G2847" s="1">
        <v>42495</v>
      </c>
      <c r="H2847" t="s">
        <v>33</v>
      </c>
      <c r="I2847">
        <v>0</v>
      </c>
      <c r="J2847" t="s">
        <v>111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23</v>
      </c>
      <c r="R2847">
        <v>0</v>
      </c>
    </row>
    <row r="2848" spans="1:18">
      <c r="A2848" s="4">
        <v>49111400000000</v>
      </c>
      <c r="B2848" t="s">
        <v>18</v>
      </c>
      <c r="C2848">
        <v>52</v>
      </c>
      <c r="D2848" t="s">
        <v>35</v>
      </c>
      <c r="E2848" t="s">
        <v>36</v>
      </c>
      <c r="F2848" s="1">
        <v>42495</v>
      </c>
      <c r="G2848" s="1">
        <v>42510</v>
      </c>
      <c r="H2848" t="s">
        <v>21</v>
      </c>
      <c r="I2848">
        <v>15</v>
      </c>
      <c r="J2848" t="s">
        <v>77</v>
      </c>
      <c r="K2848">
        <v>0</v>
      </c>
      <c r="L2848">
        <v>1</v>
      </c>
      <c r="M2848">
        <v>0</v>
      </c>
      <c r="N2848">
        <v>0</v>
      </c>
      <c r="O2848">
        <v>0</v>
      </c>
      <c r="P2848">
        <v>0</v>
      </c>
      <c r="Q2848" t="s">
        <v>23</v>
      </c>
      <c r="R2848">
        <v>0</v>
      </c>
    </row>
    <row r="2849" spans="1:18">
      <c r="A2849" s="4">
        <v>347354000000</v>
      </c>
      <c r="B2849" t="s">
        <v>18</v>
      </c>
      <c r="C2849">
        <v>5</v>
      </c>
      <c r="D2849" t="s">
        <v>31</v>
      </c>
      <c r="E2849" t="s">
        <v>38</v>
      </c>
      <c r="F2849" s="1">
        <v>42495</v>
      </c>
      <c r="G2849" s="1">
        <v>42499</v>
      </c>
      <c r="H2849" t="s">
        <v>30</v>
      </c>
      <c r="I2849">
        <v>4</v>
      </c>
      <c r="J2849" t="s">
        <v>107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23</v>
      </c>
      <c r="R2849">
        <v>0</v>
      </c>
    </row>
    <row r="2850" spans="1:18">
      <c r="A2850" s="4">
        <v>94695800000000</v>
      </c>
      <c r="B2850" t="s">
        <v>18</v>
      </c>
      <c r="C2850">
        <v>32</v>
      </c>
      <c r="D2850" t="s">
        <v>37</v>
      </c>
      <c r="E2850" t="s">
        <v>43</v>
      </c>
      <c r="F2850" s="1">
        <v>42495</v>
      </c>
      <c r="G2850" s="1">
        <v>42495</v>
      </c>
      <c r="H2850" t="s">
        <v>33</v>
      </c>
      <c r="I2850">
        <v>0</v>
      </c>
      <c r="J2850" t="s">
        <v>111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23</v>
      </c>
      <c r="R2850">
        <v>0</v>
      </c>
    </row>
    <row r="2851" spans="1:18">
      <c r="A2851" s="4">
        <v>725788000000000</v>
      </c>
      <c r="B2851" t="s">
        <v>18</v>
      </c>
      <c r="C2851">
        <v>31</v>
      </c>
      <c r="D2851" t="s">
        <v>37</v>
      </c>
      <c r="E2851" t="s">
        <v>71</v>
      </c>
      <c r="F2851" s="1">
        <v>42495</v>
      </c>
      <c r="G2851" s="1">
        <v>42495</v>
      </c>
      <c r="H2851" t="s">
        <v>33</v>
      </c>
      <c r="I2851">
        <v>0</v>
      </c>
      <c r="J2851" t="s">
        <v>111</v>
      </c>
      <c r="K2851">
        <v>1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23</v>
      </c>
      <c r="R2851">
        <v>0</v>
      </c>
    </row>
    <row r="2852" spans="1:18">
      <c r="A2852" s="4">
        <v>94928600000000</v>
      </c>
      <c r="B2852" t="s">
        <v>28</v>
      </c>
      <c r="C2852">
        <v>94</v>
      </c>
      <c r="D2852" t="s">
        <v>19</v>
      </c>
      <c r="E2852" t="s">
        <v>32</v>
      </c>
      <c r="F2852" s="1">
        <v>42495</v>
      </c>
      <c r="G2852" s="1">
        <v>42496</v>
      </c>
      <c r="H2852" t="s">
        <v>21</v>
      </c>
      <c r="I2852">
        <v>1</v>
      </c>
      <c r="J2852" t="s">
        <v>109</v>
      </c>
      <c r="K2852">
        <v>0</v>
      </c>
      <c r="L2852">
        <v>1</v>
      </c>
      <c r="M2852">
        <v>0</v>
      </c>
      <c r="N2852">
        <v>0</v>
      </c>
      <c r="O2852">
        <v>1</v>
      </c>
      <c r="P2852">
        <v>0</v>
      </c>
      <c r="Q2852" t="s">
        <v>23</v>
      </c>
      <c r="R2852">
        <v>0</v>
      </c>
    </row>
    <row r="2853" spans="1:18">
      <c r="A2853" s="4">
        <v>162127000000</v>
      </c>
      <c r="B2853" t="s">
        <v>18</v>
      </c>
      <c r="C2853">
        <v>19</v>
      </c>
      <c r="D2853" t="s">
        <v>37</v>
      </c>
      <c r="E2853" t="s">
        <v>47</v>
      </c>
      <c r="F2853" s="1">
        <v>42495</v>
      </c>
      <c r="G2853" s="1">
        <v>42495</v>
      </c>
      <c r="H2853" t="s">
        <v>33</v>
      </c>
      <c r="I2853">
        <v>0</v>
      </c>
      <c r="J2853" t="s">
        <v>111</v>
      </c>
      <c r="K2853">
        <v>1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23</v>
      </c>
      <c r="R2853">
        <v>0</v>
      </c>
    </row>
    <row r="2854" spans="1:18">
      <c r="A2854" s="4">
        <v>67935800000000</v>
      </c>
      <c r="B2854" t="s">
        <v>18</v>
      </c>
      <c r="C2854">
        <v>55</v>
      </c>
      <c r="D2854" t="s">
        <v>35</v>
      </c>
      <c r="E2854" t="s">
        <v>58</v>
      </c>
      <c r="F2854" s="1">
        <v>42495</v>
      </c>
      <c r="G2854" s="1">
        <v>42496</v>
      </c>
      <c r="H2854" t="s">
        <v>21</v>
      </c>
      <c r="I2854">
        <v>1</v>
      </c>
      <c r="J2854" t="s">
        <v>109</v>
      </c>
      <c r="K2854">
        <v>0</v>
      </c>
      <c r="L2854">
        <v>1</v>
      </c>
      <c r="M2854">
        <v>0</v>
      </c>
      <c r="N2854">
        <v>0</v>
      </c>
      <c r="O2854">
        <v>0</v>
      </c>
      <c r="P2854">
        <v>0</v>
      </c>
      <c r="Q2854" t="s">
        <v>23</v>
      </c>
      <c r="R2854">
        <v>0</v>
      </c>
    </row>
    <row r="2855" spans="1:18">
      <c r="A2855" s="4">
        <v>59369184137</v>
      </c>
      <c r="B2855" t="s">
        <v>18</v>
      </c>
      <c r="C2855">
        <v>20</v>
      </c>
      <c r="D2855" t="s">
        <v>37</v>
      </c>
      <c r="E2855" t="s">
        <v>64</v>
      </c>
      <c r="F2855" s="1">
        <v>42495</v>
      </c>
      <c r="G2855" s="1">
        <v>42495</v>
      </c>
      <c r="H2855" t="s">
        <v>33</v>
      </c>
      <c r="I2855">
        <v>0</v>
      </c>
      <c r="J2855" t="s">
        <v>111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23</v>
      </c>
      <c r="R2855">
        <v>0</v>
      </c>
    </row>
    <row r="2856" spans="1:18">
      <c r="A2856" s="4">
        <v>8621670000000</v>
      </c>
      <c r="B2856" t="s">
        <v>28</v>
      </c>
      <c r="C2856">
        <v>29</v>
      </c>
      <c r="D2856" t="s">
        <v>37</v>
      </c>
      <c r="E2856" t="s">
        <v>58</v>
      </c>
      <c r="F2856" s="1">
        <v>42495</v>
      </c>
      <c r="G2856" s="1">
        <v>42499</v>
      </c>
      <c r="H2856" t="s">
        <v>30</v>
      </c>
      <c r="I2856">
        <v>4</v>
      </c>
      <c r="J2856" t="s">
        <v>107</v>
      </c>
      <c r="K2856">
        <v>0</v>
      </c>
      <c r="L2856">
        <v>0</v>
      </c>
      <c r="M2856">
        <v>0</v>
      </c>
      <c r="N2856">
        <v>1</v>
      </c>
      <c r="O2856">
        <v>0</v>
      </c>
      <c r="P2856">
        <v>0</v>
      </c>
      <c r="Q2856" t="s">
        <v>26</v>
      </c>
      <c r="R2856">
        <v>1</v>
      </c>
    </row>
    <row r="2857" spans="1:18">
      <c r="A2857" s="4">
        <v>74981200000000</v>
      </c>
      <c r="B2857" t="s">
        <v>18</v>
      </c>
      <c r="C2857">
        <v>66</v>
      </c>
      <c r="D2857" t="s">
        <v>19</v>
      </c>
      <c r="E2857" t="s">
        <v>95</v>
      </c>
      <c r="F2857" s="1">
        <v>42495</v>
      </c>
      <c r="G2857" s="1">
        <v>42495</v>
      </c>
      <c r="H2857" t="s">
        <v>33</v>
      </c>
      <c r="I2857">
        <v>0</v>
      </c>
      <c r="J2857" t="s">
        <v>111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26</v>
      </c>
      <c r="R2857">
        <v>1</v>
      </c>
    </row>
    <row r="2858" spans="1:18">
      <c r="A2858" s="4">
        <v>598426000000000</v>
      </c>
      <c r="B2858" t="s">
        <v>28</v>
      </c>
      <c r="C2858">
        <v>8</v>
      </c>
      <c r="D2858" t="s">
        <v>31</v>
      </c>
      <c r="E2858" t="s">
        <v>29</v>
      </c>
      <c r="F2858" s="1">
        <v>42495</v>
      </c>
      <c r="G2858" s="1">
        <v>42495</v>
      </c>
      <c r="H2858" t="s">
        <v>33</v>
      </c>
      <c r="I2858">
        <v>0</v>
      </c>
      <c r="J2858" t="s">
        <v>111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23</v>
      </c>
      <c r="R2858">
        <v>0</v>
      </c>
    </row>
    <row r="2859" spans="1:18">
      <c r="A2859" s="4">
        <v>81726700000000</v>
      </c>
      <c r="B2859" t="s">
        <v>18</v>
      </c>
      <c r="C2859">
        <v>5</v>
      </c>
      <c r="D2859" t="s">
        <v>31</v>
      </c>
      <c r="E2859" t="s">
        <v>59</v>
      </c>
      <c r="F2859" s="1">
        <v>42495</v>
      </c>
      <c r="G2859" s="1">
        <v>42509</v>
      </c>
      <c r="H2859" t="s">
        <v>33</v>
      </c>
      <c r="I2859">
        <v>14</v>
      </c>
      <c r="J2859" t="s">
        <v>92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23</v>
      </c>
      <c r="R2859">
        <v>0</v>
      </c>
    </row>
    <row r="2860" spans="1:18">
      <c r="A2860" s="4">
        <v>613372000000000</v>
      </c>
      <c r="B2860" t="s">
        <v>18</v>
      </c>
      <c r="C2860">
        <v>26</v>
      </c>
      <c r="D2860" t="s">
        <v>37</v>
      </c>
      <c r="E2860" t="s">
        <v>73</v>
      </c>
      <c r="F2860" s="1">
        <v>42495</v>
      </c>
      <c r="G2860" s="1">
        <v>42507</v>
      </c>
      <c r="H2860" t="s">
        <v>41</v>
      </c>
      <c r="I2860">
        <v>12</v>
      </c>
      <c r="J2860" t="s">
        <v>92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26</v>
      </c>
      <c r="R2860">
        <v>1</v>
      </c>
    </row>
    <row r="2861" spans="1:18">
      <c r="A2861" s="4">
        <v>2939550000000</v>
      </c>
      <c r="B2861" t="s">
        <v>28</v>
      </c>
      <c r="C2861">
        <v>21</v>
      </c>
      <c r="D2861" t="s">
        <v>37</v>
      </c>
      <c r="E2861" t="s">
        <v>45</v>
      </c>
      <c r="F2861" s="1">
        <v>42495</v>
      </c>
      <c r="G2861" s="1">
        <v>42499</v>
      </c>
      <c r="H2861" t="s">
        <v>30</v>
      </c>
      <c r="I2861">
        <v>4</v>
      </c>
      <c r="J2861" t="s">
        <v>107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26</v>
      </c>
      <c r="R2861">
        <v>1</v>
      </c>
    </row>
    <row r="2862" spans="1:18">
      <c r="A2862" s="4">
        <v>129972000000</v>
      </c>
      <c r="B2862" t="s">
        <v>18</v>
      </c>
      <c r="C2862">
        <v>82</v>
      </c>
      <c r="D2862" t="s">
        <v>19</v>
      </c>
      <c r="E2862" t="s">
        <v>61</v>
      </c>
      <c r="F2862" s="1">
        <v>42495</v>
      </c>
      <c r="G2862" s="1">
        <v>42495</v>
      </c>
      <c r="H2862" t="s">
        <v>33</v>
      </c>
      <c r="I2862">
        <v>0</v>
      </c>
      <c r="J2862" t="s">
        <v>111</v>
      </c>
      <c r="K2862">
        <v>0</v>
      </c>
      <c r="L2862">
        <v>1</v>
      </c>
      <c r="M2862">
        <v>1</v>
      </c>
      <c r="N2862">
        <v>0</v>
      </c>
      <c r="O2862">
        <v>0</v>
      </c>
      <c r="P2862">
        <v>0</v>
      </c>
      <c r="Q2862" t="s">
        <v>23</v>
      </c>
      <c r="R2862">
        <v>0</v>
      </c>
    </row>
    <row r="2863" spans="1:18">
      <c r="A2863" s="4">
        <v>32888000000000</v>
      </c>
      <c r="B2863" t="s">
        <v>28</v>
      </c>
      <c r="C2863">
        <v>37</v>
      </c>
      <c r="D2863" t="s">
        <v>27</v>
      </c>
      <c r="E2863" t="s">
        <v>64</v>
      </c>
      <c r="F2863" s="1">
        <v>42495</v>
      </c>
      <c r="G2863" s="1">
        <v>42501</v>
      </c>
      <c r="H2863" t="s">
        <v>25</v>
      </c>
      <c r="I2863">
        <v>6</v>
      </c>
      <c r="J2863" t="s">
        <v>107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1</v>
      </c>
      <c r="Q2863" t="s">
        <v>23</v>
      </c>
      <c r="R2863">
        <v>0</v>
      </c>
    </row>
    <row r="2864" spans="1:18">
      <c r="A2864" s="4">
        <v>1416780000000</v>
      </c>
      <c r="B2864" t="s">
        <v>18</v>
      </c>
      <c r="C2864">
        <v>36</v>
      </c>
      <c r="D2864" t="s">
        <v>27</v>
      </c>
      <c r="E2864" t="s">
        <v>34</v>
      </c>
      <c r="F2864" s="1">
        <v>42495</v>
      </c>
      <c r="G2864" s="1">
        <v>42500</v>
      </c>
      <c r="H2864" t="s">
        <v>41</v>
      </c>
      <c r="I2864">
        <v>5</v>
      </c>
      <c r="J2864" t="s">
        <v>107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1</v>
      </c>
      <c r="Q2864" t="s">
        <v>23</v>
      </c>
      <c r="R2864">
        <v>0</v>
      </c>
    </row>
    <row r="2865" spans="1:18">
      <c r="A2865" s="4">
        <v>99599400000000</v>
      </c>
      <c r="B2865" t="s">
        <v>18</v>
      </c>
      <c r="C2865">
        <v>23</v>
      </c>
      <c r="D2865" t="s">
        <v>37</v>
      </c>
      <c r="E2865" t="s">
        <v>56</v>
      </c>
      <c r="F2865" s="1">
        <v>42495</v>
      </c>
      <c r="G2865" s="1">
        <v>42496</v>
      </c>
      <c r="H2865" t="s">
        <v>21</v>
      </c>
      <c r="I2865">
        <v>1</v>
      </c>
      <c r="J2865" t="s">
        <v>109</v>
      </c>
      <c r="K2865">
        <v>1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23</v>
      </c>
      <c r="R2865">
        <v>0</v>
      </c>
    </row>
    <row r="2866" spans="1:18">
      <c r="A2866" s="4">
        <v>953780000000000</v>
      </c>
      <c r="B2866" t="s">
        <v>18</v>
      </c>
      <c r="C2866">
        <v>40</v>
      </c>
      <c r="D2866" t="s">
        <v>27</v>
      </c>
      <c r="E2866" t="s">
        <v>72</v>
      </c>
      <c r="F2866" s="1">
        <v>42495</v>
      </c>
      <c r="G2866" s="1">
        <v>42495</v>
      </c>
      <c r="H2866" t="s">
        <v>33</v>
      </c>
      <c r="I2866">
        <v>0</v>
      </c>
      <c r="J2866" t="s">
        <v>111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23</v>
      </c>
      <c r="R2866">
        <v>0</v>
      </c>
    </row>
    <row r="2867" spans="1:18">
      <c r="A2867" s="4">
        <v>54281500000000</v>
      </c>
      <c r="B2867" t="s">
        <v>18</v>
      </c>
      <c r="C2867">
        <v>36</v>
      </c>
      <c r="D2867" t="s">
        <v>27</v>
      </c>
      <c r="E2867" t="s">
        <v>74</v>
      </c>
      <c r="F2867" s="1">
        <v>42495</v>
      </c>
      <c r="G2867" s="1">
        <v>42499</v>
      </c>
      <c r="H2867" t="s">
        <v>30</v>
      </c>
      <c r="I2867">
        <v>4</v>
      </c>
      <c r="J2867" t="s">
        <v>107</v>
      </c>
      <c r="K2867">
        <v>1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23</v>
      </c>
      <c r="R2867">
        <v>0</v>
      </c>
    </row>
    <row r="2868" spans="1:18">
      <c r="A2868" s="4">
        <v>57234400000000</v>
      </c>
      <c r="B2868" t="s">
        <v>18</v>
      </c>
      <c r="C2868">
        <v>15</v>
      </c>
      <c r="D2868" t="s">
        <v>60</v>
      </c>
      <c r="E2868" t="s">
        <v>74</v>
      </c>
      <c r="F2868" s="1">
        <v>42495</v>
      </c>
      <c r="G2868" s="1">
        <v>42495</v>
      </c>
      <c r="H2868" t="s">
        <v>33</v>
      </c>
      <c r="I2868">
        <v>0</v>
      </c>
      <c r="J2868" t="s">
        <v>111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23</v>
      </c>
      <c r="R2868">
        <v>0</v>
      </c>
    </row>
    <row r="2869" spans="1:18">
      <c r="A2869" s="4">
        <v>52296400000000</v>
      </c>
      <c r="B2869" t="s">
        <v>28</v>
      </c>
      <c r="C2869">
        <v>47</v>
      </c>
      <c r="D2869" t="s">
        <v>27</v>
      </c>
      <c r="E2869" t="s">
        <v>34</v>
      </c>
      <c r="F2869" s="1">
        <v>42495</v>
      </c>
      <c r="G2869" s="1">
        <v>42502</v>
      </c>
      <c r="H2869" t="s">
        <v>33</v>
      </c>
      <c r="I2869">
        <v>7</v>
      </c>
      <c r="J2869" t="s">
        <v>107</v>
      </c>
      <c r="K2869">
        <v>0</v>
      </c>
      <c r="L2869">
        <v>1</v>
      </c>
      <c r="M2869">
        <v>0</v>
      </c>
      <c r="N2869">
        <v>0</v>
      </c>
      <c r="O2869">
        <v>0</v>
      </c>
      <c r="P2869">
        <v>1</v>
      </c>
      <c r="Q2869" t="s">
        <v>26</v>
      </c>
      <c r="R2869">
        <v>1</v>
      </c>
    </row>
    <row r="2870" spans="1:18">
      <c r="A2870" s="4">
        <v>299174000000000</v>
      </c>
      <c r="B2870" t="s">
        <v>28</v>
      </c>
      <c r="C2870">
        <v>9</v>
      </c>
      <c r="D2870" t="s">
        <v>31</v>
      </c>
      <c r="E2870" t="s">
        <v>39</v>
      </c>
      <c r="F2870" s="1">
        <v>42495</v>
      </c>
      <c r="G2870" s="1">
        <v>42496</v>
      </c>
      <c r="H2870" t="s">
        <v>21</v>
      </c>
      <c r="I2870">
        <v>1</v>
      </c>
      <c r="J2870" t="s">
        <v>109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23</v>
      </c>
      <c r="R2870">
        <v>0</v>
      </c>
    </row>
    <row r="2871" spans="1:18">
      <c r="A2871" s="4">
        <v>679777000000000</v>
      </c>
      <c r="B2871" t="s">
        <v>28</v>
      </c>
      <c r="C2871">
        <v>27</v>
      </c>
      <c r="D2871" t="s">
        <v>37</v>
      </c>
      <c r="E2871" t="s">
        <v>72</v>
      </c>
      <c r="F2871" s="1">
        <v>42495</v>
      </c>
      <c r="G2871" s="1">
        <v>42495</v>
      </c>
      <c r="H2871" t="s">
        <v>33</v>
      </c>
      <c r="I2871">
        <v>0</v>
      </c>
      <c r="J2871" t="s">
        <v>111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26</v>
      </c>
      <c r="R2871">
        <v>1</v>
      </c>
    </row>
    <row r="2872" spans="1:18">
      <c r="A2872" s="4">
        <v>832785000000000</v>
      </c>
      <c r="B2872" t="s">
        <v>28</v>
      </c>
      <c r="C2872">
        <v>1</v>
      </c>
      <c r="D2872" t="s">
        <v>31</v>
      </c>
      <c r="E2872" t="s">
        <v>94</v>
      </c>
      <c r="F2872" s="1">
        <v>42495</v>
      </c>
      <c r="G2872" s="1">
        <v>42495</v>
      </c>
      <c r="H2872" t="s">
        <v>33</v>
      </c>
      <c r="I2872">
        <v>0</v>
      </c>
      <c r="J2872" t="s">
        <v>111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23</v>
      </c>
      <c r="R2872">
        <v>0</v>
      </c>
    </row>
    <row r="2873" spans="1:18">
      <c r="A2873" s="4">
        <v>328718000000000</v>
      </c>
      <c r="B2873" t="s">
        <v>28</v>
      </c>
      <c r="C2873">
        <v>84</v>
      </c>
      <c r="D2873" t="s">
        <v>19</v>
      </c>
      <c r="E2873" t="s">
        <v>40</v>
      </c>
      <c r="F2873" s="1">
        <v>42495</v>
      </c>
      <c r="G2873" s="1">
        <v>42499</v>
      </c>
      <c r="H2873" t="s">
        <v>30</v>
      </c>
      <c r="I2873">
        <v>4</v>
      </c>
      <c r="J2873" t="s">
        <v>107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23</v>
      </c>
      <c r="R2873">
        <v>0</v>
      </c>
    </row>
    <row r="2874" spans="1:18">
      <c r="A2874" s="4">
        <v>21267515595</v>
      </c>
      <c r="B2874" t="s">
        <v>28</v>
      </c>
      <c r="C2874">
        <v>59</v>
      </c>
      <c r="D2874" t="s">
        <v>35</v>
      </c>
      <c r="E2874" t="s">
        <v>63</v>
      </c>
      <c r="F2874" s="1">
        <v>42495</v>
      </c>
      <c r="G2874" s="1">
        <v>42496</v>
      </c>
      <c r="H2874" t="s">
        <v>21</v>
      </c>
      <c r="I2874">
        <v>1</v>
      </c>
      <c r="J2874" t="s">
        <v>109</v>
      </c>
      <c r="K2874">
        <v>0</v>
      </c>
      <c r="L2874">
        <v>1</v>
      </c>
      <c r="M2874">
        <v>1</v>
      </c>
      <c r="N2874">
        <v>0</v>
      </c>
      <c r="O2874">
        <v>0</v>
      </c>
      <c r="P2874">
        <v>0</v>
      </c>
      <c r="Q2874" t="s">
        <v>23</v>
      </c>
      <c r="R2874">
        <v>0</v>
      </c>
    </row>
    <row r="2875" spans="1:18">
      <c r="A2875" s="4">
        <v>27379100000000</v>
      </c>
      <c r="B2875" t="s">
        <v>28</v>
      </c>
      <c r="C2875">
        <v>5</v>
      </c>
      <c r="D2875" t="s">
        <v>31</v>
      </c>
      <c r="E2875" t="s">
        <v>38</v>
      </c>
      <c r="F2875" s="1">
        <v>42495</v>
      </c>
      <c r="G2875" s="1">
        <v>42495</v>
      </c>
      <c r="H2875" t="s">
        <v>33</v>
      </c>
      <c r="I2875">
        <v>0</v>
      </c>
      <c r="J2875" t="s">
        <v>111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23</v>
      </c>
      <c r="R2875">
        <v>0</v>
      </c>
    </row>
    <row r="2876" spans="1:18">
      <c r="A2876" s="4">
        <v>412419000000000</v>
      </c>
      <c r="B2876" t="s">
        <v>18</v>
      </c>
      <c r="C2876">
        <v>23</v>
      </c>
      <c r="D2876" t="s">
        <v>37</v>
      </c>
      <c r="E2876" t="s">
        <v>83</v>
      </c>
      <c r="F2876" s="1">
        <v>42495</v>
      </c>
      <c r="G2876" s="1">
        <v>42495</v>
      </c>
      <c r="H2876" t="s">
        <v>33</v>
      </c>
      <c r="I2876">
        <v>0</v>
      </c>
      <c r="J2876" t="s">
        <v>111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23</v>
      </c>
      <c r="R2876">
        <v>0</v>
      </c>
    </row>
    <row r="2877" spans="1:18">
      <c r="A2877" s="4">
        <v>6181140000000</v>
      </c>
      <c r="B2877" t="s">
        <v>18</v>
      </c>
      <c r="C2877">
        <v>44</v>
      </c>
      <c r="D2877" t="s">
        <v>27</v>
      </c>
      <c r="E2877" t="s">
        <v>56</v>
      </c>
      <c r="F2877" s="1">
        <v>42495</v>
      </c>
      <c r="G2877" s="1">
        <v>42501</v>
      </c>
      <c r="H2877" t="s">
        <v>25</v>
      </c>
      <c r="I2877">
        <v>6</v>
      </c>
      <c r="J2877" t="s">
        <v>107</v>
      </c>
      <c r="K2877">
        <v>0</v>
      </c>
      <c r="L2877">
        <v>1</v>
      </c>
      <c r="M2877">
        <v>1</v>
      </c>
      <c r="N2877">
        <v>0</v>
      </c>
      <c r="O2877">
        <v>0</v>
      </c>
      <c r="P2877">
        <v>1</v>
      </c>
      <c r="Q2877" t="s">
        <v>23</v>
      </c>
      <c r="R2877">
        <v>0</v>
      </c>
    </row>
    <row r="2878" spans="1:18">
      <c r="A2878" s="4">
        <v>869173000000000</v>
      </c>
      <c r="B2878" t="s">
        <v>18</v>
      </c>
      <c r="C2878">
        <v>16</v>
      </c>
      <c r="D2878" t="s">
        <v>60</v>
      </c>
      <c r="E2878" t="s">
        <v>44</v>
      </c>
      <c r="F2878" s="1">
        <v>42495</v>
      </c>
      <c r="G2878" s="1">
        <v>42499</v>
      </c>
      <c r="H2878" t="s">
        <v>30</v>
      </c>
      <c r="I2878">
        <v>4</v>
      </c>
      <c r="J2878" t="s">
        <v>107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23</v>
      </c>
      <c r="R2878">
        <v>0</v>
      </c>
    </row>
    <row r="2879" spans="1:18">
      <c r="A2879" s="4">
        <v>235128000000</v>
      </c>
      <c r="B2879" t="s">
        <v>18</v>
      </c>
      <c r="C2879">
        <v>63</v>
      </c>
      <c r="D2879" t="s">
        <v>35</v>
      </c>
      <c r="E2879" t="s">
        <v>29</v>
      </c>
      <c r="F2879" s="1">
        <v>42495</v>
      </c>
      <c r="G2879" s="1">
        <v>42496</v>
      </c>
      <c r="H2879" t="s">
        <v>21</v>
      </c>
      <c r="I2879">
        <v>1</v>
      </c>
      <c r="J2879" t="s">
        <v>109</v>
      </c>
      <c r="K2879">
        <v>0</v>
      </c>
      <c r="L2879">
        <v>1</v>
      </c>
      <c r="M2879">
        <v>0</v>
      </c>
      <c r="N2879">
        <v>0</v>
      </c>
      <c r="O2879">
        <v>0</v>
      </c>
      <c r="P2879">
        <v>0</v>
      </c>
      <c r="Q2879" t="s">
        <v>23</v>
      </c>
      <c r="R2879">
        <v>0</v>
      </c>
    </row>
    <row r="2880" spans="1:18">
      <c r="A2880" s="4">
        <v>75461600000000</v>
      </c>
      <c r="B2880" t="s">
        <v>18</v>
      </c>
      <c r="C2880">
        <v>0</v>
      </c>
      <c r="D2880" t="s">
        <v>31</v>
      </c>
      <c r="E2880" t="s">
        <v>76</v>
      </c>
      <c r="F2880" s="1">
        <v>42495</v>
      </c>
      <c r="G2880" s="1">
        <v>42528</v>
      </c>
      <c r="H2880" t="s">
        <v>41</v>
      </c>
      <c r="I2880">
        <v>33</v>
      </c>
      <c r="J2880" t="s">
        <v>22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1</v>
      </c>
      <c r="Q2880" t="s">
        <v>23</v>
      </c>
      <c r="R2880">
        <v>0</v>
      </c>
    </row>
    <row r="2881" spans="1:18">
      <c r="A2881" s="4">
        <v>55572100000000</v>
      </c>
      <c r="B2881" t="s">
        <v>28</v>
      </c>
      <c r="C2881">
        <v>60</v>
      </c>
      <c r="D2881" t="s">
        <v>35</v>
      </c>
      <c r="E2881" t="s">
        <v>48</v>
      </c>
      <c r="F2881" s="1">
        <v>42495</v>
      </c>
      <c r="G2881" s="1">
        <v>42507</v>
      </c>
      <c r="H2881" t="s">
        <v>41</v>
      </c>
      <c r="I2881">
        <v>12</v>
      </c>
      <c r="J2881" t="s">
        <v>92</v>
      </c>
      <c r="K2881">
        <v>0</v>
      </c>
      <c r="L2881">
        <v>1</v>
      </c>
      <c r="M2881">
        <v>1</v>
      </c>
      <c r="N2881">
        <v>0</v>
      </c>
      <c r="O2881">
        <v>0</v>
      </c>
      <c r="P2881">
        <v>0</v>
      </c>
      <c r="Q2881" t="s">
        <v>23</v>
      </c>
      <c r="R2881">
        <v>0</v>
      </c>
    </row>
    <row r="2882" spans="1:18">
      <c r="A2882" s="4">
        <v>118919000000000</v>
      </c>
      <c r="B2882" t="s">
        <v>18</v>
      </c>
      <c r="C2882">
        <v>74</v>
      </c>
      <c r="D2882" t="s">
        <v>19</v>
      </c>
      <c r="E2882" t="s">
        <v>75</v>
      </c>
      <c r="F2882" s="1">
        <v>42495</v>
      </c>
      <c r="G2882" s="1">
        <v>42495</v>
      </c>
      <c r="H2882" t="s">
        <v>33</v>
      </c>
      <c r="I2882">
        <v>0</v>
      </c>
      <c r="J2882" t="s">
        <v>111</v>
      </c>
      <c r="K2882">
        <v>0</v>
      </c>
      <c r="L2882">
        <v>1</v>
      </c>
      <c r="M2882">
        <v>0</v>
      </c>
      <c r="N2882">
        <v>0</v>
      </c>
      <c r="O2882">
        <v>0</v>
      </c>
      <c r="P2882">
        <v>0</v>
      </c>
      <c r="Q2882" t="s">
        <v>23</v>
      </c>
      <c r="R2882">
        <v>0</v>
      </c>
    </row>
    <row r="2883" spans="1:18">
      <c r="A2883" s="4">
        <v>493426000000000</v>
      </c>
      <c r="B2883" t="s">
        <v>18</v>
      </c>
      <c r="C2883">
        <v>48</v>
      </c>
      <c r="D2883" t="s">
        <v>27</v>
      </c>
      <c r="E2883" t="s">
        <v>74</v>
      </c>
      <c r="F2883" s="1">
        <v>42495</v>
      </c>
      <c r="G2883" s="1">
        <v>42508</v>
      </c>
      <c r="H2883" t="s">
        <v>25</v>
      </c>
      <c r="I2883">
        <v>13</v>
      </c>
      <c r="J2883" t="s">
        <v>92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23</v>
      </c>
      <c r="R2883">
        <v>0</v>
      </c>
    </row>
    <row r="2884" spans="1:18">
      <c r="A2884" s="4">
        <v>892695000000000</v>
      </c>
      <c r="B2884" t="s">
        <v>28</v>
      </c>
      <c r="C2884">
        <v>46</v>
      </c>
      <c r="D2884" t="s">
        <v>27</v>
      </c>
      <c r="E2884" t="s">
        <v>72</v>
      </c>
      <c r="F2884" s="1">
        <v>42495</v>
      </c>
      <c r="G2884" s="1">
        <v>42495</v>
      </c>
      <c r="H2884" t="s">
        <v>33</v>
      </c>
      <c r="I2884">
        <v>0</v>
      </c>
      <c r="J2884" t="s">
        <v>111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23</v>
      </c>
      <c r="R2884">
        <v>0</v>
      </c>
    </row>
    <row r="2885" spans="1:18">
      <c r="A2885" s="4">
        <v>76363200000000</v>
      </c>
      <c r="B2885" t="s">
        <v>18</v>
      </c>
      <c r="C2885">
        <v>35</v>
      </c>
      <c r="D2885" t="s">
        <v>37</v>
      </c>
      <c r="E2885" t="s">
        <v>72</v>
      </c>
      <c r="F2885" s="1">
        <v>42495</v>
      </c>
      <c r="G2885" s="1">
        <v>42522</v>
      </c>
      <c r="H2885" t="s">
        <v>25</v>
      </c>
      <c r="I2885">
        <v>27</v>
      </c>
      <c r="J2885" t="s">
        <v>77</v>
      </c>
      <c r="K2885">
        <v>1</v>
      </c>
      <c r="L2885">
        <v>0</v>
      </c>
      <c r="M2885">
        <v>0</v>
      </c>
      <c r="N2885">
        <v>0</v>
      </c>
      <c r="O2885">
        <v>0</v>
      </c>
      <c r="P2885">
        <v>1</v>
      </c>
      <c r="Q2885" t="s">
        <v>26</v>
      </c>
      <c r="R2885">
        <v>1</v>
      </c>
    </row>
    <row r="2886" spans="1:18">
      <c r="A2886" s="4">
        <v>448247000000000</v>
      </c>
      <c r="B2886" t="s">
        <v>18</v>
      </c>
      <c r="C2886">
        <v>49</v>
      </c>
      <c r="D2886" t="s">
        <v>27</v>
      </c>
      <c r="E2886" t="s">
        <v>45</v>
      </c>
      <c r="F2886" s="1">
        <v>42495</v>
      </c>
      <c r="G2886" s="1">
        <v>42495</v>
      </c>
      <c r="H2886" t="s">
        <v>33</v>
      </c>
      <c r="I2886">
        <v>0</v>
      </c>
      <c r="J2886" t="s">
        <v>111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23</v>
      </c>
      <c r="R2886">
        <v>0</v>
      </c>
    </row>
    <row r="2887" spans="1:18">
      <c r="A2887" s="4">
        <v>125957000000000</v>
      </c>
      <c r="B2887" t="s">
        <v>18</v>
      </c>
      <c r="C2887">
        <v>11</v>
      </c>
      <c r="D2887" t="s">
        <v>31</v>
      </c>
      <c r="E2887" t="s">
        <v>32</v>
      </c>
      <c r="F2887" s="1">
        <v>42495</v>
      </c>
      <c r="G2887" s="1">
        <v>42520</v>
      </c>
      <c r="H2887" t="s">
        <v>30</v>
      </c>
      <c r="I2887">
        <v>25</v>
      </c>
      <c r="J2887" t="s">
        <v>77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1</v>
      </c>
      <c r="Q2887" t="s">
        <v>23</v>
      </c>
      <c r="R2887">
        <v>0</v>
      </c>
    </row>
    <row r="2888" spans="1:18">
      <c r="A2888" s="4">
        <v>98542600000000</v>
      </c>
      <c r="B2888" t="s">
        <v>28</v>
      </c>
      <c r="C2888">
        <v>52</v>
      </c>
      <c r="D2888" t="s">
        <v>35</v>
      </c>
      <c r="E2888" t="s">
        <v>96</v>
      </c>
      <c r="F2888" s="1">
        <v>42495</v>
      </c>
      <c r="G2888" s="1">
        <v>42501</v>
      </c>
      <c r="H2888" t="s">
        <v>25</v>
      </c>
      <c r="I2888">
        <v>6</v>
      </c>
      <c r="J2888" t="s">
        <v>107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1</v>
      </c>
      <c r="Q2888" t="s">
        <v>23</v>
      </c>
      <c r="R2888">
        <v>0</v>
      </c>
    </row>
    <row r="2889" spans="1:18">
      <c r="A2889" s="4">
        <v>434248000000000</v>
      </c>
      <c r="B2889" t="s">
        <v>18</v>
      </c>
      <c r="C2889">
        <v>55</v>
      </c>
      <c r="D2889" t="s">
        <v>35</v>
      </c>
      <c r="E2889" t="s">
        <v>72</v>
      </c>
      <c r="F2889" s="1">
        <v>42495</v>
      </c>
      <c r="G2889" s="1">
        <v>42499</v>
      </c>
      <c r="H2889" t="s">
        <v>30</v>
      </c>
      <c r="I2889">
        <v>4</v>
      </c>
      <c r="J2889" t="s">
        <v>107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23</v>
      </c>
      <c r="R2889">
        <v>0</v>
      </c>
    </row>
    <row r="2890" spans="1:18">
      <c r="A2890" s="4">
        <v>5744200000000</v>
      </c>
      <c r="B2890" t="s">
        <v>18</v>
      </c>
      <c r="C2890">
        <v>32</v>
      </c>
      <c r="D2890" t="s">
        <v>37</v>
      </c>
      <c r="E2890" t="s">
        <v>32</v>
      </c>
      <c r="F2890" s="1">
        <v>42495</v>
      </c>
      <c r="G2890" s="1">
        <v>42495</v>
      </c>
      <c r="H2890" t="s">
        <v>33</v>
      </c>
      <c r="I2890">
        <v>0</v>
      </c>
      <c r="J2890" t="s">
        <v>111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23</v>
      </c>
      <c r="R2890">
        <v>0</v>
      </c>
    </row>
    <row r="2891" spans="1:18">
      <c r="A2891" s="4">
        <v>248817000000</v>
      </c>
      <c r="B2891" t="s">
        <v>28</v>
      </c>
      <c r="C2891">
        <v>7</v>
      </c>
      <c r="D2891" t="s">
        <v>31</v>
      </c>
      <c r="E2891" t="s">
        <v>38</v>
      </c>
      <c r="F2891" s="1">
        <v>42495</v>
      </c>
      <c r="G2891" s="1">
        <v>42510</v>
      </c>
      <c r="H2891" t="s">
        <v>21</v>
      </c>
      <c r="I2891">
        <v>15</v>
      </c>
      <c r="J2891" t="s">
        <v>77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26</v>
      </c>
      <c r="R2891">
        <v>1</v>
      </c>
    </row>
    <row r="2892" spans="1:18">
      <c r="A2892" s="4">
        <v>987318000000</v>
      </c>
      <c r="B2892" t="s">
        <v>18</v>
      </c>
      <c r="C2892">
        <v>47</v>
      </c>
      <c r="D2892" t="s">
        <v>27</v>
      </c>
      <c r="E2892" t="s">
        <v>61</v>
      </c>
      <c r="F2892" s="1">
        <v>42495</v>
      </c>
      <c r="G2892" s="1">
        <v>42495</v>
      </c>
      <c r="H2892" t="s">
        <v>33</v>
      </c>
      <c r="I2892">
        <v>0</v>
      </c>
      <c r="J2892" t="s">
        <v>111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23</v>
      </c>
      <c r="R2892">
        <v>0</v>
      </c>
    </row>
    <row r="2893" spans="1:18">
      <c r="A2893" s="4">
        <v>64351512719</v>
      </c>
      <c r="B2893" t="s">
        <v>18</v>
      </c>
      <c r="C2893">
        <v>86</v>
      </c>
      <c r="D2893" t="s">
        <v>19</v>
      </c>
      <c r="E2893" t="s">
        <v>40</v>
      </c>
      <c r="F2893" s="1">
        <v>42495</v>
      </c>
      <c r="G2893" s="1">
        <v>42507</v>
      </c>
      <c r="H2893" t="s">
        <v>41</v>
      </c>
      <c r="I2893">
        <v>12</v>
      </c>
      <c r="J2893" t="s">
        <v>92</v>
      </c>
      <c r="K2893">
        <v>0</v>
      </c>
      <c r="L2893">
        <v>0</v>
      </c>
      <c r="M2893">
        <v>1</v>
      </c>
      <c r="N2893">
        <v>0</v>
      </c>
      <c r="O2893">
        <v>0</v>
      </c>
      <c r="P2893">
        <v>0</v>
      </c>
      <c r="Q2893" t="s">
        <v>23</v>
      </c>
      <c r="R2893">
        <v>0</v>
      </c>
    </row>
    <row r="2894" spans="1:18">
      <c r="A2894" s="4">
        <v>9955790000000</v>
      </c>
      <c r="B2894" t="s">
        <v>28</v>
      </c>
      <c r="C2894">
        <v>59</v>
      </c>
      <c r="D2894" t="s">
        <v>35</v>
      </c>
      <c r="E2894" t="s">
        <v>34</v>
      </c>
      <c r="F2894" s="1">
        <v>42495</v>
      </c>
      <c r="G2894" s="1">
        <v>42499</v>
      </c>
      <c r="H2894" t="s">
        <v>30</v>
      </c>
      <c r="I2894">
        <v>4</v>
      </c>
      <c r="J2894" t="s">
        <v>107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23</v>
      </c>
      <c r="R2894">
        <v>0</v>
      </c>
    </row>
    <row r="2895" spans="1:18">
      <c r="A2895" s="4">
        <v>245733000000000</v>
      </c>
      <c r="B2895" t="s">
        <v>18</v>
      </c>
      <c r="C2895">
        <v>10</v>
      </c>
      <c r="D2895" t="s">
        <v>31</v>
      </c>
      <c r="E2895" t="s">
        <v>96</v>
      </c>
      <c r="F2895" s="1">
        <v>42495</v>
      </c>
      <c r="G2895" s="1">
        <v>42495</v>
      </c>
      <c r="H2895" t="s">
        <v>33</v>
      </c>
      <c r="I2895">
        <v>0</v>
      </c>
      <c r="J2895" t="s">
        <v>111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23</v>
      </c>
      <c r="R2895">
        <v>0</v>
      </c>
    </row>
    <row r="2896" spans="1:18">
      <c r="A2896" s="4">
        <v>7379990000000</v>
      </c>
      <c r="B2896" t="s">
        <v>28</v>
      </c>
      <c r="C2896">
        <v>24</v>
      </c>
      <c r="D2896" t="s">
        <v>37</v>
      </c>
      <c r="E2896" t="s">
        <v>50</v>
      </c>
      <c r="F2896" s="1">
        <v>42495</v>
      </c>
      <c r="G2896" s="1">
        <v>42495</v>
      </c>
      <c r="H2896" t="s">
        <v>33</v>
      </c>
      <c r="I2896">
        <v>0</v>
      </c>
      <c r="J2896" t="s">
        <v>111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23</v>
      </c>
      <c r="R2896">
        <v>0</v>
      </c>
    </row>
    <row r="2897" spans="1:18">
      <c r="A2897" s="4">
        <v>84581800000000</v>
      </c>
      <c r="B2897" t="s">
        <v>28</v>
      </c>
      <c r="C2897">
        <v>46</v>
      </c>
      <c r="D2897" t="s">
        <v>27</v>
      </c>
      <c r="E2897" t="s">
        <v>46</v>
      </c>
      <c r="F2897" s="1">
        <v>42495</v>
      </c>
      <c r="G2897" s="1">
        <v>42495</v>
      </c>
      <c r="H2897" t="s">
        <v>33</v>
      </c>
      <c r="I2897">
        <v>0</v>
      </c>
      <c r="J2897" t="s">
        <v>111</v>
      </c>
      <c r="K2897">
        <v>0</v>
      </c>
      <c r="L2897">
        <v>0</v>
      </c>
      <c r="M2897">
        <v>1</v>
      </c>
      <c r="N2897">
        <v>1</v>
      </c>
      <c r="O2897">
        <v>0</v>
      </c>
      <c r="P2897">
        <v>0</v>
      </c>
      <c r="Q2897" t="s">
        <v>23</v>
      </c>
      <c r="R2897">
        <v>0</v>
      </c>
    </row>
    <row r="2898" spans="1:18">
      <c r="A2898" s="4">
        <v>52632900000000</v>
      </c>
      <c r="B2898" t="s">
        <v>28</v>
      </c>
      <c r="C2898">
        <v>35</v>
      </c>
      <c r="D2898" t="s">
        <v>37</v>
      </c>
      <c r="E2898" t="s">
        <v>43</v>
      </c>
      <c r="F2898" s="1">
        <v>42495</v>
      </c>
      <c r="G2898" s="1">
        <v>42499</v>
      </c>
      <c r="H2898" t="s">
        <v>30</v>
      </c>
      <c r="I2898">
        <v>4</v>
      </c>
      <c r="J2898" t="s">
        <v>107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23</v>
      </c>
      <c r="R2898">
        <v>0</v>
      </c>
    </row>
    <row r="2899" spans="1:18">
      <c r="A2899" s="4">
        <v>466892000000</v>
      </c>
      <c r="B2899" t="s">
        <v>18</v>
      </c>
      <c r="C2899">
        <v>9</v>
      </c>
      <c r="D2899" t="s">
        <v>31</v>
      </c>
      <c r="E2899" t="s">
        <v>87</v>
      </c>
      <c r="F2899" s="1">
        <v>42495</v>
      </c>
      <c r="G2899" s="1">
        <v>42499</v>
      </c>
      <c r="H2899" t="s">
        <v>30</v>
      </c>
      <c r="I2899">
        <v>4</v>
      </c>
      <c r="J2899" t="s">
        <v>107</v>
      </c>
      <c r="K2899">
        <v>1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23</v>
      </c>
      <c r="R2899">
        <v>0</v>
      </c>
    </row>
    <row r="2900" spans="1:18">
      <c r="A2900" s="4">
        <v>332470000000</v>
      </c>
      <c r="B2900" t="s">
        <v>28</v>
      </c>
      <c r="C2900">
        <v>21</v>
      </c>
      <c r="D2900" t="s">
        <v>37</v>
      </c>
      <c r="E2900" t="s">
        <v>72</v>
      </c>
      <c r="F2900" s="1">
        <v>42495</v>
      </c>
      <c r="G2900" s="1">
        <v>42502</v>
      </c>
      <c r="H2900" t="s">
        <v>33</v>
      </c>
      <c r="I2900">
        <v>7</v>
      </c>
      <c r="J2900" t="s">
        <v>107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1</v>
      </c>
      <c r="Q2900" t="s">
        <v>23</v>
      </c>
      <c r="R2900">
        <v>0</v>
      </c>
    </row>
    <row r="2901" spans="1:18">
      <c r="A2901" s="4">
        <v>83718500000000</v>
      </c>
      <c r="B2901" t="s">
        <v>28</v>
      </c>
      <c r="C2901">
        <v>19</v>
      </c>
      <c r="D2901" t="s">
        <v>37</v>
      </c>
      <c r="E2901" t="s">
        <v>61</v>
      </c>
      <c r="F2901" s="1">
        <v>42495</v>
      </c>
      <c r="G2901" s="1">
        <v>42495</v>
      </c>
      <c r="H2901" t="s">
        <v>33</v>
      </c>
      <c r="I2901">
        <v>0</v>
      </c>
      <c r="J2901" t="s">
        <v>111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23</v>
      </c>
      <c r="R2901">
        <v>0</v>
      </c>
    </row>
    <row r="2902" spans="1:18">
      <c r="A2902" s="4">
        <v>87887900000000</v>
      </c>
      <c r="B2902" t="s">
        <v>18</v>
      </c>
      <c r="C2902">
        <v>59</v>
      </c>
      <c r="D2902" t="s">
        <v>35</v>
      </c>
      <c r="E2902" t="s">
        <v>32</v>
      </c>
      <c r="F2902" s="1">
        <v>42495</v>
      </c>
      <c r="G2902" s="1">
        <v>42529</v>
      </c>
      <c r="H2902" t="s">
        <v>25</v>
      </c>
      <c r="I2902">
        <v>34</v>
      </c>
      <c r="J2902" t="s">
        <v>22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23</v>
      </c>
      <c r="R2902">
        <v>0</v>
      </c>
    </row>
    <row r="2903" spans="1:18">
      <c r="A2903" s="4">
        <v>8129110000000</v>
      </c>
      <c r="B2903" t="s">
        <v>18</v>
      </c>
      <c r="C2903">
        <v>8</v>
      </c>
      <c r="D2903" t="s">
        <v>31</v>
      </c>
      <c r="E2903" t="s">
        <v>50</v>
      </c>
      <c r="F2903" s="1">
        <v>42495</v>
      </c>
      <c r="G2903" s="1">
        <v>42495</v>
      </c>
      <c r="H2903" t="s">
        <v>33</v>
      </c>
      <c r="I2903">
        <v>0</v>
      </c>
      <c r="J2903" t="s">
        <v>111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23</v>
      </c>
      <c r="R2903">
        <v>0</v>
      </c>
    </row>
    <row r="2904" spans="1:18">
      <c r="A2904" s="4">
        <v>51251300000000</v>
      </c>
      <c r="B2904" t="s">
        <v>18</v>
      </c>
      <c r="C2904">
        <v>34</v>
      </c>
      <c r="D2904" t="s">
        <v>37</v>
      </c>
      <c r="E2904" t="s">
        <v>87</v>
      </c>
      <c r="F2904" s="1">
        <v>42495</v>
      </c>
      <c r="G2904" s="1">
        <v>42499</v>
      </c>
      <c r="H2904" t="s">
        <v>30</v>
      </c>
      <c r="I2904">
        <v>4</v>
      </c>
      <c r="J2904" t="s">
        <v>107</v>
      </c>
      <c r="K2904">
        <v>1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26</v>
      </c>
      <c r="R2904">
        <v>1</v>
      </c>
    </row>
    <row r="2905" spans="1:18">
      <c r="A2905" s="4">
        <v>216736000000000</v>
      </c>
      <c r="B2905" t="s">
        <v>18</v>
      </c>
      <c r="C2905">
        <v>39</v>
      </c>
      <c r="D2905" t="s">
        <v>27</v>
      </c>
      <c r="E2905" t="s">
        <v>34</v>
      </c>
      <c r="F2905" s="1">
        <v>42495</v>
      </c>
      <c r="G2905" s="1">
        <v>42502</v>
      </c>
      <c r="H2905" t="s">
        <v>33</v>
      </c>
      <c r="I2905">
        <v>7</v>
      </c>
      <c r="J2905" t="s">
        <v>107</v>
      </c>
      <c r="K2905">
        <v>1</v>
      </c>
      <c r="L2905">
        <v>0</v>
      </c>
      <c r="M2905">
        <v>0</v>
      </c>
      <c r="N2905">
        <v>0</v>
      </c>
      <c r="O2905">
        <v>0</v>
      </c>
      <c r="P2905">
        <v>1</v>
      </c>
      <c r="Q2905" t="s">
        <v>23</v>
      </c>
      <c r="R2905">
        <v>0</v>
      </c>
    </row>
    <row r="2906" spans="1:18">
      <c r="A2906" s="4">
        <v>664268000000000</v>
      </c>
      <c r="B2906" t="s">
        <v>18</v>
      </c>
      <c r="C2906">
        <v>61</v>
      </c>
      <c r="D2906" t="s">
        <v>35</v>
      </c>
      <c r="E2906" t="s">
        <v>32</v>
      </c>
      <c r="F2906" s="1">
        <v>42495</v>
      </c>
      <c r="G2906" s="1">
        <v>42499</v>
      </c>
      <c r="H2906" t="s">
        <v>30</v>
      </c>
      <c r="I2906">
        <v>4</v>
      </c>
      <c r="J2906" t="s">
        <v>107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23</v>
      </c>
      <c r="R2906">
        <v>0</v>
      </c>
    </row>
    <row r="2907" spans="1:18">
      <c r="A2907" s="4">
        <v>268497000000000</v>
      </c>
      <c r="B2907" t="s">
        <v>28</v>
      </c>
      <c r="C2907">
        <v>53</v>
      </c>
      <c r="D2907" t="s">
        <v>35</v>
      </c>
      <c r="E2907" t="s">
        <v>58</v>
      </c>
      <c r="F2907" s="1">
        <v>42495</v>
      </c>
      <c r="G2907" s="1">
        <v>42502</v>
      </c>
      <c r="H2907" t="s">
        <v>33</v>
      </c>
      <c r="I2907">
        <v>7</v>
      </c>
      <c r="J2907" t="s">
        <v>107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1</v>
      </c>
      <c r="Q2907" t="s">
        <v>23</v>
      </c>
      <c r="R2907">
        <v>0</v>
      </c>
    </row>
    <row r="2908" spans="1:18">
      <c r="A2908" s="4">
        <v>8168225487</v>
      </c>
      <c r="B2908" t="s">
        <v>18</v>
      </c>
      <c r="C2908">
        <v>73</v>
      </c>
      <c r="D2908" t="s">
        <v>19</v>
      </c>
      <c r="E2908" t="s">
        <v>66</v>
      </c>
      <c r="F2908" s="1">
        <v>42495</v>
      </c>
      <c r="G2908" s="1">
        <v>42495</v>
      </c>
      <c r="H2908" t="s">
        <v>33</v>
      </c>
      <c r="I2908">
        <v>0</v>
      </c>
      <c r="J2908" t="s">
        <v>111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23</v>
      </c>
      <c r="R2908">
        <v>0</v>
      </c>
    </row>
    <row r="2909" spans="1:18">
      <c r="A2909" s="4">
        <v>536837000000</v>
      </c>
      <c r="B2909" t="s">
        <v>28</v>
      </c>
      <c r="C2909">
        <v>4</v>
      </c>
      <c r="D2909" t="s">
        <v>31</v>
      </c>
      <c r="E2909" t="s">
        <v>67</v>
      </c>
      <c r="F2909" s="1">
        <v>42495</v>
      </c>
      <c r="G2909" s="1">
        <v>42495</v>
      </c>
      <c r="H2909" t="s">
        <v>33</v>
      </c>
      <c r="I2909">
        <v>0</v>
      </c>
      <c r="J2909" t="s">
        <v>111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23</v>
      </c>
      <c r="R2909">
        <v>0</v>
      </c>
    </row>
    <row r="2910" spans="1:18">
      <c r="A2910" s="4">
        <v>6685990000000</v>
      </c>
      <c r="B2910" t="s">
        <v>18</v>
      </c>
      <c r="C2910">
        <v>38</v>
      </c>
      <c r="D2910" t="s">
        <v>27</v>
      </c>
      <c r="E2910" t="s">
        <v>48</v>
      </c>
      <c r="F2910" s="1">
        <v>42495</v>
      </c>
      <c r="G2910" s="1">
        <v>42499</v>
      </c>
      <c r="H2910" t="s">
        <v>30</v>
      </c>
      <c r="I2910">
        <v>4</v>
      </c>
      <c r="J2910" t="s">
        <v>107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23</v>
      </c>
      <c r="R2910">
        <v>0</v>
      </c>
    </row>
    <row r="2911" spans="1:18">
      <c r="A2911" s="4">
        <v>14225426642</v>
      </c>
      <c r="B2911" t="s">
        <v>18</v>
      </c>
      <c r="C2911">
        <v>33</v>
      </c>
      <c r="D2911" t="s">
        <v>37</v>
      </c>
      <c r="E2911" t="s">
        <v>59</v>
      </c>
      <c r="F2911" s="1">
        <v>42495</v>
      </c>
      <c r="G2911" s="1">
        <v>42527</v>
      </c>
      <c r="H2911" t="s">
        <v>30</v>
      </c>
      <c r="I2911">
        <v>32</v>
      </c>
      <c r="J2911" t="s">
        <v>22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23</v>
      </c>
      <c r="R2911">
        <v>0</v>
      </c>
    </row>
    <row r="2912" spans="1:18">
      <c r="A2912" s="4">
        <v>465820000000000</v>
      </c>
      <c r="B2912" t="s">
        <v>28</v>
      </c>
      <c r="C2912">
        <v>10</v>
      </c>
      <c r="D2912" t="s">
        <v>31</v>
      </c>
      <c r="E2912" t="s">
        <v>57</v>
      </c>
      <c r="F2912" s="1">
        <v>42495</v>
      </c>
      <c r="G2912" s="1">
        <v>42501</v>
      </c>
      <c r="H2912" t="s">
        <v>25</v>
      </c>
      <c r="I2912">
        <v>6</v>
      </c>
      <c r="J2912" t="s">
        <v>107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1</v>
      </c>
      <c r="Q2912" t="s">
        <v>26</v>
      </c>
      <c r="R2912">
        <v>1</v>
      </c>
    </row>
    <row r="2913" spans="1:18">
      <c r="A2913" s="4">
        <v>436932000000</v>
      </c>
      <c r="B2913" t="s">
        <v>18</v>
      </c>
      <c r="C2913">
        <v>28</v>
      </c>
      <c r="D2913" t="s">
        <v>37</v>
      </c>
      <c r="E2913" t="s">
        <v>32</v>
      </c>
      <c r="F2913" s="1">
        <v>42495</v>
      </c>
      <c r="G2913" s="1">
        <v>42499</v>
      </c>
      <c r="H2913" t="s">
        <v>30</v>
      </c>
      <c r="I2913">
        <v>4</v>
      </c>
      <c r="J2913" t="s">
        <v>107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23</v>
      </c>
      <c r="R2913">
        <v>0</v>
      </c>
    </row>
    <row r="2914" spans="1:18">
      <c r="A2914" s="4">
        <v>93284300000000</v>
      </c>
      <c r="B2914" t="s">
        <v>28</v>
      </c>
      <c r="C2914">
        <v>40</v>
      </c>
      <c r="D2914" t="s">
        <v>27</v>
      </c>
      <c r="E2914" t="s">
        <v>61</v>
      </c>
      <c r="F2914" s="1">
        <v>42495</v>
      </c>
      <c r="G2914" s="1">
        <v>42495</v>
      </c>
      <c r="H2914" t="s">
        <v>33</v>
      </c>
      <c r="I2914">
        <v>0</v>
      </c>
      <c r="J2914" t="s">
        <v>111</v>
      </c>
      <c r="K2914">
        <v>0</v>
      </c>
      <c r="L2914">
        <v>0</v>
      </c>
      <c r="M2914">
        <v>0</v>
      </c>
      <c r="N2914">
        <v>1</v>
      </c>
      <c r="O2914">
        <v>0</v>
      </c>
      <c r="P2914">
        <v>0</v>
      </c>
      <c r="Q2914" t="s">
        <v>23</v>
      </c>
      <c r="R2914">
        <v>0</v>
      </c>
    </row>
    <row r="2915" spans="1:18">
      <c r="A2915" s="4">
        <v>9269720000000</v>
      </c>
      <c r="B2915" t="s">
        <v>18</v>
      </c>
      <c r="C2915">
        <v>64</v>
      </c>
      <c r="D2915" t="s">
        <v>35</v>
      </c>
      <c r="E2915" t="s">
        <v>39</v>
      </c>
      <c r="F2915" s="1">
        <v>42495</v>
      </c>
      <c r="G2915" s="1">
        <v>42495</v>
      </c>
      <c r="H2915" t="s">
        <v>33</v>
      </c>
      <c r="I2915">
        <v>0</v>
      </c>
      <c r="J2915" t="s">
        <v>111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23</v>
      </c>
      <c r="R2915">
        <v>0</v>
      </c>
    </row>
    <row r="2916" spans="1:18">
      <c r="A2916" s="4">
        <v>77675800000000</v>
      </c>
      <c r="B2916" t="s">
        <v>18</v>
      </c>
      <c r="C2916">
        <v>12</v>
      </c>
      <c r="D2916" t="s">
        <v>31</v>
      </c>
      <c r="E2916" t="s">
        <v>64</v>
      </c>
      <c r="F2916" s="1">
        <v>42495</v>
      </c>
      <c r="G2916" s="1">
        <v>42500</v>
      </c>
      <c r="H2916" t="s">
        <v>41</v>
      </c>
      <c r="I2916">
        <v>5</v>
      </c>
      <c r="J2916" t="s">
        <v>107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23</v>
      </c>
      <c r="R2916">
        <v>0</v>
      </c>
    </row>
    <row r="2917" spans="1:18">
      <c r="A2917" s="4">
        <v>62656200000000</v>
      </c>
      <c r="B2917" t="s">
        <v>18</v>
      </c>
      <c r="C2917">
        <v>54</v>
      </c>
      <c r="D2917" t="s">
        <v>35</v>
      </c>
      <c r="E2917" t="s">
        <v>67</v>
      </c>
      <c r="F2917" s="1">
        <v>42495</v>
      </c>
      <c r="G2917" s="1">
        <v>42520</v>
      </c>
      <c r="H2917" t="s">
        <v>30</v>
      </c>
      <c r="I2917">
        <v>25</v>
      </c>
      <c r="J2917" t="s">
        <v>77</v>
      </c>
      <c r="K2917">
        <v>1</v>
      </c>
      <c r="L2917">
        <v>0</v>
      </c>
      <c r="M2917">
        <v>0</v>
      </c>
      <c r="N2917">
        <v>0</v>
      </c>
      <c r="O2917">
        <v>0</v>
      </c>
      <c r="P2917">
        <v>1</v>
      </c>
      <c r="Q2917" t="s">
        <v>23</v>
      </c>
      <c r="R2917">
        <v>0</v>
      </c>
    </row>
    <row r="2918" spans="1:18">
      <c r="A2918" s="4">
        <v>354280000000</v>
      </c>
      <c r="B2918" t="s">
        <v>28</v>
      </c>
      <c r="C2918">
        <v>15</v>
      </c>
      <c r="D2918" t="s">
        <v>60</v>
      </c>
      <c r="E2918" t="s">
        <v>68</v>
      </c>
      <c r="F2918" s="1">
        <v>42495</v>
      </c>
      <c r="G2918" s="1">
        <v>42495</v>
      </c>
      <c r="H2918" t="s">
        <v>33</v>
      </c>
      <c r="I2918">
        <v>0</v>
      </c>
      <c r="J2918" t="s">
        <v>111</v>
      </c>
      <c r="K2918">
        <v>1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23</v>
      </c>
      <c r="R2918">
        <v>0</v>
      </c>
    </row>
    <row r="2919" spans="1:18">
      <c r="A2919" s="4">
        <v>71788100000000</v>
      </c>
      <c r="B2919" t="s">
        <v>28</v>
      </c>
      <c r="C2919">
        <v>17</v>
      </c>
      <c r="D2919" t="s">
        <v>60</v>
      </c>
      <c r="E2919" t="s">
        <v>32</v>
      </c>
      <c r="F2919" s="1">
        <v>42495</v>
      </c>
      <c r="G2919" s="1">
        <v>42495</v>
      </c>
      <c r="H2919" t="s">
        <v>33</v>
      </c>
      <c r="I2919">
        <v>0</v>
      </c>
      <c r="J2919" t="s">
        <v>111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26</v>
      </c>
      <c r="R2919">
        <v>1</v>
      </c>
    </row>
    <row r="2920" spans="1:18">
      <c r="A2920" s="4">
        <v>7377890000000</v>
      </c>
      <c r="B2920" t="s">
        <v>18</v>
      </c>
      <c r="C2920">
        <v>26</v>
      </c>
      <c r="D2920" t="s">
        <v>37</v>
      </c>
      <c r="E2920" t="s">
        <v>71</v>
      </c>
      <c r="F2920" s="1">
        <v>42495</v>
      </c>
      <c r="G2920" s="1">
        <v>42502</v>
      </c>
      <c r="H2920" t="s">
        <v>33</v>
      </c>
      <c r="I2920">
        <v>7</v>
      </c>
      <c r="J2920" t="s">
        <v>107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1</v>
      </c>
      <c r="Q2920" t="s">
        <v>23</v>
      </c>
      <c r="R2920">
        <v>0</v>
      </c>
    </row>
    <row r="2921" spans="1:18">
      <c r="A2921" s="4">
        <v>7428890000000</v>
      </c>
      <c r="B2921" t="s">
        <v>18</v>
      </c>
      <c r="C2921">
        <v>21</v>
      </c>
      <c r="D2921" t="s">
        <v>37</v>
      </c>
      <c r="E2921" t="s">
        <v>32</v>
      </c>
      <c r="F2921" s="1">
        <v>42495</v>
      </c>
      <c r="G2921" s="1">
        <v>42502</v>
      </c>
      <c r="H2921" t="s">
        <v>33</v>
      </c>
      <c r="I2921">
        <v>7</v>
      </c>
      <c r="J2921" t="s">
        <v>107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1</v>
      </c>
      <c r="Q2921" t="s">
        <v>23</v>
      </c>
      <c r="R2921">
        <v>0</v>
      </c>
    </row>
    <row r="2922" spans="1:18">
      <c r="A2922" s="4">
        <v>5945170000000</v>
      </c>
      <c r="B2922" t="s">
        <v>18</v>
      </c>
      <c r="C2922">
        <v>56</v>
      </c>
      <c r="D2922" t="s">
        <v>35</v>
      </c>
      <c r="E2922" t="s">
        <v>29</v>
      </c>
      <c r="F2922" s="1">
        <v>42495</v>
      </c>
      <c r="G2922" s="1">
        <v>42495</v>
      </c>
      <c r="H2922" t="s">
        <v>33</v>
      </c>
      <c r="I2922">
        <v>0</v>
      </c>
      <c r="J2922" t="s">
        <v>111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23</v>
      </c>
      <c r="R2922">
        <v>0</v>
      </c>
    </row>
    <row r="2923" spans="1:18">
      <c r="A2923" s="4">
        <v>34766239641</v>
      </c>
      <c r="B2923" t="s">
        <v>28</v>
      </c>
      <c r="C2923">
        <v>5</v>
      </c>
      <c r="D2923" t="s">
        <v>31</v>
      </c>
      <c r="E2923" t="s">
        <v>65</v>
      </c>
      <c r="F2923" s="1">
        <v>42495</v>
      </c>
      <c r="G2923" s="1">
        <v>42502</v>
      </c>
      <c r="H2923" t="s">
        <v>33</v>
      </c>
      <c r="I2923">
        <v>7</v>
      </c>
      <c r="J2923" t="s">
        <v>107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1</v>
      </c>
      <c r="Q2923" t="s">
        <v>23</v>
      </c>
      <c r="R2923">
        <v>0</v>
      </c>
    </row>
    <row r="2924" spans="1:18">
      <c r="A2924" s="4">
        <v>2413350000000</v>
      </c>
      <c r="B2924" t="s">
        <v>18</v>
      </c>
      <c r="C2924">
        <v>25</v>
      </c>
      <c r="D2924" t="s">
        <v>37</v>
      </c>
      <c r="E2924" t="s">
        <v>47</v>
      </c>
      <c r="F2924" s="1">
        <v>42495</v>
      </c>
      <c r="G2924" s="1">
        <v>42520</v>
      </c>
      <c r="H2924" t="s">
        <v>30</v>
      </c>
      <c r="I2924">
        <v>25</v>
      </c>
      <c r="J2924" t="s">
        <v>77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1</v>
      </c>
      <c r="Q2924" t="s">
        <v>23</v>
      </c>
      <c r="R2924">
        <v>0</v>
      </c>
    </row>
    <row r="2925" spans="1:18">
      <c r="A2925" s="4">
        <v>29353600000000</v>
      </c>
      <c r="B2925" t="s">
        <v>28</v>
      </c>
      <c r="C2925">
        <v>59</v>
      </c>
      <c r="D2925" t="s">
        <v>35</v>
      </c>
      <c r="E2925" t="s">
        <v>59</v>
      </c>
      <c r="F2925" s="1">
        <v>42495</v>
      </c>
      <c r="G2925" s="1">
        <v>42503</v>
      </c>
      <c r="H2925" t="s">
        <v>21</v>
      </c>
      <c r="I2925">
        <v>8</v>
      </c>
      <c r="J2925" t="s">
        <v>92</v>
      </c>
      <c r="K2925">
        <v>0</v>
      </c>
      <c r="L2925">
        <v>1</v>
      </c>
      <c r="M2925">
        <v>1</v>
      </c>
      <c r="N2925">
        <v>0</v>
      </c>
      <c r="O2925">
        <v>0</v>
      </c>
      <c r="P2925">
        <v>0</v>
      </c>
      <c r="Q2925" t="s">
        <v>23</v>
      </c>
      <c r="R2925">
        <v>0</v>
      </c>
    </row>
    <row r="2926" spans="1:18">
      <c r="A2926" s="4">
        <v>82650000000000</v>
      </c>
      <c r="B2926" t="s">
        <v>28</v>
      </c>
      <c r="C2926">
        <v>7</v>
      </c>
      <c r="D2926" t="s">
        <v>31</v>
      </c>
      <c r="E2926" t="s">
        <v>47</v>
      </c>
      <c r="F2926" s="1">
        <v>42495</v>
      </c>
      <c r="G2926" s="1">
        <v>42515</v>
      </c>
      <c r="H2926" t="s">
        <v>25</v>
      </c>
      <c r="I2926">
        <v>20</v>
      </c>
      <c r="J2926" t="s">
        <v>77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1</v>
      </c>
      <c r="Q2926" t="s">
        <v>23</v>
      </c>
      <c r="R2926">
        <v>0</v>
      </c>
    </row>
    <row r="2927" spans="1:18">
      <c r="A2927" s="4">
        <v>11336400000000</v>
      </c>
      <c r="B2927" t="s">
        <v>18</v>
      </c>
      <c r="C2927">
        <v>34</v>
      </c>
      <c r="D2927" t="s">
        <v>37</v>
      </c>
      <c r="E2927" t="s">
        <v>59</v>
      </c>
      <c r="F2927" s="1">
        <v>42495</v>
      </c>
      <c r="G2927" s="1">
        <v>42495</v>
      </c>
      <c r="H2927" t="s">
        <v>33</v>
      </c>
      <c r="I2927">
        <v>0</v>
      </c>
      <c r="J2927" t="s">
        <v>111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23</v>
      </c>
      <c r="R2927">
        <v>0</v>
      </c>
    </row>
    <row r="2928" spans="1:18">
      <c r="A2928" s="4">
        <v>149785000000000</v>
      </c>
      <c r="B2928" t="s">
        <v>18</v>
      </c>
      <c r="C2928">
        <v>59</v>
      </c>
      <c r="D2928" t="s">
        <v>35</v>
      </c>
      <c r="E2928" t="s">
        <v>72</v>
      </c>
      <c r="F2928" s="1">
        <v>42495</v>
      </c>
      <c r="G2928" s="1">
        <v>42495</v>
      </c>
      <c r="H2928" t="s">
        <v>33</v>
      </c>
      <c r="I2928">
        <v>0</v>
      </c>
      <c r="J2928" t="s">
        <v>111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23</v>
      </c>
      <c r="R2928">
        <v>0</v>
      </c>
    </row>
    <row r="2929" spans="1:18">
      <c r="A2929" s="4">
        <v>74334500000000</v>
      </c>
      <c r="B2929" t="s">
        <v>18</v>
      </c>
      <c r="C2929">
        <v>35</v>
      </c>
      <c r="D2929" t="s">
        <v>37</v>
      </c>
      <c r="E2929" t="s">
        <v>50</v>
      </c>
      <c r="F2929" s="1">
        <v>42495</v>
      </c>
      <c r="G2929" s="1">
        <v>42521</v>
      </c>
      <c r="H2929" t="s">
        <v>41</v>
      </c>
      <c r="I2929">
        <v>26</v>
      </c>
      <c r="J2929" t="s">
        <v>77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23</v>
      </c>
      <c r="R2929">
        <v>0</v>
      </c>
    </row>
    <row r="2930" spans="1:18">
      <c r="A2930" s="4">
        <v>12872100000000</v>
      </c>
      <c r="B2930" t="s">
        <v>28</v>
      </c>
      <c r="C2930">
        <v>10</v>
      </c>
      <c r="D2930" t="s">
        <v>31</v>
      </c>
      <c r="E2930" t="s">
        <v>61</v>
      </c>
      <c r="F2930" s="1">
        <v>42495</v>
      </c>
      <c r="G2930" s="1">
        <v>42495</v>
      </c>
      <c r="H2930" t="s">
        <v>33</v>
      </c>
      <c r="I2930">
        <v>0</v>
      </c>
      <c r="J2930" t="s">
        <v>111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23</v>
      </c>
      <c r="R2930">
        <v>0</v>
      </c>
    </row>
    <row r="2931" spans="1:18">
      <c r="A2931" s="4">
        <v>552326000000000</v>
      </c>
      <c r="B2931" t="s">
        <v>28</v>
      </c>
      <c r="C2931">
        <v>60</v>
      </c>
      <c r="D2931" t="s">
        <v>35</v>
      </c>
      <c r="E2931" t="s">
        <v>39</v>
      </c>
      <c r="F2931" s="1">
        <v>42495</v>
      </c>
      <c r="G2931" s="1">
        <v>42495</v>
      </c>
      <c r="H2931" t="s">
        <v>33</v>
      </c>
      <c r="I2931">
        <v>0</v>
      </c>
      <c r="J2931" t="s">
        <v>111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23</v>
      </c>
      <c r="R2931">
        <v>0</v>
      </c>
    </row>
    <row r="2932" spans="1:18">
      <c r="A2932" s="4">
        <v>2862957784</v>
      </c>
      <c r="B2932" t="s">
        <v>18</v>
      </c>
      <c r="C2932">
        <v>2</v>
      </c>
      <c r="D2932" t="s">
        <v>31</v>
      </c>
      <c r="E2932" t="s">
        <v>72</v>
      </c>
      <c r="F2932" s="1">
        <v>42495</v>
      </c>
      <c r="G2932" s="1">
        <v>42523</v>
      </c>
      <c r="H2932" t="s">
        <v>33</v>
      </c>
      <c r="I2932">
        <v>28</v>
      </c>
      <c r="J2932" t="s">
        <v>77</v>
      </c>
      <c r="K2932">
        <v>1</v>
      </c>
      <c r="L2932">
        <v>0</v>
      </c>
      <c r="M2932">
        <v>0</v>
      </c>
      <c r="N2932">
        <v>0</v>
      </c>
      <c r="O2932">
        <v>0</v>
      </c>
      <c r="P2932">
        <v>1</v>
      </c>
      <c r="Q2932" t="s">
        <v>23</v>
      </c>
      <c r="R2932">
        <v>0</v>
      </c>
    </row>
    <row r="2933" spans="1:18">
      <c r="A2933" s="4">
        <v>6413390000000</v>
      </c>
      <c r="B2933" t="s">
        <v>18</v>
      </c>
      <c r="C2933">
        <v>44</v>
      </c>
      <c r="D2933" t="s">
        <v>27</v>
      </c>
      <c r="E2933" t="s">
        <v>39</v>
      </c>
      <c r="F2933" s="1">
        <v>42495</v>
      </c>
      <c r="G2933" s="1">
        <v>42495</v>
      </c>
      <c r="H2933" t="s">
        <v>33</v>
      </c>
      <c r="I2933">
        <v>0</v>
      </c>
      <c r="J2933" t="s">
        <v>111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23</v>
      </c>
      <c r="R2933">
        <v>0</v>
      </c>
    </row>
    <row r="2934" spans="1:18">
      <c r="A2934" s="4">
        <v>659180000000000</v>
      </c>
      <c r="B2934" t="s">
        <v>18</v>
      </c>
      <c r="C2934">
        <v>21</v>
      </c>
      <c r="D2934" t="s">
        <v>37</v>
      </c>
      <c r="E2934" t="s">
        <v>39</v>
      </c>
      <c r="F2934" s="1">
        <v>42495</v>
      </c>
      <c r="G2934" s="1">
        <v>42499</v>
      </c>
      <c r="H2934" t="s">
        <v>30</v>
      </c>
      <c r="I2934">
        <v>4</v>
      </c>
      <c r="J2934" t="s">
        <v>107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23</v>
      </c>
      <c r="R2934">
        <v>0</v>
      </c>
    </row>
    <row r="2935" spans="1:18">
      <c r="A2935" s="4">
        <v>28233276156</v>
      </c>
      <c r="B2935" t="s">
        <v>18</v>
      </c>
      <c r="C2935">
        <v>44</v>
      </c>
      <c r="D2935" t="s">
        <v>27</v>
      </c>
      <c r="E2935" t="s">
        <v>45</v>
      </c>
      <c r="F2935" s="1">
        <v>42496</v>
      </c>
      <c r="G2935" s="1">
        <v>42496</v>
      </c>
      <c r="H2935" t="s">
        <v>21</v>
      </c>
      <c r="I2935">
        <v>0</v>
      </c>
      <c r="J2935" t="s">
        <v>111</v>
      </c>
      <c r="K2935">
        <v>0</v>
      </c>
      <c r="L2935">
        <v>1</v>
      </c>
      <c r="M2935">
        <v>0</v>
      </c>
      <c r="N2935">
        <v>1</v>
      </c>
      <c r="O2935">
        <v>0</v>
      </c>
      <c r="P2935">
        <v>0</v>
      </c>
      <c r="Q2935" t="s">
        <v>23</v>
      </c>
      <c r="R2935">
        <v>0</v>
      </c>
    </row>
    <row r="2936" spans="1:18">
      <c r="A2936" s="4">
        <v>1333990000000</v>
      </c>
      <c r="B2936" t="s">
        <v>28</v>
      </c>
      <c r="C2936">
        <v>44</v>
      </c>
      <c r="D2936" t="s">
        <v>27</v>
      </c>
      <c r="E2936" t="s">
        <v>39</v>
      </c>
      <c r="F2936" s="1">
        <v>42496</v>
      </c>
      <c r="G2936" s="1">
        <v>42496</v>
      </c>
      <c r="H2936" t="s">
        <v>21</v>
      </c>
      <c r="I2936">
        <v>0</v>
      </c>
      <c r="J2936" t="s">
        <v>111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23</v>
      </c>
      <c r="R2936">
        <v>0</v>
      </c>
    </row>
    <row r="2937" spans="1:18">
      <c r="A2937" s="4">
        <v>1988720000000</v>
      </c>
      <c r="B2937" t="s">
        <v>28</v>
      </c>
      <c r="C2937">
        <v>2</v>
      </c>
      <c r="D2937" t="s">
        <v>31</v>
      </c>
      <c r="E2937" t="s">
        <v>58</v>
      </c>
      <c r="F2937" s="1">
        <v>42496</v>
      </c>
      <c r="G2937" s="1">
        <v>42496</v>
      </c>
      <c r="H2937" t="s">
        <v>21</v>
      </c>
      <c r="I2937">
        <v>0</v>
      </c>
      <c r="J2937" t="s">
        <v>111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23</v>
      </c>
      <c r="R2937">
        <v>0</v>
      </c>
    </row>
    <row r="2938" spans="1:18">
      <c r="A2938" s="4">
        <v>473799000000000</v>
      </c>
      <c r="B2938" t="s">
        <v>18</v>
      </c>
      <c r="C2938">
        <v>66</v>
      </c>
      <c r="D2938" t="s">
        <v>19</v>
      </c>
      <c r="E2938" t="s">
        <v>91</v>
      </c>
      <c r="F2938" s="1">
        <v>42496</v>
      </c>
      <c r="G2938" s="1">
        <v>42506</v>
      </c>
      <c r="H2938" t="s">
        <v>30</v>
      </c>
      <c r="I2938">
        <v>10</v>
      </c>
      <c r="J2938" t="s">
        <v>92</v>
      </c>
      <c r="K2938">
        <v>0</v>
      </c>
      <c r="L2938">
        <v>1</v>
      </c>
      <c r="M2938">
        <v>0</v>
      </c>
      <c r="N2938">
        <v>0</v>
      </c>
      <c r="O2938">
        <v>0</v>
      </c>
      <c r="P2938">
        <v>0</v>
      </c>
      <c r="Q2938" t="s">
        <v>23</v>
      </c>
      <c r="R2938">
        <v>0</v>
      </c>
    </row>
    <row r="2939" spans="1:18">
      <c r="A2939" s="4">
        <v>2313370000000</v>
      </c>
      <c r="B2939" t="s">
        <v>18</v>
      </c>
      <c r="C2939">
        <v>2</v>
      </c>
      <c r="D2939" t="s">
        <v>31</v>
      </c>
      <c r="E2939" t="s">
        <v>58</v>
      </c>
      <c r="F2939" s="1">
        <v>42496</v>
      </c>
      <c r="G2939" s="1">
        <v>42496</v>
      </c>
      <c r="H2939" t="s">
        <v>21</v>
      </c>
      <c r="I2939">
        <v>0</v>
      </c>
      <c r="J2939" t="s">
        <v>111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23</v>
      </c>
      <c r="R2939">
        <v>0</v>
      </c>
    </row>
    <row r="2940" spans="1:18">
      <c r="A2940" s="4">
        <v>95237900000000</v>
      </c>
      <c r="B2940" t="s">
        <v>18</v>
      </c>
      <c r="C2940">
        <v>52</v>
      </c>
      <c r="D2940" t="s">
        <v>35</v>
      </c>
      <c r="E2940" t="s">
        <v>96</v>
      </c>
      <c r="F2940" s="1">
        <v>42496</v>
      </c>
      <c r="G2940" s="1">
        <v>42506</v>
      </c>
      <c r="H2940" t="s">
        <v>30</v>
      </c>
      <c r="I2940">
        <v>10</v>
      </c>
      <c r="J2940" t="s">
        <v>92</v>
      </c>
      <c r="K2940">
        <v>1</v>
      </c>
      <c r="L2940">
        <v>1</v>
      </c>
      <c r="M2940">
        <v>1</v>
      </c>
      <c r="N2940">
        <v>0</v>
      </c>
      <c r="O2940">
        <v>0</v>
      </c>
      <c r="P2940">
        <v>0</v>
      </c>
      <c r="Q2940" t="s">
        <v>23</v>
      </c>
      <c r="R2940">
        <v>0</v>
      </c>
    </row>
    <row r="2941" spans="1:18">
      <c r="A2941" s="4">
        <v>22731734882</v>
      </c>
      <c r="B2941" t="s">
        <v>18</v>
      </c>
      <c r="C2941">
        <v>34</v>
      </c>
      <c r="D2941" t="s">
        <v>37</v>
      </c>
      <c r="E2941" t="s">
        <v>44</v>
      </c>
      <c r="F2941" s="1">
        <v>42496</v>
      </c>
      <c r="G2941" s="1">
        <v>42496</v>
      </c>
      <c r="H2941" t="s">
        <v>21</v>
      </c>
      <c r="I2941">
        <v>0</v>
      </c>
      <c r="J2941" t="s">
        <v>111</v>
      </c>
      <c r="K2941">
        <v>1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23</v>
      </c>
      <c r="R2941">
        <v>0</v>
      </c>
    </row>
    <row r="2942" spans="1:18">
      <c r="A2942" s="4">
        <v>839691000000000</v>
      </c>
      <c r="B2942" t="s">
        <v>28</v>
      </c>
      <c r="C2942">
        <v>12</v>
      </c>
      <c r="D2942" t="s">
        <v>31</v>
      </c>
      <c r="E2942" t="s">
        <v>75</v>
      </c>
      <c r="F2942" s="1">
        <v>42496</v>
      </c>
      <c r="G2942" s="1">
        <v>42496</v>
      </c>
      <c r="H2942" t="s">
        <v>21</v>
      </c>
      <c r="I2942">
        <v>0</v>
      </c>
      <c r="J2942" t="s">
        <v>111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23</v>
      </c>
      <c r="R2942">
        <v>0</v>
      </c>
    </row>
    <row r="2943" spans="1:18">
      <c r="A2943" s="4">
        <v>34647687235</v>
      </c>
      <c r="B2943" t="s">
        <v>28</v>
      </c>
      <c r="C2943">
        <v>21</v>
      </c>
      <c r="D2943" t="s">
        <v>37</v>
      </c>
      <c r="E2943" t="s">
        <v>69</v>
      </c>
      <c r="F2943" s="1">
        <v>42496</v>
      </c>
      <c r="G2943" s="1">
        <v>42496</v>
      </c>
      <c r="H2943" t="s">
        <v>21</v>
      </c>
      <c r="I2943">
        <v>0</v>
      </c>
      <c r="J2943" t="s">
        <v>111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23</v>
      </c>
      <c r="R2943">
        <v>0</v>
      </c>
    </row>
    <row r="2944" spans="1:18">
      <c r="A2944" s="4">
        <v>673353000000000</v>
      </c>
      <c r="B2944" t="s">
        <v>28</v>
      </c>
      <c r="C2944">
        <v>2</v>
      </c>
      <c r="D2944" t="s">
        <v>31</v>
      </c>
      <c r="E2944" t="s">
        <v>87</v>
      </c>
      <c r="F2944" s="1">
        <v>42496</v>
      </c>
      <c r="G2944" s="1">
        <v>42496</v>
      </c>
      <c r="H2944" t="s">
        <v>21</v>
      </c>
      <c r="I2944">
        <v>0</v>
      </c>
      <c r="J2944" t="s">
        <v>111</v>
      </c>
      <c r="K2944">
        <v>1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26</v>
      </c>
      <c r="R2944">
        <v>1</v>
      </c>
    </row>
    <row r="2945" spans="1:18">
      <c r="A2945" s="4">
        <v>141344000000000</v>
      </c>
      <c r="B2945" t="s">
        <v>28</v>
      </c>
      <c r="C2945">
        <v>5</v>
      </c>
      <c r="D2945" t="s">
        <v>31</v>
      </c>
      <c r="E2945" t="s">
        <v>66</v>
      </c>
      <c r="F2945" s="1">
        <v>42496</v>
      </c>
      <c r="G2945" s="1">
        <v>42496</v>
      </c>
      <c r="H2945" t="s">
        <v>21</v>
      </c>
      <c r="I2945">
        <v>0</v>
      </c>
      <c r="J2945" t="s">
        <v>111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26</v>
      </c>
      <c r="R2945">
        <v>1</v>
      </c>
    </row>
    <row r="2946" spans="1:18">
      <c r="A2946" s="4">
        <v>7231690000000</v>
      </c>
      <c r="B2946" t="s">
        <v>28</v>
      </c>
      <c r="C2946">
        <v>4</v>
      </c>
      <c r="D2946" t="s">
        <v>31</v>
      </c>
      <c r="E2946" t="s">
        <v>66</v>
      </c>
      <c r="F2946" s="1">
        <v>42496</v>
      </c>
      <c r="G2946" s="1">
        <v>42496</v>
      </c>
      <c r="H2946" t="s">
        <v>21</v>
      </c>
      <c r="I2946">
        <v>0</v>
      </c>
      <c r="J2946" t="s">
        <v>111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26</v>
      </c>
      <c r="R2946">
        <v>1</v>
      </c>
    </row>
    <row r="2947" spans="1:18">
      <c r="A2947" s="4">
        <v>8787830000000</v>
      </c>
      <c r="B2947" t="s">
        <v>18</v>
      </c>
      <c r="C2947">
        <v>8</v>
      </c>
      <c r="D2947" t="s">
        <v>31</v>
      </c>
      <c r="E2947" t="s">
        <v>66</v>
      </c>
      <c r="F2947" s="1">
        <v>42496</v>
      </c>
      <c r="G2947" s="1">
        <v>42496</v>
      </c>
      <c r="H2947" t="s">
        <v>21</v>
      </c>
      <c r="I2947">
        <v>0</v>
      </c>
      <c r="J2947" t="s">
        <v>111</v>
      </c>
      <c r="K2947">
        <v>1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26</v>
      </c>
      <c r="R2947">
        <v>1</v>
      </c>
    </row>
    <row r="2948" spans="1:18">
      <c r="A2948" s="4">
        <v>121645000000</v>
      </c>
      <c r="B2948" t="s">
        <v>28</v>
      </c>
      <c r="C2948">
        <v>14</v>
      </c>
      <c r="D2948" t="s">
        <v>60</v>
      </c>
      <c r="E2948" t="s">
        <v>105</v>
      </c>
      <c r="F2948" s="1">
        <v>42496</v>
      </c>
      <c r="G2948" s="1">
        <v>42496</v>
      </c>
      <c r="H2948" t="s">
        <v>21</v>
      </c>
      <c r="I2948">
        <v>0</v>
      </c>
      <c r="J2948" t="s">
        <v>111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23</v>
      </c>
      <c r="R2948">
        <v>0</v>
      </c>
    </row>
    <row r="2949" spans="1:18">
      <c r="A2949" s="4">
        <v>858192000000000</v>
      </c>
      <c r="B2949" t="s">
        <v>18</v>
      </c>
      <c r="C2949">
        <v>11</v>
      </c>
      <c r="D2949" t="s">
        <v>31</v>
      </c>
      <c r="E2949" t="s">
        <v>87</v>
      </c>
      <c r="F2949" s="1">
        <v>42496</v>
      </c>
      <c r="G2949" s="1">
        <v>42500</v>
      </c>
      <c r="H2949" t="s">
        <v>41</v>
      </c>
      <c r="I2949">
        <v>4</v>
      </c>
      <c r="J2949" t="s">
        <v>107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1</v>
      </c>
      <c r="Q2949" t="s">
        <v>23</v>
      </c>
      <c r="R2949">
        <v>0</v>
      </c>
    </row>
    <row r="2950" spans="1:18">
      <c r="A2950" s="4">
        <v>47917700000000</v>
      </c>
      <c r="B2950" t="s">
        <v>18</v>
      </c>
      <c r="C2950">
        <v>29</v>
      </c>
      <c r="D2950" t="s">
        <v>37</v>
      </c>
      <c r="E2950" t="s">
        <v>73</v>
      </c>
      <c r="F2950" s="1">
        <v>42496</v>
      </c>
      <c r="G2950" s="1">
        <v>42503</v>
      </c>
      <c r="H2950" t="s">
        <v>21</v>
      </c>
      <c r="I2950">
        <v>7</v>
      </c>
      <c r="J2950" t="s">
        <v>107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23</v>
      </c>
      <c r="R2950">
        <v>0</v>
      </c>
    </row>
    <row r="2951" spans="1:18">
      <c r="A2951" s="4">
        <v>8861120000000</v>
      </c>
      <c r="B2951" t="s">
        <v>18</v>
      </c>
      <c r="C2951">
        <v>47</v>
      </c>
      <c r="D2951" t="s">
        <v>27</v>
      </c>
      <c r="E2951" t="s">
        <v>62</v>
      </c>
      <c r="F2951" s="1">
        <v>42496</v>
      </c>
      <c r="G2951" s="1">
        <v>42496</v>
      </c>
      <c r="H2951" t="s">
        <v>21</v>
      </c>
      <c r="I2951">
        <v>0</v>
      </c>
      <c r="J2951" t="s">
        <v>111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26</v>
      </c>
      <c r="R2951">
        <v>1</v>
      </c>
    </row>
    <row r="2952" spans="1:18">
      <c r="A2952" s="4">
        <v>32495600000000</v>
      </c>
      <c r="B2952" t="s">
        <v>18</v>
      </c>
      <c r="C2952">
        <v>3</v>
      </c>
      <c r="D2952" t="s">
        <v>31</v>
      </c>
      <c r="E2952" t="s">
        <v>84</v>
      </c>
      <c r="F2952" s="1">
        <v>42496</v>
      </c>
      <c r="G2952" s="1">
        <v>42501</v>
      </c>
      <c r="H2952" t="s">
        <v>25</v>
      </c>
      <c r="I2952">
        <v>5</v>
      </c>
      <c r="J2952" t="s">
        <v>107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1</v>
      </c>
      <c r="Q2952" t="s">
        <v>23</v>
      </c>
      <c r="R2952">
        <v>0</v>
      </c>
    </row>
    <row r="2953" spans="1:18">
      <c r="A2953" s="4">
        <v>81386700000000</v>
      </c>
      <c r="B2953" t="s">
        <v>18</v>
      </c>
      <c r="C2953">
        <v>17</v>
      </c>
      <c r="D2953" t="s">
        <v>60</v>
      </c>
      <c r="E2953" t="s">
        <v>43</v>
      </c>
      <c r="F2953" s="1">
        <v>42496</v>
      </c>
      <c r="G2953" s="1">
        <v>42496</v>
      </c>
      <c r="H2953" t="s">
        <v>21</v>
      </c>
      <c r="I2953">
        <v>0</v>
      </c>
      <c r="J2953" t="s">
        <v>111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23</v>
      </c>
      <c r="R2953">
        <v>0</v>
      </c>
    </row>
    <row r="2954" spans="1:18">
      <c r="A2954" s="4">
        <v>437416000000</v>
      </c>
      <c r="B2954" t="s">
        <v>18</v>
      </c>
      <c r="C2954">
        <v>57</v>
      </c>
      <c r="D2954" t="s">
        <v>35</v>
      </c>
      <c r="E2954" t="s">
        <v>91</v>
      </c>
      <c r="F2954" s="1">
        <v>42496</v>
      </c>
      <c r="G2954" s="1">
        <v>42506</v>
      </c>
      <c r="H2954" t="s">
        <v>30</v>
      </c>
      <c r="I2954">
        <v>10</v>
      </c>
      <c r="J2954" t="s">
        <v>92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23</v>
      </c>
      <c r="R2954">
        <v>0</v>
      </c>
    </row>
    <row r="2955" spans="1:18">
      <c r="A2955" s="4">
        <v>2793980000000</v>
      </c>
      <c r="B2955" t="s">
        <v>18</v>
      </c>
      <c r="C2955">
        <v>24</v>
      </c>
      <c r="D2955" t="s">
        <v>37</v>
      </c>
      <c r="E2955" t="s">
        <v>63</v>
      </c>
      <c r="F2955" s="1">
        <v>42496</v>
      </c>
      <c r="G2955" s="1">
        <v>42506</v>
      </c>
      <c r="H2955" t="s">
        <v>30</v>
      </c>
      <c r="I2955">
        <v>10</v>
      </c>
      <c r="J2955" t="s">
        <v>92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23</v>
      </c>
      <c r="R2955">
        <v>0</v>
      </c>
    </row>
    <row r="2956" spans="1:18">
      <c r="A2956" s="4">
        <v>922656000000</v>
      </c>
      <c r="B2956" t="s">
        <v>18</v>
      </c>
      <c r="C2956">
        <v>1</v>
      </c>
      <c r="D2956" t="s">
        <v>31</v>
      </c>
      <c r="E2956" t="s">
        <v>73</v>
      </c>
      <c r="F2956" s="1">
        <v>42496</v>
      </c>
      <c r="G2956" s="1">
        <v>42503</v>
      </c>
      <c r="H2956" t="s">
        <v>21</v>
      </c>
      <c r="I2956">
        <v>7</v>
      </c>
      <c r="J2956" t="s">
        <v>107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23</v>
      </c>
      <c r="R2956">
        <v>0</v>
      </c>
    </row>
    <row r="2957" spans="1:18">
      <c r="A2957" s="4">
        <v>265948000000000</v>
      </c>
      <c r="B2957" t="s">
        <v>18</v>
      </c>
      <c r="C2957">
        <v>19</v>
      </c>
      <c r="D2957" t="s">
        <v>37</v>
      </c>
      <c r="E2957" t="s">
        <v>95</v>
      </c>
      <c r="F2957" s="1">
        <v>42496</v>
      </c>
      <c r="G2957" s="1">
        <v>42506</v>
      </c>
      <c r="H2957" t="s">
        <v>30</v>
      </c>
      <c r="I2957">
        <v>10</v>
      </c>
      <c r="J2957" t="s">
        <v>92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23</v>
      </c>
      <c r="R2957">
        <v>0</v>
      </c>
    </row>
    <row r="2958" spans="1:18">
      <c r="A2958" s="4">
        <v>32864914331</v>
      </c>
      <c r="B2958" t="s">
        <v>28</v>
      </c>
      <c r="C2958">
        <v>11</v>
      </c>
      <c r="D2958" t="s">
        <v>31</v>
      </c>
      <c r="E2958" t="s">
        <v>87</v>
      </c>
      <c r="F2958" s="1">
        <v>42496</v>
      </c>
      <c r="G2958" s="1">
        <v>42499</v>
      </c>
      <c r="H2958" t="s">
        <v>30</v>
      </c>
      <c r="I2958">
        <v>3</v>
      </c>
      <c r="J2958" t="s">
        <v>109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23</v>
      </c>
      <c r="R2958">
        <v>0</v>
      </c>
    </row>
    <row r="2959" spans="1:18">
      <c r="A2959" s="4">
        <v>7835940000000</v>
      </c>
      <c r="B2959" t="s">
        <v>28</v>
      </c>
      <c r="C2959">
        <v>31</v>
      </c>
      <c r="D2959" t="s">
        <v>37</v>
      </c>
      <c r="E2959" t="s">
        <v>66</v>
      </c>
      <c r="F2959" s="1">
        <v>42496</v>
      </c>
      <c r="G2959" s="1">
        <v>42499</v>
      </c>
      <c r="H2959" t="s">
        <v>30</v>
      </c>
      <c r="I2959">
        <v>3</v>
      </c>
      <c r="J2959" t="s">
        <v>109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26</v>
      </c>
      <c r="R2959">
        <v>1</v>
      </c>
    </row>
    <row r="2960" spans="1:18">
      <c r="A2960" s="4">
        <v>58481100000000</v>
      </c>
      <c r="B2960" t="s">
        <v>28</v>
      </c>
      <c r="C2960">
        <v>3</v>
      </c>
      <c r="D2960" t="s">
        <v>31</v>
      </c>
      <c r="E2960" t="s">
        <v>69</v>
      </c>
      <c r="F2960" s="1">
        <v>42496</v>
      </c>
      <c r="G2960" s="1">
        <v>42496</v>
      </c>
      <c r="H2960" t="s">
        <v>21</v>
      </c>
      <c r="I2960">
        <v>0</v>
      </c>
      <c r="J2960" t="s">
        <v>111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23</v>
      </c>
      <c r="R2960">
        <v>0</v>
      </c>
    </row>
    <row r="2961" spans="1:18">
      <c r="A2961" s="4">
        <v>7538480000000</v>
      </c>
      <c r="B2961" t="s">
        <v>18</v>
      </c>
      <c r="C2961">
        <v>60</v>
      </c>
      <c r="D2961" t="s">
        <v>35</v>
      </c>
      <c r="E2961" t="s">
        <v>56</v>
      </c>
      <c r="F2961" s="1">
        <v>42496</v>
      </c>
      <c r="G2961" s="1">
        <v>42510</v>
      </c>
      <c r="H2961" t="s">
        <v>21</v>
      </c>
      <c r="I2961">
        <v>14</v>
      </c>
      <c r="J2961" t="s">
        <v>92</v>
      </c>
      <c r="K2961">
        <v>0</v>
      </c>
      <c r="L2961">
        <v>1</v>
      </c>
      <c r="M2961">
        <v>1</v>
      </c>
      <c r="N2961">
        <v>0</v>
      </c>
      <c r="O2961">
        <v>0</v>
      </c>
      <c r="P2961">
        <v>0</v>
      </c>
      <c r="Q2961" t="s">
        <v>23</v>
      </c>
      <c r="R2961">
        <v>0</v>
      </c>
    </row>
    <row r="2962" spans="1:18">
      <c r="A2962" s="4">
        <v>22742784414</v>
      </c>
      <c r="B2962" t="s">
        <v>18</v>
      </c>
      <c r="C2962">
        <v>69</v>
      </c>
      <c r="D2962" t="s">
        <v>19</v>
      </c>
      <c r="E2962" t="s">
        <v>36</v>
      </c>
      <c r="F2962" s="1">
        <v>42496</v>
      </c>
      <c r="G2962" s="1">
        <v>42496</v>
      </c>
      <c r="H2962" t="s">
        <v>21</v>
      </c>
      <c r="I2962">
        <v>0</v>
      </c>
      <c r="J2962" t="s">
        <v>111</v>
      </c>
      <c r="K2962">
        <v>0</v>
      </c>
      <c r="L2962">
        <v>1</v>
      </c>
      <c r="M2962">
        <v>0</v>
      </c>
      <c r="N2962">
        <v>0</v>
      </c>
      <c r="O2962">
        <v>0</v>
      </c>
      <c r="P2962">
        <v>0</v>
      </c>
      <c r="Q2962" t="s">
        <v>23</v>
      </c>
      <c r="R2962">
        <v>0</v>
      </c>
    </row>
    <row r="2963" spans="1:18">
      <c r="A2963" s="4">
        <v>394357000000</v>
      </c>
      <c r="B2963" t="s">
        <v>28</v>
      </c>
      <c r="C2963">
        <v>63</v>
      </c>
      <c r="D2963" t="s">
        <v>35</v>
      </c>
      <c r="E2963" t="s">
        <v>69</v>
      </c>
      <c r="F2963" s="1">
        <v>42496</v>
      </c>
      <c r="G2963" s="1">
        <v>42496</v>
      </c>
      <c r="H2963" t="s">
        <v>21</v>
      </c>
      <c r="I2963">
        <v>0</v>
      </c>
      <c r="J2963" t="s">
        <v>111</v>
      </c>
      <c r="K2963">
        <v>0</v>
      </c>
      <c r="L2963">
        <v>1</v>
      </c>
      <c r="M2963">
        <v>0</v>
      </c>
      <c r="N2963">
        <v>1</v>
      </c>
      <c r="O2963">
        <v>0</v>
      </c>
      <c r="P2963">
        <v>0</v>
      </c>
      <c r="Q2963" t="s">
        <v>23</v>
      </c>
      <c r="R2963">
        <v>0</v>
      </c>
    </row>
    <row r="2964" spans="1:18">
      <c r="A2964" s="4">
        <v>22868100000000</v>
      </c>
      <c r="B2964" t="s">
        <v>28</v>
      </c>
      <c r="C2964">
        <v>43</v>
      </c>
      <c r="D2964" t="s">
        <v>27</v>
      </c>
      <c r="E2964" t="s">
        <v>59</v>
      </c>
      <c r="F2964" s="1">
        <v>42496</v>
      </c>
      <c r="G2964" s="1">
        <v>42496</v>
      </c>
      <c r="H2964" t="s">
        <v>21</v>
      </c>
      <c r="I2964">
        <v>0</v>
      </c>
      <c r="J2964" t="s">
        <v>111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23</v>
      </c>
      <c r="R2964">
        <v>0</v>
      </c>
    </row>
    <row r="2965" spans="1:18">
      <c r="A2965" s="4">
        <v>15488699249</v>
      </c>
      <c r="B2965" t="s">
        <v>18</v>
      </c>
      <c r="C2965">
        <v>30</v>
      </c>
      <c r="D2965" t="s">
        <v>37</v>
      </c>
      <c r="E2965" t="s">
        <v>20</v>
      </c>
      <c r="F2965" s="1">
        <v>42496</v>
      </c>
      <c r="G2965" s="1">
        <v>42496</v>
      </c>
      <c r="H2965" t="s">
        <v>21</v>
      </c>
      <c r="I2965">
        <v>0</v>
      </c>
      <c r="J2965" t="s">
        <v>111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23</v>
      </c>
      <c r="R2965">
        <v>0</v>
      </c>
    </row>
    <row r="2966" spans="1:18">
      <c r="A2966" s="4">
        <v>25927700000000</v>
      </c>
      <c r="B2966" t="s">
        <v>18</v>
      </c>
      <c r="C2966">
        <v>64</v>
      </c>
      <c r="D2966" t="s">
        <v>35</v>
      </c>
      <c r="E2966" t="s">
        <v>84</v>
      </c>
      <c r="F2966" s="1">
        <v>42496</v>
      </c>
      <c r="G2966" s="1">
        <v>42496</v>
      </c>
      <c r="H2966" t="s">
        <v>21</v>
      </c>
      <c r="I2966">
        <v>0</v>
      </c>
      <c r="J2966" t="s">
        <v>111</v>
      </c>
      <c r="K2966">
        <v>1</v>
      </c>
      <c r="L2966">
        <v>1</v>
      </c>
      <c r="M2966">
        <v>0</v>
      </c>
      <c r="N2966">
        <v>0</v>
      </c>
      <c r="O2966">
        <v>0</v>
      </c>
      <c r="P2966">
        <v>0</v>
      </c>
      <c r="Q2966" t="s">
        <v>23</v>
      </c>
      <c r="R2966">
        <v>0</v>
      </c>
    </row>
    <row r="2967" spans="1:18">
      <c r="A2967" s="4">
        <v>57628900000000</v>
      </c>
      <c r="B2967" t="s">
        <v>18</v>
      </c>
      <c r="C2967">
        <v>65</v>
      </c>
      <c r="D2967" t="s">
        <v>35</v>
      </c>
      <c r="E2967" t="s">
        <v>29</v>
      </c>
      <c r="F2967" s="1">
        <v>42496</v>
      </c>
      <c r="G2967" s="1">
        <v>42502</v>
      </c>
      <c r="H2967" t="s">
        <v>33</v>
      </c>
      <c r="I2967">
        <v>6</v>
      </c>
      <c r="J2967" t="s">
        <v>107</v>
      </c>
      <c r="K2967">
        <v>0</v>
      </c>
      <c r="L2967">
        <v>1</v>
      </c>
      <c r="M2967">
        <v>0</v>
      </c>
      <c r="N2967">
        <v>0</v>
      </c>
      <c r="O2967">
        <v>0</v>
      </c>
      <c r="P2967">
        <v>1</v>
      </c>
      <c r="Q2967" t="s">
        <v>23</v>
      </c>
      <c r="R2967">
        <v>0</v>
      </c>
    </row>
    <row r="2968" spans="1:18">
      <c r="A2968" s="4">
        <v>4623990000000</v>
      </c>
      <c r="B2968" t="s">
        <v>28</v>
      </c>
      <c r="C2968">
        <v>72</v>
      </c>
      <c r="D2968" t="s">
        <v>19</v>
      </c>
      <c r="E2968" t="s">
        <v>95</v>
      </c>
      <c r="F2968" s="1">
        <v>42496</v>
      </c>
      <c r="G2968" s="1">
        <v>42506</v>
      </c>
      <c r="H2968" t="s">
        <v>30</v>
      </c>
      <c r="I2968">
        <v>10</v>
      </c>
      <c r="J2968" t="s">
        <v>92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23</v>
      </c>
      <c r="R2968">
        <v>0</v>
      </c>
    </row>
    <row r="2969" spans="1:18">
      <c r="A2969" s="4">
        <v>737879000000</v>
      </c>
      <c r="B2969" t="s">
        <v>18</v>
      </c>
      <c r="C2969">
        <v>53</v>
      </c>
      <c r="D2969" t="s">
        <v>35</v>
      </c>
      <c r="E2969" t="s">
        <v>72</v>
      </c>
      <c r="F2969" s="1">
        <v>42496</v>
      </c>
      <c r="G2969" s="1">
        <v>42496</v>
      </c>
      <c r="H2969" t="s">
        <v>21</v>
      </c>
      <c r="I2969">
        <v>0</v>
      </c>
      <c r="J2969" t="s">
        <v>111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23</v>
      </c>
      <c r="R2969">
        <v>0</v>
      </c>
    </row>
    <row r="2970" spans="1:18">
      <c r="A2970" s="4">
        <v>26459200000000</v>
      </c>
      <c r="B2970" t="s">
        <v>18</v>
      </c>
      <c r="C2970">
        <v>61</v>
      </c>
      <c r="D2970" t="s">
        <v>35</v>
      </c>
      <c r="E2970" t="s">
        <v>36</v>
      </c>
      <c r="F2970" s="1">
        <v>42496</v>
      </c>
      <c r="G2970" s="1">
        <v>42514</v>
      </c>
      <c r="H2970" t="s">
        <v>41</v>
      </c>
      <c r="I2970">
        <v>18</v>
      </c>
      <c r="J2970" t="s">
        <v>77</v>
      </c>
      <c r="K2970">
        <v>0</v>
      </c>
      <c r="L2970">
        <v>1</v>
      </c>
      <c r="M2970">
        <v>0</v>
      </c>
      <c r="N2970">
        <v>0</v>
      </c>
      <c r="O2970">
        <v>0</v>
      </c>
      <c r="P2970">
        <v>0</v>
      </c>
      <c r="Q2970" t="s">
        <v>26</v>
      </c>
      <c r="R2970">
        <v>1</v>
      </c>
    </row>
    <row r="2971" spans="1:18">
      <c r="A2971" s="4">
        <v>632929000000000</v>
      </c>
      <c r="B2971" t="s">
        <v>18</v>
      </c>
      <c r="C2971">
        <v>52</v>
      </c>
      <c r="D2971" t="s">
        <v>35</v>
      </c>
      <c r="E2971" t="s">
        <v>55</v>
      </c>
      <c r="F2971" s="1">
        <v>42496</v>
      </c>
      <c r="G2971" s="1">
        <v>42496</v>
      </c>
      <c r="H2971" t="s">
        <v>21</v>
      </c>
      <c r="I2971">
        <v>0</v>
      </c>
      <c r="J2971" t="s">
        <v>111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23</v>
      </c>
      <c r="R2971">
        <v>0</v>
      </c>
    </row>
    <row r="2972" spans="1:18">
      <c r="A2972" s="4">
        <v>9154640000000</v>
      </c>
      <c r="B2972" t="s">
        <v>18</v>
      </c>
      <c r="C2972">
        <v>60</v>
      </c>
      <c r="D2972" t="s">
        <v>35</v>
      </c>
      <c r="E2972" t="s">
        <v>32</v>
      </c>
      <c r="F2972" s="1">
        <v>42496</v>
      </c>
      <c r="G2972" s="1">
        <v>42499</v>
      </c>
      <c r="H2972" t="s">
        <v>30</v>
      </c>
      <c r="I2972">
        <v>3</v>
      </c>
      <c r="J2972" t="s">
        <v>109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26</v>
      </c>
      <c r="R2972">
        <v>1</v>
      </c>
    </row>
    <row r="2973" spans="1:18">
      <c r="A2973" s="4">
        <v>927629000000000</v>
      </c>
      <c r="B2973" t="s">
        <v>28</v>
      </c>
      <c r="C2973">
        <v>18</v>
      </c>
      <c r="D2973" t="s">
        <v>37</v>
      </c>
      <c r="E2973" t="s">
        <v>59</v>
      </c>
      <c r="F2973" s="1">
        <v>42496</v>
      </c>
      <c r="G2973" s="1">
        <v>42496</v>
      </c>
      <c r="H2973" t="s">
        <v>21</v>
      </c>
      <c r="I2973">
        <v>0</v>
      </c>
      <c r="J2973" t="s">
        <v>111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23</v>
      </c>
      <c r="R2973">
        <v>0</v>
      </c>
    </row>
    <row r="2974" spans="1:18">
      <c r="A2974" s="4">
        <v>57486700000000</v>
      </c>
      <c r="B2974" t="s">
        <v>18</v>
      </c>
      <c r="C2974">
        <v>0</v>
      </c>
      <c r="D2974" t="s">
        <v>31</v>
      </c>
      <c r="E2974" t="s">
        <v>59</v>
      </c>
      <c r="F2974" s="1">
        <v>42496</v>
      </c>
      <c r="G2974" s="1">
        <v>42496</v>
      </c>
      <c r="H2974" t="s">
        <v>21</v>
      </c>
      <c r="I2974">
        <v>0</v>
      </c>
      <c r="J2974" t="s">
        <v>111</v>
      </c>
      <c r="K2974">
        <v>1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23</v>
      </c>
      <c r="R2974">
        <v>0</v>
      </c>
    </row>
    <row r="2975" spans="1:18">
      <c r="A2975" s="4">
        <v>42544800000000</v>
      </c>
      <c r="B2975" t="s">
        <v>28</v>
      </c>
      <c r="C2975">
        <v>58</v>
      </c>
      <c r="D2975" t="s">
        <v>35</v>
      </c>
      <c r="E2975" t="s">
        <v>94</v>
      </c>
      <c r="F2975" s="1">
        <v>42496</v>
      </c>
      <c r="G2975" s="1">
        <v>42506</v>
      </c>
      <c r="H2975" t="s">
        <v>30</v>
      </c>
      <c r="I2975">
        <v>10</v>
      </c>
      <c r="J2975" t="s">
        <v>92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23</v>
      </c>
      <c r="R2975">
        <v>0</v>
      </c>
    </row>
    <row r="2976" spans="1:18">
      <c r="A2976" s="4">
        <v>969890000000000</v>
      </c>
      <c r="B2976" t="s">
        <v>18</v>
      </c>
      <c r="C2976">
        <v>50</v>
      </c>
      <c r="D2976" t="s">
        <v>27</v>
      </c>
      <c r="E2976" t="s">
        <v>48</v>
      </c>
      <c r="F2976" s="1">
        <v>42496</v>
      </c>
      <c r="G2976" s="1">
        <v>42503</v>
      </c>
      <c r="H2976" t="s">
        <v>21</v>
      </c>
      <c r="I2976">
        <v>7</v>
      </c>
      <c r="J2976" t="s">
        <v>107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23</v>
      </c>
      <c r="R2976">
        <v>0</v>
      </c>
    </row>
    <row r="2977" spans="1:18">
      <c r="A2977" s="4">
        <v>5789300000000</v>
      </c>
      <c r="B2977" t="s">
        <v>28</v>
      </c>
      <c r="C2977">
        <v>68</v>
      </c>
      <c r="D2977" t="s">
        <v>19</v>
      </c>
      <c r="E2977" t="s">
        <v>91</v>
      </c>
      <c r="F2977" s="1">
        <v>42496</v>
      </c>
      <c r="G2977" s="1">
        <v>42506</v>
      </c>
      <c r="H2977" t="s">
        <v>30</v>
      </c>
      <c r="I2977">
        <v>10</v>
      </c>
      <c r="J2977" t="s">
        <v>92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23</v>
      </c>
      <c r="R2977">
        <v>0</v>
      </c>
    </row>
    <row r="2978" spans="1:18">
      <c r="A2978" s="4">
        <v>69189300000000</v>
      </c>
      <c r="B2978" t="s">
        <v>18</v>
      </c>
      <c r="C2978">
        <v>12</v>
      </c>
      <c r="D2978" t="s">
        <v>31</v>
      </c>
      <c r="E2978" t="s">
        <v>74</v>
      </c>
      <c r="F2978" s="1">
        <v>42496</v>
      </c>
      <c r="G2978" s="1">
        <v>42496</v>
      </c>
      <c r="H2978" t="s">
        <v>21</v>
      </c>
      <c r="I2978">
        <v>0</v>
      </c>
      <c r="J2978" t="s">
        <v>111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23</v>
      </c>
      <c r="R2978">
        <v>0</v>
      </c>
    </row>
    <row r="2979" spans="1:18">
      <c r="A2979" s="4">
        <v>557950000000000</v>
      </c>
      <c r="B2979" t="s">
        <v>28</v>
      </c>
      <c r="C2979">
        <v>76</v>
      </c>
      <c r="D2979" t="s">
        <v>19</v>
      </c>
      <c r="E2979" t="s">
        <v>91</v>
      </c>
      <c r="F2979" s="1">
        <v>42496</v>
      </c>
      <c r="G2979" s="1">
        <v>42507</v>
      </c>
      <c r="H2979" t="s">
        <v>41</v>
      </c>
      <c r="I2979">
        <v>11</v>
      </c>
      <c r="J2979" t="s">
        <v>92</v>
      </c>
      <c r="K2979">
        <v>0</v>
      </c>
      <c r="L2979">
        <v>1</v>
      </c>
      <c r="M2979">
        <v>0</v>
      </c>
      <c r="N2979">
        <v>0</v>
      </c>
      <c r="O2979">
        <v>0</v>
      </c>
      <c r="P2979">
        <v>0</v>
      </c>
      <c r="Q2979" t="s">
        <v>23</v>
      </c>
      <c r="R2979">
        <v>0</v>
      </c>
    </row>
    <row r="2980" spans="1:18">
      <c r="A2980" s="4">
        <v>8193130000000</v>
      </c>
      <c r="B2980" t="s">
        <v>28</v>
      </c>
      <c r="C2980">
        <v>4</v>
      </c>
      <c r="D2980" t="s">
        <v>31</v>
      </c>
      <c r="E2980" t="s">
        <v>48</v>
      </c>
      <c r="F2980" s="1">
        <v>42496</v>
      </c>
      <c r="G2980" s="1">
        <v>42496</v>
      </c>
      <c r="H2980" t="s">
        <v>21</v>
      </c>
      <c r="I2980">
        <v>0</v>
      </c>
      <c r="J2980" t="s">
        <v>111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23</v>
      </c>
      <c r="R2980">
        <v>0</v>
      </c>
    </row>
    <row r="2981" spans="1:18">
      <c r="A2981" s="4">
        <v>8738890000000</v>
      </c>
      <c r="B2981" t="s">
        <v>28</v>
      </c>
      <c r="C2981">
        <v>2</v>
      </c>
      <c r="D2981" t="s">
        <v>31</v>
      </c>
      <c r="E2981" t="s">
        <v>71</v>
      </c>
      <c r="F2981" s="1">
        <v>42496</v>
      </c>
      <c r="G2981" s="1">
        <v>42496</v>
      </c>
      <c r="H2981" t="s">
        <v>21</v>
      </c>
      <c r="I2981">
        <v>0</v>
      </c>
      <c r="J2981" t="s">
        <v>111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23</v>
      </c>
      <c r="R2981">
        <v>0</v>
      </c>
    </row>
    <row r="2982" spans="1:18">
      <c r="A2982" s="4">
        <v>1652480000000</v>
      </c>
      <c r="B2982" t="s">
        <v>28</v>
      </c>
      <c r="C2982">
        <v>70</v>
      </c>
      <c r="D2982" t="s">
        <v>19</v>
      </c>
      <c r="E2982" t="s">
        <v>71</v>
      </c>
      <c r="F2982" s="1">
        <v>42496</v>
      </c>
      <c r="G2982" s="1">
        <v>42502</v>
      </c>
      <c r="H2982" t="s">
        <v>33</v>
      </c>
      <c r="I2982">
        <v>6</v>
      </c>
      <c r="J2982" t="s">
        <v>107</v>
      </c>
      <c r="K2982">
        <v>0</v>
      </c>
      <c r="L2982">
        <v>1</v>
      </c>
      <c r="M2982">
        <v>0</v>
      </c>
      <c r="N2982">
        <v>0</v>
      </c>
      <c r="O2982">
        <v>0</v>
      </c>
      <c r="P2982">
        <v>1</v>
      </c>
      <c r="Q2982" t="s">
        <v>23</v>
      </c>
      <c r="R2982">
        <v>0</v>
      </c>
    </row>
    <row r="2983" spans="1:18">
      <c r="A2983" s="4">
        <v>6153470000000</v>
      </c>
      <c r="B2983" t="s">
        <v>18</v>
      </c>
      <c r="C2983">
        <v>54</v>
      </c>
      <c r="D2983" t="s">
        <v>35</v>
      </c>
      <c r="E2983" t="s">
        <v>84</v>
      </c>
      <c r="F2983" s="1">
        <v>42496</v>
      </c>
      <c r="G2983" s="1">
        <v>42501</v>
      </c>
      <c r="H2983" t="s">
        <v>25</v>
      </c>
      <c r="I2983">
        <v>5</v>
      </c>
      <c r="J2983" t="s">
        <v>107</v>
      </c>
      <c r="K2983">
        <v>0</v>
      </c>
      <c r="L2983">
        <v>0</v>
      </c>
      <c r="M2983">
        <v>1</v>
      </c>
      <c r="N2983">
        <v>0</v>
      </c>
      <c r="O2983">
        <v>0</v>
      </c>
      <c r="P2983">
        <v>1</v>
      </c>
      <c r="Q2983" t="s">
        <v>23</v>
      </c>
      <c r="R2983">
        <v>0</v>
      </c>
    </row>
    <row r="2984" spans="1:18">
      <c r="A2984" s="4">
        <v>5635640000000</v>
      </c>
      <c r="B2984" t="s">
        <v>18</v>
      </c>
      <c r="C2984">
        <v>35</v>
      </c>
      <c r="D2984" t="s">
        <v>37</v>
      </c>
      <c r="E2984" t="s">
        <v>29</v>
      </c>
      <c r="F2984" s="1">
        <v>42496</v>
      </c>
      <c r="G2984" s="1">
        <v>42523</v>
      </c>
      <c r="H2984" t="s">
        <v>33</v>
      </c>
      <c r="I2984">
        <v>27</v>
      </c>
      <c r="J2984" t="s">
        <v>77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23</v>
      </c>
      <c r="R2984">
        <v>0</v>
      </c>
    </row>
    <row r="2985" spans="1:18">
      <c r="A2985" s="4">
        <v>9358180000000</v>
      </c>
      <c r="B2985" t="s">
        <v>18</v>
      </c>
      <c r="C2985">
        <v>68</v>
      </c>
      <c r="D2985" t="s">
        <v>19</v>
      </c>
      <c r="E2985" t="s">
        <v>68</v>
      </c>
      <c r="F2985" s="1">
        <v>42496</v>
      </c>
      <c r="G2985" s="1">
        <v>42496</v>
      </c>
      <c r="H2985" t="s">
        <v>21</v>
      </c>
      <c r="I2985">
        <v>0</v>
      </c>
      <c r="J2985" t="s">
        <v>111</v>
      </c>
      <c r="K2985">
        <v>0</v>
      </c>
      <c r="L2985">
        <v>1</v>
      </c>
      <c r="M2985">
        <v>0</v>
      </c>
      <c r="N2985">
        <v>0</v>
      </c>
      <c r="O2985">
        <v>0</v>
      </c>
      <c r="P2985">
        <v>0</v>
      </c>
      <c r="Q2985" t="s">
        <v>23</v>
      </c>
      <c r="R2985">
        <v>0</v>
      </c>
    </row>
    <row r="2986" spans="1:18">
      <c r="A2986" s="4">
        <v>86445900000000</v>
      </c>
      <c r="B2986" t="s">
        <v>18</v>
      </c>
      <c r="C2986">
        <v>35</v>
      </c>
      <c r="D2986" t="s">
        <v>37</v>
      </c>
      <c r="E2986" t="s">
        <v>87</v>
      </c>
      <c r="F2986" s="1">
        <v>42496</v>
      </c>
      <c r="G2986" s="1">
        <v>42499</v>
      </c>
      <c r="H2986" t="s">
        <v>30</v>
      </c>
      <c r="I2986">
        <v>3</v>
      </c>
      <c r="J2986" t="s">
        <v>109</v>
      </c>
      <c r="K2986">
        <v>1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23</v>
      </c>
      <c r="R2986">
        <v>0</v>
      </c>
    </row>
    <row r="2987" spans="1:18">
      <c r="A2987" s="4">
        <v>4459820000000</v>
      </c>
      <c r="B2987" t="s">
        <v>18</v>
      </c>
      <c r="C2987">
        <v>8</v>
      </c>
      <c r="D2987" t="s">
        <v>31</v>
      </c>
      <c r="E2987" t="s">
        <v>40</v>
      </c>
      <c r="F2987" s="1">
        <v>42496</v>
      </c>
      <c r="G2987" s="1">
        <v>42496</v>
      </c>
      <c r="H2987" t="s">
        <v>21</v>
      </c>
      <c r="I2987">
        <v>0</v>
      </c>
      <c r="J2987" t="s">
        <v>111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23</v>
      </c>
      <c r="R2987">
        <v>0</v>
      </c>
    </row>
    <row r="2988" spans="1:18">
      <c r="A2988" s="4">
        <v>676937000000000</v>
      </c>
      <c r="B2988" t="s">
        <v>18</v>
      </c>
      <c r="C2988">
        <v>91</v>
      </c>
      <c r="D2988" t="s">
        <v>19</v>
      </c>
      <c r="E2988" t="s">
        <v>91</v>
      </c>
      <c r="F2988" s="1">
        <v>42496</v>
      </c>
      <c r="G2988" s="1">
        <v>42509</v>
      </c>
      <c r="H2988" t="s">
        <v>33</v>
      </c>
      <c r="I2988">
        <v>13</v>
      </c>
      <c r="J2988" t="s">
        <v>92</v>
      </c>
      <c r="K2988">
        <v>0</v>
      </c>
      <c r="L2988">
        <v>1</v>
      </c>
      <c r="M2988">
        <v>0</v>
      </c>
      <c r="N2988">
        <v>0</v>
      </c>
      <c r="O2988">
        <v>0</v>
      </c>
      <c r="P2988">
        <v>0</v>
      </c>
      <c r="Q2988" t="s">
        <v>23</v>
      </c>
      <c r="R2988">
        <v>0</v>
      </c>
    </row>
    <row r="2989" spans="1:18">
      <c r="A2989" s="4">
        <v>31941500000000</v>
      </c>
      <c r="B2989" t="s">
        <v>18</v>
      </c>
      <c r="C2989">
        <v>44</v>
      </c>
      <c r="D2989" t="s">
        <v>27</v>
      </c>
      <c r="E2989" t="s">
        <v>81</v>
      </c>
      <c r="F2989" s="1">
        <v>42496</v>
      </c>
      <c r="G2989" s="1">
        <v>42500</v>
      </c>
      <c r="H2989" t="s">
        <v>41</v>
      </c>
      <c r="I2989">
        <v>4</v>
      </c>
      <c r="J2989" t="s">
        <v>107</v>
      </c>
      <c r="K2989">
        <v>1</v>
      </c>
      <c r="L2989">
        <v>0</v>
      </c>
      <c r="M2989">
        <v>0</v>
      </c>
      <c r="N2989">
        <v>0</v>
      </c>
      <c r="O2989">
        <v>0</v>
      </c>
      <c r="P2989">
        <v>1</v>
      </c>
      <c r="Q2989" t="s">
        <v>26</v>
      </c>
      <c r="R2989">
        <v>1</v>
      </c>
    </row>
    <row r="2990" spans="1:18">
      <c r="A2990" s="4">
        <v>2648120000000</v>
      </c>
      <c r="B2990" t="s">
        <v>18</v>
      </c>
      <c r="C2990">
        <v>77</v>
      </c>
      <c r="D2990" t="s">
        <v>19</v>
      </c>
      <c r="E2990" t="s">
        <v>38</v>
      </c>
      <c r="F2990" s="1">
        <v>42496</v>
      </c>
      <c r="G2990" s="1">
        <v>42496</v>
      </c>
      <c r="H2990" t="s">
        <v>21</v>
      </c>
      <c r="I2990">
        <v>0</v>
      </c>
      <c r="J2990" t="s">
        <v>111</v>
      </c>
      <c r="K2990">
        <v>0</v>
      </c>
      <c r="L2990">
        <v>1</v>
      </c>
      <c r="M2990">
        <v>1</v>
      </c>
      <c r="N2990">
        <v>0</v>
      </c>
      <c r="O2990">
        <v>0</v>
      </c>
      <c r="P2990">
        <v>0</v>
      </c>
      <c r="Q2990" t="s">
        <v>23</v>
      </c>
      <c r="R2990">
        <v>0</v>
      </c>
    </row>
    <row r="2991" spans="1:18">
      <c r="A2991" s="4">
        <v>122578000000</v>
      </c>
      <c r="B2991" t="s">
        <v>18</v>
      </c>
      <c r="C2991">
        <v>34</v>
      </c>
      <c r="D2991" t="s">
        <v>37</v>
      </c>
      <c r="E2991" t="s">
        <v>75</v>
      </c>
      <c r="F2991" s="1">
        <v>42496</v>
      </c>
      <c r="G2991" s="1">
        <v>42506</v>
      </c>
      <c r="H2991" t="s">
        <v>30</v>
      </c>
      <c r="I2991">
        <v>10</v>
      </c>
      <c r="J2991" t="s">
        <v>92</v>
      </c>
      <c r="K2991">
        <v>1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23</v>
      </c>
      <c r="R2991">
        <v>0</v>
      </c>
    </row>
    <row r="2992" spans="1:18">
      <c r="A2992" s="4">
        <v>2263960000000</v>
      </c>
      <c r="B2992" t="s">
        <v>18</v>
      </c>
      <c r="C2992">
        <v>31</v>
      </c>
      <c r="D2992" t="s">
        <v>37</v>
      </c>
      <c r="E2992" t="s">
        <v>75</v>
      </c>
      <c r="F2992" s="1">
        <v>42496</v>
      </c>
      <c r="G2992" s="1">
        <v>42506</v>
      </c>
      <c r="H2992" t="s">
        <v>30</v>
      </c>
      <c r="I2992">
        <v>10</v>
      </c>
      <c r="J2992" t="s">
        <v>92</v>
      </c>
      <c r="K2992">
        <v>1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26</v>
      </c>
      <c r="R2992">
        <v>1</v>
      </c>
    </row>
    <row r="2993" spans="1:18">
      <c r="A2993" s="4">
        <v>54398500000000</v>
      </c>
      <c r="B2993" t="s">
        <v>18</v>
      </c>
      <c r="C2993">
        <v>26</v>
      </c>
      <c r="D2993" t="s">
        <v>37</v>
      </c>
      <c r="E2993" t="s">
        <v>75</v>
      </c>
      <c r="F2993" s="1">
        <v>42496</v>
      </c>
      <c r="G2993" s="1">
        <v>42506</v>
      </c>
      <c r="H2993" t="s">
        <v>30</v>
      </c>
      <c r="I2993">
        <v>10</v>
      </c>
      <c r="J2993" t="s">
        <v>92</v>
      </c>
      <c r="K2993">
        <v>1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26</v>
      </c>
      <c r="R2993">
        <v>1</v>
      </c>
    </row>
    <row r="2994" spans="1:18">
      <c r="A2994" s="4">
        <v>41288500000000</v>
      </c>
      <c r="B2994" t="s">
        <v>18</v>
      </c>
      <c r="C2994">
        <v>23</v>
      </c>
      <c r="D2994" t="s">
        <v>37</v>
      </c>
      <c r="E2994" t="s">
        <v>79</v>
      </c>
      <c r="F2994" s="1">
        <v>42496</v>
      </c>
      <c r="G2994" s="1">
        <v>42500</v>
      </c>
      <c r="H2994" t="s">
        <v>41</v>
      </c>
      <c r="I2994">
        <v>4</v>
      </c>
      <c r="J2994" t="s">
        <v>107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1</v>
      </c>
      <c r="Q2994" t="s">
        <v>23</v>
      </c>
      <c r="R2994">
        <v>0</v>
      </c>
    </row>
    <row r="2995" spans="1:18">
      <c r="A2995" s="4">
        <v>5295620000000</v>
      </c>
      <c r="B2995" t="s">
        <v>18</v>
      </c>
      <c r="C2995">
        <v>32</v>
      </c>
      <c r="D2995" t="s">
        <v>37</v>
      </c>
      <c r="E2995" t="s">
        <v>105</v>
      </c>
      <c r="F2995" s="1">
        <v>42496</v>
      </c>
      <c r="G2995" s="1">
        <v>42496</v>
      </c>
      <c r="H2995" t="s">
        <v>21</v>
      </c>
      <c r="I2995">
        <v>0</v>
      </c>
      <c r="J2995" t="s">
        <v>111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23</v>
      </c>
      <c r="R2995">
        <v>0</v>
      </c>
    </row>
    <row r="2996" spans="1:18">
      <c r="A2996" s="4">
        <v>141147000000</v>
      </c>
      <c r="B2996" t="s">
        <v>28</v>
      </c>
      <c r="C2996">
        <v>66</v>
      </c>
      <c r="D2996" t="s">
        <v>19</v>
      </c>
      <c r="E2996" t="s">
        <v>54</v>
      </c>
      <c r="F2996" s="1">
        <v>42496</v>
      </c>
      <c r="G2996" s="1">
        <v>42500</v>
      </c>
      <c r="H2996" t="s">
        <v>41</v>
      </c>
      <c r="I2996">
        <v>4</v>
      </c>
      <c r="J2996" t="s">
        <v>107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1</v>
      </c>
      <c r="Q2996" t="s">
        <v>23</v>
      </c>
      <c r="R2996">
        <v>0</v>
      </c>
    </row>
    <row r="2997" spans="1:18">
      <c r="A2997" s="4">
        <v>515795000000</v>
      </c>
      <c r="B2997" t="s">
        <v>18</v>
      </c>
      <c r="C2997">
        <v>44</v>
      </c>
      <c r="D2997" t="s">
        <v>27</v>
      </c>
      <c r="E2997" t="s">
        <v>101</v>
      </c>
      <c r="F2997" s="1">
        <v>42496</v>
      </c>
      <c r="G2997" s="1">
        <v>42515</v>
      </c>
      <c r="H2997" t="s">
        <v>25</v>
      </c>
      <c r="I2997">
        <v>19</v>
      </c>
      <c r="J2997" t="s">
        <v>77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1</v>
      </c>
      <c r="Q2997" t="s">
        <v>23</v>
      </c>
      <c r="R2997">
        <v>0</v>
      </c>
    </row>
    <row r="2998" spans="1:18">
      <c r="A2998" s="4">
        <v>5436760000000</v>
      </c>
      <c r="B2998" t="s">
        <v>18</v>
      </c>
      <c r="C2998">
        <v>47</v>
      </c>
      <c r="D2998" t="s">
        <v>27</v>
      </c>
      <c r="E2998" t="s">
        <v>94</v>
      </c>
      <c r="F2998" s="1">
        <v>42496</v>
      </c>
      <c r="G2998" s="1">
        <v>42509</v>
      </c>
      <c r="H2998" t="s">
        <v>33</v>
      </c>
      <c r="I2998">
        <v>13</v>
      </c>
      <c r="J2998" t="s">
        <v>92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26</v>
      </c>
      <c r="R2998">
        <v>1</v>
      </c>
    </row>
    <row r="2999" spans="1:18">
      <c r="A2999" s="4">
        <v>3813690000000</v>
      </c>
      <c r="B2999" t="s">
        <v>18</v>
      </c>
      <c r="C2999">
        <v>2</v>
      </c>
      <c r="D2999" t="s">
        <v>31</v>
      </c>
      <c r="E2999" t="s">
        <v>64</v>
      </c>
      <c r="F2999" s="1">
        <v>42496</v>
      </c>
      <c r="G2999" s="1">
        <v>42496</v>
      </c>
      <c r="H2999" t="s">
        <v>21</v>
      </c>
      <c r="I2999">
        <v>0</v>
      </c>
      <c r="J2999" t="s">
        <v>111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23</v>
      </c>
      <c r="R2999">
        <v>0</v>
      </c>
    </row>
    <row r="3000" spans="1:18">
      <c r="A3000" s="4">
        <v>8971800000000</v>
      </c>
      <c r="B3000" t="s">
        <v>18</v>
      </c>
      <c r="C3000">
        <v>23</v>
      </c>
      <c r="D3000" t="s">
        <v>37</v>
      </c>
      <c r="E3000" t="s">
        <v>48</v>
      </c>
      <c r="F3000" s="1">
        <v>42496</v>
      </c>
      <c r="G3000" s="1">
        <v>42503</v>
      </c>
      <c r="H3000" t="s">
        <v>21</v>
      </c>
      <c r="I3000">
        <v>7</v>
      </c>
      <c r="J3000" t="s">
        <v>107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23</v>
      </c>
      <c r="R3000">
        <v>0</v>
      </c>
    </row>
    <row r="3001" spans="1:18">
      <c r="A3001" s="4">
        <v>4564830000000</v>
      </c>
      <c r="B3001" t="s">
        <v>18</v>
      </c>
      <c r="C3001">
        <v>49</v>
      </c>
      <c r="D3001" t="s">
        <v>27</v>
      </c>
      <c r="E3001" t="s">
        <v>20</v>
      </c>
      <c r="F3001" s="1">
        <v>42496</v>
      </c>
      <c r="G3001" s="1">
        <v>42496</v>
      </c>
      <c r="H3001" t="s">
        <v>21</v>
      </c>
      <c r="I3001">
        <v>0</v>
      </c>
      <c r="J3001" t="s">
        <v>111</v>
      </c>
      <c r="K3001">
        <v>0</v>
      </c>
      <c r="L3001">
        <v>1</v>
      </c>
      <c r="M3001">
        <v>0</v>
      </c>
      <c r="N3001">
        <v>0</v>
      </c>
      <c r="O3001">
        <v>0</v>
      </c>
      <c r="P3001">
        <v>0</v>
      </c>
      <c r="Q3001" t="s">
        <v>23</v>
      </c>
      <c r="R3001">
        <v>0</v>
      </c>
    </row>
    <row r="3002" spans="1:18">
      <c r="A3002" s="4">
        <v>6857860000000</v>
      </c>
      <c r="B3002" t="s">
        <v>18</v>
      </c>
      <c r="C3002">
        <v>52</v>
      </c>
      <c r="D3002" t="s">
        <v>35</v>
      </c>
      <c r="E3002" t="s">
        <v>48</v>
      </c>
      <c r="F3002" s="1">
        <v>42496</v>
      </c>
      <c r="G3002" s="1">
        <v>42496</v>
      </c>
      <c r="H3002" t="s">
        <v>21</v>
      </c>
      <c r="I3002">
        <v>0</v>
      </c>
      <c r="J3002" t="s">
        <v>111</v>
      </c>
      <c r="K3002">
        <v>0</v>
      </c>
      <c r="L3002">
        <v>1</v>
      </c>
      <c r="M3002">
        <v>1</v>
      </c>
      <c r="N3002">
        <v>0</v>
      </c>
      <c r="O3002">
        <v>0</v>
      </c>
      <c r="P3002">
        <v>0</v>
      </c>
      <c r="Q3002" t="s">
        <v>23</v>
      </c>
      <c r="R3002">
        <v>0</v>
      </c>
    </row>
    <row r="3003" spans="1:18">
      <c r="A3003" s="4">
        <v>92691600000000</v>
      </c>
      <c r="B3003" t="s">
        <v>18</v>
      </c>
      <c r="C3003">
        <v>9</v>
      </c>
      <c r="D3003" t="s">
        <v>31</v>
      </c>
      <c r="E3003" t="s">
        <v>63</v>
      </c>
      <c r="F3003" s="1">
        <v>42496</v>
      </c>
      <c r="G3003" s="1">
        <v>42509</v>
      </c>
      <c r="H3003" t="s">
        <v>33</v>
      </c>
      <c r="I3003">
        <v>13</v>
      </c>
      <c r="J3003" t="s">
        <v>92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26</v>
      </c>
      <c r="R3003">
        <v>1</v>
      </c>
    </row>
    <row r="3004" spans="1:18">
      <c r="A3004" s="4">
        <v>16511900000000</v>
      </c>
      <c r="B3004" t="s">
        <v>28</v>
      </c>
      <c r="C3004">
        <v>62</v>
      </c>
      <c r="D3004" t="s">
        <v>35</v>
      </c>
      <c r="E3004" t="s">
        <v>32</v>
      </c>
      <c r="F3004" s="1">
        <v>42496</v>
      </c>
      <c r="G3004" s="1">
        <v>42501</v>
      </c>
      <c r="H3004" t="s">
        <v>25</v>
      </c>
      <c r="I3004">
        <v>5</v>
      </c>
      <c r="J3004" t="s">
        <v>107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1</v>
      </c>
      <c r="Q3004" t="s">
        <v>23</v>
      </c>
      <c r="R3004">
        <v>0</v>
      </c>
    </row>
    <row r="3005" spans="1:18">
      <c r="A3005" s="4">
        <v>3778720000000</v>
      </c>
      <c r="B3005" t="s">
        <v>18</v>
      </c>
      <c r="C3005">
        <v>61</v>
      </c>
      <c r="D3005" t="s">
        <v>35</v>
      </c>
      <c r="E3005" t="s">
        <v>69</v>
      </c>
      <c r="F3005" s="1">
        <v>42496</v>
      </c>
      <c r="G3005" s="1">
        <v>42499</v>
      </c>
      <c r="H3005" t="s">
        <v>30</v>
      </c>
      <c r="I3005">
        <v>3</v>
      </c>
      <c r="J3005" t="s">
        <v>109</v>
      </c>
      <c r="K3005">
        <v>0</v>
      </c>
      <c r="L3005">
        <v>1</v>
      </c>
      <c r="M3005">
        <v>0</v>
      </c>
      <c r="N3005">
        <v>0</v>
      </c>
      <c r="O3005">
        <v>0</v>
      </c>
      <c r="P3005">
        <v>0</v>
      </c>
      <c r="Q3005" t="s">
        <v>26</v>
      </c>
      <c r="R3005">
        <v>1</v>
      </c>
    </row>
    <row r="3006" spans="1:18">
      <c r="A3006" s="4">
        <v>9873140000000</v>
      </c>
      <c r="B3006" t="s">
        <v>18</v>
      </c>
      <c r="C3006">
        <v>61</v>
      </c>
      <c r="D3006" t="s">
        <v>35</v>
      </c>
      <c r="E3006" t="s">
        <v>57</v>
      </c>
      <c r="F3006" s="1">
        <v>42496</v>
      </c>
      <c r="G3006" s="1">
        <v>42496</v>
      </c>
      <c r="H3006" t="s">
        <v>21</v>
      </c>
      <c r="I3006">
        <v>0</v>
      </c>
      <c r="J3006" t="s">
        <v>111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23</v>
      </c>
      <c r="R3006">
        <v>0</v>
      </c>
    </row>
    <row r="3007" spans="1:18">
      <c r="A3007" s="4">
        <v>219528000000</v>
      </c>
      <c r="B3007" t="s">
        <v>18</v>
      </c>
      <c r="C3007">
        <v>42</v>
      </c>
      <c r="D3007" t="s">
        <v>27</v>
      </c>
      <c r="E3007" t="s">
        <v>57</v>
      </c>
      <c r="F3007" s="1">
        <v>42496</v>
      </c>
      <c r="G3007" s="1">
        <v>42496</v>
      </c>
      <c r="H3007" t="s">
        <v>21</v>
      </c>
      <c r="I3007">
        <v>0</v>
      </c>
      <c r="J3007" t="s">
        <v>111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23</v>
      </c>
      <c r="R3007">
        <v>0</v>
      </c>
    </row>
    <row r="3008" spans="1:18">
      <c r="A3008" s="4">
        <v>784434000000</v>
      </c>
      <c r="B3008" t="s">
        <v>18</v>
      </c>
      <c r="C3008">
        <v>41</v>
      </c>
      <c r="D3008" t="s">
        <v>27</v>
      </c>
      <c r="E3008" t="s">
        <v>72</v>
      </c>
      <c r="F3008" s="1">
        <v>42496</v>
      </c>
      <c r="G3008" s="1">
        <v>42496</v>
      </c>
      <c r="H3008" t="s">
        <v>21</v>
      </c>
      <c r="I3008">
        <v>0</v>
      </c>
      <c r="J3008" t="s">
        <v>111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23</v>
      </c>
      <c r="R3008">
        <v>0</v>
      </c>
    </row>
    <row r="3009" spans="1:18">
      <c r="A3009" s="4">
        <v>839284000000000</v>
      </c>
      <c r="B3009" t="s">
        <v>18</v>
      </c>
      <c r="C3009">
        <v>42</v>
      </c>
      <c r="D3009" t="s">
        <v>27</v>
      </c>
      <c r="E3009" t="s">
        <v>105</v>
      </c>
      <c r="F3009" s="1">
        <v>42496</v>
      </c>
      <c r="G3009" s="1">
        <v>42496</v>
      </c>
      <c r="H3009" t="s">
        <v>21</v>
      </c>
      <c r="I3009">
        <v>0</v>
      </c>
      <c r="J3009" t="s">
        <v>111</v>
      </c>
      <c r="K3009">
        <v>1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23</v>
      </c>
      <c r="R3009">
        <v>0</v>
      </c>
    </row>
    <row r="3010" spans="1:18">
      <c r="A3010" s="4">
        <v>929647000000</v>
      </c>
      <c r="B3010" t="s">
        <v>18</v>
      </c>
      <c r="C3010">
        <v>26</v>
      </c>
      <c r="D3010" t="s">
        <v>37</v>
      </c>
      <c r="E3010" t="s">
        <v>38</v>
      </c>
      <c r="F3010" s="1">
        <v>42496</v>
      </c>
      <c r="G3010" s="1">
        <v>42496</v>
      </c>
      <c r="H3010" t="s">
        <v>21</v>
      </c>
      <c r="I3010">
        <v>0</v>
      </c>
      <c r="J3010" t="s">
        <v>111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23</v>
      </c>
      <c r="R3010">
        <v>0</v>
      </c>
    </row>
    <row r="3011" spans="1:18">
      <c r="A3011" s="4">
        <v>139481000000000</v>
      </c>
      <c r="B3011" t="s">
        <v>18</v>
      </c>
      <c r="C3011">
        <v>46</v>
      </c>
      <c r="D3011" t="s">
        <v>27</v>
      </c>
      <c r="E3011" t="s">
        <v>44</v>
      </c>
      <c r="F3011" s="1">
        <v>42496</v>
      </c>
      <c r="G3011" s="1">
        <v>42496</v>
      </c>
      <c r="H3011" t="s">
        <v>21</v>
      </c>
      <c r="I3011">
        <v>0</v>
      </c>
      <c r="J3011" t="s">
        <v>111</v>
      </c>
      <c r="K3011">
        <v>0</v>
      </c>
      <c r="L3011">
        <v>1</v>
      </c>
      <c r="M3011">
        <v>0</v>
      </c>
      <c r="N3011">
        <v>0</v>
      </c>
      <c r="O3011">
        <v>0</v>
      </c>
      <c r="P3011">
        <v>0</v>
      </c>
      <c r="Q3011" t="s">
        <v>23</v>
      </c>
      <c r="R3011">
        <v>0</v>
      </c>
    </row>
    <row r="3012" spans="1:18">
      <c r="A3012" s="4">
        <v>151999000000000</v>
      </c>
      <c r="B3012" t="s">
        <v>28</v>
      </c>
      <c r="C3012">
        <v>0</v>
      </c>
      <c r="D3012" t="s">
        <v>31</v>
      </c>
      <c r="E3012" t="s">
        <v>72</v>
      </c>
      <c r="F3012" s="1">
        <v>42496</v>
      </c>
      <c r="G3012" s="1">
        <v>42496</v>
      </c>
      <c r="H3012" t="s">
        <v>21</v>
      </c>
      <c r="I3012">
        <v>0</v>
      </c>
      <c r="J3012" t="s">
        <v>111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23</v>
      </c>
      <c r="R3012">
        <v>0</v>
      </c>
    </row>
    <row r="3013" spans="1:18">
      <c r="A3013" s="4">
        <v>86497739749</v>
      </c>
      <c r="B3013" t="s">
        <v>18</v>
      </c>
      <c r="C3013">
        <v>28</v>
      </c>
      <c r="D3013" t="s">
        <v>37</v>
      </c>
      <c r="E3013" t="s">
        <v>29</v>
      </c>
      <c r="F3013" s="1">
        <v>42496</v>
      </c>
      <c r="G3013" s="1">
        <v>42496</v>
      </c>
      <c r="H3013" t="s">
        <v>21</v>
      </c>
      <c r="I3013">
        <v>0</v>
      </c>
      <c r="J3013" t="s">
        <v>111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23</v>
      </c>
      <c r="R3013">
        <v>0</v>
      </c>
    </row>
    <row r="3014" spans="1:18">
      <c r="A3014" s="4">
        <v>873975000000000</v>
      </c>
      <c r="B3014" t="s">
        <v>18</v>
      </c>
      <c r="C3014">
        <v>36</v>
      </c>
      <c r="D3014" t="s">
        <v>27</v>
      </c>
      <c r="E3014" t="s">
        <v>59</v>
      </c>
      <c r="F3014" s="1">
        <v>42496</v>
      </c>
      <c r="G3014" s="1">
        <v>42496</v>
      </c>
      <c r="H3014" t="s">
        <v>21</v>
      </c>
      <c r="I3014">
        <v>0</v>
      </c>
      <c r="J3014" t="s">
        <v>111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23</v>
      </c>
      <c r="R3014">
        <v>0</v>
      </c>
    </row>
    <row r="3015" spans="1:18">
      <c r="A3015" s="4">
        <v>278716000000000</v>
      </c>
      <c r="B3015" t="s">
        <v>28</v>
      </c>
      <c r="C3015">
        <v>5</v>
      </c>
      <c r="D3015" t="s">
        <v>31</v>
      </c>
      <c r="E3015" t="s">
        <v>69</v>
      </c>
      <c r="F3015" s="1">
        <v>42496</v>
      </c>
      <c r="G3015" s="1">
        <v>42496</v>
      </c>
      <c r="H3015" t="s">
        <v>21</v>
      </c>
      <c r="I3015">
        <v>0</v>
      </c>
      <c r="J3015" t="s">
        <v>111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23</v>
      </c>
      <c r="R3015">
        <v>0</v>
      </c>
    </row>
    <row r="3016" spans="1:18">
      <c r="A3016" s="4">
        <v>26671400000000</v>
      </c>
      <c r="B3016" t="s">
        <v>18</v>
      </c>
      <c r="C3016">
        <v>64</v>
      </c>
      <c r="D3016" t="s">
        <v>35</v>
      </c>
      <c r="E3016" t="s">
        <v>97</v>
      </c>
      <c r="F3016" s="1">
        <v>42496</v>
      </c>
      <c r="G3016" s="1">
        <v>42509</v>
      </c>
      <c r="H3016" t="s">
        <v>33</v>
      </c>
      <c r="I3016">
        <v>13</v>
      </c>
      <c r="J3016" t="s">
        <v>92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23</v>
      </c>
      <c r="R3016">
        <v>0</v>
      </c>
    </row>
    <row r="3017" spans="1:18">
      <c r="A3017" s="4">
        <v>652673000000000</v>
      </c>
      <c r="B3017" t="s">
        <v>28</v>
      </c>
      <c r="C3017">
        <v>53</v>
      </c>
      <c r="D3017" t="s">
        <v>35</v>
      </c>
      <c r="E3017" t="s">
        <v>89</v>
      </c>
      <c r="F3017" s="1">
        <v>42496</v>
      </c>
      <c r="G3017" s="1">
        <v>42496</v>
      </c>
      <c r="H3017" t="s">
        <v>21</v>
      </c>
      <c r="I3017">
        <v>0</v>
      </c>
      <c r="J3017" t="s">
        <v>111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23</v>
      </c>
      <c r="R3017">
        <v>0</v>
      </c>
    </row>
    <row r="3018" spans="1:18">
      <c r="A3018" s="4">
        <v>28865851445</v>
      </c>
      <c r="B3018" t="s">
        <v>18</v>
      </c>
      <c r="C3018">
        <v>79</v>
      </c>
      <c r="D3018" t="s">
        <v>19</v>
      </c>
      <c r="E3018" t="s">
        <v>96</v>
      </c>
      <c r="F3018" s="1">
        <v>42496</v>
      </c>
      <c r="G3018" s="1">
        <v>42499</v>
      </c>
      <c r="H3018" t="s">
        <v>30</v>
      </c>
      <c r="I3018">
        <v>3</v>
      </c>
      <c r="J3018" t="s">
        <v>109</v>
      </c>
      <c r="K3018">
        <v>0</v>
      </c>
      <c r="L3018">
        <v>1</v>
      </c>
      <c r="M3018">
        <v>0</v>
      </c>
      <c r="N3018">
        <v>0</v>
      </c>
      <c r="O3018">
        <v>0</v>
      </c>
      <c r="P3018">
        <v>0</v>
      </c>
      <c r="Q3018" t="s">
        <v>26</v>
      </c>
      <c r="R3018">
        <v>1</v>
      </c>
    </row>
    <row r="3019" spans="1:18">
      <c r="A3019" s="4">
        <v>175534000000000</v>
      </c>
      <c r="B3019" t="s">
        <v>18</v>
      </c>
      <c r="C3019">
        <v>45</v>
      </c>
      <c r="D3019" t="s">
        <v>27</v>
      </c>
      <c r="E3019" t="s">
        <v>71</v>
      </c>
      <c r="F3019" s="1">
        <v>42496</v>
      </c>
      <c r="G3019" s="1">
        <v>42499</v>
      </c>
      <c r="H3019" t="s">
        <v>30</v>
      </c>
      <c r="I3019">
        <v>3</v>
      </c>
      <c r="J3019" t="s">
        <v>109</v>
      </c>
      <c r="K3019">
        <v>0</v>
      </c>
      <c r="L3019">
        <v>1</v>
      </c>
      <c r="M3019">
        <v>1</v>
      </c>
      <c r="N3019">
        <v>0</v>
      </c>
      <c r="O3019">
        <v>0</v>
      </c>
      <c r="P3019">
        <v>0</v>
      </c>
      <c r="Q3019" t="s">
        <v>26</v>
      </c>
      <c r="R3019">
        <v>1</v>
      </c>
    </row>
    <row r="3020" spans="1:18">
      <c r="A3020" s="4">
        <v>83517400000000</v>
      </c>
      <c r="B3020" t="s">
        <v>18</v>
      </c>
      <c r="C3020">
        <v>46</v>
      </c>
      <c r="D3020" t="s">
        <v>27</v>
      </c>
      <c r="E3020" t="s">
        <v>101</v>
      </c>
      <c r="F3020" s="1">
        <v>42496</v>
      </c>
      <c r="G3020" s="1">
        <v>42496</v>
      </c>
      <c r="H3020" t="s">
        <v>21</v>
      </c>
      <c r="I3020">
        <v>0</v>
      </c>
      <c r="J3020" t="s">
        <v>111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23</v>
      </c>
      <c r="R3020">
        <v>0</v>
      </c>
    </row>
    <row r="3021" spans="1:18">
      <c r="A3021" s="4">
        <v>88181500000000</v>
      </c>
      <c r="B3021" t="s">
        <v>18</v>
      </c>
      <c r="C3021">
        <v>69</v>
      </c>
      <c r="D3021" t="s">
        <v>19</v>
      </c>
      <c r="E3021" t="s">
        <v>29</v>
      </c>
      <c r="F3021" s="1">
        <v>42496</v>
      </c>
      <c r="G3021" s="1">
        <v>42524</v>
      </c>
      <c r="H3021" t="s">
        <v>21</v>
      </c>
      <c r="I3021">
        <v>28</v>
      </c>
      <c r="J3021" t="s">
        <v>77</v>
      </c>
      <c r="K3021">
        <v>0</v>
      </c>
      <c r="L3021">
        <v>1</v>
      </c>
      <c r="M3021">
        <v>0</v>
      </c>
      <c r="N3021">
        <v>0</v>
      </c>
      <c r="O3021">
        <v>0</v>
      </c>
      <c r="P3021">
        <v>1</v>
      </c>
      <c r="Q3021" t="s">
        <v>23</v>
      </c>
      <c r="R3021">
        <v>0</v>
      </c>
    </row>
    <row r="3022" spans="1:18">
      <c r="A3022" s="4">
        <v>47869800000000</v>
      </c>
      <c r="B3022" t="s">
        <v>28</v>
      </c>
      <c r="C3022">
        <v>14</v>
      </c>
      <c r="D3022" t="s">
        <v>60</v>
      </c>
      <c r="E3022" t="s">
        <v>39</v>
      </c>
      <c r="F3022" s="1">
        <v>42496</v>
      </c>
      <c r="G3022" s="1">
        <v>42496</v>
      </c>
      <c r="H3022" t="s">
        <v>21</v>
      </c>
      <c r="I3022">
        <v>0</v>
      </c>
      <c r="J3022" t="s">
        <v>111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23</v>
      </c>
      <c r="R3022">
        <v>0</v>
      </c>
    </row>
    <row r="3023" spans="1:18">
      <c r="A3023" s="4">
        <v>52296400000000</v>
      </c>
      <c r="B3023" t="s">
        <v>28</v>
      </c>
      <c r="C3023">
        <v>47</v>
      </c>
      <c r="D3023" t="s">
        <v>27</v>
      </c>
      <c r="E3023" t="s">
        <v>34</v>
      </c>
      <c r="F3023" s="1">
        <v>42496</v>
      </c>
      <c r="G3023" s="1">
        <v>42496</v>
      </c>
      <c r="H3023" t="s">
        <v>21</v>
      </c>
      <c r="I3023">
        <v>0</v>
      </c>
      <c r="J3023" t="s">
        <v>111</v>
      </c>
      <c r="K3023">
        <v>0</v>
      </c>
      <c r="L3023">
        <v>1</v>
      </c>
      <c r="M3023">
        <v>0</v>
      </c>
      <c r="N3023">
        <v>0</v>
      </c>
      <c r="O3023">
        <v>0</v>
      </c>
      <c r="P3023">
        <v>0</v>
      </c>
      <c r="Q3023" t="s">
        <v>23</v>
      </c>
      <c r="R3023">
        <v>0</v>
      </c>
    </row>
    <row r="3024" spans="1:18">
      <c r="A3024" s="4">
        <v>173439000000</v>
      </c>
      <c r="B3024" t="s">
        <v>28</v>
      </c>
      <c r="C3024">
        <v>0</v>
      </c>
      <c r="D3024" t="s">
        <v>31</v>
      </c>
      <c r="E3024" t="s">
        <v>87</v>
      </c>
      <c r="F3024" s="1">
        <v>42496</v>
      </c>
      <c r="G3024" s="1">
        <v>42496</v>
      </c>
      <c r="H3024" t="s">
        <v>21</v>
      </c>
      <c r="I3024">
        <v>0</v>
      </c>
      <c r="J3024" t="s">
        <v>111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23</v>
      </c>
      <c r="R3024">
        <v>0</v>
      </c>
    </row>
    <row r="3025" spans="1:18">
      <c r="A3025" s="4">
        <v>59487300000000</v>
      </c>
      <c r="B3025" t="s">
        <v>18</v>
      </c>
      <c r="C3025">
        <v>6</v>
      </c>
      <c r="D3025" t="s">
        <v>31</v>
      </c>
      <c r="E3025" t="s">
        <v>29</v>
      </c>
      <c r="F3025" s="1">
        <v>42496</v>
      </c>
      <c r="G3025" s="1">
        <v>42522</v>
      </c>
      <c r="H3025" t="s">
        <v>25</v>
      </c>
      <c r="I3025">
        <v>26</v>
      </c>
      <c r="J3025" t="s">
        <v>77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1</v>
      </c>
      <c r="Q3025" t="s">
        <v>23</v>
      </c>
      <c r="R3025">
        <v>0</v>
      </c>
    </row>
    <row r="3026" spans="1:18">
      <c r="A3026" s="4">
        <v>273831000000000</v>
      </c>
      <c r="B3026" t="s">
        <v>18</v>
      </c>
      <c r="C3026">
        <v>55</v>
      </c>
      <c r="D3026" t="s">
        <v>35</v>
      </c>
      <c r="E3026" t="s">
        <v>82</v>
      </c>
      <c r="F3026" s="1">
        <v>42496</v>
      </c>
      <c r="G3026" s="1">
        <v>42509</v>
      </c>
      <c r="H3026" t="s">
        <v>33</v>
      </c>
      <c r="I3026">
        <v>13</v>
      </c>
      <c r="J3026" t="s">
        <v>92</v>
      </c>
      <c r="K3026">
        <v>0</v>
      </c>
      <c r="L3026">
        <v>1</v>
      </c>
      <c r="M3026">
        <v>0</v>
      </c>
      <c r="N3026">
        <v>0</v>
      </c>
      <c r="O3026">
        <v>0</v>
      </c>
      <c r="P3026">
        <v>0</v>
      </c>
      <c r="Q3026" t="s">
        <v>23</v>
      </c>
      <c r="R3026">
        <v>0</v>
      </c>
    </row>
    <row r="3027" spans="1:18">
      <c r="A3027" s="4">
        <v>255992000000</v>
      </c>
      <c r="B3027" t="s">
        <v>18</v>
      </c>
      <c r="C3027">
        <v>57</v>
      </c>
      <c r="D3027" t="s">
        <v>35</v>
      </c>
      <c r="E3027" t="s">
        <v>54</v>
      </c>
      <c r="F3027" s="1">
        <v>42496</v>
      </c>
      <c r="G3027" s="1">
        <v>42496</v>
      </c>
      <c r="H3027" t="s">
        <v>21</v>
      </c>
      <c r="I3027">
        <v>0</v>
      </c>
      <c r="J3027" t="s">
        <v>111</v>
      </c>
      <c r="K3027">
        <v>0</v>
      </c>
      <c r="L3027">
        <v>1</v>
      </c>
      <c r="M3027">
        <v>0</v>
      </c>
      <c r="N3027">
        <v>0</v>
      </c>
      <c r="O3027">
        <v>0</v>
      </c>
      <c r="P3027">
        <v>0</v>
      </c>
      <c r="Q3027" t="s">
        <v>23</v>
      </c>
      <c r="R3027">
        <v>0</v>
      </c>
    </row>
    <row r="3028" spans="1:18">
      <c r="A3028" s="4">
        <v>34552500000000</v>
      </c>
      <c r="B3028" t="s">
        <v>28</v>
      </c>
      <c r="C3028">
        <v>6</v>
      </c>
      <c r="D3028" t="s">
        <v>31</v>
      </c>
      <c r="E3028" t="s">
        <v>73</v>
      </c>
      <c r="F3028" s="1">
        <v>42496</v>
      </c>
      <c r="G3028" s="1">
        <v>42496</v>
      </c>
      <c r="H3028" t="s">
        <v>21</v>
      </c>
      <c r="I3028">
        <v>0</v>
      </c>
      <c r="J3028" t="s">
        <v>111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23</v>
      </c>
      <c r="R3028">
        <v>0</v>
      </c>
    </row>
    <row r="3029" spans="1:18">
      <c r="A3029" s="4">
        <v>333381000000</v>
      </c>
      <c r="B3029" t="s">
        <v>18</v>
      </c>
      <c r="C3029">
        <v>49</v>
      </c>
      <c r="D3029" t="s">
        <v>27</v>
      </c>
      <c r="E3029" t="s">
        <v>84</v>
      </c>
      <c r="F3029" s="1">
        <v>42496</v>
      </c>
      <c r="G3029" s="1">
        <v>42499</v>
      </c>
      <c r="H3029" t="s">
        <v>30</v>
      </c>
      <c r="I3029">
        <v>3</v>
      </c>
      <c r="J3029" t="s">
        <v>109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26</v>
      </c>
      <c r="R3029">
        <v>1</v>
      </c>
    </row>
    <row r="3030" spans="1:18">
      <c r="A3030" s="4">
        <v>5573580000000</v>
      </c>
      <c r="B3030" t="s">
        <v>28</v>
      </c>
      <c r="C3030">
        <v>1</v>
      </c>
      <c r="D3030" t="s">
        <v>31</v>
      </c>
      <c r="E3030" t="s">
        <v>67</v>
      </c>
      <c r="F3030" s="1">
        <v>42496</v>
      </c>
      <c r="G3030" s="1">
        <v>42496</v>
      </c>
      <c r="H3030" t="s">
        <v>21</v>
      </c>
      <c r="I3030">
        <v>0</v>
      </c>
      <c r="J3030" t="s">
        <v>111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23</v>
      </c>
      <c r="R3030">
        <v>0</v>
      </c>
    </row>
    <row r="3031" spans="1:18">
      <c r="A3031" s="4">
        <v>297891000000000</v>
      </c>
      <c r="B3031" t="s">
        <v>28</v>
      </c>
      <c r="C3031">
        <v>10</v>
      </c>
      <c r="D3031" t="s">
        <v>31</v>
      </c>
      <c r="E3031" t="s">
        <v>61</v>
      </c>
      <c r="F3031" s="1">
        <v>42496</v>
      </c>
      <c r="G3031" s="1">
        <v>42502</v>
      </c>
      <c r="H3031" t="s">
        <v>33</v>
      </c>
      <c r="I3031">
        <v>6</v>
      </c>
      <c r="J3031" t="s">
        <v>107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23</v>
      </c>
      <c r="R3031">
        <v>0</v>
      </c>
    </row>
    <row r="3032" spans="1:18">
      <c r="A3032" s="4">
        <v>3257550000000</v>
      </c>
      <c r="B3032" t="s">
        <v>28</v>
      </c>
      <c r="C3032">
        <v>23</v>
      </c>
      <c r="D3032" t="s">
        <v>37</v>
      </c>
      <c r="E3032" t="s">
        <v>84</v>
      </c>
      <c r="F3032" s="1">
        <v>42496</v>
      </c>
      <c r="G3032" s="1">
        <v>42496</v>
      </c>
      <c r="H3032" t="s">
        <v>21</v>
      </c>
      <c r="I3032">
        <v>0</v>
      </c>
      <c r="J3032" t="s">
        <v>111</v>
      </c>
      <c r="K3032">
        <v>0</v>
      </c>
      <c r="L3032">
        <v>0</v>
      </c>
      <c r="M3032">
        <v>0</v>
      </c>
      <c r="N3032">
        <v>1</v>
      </c>
      <c r="O3032">
        <v>0</v>
      </c>
      <c r="P3032">
        <v>0</v>
      </c>
      <c r="Q3032" t="s">
        <v>23</v>
      </c>
      <c r="R3032">
        <v>0</v>
      </c>
    </row>
    <row r="3033" spans="1:18">
      <c r="A3033" s="4">
        <v>941182000000000</v>
      </c>
      <c r="B3033" t="s">
        <v>18</v>
      </c>
      <c r="C3033">
        <v>64</v>
      </c>
      <c r="D3033" t="s">
        <v>35</v>
      </c>
      <c r="E3033" t="s">
        <v>88</v>
      </c>
      <c r="F3033" s="1">
        <v>42496</v>
      </c>
      <c r="G3033" s="1">
        <v>42496</v>
      </c>
      <c r="H3033" t="s">
        <v>21</v>
      </c>
      <c r="I3033">
        <v>0</v>
      </c>
      <c r="J3033" t="s">
        <v>111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23</v>
      </c>
      <c r="R3033">
        <v>0</v>
      </c>
    </row>
    <row r="3034" spans="1:18">
      <c r="A3034" s="4">
        <v>987415000000000</v>
      </c>
      <c r="B3034" t="s">
        <v>28</v>
      </c>
      <c r="C3034">
        <v>7</v>
      </c>
      <c r="D3034" t="s">
        <v>31</v>
      </c>
      <c r="E3034" t="s">
        <v>105</v>
      </c>
      <c r="F3034" s="1">
        <v>42496</v>
      </c>
      <c r="G3034" s="1">
        <v>42496</v>
      </c>
      <c r="H3034" t="s">
        <v>21</v>
      </c>
      <c r="I3034">
        <v>0</v>
      </c>
      <c r="J3034" t="s">
        <v>111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23</v>
      </c>
      <c r="R3034">
        <v>0</v>
      </c>
    </row>
    <row r="3035" spans="1:18">
      <c r="A3035" s="4">
        <v>268626000000000</v>
      </c>
      <c r="B3035" t="s">
        <v>18</v>
      </c>
      <c r="C3035">
        <v>0</v>
      </c>
      <c r="D3035" t="s">
        <v>31</v>
      </c>
      <c r="E3035" t="s">
        <v>72</v>
      </c>
      <c r="F3035" s="1">
        <v>42496</v>
      </c>
      <c r="G3035" s="1">
        <v>42499</v>
      </c>
      <c r="H3035" t="s">
        <v>30</v>
      </c>
      <c r="I3035">
        <v>3</v>
      </c>
      <c r="J3035" t="s">
        <v>109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23</v>
      </c>
      <c r="R3035">
        <v>0</v>
      </c>
    </row>
    <row r="3036" spans="1:18">
      <c r="A3036" s="4">
        <v>4494160000000</v>
      </c>
      <c r="B3036" t="s">
        <v>18</v>
      </c>
      <c r="C3036">
        <v>16</v>
      </c>
      <c r="D3036" t="s">
        <v>60</v>
      </c>
      <c r="E3036" t="s">
        <v>45</v>
      </c>
      <c r="F3036" s="1">
        <v>42496</v>
      </c>
      <c r="G3036" s="1">
        <v>42499</v>
      </c>
      <c r="H3036" t="s">
        <v>30</v>
      </c>
      <c r="I3036">
        <v>3</v>
      </c>
      <c r="J3036" t="s">
        <v>109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23</v>
      </c>
      <c r="R3036">
        <v>0</v>
      </c>
    </row>
    <row r="3037" spans="1:18">
      <c r="A3037" s="4">
        <v>84372900000000</v>
      </c>
      <c r="B3037" t="s">
        <v>28</v>
      </c>
      <c r="C3037">
        <v>43</v>
      </c>
      <c r="D3037" t="s">
        <v>27</v>
      </c>
      <c r="E3037" t="s">
        <v>68</v>
      </c>
      <c r="F3037" s="1">
        <v>42496</v>
      </c>
      <c r="G3037" s="1">
        <v>42496</v>
      </c>
      <c r="H3037" t="s">
        <v>21</v>
      </c>
      <c r="I3037">
        <v>0</v>
      </c>
      <c r="J3037" t="s">
        <v>111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23</v>
      </c>
      <c r="R3037">
        <v>0</v>
      </c>
    </row>
    <row r="3038" spans="1:18">
      <c r="A3038" s="4">
        <v>4891350000000</v>
      </c>
      <c r="B3038" t="s">
        <v>18</v>
      </c>
      <c r="C3038">
        <v>17</v>
      </c>
      <c r="D3038" t="s">
        <v>60</v>
      </c>
      <c r="E3038" t="s">
        <v>66</v>
      </c>
      <c r="F3038" s="1">
        <v>42496</v>
      </c>
      <c r="G3038" s="1">
        <v>42496</v>
      </c>
      <c r="H3038" t="s">
        <v>21</v>
      </c>
      <c r="I3038">
        <v>0</v>
      </c>
      <c r="J3038" t="s">
        <v>111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23</v>
      </c>
      <c r="R3038">
        <v>0</v>
      </c>
    </row>
    <row r="3039" spans="1:18">
      <c r="A3039" s="4">
        <v>665999000000000</v>
      </c>
      <c r="B3039" t="s">
        <v>18</v>
      </c>
      <c r="C3039">
        <v>59</v>
      </c>
      <c r="D3039" t="s">
        <v>35</v>
      </c>
      <c r="E3039" t="s">
        <v>96</v>
      </c>
      <c r="F3039" s="1">
        <v>42496</v>
      </c>
      <c r="G3039" s="1">
        <v>42508</v>
      </c>
      <c r="H3039" t="s">
        <v>25</v>
      </c>
      <c r="I3039">
        <v>12</v>
      </c>
      <c r="J3039" t="s">
        <v>92</v>
      </c>
      <c r="K3039">
        <v>0</v>
      </c>
      <c r="L3039">
        <v>1</v>
      </c>
      <c r="M3039">
        <v>0</v>
      </c>
      <c r="N3039">
        <v>0</v>
      </c>
      <c r="O3039">
        <v>0</v>
      </c>
      <c r="P3039">
        <v>0</v>
      </c>
      <c r="Q3039" t="s">
        <v>23</v>
      </c>
      <c r="R3039">
        <v>0</v>
      </c>
    </row>
    <row r="3040" spans="1:18">
      <c r="A3040" s="4">
        <v>587488000000000</v>
      </c>
      <c r="B3040" t="s">
        <v>18</v>
      </c>
      <c r="C3040">
        <v>22</v>
      </c>
      <c r="D3040" t="s">
        <v>37</v>
      </c>
      <c r="E3040" t="s">
        <v>67</v>
      </c>
      <c r="F3040" s="1">
        <v>42496</v>
      </c>
      <c r="G3040" s="1">
        <v>42524</v>
      </c>
      <c r="H3040" t="s">
        <v>21</v>
      </c>
      <c r="I3040">
        <v>28</v>
      </c>
      <c r="J3040" t="s">
        <v>77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1</v>
      </c>
      <c r="Q3040" t="s">
        <v>26</v>
      </c>
      <c r="R3040">
        <v>1</v>
      </c>
    </row>
    <row r="3041" spans="1:18">
      <c r="A3041" s="4">
        <v>525583000000000</v>
      </c>
      <c r="B3041" t="s">
        <v>18</v>
      </c>
      <c r="C3041">
        <v>24</v>
      </c>
      <c r="D3041" t="s">
        <v>37</v>
      </c>
      <c r="E3041" t="s">
        <v>44</v>
      </c>
      <c r="F3041" s="1">
        <v>42496</v>
      </c>
      <c r="G3041" s="1">
        <v>42521</v>
      </c>
      <c r="H3041" t="s">
        <v>41</v>
      </c>
      <c r="I3041">
        <v>25</v>
      </c>
      <c r="J3041" t="s">
        <v>77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1</v>
      </c>
      <c r="Q3041" t="s">
        <v>26</v>
      </c>
      <c r="R3041">
        <v>1</v>
      </c>
    </row>
    <row r="3042" spans="1:18">
      <c r="A3042" s="4">
        <v>72748100000000</v>
      </c>
      <c r="B3042" t="s">
        <v>18</v>
      </c>
      <c r="C3042">
        <v>66</v>
      </c>
      <c r="D3042" t="s">
        <v>19</v>
      </c>
      <c r="E3042" t="s">
        <v>39</v>
      </c>
      <c r="F3042" s="1">
        <v>42496</v>
      </c>
      <c r="G3042" s="1">
        <v>42496</v>
      </c>
      <c r="H3042" t="s">
        <v>21</v>
      </c>
      <c r="I3042">
        <v>0</v>
      </c>
      <c r="J3042" t="s">
        <v>111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23</v>
      </c>
      <c r="R3042">
        <v>0</v>
      </c>
    </row>
    <row r="3043" spans="1:18">
      <c r="A3043" s="4">
        <v>992672000000000</v>
      </c>
      <c r="B3043" t="s">
        <v>18</v>
      </c>
      <c r="C3043">
        <v>52</v>
      </c>
      <c r="D3043" t="s">
        <v>35</v>
      </c>
      <c r="E3043" t="s">
        <v>72</v>
      </c>
      <c r="F3043" s="1">
        <v>42496</v>
      </c>
      <c r="G3043" s="1">
        <v>42496</v>
      </c>
      <c r="H3043" t="s">
        <v>21</v>
      </c>
      <c r="I3043">
        <v>0</v>
      </c>
      <c r="J3043" t="s">
        <v>111</v>
      </c>
      <c r="K3043">
        <v>0</v>
      </c>
      <c r="L3043">
        <v>1</v>
      </c>
      <c r="M3043">
        <v>0</v>
      </c>
      <c r="N3043">
        <v>0</v>
      </c>
      <c r="O3043">
        <v>0</v>
      </c>
      <c r="P3043">
        <v>0</v>
      </c>
      <c r="Q3043" t="s">
        <v>23</v>
      </c>
      <c r="R3043">
        <v>0</v>
      </c>
    </row>
    <row r="3044" spans="1:18">
      <c r="A3044" s="4">
        <v>822146000000000</v>
      </c>
      <c r="B3044" t="s">
        <v>28</v>
      </c>
      <c r="C3044">
        <v>38</v>
      </c>
      <c r="D3044" t="s">
        <v>27</v>
      </c>
      <c r="E3044" t="s">
        <v>64</v>
      </c>
      <c r="F3044" s="1">
        <v>42496</v>
      </c>
      <c r="G3044" s="1">
        <v>42496</v>
      </c>
      <c r="H3044" t="s">
        <v>21</v>
      </c>
      <c r="I3044">
        <v>0</v>
      </c>
      <c r="J3044" t="s">
        <v>111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23</v>
      </c>
      <c r="R3044">
        <v>0</v>
      </c>
    </row>
    <row r="3045" spans="1:18">
      <c r="A3045" s="4">
        <v>45927900000000</v>
      </c>
      <c r="B3045" t="s">
        <v>18</v>
      </c>
      <c r="C3045">
        <v>7</v>
      </c>
      <c r="D3045" t="s">
        <v>31</v>
      </c>
      <c r="E3045" t="s">
        <v>108</v>
      </c>
      <c r="F3045" s="1">
        <v>42496</v>
      </c>
      <c r="G3045" s="1">
        <v>42501</v>
      </c>
      <c r="H3045" t="s">
        <v>25</v>
      </c>
      <c r="I3045">
        <v>5</v>
      </c>
      <c r="J3045" t="s">
        <v>107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1</v>
      </c>
      <c r="Q3045" t="s">
        <v>23</v>
      </c>
      <c r="R3045">
        <v>0</v>
      </c>
    </row>
    <row r="3046" spans="1:18">
      <c r="A3046" s="4">
        <v>796660000000000</v>
      </c>
      <c r="B3046" t="s">
        <v>18</v>
      </c>
      <c r="C3046">
        <v>49</v>
      </c>
      <c r="D3046" t="s">
        <v>27</v>
      </c>
      <c r="E3046" t="s">
        <v>39</v>
      </c>
      <c r="F3046" s="1">
        <v>42496</v>
      </c>
      <c r="G3046" s="1">
        <v>42496</v>
      </c>
      <c r="H3046" t="s">
        <v>21</v>
      </c>
      <c r="I3046">
        <v>0</v>
      </c>
      <c r="J3046" t="s">
        <v>111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23</v>
      </c>
      <c r="R3046">
        <v>0</v>
      </c>
    </row>
    <row r="3047" spans="1:18">
      <c r="A3047" s="4">
        <v>1998570000000</v>
      </c>
      <c r="B3047" t="s">
        <v>18</v>
      </c>
      <c r="C3047">
        <v>27</v>
      </c>
      <c r="D3047" t="s">
        <v>37</v>
      </c>
      <c r="E3047" t="s">
        <v>59</v>
      </c>
      <c r="F3047" s="1">
        <v>42496</v>
      </c>
      <c r="G3047" s="1">
        <v>42510</v>
      </c>
      <c r="H3047" t="s">
        <v>21</v>
      </c>
      <c r="I3047">
        <v>14</v>
      </c>
      <c r="J3047" t="s">
        <v>92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26</v>
      </c>
      <c r="R3047">
        <v>1</v>
      </c>
    </row>
    <row r="3048" spans="1:18">
      <c r="A3048" s="4">
        <v>95866500000000</v>
      </c>
      <c r="B3048" t="s">
        <v>28</v>
      </c>
      <c r="C3048">
        <v>28</v>
      </c>
      <c r="D3048" t="s">
        <v>37</v>
      </c>
      <c r="E3048" t="s">
        <v>96</v>
      </c>
      <c r="F3048" s="1">
        <v>42496</v>
      </c>
      <c r="G3048" s="1">
        <v>42509</v>
      </c>
      <c r="H3048" t="s">
        <v>33</v>
      </c>
      <c r="I3048">
        <v>13</v>
      </c>
      <c r="J3048" t="s">
        <v>92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23</v>
      </c>
      <c r="R3048">
        <v>0</v>
      </c>
    </row>
    <row r="3049" spans="1:18">
      <c r="A3049" s="4">
        <v>38247915222</v>
      </c>
      <c r="B3049" t="s">
        <v>18</v>
      </c>
      <c r="C3049">
        <v>29</v>
      </c>
      <c r="D3049" t="s">
        <v>37</v>
      </c>
      <c r="E3049" t="s">
        <v>113</v>
      </c>
      <c r="F3049" s="1">
        <v>42496</v>
      </c>
      <c r="G3049" s="1">
        <v>42501</v>
      </c>
      <c r="H3049" t="s">
        <v>25</v>
      </c>
      <c r="I3049">
        <v>5</v>
      </c>
      <c r="J3049" t="s">
        <v>107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1</v>
      </c>
      <c r="Q3049" t="s">
        <v>26</v>
      </c>
      <c r="R3049">
        <v>1</v>
      </c>
    </row>
    <row r="3050" spans="1:18">
      <c r="A3050" s="4">
        <v>61866600000000</v>
      </c>
      <c r="B3050" t="s">
        <v>18</v>
      </c>
      <c r="C3050">
        <v>1</v>
      </c>
      <c r="D3050" t="s">
        <v>31</v>
      </c>
      <c r="E3050" t="s">
        <v>40</v>
      </c>
      <c r="F3050" s="1">
        <v>42496</v>
      </c>
      <c r="G3050" s="1">
        <v>42496</v>
      </c>
      <c r="H3050" t="s">
        <v>21</v>
      </c>
      <c r="I3050">
        <v>0</v>
      </c>
      <c r="J3050" t="s">
        <v>111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23</v>
      </c>
      <c r="R3050">
        <v>0</v>
      </c>
    </row>
    <row r="3051" spans="1:18">
      <c r="A3051" s="4">
        <v>25317600000000</v>
      </c>
      <c r="B3051" t="s">
        <v>18</v>
      </c>
      <c r="C3051">
        <v>89</v>
      </c>
      <c r="D3051" t="s">
        <v>19</v>
      </c>
      <c r="E3051" t="s">
        <v>57</v>
      </c>
      <c r="F3051" s="1">
        <v>42496</v>
      </c>
      <c r="G3051" s="1">
        <v>42496</v>
      </c>
      <c r="H3051" t="s">
        <v>21</v>
      </c>
      <c r="I3051">
        <v>0</v>
      </c>
      <c r="J3051" t="s">
        <v>111</v>
      </c>
      <c r="K3051">
        <v>0</v>
      </c>
      <c r="L3051">
        <v>1</v>
      </c>
      <c r="M3051">
        <v>1</v>
      </c>
      <c r="N3051">
        <v>0</v>
      </c>
      <c r="O3051">
        <v>0</v>
      </c>
      <c r="P3051">
        <v>0</v>
      </c>
      <c r="Q3051" t="s">
        <v>23</v>
      </c>
      <c r="R3051">
        <v>0</v>
      </c>
    </row>
    <row r="3052" spans="1:18">
      <c r="A3052" s="4">
        <v>86877900000000</v>
      </c>
      <c r="B3052" t="s">
        <v>28</v>
      </c>
      <c r="C3052">
        <v>54</v>
      </c>
      <c r="D3052" t="s">
        <v>35</v>
      </c>
      <c r="E3052" t="s">
        <v>32</v>
      </c>
      <c r="F3052" s="1">
        <v>42496</v>
      </c>
      <c r="G3052" s="1">
        <v>42508</v>
      </c>
      <c r="H3052" t="s">
        <v>25</v>
      </c>
      <c r="I3052">
        <v>12</v>
      </c>
      <c r="J3052" t="s">
        <v>92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23</v>
      </c>
      <c r="R3052">
        <v>0</v>
      </c>
    </row>
    <row r="3053" spans="1:18">
      <c r="A3053" s="4">
        <v>793821000000</v>
      </c>
      <c r="B3053" t="s">
        <v>18</v>
      </c>
      <c r="C3053">
        <v>58</v>
      </c>
      <c r="D3053" t="s">
        <v>35</v>
      </c>
      <c r="E3053" t="s">
        <v>71</v>
      </c>
      <c r="F3053" s="1">
        <v>42496</v>
      </c>
      <c r="G3053" s="1">
        <v>42496</v>
      </c>
      <c r="H3053" t="s">
        <v>21</v>
      </c>
      <c r="I3053">
        <v>0</v>
      </c>
      <c r="J3053" t="s">
        <v>111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23</v>
      </c>
      <c r="R3053">
        <v>0</v>
      </c>
    </row>
    <row r="3054" spans="1:18">
      <c r="A3054" s="4">
        <v>919415000000000</v>
      </c>
      <c r="B3054" t="s">
        <v>18</v>
      </c>
      <c r="C3054">
        <v>19</v>
      </c>
      <c r="D3054" t="s">
        <v>37</v>
      </c>
      <c r="E3054" t="s">
        <v>73</v>
      </c>
      <c r="F3054" s="1">
        <v>42496</v>
      </c>
      <c r="G3054" s="1">
        <v>42496</v>
      </c>
      <c r="H3054" t="s">
        <v>21</v>
      </c>
      <c r="I3054">
        <v>0</v>
      </c>
      <c r="J3054" t="s">
        <v>111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23</v>
      </c>
      <c r="R3054">
        <v>0</v>
      </c>
    </row>
    <row r="3055" spans="1:18">
      <c r="A3055" s="4">
        <v>3482860000000</v>
      </c>
      <c r="B3055" t="s">
        <v>18</v>
      </c>
      <c r="C3055">
        <v>6</v>
      </c>
      <c r="D3055" t="s">
        <v>31</v>
      </c>
      <c r="E3055" t="s">
        <v>49</v>
      </c>
      <c r="F3055" s="1">
        <v>42496</v>
      </c>
      <c r="G3055" s="1">
        <v>42506</v>
      </c>
      <c r="H3055" t="s">
        <v>30</v>
      </c>
      <c r="I3055">
        <v>10</v>
      </c>
      <c r="J3055" t="s">
        <v>92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23</v>
      </c>
      <c r="R3055">
        <v>0</v>
      </c>
    </row>
    <row r="3056" spans="1:18">
      <c r="A3056" s="4">
        <v>655824000000000</v>
      </c>
      <c r="B3056" t="s">
        <v>28</v>
      </c>
      <c r="C3056">
        <v>33</v>
      </c>
      <c r="D3056" t="s">
        <v>37</v>
      </c>
      <c r="E3056" t="s">
        <v>57</v>
      </c>
      <c r="F3056" s="1">
        <v>42496</v>
      </c>
      <c r="G3056" s="1">
        <v>42496</v>
      </c>
      <c r="H3056" t="s">
        <v>21</v>
      </c>
      <c r="I3056">
        <v>0</v>
      </c>
      <c r="J3056" t="s">
        <v>111</v>
      </c>
      <c r="K3056">
        <v>1</v>
      </c>
      <c r="L3056">
        <v>1</v>
      </c>
      <c r="M3056">
        <v>0</v>
      </c>
      <c r="N3056">
        <v>0</v>
      </c>
      <c r="O3056">
        <v>0</v>
      </c>
      <c r="P3056">
        <v>0</v>
      </c>
      <c r="Q3056" t="s">
        <v>23</v>
      </c>
      <c r="R3056">
        <v>0</v>
      </c>
    </row>
    <row r="3057" spans="1:18">
      <c r="A3057" s="4">
        <v>19755400000000</v>
      </c>
      <c r="B3057" t="s">
        <v>18</v>
      </c>
      <c r="C3057">
        <v>53</v>
      </c>
      <c r="D3057" t="s">
        <v>35</v>
      </c>
      <c r="E3057" t="s">
        <v>39</v>
      </c>
      <c r="F3057" s="1">
        <v>42496</v>
      </c>
      <c r="G3057" s="1">
        <v>42499</v>
      </c>
      <c r="H3057" t="s">
        <v>30</v>
      </c>
      <c r="I3057">
        <v>3</v>
      </c>
      <c r="J3057" t="s">
        <v>109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23</v>
      </c>
      <c r="R3057">
        <v>0</v>
      </c>
    </row>
    <row r="3058" spans="1:18">
      <c r="A3058" s="4">
        <v>56589900000000</v>
      </c>
      <c r="B3058" t="s">
        <v>18</v>
      </c>
      <c r="C3058">
        <v>21</v>
      </c>
      <c r="D3058" t="s">
        <v>37</v>
      </c>
      <c r="E3058" t="s">
        <v>32</v>
      </c>
      <c r="F3058" s="1">
        <v>42496</v>
      </c>
      <c r="G3058" s="1">
        <v>42510</v>
      </c>
      <c r="H3058" t="s">
        <v>21</v>
      </c>
      <c r="I3058">
        <v>14</v>
      </c>
      <c r="J3058" t="s">
        <v>92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23</v>
      </c>
      <c r="R3058">
        <v>0</v>
      </c>
    </row>
    <row r="3059" spans="1:18">
      <c r="A3059" s="4">
        <v>522597000000000</v>
      </c>
      <c r="B3059" t="s">
        <v>18</v>
      </c>
      <c r="C3059">
        <v>38</v>
      </c>
      <c r="D3059" t="s">
        <v>27</v>
      </c>
      <c r="E3059" t="s">
        <v>38</v>
      </c>
      <c r="F3059" s="1">
        <v>42496</v>
      </c>
      <c r="G3059" s="1">
        <v>42496</v>
      </c>
      <c r="H3059" t="s">
        <v>21</v>
      </c>
      <c r="I3059">
        <v>0</v>
      </c>
      <c r="J3059" t="s">
        <v>111</v>
      </c>
      <c r="K3059">
        <v>1</v>
      </c>
      <c r="L3059">
        <v>1</v>
      </c>
      <c r="M3059">
        <v>0</v>
      </c>
      <c r="N3059">
        <v>0</v>
      </c>
      <c r="O3059">
        <v>0</v>
      </c>
      <c r="P3059">
        <v>0</v>
      </c>
      <c r="Q3059" t="s">
        <v>23</v>
      </c>
      <c r="R3059">
        <v>0</v>
      </c>
    </row>
    <row r="3060" spans="1:18">
      <c r="A3060" s="4">
        <v>86140000000000</v>
      </c>
      <c r="B3060" t="s">
        <v>18</v>
      </c>
      <c r="C3060">
        <v>30</v>
      </c>
      <c r="D3060" t="s">
        <v>37</v>
      </c>
      <c r="E3060" t="s">
        <v>78</v>
      </c>
      <c r="F3060" s="1">
        <v>42496</v>
      </c>
      <c r="G3060" s="1">
        <v>42509</v>
      </c>
      <c r="H3060" t="s">
        <v>33</v>
      </c>
      <c r="I3060">
        <v>13</v>
      </c>
      <c r="J3060" t="s">
        <v>92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23</v>
      </c>
      <c r="R3060">
        <v>0</v>
      </c>
    </row>
    <row r="3061" spans="1:18">
      <c r="A3061" s="4">
        <v>417266000000000</v>
      </c>
      <c r="B3061" t="s">
        <v>28</v>
      </c>
      <c r="C3061">
        <v>45</v>
      </c>
      <c r="D3061" t="s">
        <v>27</v>
      </c>
      <c r="E3061" t="s">
        <v>61</v>
      </c>
      <c r="F3061" s="1">
        <v>42496</v>
      </c>
      <c r="G3061" s="1">
        <v>42501</v>
      </c>
      <c r="H3061" t="s">
        <v>25</v>
      </c>
      <c r="I3061">
        <v>5</v>
      </c>
      <c r="J3061" t="s">
        <v>107</v>
      </c>
      <c r="K3061">
        <v>0</v>
      </c>
      <c r="L3061">
        <v>0</v>
      </c>
      <c r="M3061">
        <v>0</v>
      </c>
      <c r="N3061">
        <v>1</v>
      </c>
      <c r="O3061">
        <v>0</v>
      </c>
      <c r="P3061">
        <v>1</v>
      </c>
      <c r="Q3061" t="s">
        <v>23</v>
      </c>
      <c r="R3061">
        <v>0</v>
      </c>
    </row>
    <row r="3062" spans="1:18">
      <c r="A3062" s="4">
        <v>1376280000000</v>
      </c>
      <c r="B3062" t="s">
        <v>18</v>
      </c>
      <c r="C3062">
        <v>24</v>
      </c>
      <c r="D3062" t="s">
        <v>37</v>
      </c>
      <c r="E3062" t="s">
        <v>40</v>
      </c>
      <c r="F3062" s="1">
        <v>42496</v>
      </c>
      <c r="G3062" s="1">
        <v>42524</v>
      </c>
      <c r="H3062" t="s">
        <v>21</v>
      </c>
      <c r="I3062">
        <v>28</v>
      </c>
      <c r="J3062" t="s">
        <v>77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1</v>
      </c>
      <c r="Q3062" t="s">
        <v>23</v>
      </c>
      <c r="R3062">
        <v>0</v>
      </c>
    </row>
    <row r="3063" spans="1:18">
      <c r="A3063" s="4">
        <v>11787700000000</v>
      </c>
      <c r="B3063" t="s">
        <v>18</v>
      </c>
      <c r="C3063">
        <v>76</v>
      </c>
      <c r="D3063" t="s">
        <v>19</v>
      </c>
      <c r="E3063" t="s">
        <v>59</v>
      </c>
      <c r="F3063" s="1">
        <v>42496</v>
      </c>
      <c r="G3063" s="1">
        <v>42499</v>
      </c>
      <c r="H3063" t="s">
        <v>30</v>
      </c>
      <c r="I3063">
        <v>3</v>
      </c>
      <c r="J3063" t="s">
        <v>109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23</v>
      </c>
      <c r="R3063">
        <v>0</v>
      </c>
    </row>
    <row r="3064" spans="1:18">
      <c r="A3064" s="4">
        <v>69236100000000</v>
      </c>
      <c r="B3064" t="s">
        <v>18</v>
      </c>
      <c r="C3064">
        <v>18</v>
      </c>
      <c r="D3064" t="s">
        <v>37</v>
      </c>
      <c r="E3064" t="s">
        <v>71</v>
      </c>
      <c r="F3064" s="1">
        <v>42496</v>
      </c>
      <c r="G3064" s="1">
        <v>42523</v>
      </c>
      <c r="H3064" t="s">
        <v>33</v>
      </c>
      <c r="I3064">
        <v>27</v>
      </c>
      <c r="J3064" t="s">
        <v>77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1</v>
      </c>
      <c r="Q3064" t="s">
        <v>23</v>
      </c>
      <c r="R3064">
        <v>0</v>
      </c>
    </row>
    <row r="3065" spans="1:18">
      <c r="A3065" s="4">
        <v>992836000000</v>
      </c>
      <c r="B3065" t="s">
        <v>28</v>
      </c>
      <c r="C3065">
        <v>60</v>
      </c>
      <c r="D3065" t="s">
        <v>35</v>
      </c>
      <c r="E3065" t="s">
        <v>38</v>
      </c>
      <c r="F3065" s="1">
        <v>42496</v>
      </c>
      <c r="G3065" s="1">
        <v>42522</v>
      </c>
      <c r="H3065" t="s">
        <v>25</v>
      </c>
      <c r="I3065">
        <v>26</v>
      </c>
      <c r="J3065" t="s">
        <v>77</v>
      </c>
      <c r="K3065">
        <v>0</v>
      </c>
      <c r="L3065">
        <v>1</v>
      </c>
      <c r="M3065">
        <v>0</v>
      </c>
      <c r="N3065">
        <v>0</v>
      </c>
      <c r="O3065">
        <v>0</v>
      </c>
      <c r="P3065">
        <v>0</v>
      </c>
      <c r="Q3065" t="s">
        <v>23</v>
      </c>
      <c r="R3065">
        <v>0</v>
      </c>
    </row>
    <row r="3066" spans="1:18">
      <c r="A3066" s="4">
        <v>7458180000000</v>
      </c>
      <c r="B3066" t="s">
        <v>18</v>
      </c>
      <c r="C3066">
        <v>35</v>
      </c>
      <c r="D3066" t="s">
        <v>37</v>
      </c>
      <c r="E3066" t="s">
        <v>84</v>
      </c>
      <c r="F3066" s="1">
        <v>42496</v>
      </c>
      <c r="G3066" s="1">
        <v>42496</v>
      </c>
      <c r="H3066" t="s">
        <v>21</v>
      </c>
      <c r="I3066">
        <v>0</v>
      </c>
      <c r="J3066" t="s">
        <v>111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23</v>
      </c>
      <c r="R3066">
        <v>0</v>
      </c>
    </row>
    <row r="3067" spans="1:18">
      <c r="A3067" s="4">
        <v>669515000000000</v>
      </c>
      <c r="B3067" t="s">
        <v>18</v>
      </c>
      <c r="C3067">
        <v>64</v>
      </c>
      <c r="D3067" t="s">
        <v>35</v>
      </c>
      <c r="E3067" t="s">
        <v>29</v>
      </c>
      <c r="F3067" s="1">
        <v>42496</v>
      </c>
      <c r="G3067" s="1">
        <v>42524</v>
      </c>
      <c r="H3067" t="s">
        <v>21</v>
      </c>
      <c r="I3067">
        <v>28</v>
      </c>
      <c r="J3067" t="s">
        <v>77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1</v>
      </c>
      <c r="Q3067" t="s">
        <v>23</v>
      </c>
      <c r="R3067">
        <v>0</v>
      </c>
    </row>
    <row r="3068" spans="1:18">
      <c r="A3068" s="4">
        <v>2516250000000</v>
      </c>
      <c r="B3068" t="s">
        <v>18</v>
      </c>
      <c r="C3068">
        <v>61</v>
      </c>
      <c r="D3068" t="s">
        <v>35</v>
      </c>
      <c r="E3068" t="s">
        <v>91</v>
      </c>
      <c r="F3068" s="1">
        <v>42496</v>
      </c>
      <c r="G3068" s="1">
        <v>42510</v>
      </c>
      <c r="H3068" t="s">
        <v>21</v>
      </c>
      <c r="I3068">
        <v>14</v>
      </c>
      <c r="J3068" t="s">
        <v>92</v>
      </c>
      <c r="K3068">
        <v>0</v>
      </c>
      <c r="L3068">
        <v>1</v>
      </c>
      <c r="M3068">
        <v>1</v>
      </c>
      <c r="N3068">
        <v>0</v>
      </c>
      <c r="O3068">
        <v>0</v>
      </c>
      <c r="P3068">
        <v>0</v>
      </c>
      <c r="Q3068" t="s">
        <v>23</v>
      </c>
      <c r="R3068">
        <v>0</v>
      </c>
    </row>
    <row r="3069" spans="1:18">
      <c r="A3069" s="4">
        <v>13799300000000</v>
      </c>
      <c r="B3069" t="s">
        <v>18</v>
      </c>
      <c r="C3069">
        <v>0</v>
      </c>
      <c r="D3069" t="s">
        <v>31</v>
      </c>
      <c r="E3069" t="s">
        <v>78</v>
      </c>
      <c r="F3069" s="1">
        <v>42496</v>
      </c>
      <c r="G3069" s="1">
        <v>42499</v>
      </c>
      <c r="H3069" t="s">
        <v>30</v>
      </c>
      <c r="I3069">
        <v>3</v>
      </c>
      <c r="J3069" t="s">
        <v>109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26</v>
      </c>
      <c r="R3069">
        <v>1</v>
      </c>
    </row>
    <row r="3070" spans="1:18">
      <c r="A3070" s="4">
        <v>79437700000000</v>
      </c>
      <c r="B3070" t="s">
        <v>28</v>
      </c>
      <c r="C3070">
        <v>30</v>
      </c>
      <c r="D3070" t="s">
        <v>37</v>
      </c>
      <c r="E3070" t="s">
        <v>44</v>
      </c>
      <c r="F3070" s="1">
        <v>42496</v>
      </c>
      <c r="G3070" s="1">
        <v>42500</v>
      </c>
      <c r="H3070" t="s">
        <v>41</v>
      </c>
      <c r="I3070">
        <v>4</v>
      </c>
      <c r="J3070" t="s">
        <v>107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1</v>
      </c>
      <c r="Q3070" t="s">
        <v>23</v>
      </c>
      <c r="R3070">
        <v>0</v>
      </c>
    </row>
    <row r="3071" spans="1:18">
      <c r="A3071" s="4">
        <v>48752200000000</v>
      </c>
      <c r="B3071" t="s">
        <v>18</v>
      </c>
      <c r="C3071">
        <v>12</v>
      </c>
      <c r="D3071" t="s">
        <v>31</v>
      </c>
      <c r="E3071" t="s">
        <v>29</v>
      </c>
      <c r="F3071" s="1">
        <v>42496</v>
      </c>
      <c r="G3071" s="1">
        <v>42520</v>
      </c>
      <c r="H3071" t="s">
        <v>30</v>
      </c>
      <c r="I3071">
        <v>24</v>
      </c>
      <c r="J3071" t="s">
        <v>77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1</v>
      </c>
      <c r="Q3071" t="s">
        <v>26</v>
      </c>
      <c r="R3071">
        <v>1</v>
      </c>
    </row>
    <row r="3072" spans="1:18">
      <c r="A3072" s="4">
        <v>7254930000000</v>
      </c>
      <c r="B3072" t="s">
        <v>28</v>
      </c>
      <c r="C3072">
        <v>17</v>
      </c>
      <c r="D3072" t="s">
        <v>60</v>
      </c>
      <c r="E3072" t="s">
        <v>74</v>
      </c>
      <c r="F3072" s="1">
        <v>42496</v>
      </c>
      <c r="G3072" s="1">
        <v>42496</v>
      </c>
      <c r="H3072" t="s">
        <v>21</v>
      </c>
      <c r="I3072">
        <v>0</v>
      </c>
      <c r="J3072" t="s">
        <v>111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26</v>
      </c>
      <c r="R3072">
        <v>1</v>
      </c>
    </row>
    <row r="3073" spans="1:18">
      <c r="A3073" s="4">
        <v>6375660000000</v>
      </c>
      <c r="B3073" t="s">
        <v>28</v>
      </c>
      <c r="C3073">
        <v>50</v>
      </c>
      <c r="D3073" t="s">
        <v>27</v>
      </c>
      <c r="E3073" t="s">
        <v>72</v>
      </c>
      <c r="F3073" s="1">
        <v>42496</v>
      </c>
      <c r="G3073" s="1">
        <v>42496</v>
      </c>
      <c r="H3073" t="s">
        <v>21</v>
      </c>
      <c r="I3073">
        <v>0</v>
      </c>
      <c r="J3073" t="s">
        <v>111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23</v>
      </c>
      <c r="R3073">
        <v>0</v>
      </c>
    </row>
    <row r="3074" spans="1:18">
      <c r="A3074" s="4">
        <v>112377000000000</v>
      </c>
      <c r="B3074" t="s">
        <v>18</v>
      </c>
      <c r="C3074">
        <v>75</v>
      </c>
      <c r="D3074" t="s">
        <v>19</v>
      </c>
      <c r="E3074" t="s">
        <v>63</v>
      </c>
      <c r="F3074" s="1">
        <v>42496</v>
      </c>
      <c r="G3074" s="1">
        <v>42520</v>
      </c>
      <c r="H3074" t="s">
        <v>30</v>
      </c>
      <c r="I3074">
        <v>24</v>
      </c>
      <c r="J3074" t="s">
        <v>77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1</v>
      </c>
      <c r="Q3074" t="s">
        <v>23</v>
      </c>
      <c r="R3074">
        <v>0</v>
      </c>
    </row>
    <row r="3075" spans="1:18">
      <c r="A3075" s="4">
        <v>389694000000</v>
      </c>
      <c r="B3075" t="s">
        <v>18</v>
      </c>
      <c r="C3075">
        <v>36</v>
      </c>
      <c r="D3075" t="s">
        <v>27</v>
      </c>
      <c r="E3075" t="s">
        <v>95</v>
      </c>
      <c r="F3075" s="1">
        <v>42496</v>
      </c>
      <c r="G3075" s="1">
        <v>42500</v>
      </c>
      <c r="H3075" t="s">
        <v>41</v>
      </c>
      <c r="I3075">
        <v>4</v>
      </c>
      <c r="J3075" t="s">
        <v>107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23</v>
      </c>
      <c r="R3075">
        <v>0</v>
      </c>
    </row>
    <row r="3076" spans="1:18">
      <c r="A3076" s="4">
        <v>928949000000</v>
      </c>
      <c r="B3076" t="s">
        <v>28</v>
      </c>
      <c r="C3076">
        <v>63</v>
      </c>
      <c r="D3076" t="s">
        <v>35</v>
      </c>
      <c r="E3076" t="s">
        <v>79</v>
      </c>
      <c r="F3076" s="1">
        <v>42496</v>
      </c>
      <c r="G3076" s="1">
        <v>42500</v>
      </c>
      <c r="H3076" t="s">
        <v>41</v>
      </c>
      <c r="I3076">
        <v>4</v>
      </c>
      <c r="J3076" t="s">
        <v>107</v>
      </c>
      <c r="K3076">
        <v>0</v>
      </c>
      <c r="L3076">
        <v>1</v>
      </c>
      <c r="M3076">
        <v>0</v>
      </c>
      <c r="N3076">
        <v>0</v>
      </c>
      <c r="O3076">
        <v>0</v>
      </c>
      <c r="P3076">
        <v>1</v>
      </c>
      <c r="Q3076" t="s">
        <v>23</v>
      </c>
      <c r="R3076">
        <v>0</v>
      </c>
    </row>
    <row r="3077" spans="1:18">
      <c r="A3077" s="4">
        <v>32557400000000</v>
      </c>
      <c r="B3077" t="s">
        <v>18</v>
      </c>
      <c r="C3077">
        <v>31</v>
      </c>
      <c r="D3077" t="s">
        <v>37</v>
      </c>
      <c r="E3077" t="s">
        <v>63</v>
      </c>
      <c r="F3077" s="1">
        <v>42496</v>
      </c>
      <c r="G3077" s="1">
        <v>42500</v>
      </c>
      <c r="H3077" t="s">
        <v>41</v>
      </c>
      <c r="I3077">
        <v>4</v>
      </c>
      <c r="J3077" t="s">
        <v>107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1</v>
      </c>
      <c r="Q3077" t="s">
        <v>26</v>
      </c>
      <c r="R3077">
        <v>1</v>
      </c>
    </row>
    <row r="3078" spans="1:18">
      <c r="A3078" s="4">
        <v>11851900000000</v>
      </c>
      <c r="B3078" t="s">
        <v>18</v>
      </c>
      <c r="C3078">
        <v>41</v>
      </c>
      <c r="D3078" t="s">
        <v>27</v>
      </c>
      <c r="E3078" t="s">
        <v>95</v>
      </c>
      <c r="F3078" s="1">
        <v>42496</v>
      </c>
      <c r="G3078" s="1">
        <v>42500</v>
      </c>
      <c r="H3078" t="s">
        <v>41</v>
      </c>
      <c r="I3078">
        <v>4</v>
      </c>
      <c r="J3078" t="s">
        <v>107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1</v>
      </c>
      <c r="Q3078" t="s">
        <v>23</v>
      </c>
      <c r="R3078">
        <v>0</v>
      </c>
    </row>
    <row r="3079" spans="1:18">
      <c r="A3079" s="4">
        <v>435892000000000</v>
      </c>
      <c r="B3079" t="s">
        <v>18</v>
      </c>
      <c r="C3079">
        <v>51</v>
      </c>
      <c r="D3079" t="s">
        <v>35</v>
      </c>
      <c r="E3079" t="s">
        <v>69</v>
      </c>
      <c r="F3079" s="1">
        <v>42496</v>
      </c>
      <c r="G3079" s="1">
        <v>42496</v>
      </c>
      <c r="H3079" t="s">
        <v>21</v>
      </c>
      <c r="I3079">
        <v>0</v>
      </c>
      <c r="J3079" t="s">
        <v>111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23</v>
      </c>
      <c r="R3079">
        <v>0</v>
      </c>
    </row>
    <row r="3080" spans="1:18">
      <c r="A3080" s="4">
        <v>49958200000000</v>
      </c>
      <c r="B3080" t="s">
        <v>18</v>
      </c>
      <c r="C3080">
        <v>58</v>
      </c>
      <c r="D3080" t="s">
        <v>35</v>
      </c>
      <c r="E3080" t="s">
        <v>67</v>
      </c>
      <c r="F3080" s="1">
        <v>42496</v>
      </c>
      <c r="G3080" s="1">
        <v>42523</v>
      </c>
      <c r="H3080" t="s">
        <v>33</v>
      </c>
      <c r="I3080">
        <v>27</v>
      </c>
      <c r="J3080" t="s">
        <v>77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1</v>
      </c>
      <c r="Q3080" t="s">
        <v>26</v>
      </c>
      <c r="R3080">
        <v>1</v>
      </c>
    </row>
    <row r="3081" spans="1:18">
      <c r="A3081" s="4">
        <v>77215300000000</v>
      </c>
      <c r="B3081" t="s">
        <v>18</v>
      </c>
      <c r="C3081">
        <v>70</v>
      </c>
      <c r="D3081" t="s">
        <v>19</v>
      </c>
      <c r="E3081" t="s">
        <v>59</v>
      </c>
      <c r="F3081" s="1">
        <v>42496</v>
      </c>
      <c r="G3081" s="1">
        <v>42500</v>
      </c>
      <c r="H3081" t="s">
        <v>41</v>
      </c>
      <c r="I3081">
        <v>4</v>
      </c>
      <c r="J3081" t="s">
        <v>107</v>
      </c>
      <c r="K3081">
        <v>0</v>
      </c>
      <c r="L3081">
        <v>1</v>
      </c>
      <c r="M3081">
        <v>1</v>
      </c>
      <c r="N3081">
        <v>0</v>
      </c>
      <c r="O3081">
        <v>0</v>
      </c>
      <c r="P3081">
        <v>1</v>
      </c>
      <c r="Q3081" t="s">
        <v>23</v>
      </c>
      <c r="R3081">
        <v>0</v>
      </c>
    </row>
    <row r="3082" spans="1:18">
      <c r="A3082" s="4">
        <v>5258980000000</v>
      </c>
      <c r="B3082" t="s">
        <v>18</v>
      </c>
      <c r="C3082">
        <v>59</v>
      </c>
      <c r="D3082" t="s">
        <v>35</v>
      </c>
      <c r="E3082" t="s">
        <v>44</v>
      </c>
      <c r="F3082" s="1">
        <v>42496</v>
      </c>
      <c r="G3082" s="1">
        <v>42500</v>
      </c>
      <c r="H3082" t="s">
        <v>41</v>
      </c>
      <c r="I3082">
        <v>4</v>
      </c>
      <c r="J3082" t="s">
        <v>107</v>
      </c>
      <c r="K3082">
        <v>0</v>
      </c>
      <c r="L3082">
        <v>1</v>
      </c>
      <c r="M3082">
        <v>0</v>
      </c>
      <c r="N3082">
        <v>0</v>
      </c>
      <c r="O3082">
        <v>0</v>
      </c>
      <c r="P3082">
        <v>1</v>
      </c>
      <c r="Q3082" t="s">
        <v>23</v>
      </c>
      <c r="R3082">
        <v>0</v>
      </c>
    </row>
    <row r="3083" spans="1:18">
      <c r="A3083" s="4">
        <v>613625000000000</v>
      </c>
      <c r="B3083" t="s">
        <v>18</v>
      </c>
      <c r="C3083">
        <v>61</v>
      </c>
      <c r="D3083" t="s">
        <v>35</v>
      </c>
      <c r="E3083" t="s">
        <v>67</v>
      </c>
      <c r="F3083" s="1">
        <v>42496</v>
      </c>
      <c r="G3083" s="1">
        <v>42522</v>
      </c>
      <c r="H3083" t="s">
        <v>25</v>
      </c>
      <c r="I3083">
        <v>26</v>
      </c>
      <c r="J3083" t="s">
        <v>77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23</v>
      </c>
      <c r="R3083">
        <v>0</v>
      </c>
    </row>
    <row r="3084" spans="1:18">
      <c r="A3084" s="4">
        <v>1577390000000</v>
      </c>
      <c r="B3084" t="s">
        <v>18</v>
      </c>
      <c r="C3084">
        <v>47</v>
      </c>
      <c r="D3084" t="s">
        <v>27</v>
      </c>
      <c r="E3084" t="s">
        <v>47</v>
      </c>
      <c r="F3084" s="1">
        <v>42496</v>
      </c>
      <c r="G3084" s="1">
        <v>42500</v>
      </c>
      <c r="H3084" t="s">
        <v>41</v>
      </c>
      <c r="I3084">
        <v>4</v>
      </c>
      <c r="J3084" t="s">
        <v>107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1</v>
      </c>
      <c r="Q3084" t="s">
        <v>23</v>
      </c>
      <c r="R3084">
        <v>0</v>
      </c>
    </row>
    <row r="3085" spans="1:18">
      <c r="A3085" s="4">
        <v>5137540000000</v>
      </c>
      <c r="B3085" t="s">
        <v>18</v>
      </c>
      <c r="C3085">
        <v>56</v>
      </c>
      <c r="D3085" t="s">
        <v>35</v>
      </c>
      <c r="E3085" t="s">
        <v>39</v>
      </c>
      <c r="F3085" s="1">
        <v>42496</v>
      </c>
      <c r="G3085" s="1">
        <v>42500</v>
      </c>
      <c r="H3085" t="s">
        <v>41</v>
      </c>
      <c r="I3085">
        <v>4</v>
      </c>
      <c r="J3085" t="s">
        <v>107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1</v>
      </c>
      <c r="Q3085" t="s">
        <v>23</v>
      </c>
      <c r="R3085">
        <v>0</v>
      </c>
    </row>
    <row r="3086" spans="1:18">
      <c r="A3086" s="4">
        <v>872279000000</v>
      </c>
      <c r="B3086" t="s">
        <v>28</v>
      </c>
      <c r="C3086">
        <v>40</v>
      </c>
      <c r="D3086" t="s">
        <v>27</v>
      </c>
      <c r="E3086" t="s">
        <v>82</v>
      </c>
      <c r="F3086" s="1">
        <v>42496</v>
      </c>
      <c r="G3086" s="1">
        <v>42499</v>
      </c>
      <c r="H3086" t="s">
        <v>30</v>
      </c>
      <c r="I3086">
        <v>3</v>
      </c>
      <c r="J3086" t="s">
        <v>109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23</v>
      </c>
      <c r="R3086">
        <v>0</v>
      </c>
    </row>
    <row r="3087" spans="1:18">
      <c r="A3087" s="4">
        <v>39725500000000</v>
      </c>
      <c r="B3087" t="s">
        <v>18</v>
      </c>
      <c r="C3087">
        <v>54</v>
      </c>
      <c r="D3087" t="s">
        <v>35</v>
      </c>
      <c r="E3087" t="s">
        <v>68</v>
      </c>
      <c r="F3087" s="1">
        <v>42496</v>
      </c>
      <c r="G3087" s="1">
        <v>42521</v>
      </c>
      <c r="H3087" t="s">
        <v>41</v>
      </c>
      <c r="I3087">
        <v>25</v>
      </c>
      <c r="J3087" t="s">
        <v>77</v>
      </c>
      <c r="K3087">
        <v>0</v>
      </c>
      <c r="L3087">
        <v>0</v>
      </c>
      <c r="M3087">
        <v>0</v>
      </c>
      <c r="N3087">
        <v>1</v>
      </c>
      <c r="O3087">
        <v>0</v>
      </c>
      <c r="P3087">
        <v>1</v>
      </c>
      <c r="Q3087" t="s">
        <v>23</v>
      </c>
      <c r="R3087">
        <v>0</v>
      </c>
    </row>
    <row r="3088" spans="1:18">
      <c r="A3088" s="4">
        <v>8724440000000</v>
      </c>
      <c r="B3088" t="s">
        <v>18</v>
      </c>
      <c r="C3088">
        <v>78</v>
      </c>
      <c r="D3088" t="s">
        <v>19</v>
      </c>
      <c r="E3088" t="s">
        <v>51</v>
      </c>
      <c r="F3088" s="1">
        <v>42496</v>
      </c>
      <c r="G3088" s="1">
        <v>42496</v>
      </c>
      <c r="H3088" t="s">
        <v>21</v>
      </c>
      <c r="I3088">
        <v>0</v>
      </c>
      <c r="J3088" t="s">
        <v>111</v>
      </c>
      <c r="K3088">
        <v>0</v>
      </c>
      <c r="L3088">
        <v>1</v>
      </c>
      <c r="M3088">
        <v>0</v>
      </c>
      <c r="N3088">
        <v>0</v>
      </c>
      <c r="O3088">
        <v>0</v>
      </c>
      <c r="P3088">
        <v>0</v>
      </c>
      <c r="Q3088" t="s">
        <v>23</v>
      </c>
      <c r="R3088">
        <v>0</v>
      </c>
    </row>
    <row r="3089" spans="1:18">
      <c r="A3089" s="4">
        <v>73166700000000</v>
      </c>
      <c r="B3089" t="s">
        <v>18</v>
      </c>
      <c r="C3089">
        <v>54</v>
      </c>
      <c r="D3089" t="s">
        <v>35</v>
      </c>
      <c r="E3089" t="s">
        <v>75</v>
      </c>
      <c r="F3089" s="1">
        <v>42496</v>
      </c>
      <c r="G3089" s="1">
        <v>42500</v>
      </c>
      <c r="H3089" t="s">
        <v>41</v>
      </c>
      <c r="I3089">
        <v>4</v>
      </c>
      <c r="J3089" t="s">
        <v>107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1</v>
      </c>
      <c r="Q3089" t="s">
        <v>26</v>
      </c>
      <c r="R3089">
        <v>1</v>
      </c>
    </row>
    <row r="3090" spans="1:18">
      <c r="A3090" s="4">
        <v>156968000000</v>
      </c>
      <c r="B3090" t="s">
        <v>28</v>
      </c>
      <c r="C3090">
        <v>8</v>
      </c>
      <c r="D3090" t="s">
        <v>31</v>
      </c>
      <c r="E3090" t="s">
        <v>72</v>
      </c>
      <c r="F3090" s="1">
        <v>42496</v>
      </c>
      <c r="G3090" s="1">
        <v>42502</v>
      </c>
      <c r="H3090" t="s">
        <v>33</v>
      </c>
      <c r="I3090">
        <v>6</v>
      </c>
      <c r="J3090" t="s">
        <v>107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1</v>
      </c>
      <c r="Q3090" t="s">
        <v>23</v>
      </c>
      <c r="R3090">
        <v>0</v>
      </c>
    </row>
    <row r="3091" spans="1:18">
      <c r="A3091" s="4">
        <v>36848500000000</v>
      </c>
      <c r="B3091" t="s">
        <v>18</v>
      </c>
      <c r="C3091">
        <v>33</v>
      </c>
      <c r="D3091" t="s">
        <v>37</v>
      </c>
      <c r="E3091" t="s">
        <v>89</v>
      </c>
      <c r="F3091" s="1">
        <v>42496</v>
      </c>
      <c r="G3091" s="1">
        <v>42496</v>
      </c>
      <c r="H3091" t="s">
        <v>21</v>
      </c>
      <c r="I3091">
        <v>0</v>
      </c>
      <c r="J3091" t="s">
        <v>111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23</v>
      </c>
      <c r="R3091">
        <v>0</v>
      </c>
    </row>
    <row r="3092" spans="1:18">
      <c r="A3092" s="4">
        <v>932352000000000</v>
      </c>
      <c r="B3092" t="s">
        <v>28</v>
      </c>
      <c r="C3092">
        <v>22</v>
      </c>
      <c r="D3092" t="s">
        <v>37</v>
      </c>
      <c r="E3092" t="s">
        <v>75</v>
      </c>
      <c r="F3092" s="1">
        <v>42496</v>
      </c>
      <c r="G3092" s="1">
        <v>42496</v>
      </c>
      <c r="H3092" t="s">
        <v>21</v>
      </c>
      <c r="I3092">
        <v>0</v>
      </c>
      <c r="J3092" t="s">
        <v>111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23</v>
      </c>
      <c r="R3092">
        <v>0</v>
      </c>
    </row>
    <row r="3093" spans="1:18">
      <c r="A3093" s="4">
        <v>74529200000000</v>
      </c>
      <c r="B3093" t="s">
        <v>18</v>
      </c>
      <c r="C3093">
        <v>30</v>
      </c>
      <c r="D3093" t="s">
        <v>37</v>
      </c>
      <c r="E3093" t="s">
        <v>87</v>
      </c>
      <c r="F3093" s="1">
        <v>42496</v>
      </c>
      <c r="G3093" s="1">
        <v>42500</v>
      </c>
      <c r="H3093" t="s">
        <v>41</v>
      </c>
      <c r="I3093">
        <v>4</v>
      </c>
      <c r="J3093" t="s">
        <v>107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1</v>
      </c>
      <c r="Q3093" t="s">
        <v>23</v>
      </c>
      <c r="R3093">
        <v>0</v>
      </c>
    </row>
    <row r="3094" spans="1:18">
      <c r="A3094" s="4">
        <v>351852000000000</v>
      </c>
      <c r="B3094" t="s">
        <v>18</v>
      </c>
      <c r="C3094">
        <v>39</v>
      </c>
      <c r="D3094" t="s">
        <v>27</v>
      </c>
      <c r="E3094" t="s">
        <v>74</v>
      </c>
      <c r="F3094" s="1">
        <v>42496</v>
      </c>
      <c r="G3094" s="1">
        <v>42506</v>
      </c>
      <c r="H3094" t="s">
        <v>30</v>
      </c>
      <c r="I3094">
        <v>10</v>
      </c>
      <c r="J3094" t="s">
        <v>92</v>
      </c>
      <c r="K3094">
        <v>1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23</v>
      </c>
      <c r="R3094">
        <v>0</v>
      </c>
    </row>
    <row r="3095" spans="1:18">
      <c r="A3095" s="4">
        <v>46939400000000</v>
      </c>
      <c r="B3095" t="s">
        <v>18</v>
      </c>
      <c r="C3095">
        <v>50</v>
      </c>
      <c r="D3095" t="s">
        <v>27</v>
      </c>
      <c r="E3095" t="s">
        <v>73</v>
      </c>
      <c r="F3095" s="1">
        <v>42496</v>
      </c>
      <c r="G3095" s="1">
        <v>42500</v>
      </c>
      <c r="H3095" t="s">
        <v>41</v>
      </c>
      <c r="I3095">
        <v>4</v>
      </c>
      <c r="J3095" t="s">
        <v>107</v>
      </c>
      <c r="K3095">
        <v>0</v>
      </c>
      <c r="L3095">
        <v>1</v>
      </c>
      <c r="M3095">
        <v>0</v>
      </c>
      <c r="N3095">
        <v>0</v>
      </c>
      <c r="O3095">
        <v>0</v>
      </c>
      <c r="P3095">
        <v>1</v>
      </c>
      <c r="Q3095" t="s">
        <v>23</v>
      </c>
      <c r="R3095">
        <v>0</v>
      </c>
    </row>
    <row r="3096" spans="1:18">
      <c r="A3096" s="4">
        <v>11998500000000</v>
      </c>
      <c r="B3096" t="s">
        <v>28</v>
      </c>
      <c r="C3096">
        <v>0</v>
      </c>
      <c r="D3096" t="s">
        <v>31</v>
      </c>
      <c r="E3096" t="s">
        <v>59</v>
      </c>
      <c r="F3096" s="1">
        <v>42496</v>
      </c>
      <c r="G3096" s="1">
        <v>42501</v>
      </c>
      <c r="H3096" t="s">
        <v>25</v>
      </c>
      <c r="I3096">
        <v>5</v>
      </c>
      <c r="J3096" t="s">
        <v>107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1</v>
      </c>
      <c r="Q3096" t="s">
        <v>26</v>
      </c>
      <c r="R3096">
        <v>1</v>
      </c>
    </row>
    <row r="3097" spans="1:18">
      <c r="A3097" s="4">
        <v>74971800000000</v>
      </c>
      <c r="B3097" t="s">
        <v>28</v>
      </c>
      <c r="C3097">
        <v>5</v>
      </c>
      <c r="D3097" t="s">
        <v>31</v>
      </c>
      <c r="E3097" t="s">
        <v>66</v>
      </c>
      <c r="F3097" s="1">
        <v>42496</v>
      </c>
      <c r="G3097" s="1">
        <v>42510</v>
      </c>
      <c r="H3097" t="s">
        <v>21</v>
      </c>
      <c r="I3097">
        <v>14</v>
      </c>
      <c r="J3097" t="s">
        <v>92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26</v>
      </c>
      <c r="R3097">
        <v>1</v>
      </c>
    </row>
    <row r="3098" spans="1:18">
      <c r="A3098" s="4">
        <v>53981900000000</v>
      </c>
      <c r="B3098" t="s">
        <v>18</v>
      </c>
      <c r="C3098">
        <v>58</v>
      </c>
      <c r="D3098" t="s">
        <v>35</v>
      </c>
      <c r="E3098" t="s">
        <v>68</v>
      </c>
      <c r="F3098" s="1">
        <v>42496</v>
      </c>
      <c r="G3098" s="1">
        <v>42528</v>
      </c>
      <c r="H3098" t="s">
        <v>41</v>
      </c>
      <c r="I3098">
        <v>32</v>
      </c>
      <c r="J3098" t="s">
        <v>22</v>
      </c>
      <c r="K3098">
        <v>0</v>
      </c>
      <c r="L3098">
        <v>1</v>
      </c>
      <c r="M3098">
        <v>0</v>
      </c>
      <c r="N3098">
        <v>0</v>
      </c>
      <c r="O3098">
        <v>0</v>
      </c>
      <c r="P3098">
        <v>1</v>
      </c>
      <c r="Q3098" t="s">
        <v>23</v>
      </c>
      <c r="R3098">
        <v>0</v>
      </c>
    </row>
    <row r="3099" spans="1:18">
      <c r="A3099" s="4">
        <v>15987800000000</v>
      </c>
      <c r="B3099" t="s">
        <v>18</v>
      </c>
      <c r="C3099">
        <v>53</v>
      </c>
      <c r="D3099" t="s">
        <v>35</v>
      </c>
      <c r="E3099" t="s">
        <v>57</v>
      </c>
      <c r="F3099" s="1">
        <v>42496</v>
      </c>
      <c r="G3099" s="1">
        <v>42496</v>
      </c>
      <c r="H3099" t="s">
        <v>21</v>
      </c>
      <c r="I3099">
        <v>0</v>
      </c>
      <c r="J3099" t="s">
        <v>111</v>
      </c>
      <c r="K3099">
        <v>0</v>
      </c>
      <c r="L3099">
        <v>1</v>
      </c>
      <c r="M3099">
        <v>0</v>
      </c>
      <c r="N3099">
        <v>1</v>
      </c>
      <c r="O3099">
        <v>0</v>
      </c>
      <c r="P3099">
        <v>0</v>
      </c>
      <c r="Q3099" t="s">
        <v>23</v>
      </c>
      <c r="R3099">
        <v>0</v>
      </c>
    </row>
    <row r="3100" spans="1:18">
      <c r="A3100" s="4">
        <v>386621000000000</v>
      </c>
      <c r="B3100" t="s">
        <v>28</v>
      </c>
      <c r="C3100">
        <v>48</v>
      </c>
      <c r="D3100" t="s">
        <v>27</v>
      </c>
      <c r="E3100" t="s">
        <v>101</v>
      </c>
      <c r="F3100" s="1">
        <v>42496</v>
      </c>
      <c r="G3100" s="1">
        <v>42496</v>
      </c>
      <c r="H3100" t="s">
        <v>21</v>
      </c>
      <c r="I3100">
        <v>0</v>
      </c>
      <c r="J3100" t="s">
        <v>111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26</v>
      </c>
      <c r="R3100">
        <v>1</v>
      </c>
    </row>
    <row r="3101" spans="1:18">
      <c r="A3101" s="4">
        <v>32843500000000</v>
      </c>
      <c r="B3101" t="s">
        <v>28</v>
      </c>
      <c r="C3101">
        <v>37</v>
      </c>
      <c r="D3101" t="s">
        <v>27</v>
      </c>
      <c r="E3101" t="s">
        <v>72</v>
      </c>
      <c r="F3101" s="1">
        <v>42496</v>
      </c>
      <c r="G3101" s="1">
        <v>42496</v>
      </c>
      <c r="H3101" t="s">
        <v>21</v>
      </c>
      <c r="I3101">
        <v>0</v>
      </c>
      <c r="J3101" t="s">
        <v>111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23</v>
      </c>
      <c r="R3101">
        <v>0</v>
      </c>
    </row>
    <row r="3102" spans="1:18">
      <c r="A3102" s="4">
        <v>55245429361</v>
      </c>
      <c r="B3102" t="s">
        <v>18</v>
      </c>
      <c r="C3102">
        <v>62</v>
      </c>
      <c r="D3102" t="s">
        <v>35</v>
      </c>
      <c r="E3102" t="s">
        <v>52</v>
      </c>
      <c r="F3102" s="1">
        <v>42496</v>
      </c>
      <c r="G3102" s="1">
        <v>42496</v>
      </c>
      <c r="H3102" t="s">
        <v>21</v>
      </c>
      <c r="I3102">
        <v>0</v>
      </c>
      <c r="J3102" t="s">
        <v>111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23</v>
      </c>
      <c r="R3102">
        <v>0</v>
      </c>
    </row>
    <row r="3103" spans="1:18">
      <c r="A3103" s="4">
        <v>31478375542</v>
      </c>
      <c r="B3103" t="s">
        <v>18</v>
      </c>
      <c r="C3103">
        <v>62</v>
      </c>
      <c r="D3103" t="s">
        <v>35</v>
      </c>
      <c r="E3103" t="s">
        <v>67</v>
      </c>
      <c r="F3103" s="1">
        <v>42496</v>
      </c>
      <c r="G3103" s="1">
        <v>42523</v>
      </c>
      <c r="H3103" t="s">
        <v>33</v>
      </c>
      <c r="I3103">
        <v>27</v>
      </c>
      <c r="J3103" t="s">
        <v>77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1</v>
      </c>
      <c r="Q3103" t="s">
        <v>23</v>
      </c>
      <c r="R3103">
        <v>0</v>
      </c>
    </row>
    <row r="3104" spans="1:18">
      <c r="A3104" s="4">
        <v>3357220000000</v>
      </c>
      <c r="B3104" t="s">
        <v>18</v>
      </c>
      <c r="C3104">
        <v>63</v>
      </c>
      <c r="D3104" t="s">
        <v>35</v>
      </c>
      <c r="E3104" t="s">
        <v>58</v>
      </c>
      <c r="F3104" s="1">
        <v>42496</v>
      </c>
      <c r="G3104" s="1">
        <v>42500</v>
      </c>
      <c r="H3104" t="s">
        <v>41</v>
      </c>
      <c r="I3104">
        <v>4</v>
      </c>
      <c r="J3104" t="s">
        <v>107</v>
      </c>
      <c r="K3104">
        <v>0</v>
      </c>
      <c r="L3104">
        <v>1</v>
      </c>
      <c r="M3104">
        <v>0</v>
      </c>
      <c r="N3104">
        <v>0</v>
      </c>
      <c r="O3104">
        <v>0</v>
      </c>
      <c r="P3104">
        <v>1</v>
      </c>
      <c r="Q3104" t="s">
        <v>23</v>
      </c>
      <c r="R3104">
        <v>0</v>
      </c>
    </row>
    <row r="3105" spans="1:18">
      <c r="A3105" s="4">
        <v>8413350000000</v>
      </c>
      <c r="B3105" t="s">
        <v>28</v>
      </c>
      <c r="C3105">
        <v>19</v>
      </c>
      <c r="D3105" t="s">
        <v>37</v>
      </c>
      <c r="E3105" t="s">
        <v>97</v>
      </c>
      <c r="F3105" s="1">
        <v>42496</v>
      </c>
      <c r="G3105" s="1">
        <v>42496</v>
      </c>
      <c r="H3105" t="s">
        <v>21</v>
      </c>
      <c r="I3105">
        <v>0</v>
      </c>
      <c r="J3105" t="s">
        <v>111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23</v>
      </c>
      <c r="R3105">
        <v>0</v>
      </c>
    </row>
    <row r="3106" spans="1:18">
      <c r="A3106" s="4">
        <v>87172100000000</v>
      </c>
      <c r="B3106" t="s">
        <v>18</v>
      </c>
      <c r="C3106">
        <v>81</v>
      </c>
      <c r="D3106" t="s">
        <v>19</v>
      </c>
      <c r="E3106" t="s">
        <v>52</v>
      </c>
      <c r="F3106" s="1">
        <v>42496</v>
      </c>
      <c r="G3106" s="1">
        <v>42500</v>
      </c>
      <c r="H3106" t="s">
        <v>41</v>
      </c>
      <c r="I3106">
        <v>4</v>
      </c>
      <c r="J3106" t="s">
        <v>107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1</v>
      </c>
      <c r="Q3106" t="s">
        <v>26</v>
      </c>
      <c r="R3106">
        <v>1</v>
      </c>
    </row>
    <row r="3107" spans="1:18">
      <c r="A3107" s="4">
        <v>534619000000000</v>
      </c>
      <c r="B3107" t="s">
        <v>18</v>
      </c>
      <c r="C3107">
        <v>55</v>
      </c>
      <c r="D3107" t="s">
        <v>35</v>
      </c>
      <c r="E3107" t="s">
        <v>38</v>
      </c>
      <c r="F3107" s="1">
        <v>42496</v>
      </c>
      <c r="G3107" s="1">
        <v>42499</v>
      </c>
      <c r="H3107" t="s">
        <v>30</v>
      </c>
      <c r="I3107">
        <v>3</v>
      </c>
      <c r="J3107" t="s">
        <v>109</v>
      </c>
      <c r="K3107">
        <v>0</v>
      </c>
      <c r="L3107">
        <v>0</v>
      </c>
      <c r="M3107">
        <v>0</v>
      </c>
      <c r="N3107">
        <v>0</v>
      </c>
      <c r="O3107">
        <v>1</v>
      </c>
      <c r="P3107">
        <v>0</v>
      </c>
      <c r="Q3107" t="s">
        <v>23</v>
      </c>
      <c r="R3107">
        <v>0</v>
      </c>
    </row>
    <row r="3108" spans="1:18">
      <c r="A3108" s="4">
        <v>468586000000000</v>
      </c>
      <c r="B3108" t="s">
        <v>28</v>
      </c>
      <c r="C3108">
        <v>30</v>
      </c>
      <c r="D3108" t="s">
        <v>37</v>
      </c>
      <c r="E3108" t="s">
        <v>70</v>
      </c>
      <c r="F3108" s="1">
        <v>42496</v>
      </c>
      <c r="G3108" s="1">
        <v>42496</v>
      </c>
      <c r="H3108" t="s">
        <v>21</v>
      </c>
      <c r="I3108">
        <v>0</v>
      </c>
      <c r="J3108" t="s">
        <v>111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23</v>
      </c>
      <c r="R3108">
        <v>0</v>
      </c>
    </row>
    <row r="3109" spans="1:18">
      <c r="A3109" s="4">
        <v>33211800000000</v>
      </c>
      <c r="B3109" t="s">
        <v>18</v>
      </c>
      <c r="C3109">
        <v>2</v>
      </c>
      <c r="D3109" t="s">
        <v>31</v>
      </c>
      <c r="E3109" t="s">
        <v>96</v>
      </c>
      <c r="F3109" s="1">
        <v>42496</v>
      </c>
      <c r="G3109" s="1">
        <v>42496</v>
      </c>
      <c r="H3109" t="s">
        <v>21</v>
      </c>
      <c r="I3109">
        <v>0</v>
      </c>
      <c r="J3109" t="s">
        <v>111</v>
      </c>
      <c r="K3109">
        <v>1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23</v>
      </c>
      <c r="R3109">
        <v>0</v>
      </c>
    </row>
    <row r="3110" spans="1:18">
      <c r="A3110" s="4">
        <v>5182450000000</v>
      </c>
      <c r="B3110" t="s">
        <v>18</v>
      </c>
      <c r="C3110">
        <v>65</v>
      </c>
      <c r="D3110" t="s">
        <v>35</v>
      </c>
      <c r="E3110" t="s">
        <v>47</v>
      </c>
      <c r="F3110" s="1">
        <v>42496</v>
      </c>
      <c r="G3110" s="1">
        <v>42529</v>
      </c>
      <c r="H3110" t="s">
        <v>25</v>
      </c>
      <c r="I3110">
        <v>33</v>
      </c>
      <c r="J3110" t="s">
        <v>22</v>
      </c>
      <c r="K3110">
        <v>0</v>
      </c>
      <c r="L3110">
        <v>1</v>
      </c>
      <c r="M3110">
        <v>0</v>
      </c>
      <c r="N3110">
        <v>0</v>
      </c>
      <c r="O3110">
        <v>0</v>
      </c>
      <c r="P3110">
        <v>1</v>
      </c>
      <c r="Q3110" t="s">
        <v>23</v>
      </c>
      <c r="R3110">
        <v>0</v>
      </c>
    </row>
    <row r="3111" spans="1:18">
      <c r="A3111" s="4">
        <v>756883000000</v>
      </c>
      <c r="B3111" t="s">
        <v>18</v>
      </c>
      <c r="C3111">
        <v>24</v>
      </c>
      <c r="D3111" t="s">
        <v>37</v>
      </c>
      <c r="E3111" t="s">
        <v>72</v>
      </c>
      <c r="F3111" s="1">
        <v>42496</v>
      </c>
      <c r="G3111" s="1">
        <v>42523</v>
      </c>
      <c r="H3111" t="s">
        <v>33</v>
      </c>
      <c r="I3111">
        <v>27</v>
      </c>
      <c r="J3111" t="s">
        <v>77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1</v>
      </c>
      <c r="Q3111" t="s">
        <v>26</v>
      </c>
      <c r="R3111">
        <v>1</v>
      </c>
    </row>
    <row r="3112" spans="1:18">
      <c r="A3112" s="4">
        <v>715994000000000</v>
      </c>
      <c r="B3112" t="s">
        <v>18</v>
      </c>
      <c r="C3112">
        <v>16</v>
      </c>
      <c r="D3112" t="s">
        <v>60</v>
      </c>
      <c r="E3112" t="s">
        <v>71</v>
      </c>
      <c r="F3112" s="1">
        <v>42496</v>
      </c>
      <c r="G3112" s="1">
        <v>42496</v>
      </c>
      <c r="H3112" t="s">
        <v>21</v>
      </c>
      <c r="I3112">
        <v>0</v>
      </c>
      <c r="J3112" t="s">
        <v>111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23</v>
      </c>
      <c r="R3112">
        <v>0</v>
      </c>
    </row>
    <row r="3113" spans="1:18">
      <c r="A3113" s="4">
        <v>756883000000</v>
      </c>
      <c r="B3113" t="s">
        <v>18</v>
      </c>
      <c r="C3113">
        <v>24</v>
      </c>
      <c r="D3113" t="s">
        <v>37</v>
      </c>
      <c r="E3113" t="s">
        <v>72</v>
      </c>
      <c r="F3113" s="1">
        <v>42496</v>
      </c>
      <c r="G3113" s="1">
        <v>42520</v>
      </c>
      <c r="H3113" t="s">
        <v>30</v>
      </c>
      <c r="I3113">
        <v>24</v>
      </c>
      <c r="J3113" t="s">
        <v>77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1</v>
      </c>
      <c r="Q3113" t="s">
        <v>26</v>
      </c>
      <c r="R3113">
        <v>1</v>
      </c>
    </row>
    <row r="3114" spans="1:18">
      <c r="A3114" s="4">
        <v>719262000000</v>
      </c>
      <c r="B3114" t="s">
        <v>18</v>
      </c>
      <c r="C3114">
        <v>77</v>
      </c>
      <c r="D3114" t="s">
        <v>19</v>
      </c>
      <c r="E3114" t="s">
        <v>66</v>
      </c>
      <c r="F3114" s="1">
        <v>42496</v>
      </c>
      <c r="G3114" s="1">
        <v>42503</v>
      </c>
      <c r="H3114" t="s">
        <v>21</v>
      </c>
      <c r="I3114">
        <v>7</v>
      </c>
      <c r="J3114" t="s">
        <v>107</v>
      </c>
      <c r="K3114">
        <v>0</v>
      </c>
      <c r="L3114">
        <v>1</v>
      </c>
      <c r="M3114">
        <v>1</v>
      </c>
      <c r="N3114">
        <v>0</v>
      </c>
      <c r="O3114">
        <v>0</v>
      </c>
      <c r="P3114">
        <v>0</v>
      </c>
      <c r="Q3114" t="s">
        <v>23</v>
      </c>
      <c r="R3114">
        <v>0</v>
      </c>
    </row>
    <row r="3115" spans="1:18">
      <c r="A3115" s="4">
        <v>25455500000000</v>
      </c>
      <c r="B3115" t="s">
        <v>18</v>
      </c>
      <c r="C3115">
        <v>14</v>
      </c>
      <c r="D3115" t="s">
        <v>60</v>
      </c>
      <c r="E3115" t="s">
        <v>72</v>
      </c>
      <c r="F3115" s="1">
        <v>42496</v>
      </c>
      <c r="G3115" s="1">
        <v>42527</v>
      </c>
      <c r="H3115" t="s">
        <v>30</v>
      </c>
      <c r="I3115">
        <v>31</v>
      </c>
      <c r="J3115" t="s">
        <v>22</v>
      </c>
      <c r="K3115">
        <v>1</v>
      </c>
      <c r="L3115">
        <v>0</v>
      </c>
      <c r="M3115">
        <v>0</v>
      </c>
      <c r="N3115">
        <v>0</v>
      </c>
      <c r="O3115">
        <v>0</v>
      </c>
      <c r="P3115">
        <v>1</v>
      </c>
      <c r="Q3115" t="s">
        <v>26</v>
      </c>
      <c r="R3115">
        <v>1</v>
      </c>
    </row>
    <row r="3116" spans="1:18">
      <c r="A3116" s="4">
        <v>549371000000000</v>
      </c>
      <c r="B3116" t="s">
        <v>28</v>
      </c>
      <c r="C3116">
        <v>57</v>
      </c>
      <c r="D3116" t="s">
        <v>35</v>
      </c>
      <c r="E3116" t="s">
        <v>44</v>
      </c>
      <c r="F3116" s="1">
        <v>42496</v>
      </c>
      <c r="G3116" s="1">
        <v>42499</v>
      </c>
      <c r="H3116" t="s">
        <v>30</v>
      </c>
      <c r="I3116">
        <v>3</v>
      </c>
      <c r="J3116" t="s">
        <v>109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23</v>
      </c>
      <c r="R3116">
        <v>0</v>
      </c>
    </row>
    <row r="3117" spans="1:18">
      <c r="A3117" s="4">
        <v>26555700000000</v>
      </c>
      <c r="B3117" t="s">
        <v>18</v>
      </c>
      <c r="C3117">
        <v>14</v>
      </c>
      <c r="D3117" t="s">
        <v>60</v>
      </c>
      <c r="E3117" t="s">
        <v>29</v>
      </c>
      <c r="F3117" s="1">
        <v>42496</v>
      </c>
      <c r="G3117" s="1">
        <v>42499</v>
      </c>
      <c r="H3117" t="s">
        <v>30</v>
      </c>
      <c r="I3117">
        <v>3</v>
      </c>
      <c r="J3117" t="s">
        <v>109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23</v>
      </c>
      <c r="R3117">
        <v>0</v>
      </c>
    </row>
    <row r="3118" spans="1:18">
      <c r="A3118" s="4">
        <v>485650000000000</v>
      </c>
      <c r="B3118" t="s">
        <v>28</v>
      </c>
      <c r="C3118">
        <v>8</v>
      </c>
      <c r="D3118" t="s">
        <v>31</v>
      </c>
      <c r="E3118" t="s">
        <v>96</v>
      </c>
      <c r="F3118" s="1">
        <v>42496</v>
      </c>
      <c r="G3118" s="1">
        <v>42496</v>
      </c>
      <c r="H3118" t="s">
        <v>21</v>
      </c>
      <c r="I3118">
        <v>0</v>
      </c>
      <c r="J3118" t="s">
        <v>111</v>
      </c>
      <c r="K3118">
        <v>1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23</v>
      </c>
      <c r="R3118">
        <v>0</v>
      </c>
    </row>
    <row r="3119" spans="1:18">
      <c r="A3119" s="4">
        <v>6961710000000</v>
      </c>
      <c r="B3119" t="s">
        <v>18</v>
      </c>
      <c r="C3119">
        <v>15</v>
      </c>
      <c r="D3119" t="s">
        <v>60</v>
      </c>
      <c r="E3119" t="s">
        <v>45</v>
      </c>
      <c r="F3119" s="1">
        <v>42496</v>
      </c>
      <c r="G3119" s="1">
        <v>42500</v>
      </c>
      <c r="H3119" t="s">
        <v>41</v>
      </c>
      <c r="I3119">
        <v>4</v>
      </c>
      <c r="J3119" t="s">
        <v>107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1</v>
      </c>
      <c r="Q3119" t="s">
        <v>26</v>
      </c>
      <c r="R3119">
        <v>1</v>
      </c>
    </row>
    <row r="3120" spans="1:18">
      <c r="A3120" s="4">
        <v>872279000000</v>
      </c>
      <c r="B3120" t="s">
        <v>28</v>
      </c>
      <c r="C3120">
        <v>40</v>
      </c>
      <c r="D3120" t="s">
        <v>27</v>
      </c>
      <c r="E3120" t="s">
        <v>82</v>
      </c>
      <c r="F3120" s="1">
        <v>42496</v>
      </c>
      <c r="G3120" s="1">
        <v>42496</v>
      </c>
      <c r="H3120" t="s">
        <v>21</v>
      </c>
      <c r="I3120">
        <v>0</v>
      </c>
      <c r="J3120" t="s">
        <v>111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23</v>
      </c>
      <c r="R3120">
        <v>0</v>
      </c>
    </row>
    <row r="3121" spans="1:18">
      <c r="A3121" s="4">
        <v>716572000000000</v>
      </c>
      <c r="B3121" t="s">
        <v>18</v>
      </c>
      <c r="C3121">
        <v>40</v>
      </c>
      <c r="D3121" t="s">
        <v>27</v>
      </c>
      <c r="E3121" t="s">
        <v>44</v>
      </c>
      <c r="F3121" s="1">
        <v>42496</v>
      </c>
      <c r="G3121" s="1">
        <v>42496</v>
      </c>
      <c r="H3121" t="s">
        <v>21</v>
      </c>
      <c r="I3121">
        <v>0</v>
      </c>
      <c r="J3121" t="s">
        <v>111</v>
      </c>
      <c r="K3121">
        <v>1</v>
      </c>
      <c r="L3121">
        <v>1</v>
      </c>
      <c r="M3121">
        <v>0</v>
      </c>
      <c r="N3121">
        <v>0</v>
      </c>
      <c r="O3121">
        <v>0</v>
      </c>
      <c r="P3121">
        <v>0</v>
      </c>
      <c r="Q3121" t="s">
        <v>23</v>
      </c>
      <c r="R3121">
        <v>0</v>
      </c>
    </row>
    <row r="3122" spans="1:18">
      <c r="A3122" s="4">
        <v>42422700000000</v>
      </c>
      <c r="B3122" t="s">
        <v>28</v>
      </c>
      <c r="C3122">
        <v>42</v>
      </c>
      <c r="D3122" t="s">
        <v>27</v>
      </c>
      <c r="E3122" t="s">
        <v>66</v>
      </c>
      <c r="F3122" s="1">
        <v>42496</v>
      </c>
      <c r="G3122" s="1">
        <v>42503</v>
      </c>
      <c r="H3122" t="s">
        <v>21</v>
      </c>
      <c r="I3122">
        <v>7</v>
      </c>
      <c r="J3122" t="s">
        <v>107</v>
      </c>
      <c r="K3122">
        <v>0</v>
      </c>
      <c r="L3122">
        <v>0</v>
      </c>
      <c r="M3122">
        <v>1</v>
      </c>
      <c r="N3122">
        <v>0</v>
      </c>
      <c r="O3122">
        <v>0</v>
      </c>
      <c r="P3122">
        <v>0</v>
      </c>
      <c r="Q3122" t="s">
        <v>26</v>
      </c>
      <c r="R3122">
        <v>1</v>
      </c>
    </row>
    <row r="3123" spans="1:18">
      <c r="A3123" s="4">
        <v>63284400000000</v>
      </c>
      <c r="B3123" t="s">
        <v>18</v>
      </c>
      <c r="C3123">
        <v>23</v>
      </c>
      <c r="D3123" t="s">
        <v>37</v>
      </c>
      <c r="E3123" t="s">
        <v>59</v>
      </c>
      <c r="F3123" s="1">
        <v>42496</v>
      </c>
      <c r="G3123" s="1">
        <v>42506</v>
      </c>
      <c r="H3123" t="s">
        <v>30</v>
      </c>
      <c r="I3123">
        <v>10</v>
      </c>
      <c r="J3123" t="s">
        <v>92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26</v>
      </c>
      <c r="R3123">
        <v>1</v>
      </c>
    </row>
    <row r="3124" spans="1:18">
      <c r="A3124" s="4">
        <v>172989000000000</v>
      </c>
      <c r="B3124" t="s">
        <v>18</v>
      </c>
      <c r="C3124">
        <v>26</v>
      </c>
      <c r="D3124" t="s">
        <v>37</v>
      </c>
      <c r="E3124" t="s">
        <v>84</v>
      </c>
      <c r="F3124" s="1">
        <v>42496</v>
      </c>
      <c r="G3124" s="1">
        <v>42508</v>
      </c>
      <c r="H3124" t="s">
        <v>25</v>
      </c>
      <c r="I3124">
        <v>12</v>
      </c>
      <c r="J3124" t="s">
        <v>92</v>
      </c>
      <c r="K3124">
        <v>1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23</v>
      </c>
      <c r="R3124">
        <v>0</v>
      </c>
    </row>
    <row r="3125" spans="1:18">
      <c r="A3125" s="4">
        <v>7687995549</v>
      </c>
      <c r="B3125" t="s">
        <v>18</v>
      </c>
      <c r="C3125">
        <v>2</v>
      </c>
      <c r="D3125" t="s">
        <v>31</v>
      </c>
      <c r="E3125" t="s">
        <v>87</v>
      </c>
      <c r="F3125" s="1">
        <v>42496</v>
      </c>
      <c r="G3125" s="1">
        <v>42496</v>
      </c>
      <c r="H3125" t="s">
        <v>21</v>
      </c>
      <c r="I3125">
        <v>0</v>
      </c>
      <c r="J3125" t="s">
        <v>111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23</v>
      </c>
      <c r="R3125">
        <v>0</v>
      </c>
    </row>
    <row r="3126" spans="1:18">
      <c r="A3126" s="4">
        <v>19235300000000</v>
      </c>
      <c r="B3126" t="s">
        <v>18</v>
      </c>
      <c r="C3126">
        <v>66</v>
      </c>
      <c r="D3126" t="s">
        <v>19</v>
      </c>
      <c r="E3126" t="s">
        <v>67</v>
      </c>
      <c r="F3126" s="1">
        <v>42496</v>
      </c>
      <c r="G3126" s="1">
        <v>42524</v>
      </c>
      <c r="H3126" t="s">
        <v>21</v>
      </c>
      <c r="I3126">
        <v>28</v>
      </c>
      <c r="J3126" t="s">
        <v>77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1</v>
      </c>
      <c r="Q3126" t="s">
        <v>23</v>
      </c>
      <c r="R3126">
        <v>0</v>
      </c>
    </row>
    <row r="3127" spans="1:18">
      <c r="A3127" s="4">
        <v>62339100000000</v>
      </c>
      <c r="B3127" t="s">
        <v>18</v>
      </c>
      <c r="C3127">
        <v>27</v>
      </c>
      <c r="D3127" t="s">
        <v>37</v>
      </c>
      <c r="E3127" t="s">
        <v>105</v>
      </c>
      <c r="F3127" s="1">
        <v>42496</v>
      </c>
      <c r="G3127" s="1">
        <v>42520</v>
      </c>
      <c r="H3127" t="s">
        <v>30</v>
      </c>
      <c r="I3127">
        <v>24</v>
      </c>
      <c r="J3127" t="s">
        <v>77</v>
      </c>
      <c r="K3127">
        <v>1</v>
      </c>
      <c r="L3127">
        <v>0</v>
      </c>
      <c r="M3127">
        <v>0</v>
      </c>
      <c r="N3127">
        <v>0</v>
      </c>
      <c r="O3127">
        <v>0</v>
      </c>
      <c r="P3127">
        <v>1</v>
      </c>
      <c r="Q3127" t="s">
        <v>23</v>
      </c>
      <c r="R3127">
        <v>0</v>
      </c>
    </row>
    <row r="3128" spans="1:18">
      <c r="A3128" s="4">
        <v>75936400000000</v>
      </c>
      <c r="B3128" t="s">
        <v>18</v>
      </c>
      <c r="C3128">
        <v>30</v>
      </c>
      <c r="D3128" t="s">
        <v>37</v>
      </c>
      <c r="E3128" t="s">
        <v>67</v>
      </c>
      <c r="F3128" s="1">
        <v>42496</v>
      </c>
      <c r="G3128" s="1">
        <v>42522</v>
      </c>
      <c r="H3128" t="s">
        <v>25</v>
      </c>
      <c r="I3128">
        <v>26</v>
      </c>
      <c r="J3128" t="s">
        <v>77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1</v>
      </c>
      <c r="Q3128" t="s">
        <v>23</v>
      </c>
      <c r="R3128">
        <v>0</v>
      </c>
    </row>
    <row r="3129" spans="1:18">
      <c r="A3129" s="4">
        <v>87678900000000</v>
      </c>
      <c r="B3129" t="s">
        <v>18</v>
      </c>
      <c r="C3129">
        <v>8</v>
      </c>
      <c r="D3129" t="s">
        <v>31</v>
      </c>
      <c r="E3129" t="s">
        <v>105</v>
      </c>
      <c r="F3129" s="1">
        <v>42496</v>
      </c>
      <c r="G3129" s="1">
        <v>42520</v>
      </c>
      <c r="H3129" t="s">
        <v>30</v>
      </c>
      <c r="I3129">
        <v>24</v>
      </c>
      <c r="J3129" t="s">
        <v>77</v>
      </c>
      <c r="K3129">
        <v>1</v>
      </c>
      <c r="L3129">
        <v>0</v>
      </c>
      <c r="M3129">
        <v>0</v>
      </c>
      <c r="N3129">
        <v>0</v>
      </c>
      <c r="O3129">
        <v>0</v>
      </c>
      <c r="P3129">
        <v>1</v>
      </c>
      <c r="Q3129" t="s">
        <v>23</v>
      </c>
      <c r="R3129">
        <v>0</v>
      </c>
    </row>
    <row r="3130" spans="1:18">
      <c r="A3130" s="4">
        <v>683473000000</v>
      </c>
      <c r="B3130" t="s">
        <v>18</v>
      </c>
      <c r="C3130">
        <v>39</v>
      </c>
      <c r="D3130" t="s">
        <v>27</v>
      </c>
      <c r="E3130" t="s">
        <v>40</v>
      </c>
      <c r="F3130" s="1">
        <v>42496</v>
      </c>
      <c r="G3130" s="1">
        <v>42510</v>
      </c>
      <c r="H3130" t="s">
        <v>21</v>
      </c>
      <c r="I3130">
        <v>14</v>
      </c>
      <c r="J3130" t="s">
        <v>92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23</v>
      </c>
      <c r="R3130">
        <v>0</v>
      </c>
    </row>
    <row r="3131" spans="1:18">
      <c r="A3131" s="4">
        <v>3541610000000</v>
      </c>
      <c r="B3131" t="s">
        <v>18</v>
      </c>
      <c r="C3131">
        <v>12</v>
      </c>
      <c r="D3131" t="s">
        <v>31</v>
      </c>
      <c r="E3131" t="s">
        <v>68</v>
      </c>
      <c r="F3131" s="1">
        <v>42496</v>
      </c>
      <c r="G3131" s="1">
        <v>42499</v>
      </c>
      <c r="H3131" t="s">
        <v>30</v>
      </c>
      <c r="I3131">
        <v>3</v>
      </c>
      <c r="J3131" t="s">
        <v>109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26</v>
      </c>
      <c r="R3131">
        <v>1</v>
      </c>
    </row>
    <row r="3132" spans="1:18">
      <c r="A3132" s="4">
        <v>733116000000</v>
      </c>
      <c r="B3132" t="s">
        <v>18</v>
      </c>
      <c r="C3132">
        <v>38</v>
      </c>
      <c r="D3132" t="s">
        <v>27</v>
      </c>
      <c r="E3132" t="s">
        <v>72</v>
      </c>
      <c r="F3132" s="1">
        <v>42496</v>
      </c>
      <c r="G3132" s="1">
        <v>42520</v>
      </c>
      <c r="H3132" t="s">
        <v>30</v>
      </c>
      <c r="I3132">
        <v>24</v>
      </c>
      <c r="J3132" t="s">
        <v>77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1</v>
      </c>
      <c r="Q3132" t="s">
        <v>23</v>
      </c>
      <c r="R3132">
        <v>0</v>
      </c>
    </row>
    <row r="3133" spans="1:18">
      <c r="A3133" s="4">
        <v>72189500000000</v>
      </c>
      <c r="B3133" t="s">
        <v>18</v>
      </c>
      <c r="C3133">
        <v>33</v>
      </c>
      <c r="D3133" t="s">
        <v>37</v>
      </c>
      <c r="E3133" t="s">
        <v>32</v>
      </c>
      <c r="F3133" s="1">
        <v>42496</v>
      </c>
      <c r="G3133" s="1">
        <v>42496</v>
      </c>
      <c r="H3133" t="s">
        <v>21</v>
      </c>
      <c r="I3133">
        <v>0</v>
      </c>
      <c r="J3133" t="s">
        <v>111</v>
      </c>
      <c r="K3133">
        <v>1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23</v>
      </c>
      <c r="R3133">
        <v>0</v>
      </c>
    </row>
    <row r="3134" spans="1:18">
      <c r="A3134" s="4">
        <v>389328000000000</v>
      </c>
      <c r="B3134" t="s">
        <v>18</v>
      </c>
      <c r="C3134">
        <v>36</v>
      </c>
      <c r="D3134" t="s">
        <v>27</v>
      </c>
      <c r="E3134" t="s">
        <v>86</v>
      </c>
      <c r="F3134" s="1">
        <v>42496</v>
      </c>
      <c r="G3134" s="1">
        <v>42496</v>
      </c>
      <c r="H3134" t="s">
        <v>21</v>
      </c>
      <c r="I3134">
        <v>0</v>
      </c>
      <c r="J3134" t="s">
        <v>111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23</v>
      </c>
      <c r="R3134">
        <v>0</v>
      </c>
    </row>
    <row r="3135" spans="1:18">
      <c r="A3135" s="4">
        <v>7168610000000</v>
      </c>
      <c r="B3135" t="s">
        <v>18</v>
      </c>
      <c r="C3135">
        <v>13</v>
      </c>
      <c r="D3135" t="s">
        <v>60</v>
      </c>
      <c r="E3135" t="s">
        <v>96</v>
      </c>
      <c r="F3135" s="1">
        <v>42496</v>
      </c>
      <c r="G3135" s="1">
        <v>42496</v>
      </c>
      <c r="H3135" t="s">
        <v>21</v>
      </c>
      <c r="I3135">
        <v>0</v>
      </c>
      <c r="J3135" t="s">
        <v>111</v>
      </c>
      <c r="K3135">
        <v>1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23</v>
      </c>
      <c r="R3135">
        <v>0</v>
      </c>
    </row>
    <row r="3136" spans="1:18">
      <c r="A3136" s="4">
        <v>2573510000000</v>
      </c>
      <c r="B3136" t="s">
        <v>18</v>
      </c>
      <c r="C3136">
        <v>19</v>
      </c>
      <c r="D3136" t="s">
        <v>37</v>
      </c>
      <c r="E3136" t="s">
        <v>63</v>
      </c>
      <c r="F3136" s="1">
        <v>42496</v>
      </c>
      <c r="G3136" s="1">
        <v>42510</v>
      </c>
      <c r="H3136" t="s">
        <v>21</v>
      </c>
      <c r="I3136">
        <v>14</v>
      </c>
      <c r="J3136" t="s">
        <v>92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23</v>
      </c>
      <c r="R3136">
        <v>0</v>
      </c>
    </row>
    <row r="3137" spans="1:18">
      <c r="A3137" s="4">
        <v>11933000000000</v>
      </c>
      <c r="B3137" t="s">
        <v>18</v>
      </c>
      <c r="C3137">
        <v>43</v>
      </c>
      <c r="D3137" t="s">
        <v>27</v>
      </c>
      <c r="E3137" t="s">
        <v>51</v>
      </c>
      <c r="F3137" s="1">
        <v>42496</v>
      </c>
      <c r="G3137" s="1">
        <v>42496</v>
      </c>
      <c r="H3137" t="s">
        <v>21</v>
      </c>
      <c r="I3137">
        <v>0</v>
      </c>
      <c r="J3137" t="s">
        <v>111</v>
      </c>
      <c r="K3137">
        <v>1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23</v>
      </c>
      <c r="R3137">
        <v>0</v>
      </c>
    </row>
    <row r="3138" spans="1:18">
      <c r="A3138" s="4">
        <v>38184200000000</v>
      </c>
      <c r="B3138" t="s">
        <v>18</v>
      </c>
      <c r="C3138">
        <v>48</v>
      </c>
      <c r="D3138" t="s">
        <v>27</v>
      </c>
      <c r="E3138" t="s">
        <v>38</v>
      </c>
      <c r="F3138" s="1">
        <v>42496</v>
      </c>
      <c r="G3138" s="1">
        <v>42500</v>
      </c>
      <c r="H3138" t="s">
        <v>41</v>
      </c>
      <c r="I3138">
        <v>4</v>
      </c>
      <c r="J3138" t="s">
        <v>107</v>
      </c>
      <c r="K3138">
        <v>0</v>
      </c>
      <c r="L3138">
        <v>1</v>
      </c>
      <c r="M3138">
        <v>1</v>
      </c>
      <c r="N3138">
        <v>0</v>
      </c>
      <c r="O3138">
        <v>0</v>
      </c>
      <c r="P3138">
        <v>1</v>
      </c>
      <c r="Q3138" t="s">
        <v>23</v>
      </c>
      <c r="R3138">
        <v>0</v>
      </c>
    </row>
    <row r="3139" spans="1:18">
      <c r="A3139" s="4">
        <v>375678000000000</v>
      </c>
      <c r="B3139" t="s">
        <v>18</v>
      </c>
      <c r="C3139">
        <v>23</v>
      </c>
      <c r="D3139" t="s">
        <v>37</v>
      </c>
      <c r="E3139" t="s">
        <v>42</v>
      </c>
      <c r="F3139" s="1">
        <v>42496</v>
      </c>
      <c r="G3139" s="1">
        <v>42503</v>
      </c>
      <c r="H3139" t="s">
        <v>21</v>
      </c>
      <c r="I3139">
        <v>7</v>
      </c>
      <c r="J3139" t="s">
        <v>107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23</v>
      </c>
      <c r="R3139">
        <v>0</v>
      </c>
    </row>
    <row r="3140" spans="1:18">
      <c r="A3140" s="4">
        <v>4275590000000</v>
      </c>
      <c r="B3140" t="s">
        <v>18</v>
      </c>
      <c r="C3140">
        <v>10</v>
      </c>
      <c r="D3140" t="s">
        <v>31</v>
      </c>
      <c r="E3140" t="s">
        <v>42</v>
      </c>
      <c r="F3140" s="1">
        <v>42496</v>
      </c>
      <c r="G3140" s="1">
        <v>42500</v>
      </c>
      <c r="H3140" t="s">
        <v>41</v>
      </c>
      <c r="I3140">
        <v>4</v>
      </c>
      <c r="J3140" t="s">
        <v>107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1</v>
      </c>
      <c r="Q3140" t="s">
        <v>23</v>
      </c>
      <c r="R3140">
        <v>0</v>
      </c>
    </row>
    <row r="3141" spans="1:18">
      <c r="A3141" s="4">
        <v>19791800000000</v>
      </c>
      <c r="B3141" t="s">
        <v>18</v>
      </c>
      <c r="C3141">
        <v>60</v>
      </c>
      <c r="D3141" t="s">
        <v>35</v>
      </c>
      <c r="E3141" t="s">
        <v>71</v>
      </c>
      <c r="F3141" s="1">
        <v>42496</v>
      </c>
      <c r="G3141" s="1">
        <v>42523</v>
      </c>
      <c r="H3141" t="s">
        <v>33</v>
      </c>
      <c r="I3141">
        <v>27</v>
      </c>
      <c r="J3141" t="s">
        <v>77</v>
      </c>
      <c r="K3141">
        <v>0</v>
      </c>
      <c r="L3141">
        <v>0</v>
      </c>
      <c r="M3141">
        <v>0</v>
      </c>
      <c r="N3141">
        <v>0</v>
      </c>
      <c r="O3141">
        <v>1</v>
      </c>
      <c r="P3141">
        <v>1</v>
      </c>
      <c r="Q3141" t="s">
        <v>26</v>
      </c>
      <c r="R3141">
        <v>1</v>
      </c>
    </row>
    <row r="3142" spans="1:18">
      <c r="A3142" s="4">
        <v>43986300000000</v>
      </c>
      <c r="B3142" t="s">
        <v>28</v>
      </c>
      <c r="C3142">
        <v>14</v>
      </c>
      <c r="D3142" t="s">
        <v>60</v>
      </c>
      <c r="E3142" t="s">
        <v>53</v>
      </c>
      <c r="F3142" s="1">
        <v>42496</v>
      </c>
      <c r="G3142" s="1">
        <v>42499</v>
      </c>
      <c r="H3142" t="s">
        <v>30</v>
      </c>
      <c r="I3142">
        <v>3</v>
      </c>
      <c r="J3142" t="s">
        <v>109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26</v>
      </c>
      <c r="R3142">
        <v>1</v>
      </c>
    </row>
    <row r="3143" spans="1:18">
      <c r="A3143" s="4">
        <v>977356000000</v>
      </c>
      <c r="B3143" t="s">
        <v>18</v>
      </c>
      <c r="C3143">
        <v>40</v>
      </c>
      <c r="D3143" t="s">
        <v>27</v>
      </c>
      <c r="E3143" t="s">
        <v>78</v>
      </c>
      <c r="F3143" s="1">
        <v>42496</v>
      </c>
      <c r="G3143" s="1">
        <v>42496</v>
      </c>
      <c r="H3143" t="s">
        <v>21</v>
      </c>
      <c r="I3143">
        <v>0</v>
      </c>
      <c r="J3143" t="s">
        <v>111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23</v>
      </c>
      <c r="R3143">
        <v>0</v>
      </c>
    </row>
    <row r="3144" spans="1:18">
      <c r="A3144" s="4">
        <v>87543500000000</v>
      </c>
      <c r="B3144" t="s">
        <v>28</v>
      </c>
      <c r="C3144">
        <v>13</v>
      </c>
      <c r="D3144" t="s">
        <v>60</v>
      </c>
      <c r="E3144" t="s">
        <v>62</v>
      </c>
      <c r="F3144" s="1">
        <v>42496</v>
      </c>
      <c r="G3144" s="1">
        <v>42514</v>
      </c>
      <c r="H3144" t="s">
        <v>41</v>
      </c>
      <c r="I3144">
        <v>18</v>
      </c>
      <c r="J3144" t="s">
        <v>77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1</v>
      </c>
      <c r="Q3144" t="s">
        <v>23</v>
      </c>
      <c r="R3144">
        <v>0</v>
      </c>
    </row>
    <row r="3145" spans="1:18">
      <c r="A3145" s="4">
        <v>141616000000000</v>
      </c>
      <c r="B3145" t="s">
        <v>18</v>
      </c>
      <c r="C3145">
        <v>62</v>
      </c>
      <c r="D3145" t="s">
        <v>35</v>
      </c>
      <c r="E3145" t="s">
        <v>29</v>
      </c>
      <c r="F3145" s="1">
        <v>42496</v>
      </c>
      <c r="G3145" s="1">
        <v>42521</v>
      </c>
      <c r="H3145" t="s">
        <v>41</v>
      </c>
      <c r="I3145">
        <v>25</v>
      </c>
      <c r="J3145" t="s">
        <v>77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1</v>
      </c>
      <c r="Q3145" t="s">
        <v>23</v>
      </c>
      <c r="R3145">
        <v>0</v>
      </c>
    </row>
    <row r="3146" spans="1:18">
      <c r="A3146" s="4">
        <v>75148800000000</v>
      </c>
      <c r="B3146" t="s">
        <v>18</v>
      </c>
      <c r="C3146">
        <v>46</v>
      </c>
      <c r="D3146" t="s">
        <v>27</v>
      </c>
      <c r="E3146" t="s">
        <v>20</v>
      </c>
      <c r="F3146" s="1">
        <v>42496</v>
      </c>
      <c r="G3146" s="1">
        <v>42496</v>
      </c>
      <c r="H3146" t="s">
        <v>21</v>
      </c>
      <c r="I3146">
        <v>0</v>
      </c>
      <c r="J3146" t="s">
        <v>111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23</v>
      </c>
      <c r="R3146">
        <v>0</v>
      </c>
    </row>
    <row r="3147" spans="1:18">
      <c r="A3147" s="4">
        <v>69249300000000</v>
      </c>
      <c r="B3147" t="s">
        <v>18</v>
      </c>
      <c r="C3147">
        <v>61</v>
      </c>
      <c r="D3147" t="s">
        <v>35</v>
      </c>
      <c r="E3147" t="s">
        <v>48</v>
      </c>
      <c r="F3147" s="1">
        <v>42496</v>
      </c>
      <c r="G3147" s="1">
        <v>42502</v>
      </c>
      <c r="H3147" t="s">
        <v>33</v>
      </c>
      <c r="I3147">
        <v>6</v>
      </c>
      <c r="J3147" t="s">
        <v>107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23</v>
      </c>
      <c r="R3147">
        <v>0</v>
      </c>
    </row>
    <row r="3148" spans="1:18">
      <c r="A3148" s="4">
        <v>64736100000000</v>
      </c>
      <c r="B3148" t="s">
        <v>18</v>
      </c>
      <c r="C3148">
        <v>7</v>
      </c>
      <c r="D3148" t="s">
        <v>31</v>
      </c>
      <c r="E3148" t="s">
        <v>39</v>
      </c>
      <c r="F3148" s="1">
        <v>42496</v>
      </c>
      <c r="G3148" s="1">
        <v>42500</v>
      </c>
      <c r="H3148" t="s">
        <v>41</v>
      </c>
      <c r="I3148">
        <v>4</v>
      </c>
      <c r="J3148" t="s">
        <v>107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1</v>
      </c>
      <c r="Q3148" t="s">
        <v>23</v>
      </c>
      <c r="R3148">
        <v>0</v>
      </c>
    </row>
    <row r="3149" spans="1:18">
      <c r="A3149" s="4">
        <v>9484960000000</v>
      </c>
      <c r="B3149" t="s">
        <v>18</v>
      </c>
      <c r="C3149">
        <v>69</v>
      </c>
      <c r="D3149" t="s">
        <v>19</v>
      </c>
      <c r="E3149" t="s">
        <v>56</v>
      </c>
      <c r="F3149" s="1">
        <v>42496</v>
      </c>
      <c r="G3149" s="1">
        <v>42496</v>
      </c>
      <c r="H3149" t="s">
        <v>21</v>
      </c>
      <c r="I3149">
        <v>0</v>
      </c>
      <c r="J3149" t="s">
        <v>111</v>
      </c>
      <c r="K3149">
        <v>0</v>
      </c>
      <c r="L3149">
        <v>1</v>
      </c>
      <c r="M3149">
        <v>0</v>
      </c>
      <c r="N3149">
        <v>0</v>
      </c>
      <c r="O3149">
        <v>0</v>
      </c>
      <c r="P3149">
        <v>0</v>
      </c>
      <c r="Q3149" t="s">
        <v>23</v>
      </c>
      <c r="R3149">
        <v>0</v>
      </c>
    </row>
    <row r="3150" spans="1:18">
      <c r="A3150" s="4">
        <v>61957777464</v>
      </c>
      <c r="B3150" t="s">
        <v>18</v>
      </c>
      <c r="C3150">
        <v>30</v>
      </c>
      <c r="D3150" t="s">
        <v>37</v>
      </c>
      <c r="E3150" t="s">
        <v>67</v>
      </c>
      <c r="F3150" s="1">
        <v>42496</v>
      </c>
      <c r="G3150" s="1">
        <v>42500</v>
      </c>
      <c r="H3150" t="s">
        <v>41</v>
      </c>
      <c r="I3150">
        <v>4</v>
      </c>
      <c r="J3150" t="s">
        <v>107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1</v>
      </c>
      <c r="Q3150" t="s">
        <v>26</v>
      </c>
      <c r="R3150">
        <v>1</v>
      </c>
    </row>
    <row r="3151" spans="1:18">
      <c r="A3151" s="4">
        <v>77788543363</v>
      </c>
      <c r="B3151" t="s">
        <v>18</v>
      </c>
      <c r="C3151">
        <v>6</v>
      </c>
      <c r="D3151" t="s">
        <v>31</v>
      </c>
      <c r="E3151" t="s">
        <v>55</v>
      </c>
      <c r="F3151" s="1">
        <v>42496</v>
      </c>
      <c r="G3151" s="1">
        <v>42501</v>
      </c>
      <c r="H3151" t="s">
        <v>25</v>
      </c>
      <c r="I3151">
        <v>5</v>
      </c>
      <c r="J3151" t="s">
        <v>107</v>
      </c>
      <c r="K3151">
        <v>1</v>
      </c>
      <c r="L3151">
        <v>0</v>
      </c>
      <c r="M3151">
        <v>0</v>
      </c>
      <c r="N3151">
        <v>0</v>
      </c>
      <c r="O3151">
        <v>0</v>
      </c>
      <c r="P3151">
        <v>1</v>
      </c>
      <c r="Q3151" t="s">
        <v>23</v>
      </c>
      <c r="R3151">
        <v>0</v>
      </c>
    </row>
    <row r="3152" spans="1:18">
      <c r="A3152" s="4">
        <v>44217400000000</v>
      </c>
      <c r="B3152" t="s">
        <v>28</v>
      </c>
      <c r="C3152">
        <v>14</v>
      </c>
      <c r="D3152" t="s">
        <v>60</v>
      </c>
      <c r="E3152" t="s">
        <v>71</v>
      </c>
      <c r="F3152" s="1">
        <v>42496</v>
      </c>
      <c r="G3152" s="1">
        <v>42496</v>
      </c>
      <c r="H3152" t="s">
        <v>21</v>
      </c>
      <c r="I3152">
        <v>0</v>
      </c>
      <c r="J3152" t="s">
        <v>111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23</v>
      </c>
      <c r="R3152">
        <v>0</v>
      </c>
    </row>
    <row r="3153" spans="1:18">
      <c r="A3153" s="4">
        <v>9558500000000</v>
      </c>
      <c r="B3153" t="s">
        <v>28</v>
      </c>
      <c r="C3153">
        <v>14</v>
      </c>
      <c r="D3153" t="s">
        <v>60</v>
      </c>
      <c r="E3153" t="s">
        <v>32</v>
      </c>
      <c r="F3153" s="1">
        <v>42496</v>
      </c>
      <c r="G3153" s="1">
        <v>42496</v>
      </c>
      <c r="H3153" t="s">
        <v>21</v>
      </c>
      <c r="I3153">
        <v>0</v>
      </c>
      <c r="J3153" t="s">
        <v>111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26</v>
      </c>
      <c r="R3153">
        <v>1</v>
      </c>
    </row>
    <row r="3154" spans="1:18">
      <c r="A3154" s="4">
        <v>526115000000000</v>
      </c>
      <c r="B3154" t="s">
        <v>28</v>
      </c>
      <c r="C3154">
        <v>45</v>
      </c>
      <c r="D3154" t="s">
        <v>27</v>
      </c>
      <c r="E3154" t="s">
        <v>66</v>
      </c>
      <c r="F3154" s="1">
        <v>42496</v>
      </c>
      <c r="G3154" s="1">
        <v>42503</v>
      </c>
      <c r="H3154" t="s">
        <v>21</v>
      </c>
      <c r="I3154">
        <v>7</v>
      </c>
      <c r="J3154" t="s">
        <v>107</v>
      </c>
      <c r="K3154">
        <v>0</v>
      </c>
      <c r="L3154">
        <v>1</v>
      </c>
      <c r="M3154">
        <v>0</v>
      </c>
      <c r="N3154">
        <v>0</v>
      </c>
      <c r="O3154">
        <v>0</v>
      </c>
      <c r="P3154">
        <v>0</v>
      </c>
      <c r="Q3154" t="s">
        <v>23</v>
      </c>
      <c r="R3154">
        <v>0</v>
      </c>
    </row>
    <row r="3155" spans="1:18">
      <c r="A3155" s="4">
        <v>842428000000</v>
      </c>
      <c r="B3155" t="s">
        <v>18</v>
      </c>
      <c r="C3155">
        <v>43</v>
      </c>
      <c r="D3155" t="s">
        <v>27</v>
      </c>
      <c r="E3155" t="s">
        <v>86</v>
      </c>
      <c r="F3155" s="1">
        <v>42496</v>
      </c>
      <c r="G3155" s="1">
        <v>42520</v>
      </c>
      <c r="H3155" t="s">
        <v>30</v>
      </c>
      <c r="I3155">
        <v>24</v>
      </c>
      <c r="J3155" t="s">
        <v>77</v>
      </c>
      <c r="K3155">
        <v>0</v>
      </c>
      <c r="L3155">
        <v>1</v>
      </c>
      <c r="M3155">
        <v>0</v>
      </c>
      <c r="N3155">
        <v>0</v>
      </c>
      <c r="O3155">
        <v>0</v>
      </c>
      <c r="P3155">
        <v>1</v>
      </c>
      <c r="Q3155" t="s">
        <v>23</v>
      </c>
      <c r="R3155">
        <v>0</v>
      </c>
    </row>
    <row r="3156" spans="1:18">
      <c r="A3156" s="4">
        <v>81511200000000</v>
      </c>
      <c r="B3156" t="s">
        <v>28</v>
      </c>
      <c r="C3156">
        <v>20</v>
      </c>
      <c r="D3156" t="s">
        <v>37</v>
      </c>
      <c r="E3156" t="s">
        <v>47</v>
      </c>
      <c r="F3156" s="1">
        <v>42496</v>
      </c>
      <c r="G3156" s="1">
        <v>42524</v>
      </c>
      <c r="H3156" t="s">
        <v>21</v>
      </c>
      <c r="I3156">
        <v>28</v>
      </c>
      <c r="J3156" t="s">
        <v>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23</v>
      </c>
      <c r="R3156">
        <v>0</v>
      </c>
    </row>
    <row r="3157" spans="1:18">
      <c r="A3157" s="4">
        <v>94572900000000</v>
      </c>
      <c r="B3157" t="s">
        <v>18</v>
      </c>
      <c r="C3157">
        <v>60</v>
      </c>
      <c r="D3157" t="s">
        <v>35</v>
      </c>
      <c r="E3157" t="s">
        <v>39</v>
      </c>
      <c r="F3157" s="1">
        <v>42496</v>
      </c>
      <c r="G3157" s="1">
        <v>42496</v>
      </c>
      <c r="H3157" t="s">
        <v>21</v>
      </c>
      <c r="I3157">
        <v>0</v>
      </c>
      <c r="J3157" t="s">
        <v>111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23</v>
      </c>
      <c r="R3157">
        <v>0</v>
      </c>
    </row>
    <row r="3158" spans="1:18">
      <c r="A3158" s="4">
        <v>196744000000</v>
      </c>
      <c r="B3158" t="s">
        <v>18</v>
      </c>
      <c r="C3158">
        <v>36</v>
      </c>
      <c r="D3158" t="s">
        <v>27</v>
      </c>
      <c r="E3158" t="s">
        <v>65</v>
      </c>
      <c r="F3158" s="1">
        <v>42496</v>
      </c>
      <c r="G3158" s="1">
        <v>42506</v>
      </c>
      <c r="H3158" t="s">
        <v>30</v>
      </c>
      <c r="I3158">
        <v>10</v>
      </c>
      <c r="J3158" t="s">
        <v>92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26</v>
      </c>
      <c r="R3158">
        <v>1</v>
      </c>
    </row>
    <row r="3159" spans="1:18">
      <c r="A3159" s="4">
        <v>24413200000000</v>
      </c>
      <c r="B3159" t="s">
        <v>18</v>
      </c>
      <c r="C3159">
        <v>47</v>
      </c>
      <c r="D3159" t="s">
        <v>27</v>
      </c>
      <c r="E3159" t="s">
        <v>50</v>
      </c>
      <c r="F3159" s="1">
        <v>42496</v>
      </c>
      <c r="G3159" s="1">
        <v>42509</v>
      </c>
      <c r="H3159" t="s">
        <v>33</v>
      </c>
      <c r="I3159">
        <v>13</v>
      </c>
      <c r="J3159" t="s">
        <v>92</v>
      </c>
      <c r="K3159">
        <v>0</v>
      </c>
      <c r="L3159">
        <v>0</v>
      </c>
      <c r="M3159">
        <v>0</v>
      </c>
      <c r="N3159">
        <v>1</v>
      </c>
      <c r="O3159">
        <v>0</v>
      </c>
      <c r="P3159">
        <v>0</v>
      </c>
      <c r="Q3159" t="s">
        <v>26</v>
      </c>
      <c r="R3159">
        <v>1</v>
      </c>
    </row>
    <row r="3160" spans="1:18">
      <c r="A3160" s="4">
        <v>6139400000000</v>
      </c>
      <c r="B3160" t="s">
        <v>28</v>
      </c>
      <c r="C3160">
        <v>50</v>
      </c>
      <c r="D3160" t="s">
        <v>27</v>
      </c>
      <c r="E3160" t="s">
        <v>29</v>
      </c>
      <c r="F3160" s="1">
        <v>42496</v>
      </c>
      <c r="G3160" s="1">
        <v>42496</v>
      </c>
      <c r="H3160" t="s">
        <v>21</v>
      </c>
      <c r="I3160">
        <v>0</v>
      </c>
      <c r="J3160" t="s">
        <v>111</v>
      </c>
      <c r="K3160">
        <v>0</v>
      </c>
      <c r="L3160">
        <v>1</v>
      </c>
      <c r="M3160">
        <v>0</v>
      </c>
      <c r="N3160">
        <v>0</v>
      </c>
      <c r="O3160">
        <v>0</v>
      </c>
      <c r="P3160">
        <v>0</v>
      </c>
      <c r="Q3160" t="s">
        <v>23</v>
      </c>
      <c r="R3160">
        <v>0</v>
      </c>
    </row>
    <row r="3161" spans="1:18">
      <c r="A3161" s="4">
        <v>38396800000000</v>
      </c>
      <c r="B3161" t="s">
        <v>18</v>
      </c>
      <c r="C3161">
        <v>23</v>
      </c>
      <c r="D3161" t="s">
        <v>37</v>
      </c>
      <c r="E3161" t="s">
        <v>67</v>
      </c>
      <c r="F3161" s="1">
        <v>42496</v>
      </c>
      <c r="G3161" s="1">
        <v>42496</v>
      </c>
      <c r="H3161" t="s">
        <v>21</v>
      </c>
      <c r="I3161">
        <v>0</v>
      </c>
      <c r="J3161" t="s">
        <v>111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23</v>
      </c>
      <c r="R3161">
        <v>0</v>
      </c>
    </row>
    <row r="3162" spans="1:18">
      <c r="A3162" s="4">
        <v>837342000000000</v>
      </c>
      <c r="B3162" t="s">
        <v>28</v>
      </c>
      <c r="C3162">
        <v>49</v>
      </c>
      <c r="D3162" t="s">
        <v>27</v>
      </c>
      <c r="E3162" t="s">
        <v>40</v>
      </c>
      <c r="F3162" s="1">
        <v>42496</v>
      </c>
      <c r="G3162" s="1">
        <v>42520</v>
      </c>
      <c r="H3162" t="s">
        <v>30</v>
      </c>
      <c r="I3162">
        <v>24</v>
      </c>
      <c r="J3162" t="s">
        <v>77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1</v>
      </c>
      <c r="Q3162" t="s">
        <v>23</v>
      </c>
      <c r="R3162">
        <v>0</v>
      </c>
    </row>
    <row r="3163" spans="1:18">
      <c r="A3163" s="4">
        <v>59944800000000</v>
      </c>
      <c r="B3163" t="s">
        <v>18</v>
      </c>
      <c r="C3163">
        <v>16</v>
      </c>
      <c r="D3163" t="s">
        <v>60</v>
      </c>
      <c r="E3163" t="s">
        <v>66</v>
      </c>
      <c r="F3163" s="1">
        <v>42496</v>
      </c>
      <c r="G3163" s="1">
        <v>42503</v>
      </c>
      <c r="H3163" t="s">
        <v>21</v>
      </c>
      <c r="I3163">
        <v>7</v>
      </c>
      <c r="J3163" t="s">
        <v>107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23</v>
      </c>
      <c r="R3163">
        <v>0</v>
      </c>
    </row>
    <row r="3164" spans="1:18">
      <c r="A3164" s="4">
        <v>451156000000000</v>
      </c>
      <c r="B3164" t="s">
        <v>18</v>
      </c>
      <c r="C3164">
        <v>6</v>
      </c>
      <c r="D3164" t="s">
        <v>31</v>
      </c>
      <c r="E3164" t="s">
        <v>61</v>
      </c>
      <c r="F3164" s="1">
        <v>42496</v>
      </c>
      <c r="G3164" s="1">
        <v>42496</v>
      </c>
      <c r="H3164" t="s">
        <v>21</v>
      </c>
      <c r="I3164">
        <v>0</v>
      </c>
      <c r="J3164" t="s">
        <v>111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23</v>
      </c>
      <c r="R3164">
        <v>0</v>
      </c>
    </row>
    <row r="3165" spans="1:18">
      <c r="A3165" s="4">
        <v>8917950000000</v>
      </c>
      <c r="B3165" t="s">
        <v>28</v>
      </c>
      <c r="C3165">
        <v>31</v>
      </c>
      <c r="D3165" t="s">
        <v>37</v>
      </c>
      <c r="E3165" t="s">
        <v>29</v>
      </c>
      <c r="F3165" s="1">
        <v>42496</v>
      </c>
      <c r="G3165" s="1">
        <v>42496</v>
      </c>
      <c r="H3165" t="s">
        <v>21</v>
      </c>
      <c r="I3165">
        <v>0</v>
      </c>
      <c r="J3165" t="s">
        <v>111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23</v>
      </c>
      <c r="R3165">
        <v>0</v>
      </c>
    </row>
    <row r="3166" spans="1:18">
      <c r="A3166" s="4">
        <v>429737000000000</v>
      </c>
      <c r="B3166" t="s">
        <v>18</v>
      </c>
      <c r="C3166">
        <v>66</v>
      </c>
      <c r="D3166" t="s">
        <v>19</v>
      </c>
      <c r="E3166" t="s">
        <v>32</v>
      </c>
      <c r="F3166" s="1">
        <v>42496</v>
      </c>
      <c r="G3166" s="1">
        <v>42501</v>
      </c>
      <c r="H3166" t="s">
        <v>25</v>
      </c>
      <c r="I3166">
        <v>5</v>
      </c>
      <c r="J3166" t="s">
        <v>107</v>
      </c>
      <c r="K3166">
        <v>0</v>
      </c>
      <c r="L3166">
        <v>1</v>
      </c>
      <c r="M3166">
        <v>1</v>
      </c>
      <c r="N3166">
        <v>0</v>
      </c>
      <c r="O3166">
        <v>0</v>
      </c>
      <c r="P3166">
        <v>1</v>
      </c>
      <c r="Q3166" t="s">
        <v>23</v>
      </c>
      <c r="R3166">
        <v>0</v>
      </c>
    </row>
    <row r="3167" spans="1:18">
      <c r="A3167" s="4">
        <v>271436000000000</v>
      </c>
      <c r="B3167" t="s">
        <v>28</v>
      </c>
      <c r="C3167">
        <v>59</v>
      </c>
      <c r="D3167" t="s">
        <v>35</v>
      </c>
      <c r="E3167" t="s">
        <v>39</v>
      </c>
      <c r="F3167" s="1">
        <v>42496</v>
      </c>
      <c r="G3167" s="1">
        <v>42496</v>
      </c>
      <c r="H3167" t="s">
        <v>21</v>
      </c>
      <c r="I3167">
        <v>0</v>
      </c>
      <c r="J3167" t="s">
        <v>111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23</v>
      </c>
      <c r="R3167">
        <v>0</v>
      </c>
    </row>
    <row r="3168" spans="1:18">
      <c r="A3168" s="4">
        <v>29443200000000</v>
      </c>
      <c r="B3168" t="s">
        <v>18</v>
      </c>
      <c r="C3168">
        <v>49</v>
      </c>
      <c r="D3168" t="s">
        <v>27</v>
      </c>
      <c r="E3168" t="s">
        <v>66</v>
      </c>
      <c r="F3168" s="1">
        <v>42499</v>
      </c>
      <c r="G3168" s="1">
        <v>42501</v>
      </c>
      <c r="H3168" t="s">
        <v>25</v>
      </c>
      <c r="I3168">
        <v>2</v>
      </c>
      <c r="J3168" t="s">
        <v>109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23</v>
      </c>
      <c r="R3168">
        <v>0</v>
      </c>
    </row>
    <row r="3169" spans="1:18">
      <c r="A3169" s="4">
        <v>97875300000000</v>
      </c>
      <c r="B3169" t="s">
        <v>28</v>
      </c>
      <c r="C3169">
        <v>60</v>
      </c>
      <c r="D3169" t="s">
        <v>35</v>
      </c>
      <c r="E3169" t="s">
        <v>80</v>
      </c>
      <c r="F3169" s="1">
        <v>42499</v>
      </c>
      <c r="G3169" s="1">
        <v>42503</v>
      </c>
      <c r="H3169" t="s">
        <v>21</v>
      </c>
      <c r="I3169">
        <v>4</v>
      </c>
      <c r="J3169" t="s">
        <v>107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23</v>
      </c>
      <c r="R3169">
        <v>0</v>
      </c>
    </row>
    <row r="3170" spans="1:18">
      <c r="A3170" s="4">
        <v>375749000000</v>
      </c>
      <c r="B3170" t="s">
        <v>18</v>
      </c>
      <c r="C3170">
        <v>36</v>
      </c>
      <c r="D3170" t="s">
        <v>27</v>
      </c>
      <c r="E3170" t="s">
        <v>72</v>
      </c>
      <c r="F3170" s="1">
        <v>42499</v>
      </c>
      <c r="G3170" s="1">
        <v>42501</v>
      </c>
      <c r="H3170" t="s">
        <v>25</v>
      </c>
      <c r="I3170">
        <v>2</v>
      </c>
      <c r="J3170" t="s">
        <v>109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23</v>
      </c>
      <c r="R3170">
        <v>0</v>
      </c>
    </row>
    <row r="3171" spans="1:18">
      <c r="A3171" s="4">
        <v>863267000000000</v>
      </c>
      <c r="B3171" t="s">
        <v>18</v>
      </c>
      <c r="C3171">
        <v>53</v>
      </c>
      <c r="D3171" t="s">
        <v>35</v>
      </c>
      <c r="E3171" t="s">
        <v>71</v>
      </c>
      <c r="F3171" s="1">
        <v>42499</v>
      </c>
      <c r="G3171" s="1">
        <v>42501</v>
      </c>
      <c r="H3171" t="s">
        <v>25</v>
      </c>
      <c r="I3171">
        <v>2</v>
      </c>
      <c r="J3171" t="s">
        <v>109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23</v>
      </c>
      <c r="R3171">
        <v>0</v>
      </c>
    </row>
    <row r="3172" spans="1:18">
      <c r="A3172" s="4">
        <v>18386900000000</v>
      </c>
      <c r="B3172" t="s">
        <v>28</v>
      </c>
      <c r="C3172">
        <v>1</v>
      </c>
      <c r="D3172" t="s">
        <v>31</v>
      </c>
      <c r="E3172" t="s">
        <v>73</v>
      </c>
      <c r="F3172" s="1">
        <v>42499</v>
      </c>
      <c r="G3172" s="1">
        <v>42503</v>
      </c>
      <c r="H3172" t="s">
        <v>21</v>
      </c>
      <c r="I3172">
        <v>4</v>
      </c>
      <c r="J3172" t="s">
        <v>107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23</v>
      </c>
      <c r="R3172">
        <v>0</v>
      </c>
    </row>
    <row r="3173" spans="1:18">
      <c r="A3173" s="4">
        <v>7279480000000</v>
      </c>
      <c r="B3173" t="s">
        <v>28</v>
      </c>
      <c r="C3173">
        <v>66</v>
      </c>
      <c r="D3173" t="s">
        <v>19</v>
      </c>
      <c r="E3173" t="s">
        <v>43</v>
      </c>
      <c r="F3173" s="1">
        <v>42499</v>
      </c>
      <c r="G3173" s="1">
        <v>42499</v>
      </c>
      <c r="H3173" t="s">
        <v>30</v>
      </c>
      <c r="I3173">
        <v>0</v>
      </c>
      <c r="J3173" t="s">
        <v>111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23</v>
      </c>
      <c r="R3173">
        <v>0</v>
      </c>
    </row>
    <row r="3174" spans="1:18">
      <c r="A3174" s="4">
        <v>168686000000</v>
      </c>
      <c r="B3174" t="s">
        <v>18</v>
      </c>
      <c r="C3174">
        <v>20</v>
      </c>
      <c r="D3174" t="s">
        <v>37</v>
      </c>
      <c r="E3174" t="s">
        <v>73</v>
      </c>
      <c r="F3174" s="1">
        <v>42499</v>
      </c>
      <c r="G3174" s="1">
        <v>42503</v>
      </c>
      <c r="H3174" t="s">
        <v>21</v>
      </c>
      <c r="I3174">
        <v>4</v>
      </c>
      <c r="J3174" t="s">
        <v>107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26</v>
      </c>
      <c r="R3174">
        <v>1</v>
      </c>
    </row>
    <row r="3175" spans="1:18">
      <c r="A3175" s="4">
        <v>1228530000000</v>
      </c>
      <c r="B3175" t="s">
        <v>18</v>
      </c>
      <c r="C3175">
        <v>2</v>
      </c>
      <c r="D3175" t="s">
        <v>31</v>
      </c>
      <c r="E3175" t="s">
        <v>72</v>
      </c>
      <c r="F3175" s="1">
        <v>42499</v>
      </c>
      <c r="G3175" s="1">
        <v>42499</v>
      </c>
      <c r="H3175" t="s">
        <v>30</v>
      </c>
      <c r="I3175">
        <v>0</v>
      </c>
      <c r="J3175" t="s">
        <v>111</v>
      </c>
      <c r="K3175">
        <v>1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23</v>
      </c>
      <c r="R3175">
        <v>0</v>
      </c>
    </row>
    <row r="3176" spans="1:18">
      <c r="A3176" s="4">
        <v>6825330000000</v>
      </c>
      <c r="B3176" t="s">
        <v>28</v>
      </c>
      <c r="C3176">
        <v>50</v>
      </c>
      <c r="D3176" t="s">
        <v>27</v>
      </c>
      <c r="E3176" t="s">
        <v>66</v>
      </c>
      <c r="F3176" s="1">
        <v>42499</v>
      </c>
      <c r="G3176" s="1">
        <v>42499</v>
      </c>
      <c r="H3176" t="s">
        <v>30</v>
      </c>
      <c r="I3176">
        <v>0</v>
      </c>
      <c r="J3176" t="s">
        <v>111</v>
      </c>
      <c r="K3176">
        <v>0</v>
      </c>
      <c r="L3176">
        <v>0</v>
      </c>
      <c r="M3176">
        <v>0</v>
      </c>
      <c r="N3176">
        <v>1</v>
      </c>
      <c r="O3176">
        <v>0</v>
      </c>
      <c r="P3176">
        <v>0</v>
      </c>
      <c r="Q3176" t="s">
        <v>23</v>
      </c>
      <c r="R3176">
        <v>0</v>
      </c>
    </row>
    <row r="3177" spans="1:18">
      <c r="A3177" s="4">
        <v>62682100000000</v>
      </c>
      <c r="B3177" t="s">
        <v>18</v>
      </c>
      <c r="C3177">
        <v>27</v>
      </c>
      <c r="D3177" t="s">
        <v>37</v>
      </c>
      <c r="E3177" t="s">
        <v>69</v>
      </c>
      <c r="F3177" s="1">
        <v>42499</v>
      </c>
      <c r="G3177" s="1">
        <v>42499</v>
      </c>
      <c r="H3177" t="s">
        <v>30</v>
      </c>
      <c r="I3177">
        <v>0</v>
      </c>
      <c r="J3177" t="s">
        <v>111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23</v>
      </c>
      <c r="R3177">
        <v>0</v>
      </c>
    </row>
    <row r="3178" spans="1:18">
      <c r="A3178" s="4">
        <v>972422000000</v>
      </c>
      <c r="B3178" t="s">
        <v>18</v>
      </c>
      <c r="C3178">
        <v>49</v>
      </c>
      <c r="D3178" t="s">
        <v>27</v>
      </c>
      <c r="E3178" t="s">
        <v>40</v>
      </c>
      <c r="F3178" s="1">
        <v>42499</v>
      </c>
      <c r="G3178" s="1">
        <v>42503</v>
      </c>
      <c r="H3178" t="s">
        <v>21</v>
      </c>
      <c r="I3178">
        <v>4</v>
      </c>
      <c r="J3178" t="s">
        <v>107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23</v>
      </c>
      <c r="R3178">
        <v>0</v>
      </c>
    </row>
    <row r="3179" spans="1:18">
      <c r="A3179" s="4">
        <v>92246200000000</v>
      </c>
      <c r="B3179" t="s">
        <v>18</v>
      </c>
      <c r="C3179">
        <v>27</v>
      </c>
      <c r="D3179" t="s">
        <v>37</v>
      </c>
      <c r="E3179" t="s">
        <v>45</v>
      </c>
      <c r="F3179" s="1">
        <v>42499</v>
      </c>
      <c r="G3179" s="1">
        <v>42499</v>
      </c>
      <c r="H3179" t="s">
        <v>30</v>
      </c>
      <c r="I3179">
        <v>0</v>
      </c>
      <c r="J3179" t="s">
        <v>111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23</v>
      </c>
      <c r="R3179">
        <v>0</v>
      </c>
    </row>
    <row r="3180" spans="1:18">
      <c r="A3180" s="4">
        <v>91492500000000</v>
      </c>
      <c r="B3180" t="s">
        <v>18</v>
      </c>
      <c r="C3180">
        <v>53</v>
      </c>
      <c r="D3180" t="s">
        <v>35</v>
      </c>
      <c r="E3180" t="s">
        <v>61</v>
      </c>
      <c r="F3180" s="1">
        <v>42499</v>
      </c>
      <c r="G3180" s="1">
        <v>42499</v>
      </c>
      <c r="H3180" t="s">
        <v>30</v>
      </c>
      <c r="I3180">
        <v>0</v>
      </c>
      <c r="J3180" t="s">
        <v>111</v>
      </c>
      <c r="K3180">
        <v>0</v>
      </c>
      <c r="L3180">
        <v>1</v>
      </c>
      <c r="M3180">
        <v>0</v>
      </c>
      <c r="N3180">
        <v>1</v>
      </c>
      <c r="O3180">
        <v>0</v>
      </c>
      <c r="P3180">
        <v>0</v>
      </c>
      <c r="Q3180" t="s">
        <v>23</v>
      </c>
      <c r="R3180">
        <v>0</v>
      </c>
    </row>
    <row r="3181" spans="1:18">
      <c r="A3181" s="4">
        <v>719814000000000</v>
      </c>
      <c r="B3181" t="s">
        <v>28</v>
      </c>
      <c r="C3181">
        <v>22</v>
      </c>
      <c r="D3181" t="s">
        <v>37</v>
      </c>
      <c r="E3181" t="s">
        <v>59</v>
      </c>
      <c r="F3181" s="1">
        <v>42499</v>
      </c>
      <c r="G3181" s="1">
        <v>42499</v>
      </c>
      <c r="H3181" t="s">
        <v>30</v>
      </c>
      <c r="I3181">
        <v>0</v>
      </c>
      <c r="J3181" t="s">
        <v>111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23</v>
      </c>
      <c r="R3181">
        <v>0</v>
      </c>
    </row>
    <row r="3182" spans="1:18">
      <c r="A3182" s="4">
        <v>931846000000</v>
      </c>
      <c r="B3182" t="s">
        <v>18</v>
      </c>
      <c r="C3182">
        <v>54</v>
      </c>
      <c r="D3182" t="s">
        <v>35</v>
      </c>
      <c r="E3182" t="s">
        <v>29</v>
      </c>
      <c r="F3182" s="1">
        <v>42499</v>
      </c>
      <c r="G3182" s="1">
        <v>42501</v>
      </c>
      <c r="H3182" t="s">
        <v>25</v>
      </c>
      <c r="I3182">
        <v>2</v>
      </c>
      <c r="J3182" t="s">
        <v>109</v>
      </c>
      <c r="K3182">
        <v>0</v>
      </c>
      <c r="L3182">
        <v>1</v>
      </c>
      <c r="M3182">
        <v>1</v>
      </c>
      <c r="N3182">
        <v>0</v>
      </c>
      <c r="O3182">
        <v>0</v>
      </c>
      <c r="P3182">
        <v>0</v>
      </c>
      <c r="Q3182" t="s">
        <v>23</v>
      </c>
      <c r="R3182">
        <v>0</v>
      </c>
    </row>
    <row r="3183" spans="1:18">
      <c r="A3183" s="4">
        <v>62439300000000</v>
      </c>
      <c r="B3183" t="s">
        <v>18</v>
      </c>
      <c r="C3183">
        <v>68</v>
      </c>
      <c r="D3183" t="s">
        <v>19</v>
      </c>
      <c r="E3183" t="s">
        <v>72</v>
      </c>
      <c r="F3183" s="1">
        <v>42499</v>
      </c>
      <c r="G3183" s="1">
        <v>42529</v>
      </c>
      <c r="H3183" t="s">
        <v>25</v>
      </c>
      <c r="I3183">
        <v>30</v>
      </c>
      <c r="J3183" t="s">
        <v>77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23</v>
      </c>
      <c r="R3183">
        <v>0</v>
      </c>
    </row>
    <row r="3184" spans="1:18">
      <c r="A3184" s="4">
        <v>96831200000000</v>
      </c>
      <c r="B3184" t="s">
        <v>18</v>
      </c>
      <c r="C3184">
        <v>33</v>
      </c>
      <c r="D3184" t="s">
        <v>37</v>
      </c>
      <c r="E3184" t="s">
        <v>20</v>
      </c>
      <c r="F3184" s="1">
        <v>42499</v>
      </c>
      <c r="G3184" s="1">
        <v>42499</v>
      </c>
      <c r="H3184" t="s">
        <v>30</v>
      </c>
      <c r="I3184">
        <v>0</v>
      </c>
      <c r="J3184" t="s">
        <v>111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23</v>
      </c>
      <c r="R3184">
        <v>0</v>
      </c>
    </row>
    <row r="3185" spans="1:18">
      <c r="A3185" s="4">
        <v>93256800000000</v>
      </c>
      <c r="B3185" t="s">
        <v>28</v>
      </c>
      <c r="C3185">
        <v>76</v>
      </c>
      <c r="D3185" t="s">
        <v>19</v>
      </c>
      <c r="E3185" t="s">
        <v>59</v>
      </c>
      <c r="F3185" s="1">
        <v>42499</v>
      </c>
      <c r="G3185" s="1">
        <v>42523</v>
      </c>
      <c r="H3185" t="s">
        <v>33</v>
      </c>
      <c r="I3185">
        <v>24</v>
      </c>
      <c r="J3185" t="s">
        <v>77</v>
      </c>
      <c r="K3185">
        <v>0</v>
      </c>
      <c r="L3185">
        <v>0</v>
      </c>
      <c r="M3185">
        <v>0</v>
      </c>
      <c r="N3185">
        <v>1</v>
      </c>
      <c r="O3185">
        <v>0</v>
      </c>
      <c r="P3185">
        <v>1</v>
      </c>
      <c r="Q3185" t="s">
        <v>23</v>
      </c>
      <c r="R3185">
        <v>0</v>
      </c>
    </row>
    <row r="3186" spans="1:18">
      <c r="A3186" s="4">
        <v>76694600000000</v>
      </c>
      <c r="B3186" t="s">
        <v>18</v>
      </c>
      <c r="C3186">
        <v>72</v>
      </c>
      <c r="D3186" t="s">
        <v>19</v>
      </c>
      <c r="E3186" t="s">
        <v>61</v>
      </c>
      <c r="F3186" s="1">
        <v>42499</v>
      </c>
      <c r="G3186" s="1">
        <v>42499</v>
      </c>
      <c r="H3186" t="s">
        <v>30</v>
      </c>
      <c r="I3186">
        <v>0</v>
      </c>
      <c r="J3186" t="s">
        <v>111</v>
      </c>
      <c r="K3186">
        <v>0</v>
      </c>
      <c r="L3186">
        <v>1</v>
      </c>
      <c r="M3186">
        <v>1</v>
      </c>
      <c r="N3186">
        <v>0</v>
      </c>
      <c r="O3186">
        <v>0</v>
      </c>
      <c r="P3186">
        <v>0</v>
      </c>
      <c r="Q3186" t="s">
        <v>23</v>
      </c>
      <c r="R3186">
        <v>0</v>
      </c>
    </row>
    <row r="3187" spans="1:18">
      <c r="A3187" s="4">
        <v>292226000000000</v>
      </c>
      <c r="B3187" t="s">
        <v>28</v>
      </c>
      <c r="C3187">
        <v>11</v>
      </c>
      <c r="D3187" t="s">
        <v>31</v>
      </c>
      <c r="E3187" t="s">
        <v>45</v>
      </c>
      <c r="F3187" s="1">
        <v>42499</v>
      </c>
      <c r="G3187" s="1">
        <v>42501</v>
      </c>
      <c r="H3187" t="s">
        <v>25</v>
      </c>
      <c r="I3187">
        <v>2</v>
      </c>
      <c r="J3187" t="s">
        <v>109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23</v>
      </c>
      <c r="R3187">
        <v>0</v>
      </c>
    </row>
    <row r="3188" spans="1:18">
      <c r="A3188" s="4">
        <v>32585000000000</v>
      </c>
      <c r="B3188" t="s">
        <v>18</v>
      </c>
      <c r="C3188">
        <v>12</v>
      </c>
      <c r="D3188" t="s">
        <v>31</v>
      </c>
      <c r="E3188" t="s">
        <v>39</v>
      </c>
      <c r="F3188" s="1">
        <v>42499</v>
      </c>
      <c r="G3188" s="1">
        <v>42499</v>
      </c>
      <c r="H3188" t="s">
        <v>30</v>
      </c>
      <c r="I3188">
        <v>0</v>
      </c>
      <c r="J3188" t="s">
        <v>111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23</v>
      </c>
      <c r="R3188">
        <v>0</v>
      </c>
    </row>
    <row r="3189" spans="1:18">
      <c r="A3189" s="4">
        <v>1754780000000</v>
      </c>
      <c r="B3189" t="s">
        <v>28</v>
      </c>
      <c r="C3189">
        <v>12</v>
      </c>
      <c r="D3189" t="s">
        <v>31</v>
      </c>
      <c r="E3189" t="s">
        <v>82</v>
      </c>
      <c r="F3189" s="1">
        <v>42499</v>
      </c>
      <c r="G3189" s="1">
        <v>42501</v>
      </c>
      <c r="H3189" t="s">
        <v>25</v>
      </c>
      <c r="I3189">
        <v>2</v>
      </c>
      <c r="J3189" t="s">
        <v>109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23</v>
      </c>
      <c r="R3189">
        <v>0</v>
      </c>
    </row>
    <row r="3190" spans="1:18">
      <c r="A3190" s="4">
        <v>877237000000000</v>
      </c>
      <c r="B3190" t="s">
        <v>18</v>
      </c>
      <c r="C3190">
        <v>49</v>
      </c>
      <c r="D3190" t="s">
        <v>27</v>
      </c>
      <c r="E3190" t="s">
        <v>39</v>
      </c>
      <c r="F3190" s="1">
        <v>42499</v>
      </c>
      <c r="G3190" s="1">
        <v>42499</v>
      </c>
      <c r="H3190" t="s">
        <v>30</v>
      </c>
      <c r="I3190">
        <v>0</v>
      </c>
      <c r="J3190" t="s">
        <v>111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23</v>
      </c>
      <c r="R3190">
        <v>0</v>
      </c>
    </row>
    <row r="3191" spans="1:18">
      <c r="A3191" s="4">
        <v>386927000000000</v>
      </c>
      <c r="B3191" t="s">
        <v>18</v>
      </c>
      <c r="C3191">
        <v>31</v>
      </c>
      <c r="D3191" t="s">
        <v>37</v>
      </c>
      <c r="E3191" t="s">
        <v>73</v>
      </c>
      <c r="F3191" s="1">
        <v>42499</v>
      </c>
      <c r="G3191" s="1">
        <v>42514</v>
      </c>
      <c r="H3191" t="s">
        <v>41</v>
      </c>
      <c r="I3191">
        <v>15</v>
      </c>
      <c r="J3191" t="s">
        <v>77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1</v>
      </c>
      <c r="Q3191" t="s">
        <v>26</v>
      </c>
      <c r="R3191">
        <v>1</v>
      </c>
    </row>
    <row r="3192" spans="1:18">
      <c r="A3192" s="4">
        <v>7758830000000</v>
      </c>
      <c r="B3192" t="s">
        <v>18</v>
      </c>
      <c r="C3192">
        <v>76</v>
      </c>
      <c r="D3192" t="s">
        <v>19</v>
      </c>
      <c r="E3192" t="s">
        <v>47</v>
      </c>
      <c r="F3192" s="1">
        <v>42499</v>
      </c>
      <c r="G3192" s="1">
        <v>42499</v>
      </c>
      <c r="H3192" t="s">
        <v>30</v>
      </c>
      <c r="I3192">
        <v>0</v>
      </c>
      <c r="J3192" t="s">
        <v>111</v>
      </c>
      <c r="K3192">
        <v>0</v>
      </c>
      <c r="L3192">
        <v>1</v>
      </c>
      <c r="M3192">
        <v>0</v>
      </c>
      <c r="N3192">
        <v>0</v>
      </c>
      <c r="O3192">
        <v>0</v>
      </c>
      <c r="P3192">
        <v>0</v>
      </c>
      <c r="Q3192" t="s">
        <v>23</v>
      </c>
      <c r="R3192">
        <v>0</v>
      </c>
    </row>
    <row r="3193" spans="1:18">
      <c r="A3193" s="4">
        <v>46758000000000</v>
      </c>
      <c r="B3193" t="s">
        <v>18</v>
      </c>
      <c r="C3193">
        <v>67</v>
      </c>
      <c r="D3193" t="s">
        <v>19</v>
      </c>
      <c r="E3193" t="s">
        <v>96</v>
      </c>
      <c r="F3193" s="1">
        <v>42499</v>
      </c>
      <c r="G3193" s="1">
        <v>42507</v>
      </c>
      <c r="H3193" t="s">
        <v>41</v>
      </c>
      <c r="I3193">
        <v>8</v>
      </c>
      <c r="J3193" t="s">
        <v>92</v>
      </c>
      <c r="K3193">
        <v>0</v>
      </c>
      <c r="L3193">
        <v>1</v>
      </c>
      <c r="M3193">
        <v>1</v>
      </c>
      <c r="N3193">
        <v>0</v>
      </c>
      <c r="O3193">
        <v>0</v>
      </c>
      <c r="P3193">
        <v>0</v>
      </c>
      <c r="Q3193" t="s">
        <v>23</v>
      </c>
      <c r="R3193">
        <v>0</v>
      </c>
    </row>
    <row r="3194" spans="1:18">
      <c r="A3194" s="4">
        <v>65511900000000</v>
      </c>
      <c r="B3194" t="s">
        <v>18</v>
      </c>
      <c r="C3194">
        <v>46</v>
      </c>
      <c r="D3194" t="s">
        <v>27</v>
      </c>
      <c r="E3194" t="s">
        <v>36</v>
      </c>
      <c r="F3194" s="1">
        <v>42499</v>
      </c>
      <c r="G3194" s="1">
        <v>42499</v>
      </c>
      <c r="H3194" t="s">
        <v>30</v>
      </c>
      <c r="I3194">
        <v>0</v>
      </c>
      <c r="J3194" t="s">
        <v>111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23</v>
      </c>
      <c r="R3194">
        <v>0</v>
      </c>
    </row>
    <row r="3195" spans="1:18">
      <c r="A3195" s="4">
        <v>5116340000000</v>
      </c>
      <c r="B3195" t="s">
        <v>18</v>
      </c>
      <c r="C3195">
        <v>65</v>
      </c>
      <c r="D3195" t="s">
        <v>35</v>
      </c>
      <c r="E3195" t="s">
        <v>68</v>
      </c>
      <c r="F3195" s="1">
        <v>42499</v>
      </c>
      <c r="G3195" s="1">
        <v>42515</v>
      </c>
      <c r="H3195" t="s">
        <v>25</v>
      </c>
      <c r="I3195">
        <v>16</v>
      </c>
      <c r="J3195" t="s">
        <v>77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1</v>
      </c>
      <c r="Q3195" t="s">
        <v>23</v>
      </c>
      <c r="R3195">
        <v>0</v>
      </c>
    </row>
    <row r="3196" spans="1:18">
      <c r="A3196" s="4">
        <v>62995000000000</v>
      </c>
      <c r="B3196" t="s">
        <v>18</v>
      </c>
      <c r="C3196">
        <v>19</v>
      </c>
      <c r="D3196" t="s">
        <v>37</v>
      </c>
      <c r="E3196" t="s">
        <v>63</v>
      </c>
      <c r="F3196" s="1">
        <v>42499</v>
      </c>
      <c r="G3196" s="1">
        <v>42499</v>
      </c>
      <c r="H3196" t="s">
        <v>30</v>
      </c>
      <c r="I3196">
        <v>0</v>
      </c>
      <c r="J3196" t="s">
        <v>111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23</v>
      </c>
      <c r="R3196">
        <v>0</v>
      </c>
    </row>
    <row r="3197" spans="1:18">
      <c r="A3197" s="4">
        <v>27913500000000</v>
      </c>
      <c r="B3197" t="s">
        <v>18</v>
      </c>
      <c r="C3197">
        <v>49</v>
      </c>
      <c r="D3197" t="s">
        <v>27</v>
      </c>
      <c r="E3197" t="s">
        <v>99</v>
      </c>
      <c r="F3197" s="1">
        <v>42499</v>
      </c>
      <c r="G3197" s="1">
        <v>42499</v>
      </c>
      <c r="H3197" t="s">
        <v>30</v>
      </c>
      <c r="I3197">
        <v>0</v>
      </c>
      <c r="J3197" t="s">
        <v>111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23</v>
      </c>
      <c r="R3197">
        <v>0</v>
      </c>
    </row>
    <row r="3198" spans="1:18">
      <c r="A3198" s="4">
        <v>732318000000000</v>
      </c>
      <c r="B3198" t="s">
        <v>28</v>
      </c>
      <c r="C3198">
        <v>9</v>
      </c>
      <c r="D3198" t="s">
        <v>31</v>
      </c>
      <c r="E3198" t="s">
        <v>100</v>
      </c>
      <c r="F3198" s="1">
        <v>42499</v>
      </c>
      <c r="G3198" s="1">
        <v>42500</v>
      </c>
      <c r="H3198" t="s">
        <v>41</v>
      </c>
      <c r="I3198">
        <v>1</v>
      </c>
      <c r="J3198" t="s">
        <v>109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26</v>
      </c>
      <c r="R3198">
        <v>1</v>
      </c>
    </row>
    <row r="3199" spans="1:18">
      <c r="A3199" s="4">
        <v>457696000000000</v>
      </c>
      <c r="B3199" t="s">
        <v>18</v>
      </c>
      <c r="C3199">
        <v>28</v>
      </c>
      <c r="D3199" t="s">
        <v>37</v>
      </c>
      <c r="E3199" t="s">
        <v>68</v>
      </c>
      <c r="F3199" s="1">
        <v>42499</v>
      </c>
      <c r="G3199" s="1">
        <v>42514</v>
      </c>
      <c r="H3199" t="s">
        <v>41</v>
      </c>
      <c r="I3199">
        <v>15</v>
      </c>
      <c r="J3199" t="s">
        <v>77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1</v>
      </c>
      <c r="Q3199" t="s">
        <v>23</v>
      </c>
      <c r="R3199">
        <v>0</v>
      </c>
    </row>
    <row r="3200" spans="1:18">
      <c r="A3200" s="4">
        <v>344595000000000</v>
      </c>
      <c r="B3200" t="s">
        <v>18</v>
      </c>
      <c r="C3200">
        <v>27</v>
      </c>
      <c r="D3200" t="s">
        <v>37</v>
      </c>
      <c r="E3200" t="s">
        <v>69</v>
      </c>
      <c r="F3200" s="1">
        <v>42499</v>
      </c>
      <c r="G3200" s="1">
        <v>42509</v>
      </c>
      <c r="H3200" t="s">
        <v>33</v>
      </c>
      <c r="I3200">
        <v>10</v>
      </c>
      <c r="J3200" t="s">
        <v>92</v>
      </c>
      <c r="K3200">
        <v>1</v>
      </c>
      <c r="L3200">
        <v>1</v>
      </c>
      <c r="M3200">
        <v>0</v>
      </c>
      <c r="N3200">
        <v>0</v>
      </c>
      <c r="O3200">
        <v>0</v>
      </c>
      <c r="P3200">
        <v>0</v>
      </c>
      <c r="Q3200" t="s">
        <v>26</v>
      </c>
      <c r="R3200">
        <v>1</v>
      </c>
    </row>
    <row r="3201" spans="1:18">
      <c r="A3201" s="4">
        <v>1484140000000</v>
      </c>
      <c r="B3201" t="s">
        <v>18</v>
      </c>
      <c r="C3201">
        <v>56</v>
      </c>
      <c r="D3201" t="s">
        <v>35</v>
      </c>
      <c r="E3201" t="s">
        <v>78</v>
      </c>
      <c r="F3201" s="1">
        <v>42499</v>
      </c>
      <c r="G3201" s="1">
        <v>42499</v>
      </c>
      <c r="H3201" t="s">
        <v>30</v>
      </c>
      <c r="I3201">
        <v>0</v>
      </c>
      <c r="J3201" t="s">
        <v>111</v>
      </c>
      <c r="K3201">
        <v>0</v>
      </c>
      <c r="L3201">
        <v>1</v>
      </c>
      <c r="M3201">
        <v>0</v>
      </c>
      <c r="N3201">
        <v>0</v>
      </c>
      <c r="O3201">
        <v>0</v>
      </c>
      <c r="P3201">
        <v>0</v>
      </c>
      <c r="Q3201" t="s">
        <v>23</v>
      </c>
      <c r="R3201">
        <v>0</v>
      </c>
    </row>
    <row r="3202" spans="1:18">
      <c r="A3202" s="4">
        <v>72811800000000</v>
      </c>
      <c r="B3202" t="s">
        <v>28</v>
      </c>
      <c r="C3202">
        <v>27</v>
      </c>
      <c r="D3202" t="s">
        <v>37</v>
      </c>
      <c r="E3202" t="s">
        <v>57</v>
      </c>
      <c r="F3202" s="1">
        <v>42499</v>
      </c>
      <c r="G3202" s="1">
        <v>42499</v>
      </c>
      <c r="H3202" t="s">
        <v>30</v>
      </c>
      <c r="I3202">
        <v>0</v>
      </c>
      <c r="J3202" t="s">
        <v>111</v>
      </c>
      <c r="K3202">
        <v>0</v>
      </c>
      <c r="L3202">
        <v>1</v>
      </c>
      <c r="M3202">
        <v>0</v>
      </c>
      <c r="N3202">
        <v>0</v>
      </c>
      <c r="O3202">
        <v>0</v>
      </c>
      <c r="P3202">
        <v>0</v>
      </c>
      <c r="Q3202" t="s">
        <v>23</v>
      </c>
      <c r="R3202">
        <v>0</v>
      </c>
    </row>
    <row r="3203" spans="1:18">
      <c r="A3203" s="4">
        <v>48345500000000</v>
      </c>
      <c r="B3203" t="s">
        <v>18</v>
      </c>
      <c r="C3203">
        <v>59</v>
      </c>
      <c r="D3203" t="s">
        <v>35</v>
      </c>
      <c r="E3203" t="s">
        <v>57</v>
      </c>
      <c r="F3203" s="1">
        <v>42499</v>
      </c>
      <c r="G3203" s="1">
        <v>42499</v>
      </c>
      <c r="H3203" t="s">
        <v>30</v>
      </c>
      <c r="I3203">
        <v>0</v>
      </c>
      <c r="J3203" t="s">
        <v>111</v>
      </c>
      <c r="K3203">
        <v>0</v>
      </c>
      <c r="L3203">
        <v>1</v>
      </c>
      <c r="M3203">
        <v>0</v>
      </c>
      <c r="N3203">
        <v>0</v>
      </c>
      <c r="O3203">
        <v>0</v>
      </c>
      <c r="P3203">
        <v>0</v>
      </c>
      <c r="Q3203" t="s">
        <v>23</v>
      </c>
      <c r="R3203">
        <v>0</v>
      </c>
    </row>
    <row r="3204" spans="1:18">
      <c r="A3204" s="4">
        <v>252548000000000</v>
      </c>
      <c r="B3204" t="s">
        <v>18</v>
      </c>
      <c r="C3204">
        <v>44</v>
      </c>
      <c r="D3204" t="s">
        <v>27</v>
      </c>
      <c r="E3204" t="s">
        <v>55</v>
      </c>
      <c r="F3204" s="1">
        <v>42499</v>
      </c>
      <c r="G3204" s="1">
        <v>42499</v>
      </c>
      <c r="H3204" t="s">
        <v>30</v>
      </c>
      <c r="I3204">
        <v>0</v>
      </c>
      <c r="J3204" t="s">
        <v>111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23</v>
      </c>
      <c r="R3204">
        <v>0</v>
      </c>
    </row>
    <row r="3205" spans="1:18">
      <c r="A3205" s="4">
        <v>74949328114</v>
      </c>
      <c r="B3205" t="s">
        <v>18</v>
      </c>
      <c r="C3205">
        <v>61</v>
      </c>
      <c r="D3205" t="s">
        <v>35</v>
      </c>
      <c r="E3205" t="s">
        <v>45</v>
      </c>
      <c r="F3205" s="1">
        <v>42499</v>
      </c>
      <c r="G3205" s="1">
        <v>42499</v>
      </c>
      <c r="H3205" t="s">
        <v>30</v>
      </c>
      <c r="I3205">
        <v>0</v>
      </c>
      <c r="J3205" t="s">
        <v>111</v>
      </c>
      <c r="K3205">
        <v>0</v>
      </c>
      <c r="L3205">
        <v>1</v>
      </c>
      <c r="M3205">
        <v>0</v>
      </c>
      <c r="N3205">
        <v>0</v>
      </c>
      <c r="O3205">
        <v>0</v>
      </c>
      <c r="P3205">
        <v>0</v>
      </c>
      <c r="Q3205" t="s">
        <v>23</v>
      </c>
      <c r="R3205">
        <v>0</v>
      </c>
    </row>
    <row r="3206" spans="1:18">
      <c r="A3206" s="4">
        <v>298275000000</v>
      </c>
      <c r="B3206" t="s">
        <v>18</v>
      </c>
      <c r="C3206">
        <v>46</v>
      </c>
      <c r="D3206" t="s">
        <v>27</v>
      </c>
      <c r="E3206" t="s">
        <v>72</v>
      </c>
      <c r="F3206" s="1">
        <v>42499</v>
      </c>
      <c r="G3206" s="1">
        <v>42501</v>
      </c>
      <c r="H3206" t="s">
        <v>25</v>
      </c>
      <c r="I3206">
        <v>2</v>
      </c>
      <c r="J3206" t="s">
        <v>109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23</v>
      </c>
      <c r="R3206">
        <v>0</v>
      </c>
    </row>
    <row r="3207" spans="1:18">
      <c r="A3207" s="4">
        <v>63694824935</v>
      </c>
      <c r="B3207" t="s">
        <v>18</v>
      </c>
      <c r="C3207">
        <v>0</v>
      </c>
      <c r="D3207" t="s">
        <v>31</v>
      </c>
      <c r="E3207" t="s">
        <v>54</v>
      </c>
      <c r="F3207" s="1">
        <v>42499</v>
      </c>
      <c r="G3207" s="1">
        <v>42514</v>
      </c>
      <c r="H3207" t="s">
        <v>41</v>
      </c>
      <c r="I3207">
        <v>15</v>
      </c>
      <c r="J3207" t="s">
        <v>77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1</v>
      </c>
      <c r="Q3207" t="s">
        <v>23</v>
      </c>
      <c r="R3207">
        <v>0</v>
      </c>
    </row>
    <row r="3208" spans="1:18">
      <c r="A3208" s="4">
        <v>9611970000000</v>
      </c>
      <c r="B3208" t="s">
        <v>18</v>
      </c>
      <c r="C3208">
        <v>38</v>
      </c>
      <c r="D3208" t="s">
        <v>27</v>
      </c>
      <c r="E3208" t="s">
        <v>50</v>
      </c>
      <c r="F3208" s="1">
        <v>42499</v>
      </c>
      <c r="G3208" s="1">
        <v>42499</v>
      </c>
      <c r="H3208" t="s">
        <v>30</v>
      </c>
      <c r="I3208">
        <v>0</v>
      </c>
      <c r="J3208" t="s">
        <v>111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23</v>
      </c>
      <c r="R3208">
        <v>0</v>
      </c>
    </row>
    <row r="3209" spans="1:18">
      <c r="A3209" s="4">
        <v>54398500000000</v>
      </c>
      <c r="B3209" t="s">
        <v>18</v>
      </c>
      <c r="C3209">
        <v>26</v>
      </c>
      <c r="D3209" t="s">
        <v>37</v>
      </c>
      <c r="E3209" t="s">
        <v>75</v>
      </c>
      <c r="F3209" s="1">
        <v>42499</v>
      </c>
      <c r="G3209" s="1">
        <v>42499</v>
      </c>
      <c r="H3209" t="s">
        <v>30</v>
      </c>
      <c r="I3209">
        <v>0</v>
      </c>
      <c r="J3209" t="s">
        <v>111</v>
      </c>
      <c r="K3209">
        <v>1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26</v>
      </c>
      <c r="R3209">
        <v>1</v>
      </c>
    </row>
    <row r="3210" spans="1:18">
      <c r="A3210" s="4">
        <v>682167000000000</v>
      </c>
      <c r="B3210" t="s">
        <v>18</v>
      </c>
      <c r="C3210">
        <v>24</v>
      </c>
      <c r="D3210" t="s">
        <v>37</v>
      </c>
      <c r="E3210" t="s">
        <v>68</v>
      </c>
      <c r="F3210" s="1">
        <v>42499</v>
      </c>
      <c r="G3210" s="1">
        <v>42499</v>
      </c>
      <c r="H3210" t="s">
        <v>30</v>
      </c>
      <c r="I3210">
        <v>0</v>
      </c>
      <c r="J3210" t="s">
        <v>111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26</v>
      </c>
      <c r="R3210">
        <v>1</v>
      </c>
    </row>
    <row r="3211" spans="1:18">
      <c r="A3211" s="4">
        <v>916472000000000</v>
      </c>
      <c r="B3211" t="s">
        <v>18</v>
      </c>
      <c r="C3211">
        <v>28</v>
      </c>
      <c r="D3211" t="s">
        <v>37</v>
      </c>
      <c r="E3211" t="s">
        <v>40</v>
      </c>
      <c r="F3211" s="1">
        <v>42499</v>
      </c>
      <c r="G3211" s="1">
        <v>42499</v>
      </c>
      <c r="H3211" t="s">
        <v>30</v>
      </c>
      <c r="I3211">
        <v>0</v>
      </c>
      <c r="J3211" t="s">
        <v>111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23</v>
      </c>
      <c r="R3211">
        <v>0</v>
      </c>
    </row>
    <row r="3212" spans="1:18">
      <c r="A3212" s="4">
        <v>68656900000000</v>
      </c>
      <c r="B3212" t="s">
        <v>18</v>
      </c>
      <c r="C3212">
        <v>30</v>
      </c>
      <c r="D3212" t="s">
        <v>37</v>
      </c>
      <c r="E3212" t="s">
        <v>81</v>
      </c>
      <c r="F3212" s="1">
        <v>42499</v>
      </c>
      <c r="G3212" s="1">
        <v>42499</v>
      </c>
      <c r="H3212" t="s">
        <v>30</v>
      </c>
      <c r="I3212">
        <v>0</v>
      </c>
      <c r="J3212" t="s">
        <v>111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23</v>
      </c>
      <c r="R3212">
        <v>0</v>
      </c>
    </row>
    <row r="3213" spans="1:18">
      <c r="A3213" s="4">
        <v>8564410000000</v>
      </c>
      <c r="B3213" t="s">
        <v>28</v>
      </c>
      <c r="C3213">
        <v>45</v>
      </c>
      <c r="D3213" t="s">
        <v>27</v>
      </c>
      <c r="E3213" t="s">
        <v>84</v>
      </c>
      <c r="F3213" s="1">
        <v>42499</v>
      </c>
      <c r="G3213" s="1">
        <v>42499</v>
      </c>
      <c r="H3213" t="s">
        <v>30</v>
      </c>
      <c r="I3213">
        <v>0</v>
      </c>
      <c r="J3213" t="s">
        <v>111</v>
      </c>
      <c r="K3213">
        <v>0</v>
      </c>
      <c r="L3213">
        <v>1</v>
      </c>
      <c r="M3213">
        <v>0</v>
      </c>
      <c r="N3213">
        <v>0</v>
      </c>
      <c r="O3213">
        <v>0</v>
      </c>
      <c r="P3213">
        <v>0</v>
      </c>
      <c r="Q3213" t="s">
        <v>23</v>
      </c>
      <c r="R3213">
        <v>0</v>
      </c>
    </row>
    <row r="3214" spans="1:18">
      <c r="A3214" s="4">
        <v>625417000000000</v>
      </c>
      <c r="B3214" t="s">
        <v>18</v>
      </c>
      <c r="C3214">
        <v>5</v>
      </c>
      <c r="D3214" t="s">
        <v>31</v>
      </c>
      <c r="E3214" t="s">
        <v>45</v>
      </c>
      <c r="F3214" s="1">
        <v>42499</v>
      </c>
      <c r="G3214" s="1">
        <v>42499</v>
      </c>
      <c r="H3214" t="s">
        <v>30</v>
      </c>
      <c r="I3214">
        <v>0</v>
      </c>
      <c r="J3214" t="s">
        <v>111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23</v>
      </c>
      <c r="R3214">
        <v>0</v>
      </c>
    </row>
    <row r="3215" spans="1:18">
      <c r="A3215" s="4">
        <v>351489000000</v>
      </c>
      <c r="B3215" t="s">
        <v>28</v>
      </c>
      <c r="C3215">
        <v>44</v>
      </c>
      <c r="D3215" t="s">
        <v>27</v>
      </c>
      <c r="E3215" t="s">
        <v>49</v>
      </c>
      <c r="F3215" s="1">
        <v>42499</v>
      </c>
      <c r="G3215" s="1">
        <v>42508</v>
      </c>
      <c r="H3215" t="s">
        <v>25</v>
      </c>
      <c r="I3215">
        <v>9</v>
      </c>
      <c r="J3215" t="s">
        <v>92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23</v>
      </c>
      <c r="R3215">
        <v>0</v>
      </c>
    </row>
    <row r="3216" spans="1:18">
      <c r="A3216" s="4">
        <v>98756700000000</v>
      </c>
      <c r="B3216" t="s">
        <v>18</v>
      </c>
      <c r="C3216">
        <v>18</v>
      </c>
      <c r="D3216" t="s">
        <v>37</v>
      </c>
      <c r="E3216" t="s">
        <v>71</v>
      </c>
      <c r="F3216" s="1">
        <v>42499</v>
      </c>
      <c r="G3216" s="1">
        <v>42508</v>
      </c>
      <c r="H3216" t="s">
        <v>25</v>
      </c>
      <c r="I3216">
        <v>9</v>
      </c>
      <c r="J3216" t="s">
        <v>92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23</v>
      </c>
      <c r="R3216">
        <v>0</v>
      </c>
    </row>
    <row r="3217" spans="1:18">
      <c r="A3217" s="4">
        <v>529180000000</v>
      </c>
      <c r="B3217" t="s">
        <v>18</v>
      </c>
      <c r="C3217">
        <v>74</v>
      </c>
      <c r="D3217" t="s">
        <v>19</v>
      </c>
      <c r="E3217" t="s">
        <v>66</v>
      </c>
      <c r="F3217" s="1">
        <v>42499</v>
      </c>
      <c r="G3217" s="1">
        <v>42499</v>
      </c>
      <c r="H3217" t="s">
        <v>30</v>
      </c>
      <c r="I3217">
        <v>0</v>
      </c>
      <c r="J3217" t="s">
        <v>111</v>
      </c>
      <c r="K3217">
        <v>0</v>
      </c>
      <c r="L3217">
        <v>1</v>
      </c>
      <c r="M3217">
        <v>0</v>
      </c>
      <c r="N3217">
        <v>0</v>
      </c>
      <c r="O3217">
        <v>0</v>
      </c>
      <c r="P3217">
        <v>0</v>
      </c>
      <c r="Q3217" t="s">
        <v>23</v>
      </c>
      <c r="R3217">
        <v>0</v>
      </c>
    </row>
    <row r="3218" spans="1:18">
      <c r="A3218" s="4">
        <v>49775447629</v>
      </c>
      <c r="B3218" t="s">
        <v>18</v>
      </c>
      <c r="C3218">
        <v>1</v>
      </c>
      <c r="D3218" t="s">
        <v>31</v>
      </c>
      <c r="E3218" t="s">
        <v>51</v>
      </c>
      <c r="F3218" s="1">
        <v>42499</v>
      </c>
      <c r="G3218" s="1">
        <v>42503</v>
      </c>
      <c r="H3218" t="s">
        <v>21</v>
      </c>
      <c r="I3218">
        <v>4</v>
      </c>
      <c r="J3218" t="s">
        <v>107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26</v>
      </c>
      <c r="R3218">
        <v>1</v>
      </c>
    </row>
    <row r="3219" spans="1:18">
      <c r="A3219" s="4">
        <v>89293300000000</v>
      </c>
      <c r="B3219" t="s">
        <v>18</v>
      </c>
      <c r="C3219">
        <v>21</v>
      </c>
      <c r="D3219" t="s">
        <v>37</v>
      </c>
      <c r="E3219" t="s">
        <v>47</v>
      </c>
      <c r="F3219" s="1">
        <v>42499</v>
      </c>
      <c r="G3219" s="1">
        <v>42499</v>
      </c>
      <c r="H3219" t="s">
        <v>30</v>
      </c>
      <c r="I3219">
        <v>0</v>
      </c>
      <c r="J3219" t="s">
        <v>111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23</v>
      </c>
      <c r="R3219">
        <v>0</v>
      </c>
    </row>
    <row r="3220" spans="1:18">
      <c r="A3220" s="4">
        <v>57567200000000</v>
      </c>
      <c r="B3220" t="s">
        <v>18</v>
      </c>
      <c r="C3220">
        <v>56</v>
      </c>
      <c r="D3220" t="s">
        <v>35</v>
      </c>
      <c r="E3220" t="s">
        <v>100</v>
      </c>
      <c r="F3220" s="1">
        <v>42499</v>
      </c>
      <c r="G3220" s="1">
        <v>42529</v>
      </c>
      <c r="H3220" t="s">
        <v>25</v>
      </c>
      <c r="I3220">
        <v>30</v>
      </c>
      <c r="J3220" t="s">
        <v>77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1</v>
      </c>
      <c r="Q3220" t="s">
        <v>23</v>
      </c>
      <c r="R3220">
        <v>0</v>
      </c>
    </row>
    <row r="3221" spans="1:18">
      <c r="A3221" s="4">
        <v>33296500000000</v>
      </c>
      <c r="B3221" t="s">
        <v>18</v>
      </c>
      <c r="C3221">
        <v>89</v>
      </c>
      <c r="D3221" t="s">
        <v>19</v>
      </c>
      <c r="E3221" t="s">
        <v>76</v>
      </c>
      <c r="F3221" s="1">
        <v>42499</v>
      </c>
      <c r="G3221" s="1">
        <v>42499</v>
      </c>
      <c r="H3221" t="s">
        <v>30</v>
      </c>
      <c r="I3221">
        <v>0</v>
      </c>
      <c r="J3221" t="s">
        <v>111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23</v>
      </c>
      <c r="R3221">
        <v>0</v>
      </c>
    </row>
    <row r="3222" spans="1:18">
      <c r="A3222" s="4">
        <v>9668890000000</v>
      </c>
      <c r="B3222" t="s">
        <v>18</v>
      </c>
      <c r="C3222">
        <v>20</v>
      </c>
      <c r="D3222" t="s">
        <v>37</v>
      </c>
      <c r="E3222" t="s">
        <v>63</v>
      </c>
      <c r="F3222" s="1">
        <v>42499</v>
      </c>
      <c r="G3222" s="1">
        <v>42499</v>
      </c>
      <c r="H3222" t="s">
        <v>30</v>
      </c>
      <c r="I3222">
        <v>0</v>
      </c>
      <c r="J3222" t="s">
        <v>111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23</v>
      </c>
      <c r="R3222">
        <v>0</v>
      </c>
    </row>
    <row r="3223" spans="1:18">
      <c r="A3223" s="4">
        <v>74772500000000</v>
      </c>
      <c r="B3223" t="s">
        <v>18</v>
      </c>
      <c r="C3223">
        <v>37</v>
      </c>
      <c r="D3223" t="s">
        <v>27</v>
      </c>
      <c r="E3223" t="s">
        <v>81</v>
      </c>
      <c r="F3223" s="1">
        <v>42499</v>
      </c>
      <c r="G3223" s="1">
        <v>42527</v>
      </c>
      <c r="H3223" t="s">
        <v>30</v>
      </c>
      <c r="I3223">
        <v>28</v>
      </c>
      <c r="J3223" t="s">
        <v>77</v>
      </c>
      <c r="K3223">
        <v>1</v>
      </c>
      <c r="L3223">
        <v>0</v>
      </c>
      <c r="M3223">
        <v>0</v>
      </c>
      <c r="N3223">
        <v>0</v>
      </c>
      <c r="O3223">
        <v>0</v>
      </c>
      <c r="P3223">
        <v>1</v>
      </c>
      <c r="Q3223" t="s">
        <v>23</v>
      </c>
      <c r="R3223">
        <v>0</v>
      </c>
    </row>
    <row r="3224" spans="1:18">
      <c r="A3224" s="4">
        <v>1288340000000</v>
      </c>
      <c r="B3224" t="s">
        <v>18</v>
      </c>
      <c r="C3224">
        <v>0</v>
      </c>
      <c r="D3224" t="s">
        <v>31</v>
      </c>
      <c r="E3224" t="s">
        <v>44</v>
      </c>
      <c r="F3224" s="1">
        <v>42499</v>
      </c>
      <c r="G3224" s="1">
        <v>42521</v>
      </c>
      <c r="H3224" t="s">
        <v>41</v>
      </c>
      <c r="I3224">
        <v>22</v>
      </c>
      <c r="J3224" t="s">
        <v>77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23</v>
      </c>
      <c r="R3224">
        <v>0</v>
      </c>
    </row>
    <row r="3225" spans="1:18">
      <c r="A3225" s="4">
        <v>1769930000000</v>
      </c>
      <c r="B3225" t="s">
        <v>28</v>
      </c>
      <c r="C3225">
        <v>51</v>
      </c>
      <c r="D3225" t="s">
        <v>35</v>
      </c>
      <c r="E3225" t="s">
        <v>29</v>
      </c>
      <c r="F3225" s="1">
        <v>42499</v>
      </c>
      <c r="G3225" s="1">
        <v>42499</v>
      </c>
      <c r="H3225" t="s">
        <v>30</v>
      </c>
      <c r="I3225">
        <v>0</v>
      </c>
      <c r="J3225" t="s">
        <v>111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23</v>
      </c>
      <c r="R3225">
        <v>0</v>
      </c>
    </row>
    <row r="3226" spans="1:18">
      <c r="A3226" s="4">
        <v>1169330000000</v>
      </c>
      <c r="B3226" t="s">
        <v>18</v>
      </c>
      <c r="C3226">
        <v>35</v>
      </c>
      <c r="D3226" t="s">
        <v>37</v>
      </c>
      <c r="E3226" t="s">
        <v>71</v>
      </c>
      <c r="F3226" s="1">
        <v>42499</v>
      </c>
      <c r="G3226" s="1">
        <v>42528</v>
      </c>
      <c r="H3226" t="s">
        <v>41</v>
      </c>
      <c r="I3226">
        <v>29</v>
      </c>
      <c r="J3226" t="s">
        <v>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1</v>
      </c>
      <c r="Q3226" t="s">
        <v>23</v>
      </c>
      <c r="R3226">
        <v>0</v>
      </c>
    </row>
    <row r="3227" spans="1:18">
      <c r="A3227" s="4">
        <v>114755000000</v>
      </c>
      <c r="B3227" t="s">
        <v>18</v>
      </c>
      <c r="C3227">
        <v>7</v>
      </c>
      <c r="D3227" t="s">
        <v>31</v>
      </c>
      <c r="E3227" t="s">
        <v>86</v>
      </c>
      <c r="F3227" s="1">
        <v>42499</v>
      </c>
      <c r="G3227" s="1">
        <v>42499</v>
      </c>
      <c r="H3227" t="s">
        <v>30</v>
      </c>
      <c r="I3227">
        <v>0</v>
      </c>
      <c r="J3227" t="s">
        <v>111</v>
      </c>
      <c r="K3227">
        <v>1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23</v>
      </c>
      <c r="R3227">
        <v>0</v>
      </c>
    </row>
    <row r="3228" spans="1:18">
      <c r="A3228" s="4">
        <v>25995100000000</v>
      </c>
      <c r="B3228" t="s">
        <v>28</v>
      </c>
      <c r="C3228">
        <v>0</v>
      </c>
      <c r="D3228" t="s">
        <v>31</v>
      </c>
      <c r="E3228" t="s">
        <v>47</v>
      </c>
      <c r="F3228" s="1">
        <v>42499</v>
      </c>
      <c r="G3228" s="1">
        <v>42500</v>
      </c>
      <c r="H3228" t="s">
        <v>41</v>
      </c>
      <c r="I3228">
        <v>1</v>
      </c>
      <c r="J3228" t="s">
        <v>109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23</v>
      </c>
      <c r="R3228">
        <v>0</v>
      </c>
    </row>
    <row r="3229" spans="1:18">
      <c r="A3229" s="4">
        <v>15498600000000</v>
      </c>
      <c r="B3229" t="s">
        <v>18</v>
      </c>
      <c r="C3229">
        <v>7</v>
      </c>
      <c r="D3229" t="s">
        <v>31</v>
      </c>
      <c r="E3229" t="s">
        <v>90</v>
      </c>
      <c r="F3229" s="1">
        <v>42499</v>
      </c>
      <c r="G3229" s="1">
        <v>42499</v>
      </c>
      <c r="H3229" t="s">
        <v>30</v>
      </c>
      <c r="I3229">
        <v>0</v>
      </c>
      <c r="J3229" t="s">
        <v>111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23</v>
      </c>
      <c r="R3229">
        <v>0</v>
      </c>
    </row>
    <row r="3230" spans="1:18">
      <c r="A3230" s="4">
        <v>422274000000000</v>
      </c>
      <c r="B3230" t="s">
        <v>18</v>
      </c>
      <c r="C3230">
        <v>33</v>
      </c>
      <c r="D3230" t="s">
        <v>37</v>
      </c>
      <c r="E3230" t="s">
        <v>79</v>
      </c>
      <c r="F3230" s="1">
        <v>42499</v>
      </c>
      <c r="G3230" s="1">
        <v>42499</v>
      </c>
      <c r="H3230" t="s">
        <v>30</v>
      </c>
      <c r="I3230">
        <v>0</v>
      </c>
      <c r="J3230" t="s">
        <v>111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23</v>
      </c>
      <c r="R3230">
        <v>0</v>
      </c>
    </row>
    <row r="3231" spans="1:18">
      <c r="A3231" s="4">
        <v>11288600000000</v>
      </c>
      <c r="B3231" t="s">
        <v>18</v>
      </c>
      <c r="C3231">
        <v>29</v>
      </c>
      <c r="D3231" t="s">
        <v>37</v>
      </c>
      <c r="E3231" t="s">
        <v>66</v>
      </c>
      <c r="F3231" s="1">
        <v>42499</v>
      </c>
      <c r="G3231" s="1">
        <v>42509</v>
      </c>
      <c r="H3231" t="s">
        <v>33</v>
      </c>
      <c r="I3231">
        <v>10</v>
      </c>
      <c r="J3231" t="s">
        <v>92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23</v>
      </c>
      <c r="R3231">
        <v>0</v>
      </c>
    </row>
    <row r="3232" spans="1:18">
      <c r="A3232" s="4">
        <v>739414000000000</v>
      </c>
      <c r="B3232" t="s">
        <v>18</v>
      </c>
      <c r="C3232">
        <v>46</v>
      </c>
      <c r="D3232" t="s">
        <v>27</v>
      </c>
      <c r="E3232" t="s">
        <v>36</v>
      </c>
      <c r="F3232" s="1">
        <v>42499</v>
      </c>
      <c r="G3232" s="1">
        <v>42499</v>
      </c>
      <c r="H3232" t="s">
        <v>30</v>
      </c>
      <c r="I3232">
        <v>0</v>
      </c>
      <c r="J3232" t="s">
        <v>111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23</v>
      </c>
      <c r="R3232">
        <v>0</v>
      </c>
    </row>
    <row r="3233" spans="1:18">
      <c r="A3233" s="4">
        <v>5376260000000</v>
      </c>
      <c r="B3233" t="s">
        <v>28</v>
      </c>
      <c r="C3233">
        <v>78</v>
      </c>
      <c r="D3233" t="s">
        <v>19</v>
      </c>
      <c r="E3233" t="s">
        <v>32</v>
      </c>
      <c r="F3233" s="1">
        <v>42499</v>
      </c>
      <c r="G3233" s="1">
        <v>42508</v>
      </c>
      <c r="H3233" t="s">
        <v>25</v>
      </c>
      <c r="I3233">
        <v>9</v>
      </c>
      <c r="J3233" t="s">
        <v>92</v>
      </c>
      <c r="K3233">
        <v>0</v>
      </c>
      <c r="L3233">
        <v>0</v>
      </c>
      <c r="M3233">
        <v>0</v>
      </c>
      <c r="N3233">
        <v>0</v>
      </c>
      <c r="O3233">
        <v>1</v>
      </c>
      <c r="P3233">
        <v>0</v>
      </c>
      <c r="Q3233" t="s">
        <v>23</v>
      </c>
      <c r="R3233">
        <v>0</v>
      </c>
    </row>
    <row r="3234" spans="1:18">
      <c r="A3234" s="4">
        <v>2615740000000</v>
      </c>
      <c r="B3234" t="s">
        <v>18</v>
      </c>
      <c r="C3234">
        <v>62</v>
      </c>
      <c r="D3234" t="s">
        <v>35</v>
      </c>
      <c r="E3234" t="s">
        <v>32</v>
      </c>
      <c r="F3234" s="1">
        <v>42499</v>
      </c>
      <c r="G3234" s="1">
        <v>42499</v>
      </c>
      <c r="H3234" t="s">
        <v>30</v>
      </c>
      <c r="I3234">
        <v>0</v>
      </c>
      <c r="J3234" t="s">
        <v>111</v>
      </c>
      <c r="K3234">
        <v>0</v>
      </c>
      <c r="L3234">
        <v>1</v>
      </c>
      <c r="M3234">
        <v>1</v>
      </c>
      <c r="N3234">
        <v>0</v>
      </c>
      <c r="O3234">
        <v>0</v>
      </c>
      <c r="P3234">
        <v>0</v>
      </c>
      <c r="Q3234" t="s">
        <v>23</v>
      </c>
      <c r="R3234">
        <v>0</v>
      </c>
    </row>
    <row r="3235" spans="1:18">
      <c r="A3235" s="4">
        <v>31826500000000</v>
      </c>
      <c r="B3235" t="s">
        <v>18</v>
      </c>
      <c r="C3235">
        <v>42</v>
      </c>
      <c r="D3235" t="s">
        <v>27</v>
      </c>
      <c r="E3235" t="s">
        <v>105</v>
      </c>
      <c r="F3235" s="1">
        <v>42499</v>
      </c>
      <c r="G3235" s="1">
        <v>42499</v>
      </c>
      <c r="H3235" t="s">
        <v>30</v>
      </c>
      <c r="I3235">
        <v>0</v>
      </c>
      <c r="J3235" t="s">
        <v>111</v>
      </c>
      <c r="K3235">
        <v>1</v>
      </c>
      <c r="L3235">
        <v>1</v>
      </c>
      <c r="M3235">
        <v>0</v>
      </c>
      <c r="N3235">
        <v>0</v>
      </c>
      <c r="O3235">
        <v>0</v>
      </c>
      <c r="P3235">
        <v>0</v>
      </c>
      <c r="Q3235" t="s">
        <v>23</v>
      </c>
      <c r="R3235">
        <v>0</v>
      </c>
    </row>
    <row r="3236" spans="1:18">
      <c r="A3236" s="4">
        <v>58129800000000</v>
      </c>
      <c r="B3236" t="s">
        <v>18</v>
      </c>
      <c r="C3236">
        <v>51</v>
      </c>
      <c r="D3236" t="s">
        <v>35</v>
      </c>
      <c r="E3236" t="s">
        <v>20</v>
      </c>
      <c r="F3236" s="1">
        <v>42499</v>
      </c>
      <c r="G3236" s="1">
        <v>42506</v>
      </c>
      <c r="H3236" t="s">
        <v>30</v>
      </c>
      <c r="I3236">
        <v>7</v>
      </c>
      <c r="J3236" t="s">
        <v>107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23</v>
      </c>
      <c r="R3236">
        <v>0</v>
      </c>
    </row>
    <row r="3237" spans="1:18">
      <c r="A3237" s="4">
        <v>2363880000000</v>
      </c>
      <c r="B3237" t="s">
        <v>18</v>
      </c>
      <c r="C3237">
        <v>0</v>
      </c>
      <c r="D3237" t="s">
        <v>31</v>
      </c>
      <c r="E3237" t="s">
        <v>81</v>
      </c>
      <c r="F3237" s="1">
        <v>42499</v>
      </c>
      <c r="G3237" s="1">
        <v>42499</v>
      </c>
      <c r="H3237" t="s">
        <v>30</v>
      </c>
      <c r="I3237">
        <v>0</v>
      </c>
      <c r="J3237" t="s">
        <v>111</v>
      </c>
      <c r="K3237">
        <v>1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23</v>
      </c>
      <c r="R3237">
        <v>0</v>
      </c>
    </row>
    <row r="3238" spans="1:18">
      <c r="A3238" s="4">
        <v>82613100000000</v>
      </c>
      <c r="B3238" t="s">
        <v>18</v>
      </c>
      <c r="C3238">
        <v>33</v>
      </c>
      <c r="D3238" t="s">
        <v>37</v>
      </c>
      <c r="E3238" t="s">
        <v>67</v>
      </c>
      <c r="F3238" s="1">
        <v>42499</v>
      </c>
      <c r="G3238" s="1">
        <v>42523</v>
      </c>
      <c r="H3238" t="s">
        <v>33</v>
      </c>
      <c r="I3238">
        <v>24</v>
      </c>
      <c r="J3238" t="s">
        <v>77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1</v>
      </c>
      <c r="Q3238" t="s">
        <v>23</v>
      </c>
      <c r="R3238">
        <v>0</v>
      </c>
    </row>
    <row r="3239" spans="1:18">
      <c r="A3239" s="4">
        <v>2500000000000</v>
      </c>
      <c r="B3239" t="s">
        <v>18</v>
      </c>
      <c r="C3239">
        <v>61</v>
      </c>
      <c r="D3239" t="s">
        <v>35</v>
      </c>
      <c r="E3239" t="s">
        <v>59</v>
      </c>
      <c r="F3239" s="1">
        <v>42499</v>
      </c>
      <c r="G3239" s="1">
        <v>42499</v>
      </c>
      <c r="H3239" t="s">
        <v>30</v>
      </c>
      <c r="I3239">
        <v>0</v>
      </c>
      <c r="J3239" t="s">
        <v>111</v>
      </c>
      <c r="K3239">
        <v>0</v>
      </c>
      <c r="L3239">
        <v>1</v>
      </c>
      <c r="M3239">
        <v>0</v>
      </c>
      <c r="N3239">
        <v>0</v>
      </c>
      <c r="O3239">
        <v>0</v>
      </c>
      <c r="P3239">
        <v>0</v>
      </c>
      <c r="Q3239" t="s">
        <v>23</v>
      </c>
      <c r="R3239">
        <v>0</v>
      </c>
    </row>
    <row r="3240" spans="1:18">
      <c r="A3240" s="4">
        <v>6263910000000</v>
      </c>
      <c r="B3240" t="s">
        <v>18</v>
      </c>
      <c r="C3240">
        <v>55</v>
      </c>
      <c r="D3240" t="s">
        <v>35</v>
      </c>
      <c r="E3240" t="s">
        <v>55</v>
      </c>
      <c r="F3240" s="1">
        <v>42499</v>
      </c>
      <c r="G3240" s="1">
        <v>42502</v>
      </c>
      <c r="H3240" t="s">
        <v>33</v>
      </c>
      <c r="I3240">
        <v>3</v>
      </c>
      <c r="J3240" t="s">
        <v>109</v>
      </c>
      <c r="K3240">
        <v>1</v>
      </c>
      <c r="L3240">
        <v>1</v>
      </c>
      <c r="M3240">
        <v>0</v>
      </c>
      <c r="N3240">
        <v>0</v>
      </c>
      <c r="O3240">
        <v>0</v>
      </c>
      <c r="P3240">
        <v>1</v>
      </c>
      <c r="Q3240" t="s">
        <v>23</v>
      </c>
      <c r="R3240">
        <v>0</v>
      </c>
    </row>
    <row r="3241" spans="1:18">
      <c r="A3241" s="4">
        <v>295889000000000</v>
      </c>
      <c r="B3241" t="s">
        <v>18</v>
      </c>
      <c r="C3241">
        <v>3</v>
      </c>
      <c r="D3241" t="s">
        <v>31</v>
      </c>
      <c r="E3241" t="s">
        <v>65</v>
      </c>
      <c r="F3241" s="1">
        <v>42499</v>
      </c>
      <c r="G3241" s="1">
        <v>42499</v>
      </c>
      <c r="H3241" t="s">
        <v>30</v>
      </c>
      <c r="I3241">
        <v>0</v>
      </c>
      <c r="J3241" t="s">
        <v>111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23</v>
      </c>
      <c r="R3241">
        <v>0</v>
      </c>
    </row>
    <row r="3242" spans="1:18">
      <c r="A3242" s="4">
        <v>8634160000000</v>
      </c>
      <c r="B3242" t="s">
        <v>28</v>
      </c>
      <c r="C3242">
        <v>40</v>
      </c>
      <c r="D3242" t="s">
        <v>27</v>
      </c>
      <c r="E3242" t="s">
        <v>62</v>
      </c>
      <c r="F3242" s="1">
        <v>42499</v>
      </c>
      <c r="G3242" s="1">
        <v>42499</v>
      </c>
      <c r="H3242" t="s">
        <v>30</v>
      </c>
      <c r="I3242">
        <v>0</v>
      </c>
      <c r="J3242" t="s">
        <v>111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23</v>
      </c>
      <c r="R3242">
        <v>0</v>
      </c>
    </row>
    <row r="3243" spans="1:18">
      <c r="A3243" s="4">
        <v>25932400000000</v>
      </c>
      <c r="B3243" t="s">
        <v>28</v>
      </c>
      <c r="C3243">
        <v>72</v>
      </c>
      <c r="D3243" t="s">
        <v>19</v>
      </c>
      <c r="E3243" t="s">
        <v>57</v>
      </c>
      <c r="F3243" s="1">
        <v>42499</v>
      </c>
      <c r="G3243" s="1">
        <v>42499</v>
      </c>
      <c r="H3243" t="s">
        <v>30</v>
      </c>
      <c r="I3243">
        <v>0</v>
      </c>
      <c r="J3243" t="s">
        <v>111</v>
      </c>
      <c r="K3243">
        <v>0</v>
      </c>
      <c r="L3243">
        <v>1</v>
      </c>
      <c r="M3243">
        <v>0</v>
      </c>
      <c r="N3243">
        <v>0</v>
      </c>
      <c r="O3243">
        <v>1</v>
      </c>
      <c r="P3243">
        <v>0</v>
      </c>
      <c r="Q3243" t="s">
        <v>23</v>
      </c>
      <c r="R3243">
        <v>0</v>
      </c>
    </row>
    <row r="3244" spans="1:18">
      <c r="A3244" s="4">
        <v>6579460000000</v>
      </c>
      <c r="B3244" t="s">
        <v>28</v>
      </c>
      <c r="C3244">
        <v>4</v>
      </c>
      <c r="D3244" t="s">
        <v>31</v>
      </c>
      <c r="E3244" t="s">
        <v>84</v>
      </c>
      <c r="F3244" s="1">
        <v>42499</v>
      </c>
      <c r="G3244" s="1">
        <v>42499</v>
      </c>
      <c r="H3244" t="s">
        <v>30</v>
      </c>
      <c r="I3244">
        <v>0</v>
      </c>
      <c r="J3244" t="s">
        <v>111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23</v>
      </c>
      <c r="R3244">
        <v>0</v>
      </c>
    </row>
    <row r="3245" spans="1:18">
      <c r="A3245" s="4">
        <v>2648120000000</v>
      </c>
      <c r="B3245" t="s">
        <v>18</v>
      </c>
      <c r="C3245">
        <v>77</v>
      </c>
      <c r="D3245" t="s">
        <v>19</v>
      </c>
      <c r="E3245" t="s">
        <v>38</v>
      </c>
      <c r="F3245" s="1">
        <v>42499</v>
      </c>
      <c r="G3245" s="1">
        <v>42500</v>
      </c>
      <c r="H3245" t="s">
        <v>41</v>
      </c>
      <c r="I3245">
        <v>1</v>
      </c>
      <c r="J3245" t="s">
        <v>109</v>
      </c>
      <c r="K3245">
        <v>0</v>
      </c>
      <c r="L3245">
        <v>1</v>
      </c>
      <c r="M3245">
        <v>1</v>
      </c>
      <c r="N3245">
        <v>0</v>
      </c>
      <c r="O3245">
        <v>0</v>
      </c>
      <c r="P3245">
        <v>0</v>
      </c>
      <c r="Q3245" t="s">
        <v>23</v>
      </c>
      <c r="R3245">
        <v>0</v>
      </c>
    </row>
    <row r="3246" spans="1:18">
      <c r="A3246" s="4">
        <v>7641730000000</v>
      </c>
      <c r="B3246" t="s">
        <v>18</v>
      </c>
      <c r="C3246">
        <v>41</v>
      </c>
      <c r="D3246" t="s">
        <v>27</v>
      </c>
      <c r="E3246" t="s">
        <v>62</v>
      </c>
      <c r="F3246" s="1">
        <v>42499</v>
      </c>
      <c r="G3246" s="1">
        <v>42499</v>
      </c>
      <c r="H3246" t="s">
        <v>30</v>
      </c>
      <c r="I3246">
        <v>0</v>
      </c>
      <c r="J3246" t="s">
        <v>111</v>
      </c>
      <c r="K3246">
        <v>1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23</v>
      </c>
      <c r="R3246">
        <v>0</v>
      </c>
    </row>
    <row r="3247" spans="1:18">
      <c r="A3247" s="4">
        <v>36986195138</v>
      </c>
      <c r="B3247" t="s">
        <v>18</v>
      </c>
      <c r="C3247">
        <v>0</v>
      </c>
      <c r="D3247" t="s">
        <v>31</v>
      </c>
      <c r="E3247" t="s">
        <v>54</v>
      </c>
      <c r="F3247" s="1">
        <v>42499</v>
      </c>
      <c r="G3247" s="1">
        <v>42500</v>
      </c>
      <c r="H3247" t="s">
        <v>41</v>
      </c>
      <c r="I3247">
        <v>1</v>
      </c>
      <c r="J3247" t="s">
        <v>109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23</v>
      </c>
      <c r="R3247">
        <v>0</v>
      </c>
    </row>
    <row r="3248" spans="1:18">
      <c r="A3248" s="4">
        <v>24564200000000</v>
      </c>
      <c r="B3248" t="s">
        <v>18</v>
      </c>
      <c r="C3248">
        <v>49</v>
      </c>
      <c r="D3248" t="s">
        <v>27</v>
      </c>
      <c r="E3248" t="s">
        <v>95</v>
      </c>
      <c r="F3248" s="1">
        <v>42499</v>
      </c>
      <c r="G3248" s="1">
        <v>42499</v>
      </c>
      <c r="H3248" t="s">
        <v>30</v>
      </c>
      <c r="I3248">
        <v>0</v>
      </c>
      <c r="J3248" t="s">
        <v>111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23</v>
      </c>
      <c r="R3248">
        <v>0</v>
      </c>
    </row>
    <row r="3249" spans="1:18">
      <c r="A3249" s="4">
        <v>21527800000000</v>
      </c>
      <c r="B3249" t="s">
        <v>18</v>
      </c>
      <c r="C3249">
        <v>63</v>
      </c>
      <c r="D3249" t="s">
        <v>35</v>
      </c>
      <c r="E3249" t="s">
        <v>81</v>
      </c>
      <c r="F3249" s="1">
        <v>42499</v>
      </c>
      <c r="G3249" s="1">
        <v>42499</v>
      </c>
      <c r="H3249" t="s">
        <v>30</v>
      </c>
      <c r="I3249">
        <v>0</v>
      </c>
      <c r="J3249" t="s">
        <v>111</v>
      </c>
      <c r="K3249">
        <v>0</v>
      </c>
      <c r="L3249">
        <v>1</v>
      </c>
      <c r="M3249">
        <v>0</v>
      </c>
      <c r="N3249">
        <v>0</v>
      </c>
      <c r="O3249">
        <v>0</v>
      </c>
      <c r="P3249">
        <v>0</v>
      </c>
      <c r="Q3249" t="s">
        <v>23</v>
      </c>
      <c r="R3249">
        <v>0</v>
      </c>
    </row>
    <row r="3250" spans="1:18">
      <c r="A3250" s="4">
        <v>66599300000000</v>
      </c>
      <c r="B3250" t="s">
        <v>18</v>
      </c>
      <c r="C3250">
        <v>13</v>
      </c>
      <c r="D3250" t="s">
        <v>60</v>
      </c>
      <c r="E3250" t="s">
        <v>69</v>
      </c>
      <c r="F3250" s="1">
        <v>42499</v>
      </c>
      <c r="G3250" s="1">
        <v>42500</v>
      </c>
      <c r="H3250" t="s">
        <v>41</v>
      </c>
      <c r="I3250">
        <v>1</v>
      </c>
      <c r="J3250" t="s">
        <v>109</v>
      </c>
      <c r="K3250">
        <v>1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26</v>
      </c>
      <c r="R3250">
        <v>1</v>
      </c>
    </row>
    <row r="3251" spans="1:18">
      <c r="A3251" s="4">
        <v>7579400000000</v>
      </c>
      <c r="B3251" t="s">
        <v>18</v>
      </c>
      <c r="C3251">
        <v>25</v>
      </c>
      <c r="D3251" t="s">
        <v>37</v>
      </c>
      <c r="E3251" t="s">
        <v>78</v>
      </c>
      <c r="F3251" s="1">
        <v>42499</v>
      </c>
      <c r="G3251" s="1">
        <v>42501</v>
      </c>
      <c r="H3251" t="s">
        <v>25</v>
      </c>
      <c r="I3251">
        <v>2</v>
      </c>
      <c r="J3251" t="s">
        <v>109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23</v>
      </c>
      <c r="R3251">
        <v>0</v>
      </c>
    </row>
    <row r="3252" spans="1:18">
      <c r="A3252" s="4">
        <v>64444700000000</v>
      </c>
      <c r="B3252" t="s">
        <v>28</v>
      </c>
      <c r="C3252">
        <v>50</v>
      </c>
      <c r="D3252" t="s">
        <v>27</v>
      </c>
      <c r="E3252" t="s">
        <v>61</v>
      </c>
      <c r="F3252" s="1">
        <v>42499</v>
      </c>
      <c r="G3252" s="1">
        <v>42499</v>
      </c>
      <c r="H3252" t="s">
        <v>30</v>
      </c>
      <c r="I3252">
        <v>0</v>
      </c>
      <c r="J3252" t="s">
        <v>111</v>
      </c>
      <c r="K3252">
        <v>0</v>
      </c>
      <c r="L3252">
        <v>1</v>
      </c>
      <c r="M3252">
        <v>0</v>
      </c>
      <c r="N3252">
        <v>0</v>
      </c>
      <c r="O3252">
        <v>0</v>
      </c>
      <c r="P3252">
        <v>0</v>
      </c>
      <c r="Q3252" t="s">
        <v>23</v>
      </c>
      <c r="R3252">
        <v>0</v>
      </c>
    </row>
    <row r="3253" spans="1:18">
      <c r="A3253" s="4">
        <v>67811400000000</v>
      </c>
      <c r="B3253" t="s">
        <v>18</v>
      </c>
      <c r="C3253">
        <v>50</v>
      </c>
      <c r="D3253" t="s">
        <v>27</v>
      </c>
      <c r="E3253" t="s">
        <v>72</v>
      </c>
      <c r="F3253" s="1">
        <v>42499</v>
      </c>
      <c r="G3253" s="1">
        <v>42522</v>
      </c>
      <c r="H3253" t="s">
        <v>25</v>
      </c>
      <c r="I3253">
        <v>23</v>
      </c>
      <c r="J3253" t="s">
        <v>77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1</v>
      </c>
      <c r="Q3253" t="s">
        <v>23</v>
      </c>
      <c r="R3253">
        <v>0</v>
      </c>
    </row>
    <row r="3254" spans="1:18">
      <c r="A3254" s="4">
        <v>5323420000000</v>
      </c>
      <c r="B3254" t="s">
        <v>28</v>
      </c>
      <c r="C3254">
        <v>5</v>
      </c>
      <c r="D3254" t="s">
        <v>31</v>
      </c>
      <c r="E3254" t="s">
        <v>68</v>
      </c>
      <c r="F3254" s="1">
        <v>42499</v>
      </c>
      <c r="G3254" s="1">
        <v>42499</v>
      </c>
      <c r="H3254" t="s">
        <v>30</v>
      </c>
      <c r="I3254">
        <v>0</v>
      </c>
      <c r="J3254" t="s">
        <v>111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23</v>
      </c>
      <c r="R3254">
        <v>0</v>
      </c>
    </row>
    <row r="3255" spans="1:18">
      <c r="A3255" s="4">
        <v>4664390000000</v>
      </c>
      <c r="B3255" t="s">
        <v>18</v>
      </c>
      <c r="C3255">
        <v>32</v>
      </c>
      <c r="D3255" t="s">
        <v>37</v>
      </c>
      <c r="E3255" t="s">
        <v>70</v>
      </c>
      <c r="F3255" s="1">
        <v>42499</v>
      </c>
      <c r="G3255" s="1">
        <v>42501</v>
      </c>
      <c r="H3255" t="s">
        <v>25</v>
      </c>
      <c r="I3255">
        <v>2</v>
      </c>
      <c r="J3255" t="s">
        <v>109</v>
      </c>
      <c r="K3255">
        <v>0</v>
      </c>
      <c r="L3255">
        <v>0</v>
      </c>
      <c r="M3255">
        <v>0</v>
      </c>
      <c r="N3255">
        <v>0</v>
      </c>
      <c r="O3255">
        <v>1</v>
      </c>
      <c r="P3255">
        <v>0</v>
      </c>
      <c r="Q3255" t="s">
        <v>23</v>
      </c>
      <c r="R3255">
        <v>0</v>
      </c>
    </row>
    <row r="3256" spans="1:18">
      <c r="A3256" s="4">
        <v>49279200000000</v>
      </c>
      <c r="B3256" t="s">
        <v>28</v>
      </c>
      <c r="C3256">
        <v>10</v>
      </c>
      <c r="D3256" t="s">
        <v>31</v>
      </c>
      <c r="E3256" t="s">
        <v>34</v>
      </c>
      <c r="F3256" s="1">
        <v>42499</v>
      </c>
      <c r="G3256" s="1">
        <v>42508</v>
      </c>
      <c r="H3256" t="s">
        <v>25</v>
      </c>
      <c r="I3256">
        <v>9</v>
      </c>
      <c r="J3256" t="s">
        <v>92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26</v>
      </c>
      <c r="R3256">
        <v>1</v>
      </c>
    </row>
    <row r="3257" spans="1:18">
      <c r="A3257" s="4">
        <v>24564200000000</v>
      </c>
      <c r="B3257" t="s">
        <v>18</v>
      </c>
      <c r="C3257">
        <v>49</v>
      </c>
      <c r="D3257" t="s">
        <v>27</v>
      </c>
      <c r="E3257" t="s">
        <v>95</v>
      </c>
      <c r="F3257" s="1">
        <v>42499</v>
      </c>
      <c r="G3257" s="1">
        <v>42499</v>
      </c>
      <c r="H3257" t="s">
        <v>30</v>
      </c>
      <c r="I3257">
        <v>0</v>
      </c>
      <c r="J3257" t="s">
        <v>111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23</v>
      </c>
      <c r="R3257">
        <v>0</v>
      </c>
    </row>
    <row r="3258" spans="1:18">
      <c r="A3258" s="4">
        <v>986163000000000</v>
      </c>
      <c r="B3258" t="s">
        <v>18</v>
      </c>
      <c r="C3258">
        <v>44</v>
      </c>
      <c r="D3258" t="s">
        <v>27</v>
      </c>
      <c r="E3258" t="s">
        <v>57</v>
      </c>
      <c r="F3258" s="1">
        <v>42499</v>
      </c>
      <c r="G3258" s="1">
        <v>42499</v>
      </c>
      <c r="H3258" t="s">
        <v>30</v>
      </c>
      <c r="I3258">
        <v>0</v>
      </c>
      <c r="J3258" t="s">
        <v>111</v>
      </c>
      <c r="K3258">
        <v>0</v>
      </c>
      <c r="L3258">
        <v>0</v>
      </c>
      <c r="M3258">
        <v>0</v>
      </c>
      <c r="N3258">
        <v>1</v>
      </c>
      <c r="O3258">
        <v>0</v>
      </c>
      <c r="P3258">
        <v>0</v>
      </c>
      <c r="Q3258" t="s">
        <v>23</v>
      </c>
      <c r="R3258">
        <v>0</v>
      </c>
    </row>
    <row r="3259" spans="1:18">
      <c r="A3259" s="4">
        <v>25557900000000</v>
      </c>
      <c r="B3259" t="s">
        <v>18</v>
      </c>
      <c r="C3259">
        <v>36</v>
      </c>
      <c r="D3259" t="s">
        <v>27</v>
      </c>
      <c r="E3259" t="s">
        <v>39</v>
      </c>
      <c r="F3259" s="1">
        <v>42499</v>
      </c>
      <c r="G3259" s="1">
        <v>42501</v>
      </c>
      <c r="H3259" t="s">
        <v>25</v>
      </c>
      <c r="I3259">
        <v>2</v>
      </c>
      <c r="J3259" t="s">
        <v>109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23</v>
      </c>
      <c r="R3259">
        <v>0</v>
      </c>
    </row>
    <row r="3260" spans="1:18">
      <c r="A3260" s="4">
        <v>76698599583</v>
      </c>
      <c r="B3260" t="s">
        <v>18</v>
      </c>
      <c r="C3260">
        <v>57</v>
      </c>
      <c r="D3260" t="s">
        <v>35</v>
      </c>
      <c r="E3260" t="s">
        <v>81</v>
      </c>
      <c r="F3260" s="1">
        <v>42499</v>
      </c>
      <c r="G3260" s="1">
        <v>42499</v>
      </c>
      <c r="H3260" t="s">
        <v>30</v>
      </c>
      <c r="I3260">
        <v>0</v>
      </c>
      <c r="J3260" t="s">
        <v>111</v>
      </c>
      <c r="K3260">
        <v>0</v>
      </c>
      <c r="L3260">
        <v>1</v>
      </c>
      <c r="M3260">
        <v>1</v>
      </c>
      <c r="N3260">
        <v>0</v>
      </c>
      <c r="O3260">
        <v>0</v>
      </c>
      <c r="P3260">
        <v>0</v>
      </c>
      <c r="Q3260" t="s">
        <v>23</v>
      </c>
      <c r="R3260">
        <v>0</v>
      </c>
    </row>
    <row r="3261" spans="1:18">
      <c r="A3261" s="4">
        <v>827285000000000</v>
      </c>
      <c r="B3261" t="s">
        <v>18</v>
      </c>
      <c r="C3261">
        <v>61</v>
      </c>
      <c r="D3261" t="s">
        <v>35</v>
      </c>
      <c r="E3261" t="s">
        <v>57</v>
      </c>
      <c r="F3261" s="1">
        <v>42499</v>
      </c>
      <c r="G3261" s="1">
        <v>42499</v>
      </c>
      <c r="H3261" t="s">
        <v>30</v>
      </c>
      <c r="I3261">
        <v>0</v>
      </c>
      <c r="J3261" t="s">
        <v>111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23</v>
      </c>
      <c r="R3261">
        <v>0</v>
      </c>
    </row>
    <row r="3262" spans="1:18">
      <c r="A3262" s="4">
        <v>84135900000000</v>
      </c>
      <c r="B3262" t="s">
        <v>18</v>
      </c>
      <c r="C3262">
        <v>1</v>
      </c>
      <c r="D3262" t="s">
        <v>31</v>
      </c>
      <c r="E3262" t="s">
        <v>44</v>
      </c>
      <c r="F3262" s="1">
        <v>42499</v>
      </c>
      <c r="G3262" s="1">
        <v>42499</v>
      </c>
      <c r="H3262" t="s">
        <v>30</v>
      </c>
      <c r="I3262">
        <v>0</v>
      </c>
      <c r="J3262" t="s">
        <v>111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23</v>
      </c>
      <c r="R3262">
        <v>0</v>
      </c>
    </row>
    <row r="3263" spans="1:18">
      <c r="A3263" s="4">
        <v>2965990000000</v>
      </c>
      <c r="B3263" t="s">
        <v>28</v>
      </c>
      <c r="C3263">
        <v>11</v>
      </c>
      <c r="D3263" t="s">
        <v>31</v>
      </c>
      <c r="E3263" t="s">
        <v>87</v>
      </c>
      <c r="F3263" s="1">
        <v>42499</v>
      </c>
      <c r="G3263" s="1">
        <v>42499</v>
      </c>
      <c r="H3263" t="s">
        <v>30</v>
      </c>
      <c r="I3263">
        <v>0</v>
      </c>
      <c r="J3263" t="s">
        <v>111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23</v>
      </c>
      <c r="R3263">
        <v>0</v>
      </c>
    </row>
    <row r="3264" spans="1:18">
      <c r="A3264" s="4">
        <v>488826000000000</v>
      </c>
      <c r="B3264" t="s">
        <v>28</v>
      </c>
      <c r="C3264">
        <v>65</v>
      </c>
      <c r="D3264" t="s">
        <v>35</v>
      </c>
      <c r="E3264" t="s">
        <v>91</v>
      </c>
      <c r="F3264" s="1">
        <v>42499</v>
      </c>
      <c r="G3264" s="1">
        <v>42499</v>
      </c>
      <c r="H3264" t="s">
        <v>30</v>
      </c>
      <c r="I3264">
        <v>0</v>
      </c>
      <c r="J3264" t="s">
        <v>111</v>
      </c>
      <c r="K3264">
        <v>0</v>
      </c>
      <c r="L3264">
        <v>0</v>
      </c>
      <c r="M3264">
        <v>1</v>
      </c>
      <c r="N3264">
        <v>0</v>
      </c>
      <c r="O3264">
        <v>0</v>
      </c>
      <c r="P3264">
        <v>0</v>
      </c>
      <c r="Q3264" t="s">
        <v>23</v>
      </c>
      <c r="R3264">
        <v>0</v>
      </c>
    </row>
    <row r="3265" spans="1:18">
      <c r="A3265" s="4">
        <v>5677540000000</v>
      </c>
      <c r="B3265" t="s">
        <v>18</v>
      </c>
      <c r="C3265">
        <v>0</v>
      </c>
      <c r="D3265" t="s">
        <v>31</v>
      </c>
      <c r="E3265" t="s">
        <v>57</v>
      </c>
      <c r="F3265" s="1">
        <v>42499</v>
      </c>
      <c r="G3265" s="1">
        <v>42499</v>
      </c>
      <c r="H3265" t="s">
        <v>30</v>
      </c>
      <c r="I3265">
        <v>0</v>
      </c>
      <c r="J3265" t="s">
        <v>111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23</v>
      </c>
      <c r="R3265">
        <v>0</v>
      </c>
    </row>
    <row r="3266" spans="1:18">
      <c r="A3266" s="4">
        <v>288440000000</v>
      </c>
      <c r="B3266" t="s">
        <v>18</v>
      </c>
      <c r="C3266">
        <v>2</v>
      </c>
      <c r="D3266" t="s">
        <v>31</v>
      </c>
      <c r="E3266" t="s">
        <v>53</v>
      </c>
      <c r="F3266" s="1">
        <v>42499</v>
      </c>
      <c r="G3266" s="1">
        <v>42499</v>
      </c>
      <c r="H3266" t="s">
        <v>30</v>
      </c>
      <c r="I3266">
        <v>0</v>
      </c>
      <c r="J3266" t="s">
        <v>111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23</v>
      </c>
      <c r="R3266">
        <v>0</v>
      </c>
    </row>
    <row r="3267" spans="1:18">
      <c r="A3267" s="4">
        <v>77794700000000</v>
      </c>
      <c r="B3267" t="s">
        <v>18</v>
      </c>
      <c r="C3267">
        <v>47</v>
      </c>
      <c r="D3267" t="s">
        <v>27</v>
      </c>
      <c r="E3267" t="s">
        <v>66</v>
      </c>
      <c r="F3267" s="1">
        <v>42499</v>
      </c>
      <c r="G3267" s="1">
        <v>42499</v>
      </c>
      <c r="H3267" t="s">
        <v>30</v>
      </c>
      <c r="I3267">
        <v>0</v>
      </c>
      <c r="J3267" t="s">
        <v>111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23</v>
      </c>
      <c r="R3267">
        <v>0</v>
      </c>
    </row>
    <row r="3268" spans="1:18">
      <c r="A3268" s="4">
        <v>698225000000000</v>
      </c>
      <c r="B3268" t="s">
        <v>28</v>
      </c>
      <c r="C3268">
        <v>34</v>
      </c>
      <c r="D3268" t="s">
        <v>37</v>
      </c>
      <c r="E3268" t="s">
        <v>38</v>
      </c>
      <c r="F3268" s="1">
        <v>42499</v>
      </c>
      <c r="G3268" s="1">
        <v>42499</v>
      </c>
      <c r="H3268" t="s">
        <v>30</v>
      </c>
      <c r="I3268">
        <v>0</v>
      </c>
      <c r="J3268" t="s">
        <v>111</v>
      </c>
      <c r="K3268">
        <v>0</v>
      </c>
      <c r="L3268">
        <v>1</v>
      </c>
      <c r="M3268">
        <v>0</v>
      </c>
      <c r="N3268">
        <v>0</v>
      </c>
      <c r="O3268">
        <v>0</v>
      </c>
      <c r="P3268">
        <v>0</v>
      </c>
      <c r="Q3268" t="s">
        <v>23</v>
      </c>
      <c r="R3268">
        <v>0</v>
      </c>
    </row>
    <row r="3269" spans="1:18">
      <c r="A3269" s="4">
        <v>4884720000000</v>
      </c>
      <c r="B3269" t="s">
        <v>28</v>
      </c>
      <c r="C3269">
        <v>50</v>
      </c>
      <c r="D3269" t="s">
        <v>27</v>
      </c>
      <c r="E3269" t="s">
        <v>82</v>
      </c>
      <c r="F3269" s="1">
        <v>42499</v>
      </c>
      <c r="G3269" s="1">
        <v>42499</v>
      </c>
      <c r="H3269" t="s">
        <v>30</v>
      </c>
      <c r="I3269">
        <v>0</v>
      </c>
      <c r="J3269" t="s">
        <v>111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23</v>
      </c>
      <c r="R3269">
        <v>0</v>
      </c>
    </row>
    <row r="3270" spans="1:18">
      <c r="A3270" s="4">
        <v>766874000000000</v>
      </c>
      <c r="B3270" t="s">
        <v>18</v>
      </c>
      <c r="C3270">
        <v>73</v>
      </c>
      <c r="D3270" t="s">
        <v>19</v>
      </c>
      <c r="E3270" t="s">
        <v>68</v>
      </c>
      <c r="F3270" s="1">
        <v>42499</v>
      </c>
      <c r="G3270" s="1">
        <v>42514</v>
      </c>
      <c r="H3270" t="s">
        <v>41</v>
      </c>
      <c r="I3270">
        <v>15</v>
      </c>
      <c r="J3270" t="s">
        <v>77</v>
      </c>
      <c r="K3270">
        <v>0</v>
      </c>
      <c r="L3270">
        <v>1</v>
      </c>
      <c r="M3270">
        <v>0</v>
      </c>
      <c r="N3270">
        <v>0</v>
      </c>
      <c r="O3270">
        <v>0</v>
      </c>
      <c r="P3270">
        <v>1</v>
      </c>
      <c r="Q3270" t="s">
        <v>23</v>
      </c>
      <c r="R3270">
        <v>0</v>
      </c>
    </row>
    <row r="3271" spans="1:18">
      <c r="A3271" s="4">
        <v>8849290000000</v>
      </c>
      <c r="B3271" t="s">
        <v>28</v>
      </c>
      <c r="C3271">
        <v>12</v>
      </c>
      <c r="D3271" t="s">
        <v>31</v>
      </c>
      <c r="E3271" t="s">
        <v>38</v>
      </c>
      <c r="F3271" s="1">
        <v>42499</v>
      </c>
      <c r="G3271" s="1">
        <v>42503</v>
      </c>
      <c r="H3271" t="s">
        <v>21</v>
      </c>
      <c r="I3271">
        <v>4</v>
      </c>
      <c r="J3271" t="s">
        <v>107</v>
      </c>
      <c r="K3271">
        <v>1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23</v>
      </c>
      <c r="R3271">
        <v>0</v>
      </c>
    </row>
    <row r="3272" spans="1:18">
      <c r="A3272" s="4">
        <v>88181400000000</v>
      </c>
      <c r="B3272" t="s">
        <v>18</v>
      </c>
      <c r="C3272">
        <v>17</v>
      </c>
      <c r="D3272" t="s">
        <v>60</v>
      </c>
      <c r="E3272" t="s">
        <v>90</v>
      </c>
      <c r="F3272" s="1">
        <v>42499</v>
      </c>
      <c r="G3272" s="1">
        <v>42522</v>
      </c>
      <c r="H3272" t="s">
        <v>25</v>
      </c>
      <c r="I3272">
        <v>23</v>
      </c>
      <c r="J3272" t="s">
        <v>77</v>
      </c>
      <c r="K3272">
        <v>1</v>
      </c>
      <c r="L3272">
        <v>0</v>
      </c>
      <c r="M3272">
        <v>0</v>
      </c>
      <c r="N3272">
        <v>0</v>
      </c>
      <c r="O3272">
        <v>0</v>
      </c>
      <c r="P3272">
        <v>1</v>
      </c>
      <c r="Q3272" t="s">
        <v>23</v>
      </c>
      <c r="R3272">
        <v>0</v>
      </c>
    </row>
    <row r="3273" spans="1:18">
      <c r="A3273" s="4">
        <v>5838290000000</v>
      </c>
      <c r="B3273" t="s">
        <v>28</v>
      </c>
      <c r="C3273">
        <v>73</v>
      </c>
      <c r="D3273" t="s">
        <v>19</v>
      </c>
      <c r="E3273" t="s">
        <v>51</v>
      </c>
      <c r="F3273" s="1">
        <v>42499</v>
      </c>
      <c r="G3273" s="1">
        <v>42499</v>
      </c>
      <c r="H3273" t="s">
        <v>30</v>
      </c>
      <c r="I3273">
        <v>0</v>
      </c>
      <c r="J3273" t="s">
        <v>111</v>
      </c>
      <c r="K3273">
        <v>0</v>
      </c>
      <c r="L3273">
        <v>1</v>
      </c>
      <c r="M3273">
        <v>0</v>
      </c>
      <c r="N3273">
        <v>0</v>
      </c>
      <c r="O3273">
        <v>0</v>
      </c>
      <c r="P3273">
        <v>0</v>
      </c>
      <c r="Q3273" t="s">
        <v>23</v>
      </c>
      <c r="R3273">
        <v>0</v>
      </c>
    </row>
    <row r="3274" spans="1:18">
      <c r="A3274" s="4">
        <v>875848000000</v>
      </c>
      <c r="B3274" t="s">
        <v>18</v>
      </c>
      <c r="C3274">
        <v>65</v>
      </c>
      <c r="D3274" t="s">
        <v>35</v>
      </c>
      <c r="E3274" t="s">
        <v>67</v>
      </c>
      <c r="F3274" s="1">
        <v>42499</v>
      </c>
      <c r="G3274" s="1">
        <v>42523</v>
      </c>
      <c r="H3274" t="s">
        <v>33</v>
      </c>
      <c r="I3274">
        <v>24</v>
      </c>
      <c r="J3274" t="s">
        <v>77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1</v>
      </c>
      <c r="Q3274" t="s">
        <v>23</v>
      </c>
      <c r="R3274">
        <v>0</v>
      </c>
    </row>
    <row r="3275" spans="1:18">
      <c r="A3275" s="4">
        <v>5858980000000</v>
      </c>
      <c r="B3275" t="s">
        <v>18</v>
      </c>
      <c r="C3275">
        <v>31</v>
      </c>
      <c r="D3275" t="s">
        <v>37</v>
      </c>
      <c r="E3275" t="s">
        <v>103</v>
      </c>
      <c r="F3275" s="1">
        <v>42499</v>
      </c>
      <c r="G3275" s="1">
        <v>42500</v>
      </c>
      <c r="H3275" t="s">
        <v>41</v>
      </c>
      <c r="I3275">
        <v>1</v>
      </c>
      <c r="J3275" t="s">
        <v>109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23</v>
      </c>
      <c r="R3275">
        <v>0</v>
      </c>
    </row>
    <row r="3276" spans="1:18">
      <c r="A3276" s="4">
        <v>2382390000000</v>
      </c>
      <c r="B3276" t="s">
        <v>28</v>
      </c>
      <c r="C3276">
        <v>0</v>
      </c>
      <c r="D3276" t="s">
        <v>31</v>
      </c>
      <c r="E3276" t="s">
        <v>54</v>
      </c>
      <c r="F3276" s="1">
        <v>42499</v>
      </c>
      <c r="G3276" s="1">
        <v>42499</v>
      </c>
      <c r="H3276" t="s">
        <v>30</v>
      </c>
      <c r="I3276">
        <v>0</v>
      </c>
      <c r="J3276" t="s">
        <v>111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23</v>
      </c>
      <c r="R3276">
        <v>0</v>
      </c>
    </row>
    <row r="3277" spans="1:18">
      <c r="A3277" s="4">
        <v>32272700000000</v>
      </c>
      <c r="B3277" t="s">
        <v>18</v>
      </c>
      <c r="C3277">
        <v>29</v>
      </c>
      <c r="D3277" t="s">
        <v>37</v>
      </c>
      <c r="E3277" t="s">
        <v>105</v>
      </c>
      <c r="F3277" s="1">
        <v>42499</v>
      </c>
      <c r="G3277" s="1">
        <v>42499</v>
      </c>
      <c r="H3277" t="s">
        <v>30</v>
      </c>
      <c r="I3277">
        <v>0</v>
      </c>
      <c r="J3277" t="s">
        <v>111</v>
      </c>
      <c r="K3277">
        <v>1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23</v>
      </c>
      <c r="R3277">
        <v>0</v>
      </c>
    </row>
    <row r="3278" spans="1:18">
      <c r="A3278" s="4">
        <v>13179300000000</v>
      </c>
      <c r="B3278" t="s">
        <v>28</v>
      </c>
      <c r="C3278">
        <v>3</v>
      </c>
      <c r="D3278" t="s">
        <v>31</v>
      </c>
      <c r="E3278" t="s">
        <v>86</v>
      </c>
      <c r="F3278" s="1">
        <v>42499</v>
      </c>
      <c r="G3278" s="1">
        <v>42499</v>
      </c>
      <c r="H3278" t="s">
        <v>30</v>
      </c>
      <c r="I3278">
        <v>0</v>
      </c>
      <c r="J3278" t="s">
        <v>111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23</v>
      </c>
      <c r="R3278">
        <v>0</v>
      </c>
    </row>
    <row r="3279" spans="1:18">
      <c r="A3279" s="4">
        <v>95454500000000</v>
      </c>
      <c r="B3279" t="s">
        <v>28</v>
      </c>
      <c r="C3279">
        <v>42</v>
      </c>
      <c r="D3279" t="s">
        <v>27</v>
      </c>
      <c r="E3279" t="s">
        <v>50</v>
      </c>
      <c r="F3279" s="1">
        <v>42499</v>
      </c>
      <c r="G3279" s="1">
        <v>42499</v>
      </c>
      <c r="H3279" t="s">
        <v>30</v>
      </c>
      <c r="I3279">
        <v>0</v>
      </c>
      <c r="J3279" t="s">
        <v>111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23</v>
      </c>
      <c r="R3279">
        <v>0</v>
      </c>
    </row>
    <row r="3280" spans="1:18">
      <c r="A3280" s="4">
        <v>63583400000000</v>
      </c>
      <c r="B3280" t="s">
        <v>18</v>
      </c>
      <c r="C3280">
        <v>43</v>
      </c>
      <c r="D3280" t="s">
        <v>27</v>
      </c>
      <c r="E3280" t="s">
        <v>72</v>
      </c>
      <c r="F3280" s="1">
        <v>42499</v>
      </c>
      <c r="G3280" s="1">
        <v>42503</v>
      </c>
      <c r="H3280" t="s">
        <v>21</v>
      </c>
      <c r="I3280">
        <v>4</v>
      </c>
      <c r="J3280" t="s">
        <v>107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23</v>
      </c>
      <c r="R3280">
        <v>0</v>
      </c>
    </row>
    <row r="3281" spans="1:18">
      <c r="A3281" s="4">
        <v>422240000000000</v>
      </c>
      <c r="B3281" t="s">
        <v>28</v>
      </c>
      <c r="C3281">
        <v>38</v>
      </c>
      <c r="D3281" t="s">
        <v>27</v>
      </c>
      <c r="E3281" t="s">
        <v>50</v>
      </c>
      <c r="F3281" s="1">
        <v>42499</v>
      </c>
      <c r="G3281" s="1">
        <v>42500</v>
      </c>
      <c r="H3281" t="s">
        <v>41</v>
      </c>
      <c r="I3281">
        <v>1</v>
      </c>
      <c r="J3281" t="s">
        <v>109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23</v>
      </c>
      <c r="R3281">
        <v>0</v>
      </c>
    </row>
    <row r="3282" spans="1:18">
      <c r="A3282" s="4">
        <v>59448900000000</v>
      </c>
      <c r="B3282" t="s">
        <v>18</v>
      </c>
      <c r="C3282">
        <v>33</v>
      </c>
      <c r="D3282" t="s">
        <v>37</v>
      </c>
      <c r="E3282" t="s">
        <v>32</v>
      </c>
      <c r="F3282" s="1">
        <v>42499</v>
      </c>
      <c r="G3282" s="1">
        <v>42508</v>
      </c>
      <c r="H3282" t="s">
        <v>25</v>
      </c>
      <c r="I3282">
        <v>9</v>
      </c>
      <c r="J3282" t="s">
        <v>92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26</v>
      </c>
      <c r="R3282">
        <v>1</v>
      </c>
    </row>
    <row r="3283" spans="1:18">
      <c r="A3283" s="4">
        <v>5392280000000</v>
      </c>
      <c r="B3283" t="s">
        <v>18</v>
      </c>
      <c r="C3283">
        <v>31</v>
      </c>
      <c r="D3283" t="s">
        <v>37</v>
      </c>
      <c r="E3283" t="s">
        <v>101</v>
      </c>
      <c r="F3283" s="1">
        <v>42499</v>
      </c>
      <c r="G3283" s="1">
        <v>42499</v>
      </c>
      <c r="H3283" t="s">
        <v>30</v>
      </c>
      <c r="I3283">
        <v>0</v>
      </c>
      <c r="J3283" t="s">
        <v>111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23</v>
      </c>
      <c r="R3283">
        <v>0</v>
      </c>
    </row>
    <row r="3284" spans="1:18">
      <c r="A3284" s="4">
        <v>587487000000</v>
      </c>
      <c r="B3284" t="s">
        <v>18</v>
      </c>
      <c r="C3284">
        <v>39</v>
      </c>
      <c r="D3284" t="s">
        <v>27</v>
      </c>
      <c r="E3284" t="s">
        <v>84</v>
      </c>
      <c r="F3284" s="1">
        <v>42499</v>
      </c>
      <c r="G3284" s="1">
        <v>42499</v>
      </c>
      <c r="H3284" t="s">
        <v>30</v>
      </c>
      <c r="I3284">
        <v>0</v>
      </c>
      <c r="J3284" t="s">
        <v>111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26</v>
      </c>
      <c r="R3284">
        <v>1</v>
      </c>
    </row>
    <row r="3285" spans="1:18">
      <c r="A3285" s="4">
        <v>586593000000000</v>
      </c>
      <c r="B3285" t="s">
        <v>28</v>
      </c>
      <c r="C3285">
        <v>34</v>
      </c>
      <c r="D3285" t="s">
        <v>37</v>
      </c>
      <c r="E3285" t="s">
        <v>34</v>
      </c>
      <c r="F3285" s="1">
        <v>42499</v>
      </c>
      <c r="G3285" s="1">
        <v>42520</v>
      </c>
      <c r="H3285" t="s">
        <v>30</v>
      </c>
      <c r="I3285">
        <v>21</v>
      </c>
      <c r="J3285" t="s">
        <v>77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1</v>
      </c>
      <c r="Q3285" t="s">
        <v>26</v>
      </c>
      <c r="R3285">
        <v>1</v>
      </c>
    </row>
    <row r="3286" spans="1:18">
      <c r="A3286" s="4">
        <v>956792000000</v>
      </c>
      <c r="B3286" t="s">
        <v>28</v>
      </c>
      <c r="C3286">
        <v>8</v>
      </c>
      <c r="D3286" t="s">
        <v>31</v>
      </c>
      <c r="E3286" t="s">
        <v>40</v>
      </c>
      <c r="F3286" s="1">
        <v>42499</v>
      </c>
      <c r="G3286" s="1">
        <v>42520</v>
      </c>
      <c r="H3286" t="s">
        <v>30</v>
      </c>
      <c r="I3286">
        <v>21</v>
      </c>
      <c r="J3286" t="s">
        <v>77</v>
      </c>
      <c r="K3286">
        <v>1</v>
      </c>
      <c r="L3286">
        <v>0</v>
      </c>
      <c r="M3286">
        <v>0</v>
      </c>
      <c r="N3286">
        <v>0</v>
      </c>
      <c r="O3286">
        <v>0</v>
      </c>
      <c r="P3286">
        <v>1</v>
      </c>
      <c r="Q3286" t="s">
        <v>23</v>
      </c>
      <c r="R3286">
        <v>0</v>
      </c>
    </row>
    <row r="3287" spans="1:18">
      <c r="A3287" s="4">
        <v>79512200000000</v>
      </c>
      <c r="B3287" t="s">
        <v>28</v>
      </c>
      <c r="C3287">
        <v>49</v>
      </c>
      <c r="D3287" t="s">
        <v>27</v>
      </c>
      <c r="E3287" t="s">
        <v>38</v>
      </c>
      <c r="F3287" s="1">
        <v>42499</v>
      </c>
      <c r="G3287" s="1">
        <v>42521</v>
      </c>
      <c r="H3287" t="s">
        <v>41</v>
      </c>
      <c r="I3287">
        <v>22</v>
      </c>
      <c r="J3287" t="s">
        <v>77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1</v>
      </c>
      <c r="Q3287" t="s">
        <v>23</v>
      </c>
      <c r="R3287">
        <v>0</v>
      </c>
    </row>
    <row r="3288" spans="1:18">
      <c r="A3288" s="4">
        <v>461241000000</v>
      </c>
      <c r="B3288" t="s">
        <v>18</v>
      </c>
      <c r="C3288">
        <v>23</v>
      </c>
      <c r="D3288" t="s">
        <v>37</v>
      </c>
      <c r="E3288" t="s">
        <v>39</v>
      </c>
      <c r="F3288" s="1">
        <v>42499</v>
      </c>
      <c r="G3288" s="1">
        <v>42499</v>
      </c>
      <c r="H3288" t="s">
        <v>30</v>
      </c>
      <c r="I3288">
        <v>0</v>
      </c>
      <c r="J3288" t="s">
        <v>111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23</v>
      </c>
      <c r="R3288">
        <v>0</v>
      </c>
    </row>
    <row r="3289" spans="1:18">
      <c r="A3289" s="4">
        <v>673841000000000</v>
      </c>
      <c r="B3289" t="s">
        <v>28</v>
      </c>
      <c r="C3289">
        <v>21</v>
      </c>
      <c r="D3289" t="s">
        <v>37</v>
      </c>
      <c r="E3289" t="s">
        <v>71</v>
      </c>
      <c r="F3289" s="1">
        <v>42499</v>
      </c>
      <c r="G3289" s="1">
        <v>42499</v>
      </c>
      <c r="H3289" t="s">
        <v>30</v>
      </c>
      <c r="I3289">
        <v>0</v>
      </c>
      <c r="J3289" t="s">
        <v>111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23</v>
      </c>
      <c r="R3289">
        <v>0</v>
      </c>
    </row>
    <row r="3290" spans="1:18">
      <c r="A3290" s="4">
        <v>77138200000000</v>
      </c>
      <c r="B3290" t="s">
        <v>28</v>
      </c>
      <c r="C3290">
        <v>8</v>
      </c>
      <c r="D3290" t="s">
        <v>31</v>
      </c>
      <c r="E3290" t="s">
        <v>84</v>
      </c>
      <c r="F3290" s="1">
        <v>42499</v>
      </c>
      <c r="G3290" s="1">
        <v>42499</v>
      </c>
      <c r="H3290" t="s">
        <v>30</v>
      </c>
      <c r="I3290">
        <v>0</v>
      </c>
      <c r="J3290" t="s">
        <v>111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23</v>
      </c>
      <c r="R3290">
        <v>0</v>
      </c>
    </row>
    <row r="3291" spans="1:18">
      <c r="A3291" s="4">
        <v>82526400000000</v>
      </c>
      <c r="B3291" t="s">
        <v>28</v>
      </c>
      <c r="C3291">
        <v>6</v>
      </c>
      <c r="D3291" t="s">
        <v>31</v>
      </c>
      <c r="E3291" t="s">
        <v>48</v>
      </c>
      <c r="F3291" s="1">
        <v>42499</v>
      </c>
      <c r="G3291" s="1">
        <v>42499</v>
      </c>
      <c r="H3291" t="s">
        <v>30</v>
      </c>
      <c r="I3291">
        <v>0</v>
      </c>
      <c r="J3291" t="s">
        <v>111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23</v>
      </c>
      <c r="R3291">
        <v>0</v>
      </c>
    </row>
    <row r="3292" spans="1:18">
      <c r="A3292" s="4">
        <v>1951840000000</v>
      </c>
      <c r="B3292" t="s">
        <v>18</v>
      </c>
      <c r="C3292">
        <v>60</v>
      </c>
      <c r="D3292" t="s">
        <v>35</v>
      </c>
      <c r="E3292" t="s">
        <v>59</v>
      </c>
      <c r="F3292" s="1">
        <v>42499</v>
      </c>
      <c r="G3292" s="1">
        <v>42499</v>
      </c>
      <c r="H3292" t="s">
        <v>30</v>
      </c>
      <c r="I3292">
        <v>0</v>
      </c>
      <c r="J3292" t="s">
        <v>111</v>
      </c>
      <c r="K3292">
        <v>0</v>
      </c>
      <c r="L3292">
        <v>1</v>
      </c>
      <c r="M3292">
        <v>0</v>
      </c>
      <c r="N3292">
        <v>0</v>
      </c>
      <c r="O3292">
        <v>0</v>
      </c>
      <c r="P3292">
        <v>0</v>
      </c>
      <c r="Q3292" t="s">
        <v>23</v>
      </c>
      <c r="R3292">
        <v>0</v>
      </c>
    </row>
    <row r="3293" spans="1:18">
      <c r="A3293" s="4">
        <v>9784820000000</v>
      </c>
      <c r="B3293" t="s">
        <v>28</v>
      </c>
      <c r="C3293">
        <v>39</v>
      </c>
      <c r="D3293" t="s">
        <v>27</v>
      </c>
      <c r="E3293" t="s">
        <v>72</v>
      </c>
      <c r="F3293" s="1">
        <v>42499</v>
      </c>
      <c r="G3293" s="1">
        <v>42499</v>
      </c>
      <c r="H3293" t="s">
        <v>30</v>
      </c>
      <c r="I3293">
        <v>0</v>
      </c>
      <c r="J3293" t="s">
        <v>111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23</v>
      </c>
      <c r="R3293">
        <v>0</v>
      </c>
    </row>
    <row r="3294" spans="1:18">
      <c r="A3294" s="4">
        <v>44787392844</v>
      </c>
      <c r="B3294" t="s">
        <v>18</v>
      </c>
      <c r="C3294">
        <v>36</v>
      </c>
      <c r="D3294" t="s">
        <v>27</v>
      </c>
      <c r="E3294" t="s">
        <v>50</v>
      </c>
      <c r="F3294" s="1">
        <v>42499</v>
      </c>
      <c r="G3294" s="1">
        <v>42499</v>
      </c>
      <c r="H3294" t="s">
        <v>30</v>
      </c>
      <c r="I3294">
        <v>0</v>
      </c>
      <c r="J3294" t="s">
        <v>111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23</v>
      </c>
      <c r="R3294">
        <v>0</v>
      </c>
    </row>
    <row r="3295" spans="1:18">
      <c r="A3295" s="4">
        <v>758766000000000</v>
      </c>
      <c r="B3295" t="s">
        <v>28</v>
      </c>
      <c r="C3295">
        <v>33</v>
      </c>
      <c r="D3295" t="s">
        <v>37</v>
      </c>
      <c r="E3295" t="s">
        <v>54</v>
      </c>
      <c r="F3295" s="1">
        <v>42499</v>
      </c>
      <c r="G3295" s="1">
        <v>42503</v>
      </c>
      <c r="H3295" t="s">
        <v>21</v>
      </c>
      <c r="I3295">
        <v>4</v>
      </c>
      <c r="J3295" t="s">
        <v>107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26</v>
      </c>
      <c r="R3295">
        <v>1</v>
      </c>
    </row>
    <row r="3296" spans="1:18">
      <c r="A3296" s="4">
        <v>82435900000000</v>
      </c>
      <c r="B3296" t="s">
        <v>18</v>
      </c>
      <c r="C3296">
        <v>74</v>
      </c>
      <c r="D3296" t="s">
        <v>19</v>
      </c>
      <c r="E3296" t="s">
        <v>29</v>
      </c>
      <c r="F3296" s="1">
        <v>42499</v>
      </c>
      <c r="G3296" s="1">
        <v>42501</v>
      </c>
      <c r="H3296" t="s">
        <v>25</v>
      </c>
      <c r="I3296">
        <v>2</v>
      </c>
      <c r="J3296" t="s">
        <v>109</v>
      </c>
      <c r="K3296">
        <v>0</v>
      </c>
      <c r="L3296">
        <v>1</v>
      </c>
      <c r="M3296">
        <v>1</v>
      </c>
      <c r="N3296">
        <v>0</v>
      </c>
      <c r="O3296">
        <v>0</v>
      </c>
      <c r="P3296">
        <v>0</v>
      </c>
      <c r="Q3296" t="s">
        <v>23</v>
      </c>
      <c r="R3296">
        <v>0</v>
      </c>
    </row>
    <row r="3297" spans="1:18">
      <c r="A3297" s="4">
        <v>51186700000000</v>
      </c>
      <c r="B3297" t="s">
        <v>18</v>
      </c>
      <c r="C3297">
        <v>45</v>
      </c>
      <c r="D3297" t="s">
        <v>27</v>
      </c>
      <c r="E3297" t="s">
        <v>91</v>
      </c>
      <c r="F3297" s="1">
        <v>42499</v>
      </c>
      <c r="G3297" s="1">
        <v>42499</v>
      </c>
      <c r="H3297" t="s">
        <v>30</v>
      </c>
      <c r="I3297">
        <v>0</v>
      </c>
      <c r="J3297" t="s">
        <v>111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23</v>
      </c>
      <c r="R3297">
        <v>0</v>
      </c>
    </row>
    <row r="3298" spans="1:18">
      <c r="A3298" s="4">
        <v>4494620000000</v>
      </c>
      <c r="B3298" t="s">
        <v>18</v>
      </c>
      <c r="C3298">
        <v>72</v>
      </c>
      <c r="D3298" t="s">
        <v>19</v>
      </c>
      <c r="E3298" t="s">
        <v>58</v>
      </c>
      <c r="F3298" s="1">
        <v>42499</v>
      </c>
      <c r="G3298" s="1">
        <v>42504</v>
      </c>
      <c r="H3298" t="s">
        <v>114</v>
      </c>
      <c r="I3298">
        <v>5</v>
      </c>
      <c r="J3298" t="s">
        <v>107</v>
      </c>
      <c r="K3298">
        <v>0</v>
      </c>
      <c r="L3298">
        <v>1</v>
      </c>
      <c r="M3298">
        <v>1</v>
      </c>
      <c r="N3298">
        <v>0</v>
      </c>
      <c r="O3298">
        <v>0</v>
      </c>
      <c r="P3298">
        <v>1</v>
      </c>
      <c r="Q3298" t="s">
        <v>23</v>
      </c>
      <c r="R3298">
        <v>0</v>
      </c>
    </row>
    <row r="3299" spans="1:18">
      <c r="A3299" s="4">
        <v>9429160000000</v>
      </c>
      <c r="B3299" t="s">
        <v>28</v>
      </c>
      <c r="C3299">
        <v>42</v>
      </c>
      <c r="D3299" t="s">
        <v>27</v>
      </c>
      <c r="E3299" t="s">
        <v>105</v>
      </c>
      <c r="F3299" s="1">
        <v>42499</v>
      </c>
      <c r="G3299" s="1">
        <v>42499</v>
      </c>
      <c r="H3299" t="s">
        <v>30</v>
      </c>
      <c r="I3299">
        <v>0</v>
      </c>
      <c r="J3299" t="s">
        <v>111</v>
      </c>
      <c r="K3299">
        <v>0</v>
      </c>
      <c r="L3299">
        <v>1</v>
      </c>
      <c r="M3299">
        <v>0</v>
      </c>
      <c r="N3299">
        <v>0</v>
      </c>
      <c r="O3299">
        <v>0</v>
      </c>
      <c r="P3299">
        <v>0</v>
      </c>
      <c r="Q3299" t="s">
        <v>23</v>
      </c>
      <c r="R3299">
        <v>0</v>
      </c>
    </row>
    <row r="3300" spans="1:18">
      <c r="A3300" s="4">
        <v>843754000000000</v>
      </c>
      <c r="B3300" t="s">
        <v>18</v>
      </c>
      <c r="C3300">
        <v>35</v>
      </c>
      <c r="D3300" t="s">
        <v>37</v>
      </c>
      <c r="E3300" t="s">
        <v>32</v>
      </c>
      <c r="F3300" s="1">
        <v>42499</v>
      </c>
      <c r="G3300" s="1">
        <v>42499</v>
      </c>
      <c r="H3300" t="s">
        <v>30</v>
      </c>
      <c r="I3300">
        <v>0</v>
      </c>
      <c r="J3300" t="s">
        <v>111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23</v>
      </c>
      <c r="R3300">
        <v>0</v>
      </c>
    </row>
    <row r="3301" spans="1:18">
      <c r="A3301" s="4">
        <v>16461300000000</v>
      </c>
      <c r="B3301" t="s">
        <v>28</v>
      </c>
      <c r="C3301">
        <v>52</v>
      </c>
      <c r="D3301" t="s">
        <v>35</v>
      </c>
      <c r="E3301" t="s">
        <v>71</v>
      </c>
      <c r="F3301" s="1">
        <v>42499</v>
      </c>
      <c r="G3301" s="1">
        <v>42499</v>
      </c>
      <c r="H3301" t="s">
        <v>30</v>
      </c>
      <c r="I3301">
        <v>0</v>
      </c>
      <c r="J3301" t="s">
        <v>111</v>
      </c>
      <c r="K3301">
        <v>0</v>
      </c>
      <c r="L3301">
        <v>1</v>
      </c>
      <c r="M3301">
        <v>0</v>
      </c>
      <c r="N3301">
        <v>0</v>
      </c>
      <c r="O3301">
        <v>1</v>
      </c>
      <c r="P3301">
        <v>0</v>
      </c>
      <c r="Q3301" t="s">
        <v>23</v>
      </c>
      <c r="R3301">
        <v>0</v>
      </c>
    </row>
    <row r="3302" spans="1:18">
      <c r="A3302" s="4">
        <v>11213500000000</v>
      </c>
      <c r="B3302" t="s">
        <v>18</v>
      </c>
      <c r="C3302">
        <v>28</v>
      </c>
      <c r="D3302" t="s">
        <v>37</v>
      </c>
      <c r="E3302" t="s">
        <v>59</v>
      </c>
      <c r="F3302" s="1">
        <v>42499</v>
      </c>
      <c r="G3302" s="1">
        <v>42506</v>
      </c>
      <c r="H3302" t="s">
        <v>30</v>
      </c>
      <c r="I3302">
        <v>7</v>
      </c>
      <c r="J3302" t="s">
        <v>107</v>
      </c>
      <c r="K3302">
        <v>1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26</v>
      </c>
      <c r="R3302">
        <v>1</v>
      </c>
    </row>
    <row r="3303" spans="1:18">
      <c r="A3303" s="4">
        <v>678279000000000</v>
      </c>
      <c r="B3303" t="s">
        <v>18</v>
      </c>
      <c r="C3303">
        <v>77</v>
      </c>
      <c r="D3303" t="s">
        <v>19</v>
      </c>
      <c r="E3303" t="s">
        <v>100</v>
      </c>
      <c r="F3303" s="1">
        <v>42499</v>
      </c>
      <c r="G3303" s="1">
        <v>42501</v>
      </c>
      <c r="H3303" t="s">
        <v>25</v>
      </c>
      <c r="I3303">
        <v>2</v>
      </c>
      <c r="J3303" t="s">
        <v>109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23</v>
      </c>
      <c r="R3303">
        <v>0</v>
      </c>
    </row>
    <row r="3304" spans="1:18">
      <c r="A3304" s="4">
        <v>68534200000000</v>
      </c>
      <c r="B3304" t="s">
        <v>28</v>
      </c>
      <c r="C3304">
        <v>2</v>
      </c>
      <c r="D3304" t="s">
        <v>31</v>
      </c>
      <c r="E3304" t="s">
        <v>57</v>
      </c>
      <c r="F3304" s="1">
        <v>42499</v>
      </c>
      <c r="G3304" s="1">
        <v>42501</v>
      </c>
      <c r="H3304" t="s">
        <v>25</v>
      </c>
      <c r="I3304">
        <v>2</v>
      </c>
      <c r="J3304" t="s">
        <v>109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26</v>
      </c>
      <c r="R3304">
        <v>1</v>
      </c>
    </row>
    <row r="3305" spans="1:18">
      <c r="A3305" s="4">
        <v>859396000000</v>
      </c>
      <c r="B3305" t="s">
        <v>18</v>
      </c>
      <c r="C3305">
        <v>12</v>
      </c>
      <c r="D3305" t="s">
        <v>31</v>
      </c>
      <c r="E3305" t="s">
        <v>29</v>
      </c>
      <c r="F3305" s="1">
        <v>42499</v>
      </c>
      <c r="G3305" s="1">
        <v>42506</v>
      </c>
      <c r="H3305" t="s">
        <v>30</v>
      </c>
      <c r="I3305">
        <v>7</v>
      </c>
      <c r="J3305" t="s">
        <v>107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23</v>
      </c>
      <c r="R3305">
        <v>0</v>
      </c>
    </row>
    <row r="3306" spans="1:18">
      <c r="A3306" s="4">
        <v>46675198426</v>
      </c>
      <c r="B3306" t="s">
        <v>18</v>
      </c>
      <c r="C3306">
        <v>15</v>
      </c>
      <c r="D3306" t="s">
        <v>60</v>
      </c>
      <c r="E3306" t="s">
        <v>40</v>
      </c>
      <c r="F3306" s="1">
        <v>42499</v>
      </c>
      <c r="G3306" s="1">
        <v>42499</v>
      </c>
      <c r="H3306" t="s">
        <v>30</v>
      </c>
      <c r="I3306">
        <v>0</v>
      </c>
      <c r="J3306" t="s">
        <v>111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23</v>
      </c>
      <c r="R3306">
        <v>0</v>
      </c>
    </row>
    <row r="3307" spans="1:18">
      <c r="A3307" s="4">
        <v>61656200000000</v>
      </c>
      <c r="B3307" t="s">
        <v>28</v>
      </c>
      <c r="C3307">
        <v>13</v>
      </c>
      <c r="D3307" t="s">
        <v>60</v>
      </c>
      <c r="E3307" t="s">
        <v>40</v>
      </c>
      <c r="F3307" s="1">
        <v>42499</v>
      </c>
      <c r="G3307" s="1">
        <v>42515</v>
      </c>
      <c r="H3307" t="s">
        <v>25</v>
      </c>
      <c r="I3307">
        <v>16</v>
      </c>
      <c r="J3307" t="s">
        <v>77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1</v>
      </c>
      <c r="Q3307" t="s">
        <v>26</v>
      </c>
      <c r="R3307">
        <v>1</v>
      </c>
    </row>
    <row r="3308" spans="1:18">
      <c r="A3308" s="4">
        <v>699460000000</v>
      </c>
      <c r="B3308" t="s">
        <v>28</v>
      </c>
      <c r="C3308">
        <v>2</v>
      </c>
      <c r="D3308" t="s">
        <v>31</v>
      </c>
      <c r="E3308" t="s">
        <v>96</v>
      </c>
      <c r="F3308" s="1">
        <v>42499</v>
      </c>
      <c r="G3308" s="1">
        <v>42506</v>
      </c>
      <c r="H3308" t="s">
        <v>30</v>
      </c>
      <c r="I3308">
        <v>7</v>
      </c>
      <c r="J3308" t="s">
        <v>107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23</v>
      </c>
      <c r="R3308">
        <v>0</v>
      </c>
    </row>
    <row r="3309" spans="1:18">
      <c r="A3309" s="4">
        <v>5385310000000</v>
      </c>
      <c r="B3309" t="s">
        <v>18</v>
      </c>
      <c r="C3309">
        <v>1</v>
      </c>
      <c r="D3309" t="s">
        <v>31</v>
      </c>
      <c r="E3309" t="s">
        <v>59</v>
      </c>
      <c r="F3309" s="1">
        <v>42499</v>
      </c>
      <c r="G3309" s="1">
        <v>42499</v>
      </c>
      <c r="H3309" t="s">
        <v>30</v>
      </c>
      <c r="I3309">
        <v>0</v>
      </c>
      <c r="J3309" t="s">
        <v>111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23</v>
      </c>
      <c r="R3309">
        <v>0</v>
      </c>
    </row>
    <row r="3310" spans="1:18">
      <c r="A3310" s="4">
        <v>751774000000000</v>
      </c>
      <c r="B3310" t="s">
        <v>28</v>
      </c>
      <c r="C3310">
        <v>2</v>
      </c>
      <c r="D3310" t="s">
        <v>31</v>
      </c>
      <c r="E3310" t="s">
        <v>20</v>
      </c>
      <c r="F3310" s="1">
        <v>42499</v>
      </c>
      <c r="G3310" s="1">
        <v>42507</v>
      </c>
      <c r="H3310" t="s">
        <v>41</v>
      </c>
      <c r="I3310">
        <v>8</v>
      </c>
      <c r="J3310" t="s">
        <v>92</v>
      </c>
      <c r="K3310">
        <v>1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23</v>
      </c>
      <c r="R3310">
        <v>0</v>
      </c>
    </row>
    <row r="3311" spans="1:18">
      <c r="A3311" s="4">
        <v>17622600000000</v>
      </c>
      <c r="B3311" t="s">
        <v>18</v>
      </c>
      <c r="C3311">
        <v>54</v>
      </c>
      <c r="D3311" t="s">
        <v>35</v>
      </c>
      <c r="E3311" t="s">
        <v>62</v>
      </c>
      <c r="F3311" s="1">
        <v>42499</v>
      </c>
      <c r="G3311" s="1">
        <v>42499</v>
      </c>
      <c r="H3311" t="s">
        <v>30</v>
      </c>
      <c r="I3311">
        <v>0</v>
      </c>
      <c r="J3311" t="s">
        <v>111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23</v>
      </c>
      <c r="R3311">
        <v>0</v>
      </c>
    </row>
    <row r="3312" spans="1:18">
      <c r="A3312" s="4">
        <v>9992850000000</v>
      </c>
      <c r="B3312" t="s">
        <v>18</v>
      </c>
      <c r="C3312">
        <v>1</v>
      </c>
      <c r="D3312" t="s">
        <v>31</v>
      </c>
      <c r="E3312" t="s">
        <v>100</v>
      </c>
      <c r="F3312" s="1">
        <v>42499</v>
      </c>
      <c r="G3312" s="1">
        <v>42499</v>
      </c>
      <c r="H3312" t="s">
        <v>30</v>
      </c>
      <c r="I3312">
        <v>0</v>
      </c>
      <c r="J3312" t="s">
        <v>111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23</v>
      </c>
      <c r="R3312">
        <v>0</v>
      </c>
    </row>
    <row r="3313" spans="1:18">
      <c r="A3313" s="4">
        <v>9434120000000</v>
      </c>
      <c r="B3313" t="s">
        <v>18</v>
      </c>
      <c r="C3313">
        <v>18</v>
      </c>
      <c r="D3313" t="s">
        <v>37</v>
      </c>
      <c r="E3313" t="s">
        <v>39</v>
      </c>
      <c r="F3313" s="1">
        <v>42499</v>
      </c>
      <c r="G3313" s="1">
        <v>42499</v>
      </c>
      <c r="H3313" t="s">
        <v>30</v>
      </c>
      <c r="I3313">
        <v>0</v>
      </c>
      <c r="J3313" t="s">
        <v>111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23</v>
      </c>
      <c r="R3313">
        <v>0</v>
      </c>
    </row>
    <row r="3314" spans="1:18">
      <c r="A3314" s="4">
        <v>4426340000000</v>
      </c>
      <c r="B3314" t="s">
        <v>28</v>
      </c>
      <c r="C3314">
        <v>65</v>
      </c>
      <c r="D3314" t="s">
        <v>35</v>
      </c>
      <c r="E3314" t="s">
        <v>98</v>
      </c>
      <c r="F3314" s="1">
        <v>42499</v>
      </c>
      <c r="G3314" s="1">
        <v>42520</v>
      </c>
      <c r="H3314" t="s">
        <v>30</v>
      </c>
      <c r="I3314">
        <v>21</v>
      </c>
      <c r="J3314" t="s">
        <v>77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1</v>
      </c>
      <c r="Q3314" t="s">
        <v>23</v>
      </c>
      <c r="R3314">
        <v>0</v>
      </c>
    </row>
    <row r="3315" spans="1:18">
      <c r="A3315" s="4">
        <v>61966800000000</v>
      </c>
      <c r="B3315" t="s">
        <v>18</v>
      </c>
      <c r="C3315">
        <v>19</v>
      </c>
      <c r="D3315" t="s">
        <v>37</v>
      </c>
      <c r="E3315" t="s">
        <v>69</v>
      </c>
      <c r="F3315" s="1">
        <v>42499</v>
      </c>
      <c r="G3315" s="1">
        <v>42499</v>
      </c>
      <c r="H3315" t="s">
        <v>30</v>
      </c>
      <c r="I3315">
        <v>0</v>
      </c>
      <c r="J3315" t="s">
        <v>111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23</v>
      </c>
      <c r="R3315">
        <v>0</v>
      </c>
    </row>
    <row r="3316" spans="1:18">
      <c r="A3316" s="4">
        <v>636643000000000</v>
      </c>
      <c r="B3316" t="s">
        <v>18</v>
      </c>
      <c r="C3316">
        <v>54</v>
      </c>
      <c r="D3316" t="s">
        <v>35</v>
      </c>
      <c r="E3316" t="s">
        <v>39</v>
      </c>
      <c r="F3316" s="1">
        <v>42499</v>
      </c>
      <c r="G3316" s="1">
        <v>42501</v>
      </c>
      <c r="H3316" t="s">
        <v>25</v>
      </c>
      <c r="I3316">
        <v>2</v>
      </c>
      <c r="J3316" t="s">
        <v>109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23</v>
      </c>
      <c r="R3316">
        <v>0</v>
      </c>
    </row>
    <row r="3317" spans="1:18">
      <c r="A3317" s="4">
        <v>289313000000000</v>
      </c>
      <c r="B3317" t="s">
        <v>28</v>
      </c>
      <c r="C3317">
        <v>10</v>
      </c>
      <c r="D3317" t="s">
        <v>31</v>
      </c>
      <c r="E3317" t="s">
        <v>45</v>
      </c>
      <c r="F3317" s="1">
        <v>42499</v>
      </c>
      <c r="G3317" s="1">
        <v>42500</v>
      </c>
      <c r="H3317" t="s">
        <v>41</v>
      </c>
      <c r="I3317">
        <v>1</v>
      </c>
      <c r="J3317" t="s">
        <v>109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26</v>
      </c>
      <c r="R3317">
        <v>1</v>
      </c>
    </row>
    <row r="3318" spans="1:18">
      <c r="A3318" s="4">
        <v>8675950000000</v>
      </c>
      <c r="B3318" t="s">
        <v>28</v>
      </c>
      <c r="C3318">
        <v>55</v>
      </c>
      <c r="D3318" t="s">
        <v>35</v>
      </c>
      <c r="E3318" t="s">
        <v>115</v>
      </c>
      <c r="F3318" s="1">
        <v>42499</v>
      </c>
      <c r="G3318" s="1">
        <v>42499</v>
      </c>
      <c r="H3318" t="s">
        <v>30</v>
      </c>
      <c r="I3318">
        <v>0</v>
      </c>
      <c r="J3318" t="s">
        <v>111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23</v>
      </c>
      <c r="R3318">
        <v>0</v>
      </c>
    </row>
    <row r="3319" spans="1:18">
      <c r="A3319" s="4">
        <v>9221170000000</v>
      </c>
      <c r="B3319" t="s">
        <v>18</v>
      </c>
      <c r="C3319">
        <v>21</v>
      </c>
      <c r="D3319" t="s">
        <v>37</v>
      </c>
      <c r="E3319" t="s">
        <v>38</v>
      </c>
      <c r="F3319" s="1">
        <v>42499</v>
      </c>
      <c r="G3319" s="1">
        <v>42499</v>
      </c>
      <c r="H3319" t="s">
        <v>30</v>
      </c>
      <c r="I3319">
        <v>0</v>
      </c>
      <c r="J3319" t="s">
        <v>111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23</v>
      </c>
      <c r="R3319">
        <v>0</v>
      </c>
    </row>
    <row r="3320" spans="1:18">
      <c r="A3320" s="4">
        <v>92557100000000</v>
      </c>
      <c r="B3320" t="s">
        <v>28</v>
      </c>
      <c r="C3320">
        <v>52</v>
      </c>
      <c r="D3320" t="s">
        <v>35</v>
      </c>
      <c r="E3320" t="s">
        <v>72</v>
      </c>
      <c r="F3320" s="1">
        <v>42499</v>
      </c>
      <c r="G3320" s="1">
        <v>42499</v>
      </c>
      <c r="H3320" t="s">
        <v>30</v>
      </c>
      <c r="I3320">
        <v>0</v>
      </c>
      <c r="J3320" t="s">
        <v>111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23</v>
      </c>
      <c r="R3320">
        <v>0</v>
      </c>
    </row>
    <row r="3321" spans="1:18">
      <c r="A3321" s="4">
        <v>352929000000</v>
      </c>
      <c r="B3321" t="s">
        <v>18</v>
      </c>
      <c r="C3321">
        <v>45</v>
      </c>
      <c r="D3321" t="s">
        <v>27</v>
      </c>
      <c r="E3321" t="s">
        <v>39</v>
      </c>
      <c r="F3321" s="1">
        <v>42499</v>
      </c>
      <c r="G3321" s="1">
        <v>42499</v>
      </c>
      <c r="H3321" t="s">
        <v>30</v>
      </c>
      <c r="I3321">
        <v>0</v>
      </c>
      <c r="J3321" t="s">
        <v>111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23</v>
      </c>
      <c r="R3321">
        <v>0</v>
      </c>
    </row>
    <row r="3322" spans="1:18">
      <c r="A3322" s="4">
        <v>76458800000000</v>
      </c>
      <c r="B3322" t="s">
        <v>18</v>
      </c>
      <c r="C3322">
        <v>32</v>
      </c>
      <c r="D3322" t="s">
        <v>37</v>
      </c>
      <c r="E3322" t="s">
        <v>68</v>
      </c>
      <c r="F3322" s="1">
        <v>42499</v>
      </c>
      <c r="G3322" s="1">
        <v>42499</v>
      </c>
      <c r="H3322" t="s">
        <v>30</v>
      </c>
      <c r="I3322">
        <v>0</v>
      </c>
      <c r="J3322" t="s">
        <v>111</v>
      </c>
      <c r="K3322">
        <v>0</v>
      </c>
      <c r="L3322">
        <v>1</v>
      </c>
      <c r="M3322">
        <v>0</v>
      </c>
      <c r="N3322">
        <v>0</v>
      </c>
      <c r="O3322">
        <v>0</v>
      </c>
      <c r="P3322">
        <v>0</v>
      </c>
      <c r="Q3322" t="s">
        <v>23</v>
      </c>
      <c r="R3322">
        <v>0</v>
      </c>
    </row>
    <row r="3323" spans="1:18">
      <c r="A3323" s="4">
        <v>525343000000</v>
      </c>
      <c r="B3323" t="s">
        <v>28</v>
      </c>
      <c r="C3323">
        <v>27</v>
      </c>
      <c r="D3323" t="s">
        <v>37</v>
      </c>
      <c r="E3323" t="s">
        <v>50</v>
      </c>
      <c r="F3323" s="1">
        <v>42499</v>
      </c>
      <c r="G3323" s="1">
        <v>42499</v>
      </c>
      <c r="H3323" t="s">
        <v>30</v>
      </c>
      <c r="I3323">
        <v>0</v>
      </c>
      <c r="J3323" t="s">
        <v>111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23</v>
      </c>
      <c r="R3323">
        <v>0</v>
      </c>
    </row>
    <row r="3324" spans="1:18">
      <c r="A3324" s="4">
        <v>2649460000000</v>
      </c>
      <c r="B3324" t="s">
        <v>28</v>
      </c>
      <c r="C3324">
        <v>3</v>
      </c>
      <c r="D3324" t="s">
        <v>31</v>
      </c>
      <c r="E3324" t="s">
        <v>73</v>
      </c>
      <c r="F3324" s="1">
        <v>42499</v>
      </c>
      <c r="G3324" s="1">
        <v>42499</v>
      </c>
      <c r="H3324" t="s">
        <v>30</v>
      </c>
      <c r="I3324">
        <v>0</v>
      </c>
      <c r="J3324" t="s">
        <v>111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23</v>
      </c>
      <c r="R3324">
        <v>0</v>
      </c>
    </row>
    <row r="3325" spans="1:18">
      <c r="A3325" s="4">
        <v>65424700000000</v>
      </c>
      <c r="B3325" t="s">
        <v>18</v>
      </c>
      <c r="C3325">
        <v>43</v>
      </c>
      <c r="D3325" t="s">
        <v>27</v>
      </c>
      <c r="E3325" t="s">
        <v>53</v>
      </c>
      <c r="F3325" s="1">
        <v>42499</v>
      </c>
      <c r="G3325" s="1">
        <v>42499</v>
      </c>
      <c r="H3325" t="s">
        <v>30</v>
      </c>
      <c r="I3325">
        <v>0</v>
      </c>
      <c r="J3325" t="s">
        <v>111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23</v>
      </c>
      <c r="R3325">
        <v>0</v>
      </c>
    </row>
    <row r="3326" spans="1:18">
      <c r="A3326" s="4">
        <v>7828640000000</v>
      </c>
      <c r="B3326" t="s">
        <v>18</v>
      </c>
      <c r="C3326">
        <v>41</v>
      </c>
      <c r="D3326" t="s">
        <v>27</v>
      </c>
      <c r="E3326" t="s">
        <v>87</v>
      </c>
      <c r="F3326" s="1">
        <v>42499</v>
      </c>
      <c r="G3326" s="1">
        <v>42499</v>
      </c>
      <c r="H3326" t="s">
        <v>30</v>
      </c>
      <c r="I3326">
        <v>0</v>
      </c>
      <c r="J3326" t="s">
        <v>111</v>
      </c>
      <c r="K3326">
        <v>1</v>
      </c>
      <c r="L3326">
        <v>1</v>
      </c>
      <c r="M3326">
        <v>0</v>
      </c>
      <c r="N3326">
        <v>0</v>
      </c>
      <c r="O3326">
        <v>0</v>
      </c>
      <c r="P3326">
        <v>0</v>
      </c>
      <c r="Q3326" t="s">
        <v>26</v>
      </c>
      <c r="R3326">
        <v>1</v>
      </c>
    </row>
    <row r="3327" spans="1:18">
      <c r="A3327" s="4">
        <v>3263820000000</v>
      </c>
      <c r="B3327" t="s">
        <v>28</v>
      </c>
      <c r="C3327">
        <v>10</v>
      </c>
      <c r="D3327" t="s">
        <v>31</v>
      </c>
      <c r="E3327" t="s">
        <v>86</v>
      </c>
      <c r="F3327" s="1">
        <v>42499</v>
      </c>
      <c r="G3327" s="1">
        <v>42506</v>
      </c>
      <c r="H3327" t="s">
        <v>30</v>
      </c>
      <c r="I3327">
        <v>7</v>
      </c>
      <c r="J3327" t="s">
        <v>107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23</v>
      </c>
      <c r="R3327">
        <v>0</v>
      </c>
    </row>
    <row r="3328" spans="1:18">
      <c r="A3328" s="4">
        <v>6591760000000</v>
      </c>
      <c r="B3328" t="s">
        <v>18</v>
      </c>
      <c r="C3328">
        <v>51</v>
      </c>
      <c r="D3328" t="s">
        <v>35</v>
      </c>
      <c r="E3328" t="s">
        <v>51</v>
      </c>
      <c r="F3328" s="1">
        <v>42499</v>
      </c>
      <c r="G3328" s="1">
        <v>42499</v>
      </c>
      <c r="H3328" t="s">
        <v>30</v>
      </c>
      <c r="I3328">
        <v>0</v>
      </c>
      <c r="J3328" t="s">
        <v>111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23</v>
      </c>
      <c r="R3328">
        <v>0</v>
      </c>
    </row>
    <row r="3329" spans="1:18">
      <c r="A3329" s="4">
        <v>3428380000000</v>
      </c>
      <c r="B3329" t="s">
        <v>18</v>
      </c>
      <c r="C3329">
        <v>84</v>
      </c>
      <c r="D3329" t="s">
        <v>19</v>
      </c>
      <c r="E3329" t="s">
        <v>29</v>
      </c>
      <c r="F3329" s="1">
        <v>42499</v>
      </c>
      <c r="G3329" s="1">
        <v>42527</v>
      </c>
      <c r="H3329" t="s">
        <v>30</v>
      </c>
      <c r="I3329">
        <v>28</v>
      </c>
      <c r="J3329" t="s">
        <v>77</v>
      </c>
      <c r="K3329">
        <v>0</v>
      </c>
      <c r="L3329">
        <v>1</v>
      </c>
      <c r="M3329">
        <v>1</v>
      </c>
      <c r="N3329">
        <v>0</v>
      </c>
      <c r="O3329">
        <v>0</v>
      </c>
      <c r="P3329">
        <v>1</v>
      </c>
      <c r="Q3329" t="s">
        <v>23</v>
      </c>
      <c r="R3329">
        <v>0</v>
      </c>
    </row>
    <row r="3330" spans="1:18">
      <c r="A3330" s="4">
        <v>8366430000000</v>
      </c>
      <c r="B3330" t="s">
        <v>18</v>
      </c>
      <c r="C3330">
        <v>68</v>
      </c>
      <c r="D3330" t="s">
        <v>19</v>
      </c>
      <c r="E3330" t="s">
        <v>72</v>
      </c>
      <c r="F3330" s="1">
        <v>42499</v>
      </c>
      <c r="G3330" s="1">
        <v>42527</v>
      </c>
      <c r="H3330" t="s">
        <v>30</v>
      </c>
      <c r="I3330">
        <v>28</v>
      </c>
      <c r="J3330" t="s">
        <v>77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23</v>
      </c>
      <c r="R3330">
        <v>0</v>
      </c>
    </row>
    <row r="3331" spans="1:18">
      <c r="A3331" s="4">
        <v>53955200000000</v>
      </c>
      <c r="B3331" t="s">
        <v>28</v>
      </c>
      <c r="C3331">
        <v>43</v>
      </c>
      <c r="D3331" t="s">
        <v>27</v>
      </c>
      <c r="E3331" t="s">
        <v>66</v>
      </c>
      <c r="F3331" s="1">
        <v>42499</v>
      </c>
      <c r="G3331" s="1">
        <v>42506</v>
      </c>
      <c r="H3331" t="s">
        <v>30</v>
      </c>
      <c r="I3331">
        <v>7</v>
      </c>
      <c r="J3331" t="s">
        <v>107</v>
      </c>
      <c r="K3331">
        <v>0</v>
      </c>
      <c r="L3331">
        <v>1</v>
      </c>
      <c r="M3331">
        <v>0</v>
      </c>
      <c r="N3331">
        <v>0</v>
      </c>
      <c r="O3331">
        <v>0</v>
      </c>
      <c r="P3331">
        <v>0</v>
      </c>
      <c r="Q3331" t="s">
        <v>26</v>
      </c>
      <c r="R3331">
        <v>1</v>
      </c>
    </row>
    <row r="3332" spans="1:18">
      <c r="A3332" s="4">
        <v>663939000000</v>
      </c>
      <c r="B3332" t="s">
        <v>18</v>
      </c>
      <c r="C3332">
        <v>20</v>
      </c>
      <c r="D3332" t="s">
        <v>37</v>
      </c>
      <c r="E3332" t="s">
        <v>87</v>
      </c>
      <c r="F3332" s="1">
        <v>42499</v>
      </c>
      <c r="G3332" s="1">
        <v>42507</v>
      </c>
      <c r="H3332" t="s">
        <v>41</v>
      </c>
      <c r="I3332">
        <v>8</v>
      </c>
      <c r="J3332" t="s">
        <v>92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23</v>
      </c>
      <c r="R3332">
        <v>0</v>
      </c>
    </row>
    <row r="3333" spans="1:18">
      <c r="A3333" s="4">
        <v>56515400000000</v>
      </c>
      <c r="B3333" t="s">
        <v>18</v>
      </c>
      <c r="C3333">
        <v>16</v>
      </c>
      <c r="D3333" t="s">
        <v>60</v>
      </c>
      <c r="E3333" t="s">
        <v>50</v>
      </c>
      <c r="F3333" s="1">
        <v>42499</v>
      </c>
      <c r="G3333" s="1">
        <v>42506</v>
      </c>
      <c r="H3333" t="s">
        <v>30</v>
      </c>
      <c r="I3333">
        <v>7</v>
      </c>
      <c r="J3333" t="s">
        <v>107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23</v>
      </c>
      <c r="R3333">
        <v>0</v>
      </c>
    </row>
    <row r="3334" spans="1:18">
      <c r="A3334" s="4">
        <v>549874000000000</v>
      </c>
      <c r="B3334" t="s">
        <v>18</v>
      </c>
      <c r="C3334">
        <v>19</v>
      </c>
      <c r="D3334" t="s">
        <v>37</v>
      </c>
      <c r="E3334" t="s">
        <v>56</v>
      </c>
      <c r="F3334" s="1">
        <v>42499</v>
      </c>
      <c r="G3334" s="1">
        <v>42501</v>
      </c>
      <c r="H3334" t="s">
        <v>25</v>
      </c>
      <c r="I3334">
        <v>2</v>
      </c>
      <c r="J3334" t="s">
        <v>109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26</v>
      </c>
      <c r="R3334">
        <v>1</v>
      </c>
    </row>
    <row r="3335" spans="1:18">
      <c r="A3335" s="4">
        <v>7719280000000</v>
      </c>
      <c r="B3335" t="s">
        <v>18</v>
      </c>
      <c r="C3335">
        <v>0</v>
      </c>
      <c r="D3335" t="s">
        <v>31</v>
      </c>
      <c r="E3335" t="s">
        <v>43</v>
      </c>
      <c r="F3335" s="1">
        <v>42499</v>
      </c>
      <c r="G3335" s="1">
        <v>42515</v>
      </c>
      <c r="H3335" t="s">
        <v>25</v>
      </c>
      <c r="I3335">
        <v>16</v>
      </c>
      <c r="J3335" t="s">
        <v>77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1</v>
      </c>
      <c r="Q3335" t="s">
        <v>23</v>
      </c>
      <c r="R3335">
        <v>0</v>
      </c>
    </row>
    <row r="3336" spans="1:18">
      <c r="A3336" s="4">
        <v>5392280000000</v>
      </c>
      <c r="B3336" t="s">
        <v>18</v>
      </c>
      <c r="C3336">
        <v>31</v>
      </c>
      <c r="D3336" t="s">
        <v>37</v>
      </c>
      <c r="E3336" t="s">
        <v>101</v>
      </c>
      <c r="F3336" s="1">
        <v>42499</v>
      </c>
      <c r="G3336" s="1">
        <v>42503</v>
      </c>
      <c r="H3336" t="s">
        <v>21</v>
      </c>
      <c r="I3336">
        <v>4</v>
      </c>
      <c r="J3336" t="s">
        <v>107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23</v>
      </c>
      <c r="R3336">
        <v>0</v>
      </c>
    </row>
    <row r="3337" spans="1:18">
      <c r="A3337" s="4">
        <v>576457000000000</v>
      </c>
      <c r="B3337" t="s">
        <v>28</v>
      </c>
      <c r="C3337">
        <v>61</v>
      </c>
      <c r="D3337" t="s">
        <v>35</v>
      </c>
      <c r="E3337" t="s">
        <v>54</v>
      </c>
      <c r="F3337" s="1">
        <v>42499</v>
      </c>
      <c r="G3337" s="1">
        <v>42502</v>
      </c>
      <c r="H3337" t="s">
        <v>33</v>
      </c>
      <c r="I3337">
        <v>3</v>
      </c>
      <c r="J3337" t="s">
        <v>109</v>
      </c>
      <c r="K3337">
        <v>0</v>
      </c>
      <c r="L3337">
        <v>1</v>
      </c>
      <c r="M3337">
        <v>0</v>
      </c>
      <c r="N3337">
        <v>0</v>
      </c>
      <c r="O3337">
        <v>1</v>
      </c>
      <c r="P3337">
        <v>0</v>
      </c>
      <c r="Q3337" t="s">
        <v>23</v>
      </c>
      <c r="R3337">
        <v>0</v>
      </c>
    </row>
    <row r="3338" spans="1:18">
      <c r="A3338" s="4">
        <v>87231631666</v>
      </c>
      <c r="B3338" t="s">
        <v>28</v>
      </c>
      <c r="C3338">
        <v>53</v>
      </c>
      <c r="D3338" t="s">
        <v>35</v>
      </c>
      <c r="E3338" t="s">
        <v>105</v>
      </c>
      <c r="F3338" s="1">
        <v>42499</v>
      </c>
      <c r="G3338" s="1">
        <v>42501</v>
      </c>
      <c r="H3338" t="s">
        <v>25</v>
      </c>
      <c r="I3338">
        <v>2</v>
      </c>
      <c r="J3338" t="s">
        <v>109</v>
      </c>
      <c r="K3338">
        <v>0</v>
      </c>
      <c r="L3338">
        <v>1</v>
      </c>
      <c r="M3338">
        <v>0</v>
      </c>
      <c r="N3338">
        <v>0</v>
      </c>
      <c r="O3338">
        <v>0</v>
      </c>
      <c r="P3338">
        <v>0</v>
      </c>
      <c r="Q3338" t="s">
        <v>26</v>
      </c>
      <c r="R3338">
        <v>1</v>
      </c>
    </row>
    <row r="3339" spans="1:18">
      <c r="A3339" s="4">
        <v>266380000000000</v>
      </c>
      <c r="B3339" t="s">
        <v>18</v>
      </c>
      <c r="C3339">
        <v>1</v>
      </c>
      <c r="D3339" t="s">
        <v>31</v>
      </c>
      <c r="E3339" t="s">
        <v>39</v>
      </c>
      <c r="F3339" s="1">
        <v>42499</v>
      </c>
      <c r="G3339" s="1">
        <v>42510</v>
      </c>
      <c r="H3339" t="s">
        <v>21</v>
      </c>
      <c r="I3339">
        <v>11</v>
      </c>
      <c r="J3339" t="s">
        <v>92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26</v>
      </c>
      <c r="R3339">
        <v>1</v>
      </c>
    </row>
    <row r="3340" spans="1:18">
      <c r="A3340" s="4">
        <v>61345100000000</v>
      </c>
      <c r="B3340" t="s">
        <v>28</v>
      </c>
      <c r="C3340">
        <v>0</v>
      </c>
      <c r="D3340" t="s">
        <v>31</v>
      </c>
      <c r="E3340" t="s">
        <v>69</v>
      </c>
      <c r="F3340" s="1">
        <v>42499</v>
      </c>
      <c r="G3340" s="1">
        <v>42499</v>
      </c>
      <c r="H3340" t="s">
        <v>30</v>
      </c>
      <c r="I3340">
        <v>0</v>
      </c>
      <c r="J3340" t="s">
        <v>111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23</v>
      </c>
      <c r="R3340">
        <v>0</v>
      </c>
    </row>
    <row r="3341" spans="1:18">
      <c r="A3341" s="4">
        <v>72415800000000</v>
      </c>
      <c r="B3341" t="s">
        <v>18</v>
      </c>
      <c r="C3341">
        <v>74</v>
      </c>
      <c r="D3341" t="s">
        <v>19</v>
      </c>
      <c r="E3341" t="s">
        <v>58</v>
      </c>
      <c r="F3341" s="1">
        <v>42499</v>
      </c>
      <c r="G3341" s="1">
        <v>42500</v>
      </c>
      <c r="H3341" t="s">
        <v>41</v>
      </c>
      <c r="I3341">
        <v>1</v>
      </c>
      <c r="J3341" t="s">
        <v>109</v>
      </c>
      <c r="K3341">
        <v>0</v>
      </c>
      <c r="L3341">
        <v>1</v>
      </c>
      <c r="M3341">
        <v>0</v>
      </c>
      <c r="N3341">
        <v>0</v>
      </c>
      <c r="O3341">
        <v>1</v>
      </c>
      <c r="P3341">
        <v>0</v>
      </c>
      <c r="Q3341" t="s">
        <v>23</v>
      </c>
      <c r="R3341">
        <v>0</v>
      </c>
    </row>
    <row r="3342" spans="1:18">
      <c r="A3342" s="4">
        <v>367925000000000</v>
      </c>
      <c r="B3342" t="s">
        <v>18</v>
      </c>
      <c r="C3342">
        <v>29</v>
      </c>
      <c r="D3342" t="s">
        <v>37</v>
      </c>
      <c r="E3342" t="s">
        <v>54</v>
      </c>
      <c r="F3342" s="1">
        <v>42499</v>
      </c>
      <c r="G3342" s="1">
        <v>42510</v>
      </c>
      <c r="H3342" t="s">
        <v>21</v>
      </c>
      <c r="I3342">
        <v>11</v>
      </c>
      <c r="J3342" t="s">
        <v>92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26</v>
      </c>
      <c r="R3342">
        <v>1</v>
      </c>
    </row>
    <row r="3343" spans="1:18">
      <c r="A3343" s="4">
        <v>3485880000000</v>
      </c>
      <c r="B3343" t="s">
        <v>18</v>
      </c>
      <c r="C3343">
        <v>26</v>
      </c>
      <c r="D3343" t="s">
        <v>37</v>
      </c>
      <c r="E3343" t="s">
        <v>56</v>
      </c>
      <c r="F3343" s="1">
        <v>42499</v>
      </c>
      <c r="G3343" s="1">
        <v>42520</v>
      </c>
      <c r="H3343" t="s">
        <v>30</v>
      </c>
      <c r="I3343">
        <v>21</v>
      </c>
      <c r="J3343" t="s">
        <v>77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1</v>
      </c>
      <c r="Q3343" t="s">
        <v>26</v>
      </c>
      <c r="R3343">
        <v>1</v>
      </c>
    </row>
    <row r="3344" spans="1:18">
      <c r="A3344" s="4">
        <v>76492300000000</v>
      </c>
      <c r="B3344" t="s">
        <v>18</v>
      </c>
      <c r="C3344">
        <v>5</v>
      </c>
      <c r="D3344" t="s">
        <v>31</v>
      </c>
      <c r="E3344" t="s">
        <v>48</v>
      </c>
      <c r="F3344" s="1">
        <v>42499</v>
      </c>
      <c r="G3344" s="1">
        <v>42499</v>
      </c>
      <c r="H3344" t="s">
        <v>30</v>
      </c>
      <c r="I3344">
        <v>0</v>
      </c>
      <c r="J3344" t="s">
        <v>111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23</v>
      </c>
      <c r="R3344">
        <v>0</v>
      </c>
    </row>
    <row r="3345" spans="1:18">
      <c r="A3345" s="4">
        <v>68783200000000</v>
      </c>
      <c r="B3345" t="s">
        <v>28</v>
      </c>
      <c r="C3345">
        <v>11</v>
      </c>
      <c r="D3345" t="s">
        <v>31</v>
      </c>
      <c r="E3345" t="s">
        <v>42</v>
      </c>
      <c r="F3345" s="1">
        <v>42499</v>
      </c>
      <c r="G3345" s="1">
        <v>42506</v>
      </c>
      <c r="H3345" t="s">
        <v>30</v>
      </c>
      <c r="I3345">
        <v>7</v>
      </c>
      <c r="J3345" t="s">
        <v>107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26</v>
      </c>
      <c r="R3345">
        <v>1</v>
      </c>
    </row>
    <row r="3346" spans="1:18">
      <c r="A3346" s="4">
        <v>585667000000</v>
      </c>
      <c r="B3346" t="s">
        <v>18</v>
      </c>
      <c r="C3346">
        <v>55</v>
      </c>
      <c r="D3346" t="s">
        <v>35</v>
      </c>
      <c r="E3346" t="s">
        <v>51</v>
      </c>
      <c r="F3346" s="1">
        <v>42499</v>
      </c>
      <c r="G3346" s="1">
        <v>42501</v>
      </c>
      <c r="H3346" t="s">
        <v>25</v>
      </c>
      <c r="I3346">
        <v>2</v>
      </c>
      <c r="J3346" t="s">
        <v>109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26</v>
      </c>
      <c r="R3346">
        <v>1</v>
      </c>
    </row>
    <row r="3347" spans="1:18">
      <c r="A3347" s="4">
        <v>82591800000000</v>
      </c>
      <c r="B3347" t="s">
        <v>18</v>
      </c>
      <c r="C3347">
        <v>59</v>
      </c>
      <c r="D3347" t="s">
        <v>35</v>
      </c>
      <c r="E3347" t="s">
        <v>100</v>
      </c>
      <c r="F3347" s="1">
        <v>42499</v>
      </c>
      <c r="G3347" s="1">
        <v>42502</v>
      </c>
      <c r="H3347" t="s">
        <v>33</v>
      </c>
      <c r="I3347">
        <v>3</v>
      </c>
      <c r="J3347" t="s">
        <v>109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23</v>
      </c>
      <c r="R3347">
        <v>0</v>
      </c>
    </row>
    <row r="3348" spans="1:18">
      <c r="A3348" s="4">
        <v>351855000000</v>
      </c>
      <c r="B3348" t="s">
        <v>28</v>
      </c>
      <c r="C3348">
        <v>96</v>
      </c>
      <c r="D3348" t="s">
        <v>19</v>
      </c>
      <c r="E3348" t="s">
        <v>29</v>
      </c>
      <c r="F3348" s="1">
        <v>42499</v>
      </c>
      <c r="G3348" s="1">
        <v>42501</v>
      </c>
      <c r="H3348" t="s">
        <v>25</v>
      </c>
      <c r="I3348">
        <v>2</v>
      </c>
      <c r="J3348" t="s">
        <v>109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23</v>
      </c>
      <c r="R3348">
        <v>0</v>
      </c>
    </row>
    <row r="3349" spans="1:18">
      <c r="A3349" s="4">
        <v>51166757624</v>
      </c>
      <c r="B3349" t="s">
        <v>18</v>
      </c>
      <c r="C3349">
        <v>9</v>
      </c>
      <c r="D3349" t="s">
        <v>31</v>
      </c>
      <c r="E3349" t="s">
        <v>69</v>
      </c>
      <c r="F3349" s="1">
        <v>42499</v>
      </c>
      <c r="G3349" s="1">
        <v>42499</v>
      </c>
      <c r="H3349" t="s">
        <v>30</v>
      </c>
      <c r="I3349">
        <v>0</v>
      </c>
      <c r="J3349" t="s">
        <v>111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23</v>
      </c>
      <c r="R3349">
        <v>0</v>
      </c>
    </row>
    <row r="3350" spans="1:18">
      <c r="A3350" s="4">
        <v>922537000000000</v>
      </c>
      <c r="B3350" t="s">
        <v>18</v>
      </c>
      <c r="C3350">
        <v>56</v>
      </c>
      <c r="D3350" t="s">
        <v>35</v>
      </c>
      <c r="E3350" t="s">
        <v>50</v>
      </c>
      <c r="F3350" s="1">
        <v>42499</v>
      </c>
      <c r="G3350" s="1">
        <v>42499</v>
      </c>
      <c r="H3350" t="s">
        <v>30</v>
      </c>
      <c r="I3350">
        <v>0</v>
      </c>
      <c r="J3350" t="s">
        <v>111</v>
      </c>
      <c r="K3350">
        <v>1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26</v>
      </c>
      <c r="R3350">
        <v>1</v>
      </c>
    </row>
    <row r="3351" spans="1:18">
      <c r="A3351" s="4">
        <v>1757180000000</v>
      </c>
      <c r="B3351" t="s">
        <v>18</v>
      </c>
      <c r="C3351">
        <v>74</v>
      </c>
      <c r="D3351" t="s">
        <v>19</v>
      </c>
      <c r="E3351" t="s">
        <v>46</v>
      </c>
      <c r="F3351" s="1">
        <v>42499</v>
      </c>
      <c r="G3351" s="1">
        <v>42499</v>
      </c>
      <c r="H3351" t="s">
        <v>30</v>
      </c>
      <c r="I3351">
        <v>0</v>
      </c>
      <c r="J3351" t="s">
        <v>111</v>
      </c>
      <c r="K3351">
        <v>0</v>
      </c>
      <c r="L3351">
        <v>1</v>
      </c>
      <c r="M3351">
        <v>1</v>
      </c>
      <c r="N3351">
        <v>0</v>
      </c>
      <c r="O3351">
        <v>0</v>
      </c>
      <c r="P3351">
        <v>0</v>
      </c>
      <c r="Q3351" t="s">
        <v>23</v>
      </c>
      <c r="R3351">
        <v>0</v>
      </c>
    </row>
    <row r="3352" spans="1:18">
      <c r="A3352" s="4">
        <v>362186000000</v>
      </c>
      <c r="B3352" t="s">
        <v>18</v>
      </c>
      <c r="C3352">
        <v>57</v>
      </c>
      <c r="D3352" t="s">
        <v>35</v>
      </c>
      <c r="E3352" t="s">
        <v>54</v>
      </c>
      <c r="F3352" s="1">
        <v>42499</v>
      </c>
      <c r="G3352" s="1">
        <v>42502</v>
      </c>
      <c r="H3352" t="s">
        <v>33</v>
      </c>
      <c r="I3352">
        <v>3</v>
      </c>
      <c r="J3352" t="s">
        <v>109</v>
      </c>
      <c r="K3352">
        <v>0</v>
      </c>
      <c r="L3352">
        <v>1</v>
      </c>
      <c r="M3352">
        <v>1</v>
      </c>
      <c r="N3352">
        <v>0</v>
      </c>
      <c r="O3352">
        <v>0</v>
      </c>
      <c r="P3352">
        <v>0</v>
      </c>
      <c r="Q3352" t="s">
        <v>23</v>
      </c>
      <c r="R3352">
        <v>0</v>
      </c>
    </row>
    <row r="3353" spans="1:18">
      <c r="A3353" s="4">
        <v>88227100000000</v>
      </c>
      <c r="B3353" t="s">
        <v>18</v>
      </c>
      <c r="C3353">
        <v>71</v>
      </c>
      <c r="D3353" t="s">
        <v>19</v>
      </c>
      <c r="E3353" t="s">
        <v>67</v>
      </c>
      <c r="F3353" s="1">
        <v>42499</v>
      </c>
      <c r="G3353" s="1">
        <v>42499</v>
      </c>
      <c r="H3353" t="s">
        <v>30</v>
      </c>
      <c r="I3353">
        <v>0</v>
      </c>
      <c r="J3353" t="s">
        <v>111</v>
      </c>
      <c r="K3353">
        <v>1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23</v>
      </c>
      <c r="R3353">
        <v>0</v>
      </c>
    </row>
    <row r="3354" spans="1:18">
      <c r="A3354" s="4">
        <v>4379270000000</v>
      </c>
      <c r="B3354" t="s">
        <v>18</v>
      </c>
      <c r="C3354">
        <v>53</v>
      </c>
      <c r="D3354" t="s">
        <v>35</v>
      </c>
      <c r="E3354" t="s">
        <v>72</v>
      </c>
      <c r="F3354" s="1">
        <v>42499</v>
      </c>
      <c r="G3354" s="1">
        <v>42503</v>
      </c>
      <c r="H3354" t="s">
        <v>21</v>
      </c>
      <c r="I3354">
        <v>4</v>
      </c>
      <c r="J3354" t="s">
        <v>107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23</v>
      </c>
      <c r="R3354">
        <v>0</v>
      </c>
    </row>
    <row r="3355" spans="1:18">
      <c r="A3355" s="4">
        <v>278712000000</v>
      </c>
      <c r="B3355" t="s">
        <v>18</v>
      </c>
      <c r="C3355">
        <v>20</v>
      </c>
      <c r="D3355" t="s">
        <v>37</v>
      </c>
      <c r="E3355" t="s">
        <v>78</v>
      </c>
      <c r="F3355" s="1">
        <v>42499</v>
      </c>
      <c r="G3355" s="1">
        <v>42502</v>
      </c>
      <c r="H3355" t="s">
        <v>33</v>
      </c>
      <c r="I3355">
        <v>3</v>
      </c>
      <c r="J3355" t="s">
        <v>109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23</v>
      </c>
      <c r="R3355">
        <v>0</v>
      </c>
    </row>
    <row r="3356" spans="1:18">
      <c r="A3356" s="4">
        <v>269518000000000</v>
      </c>
      <c r="B3356" t="s">
        <v>28</v>
      </c>
      <c r="C3356">
        <v>14</v>
      </c>
      <c r="D3356" t="s">
        <v>60</v>
      </c>
      <c r="E3356" t="s">
        <v>72</v>
      </c>
      <c r="F3356" s="1">
        <v>42499</v>
      </c>
      <c r="G3356" s="1">
        <v>42499</v>
      </c>
      <c r="H3356" t="s">
        <v>30</v>
      </c>
      <c r="I3356">
        <v>0</v>
      </c>
      <c r="J3356" t="s">
        <v>111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23</v>
      </c>
      <c r="R3356">
        <v>0</v>
      </c>
    </row>
    <row r="3357" spans="1:18">
      <c r="A3357" s="4">
        <v>318712000000000</v>
      </c>
      <c r="B3357" t="s">
        <v>18</v>
      </c>
      <c r="C3357">
        <v>84</v>
      </c>
      <c r="D3357" t="s">
        <v>19</v>
      </c>
      <c r="E3357" t="s">
        <v>32</v>
      </c>
      <c r="F3357" s="1">
        <v>42499</v>
      </c>
      <c r="G3357" s="1">
        <v>42499</v>
      </c>
      <c r="H3357" t="s">
        <v>30</v>
      </c>
      <c r="I3357">
        <v>0</v>
      </c>
      <c r="J3357" t="s">
        <v>111</v>
      </c>
      <c r="K3357">
        <v>0</v>
      </c>
      <c r="L3357">
        <v>1</v>
      </c>
      <c r="M3357">
        <v>0</v>
      </c>
      <c r="N3357">
        <v>0</v>
      </c>
      <c r="O3357">
        <v>0</v>
      </c>
      <c r="P3357">
        <v>0</v>
      </c>
      <c r="Q3357" t="s">
        <v>23</v>
      </c>
      <c r="R3357">
        <v>0</v>
      </c>
    </row>
    <row r="3358" spans="1:18">
      <c r="A3358" s="4">
        <v>77253200000000</v>
      </c>
      <c r="B3358" t="s">
        <v>28</v>
      </c>
      <c r="C3358">
        <v>4</v>
      </c>
      <c r="D3358" t="s">
        <v>31</v>
      </c>
      <c r="E3358" t="s">
        <v>59</v>
      </c>
      <c r="F3358" s="1">
        <v>42499</v>
      </c>
      <c r="G3358" s="1">
        <v>42514</v>
      </c>
      <c r="H3358" t="s">
        <v>41</v>
      </c>
      <c r="I3358">
        <v>15</v>
      </c>
      <c r="J3358" t="s">
        <v>77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1</v>
      </c>
      <c r="Q3358" t="s">
        <v>26</v>
      </c>
      <c r="R3358">
        <v>1</v>
      </c>
    </row>
    <row r="3359" spans="1:18">
      <c r="A3359" s="4">
        <v>484689000000</v>
      </c>
      <c r="B3359" t="s">
        <v>18</v>
      </c>
      <c r="C3359">
        <v>33</v>
      </c>
      <c r="D3359" t="s">
        <v>37</v>
      </c>
      <c r="E3359" t="s">
        <v>72</v>
      </c>
      <c r="F3359" s="1">
        <v>42499</v>
      </c>
      <c r="G3359" s="1">
        <v>42508</v>
      </c>
      <c r="H3359" t="s">
        <v>25</v>
      </c>
      <c r="I3359">
        <v>9</v>
      </c>
      <c r="J3359" t="s">
        <v>92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23</v>
      </c>
      <c r="R3359">
        <v>0</v>
      </c>
    </row>
    <row r="3360" spans="1:18">
      <c r="A3360" s="4">
        <v>71138700000000</v>
      </c>
      <c r="B3360" t="s">
        <v>28</v>
      </c>
      <c r="C3360">
        <v>56</v>
      </c>
      <c r="D3360" t="s">
        <v>35</v>
      </c>
      <c r="E3360" t="s">
        <v>40</v>
      </c>
      <c r="F3360" s="1">
        <v>42499</v>
      </c>
      <c r="G3360" s="1">
        <v>42500</v>
      </c>
      <c r="H3360" t="s">
        <v>41</v>
      </c>
      <c r="I3360">
        <v>1</v>
      </c>
      <c r="J3360" t="s">
        <v>109</v>
      </c>
      <c r="K3360">
        <v>0</v>
      </c>
      <c r="L3360">
        <v>1</v>
      </c>
      <c r="M3360">
        <v>0</v>
      </c>
      <c r="N3360">
        <v>0</v>
      </c>
      <c r="O3360">
        <v>0</v>
      </c>
      <c r="P3360">
        <v>0</v>
      </c>
      <c r="Q3360" t="s">
        <v>23</v>
      </c>
      <c r="R3360">
        <v>0</v>
      </c>
    </row>
    <row r="3361" spans="1:18">
      <c r="A3361" s="4">
        <v>9395320000000</v>
      </c>
      <c r="B3361" t="s">
        <v>18</v>
      </c>
      <c r="C3361">
        <v>64</v>
      </c>
      <c r="D3361" t="s">
        <v>35</v>
      </c>
      <c r="E3361" t="s">
        <v>68</v>
      </c>
      <c r="F3361" s="1">
        <v>42499</v>
      </c>
      <c r="G3361" s="1">
        <v>42500</v>
      </c>
      <c r="H3361" t="s">
        <v>41</v>
      </c>
      <c r="I3361">
        <v>1</v>
      </c>
      <c r="J3361" t="s">
        <v>109</v>
      </c>
      <c r="K3361">
        <v>0</v>
      </c>
      <c r="L3361">
        <v>1</v>
      </c>
      <c r="M3361">
        <v>0</v>
      </c>
      <c r="N3361">
        <v>0</v>
      </c>
      <c r="O3361">
        <v>0</v>
      </c>
      <c r="P3361">
        <v>0</v>
      </c>
      <c r="Q3361" t="s">
        <v>26</v>
      </c>
      <c r="R3361">
        <v>1</v>
      </c>
    </row>
    <row r="3362" spans="1:18">
      <c r="A3362" s="4">
        <v>91129344118</v>
      </c>
      <c r="B3362" t="s">
        <v>18</v>
      </c>
      <c r="C3362">
        <v>24</v>
      </c>
      <c r="D3362" t="s">
        <v>37</v>
      </c>
      <c r="E3362" t="s">
        <v>61</v>
      </c>
      <c r="F3362" s="1">
        <v>42499</v>
      </c>
      <c r="G3362" s="1">
        <v>42521</v>
      </c>
      <c r="H3362" t="s">
        <v>41</v>
      </c>
      <c r="I3362">
        <v>22</v>
      </c>
      <c r="J3362" t="s">
        <v>77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1</v>
      </c>
      <c r="Q3362" t="s">
        <v>23</v>
      </c>
      <c r="R3362">
        <v>0</v>
      </c>
    </row>
    <row r="3363" spans="1:18">
      <c r="A3363" s="4">
        <v>465536000000</v>
      </c>
      <c r="B3363" t="s">
        <v>28</v>
      </c>
      <c r="C3363">
        <v>66</v>
      </c>
      <c r="D3363" t="s">
        <v>19</v>
      </c>
      <c r="E3363" t="s">
        <v>51</v>
      </c>
      <c r="F3363" s="1">
        <v>42499</v>
      </c>
      <c r="G3363" s="1">
        <v>42499</v>
      </c>
      <c r="H3363" t="s">
        <v>30</v>
      </c>
      <c r="I3363">
        <v>0</v>
      </c>
      <c r="J3363" t="s">
        <v>111</v>
      </c>
      <c r="K3363">
        <v>0</v>
      </c>
      <c r="L3363">
        <v>1</v>
      </c>
      <c r="M3363">
        <v>1</v>
      </c>
      <c r="N3363">
        <v>1</v>
      </c>
      <c r="O3363">
        <v>0</v>
      </c>
      <c r="P3363">
        <v>0</v>
      </c>
      <c r="Q3363" t="s">
        <v>23</v>
      </c>
      <c r="R3363">
        <v>0</v>
      </c>
    </row>
    <row r="3364" spans="1:18">
      <c r="A3364" s="4">
        <v>517793000000000</v>
      </c>
      <c r="B3364" t="s">
        <v>18</v>
      </c>
      <c r="C3364">
        <v>63</v>
      </c>
      <c r="D3364" t="s">
        <v>35</v>
      </c>
      <c r="E3364" t="s">
        <v>29</v>
      </c>
      <c r="F3364" s="1">
        <v>42499</v>
      </c>
      <c r="G3364" s="1">
        <v>42524</v>
      </c>
      <c r="H3364" t="s">
        <v>21</v>
      </c>
      <c r="I3364">
        <v>25</v>
      </c>
      <c r="J3364" t="s">
        <v>77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1</v>
      </c>
      <c r="Q3364" t="s">
        <v>23</v>
      </c>
      <c r="R3364">
        <v>0</v>
      </c>
    </row>
    <row r="3365" spans="1:18">
      <c r="A3365" s="4">
        <v>9734480000000</v>
      </c>
      <c r="B3365" t="s">
        <v>18</v>
      </c>
      <c r="C3365">
        <v>62</v>
      </c>
      <c r="D3365" t="s">
        <v>35</v>
      </c>
      <c r="E3365" t="s">
        <v>64</v>
      </c>
      <c r="F3365" s="1">
        <v>42499</v>
      </c>
      <c r="G3365" s="1">
        <v>42500</v>
      </c>
      <c r="H3365" t="s">
        <v>41</v>
      </c>
      <c r="I3365">
        <v>1</v>
      </c>
      <c r="J3365" t="s">
        <v>109</v>
      </c>
      <c r="K3365">
        <v>0</v>
      </c>
      <c r="L3365">
        <v>1</v>
      </c>
      <c r="M3365">
        <v>1</v>
      </c>
      <c r="N3365">
        <v>0</v>
      </c>
      <c r="O3365">
        <v>0</v>
      </c>
      <c r="P3365">
        <v>0</v>
      </c>
      <c r="Q3365" t="s">
        <v>23</v>
      </c>
      <c r="R3365">
        <v>0</v>
      </c>
    </row>
    <row r="3366" spans="1:18">
      <c r="A3366" s="4">
        <v>6181140000000</v>
      </c>
      <c r="B3366" t="s">
        <v>18</v>
      </c>
      <c r="C3366">
        <v>44</v>
      </c>
      <c r="D3366" t="s">
        <v>27</v>
      </c>
      <c r="E3366" t="s">
        <v>56</v>
      </c>
      <c r="F3366" s="1">
        <v>42499</v>
      </c>
      <c r="G3366" s="1">
        <v>42500</v>
      </c>
      <c r="H3366" t="s">
        <v>41</v>
      </c>
      <c r="I3366">
        <v>1</v>
      </c>
      <c r="J3366" t="s">
        <v>109</v>
      </c>
      <c r="K3366">
        <v>0</v>
      </c>
      <c r="L3366">
        <v>1</v>
      </c>
      <c r="M3366">
        <v>1</v>
      </c>
      <c r="N3366">
        <v>0</v>
      </c>
      <c r="O3366">
        <v>0</v>
      </c>
      <c r="P3366">
        <v>0</v>
      </c>
      <c r="Q3366" t="s">
        <v>23</v>
      </c>
      <c r="R3366">
        <v>0</v>
      </c>
    </row>
    <row r="3367" spans="1:18">
      <c r="A3367" s="4">
        <v>61941200000000</v>
      </c>
      <c r="B3367" t="s">
        <v>18</v>
      </c>
      <c r="C3367">
        <v>36</v>
      </c>
      <c r="D3367" t="s">
        <v>27</v>
      </c>
      <c r="E3367" t="s">
        <v>20</v>
      </c>
      <c r="F3367" s="1">
        <v>42499</v>
      </c>
      <c r="G3367" s="1">
        <v>42509</v>
      </c>
      <c r="H3367" t="s">
        <v>33</v>
      </c>
      <c r="I3367">
        <v>10</v>
      </c>
      <c r="J3367" t="s">
        <v>92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23</v>
      </c>
      <c r="R3367">
        <v>0</v>
      </c>
    </row>
    <row r="3368" spans="1:18">
      <c r="A3368" s="4">
        <v>17856500000000</v>
      </c>
      <c r="B3368" t="s">
        <v>18</v>
      </c>
      <c r="C3368">
        <v>60</v>
      </c>
      <c r="D3368" t="s">
        <v>35</v>
      </c>
      <c r="E3368" t="s">
        <v>54</v>
      </c>
      <c r="F3368" s="1">
        <v>42499</v>
      </c>
      <c r="G3368" s="1">
        <v>42506</v>
      </c>
      <c r="H3368" t="s">
        <v>30</v>
      </c>
      <c r="I3368">
        <v>7</v>
      </c>
      <c r="J3368" t="s">
        <v>107</v>
      </c>
      <c r="K3368">
        <v>0</v>
      </c>
      <c r="L3368">
        <v>1</v>
      </c>
      <c r="M3368">
        <v>0</v>
      </c>
      <c r="N3368">
        <v>0</v>
      </c>
      <c r="O3368">
        <v>0</v>
      </c>
      <c r="P3368">
        <v>0</v>
      </c>
      <c r="Q3368" t="s">
        <v>26</v>
      </c>
      <c r="R3368">
        <v>1</v>
      </c>
    </row>
    <row r="3369" spans="1:18">
      <c r="A3369" s="4">
        <v>72853200000000</v>
      </c>
      <c r="B3369" t="s">
        <v>28</v>
      </c>
      <c r="C3369">
        <v>0</v>
      </c>
      <c r="D3369" t="s">
        <v>31</v>
      </c>
      <c r="E3369" t="s">
        <v>59</v>
      </c>
      <c r="F3369" s="1">
        <v>42499</v>
      </c>
      <c r="G3369" s="1">
        <v>42514</v>
      </c>
      <c r="H3369" t="s">
        <v>41</v>
      </c>
      <c r="I3369">
        <v>15</v>
      </c>
      <c r="J3369" t="s">
        <v>77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26</v>
      </c>
      <c r="R3369">
        <v>1</v>
      </c>
    </row>
    <row r="3370" spans="1:18">
      <c r="A3370" s="4">
        <v>9584250000000</v>
      </c>
      <c r="B3370" t="s">
        <v>18</v>
      </c>
      <c r="C3370">
        <v>25</v>
      </c>
      <c r="D3370" t="s">
        <v>37</v>
      </c>
      <c r="E3370" t="s">
        <v>82</v>
      </c>
      <c r="F3370" s="1">
        <v>42499</v>
      </c>
      <c r="G3370" s="1">
        <v>42515</v>
      </c>
      <c r="H3370" t="s">
        <v>25</v>
      </c>
      <c r="I3370">
        <v>16</v>
      </c>
      <c r="J3370" t="s">
        <v>77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23</v>
      </c>
      <c r="R3370">
        <v>0</v>
      </c>
    </row>
    <row r="3371" spans="1:18">
      <c r="A3371" s="4">
        <v>584172000000000</v>
      </c>
      <c r="B3371" t="s">
        <v>28</v>
      </c>
      <c r="C3371">
        <v>19</v>
      </c>
      <c r="D3371" t="s">
        <v>37</v>
      </c>
      <c r="E3371" t="s">
        <v>50</v>
      </c>
      <c r="F3371" s="1">
        <v>42499</v>
      </c>
      <c r="G3371" s="1">
        <v>42499</v>
      </c>
      <c r="H3371" t="s">
        <v>30</v>
      </c>
      <c r="I3371">
        <v>0</v>
      </c>
      <c r="J3371" t="s">
        <v>111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23</v>
      </c>
      <c r="R3371">
        <v>0</v>
      </c>
    </row>
    <row r="3372" spans="1:18">
      <c r="A3372" s="4">
        <v>655511000000000</v>
      </c>
      <c r="B3372" t="s">
        <v>18</v>
      </c>
      <c r="C3372">
        <v>75</v>
      </c>
      <c r="D3372" t="s">
        <v>19</v>
      </c>
      <c r="E3372" t="s">
        <v>65</v>
      </c>
      <c r="F3372" s="1">
        <v>42499</v>
      </c>
      <c r="G3372" s="1">
        <v>42501</v>
      </c>
      <c r="H3372" t="s">
        <v>25</v>
      </c>
      <c r="I3372">
        <v>2</v>
      </c>
      <c r="J3372" t="s">
        <v>109</v>
      </c>
      <c r="K3372">
        <v>0</v>
      </c>
      <c r="L3372">
        <v>1</v>
      </c>
      <c r="M3372">
        <v>0</v>
      </c>
      <c r="N3372">
        <v>0</v>
      </c>
      <c r="O3372">
        <v>0</v>
      </c>
      <c r="P3372">
        <v>0</v>
      </c>
      <c r="Q3372" t="s">
        <v>23</v>
      </c>
      <c r="R3372">
        <v>0</v>
      </c>
    </row>
    <row r="3373" spans="1:18">
      <c r="A3373" s="4">
        <v>9653500000000</v>
      </c>
      <c r="B3373" t="s">
        <v>18</v>
      </c>
      <c r="C3373">
        <v>43</v>
      </c>
      <c r="D3373" t="s">
        <v>27</v>
      </c>
      <c r="E3373" t="s">
        <v>49</v>
      </c>
      <c r="F3373" s="1">
        <v>42499</v>
      </c>
      <c r="G3373" s="1">
        <v>42514</v>
      </c>
      <c r="H3373" t="s">
        <v>41</v>
      </c>
      <c r="I3373">
        <v>15</v>
      </c>
      <c r="J3373" t="s">
        <v>77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1</v>
      </c>
      <c r="Q3373" t="s">
        <v>26</v>
      </c>
      <c r="R3373">
        <v>1</v>
      </c>
    </row>
    <row r="3374" spans="1:18">
      <c r="A3374" s="4">
        <v>344346000000000</v>
      </c>
      <c r="B3374" t="s">
        <v>18</v>
      </c>
      <c r="C3374">
        <v>25</v>
      </c>
      <c r="D3374" t="s">
        <v>37</v>
      </c>
      <c r="E3374" t="s">
        <v>73</v>
      </c>
      <c r="F3374" s="1">
        <v>42499</v>
      </c>
      <c r="G3374" s="1">
        <v>42502</v>
      </c>
      <c r="H3374" t="s">
        <v>33</v>
      </c>
      <c r="I3374">
        <v>3</v>
      </c>
      <c r="J3374" t="s">
        <v>109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23</v>
      </c>
      <c r="R3374">
        <v>0</v>
      </c>
    </row>
    <row r="3375" spans="1:18">
      <c r="A3375" s="4">
        <v>8635160000000</v>
      </c>
      <c r="B3375" t="s">
        <v>18</v>
      </c>
      <c r="C3375">
        <v>58</v>
      </c>
      <c r="D3375" t="s">
        <v>35</v>
      </c>
      <c r="E3375" t="s">
        <v>85</v>
      </c>
      <c r="F3375" s="1">
        <v>42499</v>
      </c>
      <c r="G3375" s="1">
        <v>42500</v>
      </c>
      <c r="H3375" t="s">
        <v>41</v>
      </c>
      <c r="I3375">
        <v>1</v>
      </c>
      <c r="J3375" t="s">
        <v>109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23</v>
      </c>
      <c r="R3375">
        <v>0</v>
      </c>
    </row>
    <row r="3376" spans="1:18">
      <c r="A3376" s="4">
        <v>838470000000000</v>
      </c>
      <c r="B3376" t="s">
        <v>28</v>
      </c>
      <c r="C3376">
        <v>37</v>
      </c>
      <c r="D3376" t="s">
        <v>27</v>
      </c>
      <c r="E3376" t="s">
        <v>34</v>
      </c>
      <c r="F3376" s="1">
        <v>42499</v>
      </c>
      <c r="G3376" s="1">
        <v>42508</v>
      </c>
      <c r="H3376" t="s">
        <v>25</v>
      </c>
      <c r="I3376">
        <v>9</v>
      </c>
      <c r="J3376" t="s">
        <v>92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23</v>
      </c>
      <c r="R3376">
        <v>0</v>
      </c>
    </row>
    <row r="3377" spans="1:18">
      <c r="A3377" s="4">
        <v>6771430000000</v>
      </c>
      <c r="B3377" t="s">
        <v>18</v>
      </c>
      <c r="C3377">
        <v>33</v>
      </c>
      <c r="D3377" t="s">
        <v>37</v>
      </c>
      <c r="E3377" t="s">
        <v>80</v>
      </c>
      <c r="F3377" s="1">
        <v>42499</v>
      </c>
      <c r="G3377" s="1">
        <v>42502</v>
      </c>
      <c r="H3377" t="s">
        <v>33</v>
      </c>
      <c r="I3377">
        <v>3</v>
      </c>
      <c r="J3377" t="s">
        <v>109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23</v>
      </c>
      <c r="R3377">
        <v>0</v>
      </c>
    </row>
    <row r="3378" spans="1:18">
      <c r="A3378" s="4">
        <v>7188420000000</v>
      </c>
      <c r="B3378" t="s">
        <v>18</v>
      </c>
      <c r="C3378">
        <v>30</v>
      </c>
      <c r="D3378" t="s">
        <v>37</v>
      </c>
      <c r="E3378" t="s">
        <v>38</v>
      </c>
      <c r="F3378" s="1">
        <v>42499</v>
      </c>
      <c r="G3378" s="1">
        <v>42501</v>
      </c>
      <c r="H3378" t="s">
        <v>25</v>
      </c>
      <c r="I3378">
        <v>2</v>
      </c>
      <c r="J3378" t="s">
        <v>109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26</v>
      </c>
      <c r="R3378">
        <v>1</v>
      </c>
    </row>
    <row r="3379" spans="1:18">
      <c r="A3379" s="4">
        <v>5148430000000</v>
      </c>
      <c r="B3379" t="s">
        <v>18</v>
      </c>
      <c r="C3379">
        <v>22</v>
      </c>
      <c r="D3379" t="s">
        <v>37</v>
      </c>
      <c r="E3379" t="s">
        <v>61</v>
      </c>
      <c r="F3379" s="1">
        <v>42499</v>
      </c>
      <c r="G3379" s="1">
        <v>42527</v>
      </c>
      <c r="H3379" t="s">
        <v>30</v>
      </c>
      <c r="I3379">
        <v>28</v>
      </c>
      <c r="J3379" t="s">
        <v>77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1</v>
      </c>
      <c r="Q3379" t="s">
        <v>26</v>
      </c>
      <c r="R3379">
        <v>1</v>
      </c>
    </row>
    <row r="3380" spans="1:18">
      <c r="A3380" s="4">
        <v>18911300000000</v>
      </c>
      <c r="B3380" t="s">
        <v>18</v>
      </c>
      <c r="C3380">
        <v>58</v>
      </c>
      <c r="D3380" t="s">
        <v>35</v>
      </c>
      <c r="E3380" t="s">
        <v>44</v>
      </c>
      <c r="F3380" s="1">
        <v>42499</v>
      </c>
      <c r="G3380" s="1">
        <v>42500</v>
      </c>
      <c r="H3380" t="s">
        <v>41</v>
      </c>
      <c r="I3380">
        <v>1</v>
      </c>
      <c r="J3380" t="s">
        <v>109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23</v>
      </c>
      <c r="R3380">
        <v>0</v>
      </c>
    </row>
    <row r="3381" spans="1:18">
      <c r="A3381" s="4">
        <v>13614500000000</v>
      </c>
      <c r="B3381" t="s">
        <v>18</v>
      </c>
      <c r="C3381">
        <v>32</v>
      </c>
      <c r="D3381" t="s">
        <v>37</v>
      </c>
      <c r="E3381" t="s">
        <v>51</v>
      </c>
      <c r="F3381" s="1">
        <v>42499</v>
      </c>
      <c r="G3381" s="1">
        <v>42501</v>
      </c>
      <c r="H3381" t="s">
        <v>25</v>
      </c>
      <c r="I3381">
        <v>2</v>
      </c>
      <c r="J3381" t="s">
        <v>109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23</v>
      </c>
      <c r="R3381">
        <v>0</v>
      </c>
    </row>
    <row r="3382" spans="1:18">
      <c r="A3382" s="4">
        <v>742420000000000</v>
      </c>
      <c r="B3382" t="s">
        <v>28</v>
      </c>
      <c r="C3382">
        <v>52</v>
      </c>
      <c r="D3382" t="s">
        <v>35</v>
      </c>
      <c r="E3382" t="s">
        <v>52</v>
      </c>
      <c r="F3382" s="1">
        <v>42499</v>
      </c>
      <c r="G3382" s="1">
        <v>42501</v>
      </c>
      <c r="H3382" t="s">
        <v>25</v>
      </c>
      <c r="I3382">
        <v>2</v>
      </c>
      <c r="J3382" t="s">
        <v>109</v>
      </c>
      <c r="K3382">
        <v>0</v>
      </c>
      <c r="L3382">
        <v>1</v>
      </c>
      <c r="M3382">
        <v>0</v>
      </c>
      <c r="N3382">
        <v>0</v>
      </c>
      <c r="O3382">
        <v>0</v>
      </c>
      <c r="P3382">
        <v>0</v>
      </c>
      <c r="Q3382" t="s">
        <v>26</v>
      </c>
      <c r="R3382">
        <v>1</v>
      </c>
    </row>
    <row r="3383" spans="1:18">
      <c r="A3383" s="4">
        <v>27957600000000</v>
      </c>
      <c r="B3383" t="s">
        <v>18</v>
      </c>
      <c r="C3383">
        <v>22</v>
      </c>
      <c r="D3383" t="s">
        <v>37</v>
      </c>
      <c r="E3383" t="s">
        <v>59</v>
      </c>
      <c r="F3383" s="1">
        <v>42499</v>
      </c>
      <c r="G3383" s="1">
        <v>42500</v>
      </c>
      <c r="H3383" t="s">
        <v>41</v>
      </c>
      <c r="I3383">
        <v>1</v>
      </c>
      <c r="J3383" t="s">
        <v>109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23</v>
      </c>
      <c r="R3383">
        <v>0</v>
      </c>
    </row>
    <row r="3384" spans="1:18">
      <c r="A3384" s="4">
        <v>112115000000000</v>
      </c>
      <c r="B3384" t="s">
        <v>18</v>
      </c>
      <c r="C3384">
        <v>1</v>
      </c>
      <c r="D3384" t="s">
        <v>31</v>
      </c>
      <c r="E3384" t="s">
        <v>32</v>
      </c>
      <c r="F3384" s="1">
        <v>42499</v>
      </c>
      <c r="G3384" s="1">
        <v>42529</v>
      </c>
      <c r="H3384" t="s">
        <v>25</v>
      </c>
      <c r="I3384">
        <v>30</v>
      </c>
      <c r="J3384" t="s">
        <v>77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1</v>
      </c>
      <c r="Q3384" t="s">
        <v>26</v>
      </c>
      <c r="R3384">
        <v>1</v>
      </c>
    </row>
    <row r="3385" spans="1:18">
      <c r="A3385" s="4">
        <v>635940000000000</v>
      </c>
      <c r="B3385" t="s">
        <v>18</v>
      </c>
      <c r="C3385">
        <v>59</v>
      </c>
      <c r="D3385" t="s">
        <v>35</v>
      </c>
      <c r="E3385" t="s">
        <v>105</v>
      </c>
      <c r="F3385" s="1">
        <v>42499</v>
      </c>
      <c r="G3385" s="1">
        <v>42506</v>
      </c>
      <c r="H3385" t="s">
        <v>30</v>
      </c>
      <c r="I3385">
        <v>7</v>
      </c>
      <c r="J3385" t="s">
        <v>107</v>
      </c>
      <c r="K3385">
        <v>0</v>
      </c>
      <c r="L3385">
        <v>0</v>
      </c>
      <c r="M3385">
        <v>1</v>
      </c>
      <c r="N3385">
        <v>0</v>
      </c>
      <c r="O3385">
        <v>0</v>
      </c>
      <c r="P3385">
        <v>0</v>
      </c>
      <c r="Q3385" t="s">
        <v>26</v>
      </c>
      <c r="R3385">
        <v>1</v>
      </c>
    </row>
    <row r="3386" spans="1:18">
      <c r="A3386" s="4">
        <v>2429410000000</v>
      </c>
      <c r="B3386" t="s">
        <v>18</v>
      </c>
      <c r="C3386">
        <v>51</v>
      </c>
      <c r="D3386" t="s">
        <v>35</v>
      </c>
      <c r="E3386" t="s">
        <v>85</v>
      </c>
      <c r="F3386" s="1">
        <v>42499</v>
      </c>
      <c r="G3386" s="1">
        <v>42524</v>
      </c>
      <c r="H3386" t="s">
        <v>21</v>
      </c>
      <c r="I3386">
        <v>25</v>
      </c>
      <c r="J3386" t="s">
        <v>77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1</v>
      </c>
      <c r="Q3386" t="s">
        <v>23</v>
      </c>
      <c r="R3386">
        <v>0</v>
      </c>
    </row>
    <row r="3387" spans="1:18">
      <c r="A3387" s="4">
        <v>75372800000000</v>
      </c>
      <c r="B3387" t="s">
        <v>18</v>
      </c>
      <c r="C3387">
        <v>56</v>
      </c>
      <c r="D3387" t="s">
        <v>35</v>
      </c>
      <c r="E3387" t="s">
        <v>96</v>
      </c>
      <c r="F3387" s="1">
        <v>42499</v>
      </c>
      <c r="G3387" s="1">
        <v>42499</v>
      </c>
      <c r="H3387" t="s">
        <v>30</v>
      </c>
      <c r="I3387">
        <v>0</v>
      </c>
      <c r="J3387" t="s">
        <v>111</v>
      </c>
      <c r="K3387">
        <v>0</v>
      </c>
      <c r="L3387">
        <v>1</v>
      </c>
      <c r="M3387">
        <v>0</v>
      </c>
      <c r="N3387">
        <v>0</v>
      </c>
      <c r="O3387">
        <v>0</v>
      </c>
      <c r="P3387">
        <v>0</v>
      </c>
      <c r="Q3387" t="s">
        <v>23</v>
      </c>
      <c r="R3387">
        <v>0</v>
      </c>
    </row>
    <row r="3388" spans="1:18">
      <c r="A3388" s="4">
        <v>15817400000000</v>
      </c>
      <c r="B3388" t="s">
        <v>28</v>
      </c>
      <c r="C3388">
        <v>34</v>
      </c>
      <c r="D3388" t="s">
        <v>37</v>
      </c>
      <c r="E3388" t="s">
        <v>29</v>
      </c>
      <c r="F3388" s="1">
        <v>42499</v>
      </c>
      <c r="G3388" s="1">
        <v>42499</v>
      </c>
      <c r="H3388" t="s">
        <v>30</v>
      </c>
      <c r="I3388">
        <v>0</v>
      </c>
      <c r="J3388" t="s">
        <v>111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23</v>
      </c>
      <c r="R3388">
        <v>0</v>
      </c>
    </row>
    <row r="3389" spans="1:18">
      <c r="A3389" s="4">
        <v>964899000000000</v>
      </c>
      <c r="B3389" t="s">
        <v>18</v>
      </c>
      <c r="C3389">
        <v>0</v>
      </c>
      <c r="D3389" t="s">
        <v>31</v>
      </c>
      <c r="E3389" t="s">
        <v>42</v>
      </c>
      <c r="F3389" s="1">
        <v>42499</v>
      </c>
      <c r="G3389" s="1">
        <v>42499</v>
      </c>
      <c r="H3389" t="s">
        <v>30</v>
      </c>
      <c r="I3389">
        <v>0</v>
      </c>
      <c r="J3389" t="s">
        <v>111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23</v>
      </c>
      <c r="R3389">
        <v>0</v>
      </c>
    </row>
    <row r="3390" spans="1:18">
      <c r="A3390" s="4">
        <v>35464400000000</v>
      </c>
      <c r="B3390" t="s">
        <v>28</v>
      </c>
      <c r="C3390">
        <v>41</v>
      </c>
      <c r="D3390" t="s">
        <v>27</v>
      </c>
      <c r="E3390" t="s">
        <v>82</v>
      </c>
      <c r="F3390" s="1">
        <v>42499</v>
      </c>
      <c r="G3390" s="1">
        <v>42501</v>
      </c>
      <c r="H3390" t="s">
        <v>25</v>
      </c>
      <c r="I3390">
        <v>2</v>
      </c>
      <c r="J3390" t="s">
        <v>109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26</v>
      </c>
      <c r="R3390">
        <v>1</v>
      </c>
    </row>
    <row r="3391" spans="1:18">
      <c r="A3391" s="4">
        <v>16277600000000</v>
      </c>
      <c r="B3391" t="s">
        <v>18</v>
      </c>
      <c r="C3391">
        <v>74</v>
      </c>
      <c r="D3391" t="s">
        <v>19</v>
      </c>
      <c r="E3391" t="s">
        <v>67</v>
      </c>
      <c r="F3391" s="1">
        <v>42499</v>
      </c>
      <c r="G3391" s="1">
        <v>42524</v>
      </c>
      <c r="H3391" t="s">
        <v>21</v>
      </c>
      <c r="I3391">
        <v>25</v>
      </c>
      <c r="J3391" t="s">
        <v>77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1</v>
      </c>
      <c r="Q3391" t="s">
        <v>23</v>
      </c>
      <c r="R3391">
        <v>0</v>
      </c>
    </row>
    <row r="3392" spans="1:18">
      <c r="A3392" s="4">
        <v>79437400000000</v>
      </c>
      <c r="B3392" t="s">
        <v>28</v>
      </c>
      <c r="C3392">
        <v>0</v>
      </c>
      <c r="D3392" t="s">
        <v>31</v>
      </c>
      <c r="E3392" t="s">
        <v>50</v>
      </c>
      <c r="F3392" s="1">
        <v>42499</v>
      </c>
      <c r="G3392" s="1">
        <v>42520</v>
      </c>
      <c r="H3392" t="s">
        <v>30</v>
      </c>
      <c r="I3392">
        <v>21</v>
      </c>
      <c r="J3392" t="s">
        <v>77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1</v>
      </c>
      <c r="Q3392" t="s">
        <v>26</v>
      </c>
      <c r="R3392">
        <v>1</v>
      </c>
    </row>
    <row r="3393" spans="1:18">
      <c r="A3393" s="4">
        <v>39183200000000</v>
      </c>
      <c r="B3393" t="s">
        <v>28</v>
      </c>
      <c r="C3393">
        <v>16</v>
      </c>
      <c r="D3393" t="s">
        <v>60</v>
      </c>
      <c r="E3393" t="s">
        <v>56</v>
      </c>
      <c r="F3393" s="1">
        <v>42499</v>
      </c>
      <c r="G3393" s="1">
        <v>42499</v>
      </c>
      <c r="H3393" t="s">
        <v>30</v>
      </c>
      <c r="I3393">
        <v>0</v>
      </c>
      <c r="J3393" t="s">
        <v>111</v>
      </c>
      <c r="K3393">
        <v>1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23</v>
      </c>
      <c r="R3393">
        <v>0</v>
      </c>
    </row>
    <row r="3394" spans="1:18">
      <c r="A3394" s="4">
        <v>46459700000000</v>
      </c>
      <c r="B3394" t="s">
        <v>28</v>
      </c>
      <c r="C3394">
        <v>0</v>
      </c>
      <c r="D3394" t="s">
        <v>31</v>
      </c>
      <c r="E3394" t="s">
        <v>84</v>
      </c>
      <c r="F3394" s="1">
        <v>42499</v>
      </c>
      <c r="G3394" s="1">
        <v>42521</v>
      </c>
      <c r="H3394" t="s">
        <v>41</v>
      </c>
      <c r="I3394">
        <v>22</v>
      </c>
      <c r="J3394" t="s">
        <v>77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1</v>
      </c>
      <c r="Q3394" t="s">
        <v>23</v>
      </c>
      <c r="R3394">
        <v>0</v>
      </c>
    </row>
    <row r="3395" spans="1:18">
      <c r="A3395" s="4">
        <v>51123700000000</v>
      </c>
      <c r="B3395" t="s">
        <v>18</v>
      </c>
      <c r="C3395">
        <v>89</v>
      </c>
      <c r="D3395" t="s">
        <v>19</v>
      </c>
      <c r="E3395" t="s">
        <v>32</v>
      </c>
      <c r="F3395" s="1">
        <v>42499</v>
      </c>
      <c r="G3395" s="1">
        <v>42500</v>
      </c>
      <c r="H3395" t="s">
        <v>41</v>
      </c>
      <c r="I3395">
        <v>1</v>
      </c>
      <c r="J3395" t="s">
        <v>109</v>
      </c>
      <c r="K3395">
        <v>0</v>
      </c>
      <c r="L3395">
        <v>1</v>
      </c>
      <c r="M3395">
        <v>1</v>
      </c>
      <c r="N3395">
        <v>0</v>
      </c>
      <c r="O3395">
        <v>0</v>
      </c>
      <c r="P3395">
        <v>0</v>
      </c>
      <c r="Q3395" t="s">
        <v>23</v>
      </c>
      <c r="R3395">
        <v>0</v>
      </c>
    </row>
    <row r="3396" spans="1:18">
      <c r="A3396" s="4">
        <v>68322100000000</v>
      </c>
      <c r="B3396" t="s">
        <v>18</v>
      </c>
      <c r="C3396">
        <v>13</v>
      </c>
      <c r="D3396" t="s">
        <v>60</v>
      </c>
      <c r="E3396" t="s">
        <v>48</v>
      </c>
      <c r="F3396" s="1">
        <v>42499</v>
      </c>
      <c r="G3396" s="1">
        <v>42499</v>
      </c>
      <c r="H3396" t="s">
        <v>30</v>
      </c>
      <c r="I3396">
        <v>0</v>
      </c>
      <c r="J3396" t="s">
        <v>111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23</v>
      </c>
      <c r="R3396">
        <v>0</v>
      </c>
    </row>
    <row r="3397" spans="1:18">
      <c r="A3397" s="4">
        <v>7238640000000</v>
      </c>
      <c r="B3397" t="s">
        <v>18</v>
      </c>
      <c r="C3397">
        <v>29</v>
      </c>
      <c r="D3397" t="s">
        <v>37</v>
      </c>
      <c r="E3397" t="s">
        <v>105</v>
      </c>
      <c r="F3397" s="1">
        <v>42499</v>
      </c>
      <c r="G3397" s="1">
        <v>42499</v>
      </c>
      <c r="H3397" t="s">
        <v>30</v>
      </c>
      <c r="I3397">
        <v>0</v>
      </c>
      <c r="J3397" t="s">
        <v>111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23</v>
      </c>
      <c r="R3397">
        <v>0</v>
      </c>
    </row>
    <row r="3398" spans="1:18">
      <c r="A3398" s="4">
        <v>517616000000</v>
      </c>
      <c r="B3398" t="s">
        <v>18</v>
      </c>
      <c r="C3398">
        <v>60</v>
      </c>
      <c r="D3398" t="s">
        <v>35</v>
      </c>
      <c r="E3398" t="s">
        <v>39</v>
      </c>
      <c r="F3398" s="1">
        <v>42499</v>
      </c>
      <c r="G3398" s="1">
        <v>42499</v>
      </c>
      <c r="H3398" t="s">
        <v>30</v>
      </c>
      <c r="I3398">
        <v>0</v>
      </c>
      <c r="J3398" t="s">
        <v>111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23</v>
      </c>
      <c r="R3398">
        <v>0</v>
      </c>
    </row>
    <row r="3399" spans="1:18">
      <c r="A3399" s="4">
        <v>95856700000000</v>
      </c>
      <c r="B3399" t="s">
        <v>18</v>
      </c>
      <c r="C3399">
        <v>0</v>
      </c>
      <c r="D3399" t="s">
        <v>31</v>
      </c>
      <c r="E3399" t="s">
        <v>42</v>
      </c>
      <c r="F3399" s="1">
        <v>42499</v>
      </c>
      <c r="G3399" s="1">
        <v>42515</v>
      </c>
      <c r="H3399" t="s">
        <v>25</v>
      </c>
      <c r="I3399">
        <v>16</v>
      </c>
      <c r="J3399" t="s">
        <v>77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1</v>
      </c>
      <c r="Q3399" t="s">
        <v>23</v>
      </c>
      <c r="R3399">
        <v>0</v>
      </c>
    </row>
    <row r="3400" spans="1:18">
      <c r="A3400" s="4">
        <v>31553500000000</v>
      </c>
      <c r="B3400" t="s">
        <v>18</v>
      </c>
      <c r="C3400">
        <v>60</v>
      </c>
      <c r="D3400" t="s">
        <v>35</v>
      </c>
      <c r="E3400" t="s">
        <v>67</v>
      </c>
      <c r="F3400" s="1">
        <v>42499</v>
      </c>
      <c r="G3400" s="1">
        <v>42520</v>
      </c>
      <c r="H3400" t="s">
        <v>30</v>
      </c>
      <c r="I3400">
        <v>21</v>
      </c>
      <c r="J3400" t="s">
        <v>77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1</v>
      </c>
      <c r="Q3400" t="s">
        <v>23</v>
      </c>
      <c r="R3400">
        <v>0</v>
      </c>
    </row>
    <row r="3401" spans="1:18">
      <c r="A3401" s="4">
        <v>227785000000000</v>
      </c>
      <c r="B3401" t="s">
        <v>28</v>
      </c>
      <c r="C3401">
        <v>15</v>
      </c>
      <c r="D3401" t="s">
        <v>60</v>
      </c>
      <c r="E3401" t="s">
        <v>61</v>
      </c>
      <c r="F3401" s="1">
        <v>42499</v>
      </c>
      <c r="G3401" s="1">
        <v>42503</v>
      </c>
      <c r="H3401" t="s">
        <v>21</v>
      </c>
      <c r="I3401">
        <v>4</v>
      </c>
      <c r="J3401" t="s">
        <v>107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23</v>
      </c>
      <c r="R3401">
        <v>0</v>
      </c>
    </row>
    <row r="3402" spans="1:18">
      <c r="A3402" s="4">
        <v>899445000000000</v>
      </c>
      <c r="B3402" t="s">
        <v>28</v>
      </c>
      <c r="C3402">
        <v>55</v>
      </c>
      <c r="D3402" t="s">
        <v>35</v>
      </c>
      <c r="E3402" t="s">
        <v>103</v>
      </c>
      <c r="F3402" s="1">
        <v>42499</v>
      </c>
      <c r="G3402" s="1">
        <v>42506</v>
      </c>
      <c r="H3402" t="s">
        <v>30</v>
      </c>
      <c r="I3402">
        <v>7</v>
      </c>
      <c r="J3402" t="s">
        <v>107</v>
      </c>
      <c r="K3402">
        <v>0</v>
      </c>
      <c r="L3402">
        <v>0</v>
      </c>
      <c r="M3402">
        <v>1</v>
      </c>
      <c r="N3402">
        <v>1</v>
      </c>
      <c r="O3402">
        <v>0</v>
      </c>
      <c r="P3402">
        <v>0</v>
      </c>
      <c r="Q3402" t="s">
        <v>23</v>
      </c>
      <c r="R3402">
        <v>0</v>
      </c>
    </row>
    <row r="3403" spans="1:18">
      <c r="A3403" s="4">
        <v>522215000000</v>
      </c>
      <c r="B3403" t="s">
        <v>28</v>
      </c>
      <c r="C3403">
        <v>4</v>
      </c>
      <c r="D3403" t="s">
        <v>31</v>
      </c>
      <c r="E3403" t="s">
        <v>59</v>
      </c>
      <c r="F3403" s="1">
        <v>42499</v>
      </c>
      <c r="G3403" s="1">
        <v>42502</v>
      </c>
      <c r="H3403" t="s">
        <v>33</v>
      </c>
      <c r="I3403">
        <v>3</v>
      </c>
      <c r="J3403" t="s">
        <v>109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23</v>
      </c>
      <c r="R3403">
        <v>0</v>
      </c>
    </row>
    <row r="3404" spans="1:18">
      <c r="A3404" s="4">
        <v>771941000000</v>
      </c>
      <c r="B3404" t="s">
        <v>18</v>
      </c>
      <c r="C3404">
        <v>38</v>
      </c>
      <c r="D3404" t="s">
        <v>27</v>
      </c>
      <c r="E3404" t="s">
        <v>29</v>
      </c>
      <c r="F3404" s="1">
        <v>42499</v>
      </c>
      <c r="G3404" s="1">
        <v>42510</v>
      </c>
      <c r="H3404" t="s">
        <v>21</v>
      </c>
      <c r="I3404">
        <v>11</v>
      </c>
      <c r="J3404" t="s">
        <v>92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26</v>
      </c>
      <c r="R3404">
        <v>1</v>
      </c>
    </row>
    <row r="3405" spans="1:18">
      <c r="A3405" s="4">
        <v>25789196743</v>
      </c>
      <c r="B3405" t="s">
        <v>28</v>
      </c>
      <c r="C3405">
        <v>55</v>
      </c>
      <c r="D3405" t="s">
        <v>35</v>
      </c>
      <c r="E3405" t="s">
        <v>72</v>
      </c>
      <c r="F3405" s="1">
        <v>42499</v>
      </c>
      <c r="G3405" s="1">
        <v>42502</v>
      </c>
      <c r="H3405" t="s">
        <v>33</v>
      </c>
      <c r="I3405">
        <v>3</v>
      </c>
      <c r="J3405" t="s">
        <v>109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26</v>
      </c>
      <c r="R3405">
        <v>1</v>
      </c>
    </row>
    <row r="3406" spans="1:18">
      <c r="A3406" s="4">
        <v>471156000000000</v>
      </c>
      <c r="B3406" t="s">
        <v>18</v>
      </c>
      <c r="C3406">
        <v>83</v>
      </c>
      <c r="D3406" t="s">
        <v>19</v>
      </c>
      <c r="E3406" t="s">
        <v>70</v>
      </c>
      <c r="F3406" s="1">
        <v>42499</v>
      </c>
      <c r="G3406" s="1">
        <v>42528</v>
      </c>
      <c r="H3406" t="s">
        <v>41</v>
      </c>
      <c r="I3406">
        <v>29</v>
      </c>
      <c r="J3406" t="s">
        <v>77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1</v>
      </c>
      <c r="Q3406" t="s">
        <v>26</v>
      </c>
      <c r="R3406">
        <v>1</v>
      </c>
    </row>
    <row r="3407" spans="1:18">
      <c r="A3407" s="4">
        <v>29154900000000</v>
      </c>
      <c r="B3407" t="s">
        <v>18</v>
      </c>
      <c r="C3407">
        <v>37</v>
      </c>
      <c r="D3407" t="s">
        <v>27</v>
      </c>
      <c r="E3407" t="s">
        <v>43</v>
      </c>
      <c r="F3407" s="1">
        <v>42499</v>
      </c>
      <c r="G3407" s="1">
        <v>42501</v>
      </c>
      <c r="H3407" t="s">
        <v>25</v>
      </c>
      <c r="I3407">
        <v>2</v>
      </c>
      <c r="J3407" t="s">
        <v>109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23</v>
      </c>
      <c r="R3407">
        <v>0</v>
      </c>
    </row>
    <row r="3408" spans="1:18">
      <c r="A3408" s="4">
        <v>12154800000000</v>
      </c>
      <c r="B3408" t="s">
        <v>18</v>
      </c>
      <c r="C3408">
        <v>4</v>
      </c>
      <c r="D3408" t="s">
        <v>31</v>
      </c>
      <c r="E3408" t="s">
        <v>106</v>
      </c>
      <c r="F3408" s="1">
        <v>42499</v>
      </c>
      <c r="G3408" s="1">
        <v>42509</v>
      </c>
      <c r="H3408" t="s">
        <v>33</v>
      </c>
      <c r="I3408">
        <v>10</v>
      </c>
      <c r="J3408" t="s">
        <v>92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26</v>
      </c>
      <c r="R3408">
        <v>1</v>
      </c>
    </row>
    <row r="3409" spans="1:18">
      <c r="A3409" s="4">
        <v>6529700000000</v>
      </c>
      <c r="B3409" t="s">
        <v>18</v>
      </c>
      <c r="C3409">
        <v>4</v>
      </c>
      <c r="D3409" t="s">
        <v>31</v>
      </c>
      <c r="E3409" t="s">
        <v>106</v>
      </c>
      <c r="F3409" s="1">
        <v>42499</v>
      </c>
      <c r="G3409" s="1">
        <v>42507</v>
      </c>
      <c r="H3409" t="s">
        <v>41</v>
      </c>
      <c r="I3409">
        <v>8</v>
      </c>
      <c r="J3409" t="s">
        <v>92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23</v>
      </c>
      <c r="R3409">
        <v>0</v>
      </c>
    </row>
    <row r="3410" spans="1:18">
      <c r="A3410" s="4">
        <v>971879000000000</v>
      </c>
      <c r="B3410" t="s">
        <v>18</v>
      </c>
      <c r="C3410">
        <v>37</v>
      </c>
      <c r="D3410" t="s">
        <v>27</v>
      </c>
      <c r="E3410" t="s">
        <v>34</v>
      </c>
      <c r="F3410" s="1">
        <v>42499</v>
      </c>
      <c r="G3410" s="1">
        <v>42501</v>
      </c>
      <c r="H3410" t="s">
        <v>25</v>
      </c>
      <c r="I3410">
        <v>2</v>
      </c>
      <c r="J3410" t="s">
        <v>109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23</v>
      </c>
      <c r="R3410">
        <v>0</v>
      </c>
    </row>
    <row r="3411" spans="1:18">
      <c r="A3411" s="4">
        <v>6232220000000</v>
      </c>
      <c r="B3411" t="s">
        <v>18</v>
      </c>
      <c r="C3411">
        <v>0</v>
      </c>
      <c r="D3411" t="s">
        <v>31</v>
      </c>
      <c r="E3411" t="s">
        <v>67</v>
      </c>
      <c r="F3411" s="1">
        <v>42499</v>
      </c>
      <c r="G3411" s="1">
        <v>42499</v>
      </c>
      <c r="H3411" t="s">
        <v>30</v>
      </c>
      <c r="I3411">
        <v>0</v>
      </c>
      <c r="J3411" t="s">
        <v>111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23</v>
      </c>
      <c r="R3411">
        <v>0</v>
      </c>
    </row>
    <row r="3412" spans="1:18">
      <c r="A3412" s="4">
        <v>239547000000</v>
      </c>
      <c r="B3412" t="s">
        <v>18</v>
      </c>
      <c r="C3412">
        <v>30</v>
      </c>
      <c r="D3412" t="s">
        <v>37</v>
      </c>
      <c r="E3412" t="s">
        <v>105</v>
      </c>
      <c r="F3412" s="1">
        <v>42499</v>
      </c>
      <c r="G3412" s="1">
        <v>42501</v>
      </c>
      <c r="H3412" t="s">
        <v>25</v>
      </c>
      <c r="I3412">
        <v>2</v>
      </c>
      <c r="J3412" t="s">
        <v>109</v>
      </c>
      <c r="K3412">
        <v>1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26</v>
      </c>
      <c r="R3412">
        <v>1</v>
      </c>
    </row>
    <row r="3413" spans="1:18">
      <c r="A3413" s="4">
        <v>81136800000000</v>
      </c>
      <c r="B3413" t="s">
        <v>18</v>
      </c>
      <c r="C3413">
        <v>32</v>
      </c>
      <c r="D3413" t="s">
        <v>37</v>
      </c>
      <c r="E3413" t="s">
        <v>85</v>
      </c>
      <c r="F3413" s="1">
        <v>42499</v>
      </c>
      <c r="G3413" s="1">
        <v>42528</v>
      </c>
      <c r="H3413" t="s">
        <v>41</v>
      </c>
      <c r="I3413">
        <v>29</v>
      </c>
      <c r="J3413" t="s">
        <v>77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1</v>
      </c>
      <c r="Q3413" t="s">
        <v>23</v>
      </c>
      <c r="R3413">
        <v>0</v>
      </c>
    </row>
    <row r="3414" spans="1:18">
      <c r="A3414" s="4">
        <v>986886000000000</v>
      </c>
      <c r="B3414" t="s">
        <v>28</v>
      </c>
      <c r="C3414">
        <v>52</v>
      </c>
      <c r="D3414" t="s">
        <v>35</v>
      </c>
      <c r="E3414" t="s">
        <v>57</v>
      </c>
      <c r="F3414" s="1">
        <v>42499</v>
      </c>
      <c r="G3414" s="1">
        <v>42499</v>
      </c>
      <c r="H3414" t="s">
        <v>30</v>
      </c>
      <c r="I3414">
        <v>0</v>
      </c>
      <c r="J3414" t="s">
        <v>111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23</v>
      </c>
      <c r="R3414">
        <v>0</v>
      </c>
    </row>
    <row r="3415" spans="1:18">
      <c r="A3415" s="4">
        <v>2155720000000</v>
      </c>
      <c r="B3415" t="s">
        <v>18</v>
      </c>
      <c r="C3415">
        <v>58</v>
      </c>
      <c r="D3415" t="s">
        <v>35</v>
      </c>
      <c r="E3415" t="s">
        <v>40</v>
      </c>
      <c r="F3415" s="1">
        <v>42499</v>
      </c>
      <c r="G3415" s="1">
        <v>42528</v>
      </c>
      <c r="H3415" t="s">
        <v>41</v>
      </c>
      <c r="I3415">
        <v>29</v>
      </c>
      <c r="J3415" t="s">
        <v>77</v>
      </c>
      <c r="K3415">
        <v>0</v>
      </c>
      <c r="L3415">
        <v>1</v>
      </c>
      <c r="M3415">
        <v>1</v>
      </c>
      <c r="N3415">
        <v>0</v>
      </c>
      <c r="O3415">
        <v>0</v>
      </c>
      <c r="P3415">
        <v>1</v>
      </c>
      <c r="Q3415" t="s">
        <v>23</v>
      </c>
      <c r="R3415">
        <v>0</v>
      </c>
    </row>
    <row r="3416" spans="1:18">
      <c r="A3416" s="4">
        <v>41483300000000</v>
      </c>
      <c r="B3416" t="s">
        <v>28</v>
      </c>
      <c r="C3416">
        <v>36</v>
      </c>
      <c r="D3416" t="s">
        <v>27</v>
      </c>
      <c r="E3416" t="s">
        <v>39</v>
      </c>
      <c r="F3416" s="1">
        <v>42499</v>
      </c>
      <c r="G3416" s="1">
        <v>42499</v>
      </c>
      <c r="H3416" t="s">
        <v>30</v>
      </c>
      <c r="I3416">
        <v>0</v>
      </c>
      <c r="J3416" t="s">
        <v>111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23</v>
      </c>
      <c r="R3416">
        <v>0</v>
      </c>
    </row>
    <row r="3417" spans="1:18">
      <c r="A3417" s="4">
        <v>567143000000000</v>
      </c>
      <c r="B3417" t="s">
        <v>28</v>
      </c>
      <c r="C3417">
        <v>1</v>
      </c>
      <c r="D3417" t="s">
        <v>31</v>
      </c>
      <c r="E3417" t="s">
        <v>84</v>
      </c>
      <c r="F3417" s="1">
        <v>42499</v>
      </c>
      <c r="G3417" s="1">
        <v>42528</v>
      </c>
      <c r="H3417" t="s">
        <v>41</v>
      </c>
      <c r="I3417">
        <v>29</v>
      </c>
      <c r="J3417" t="s">
        <v>77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1</v>
      </c>
      <c r="Q3417" t="s">
        <v>23</v>
      </c>
      <c r="R3417">
        <v>0</v>
      </c>
    </row>
    <row r="3418" spans="1:18">
      <c r="A3418" s="4">
        <v>25913100000000</v>
      </c>
      <c r="B3418" t="s">
        <v>18</v>
      </c>
      <c r="C3418">
        <v>70</v>
      </c>
      <c r="D3418" t="s">
        <v>19</v>
      </c>
      <c r="E3418" t="s">
        <v>72</v>
      </c>
      <c r="F3418" s="1">
        <v>42499</v>
      </c>
      <c r="G3418" s="1">
        <v>42499</v>
      </c>
      <c r="H3418" t="s">
        <v>30</v>
      </c>
      <c r="I3418">
        <v>0</v>
      </c>
      <c r="J3418" t="s">
        <v>111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23</v>
      </c>
      <c r="R3418">
        <v>0</v>
      </c>
    </row>
    <row r="3419" spans="1:18">
      <c r="A3419" s="4">
        <v>66892100000000</v>
      </c>
      <c r="B3419" t="s">
        <v>18</v>
      </c>
      <c r="C3419">
        <v>16</v>
      </c>
      <c r="D3419" t="s">
        <v>60</v>
      </c>
      <c r="E3419" t="s">
        <v>69</v>
      </c>
      <c r="F3419" s="1">
        <v>42499</v>
      </c>
      <c r="G3419" s="1">
        <v>42499</v>
      </c>
      <c r="H3419" t="s">
        <v>30</v>
      </c>
      <c r="I3419">
        <v>0</v>
      </c>
      <c r="J3419" t="s">
        <v>111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23</v>
      </c>
      <c r="R3419">
        <v>0</v>
      </c>
    </row>
    <row r="3420" spans="1:18">
      <c r="A3420" s="4">
        <v>722755000000000</v>
      </c>
      <c r="B3420" t="s">
        <v>18</v>
      </c>
      <c r="C3420">
        <v>42</v>
      </c>
      <c r="D3420" t="s">
        <v>27</v>
      </c>
      <c r="E3420" t="s">
        <v>72</v>
      </c>
      <c r="F3420" s="1">
        <v>42499</v>
      </c>
      <c r="G3420" s="1">
        <v>42527</v>
      </c>
      <c r="H3420" t="s">
        <v>30</v>
      </c>
      <c r="I3420">
        <v>28</v>
      </c>
      <c r="J3420" t="s">
        <v>77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1</v>
      </c>
      <c r="Q3420" t="s">
        <v>23</v>
      </c>
      <c r="R3420">
        <v>0</v>
      </c>
    </row>
    <row r="3421" spans="1:18">
      <c r="A3421" s="4">
        <v>846118000000</v>
      </c>
      <c r="B3421" t="s">
        <v>28</v>
      </c>
      <c r="C3421">
        <v>11</v>
      </c>
      <c r="D3421" t="s">
        <v>31</v>
      </c>
      <c r="E3421" t="s">
        <v>78</v>
      </c>
      <c r="F3421" s="1">
        <v>42499</v>
      </c>
      <c r="G3421" s="1">
        <v>42503</v>
      </c>
      <c r="H3421" t="s">
        <v>21</v>
      </c>
      <c r="I3421">
        <v>4</v>
      </c>
      <c r="J3421" t="s">
        <v>107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23</v>
      </c>
      <c r="R3421">
        <v>0</v>
      </c>
    </row>
    <row r="3422" spans="1:18">
      <c r="A3422" s="4">
        <v>989964000000000</v>
      </c>
      <c r="B3422" t="s">
        <v>18</v>
      </c>
      <c r="C3422">
        <v>0</v>
      </c>
      <c r="D3422" t="s">
        <v>31</v>
      </c>
      <c r="E3422" t="s">
        <v>50</v>
      </c>
      <c r="F3422" s="1">
        <v>42499</v>
      </c>
      <c r="G3422" s="1">
        <v>42508</v>
      </c>
      <c r="H3422" t="s">
        <v>25</v>
      </c>
      <c r="I3422">
        <v>9</v>
      </c>
      <c r="J3422" t="s">
        <v>92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26</v>
      </c>
      <c r="R3422">
        <v>1</v>
      </c>
    </row>
    <row r="3423" spans="1:18">
      <c r="A3423" s="4">
        <v>7875770000000</v>
      </c>
      <c r="B3423" t="s">
        <v>18</v>
      </c>
      <c r="C3423">
        <v>77</v>
      </c>
      <c r="D3423" t="s">
        <v>19</v>
      </c>
      <c r="E3423" t="s">
        <v>39</v>
      </c>
      <c r="F3423" s="1">
        <v>42499</v>
      </c>
      <c r="G3423" s="1">
        <v>42507</v>
      </c>
      <c r="H3423" t="s">
        <v>41</v>
      </c>
      <c r="I3423">
        <v>8</v>
      </c>
      <c r="J3423" t="s">
        <v>92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23</v>
      </c>
      <c r="R3423">
        <v>0</v>
      </c>
    </row>
    <row r="3424" spans="1:18">
      <c r="A3424" s="4">
        <v>12747200000000</v>
      </c>
      <c r="B3424" t="s">
        <v>18</v>
      </c>
      <c r="C3424">
        <v>52</v>
      </c>
      <c r="D3424" t="s">
        <v>35</v>
      </c>
      <c r="E3424" t="s">
        <v>74</v>
      </c>
      <c r="F3424" s="1">
        <v>42499</v>
      </c>
      <c r="G3424" s="1">
        <v>42501</v>
      </c>
      <c r="H3424" t="s">
        <v>25</v>
      </c>
      <c r="I3424">
        <v>2</v>
      </c>
      <c r="J3424" t="s">
        <v>109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 t="s">
        <v>23</v>
      </c>
      <c r="R3424">
        <v>0</v>
      </c>
    </row>
    <row r="3425" spans="1:18">
      <c r="A3425" s="4">
        <v>5439720000000</v>
      </c>
      <c r="B3425" t="s">
        <v>18</v>
      </c>
      <c r="C3425">
        <v>21</v>
      </c>
      <c r="D3425" t="s">
        <v>37</v>
      </c>
      <c r="E3425" t="s">
        <v>57</v>
      </c>
      <c r="F3425" s="1">
        <v>42499</v>
      </c>
      <c r="G3425" s="1">
        <v>42499</v>
      </c>
      <c r="H3425" t="s">
        <v>30</v>
      </c>
      <c r="I3425">
        <v>0</v>
      </c>
      <c r="J3425" t="s">
        <v>111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23</v>
      </c>
      <c r="R3425">
        <v>0</v>
      </c>
    </row>
    <row r="3426" spans="1:18">
      <c r="A3426" s="4">
        <v>166443000000</v>
      </c>
      <c r="B3426" t="s">
        <v>28</v>
      </c>
      <c r="C3426">
        <v>22</v>
      </c>
      <c r="D3426" t="s">
        <v>37</v>
      </c>
      <c r="E3426" t="s">
        <v>39</v>
      </c>
      <c r="F3426" s="1">
        <v>42499</v>
      </c>
      <c r="G3426" s="1">
        <v>42500</v>
      </c>
      <c r="H3426" t="s">
        <v>41</v>
      </c>
      <c r="I3426">
        <v>1</v>
      </c>
      <c r="J3426" t="s">
        <v>109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26</v>
      </c>
      <c r="R3426">
        <v>1</v>
      </c>
    </row>
    <row r="3427" spans="1:18">
      <c r="A3427" s="4">
        <v>56317700000000</v>
      </c>
      <c r="B3427" t="s">
        <v>18</v>
      </c>
      <c r="C3427">
        <v>8</v>
      </c>
      <c r="D3427" t="s">
        <v>31</v>
      </c>
      <c r="E3427" t="s">
        <v>44</v>
      </c>
      <c r="F3427" s="1">
        <v>42499</v>
      </c>
      <c r="G3427" s="1">
        <v>42508</v>
      </c>
      <c r="H3427" t="s">
        <v>25</v>
      </c>
      <c r="I3427">
        <v>9</v>
      </c>
      <c r="J3427" t="s">
        <v>92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23</v>
      </c>
      <c r="R3427">
        <v>0</v>
      </c>
    </row>
    <row r="3428" spans="1:18">
      <c r="A3428" s="4">
        <v>2713120000000</v>
      </c>
      <c r="B3428" t="s">
        <v>18</v>
      </c>
      <c r="C3428">
        <v>8</v>
      </c>
      <c r="D3428" t="s">
        <v>31</v>
      </c>
      <c r="E3428" t="s">
        <v>78</v>
      </c>
      <c r="F3428" s="1">
        <v>42499</v>
      </c>
      <c r="G3428" s="1">
        <v>42508</v>
      </c>
      <c r="H3428" t="s">
        <v>25</v>
      </c>
      <c r="I3428">
        <v>9</v>
      </c>
      <c r="J3428" t="s">
        <v>92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23</v>
      </c>
      <c r="R3428">
        <v>0</v>
      </c>
    </row>
    <row r="3429" spans="1:18">
      <c r="A3429" s="4">
        <v>693686000000</v>
      </c>
      <c r="B3429" t="s">
        <v>18</v>
      </c>
      <c r="C3429">
        <v>71</v>
      </c>
      <c r="D3429" t="s">
        <v>19</v>
      </c>
      <c r="E3429" t="s">
        <v>40</v>
      </c>
      <c r="F3429" s="1">
        <v>42499</v>
      </c>
      <c r="G3429" s="1">
        <v>42510</v>
      </c>
      <c r="H3429" t="s">
        <v>21</v>
      </c>
      <c r="I3429">
        <v>11</v>
      </c>
      <c r="J3429" t="s">
        <v>92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23</v>
      </c>
      <c r="R3429">
        <v>0</v>
      </c>
    </row>
    <row r="3430" spans="1:18">
      <c r="A3430" s="4">
        <v>35936800000000</v>
      </c>
      <c r="B3430" t="s">
        <v>18</v>
      </c>
      <c r="C3430">
        <v>40</v>
      </c>
      <c r="D3430" t="s">
        <v>27</v>
      </c>
      <c r="E3430" t="s">
        <v>39</v>
      </c>
      <c r="F3430" s="1">
        <v>42499</v>
      </c>
      <c r="G3430" s="1">
        <v>42501</v>
      </c>
      <c r="H3430" t="s">
        <v>25</v>
      </c>
      <c r="I3430">
        <v>2</v>
      </c>
      <c r="J3430" t="s">
        <v>109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26</v>
      </c>
      <c r="R3430">
        <v>1</v>
      </c>
    </row>
    <row r="3431" spans="1:18">
      <c r="A3431" s="4">
        <v>69485700000000</v>
      </c>
      <c r="B3431" t="s">
        <v>18</v>
      </c>
      <c r="C3431">
        <v>2</v>
      </c>
      <c r="D3431" t="s">
        <v>31</v>
      </c>
      <c r="E3431" t="s">
        <v>71</v>
      </c>
      <c r="F3431" s="1">
        <v>42500</v>
      </c>
      <c r="G3431" s="1">
        <v>42500</v>
      </c>
      <c r="H3431" t="s">
        <v>41</v>
      </c>
      <c r="I3431">
        <v>0</v>
      </c>
      <c r="J3431" t="s">
        <v>111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23</v>
      </c>
      <c r="R3431">
        <v>0</v>
      </c>
    </row>
    <row r="3432" spans="1:18">
      <c r="A3432" s="4">
        <v>55485600000000</v>
      </c>
      <c r="B3432" t="s">
        <v>18</v>
      </c>
      <c r="C3432">
        <v>66</v>
      </c>
      <c r="D3432" t="s">
        <v>19</v>
      </c>
      <c r="E3432" t="s">
        <v>84</v>
      </c>
      <c r="F3432" s="1">
        <v>42500</v>
      </c>
      <c r="G3432" s="1">
        <v>42506</v>
      </c>
      <c r="H3432" t="s">
        <v>30</v>
      </c>
      <c r="I3432">
        <v>6</v>
      </c>
      <c r="J3432" t="s">
        <v>107</v>
      </c>
      <c r="K3432">
        <v>0</v>
      </c>
      <c r="L3432">
        <v>1</v>
      </c>
      <c r="M3432">
        <v>0</v>
      </c>
      <c r="N3432">
        <v>0</v>
      </c>
      <c r="O3432">
        <v>0</v>
      </c>
      <c r="P3432">
        <v>0</v>
      </c>
      <c r="Q3432" t="s">
        <v>23</v>
      </c>
      <c r="R3432">
        <v>0</v>
      </c>
    </row>
    <row r="3433" spans="1:18">
      <c r="A3433" s="4">
        <v>89345200000000</v>
      </c>
      <c r="B3433" t="s">
        <v>18</v>
      </c>
      <c r="C3433">
        <v>66</v>
      </c>
      <c r="D3433" t="s">
        <v>19</v>
      </c>
      <c r="E3433" t="s">
        <v>64</v>
      </c>
      <c r="F3433" s="1">
        <v>42500</v>
      </c>
      <c r="G3433" s="1">
        <v>42507</v>
      </c>
      <c r="H3433" t="s">
        <v>41</v>
      </c>
      <c r="I3433">
        <v>7</v>
      </c>
      <c r="J3433" t="s">
        <v>107</v>
      </c>
      <c r="K3433">
        <v>0</v>
      </c>
      <c r="L3433">
        <v>1</v>
      </c>
      <c r="M3433">
        <v>1</v>
      </c>
      <c r="N3433">
        <v>0</v>
      </c>
      <c r="O3433">
        <v>0</v>
      </c>
      <c r="P3433">
        <v>0</v>
      </c>
      <c r="Q3433" t="s">
        <v>23</v>
      </c>
      <c r="R3433">
        <v>0</v>
      </c>
    </row>
    <row r="3434" spans="1:18">
      <c r="A3434" s="4">
        <v>353789000000</v>
      </c>
      <c r="B3434" t="s">
        <v>28</v>
      </c>
      <c r="C3434">
        <v>10</v>
      </c>
      <c r="D3434" t="s">
        <v>31</v>
      </c>
      <c r="E3434" t="s">
        <v>79</v>
      </c>
      <c r="F3434" s="1">
        <v>42500</v>
      </c>
      <c r="G3434" s="1">
        <v>42500</v>
      </c>
      <c r="H3434" t="s">
        <v>41</v>
      </c>
      <c r="I3434">
        <v>0</v>
      </c>
      <c r="J3434" t="s">
        <v>111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23</v>
      </c>
      <c r="R3434">
        <v>0</v>
      </c>
    </row>
    <row r="3435" spans="1:18">
      <c r="A3435" s="4">
        <v>9376270000000</v>
      </c>
      <c r="B3435" t="s">
        <v>18</v>
      </c>
      <c r="C3435">
        <v>30</v>
      </c>
      <c r="D3435" t="s">
        <v>37</v>
      </c>
      <c r="E3435" t="s">
        <v>71</v>
      </c>
      <c r="F3435" s="1">
        <v>42500</v>
      </c>
      <c r="G3435" s="1">
        <v>42506</v>
      </c>
      <c r="H3435" t="s">
        <v>30</v>
      </c>
      <c r="I3435">
        <v>6</v>
      </c>
      <c r="J3435" t="s">
        <v>107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26</v>
      </c>
      <c r="R3435">
        <v>1</v>
      </c>
    </row>
    <row r="3436" spans="1:18">
      <c r="A3436" s="4">
        <v>1611960000000</v>
      </c>
      <c r="B3436" t="s">
        <v>18</v>
      </c>
      <c r="C3436">
        <v>50</v>
      </c>
      <c r="D3436" t="s">
        <v>27</v>
      </c>
      <c r="E3436" t="s">
        <v>71</v>
      </c>
      <c r="F3436" s="1">
        <v>42500</v>
      </c>
      <c r="G3436" s="1">
        <v>42507</v>
      </c>
      <c r="H3436" t="s">
        <v>41</v>
      </c>
      <c r="I3436">
        <v>7</v>
      </c>
      <c r="J3436" t="s">
        <v>107</v>
      </c>
      <c r="K3436">
        <v>0</v>
      </c>
      <c r="L3436">
        <v>0</v>
      </c>
      <c r="M3436">
        <v>0</v>
      </c>
      <c r="N3436">
        <v>1</v>
      </c>
      <c r="O3436">
        <v>0</v>
      </c>
      <c r="P3436">
        <v>0</v>
      </c>
      <c r="Q3436" t="s">
        <v>26</v>
      </c>
      <c r="R3436">
        <v>1</v>
      </c>
    </row>
    <row r="3437" spans="1:18">
      <c r="A3437" s="4">
        <v>626959000000000</v>
      </c>
      <c r="B3437" t="s">
        <v>18</v>
      </c>
      <c r="C3437">
        <v>57</v>
      </c>
      <c r="D3437" t="s">
        <v>35</v>
      </c>
      <c r="E3437" t="s">
        <v>44</v>
      </c>
      <c r="F3437" s="1">
        <v>42500</v>
      </c>
      <c r="G3437" s="1">
        <v>42500</v>
      </c>
      <c r="H3437" t="s">
        <v>41</v>
      </c>
      <c r="I3437">
        <v>0</v>
      </c>
      <c r="J3437" t="s">
        <v>111</v>
      </c>
      <c r="K3437">
        <v>0</v>
      </c>
      <c r="L3437">
        <v>1</v>
      </c>
      <c r="M3437">
        <v>1</v>
      </c>
      <c r="N3437">
        <v>0</v>
      </c>
      <c r="O3437">
        <v>0</v>
      </c>
      <c r="P3437">
        <v>0</v>
      </c>
      <c r="Q3437" t="s">
        <v>23</v>
      </c>
      <c r="R3437">
        <v>0</v>
      </c>
    </row>
    <row r="3438" spans="1:18">
      <c r="A3438" s="4">
        <v>8956510000000</v>
      </c>
      <c r="B3438" t="s">
        <v>18</v>
      </c>
      <c r="C3438">
        <v>51</v>
      </c>
      <c r="D3438" t="s">
        <v>35</v>
      </c>
      <c r="E3438" t="s">
        <v>71</v>
      </c>
      <c r="F3438" s="1">
        <v>42500</v>
      </c>
      <c r="G3438" s="1">
        <v>42508</v>
      </c>
      <c r="H3438" t="s">
        <v>25</v>
      </c>
      <c r="I3438">
        <v>8</v>
      </c>
      <c r="J3438" t="s">
        <v>92</v>
      </c>
      <c r="K3438">
        <v>0</v>
      </c>
      <c r="L3438">
        <v>1</v>
      </c>
      <c r="M3438">
        <v>1</v>
      </c>
      <c r="N3438">
        <v>0</v>
      </c>
      <c r="O3438">
        <v>0</v>
      </c>
      <c r="P3438">
        <v>0</v>
      </c>
      <c r="Q3438" t="s">
        <v>23</v>
      </c>
      <c r="R3438">
        <v>0</v>
      </c>
    </row>
    <row r="3439" spans="1:18">
      <c r="A3439" s="4">
        <v>84143500000000</v>
      </c>
      <c r="B3439" t="s">
        <v>18</v>
      </c>
      <c r="C3439">
        <v>36</v>
      </c>
      <c r="D3439" t="s">
        <v>27</v>
      </c>
      <c r="E3439" t="s">
        <v>59</v>
      </c>
      <c r="F3439" s="1">
        <v>42500</v>
      </c>
      <c r="G3439" s="1">
        <v>42500</v>
      </c>
      <c r="H3439" t="s">
        <v>41</v>
      </c>
      <c r="I3439">
        <v>0</v>
      </c>
      <c r="J3439" t="s">
        <v>111</v>
      </c>
      <c r="K3439">
        <v>1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23</v>
      </c>
      <c r="R3439">
        <v>0</v>
      </c>
    </row>
    <row r="3440" spans="1:18">
      <c r="A3440" s="4">
        <v>77112100000000</v>
      </c>
      <c r="B3440" t="s">
        <v>18</v>
      </c>
      <c r="C3440">
        <v>22</v>
      </c>
      <c r="D3440" t="s">
        <v>37</v>
      </c>
      <c r="E3440" t="s">
        <v>38</v>
      </c>
      <c r="F3440" s="1">
        <v>42500</v>
      </c>
      <c r="G3440" s="1">
        <v>42524</v>
      </c>
      <c r="H3440" t="s">
        <v>21</v>
      </c>
      <c r="I3440">
        <v>24</v>
      </c>
      <c r="J3440" t="s">
        <v>77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1</v>
      </c>
      <c r="Q3440" t="s">
        <v>23</v>
      </c>
      <c r="R3440">
        <v>0</v>
      </c>
    </row>
    <row r="3441" spans="1:18">
      <c r="A3441" s="4">
        <v>2166230000000</v>
      </c>
      <c r="B3441" t="s">
        <v>28</v>
      </c>
      <c r="C3441">
        <v>64</v>
      </c>
      <c r="D3441" t="s">
        <v>35</v>
      </c>
      <c r="E3441" t="s">
        <v>61</v>
      </c>
      <c r="F3441" s="1">
        <v>42500</v>
      </c>
      <c r="G3441" s="1">
        <v>42500</v>
      </c>
      <c r="H3441" t="s">
        <v>41</v>
      </c>
      <c r="I3441">
        <v>0</v>
      </c>
      <c r="J3441" t="s">
        <v>111</v>
      </c>
      <c r="K3441">
        <v>0</v>
      </c>
      <c r="L3441">
        <v>1</v>
      </c>
      <c r="M3441">
        <v>0</v>
      </c>
      <c r="N3441">
        <v>0</v>
      </c>
      <c r="O3441">
        <v>0</v>
      </c>
      <c r="P3441">
        <v>0</v>
      </c>
      <c r="Q3441" t="s">
        <v>23</v>
      </c>
      <c r="R3441">
        <v>0</v>
      </c>
    </row>
    <row r="3442" spans="1:18">
      <c r="A3442" s="4">
        <v>7117220000000</v>
      </c>
      <c r="B3442" t="s">
        <v>28</v>
      </c>
      <c r="C3442">
        <v>9</v>
      </c>
      <c r="D3442" t="s">
        <v>31</v>
      </c>
      <c r="E3442" t="s">
        <v>68</v>
      </c>
      <c r="F3442" s="1">
        <v>42500</v>
      </c>
      <c r="G3442" s="1">
        <v>42527</v>
      </c>
      <c r="H3442" t="s">
        <v>30</v>
      </c>
      <c r="I3442">
        <v>27</v>
      </c>
      <c r="J3442" t="s">
        <v>77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1</v>
      </c>
      <c r="Q3442" t="s">
        <v>23</v>
      </c>
      <c r="R3442">
        <v>0</v>
      </c>
    </row>
    <row r="3443" spans="1:18">
      <c r="A3443" s="4">
        <v>4991690000000</v>
      </c>
      <c r="B3443" t="s">
        <v>28</v>
      </c>
      <c r="C3443">
        <v>7</v>
      </c>
      <c r="D3443" t="s">
        <v>31</v>
      </c>
      <c r="E3443" t="s">
        <v>84</v>
      </c>
      <c r="F3443" s="1">
        <v>42500</v>
      </c>
      <c r="G3443" s="1">
        <v>42500</v>
      </c>
      <c r="H3443" t="s">
        <v>41</v>
      </c>
      <c r="I3443">
        <v>0</v>
      </c>
      <c r="J3443" t="s">
        <v>111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23</v>
      </c>
      <c r="R3443">
        <v>0</v>
      </c>
    </row>
    <row r="3444" spans="1:18">
      <c r="A3444" s="4">
        <v>1189630000000</v>
      </c>
      <c r="B3444" t="s">
        <v>18</v>
      </c>
      <c r="C3444">
        <v>9</v>
      </c>
      <c r="D3444" t="s">
        <v>31</v>
      </c>
      <c r="E3444" t="s">
        <v>39</v>
      </c>
      <c r="F3444" s="1">
        <v>42500</v>
      </c>
      <c r="G3444" s="1">
        <v>42500</v>
      </c>
      <c r="H3444" t="s">
        <v>41</v>
      </c>
      <c r="I3444">
        <v>0</v>
      </c>
      <c r="J3444" t="s">
        <v>111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23</v>
      </c>
      <c r="R3444">
        <v>0</v>
      </c>
    </row>
    <row r="3445" spans="1:18">
      <c r="A3445" s="4">
        <v>6367530000000</v>
      </c>
      <c r="B3445" t="s">
        <v>18</v>
      </c>
      <c r="C3445">
        <v>11</v>
      </c>
      <c r="D3445" t="s">
        <v>31</v>
      </c>
      <c r="E3445" t="s">
        <v>57</v>
      </c>
      <c r="F3445" s="1">
        <v>42500</v>
      </c>
      <c r="G3445" s="1">
        <v>42500</v>
      </c>
      <c r="H3445" t="s">
        <v>41</v>
      </c>
      <c r="I3445">
        <v>0</v>
      </c>
      <c r="J3445" t="s">
        <v>111</v>
      </c>
      <c r="K3445">
        <v>0</v>
      </c>
      <c r="L3445">
        <v>0</v>
      </c>
      <c r="M3445">
        <v>0</v>
      </c>
      <c r="N3445">
        <v>0</v>
      </c>
      <c r="O3445">
        <v>1</v>
      </c>
      <c r="P3445">
        <v>0</v>
      </c>
      <c r="Q3445" t="s">
        <v>23</v>
      </c>
      <c r="R3445">
        <v>0</v>
      </c>
    </row>
    <row r="3446" spans="1:18">
      <c r="A3446" s="4">
        <v>11628700000000</v>
      </c>
      <c r="B3446" t="s">
        <v>28</v>
      </c>
      <c r="C3446">
        <v>6</v>
      </c>
      <c r="D3446" t="s">
        <v>31</v>
      </c>
      <c r="E3446" t="s">
        <v>57</v>
      </c>
      <c r="F3446" s="1">
        <v>42500</v>
      </c>
      <c r="G3446" s="1">
        <v>42500</v>
      </c>
      <c r="H3446" t="s">
        <v>41</v>
      </c>
      <c r="I3446">
        <v>0</v>
      </c>
      <c r="J3446" t="s">
        <v>111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23</v>
      </c>
      <c r="R3446">
        <v>0</v>
      </c>
    </row>
    <row r="3447" spans="1:18">
      <c r="A3447" s="4">
        <v>3444990000000</v>
      </c>
      <c r="B3447" t="s">
        <v>28</v>
      </c>
      <c r="C3447">
        <v>4</v>
      </c>
      <c r="D3447" t="s">
        <v>31</v>
      </c>
      <c r="E3447" t="s">
        <v>84</v>
      </c>
      <c r="F3447" s="1">
        <v>42500</v>
      </c>
      <c r="G3447" s="1">
        <v>42523</v>
      </c>
      <c r="H3447" t="s">
        <v>33</v>
      </c>
      <c r="I3447">
        <v>23</v>
      </c>
      <c r="J3447" t="s">
        <v>77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1</v>
      </c>
      <c r="Q3447" t="s">
        <v>23</v>
      </c>
      <c r="R3447">
        <v>0</v>
      </c>
    </row>
    <row r="3448" spans="1:18">
      <c r="A3448" s="4">
        <v>75492300000000</v>
      </c>
      <c r="B3448" t="s">
        <v>28</v>
      </c>
      <c r="C3448">
        <v>20</v>
      </c>
      <c r="D3448" t="s">
        <v>37</v>
      </c>
      <c r="E3448" t="s">
        <v>84</v>
      </c>
      <c r="F3448" s="1">
        <v>42500</v>
      </c>
      <c r="G3448" s="1">
        <v>42509</v>
      </c>
      <c r="H3448" t="s">
        <v>33</v>
      </c>
      <c r="I3448">
        <v>9</v>
      </c>
      <c r="J3448" t="s">
        <v>92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23</v>
      </c>
      <c r="R3448">
        <v>0</v>
      </c>
    </row>
    <row r="3449" spans="1:18">
      <c r="A3449" s="4">
        <v>411982000000</v>
      </c>
      <c r="B3449" t="s">
        <v>18</v>
      </c>
      <c r="C3449">
        <v>56</v>
      </c>
      <c r="D3449" t="s">
        <v>35</v>
      </c>
      <c r="E3449" t="s">
        <v>72</v>
      </c>
      <c r="F3449" s="1">
        <v>42500</v>
      </c>
      <c r="G3449" s="1">
        <v>42500</v>
      </c>
      <c r="H3449" t="s">
        <v>41</v>
      </c>
      <c r="I3449">
        <v>0</v>
      </c>
      <c r="J3449" t="s">
        <v>111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23</v>
      </c>
      <c r="R3449">
        <v>0</v>
      </c>
    </row>
    <row r="3450" spans="1:18">
      <c r="A3450" s="4">
        <v>78577800000000</v>
      </c>
      <c r="B3450" t="s">
        <v>28</v>
      </c>
      <c r="C3450">
        <v>10</v>
      </c>
      <c r="D3450" t="s">
        <v>31</v>
      </c>
      <c r="E3450" t="s">
        <v>71</v>
      </c>
      <c r="F3450" s="1">
        <v>42500</v>
      </c>
      <c r="G3450" s="1">
        <v>42502</v>
      </c>
      <c r="H3450" t="s">
        <v>33</v>
      </c>
      <c r="I3450">
        <v>2</v>
      </c>
      <c r="J3450" t="s">
        <v>109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26</v>
      </c>
      <c r="R3450">
        <v>1</v>
      </c>
    </row>
    <row r="3451" spans="1:18">
      <c r="A3451" s="4">
        <v>46782691456</v>
      </c>
      <c r="B3451" t="s">
        <v>18</v>
      </c>
      <c r="C3451">
        <v>34</v>
      </c>
      <c r="D3451" t="s">
        <v>37</v>
      </c>
      <c r="E3451" t="s">
        <v>96</v>
      </c>
      <c r="F3451" s="1">
        <v>42500</v>
      </c>
      <c r="G3451" s="1">
        <v>42508</v>
      </c>
      <c r="H3451" t="s">
        <v>25</v>
      </c>
      <c r="I3451">
        <v>8</v>
      </c>
      <c r="J3451" t="s">
        <v>92</v>
      </c>
      <c r="K3451">
        <v>1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23</v>
      </c>
      <c r="R3451">
        <v>0</v>
      </c>
    </row>
    <row r="3452" spans="1:18">
      <c r="A3452" s="4">
        <v>48784900000000</v>
      </c>
      <c r="B3452" t="s">
        <v>28</v>
      </c>
      <c r="C3452">
        <v>26</v>
      </c>
      <c r="D3452" t="s">
        <v>37</v>
      </c>
      <c r="E3452" t="s">
        <v>45</v>
      </c>
      <c r="F3452" s="1">
        <v>42500</v>
      </c>
      <c r="G3452" s="1">
        <v>42500</v>
      </c>
      <c r="H3452" t="s">
        <v>41</v>
      </c>
      <c r="I3452">
        <v>0</v>
      </c>
      <c r="J3452" t="s">
        <v>111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23</v>
      </c>
      <c r="R3452">
        <v>0</v>
      </c>
    </row>
    <row r="3453" spans="1:18">
      <c r="A3453" s="4">
        <v>4551590000000</v>
      </c>
      <c r="B3453" t="s">
        <v>18</v>
      </c>
      <c r="C3453">
        <v>69</v>
      </c>
      <c r="D3453" t="s">
        <v>19</v>
      </c>
      <c r="E3453" t="s">
        <v>39</v>
      </c>
      <c r="F3453" s="1">
        <v>42500</v>
      </c>
      <c r="G3453" s="1">
        <v>42501</v>
      </c>
      <c r="H3453" t="s">
        <v>25</v>
      </c>
      <c r="I3453">
        <v>1</v>
      </c>
      <c r="J3453" t="s">
        <v>109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23</v>
      </c>
      <c r="R3453">
        <v>0</v>
      </c>
    </row>
    <row r="3454" spans="1:18">
      <c r="A3454" s="4">
        <v>3977330000000</v>
      </c>
      <c r="B3454" t="s">
        <v>18</v>
      </c>
      <c r="C3454">
        <v>29</v>
      </c>
      <c r="D3454" t="s">
        <v>37</v>
      </c>
      <c r="E3454" t="s">
        <v>64</v>
      </c>
      <c r="F3454" s="1">
        <v>42500</v>
      </c>
      <c r="G3454" s="1">
        <v>42510</v>
      </c>
      <c r="H3454" t="s">
        <v>21</v>
      </c>
      <c r="I3454">
        <v>10</v>
      </c>
      <c r="J3454" t="s">
        <v>92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23</v>
      </c>
      <c r="R3454">
        <v>0</v>
      </c>
    </row>
    <row r="3455" spans="1:18">
      <c r="A3455" s="4">
        <v>2849370000000</v>
      </c>
      <c r="B3455" t="s">
        <v>18</v>
      </c>
      <c r="C3455">
        <v>0</v>
      </c>
      <c r="D3455" t="s">
        <v>31</v>
      </c>
      <c r="E3455" t="s">
        <v>71</v>
      </c>
      <c r="F3455" s="1">
        <v>42500</v>
      </c>
      <c r="G3455" s="1">
        <v>42500</v>
      </c>
      <c r="H3455" t="s">
        <v>41</v>
      </c>
      <c r="I3455">
        <v>0</v>
      </c>
      <c r="J3455" t="s">
        <v>111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23</v>
      </c>
      <c r="R3455">
        <v>0</v>
      </c>
    </row>
    <row r="3456" spans="1:18">
      <c r="A3456" s="4">
        <v>65131200000000</v>
      </c>
      <c r="B3456" t="s">
        <v>28</v>
      </c>
      <c r="C3456">
        <v>22</v>
      </c>
      <c r="D3456" t="s">
        <v>37</v>
      </c>
      <c r="E3456" t="s">
        <v>96</v>
      </c>
      <c r="F3456" s="1">
        <v>42500</v>
      </c>
      <c r="G3456" s="1">
        <v>42508</v>
      </c>
      <c r="H3456" t="s">
        <v>25</v>
      </c>
      <c r="I3456">
        <v>8</v>
      </c>
      <c r="J3456" t="s">
        <v>92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26</v>
      </c>
      <c r="R3456">
        <v>1</v>
      </c>
    </row>
    <row r="3457" spans="1:18">
      <c r="A3457" s="4">
        <v>818719000000000</v>
      </c>
      <c r="B3457" t="s">
        <v>18</v>
      </c>
      <c r="C3457">
        <v>8</v>
      </c>
      <c r="D3457" t="s">
        <v>31</v>
      </c>
      <c r="E3457" t="s">
        <v>58</v>
      </c>
      <c r="F3457" s="1">
        <v>42500</v>
      </c>
      <c r="G3457" s="1">
        <v>42500</v>
      </c>
      <c r="H3457" t="s">
        <v>41</v>
      </c>
      <c r="I3457">
        <v>0</v>
      </c>
      <c r="J3457" t="s">
        <v>111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23</v>
      </c>
      <c r="R3457">
        <v>0</v>
      </c>
    </row>
    <row r="3458" spans="1:18">
      <c r="A3458" s="4">
        <v>93713700000000</v>
      </c>
      <c r="B3458" t="s">
        <v>18</v>
      </c>
      <c r="C3458">
        <v>51</v>
      </c>
      <c r="D3458" t="s">
        <v>35</v>
      </c>
      <c r="E3458" t="s">
        <v>57</v>
      </c>
      <c r="F3458" s="1">
        <v>42500</v>
      </c>
      <c r="G3458" s="1">
        <v>42500</v>
      </c>
      <c r="H3458" t="s">
        <v>41</v>
      </c>
      <c r="I3458">
        <v>0</v>
      </c>
      <c r="J3458" t="s">
        <v>111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23</v>
      </c>
      <c r="R3458">
        <v>0</v>
      </c>
    </row>
    <row r="3459" spans="1:18">
      <c r="A3459" s="4">
        <v>8759450000000</v>
      </c>
      <c r="B3459" t="s">
        <v>28</v>
      </c>
      <c r="C3459">
        <v>8</v>
      </c>
      <c r="D3459" t="s">
        <v>31</v>
      </c>
      <c r="E3459" t="s">
        <v>96</v>
      </c>
      <c r="F3459" s="1">
        <v>42500</v>
      </c>
      <c r="G3459" s="1">
        <v>42507</v>
      </c>
      <c r="H3459" t="s">
        <v>41</v>
      </c>
      <c r="I3459">
        <v>7</v>
      </c>
      <c r="J3459" t="s">
        <v>107</v>
      </c>
      <c r="K3459">
        <v>1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23</v>
      </c>
      <c r="R3459">
        <v>0</v>
      </c>
    </row>
    <row r="3460" spans="1:18">
      <c r="A3460" s="4">
        <v>653740000000000</v>
      </c>
      <c r="B3460" t="s">
        <v>28</v>
      </c>
      <c r="C3460">
        <v>25</v>
      </c>
      <c r="D3460" t="s">
        <v>37</v>
      </c>
      <c r="E3460" t="s">
        <v>20</v>
      </c>
      <c r="F3460" s="1">
        <v>42500</v>
      </c>
      <c r="G3460" s="1">
        <v>42500</v>
      </c>
      <c r="H3460" t="s">
        <v>41</v>
      </c>
      <c r="I3460">
        <v>0</v>
      </c>
      <c r="J3460" t="s">
        <v>111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23</v>
      </c>
      <c r="R3460">
        <v>0</v>
      </c>
    </row>
    <row r="3461" spans="1:18">
      <c r="A3461" s="4">
        <v>24868200000000</v>
      </c>
      <c r="B3461" t="s">
        <v>18</v>
      </c>
      <c r="C3461">
        <v>36</v>
      </c>
      <c r="D3461" t="s">
        <v>27</v>
      </c>
      <c r="E3461" t="s">
        <v>39</v>
      </c>
      <c r="F3461" s="1">
        <v>42500</v>
      </c>
      <c r="G3461" s="1">
        <v>42500</v>
      </c>
      <c r="H3461" t="s">
        <v>41</v>
      </c>
      <c r="I3461">
        <v>0</v>
      </c>
      <c r="J3461" t="s">
        <v>111</v>
      </c>
      <c r="K3461">
        <v>1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23</v>
      </c>
      <c r="R3461">
        <v>0</v>
      </c>
    </row>
    <row r="3462" spans="1:18">
      <c r="A3462" s="4">
        <v>2446590000000</v>
      </c>
      <c r="B3462" t="s">
        <v>28</v>
      </c>
      <c r="C3462">
        <v>9</v>
      </c>
      <c r="D3462" t="s">
        <v>31</v>
      </c>
      <c r="E3462" t="s">
        <v>73</v>
      </c>
      <c r="F3462" s="1">
        <v>42500</v>
      </c>
      <c r="G3462" s="1">
        <v>42500</v>
      </c>
      <c r="H3462" t="s">
        <v>41</v>
      </c>
      <c r="I3462">
        <v>0</v>
      </c>
      <c r="J3462" t="s">
        <v>111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26</v>
      </c>
      <c r="R3462">
        <v>1</v>
      </c>
    </row>
    <row r="3463" spans="1:18">
      <c r="A3463" s="4">
        <v>552167000000</v>
      </c>
      <c r="B3463" t="s">
        <v>18</v>
      </c>
      <c r="C3463">
        <v>43</v>
      </c>
      <c r="D3463" t="s">
        <v>27</v>
      </c>
      <c r="E3463" t="s">
        <v>32</v>
      </c>
      <c r="F3463" s="1">
        <v>42500</v>
      </c>
      <c r="G3463" s="1">
        <v>42502</v>
      </c>
      <c r="H3463" t="s">
        <v>33</v>
      </c>
      <c r="I3463">
        <v>2</v>
      </c>
      <c r="J3463" t="s">
        <v>109</v>
      </c>
      <c r="K3463">
        <v>1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23</v>
      </c>
      <c r="R3463">
        <v>0</v>
      </c>
    </row>
    <row r="3464" spans="1:18">
      <c r="A3464" s="4">
        <v>84193200000000</v>
      </c>
      <c r="B3464" t="s">
        <v>18</v>
      </c>
      <c r="C3464">
        <v>7</v>
      </c>
      <c r="D3464" t="s">
        <v>31</v>
      </c>
      <c r="E3464" t="s">
        <v>84</v>
      </c>
      <c r="F3464" s="1">
        <v>42500</v>
      </c>
      <c r="G3464" s="1">
        <v>42500</v>
      </c>
      <c r="H3464" t="s">
        <v>41</v>
      </c>
      <c r="I3464">
        <v>0</v>
      </c>
      <c r="J3464" t="s">
        <v>111</v>
      </c>
      <c r="K3464">
        <v>1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23</v>
      </c>
      <c r="R3464">
        <v>0</v>
      </c>
    </row>
    <row r="3465" spans="1:18">
      <c r="A3465" s="4">
        <v>549241000000000</v>
      </c>
      <c r="B3465" t="s">
        <v>18</v>
      </c>
      <c r="C3465">
        <v>58</v>
      </c>
      <c r="D3465" t="s">
        <v>35</v>
      </c>
      <c r="E3465" t="s">
        <v>29</v>
      </c>
      <c r="F3465" s="1">
        <v>42500</v>
      </c>
      <c r="G3465" s="1">
        <v>42528</v>
      </c>
      <c r="H3465" t="s">
        <v>41</v>
      </c>
      <c r="I3465">
        <v>28</v>
      </c>
      <c r="J3465" t="s">
        <v>77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1</v>
      </c>
      <c r="Q3465" t="s">
        <v>23</v>
      </c>
      <c r="R3465">
        <v>0</v>
      </c>
    </row>
    <row r="3466" spans="1:18">
      <c r="A3466" s="4">
        <v>19113700000000</v>
      </c>
      <c r="B3466" t="s">
        <v>28</v>
      </c>
      <c r="C3466">
        <v>14</v>
      </c>
      <c r="D3466" t="s">
        <v>60</v>
      </c>
      <c r="E3466" t="s">
        <v>39</v>
      </c>
      <c r="F3466" s="1">
        <v>42500</v>
      </c>
      <c r="G3466" s="1">
        <v>42500</v>
      </c>
      <c r="H3466" t="s">
        <v>41</v>
      </c>
      <c r="I3466">
        <v>0</v>
      </c>
      <c r="J3466" t="s">
        <v>111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23</v>
      </c>
      <c r="R3466">
        <v>0</v>
      </c>
    </row>
    <row r="3467" spans="1:18">
      <c r="A3467" s="4">
        <v>465883000000000</v>
      </c>
      <c r="B3467" t="s">
        <v>28</v>
      </c>
      <c r="C3467">
        <v>50</v>
      </c>
      <c r="D3467" t="s">
        <v>27</v>
      </c>
      <c r="E3467" t="s">
        <v>32</v>
      </c>
      <c r="F3467" s="1">
        <v>42500</v>
      </c>
      <c r="G3467" s="1">
        <v>42506</v>
      </c>
      <c r="H3467" t="s">
        <v>30</v>
      </c>
      <c r="I3467">
        <v>6</v>
      </c>
      <c r="J3467" t="s">
        <v>107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23</v>
      </c>
      <c r="R3467">
        <v>0</v>
      </c>
    </row>
    <row r="3468" spans="1:18">
      <c r="A3468" s="4">
        <v>97618200000000</v>
      </c>
      <c r="B3468" t="s">
        <v>18</v>
      </c>
      <c r="C3468">
        <v>58</v>
      </c>
      <c r="D3468" t="s">
        <v>35</v>
      </c>
      <c r="E3468" t="s">
        <v>39</v>
      </c>
      <c r="F3468" s="1">
        <v>42500</v>
      </c>
      <c r="G3468" s="1">
        <v>42500</v>
      </c>
      <c r="H3468" t="s">
        <v>41</v>
      </c>
      <c r="I3468">
        <v>0</v>
      </c>
      <c r="J3468" t="s">
        <v>111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26</v>
      </c>
      <c r="R3468">
        <v>1</v>
      </c>
    </row>
    <row r="3469" spans="1:18">
      <c r="A3469" s="4">
        <v>2135460000000</v>
      </c>
      <c r="B3469" t="s">
        <v>18</v>
      </c>
      <c r="C3469">
        <v>3</v>
      </c>
      <c r="D3469" t="s">
        <v>31</v>
      </c>
      <c r="E3469" t="s">
        <v>99</v>
      </c>
      <c r="F3469" s="1">
        <v>42500</v>
      </c>
      <c r="G3469" s="1">
        <v>42506</v>
      </c>
      <c r="H3469" t="s">
        <v>30</v>
      </c>
      <c r="I3469">
        <v>6</v>
      </c>
      <c r="J3469" t="s">
        <v>107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23</v>
      </c>
      <c r="R3469">
        <v>0</v>
      </c>
    </row>
    <row r="3470" spans="1:18">
      <c r="A3470" s="4">
        <v>27897500000000</v>
      </c>
      <c r="B3470" t="s">
        <v>18</v>
      </c>
      <c r="C3470">
        <v>17</v>
      </c>
      <c r="D3470" t="s">
        <v>60</v>
      </c>
      <c r="E3470" t="s">
        <v>65</v>
      </c>
      <c r="F3470" s="1">
        <v>42500</v>
      </c>
      <c r="G3470" s="1">
        <v>42502</v>
      </c>
      <c r="H3470" t="s">
        <v>33</v>
      </c>
      <c r="I3470">
        <v>2</v>
      </c>
      <c r="J3470" t="s">
        <v>109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26</v>
      </c>
      <c r="R3470">
        <v>1</v>
      </c>
    </row>
    <row r="3471" spans="1:18">
      <c r="A3471" s="4">
        <v>211620000000000</v>
      </c>
      <c r="B3471" t="s">
        <v>18</v>
      </c>
      <c r="C3471">
        <v>31</v>
      </c>
      <c r="D3471" t="s">
        <v>37</v>
      </c>
      <c r="E3471" t="s">
        <v>63</v>
      </c>
      <c r="F3471" s="1">
        <v>42500</v>
      </c>
      <c r="G3471" s="1">
        <v>42500</v>
      </c>
      <c r="H3471" t="s">
        <v>41</v>
      </c>
      <c r="I3471">
        <v>0</v>
      </c>
      <c r="J3471" t="s">
        <v>111</v>
      </c>
      <c r="K3471">
        <v>1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23</v>
      </c>
      <c r="R3471">
        <v>0</v>
      </c>
    </row>
    <row r="3472" spans="1:18">
      <c r="A3472" s="4">
        <v>49512200000000</v>
      </c>
      <c r="B3472" t="s">
        <v>28</v>
      </c>
      <c r="C3472">
        <v>16</v>
      </c>
      <c r="D3472" t="s">
        <v>60</v>
      </c>
      <c r="E3472" t="s">
        <v>48</v>
      </c>
      <c r="F3472" s="1">
        <v>42500</v>
      </c>
      <c r="G3472" s="1">
        <v>42500</v>
      </c>
      <c r="H3472" t="s">
        <v>41</v>
      </c>
      <c r="I3472">
        <v>0</v>
      </c>
      <c r="J3472" t="s">
        <v>111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26</v>
      </c>
      <c r="R3472">
        <v>1</v>
      </c>
    </row>
    <row r="3473" spans="1:18">
      <c r="A3473" s="4">
        <v>248384000000</v>
      </c>
      <c r="B3473" t="s">
        <v>18</v>
      </c>
      <c r="C3473">
        <v>17</v>
      </c>
      <c r="D3473" t="s">
        <v>60</v>
      </c>
      <c r="E3473" t="s">
        <v>100</v>
      </c>
      <c r="F3473" s="1">
        <v>42500</v>
      </c>
      <c r="G3473" s="1">
        <v>42500</v>
      </c>
      <c r="H3473" t="s">
        <v>41</v>
      </c>
      <c r="I3473">
        <v>0</v>
      </c>
      <c r="J3473" t="s">
        <v>111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26</v>
      </c>
      <c r="R3473">
        <v>1</v>
      </c>
    </row>
    <row r="3474" spans="1:18">
      <c r="A3474" s="4">
        <v>51945100000000</v>
      </c>
      <c r="B3474" t="s">
        <v>28</v>
      </c>
      <c r="C3474">
        <v>36</v>
      </c>
      <c r="D3474" t="s">
        <v>27</v>
      </c>
      <c r="E3474" t="s">
        <v>96</v>
      </c>
      <c r="F3474" s="1">
        <v>42500</v>
      </c>
      <c r="G3474" s="1">
        <v>42507</v>
      </c>
      <c r="H3474" t="s">
        <v>41</v>
      </c>
      <c r="I3474">
        <v>7</v>
      </c>
      <c r="J3474" t="s">
        <v>107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23</v>
      </c>
      <c r="R3474">
        <v>0</v>
      </c>
    </row>
    <row r="3475" spans="1:18">
      <c r="A3475" s="4">
        <v>826511000000000</v>
      </c>
      <c r="B3475" t="s">
        <v>18</v>
      </c>
      <c r="C3475">
        <v>40</v>
      </c>
      <c r="D3475" t="s">
        <v>27</v>
      </c>
      <c r="E3475" t="s">
        <v>100</v>
      </c>
      <c r="F3475" s="1">
        <v>42500</v>
      </c>
      <c r="G3475" s="1">
        <v>42514</v>
      </c>
      <c r="H3475" t="s">
        <v>41</v>
      </c>
      <c r="I3475">
        <v>14</v>
      </c>
      <c r="J3475" t="s">
        <v>92</v>
      </c>
      <c r="K3475">
        <v>0</v>
      </c>
      <c r="L3475">
        <v>1</v>
      </c>
      <c r="M3475">
        <v>0</v>
      </c>
      <c r="N3475">
        <v>0</v>
      </c>
      <c r="O3475">
        <v>0</v>
      </c>
      <c r="P3475">
        <v>1</v>
      </c>
      <c r="Q3475" t="s">
        <v>26</v>
      </c>
      <c r="R3475">
        <v>1</v>
      </c>
    </row>
    <row r="3476" spans="1:18">
      <c r="A3476" s="4">
        <v>436194000000</v>
      </c>
      <c r="B3476" t="s">
        <v>18</v>
      </c>
      <c r="C3476">
        <v>24</v>
      </c>
      <c r="D3476" t="s">
        <v>37</v>
      </c>
      <c r="E3476" t="s">
        <v>106</v>
      </c>
      <c r="F3476" s="1">
        <v>42500</v>
      </c>
      <c r="G3476" s="1">
        <v>42500</v>
      </c>
      <c r="H3476" t="s">
        <v>41</v>
      </c>
      <c r="I3476">
        <v>0</v>
      </c>
      <c r="J3476" t="s">
        <v>111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23</v>
      </c>
      <c r="R3476">
        <v>0</v>
      </c>
    </row>
    <row r="3477" spans="1:18">
      <c r="A3477" s="4">
        <v>2684830000000</v>
      </c>
      <c r="B3477" t="s">
        <v>18</v>
      </c>
      <c r="C3477">
        <v>49</v>
      </c>
      <c r="D3477" t="s">
        <v>27</v>
      </c>
      <c r="E3477" t="s">
        <v>48</v>
      </c>
      <c r="F3477" s="1">
        <v>42500</v>
      </c>
      <c r="G3477" s="1">
        <v>42514</v>
      </c>
      <c r="H3477" t="s">
        <v>41</v>
      </c>
      <c r="I3477">
        <v>14</v>
      </c>
      <c r="J3477" t="s">
        <v>92</v>
      </c>
      <c r="K3477">
        <v>0</v>
      </c>
      <c r="L3477">
        <v>1</v>
      </c>
      <c r="M3477">
        <v>0</v>
      </c>
      <c r="N3477">
        <v>0</v>
      </c>
      <c r="O3477">
        <v>0</v>
      </c>
      <c r="P3477">
        <v>0</v>
      </c>
      <c r="Q3477" t="s">
        <v>23</v>
      </c>
      <c r="R3477">
        <v>0</v>
      </c>
    </row>
    <row r="3478" spans="1:18">
      <c r="A3478" s="4">
        <v>4462360000000</v>
      </c>
      <c r="B3478" t="s">
        <v>18</v>
      </c>
      <c r="C3478">
        <v>0</v>
      </c>
      <c r="D3478" t="s">
        <v>31</v>
      </c>
      <c r="E3478" t="s">
        <v>45</v>
      </c>
      <c r="F3478" s="1">
        <v>42500</v>
      </c>
      <c r="G3478" s="1">
        <v>42500</v>
      </c>
      <c r="H3478" t="s">
        <v>41</v>
      </c>
      <c r="I3478">
        <v>0</v>
      </c>
      <c r="J3478" t="s">
        <v>111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23</v>
      </c>
      <c r="R3478">
        <v>0</v>
      </c>
    </row>
    <row r="3479" spans="1:18">
      <c r="A3479" s="4">
        <v>1919350000000</v>
      </c>
      <c r="B3479" t="s">
        <v>28</v>
      </c>
      <c r="C3479">
        <v>63</v>
      </c>
      <c r="D3479" t="s">
        <v>35</v>
      </c>
      <c r="E3479" t="s">
        <v>63</v>
      </c>
      <c r="F3479" s="1">
        <v>42500</v>
      </c>
      <c r="G3479" s="1">
        <v>42510</v>
      </c>
      <c r="H3479" t="s">
        <v>21</v>
      </c>
      <c r="I3479">
        <v>10</v>
      </c>
      <c r="J3479" t="s">
        <v>92</v>
      </c>
      <c r="K3479">
        <v>0</v>
      </c>
      <c r="L3479">
        <v>1</v>
      </c>
      <c r="M3479">
        <v>0</v>
      </c>
      <c r="N3479">
        <v>1</v>
      </c>
      <c r="O3479">
        <v>0</v>
      </c>
      <c r="P3479">
        <v>0</v>
      </c>
      <c r="Q3479" t="s">
        <v>26</v>
      </c>
      <c r="R3479">
        <v>1</v>
      </c>
    </row>
    <row r="3480" spans="1:18">
      <c r="A3480" s="4">
        <v>73646100000000</v>
      </c>
      <c r="B3480" t="s">
        <v>18</v>
      </c>
      <c r="C3480">
        <v>32</v>
      </c>
      <c r="D3480" t="s">
        <v>37</v>
      </c>
      <c r="E3480" t="s">
        <v>96</v>
      </c>
      <c r="F3480" s="1">
        <v>42500</v>
      </c>
      <c r="G3480" s="1">
        <v>42509</v>
      </c>
      <c r="H3480" t="s">
        <v>33</v>
      </c>
      <c r="I3480">
        <v>9</v>
      </c>
      <c r="J3480" t="s">
        <v>92</v>
      </c>
      <c r="K3480">
        <v>1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23</v>
      </c>
      <c r="R3480">
        <v>0</v>
      </c>
    </row>
    <row r="3481" spans="1:18">
      <c r="A3481" s="4">
        <v>27359443387</v>
      </c>
      <c r="B3481" t="s">
        <v>18</v>
      </c>
      <c r="C3481">
        <v>5</v>
      </c>
      <c r="D3481" t="s">
        <v>31</v>
      </c>
      <c r="E3481" t="s">
        <v>59</v>
      </c>
      <c r="F3481" s="1">
        <v>42500</v>
      </c>
      <c r="G3481" s="1">
        <v>42500</v>
      </c>
      <c r="H3481" t="s">
        <v>41</v>
      </c>
      <c r="I3481">
        <v>0</v>
      </c>
      <c r="J3481" t="s">
        <v>111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23</v>
      </c>
      <c r="R3481">
        <v>0</v>
      </c>
    </row>
    <row r="3482" spans="1:18">
      <c r="A3482" s="4">
        <v>9278750000000</v>
      </c>
      <c r="B3482" t="s">
        <v>18</v>
      </c>
      <c r="C3482">
        <v>80</v>
      </c>
      <c r="D3482" t="s">
        <v>19</v>
      </c>
      <c r="E3482" t="s">
        <v>32</v>
      </c>
      <c r="F3482" s="1">
        <v>42500</v>
      </c>
      <c r="G3482" s="1">
        <v>42527</v>
      </c>
      <c r="H3482" t="s">
        <v>30</v>
      </c>
      <c r="I3482">
        <v>27</v>
      </c>
      <c r="J3482" t="s">
        <v>77</v>
      </c>
      <c r="K3482">
        <v>0</v>
      </c>
      <c r="L3482">
        <v>1</v>
      </c>
      <c r="M3482">
        <v>0</v>
      </c>
      <c r="N3482">
        <v>0</v>
      </c>
      <c r="O3482">
        <v>0</v>
      </c>
      <c r="P3482">
        <v>1</v>
      </c>
      <c r="Q3482" t="s">
        <v>23</v>
      </c>
      <c r="R3482">
        <v>0</v>
      </c>
    </row>
    <row r="3483" spans="1:18">
      <c r="A3483" s="4">
        <v>18791561786</v>
      </c>
      <c r="B3483" t="s">
        <v>28</v>
      </c>
      <c r="C3483">
        <v>66</v>
      </c>
      <c r="D3483" t="s">
        <v>19</v>
      </c>
      <c r="E3483" t="s">
        <v>78</v>
      </c>
      <c r="F3483" s="1">
        <v>42500</v>
      </c>
      <c r="G3483" s="1">
        <v>42501</v>
      </c>
      <c r="H3483" t="s">
        <v>25</v>
      </c>
      <c r="I3483">
        <v>1</v>
      </c>
      <c r="J3483" t="s">
        <v>109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23</v>
      </c>
      <c r="R3483">
        <v>0</v>
      </c>
    </row>
    <row r="3484" spans="1:18">
      <c r="A3484" s="4">
        <v>789516000000000</v>
      </c>
      <c r="B3484" t="s">
        <v>28</v>
      </c>
      <c r="C3484">
        <v>67</v>
      </c>
      <c r="D3484" t="s">
        <v>19</v>
      </c>
      <c r="E3484" t="s">
        <v>50</v>
      </c>
      <c r="F3484" s="1">
        <v>42500</v>
      </c>
      <c r="G3484" s="1">
        <v>42501</v>
      </c>
      <c r="H3484" t="s">
        <v>25</v>
      </c>
      <c r="I3484">
        <v>1</v>
      </c>
      <c r="J3484" t="s">
        <v>109</v>
      </c>
      <c r="K3484">
        <v>0</v>
      </c>
      <c r="L3484">
        <v>1</v>
      </c>
      <c r="M3484">
        <v>0</v>
      </c>
      <c r="N3484">
        <v>0</v>
      </c>
      <c r="O3484">
        <v>0</v>
      </c>
      <c r="P3484">
        <v>0</v>
      </c>
      <c r="Q3484" t="s">
        <v>23</v>
      </c>
      <c r="R3484">
        <v>0</v>
      </c>
    </row>
    <row r="3485" spans="1:18">
      <c r="A3485" s="4">
        <v>762566000000000</v>
      </c>
      <c r="B3485" t="s">
        <v>18</v>
      </c>
      <c r="C3485">
        <v>59</v>
      </c>
      <c r="D3485" t="s">
        <v>35</v>
      </c>
      <c r="E3485" t="s">
        <v>56</v>
      </c>
      <c r="F3485" s="1">
        <v>42500</v>
      </c>
      <c r="G3485" s="1">
        <v>42500</v>
      </c>
      <c r="H3485" t="s">
        <v>41</v>
      </c>
      <c r="I3485">
        <v>0</v>
      </c>
      <c r="J3485" t="s">
        <v>111</v>
      </c>
      <c r="K3485">
        <v>0</v>
      </c>
      <c r="L3485">
        <v>1</v>
      </c>
      <c r="M3485">
        <v>0</v>
      </c>
      <c r="N3485">
        <v>0</v>
      </c>
      <c r="O3485">
        <v>0</v>
      </c>
      <c r="P3485">
        <v>0</v>
      </c>
      <c r="Q3485" t="s">
        <v>26</v>
      </c>
      <c r="R3485">
        <v>1</v>
      </c>
    </row>
    <row r="3486" spans="1:18">
      <c r="A3486" s="4">
        <v>4198570000000</v>
      </c>
      <c r="B3486" t="s">
        <v>18</v>
      </c>
      <c r="C3486">
        <v>7</v>
      </c>
      <c r="D3486" t="s">
        <v>31</v>
      </c>
      <c r="E3486" t="s">
        <v>72</v>
      </c>
      <c r="F3486" s="1">
        <v>42500</v>
      </c>
      <c r="G3486" s="1">
        <v>42500</v>
      </c>
      <c r="H3486" t="s">
        <v>41</v>
      </c>
      <c r="I3486">
        <v>0</v>
      </c>
      <c r="J3486" t="s">
        <v>111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23</v>
      </c>
      <c r="R3486">
        <v>0</v>
      </c>
    </row>
    <row r="3487" spans="1:18">
      <c r="A3487" s="4">
        <v>618833000000000</v>
      </c>
      <c r="B3487" t="s">
        <v>28</v>
      </c>
      <c r="C3487">
        <v>52</v>
      </c>
      <c r="D3487" t="s">
        <v>35</v>
      </c>
      <c r="E3487" t="s">
        <v>39</v>
      </c>
      <c r="F3487" s="1">
        <v>42500</v>
      </c>
      <c r="G3487" s="1">
        <v>42501</v>
      </c>
      <c r="H3487" t="s">
        <v>25</v>
      </c>
      <c r="I3487">
        <v>1</v>
      </c>
      <c r="J3487" t="s">
        <v>109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23</v>
      </c>
      <c r="R3487">
        <v>0</v>
      </c>
    </row>
    <row r="3488" spans="1:18">
      <c r="A3488" s="4">
        <v>549643000000</v>
      </c>
      <c r="B3488" t="s">
        <v>18</v>
      </c>
      <c r="C3488">
        <v>44</v>
      </c>
      <c r="D3488" t="s">
        <v>27</v>
      </c>
      <c r="E3488" t="s">
        <v>57</v>
      </c>
      <c r="F3488" s="1">
        <v>42500</v>
      </c>
      <c r="G3488" s="1">
        <v>42501</v>
      </c>
      <c r="H3488" t="s">
        <v>25</v>
      </c>
      <c r="I3488">
        <v>1</v>
      </c>
      <c r="J3488" t="s">
        <v>109</v>
      </c>
      <c r="K3488">
        <v>0</v>
      </c>
      <c r="L3488">
        <v>0</v>
      </c>
      <c r="M3488">
        <v>0</v>
      </c>
      <c r="N3488">
        <v>1</v>
      </c>
      <c r="O3488">
        <v>0</v>
      </c>
      <c r="P3488">
        <v>0</v>
      </c>
      <c r="Q3488" t="s">
        <v>23</v>
      </c>
      <c r="R3488">
        <v>0</v>
      </c>
    </row>
    <row r="3489" spans="1:18">
      <c r="A3489" s="4">
        <v>441325000000</v>
      </c>
      <c r="B3489" t="s">
        <v>18</v>
      </c>
      <c r="C3489">
        <v>52</v>
      </c>
      <c r="D3489" t="s">
        <v>35</v>
      </c>
      <c r="E3489" t="s">
        <v>64</v>
      </c>
      <c r="F3489" s="1">
        <v>42500</v>
      </c>
      <c r="G3489" s="1">
        <v>42501</v>
      </c>
      <c r="H3489" t="s">
        <v>25</v>
      </c>
      <c r="I3489">
        <v>1</v>
      </c>
      <c r="J3489" t="s">
        <v>109</v>
      </c>
      <c r="K3489">
        <v>0</v>
      </c>
      <c r="L3489">
        <v>1</v>
      </c>
      <c r="M3489">
        <v>0</v>
      </c>
      <c r="N3489">
        <v>0</v>
      </c>
      <c r="O3489">
        <v>1</v>
      </c>
      <c r="P3489">
        <v>0</v>
      </c>
      <c r="Q3489" t="s">
        <v>23</v>
      </c>
      <c r="R3489">
        <v>0</v>
      </c>
    </row>
    <row r="3490" spans="1:18">
      <c r="A3490" s="4">
        <v>25796900000000</v>
      </c>
      <c r="B3490" t="s">
        <v>28</v>
      </c>
      <c r="C3490">
        <v>9</v>
      </c>
      <c r="D3490" t="s">
        <v>31</v>
      </c>
      <c r="E3490" t="s">
        <v>51</v>
      </c>
      <c r="F3490" s="1">
        <v>42500</v>
      </c>
      <c r="G3490" s="1">
        <v>42500</v>
      </c>
      <c r="H3490" t="s">
        <v>41</v>
      </c>
      <c r="I3490">
        <v>0</v>
      </c>
      <c r="J3490" t="s">
        <v>111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23</v>
      </c>
      <c r="R3490">
        <v>0</v>
      </c>
    </row>
    <row r="3491" spans="1:18">
      <c r="A3491" s="4">
        <v>81111700000000</v>
      </c>
      <c r="B3491" t="s">
        <v>18</v>
      </c>
      <c r="C3491">
        <v>13</v>
      </c>
      <c r="D3491" t="s">
        <v>60</v>
      </c>
      <c r="E3491" t="s">
        <v>56</v>
      </c>
      <c r="F3491" s="1">
        <v>42500</v>
      </c>
      <c r="G3491" s="1">
        <v>42506</v>
      </c>
      <c r="H3491" t="s">
        <v>30</v>
      </c>
      <c r="I3491">
        <v>6</v>
      </c>
      <c r="J3491" t="s">
        <v>107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26</v>
      </c>
      <c r="R3491">
        <v>1</v>
      </c>
    </row>
    <row r="3492" spans="1:18">
      <c r="A3492" s="4">
        <v>4498590000000</v>
      </c>
      <c r="B3492" t="s">
        <v>28</v>
      </c>
      <c r="C3492">
        <v>1</v>
      </c>
      <c r="D3492" t="s">
        <v>31</v>
      </c>
      <c r="E3492" t="s">
        <v>87</v>
      </c>
      <c r="F3492" s="1">
        <v>42500</v>
      </c>
      <c r="G3492" s="1">
        <v>42500</v>
      </c>
      <c r="H3492" t="s">
        <v>41</v>
      </c>
      <c r="I3492">
        <v>0</v>
      </c>
      <c r="J3492" t="s">
        <v>111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23</v>
      </c>
      <c r="R3492">
        <v>0</v>
      </c>
    </row>
    <row r="3493" spans="1:18">
      <c r="A3493" s="4">
        <v>9169980000000</v>
      </c>
      <c r="B3493" t="s">
        <v>18</v>
      </c>
      <c r="C3493">
        <v>52</v>
      </c>
      <c r="D3493" t="s">
        <v>35</v>
      </c>
      <c r="E3493" t="s">
        <v>67</v>
      </c>
      <c r="F3493" s="1">
        <v>42500</v>
      </c>
      <c r="G3493" s="1">
        <v>42501</v>
      </c>
      <c r="H3493" t="s">
        <v>25</v>
      </c>
      <c r="I3493">
        <v>1</v>
      </c>
      <c r="J3493" t="s">
        <v>109</v>
      </c>
      <c r="K3493">
        <v>1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26</v>
      </c>
      <c r="R3493">
        <v>1</v>
      </c>
    </row>
    <row r="3494" spans="1:18">
      <c r="A3494" s="4">
        <v>95713700000000</v>
      </c>
      <c r="B3494" t="s">
        <v>18</v>
      </c>
      <c r="C3494">
        <v>34</v>
      </c>
      <c r="D3494" t="s">
        <v>37</v>
      </c>
      <c r="E3494" t="s">
        <v>29</v>
      </c>
      <c r="F3494" s="1">
        <v>42500</v>
      </c>
      <c r="G3494" s="1">
        <v>42500</v>
      </c>
      <c r="H3494" t="s">
        <v>41</v>
      </c>
      <c r="I3494">
        <v>0</v>
      </c>
      <c r="J3494" t="s">
        <v>111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23</v>
      </c>
      <c r="R3494">
        <v>0</v>
      </c>
    </row>
    <row r="3495" spans="1:18">
      <c r="A3495" s="4">
        <v>771463000000000</v>
      </c>
      <c r="B3495" t="s">
        <v>18</v>
      </c>
      <c r="C3495">
        <v>58</v>
      </c>
      <c r="D3495" t="s">
        <v>35</v>
      </c>
      <c r="E3495" t="s">
        <v>46</v>
      </c>
      <c r="F3495" s="1">
        <v>42500</v>
      </c>
      <c r="G3495" s="1">
        <v>42500</v>
      </c>
      <c r="H3495" t="s">
        <v>41</v>
      </c>
      <c r="I3495">
        <v>0</v>
      </c>
      <c r="J3495" t="s">
        <v>111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23</v>
      </c>
      <c r="R3495">
        <v>0</v>
      </c>
    </row>
    <row r="3496" spans="1:18">
      <c r="A3496" s="4">
        <v>91115400000000</v>
      </c>
      <c r="B3496" t="s">
        <v>18</v>
      </c>
      <c r="C3496">
        <v>93</v>
      </c>
      <c r="D3496" t="s">
        <v>19</v>
      </c>
      <c r="E3496" t="s">
        <v>29</v>
      </c>
      <c r="F3496" s="1">
        <v>42500</v>
      </c>
      <c r="G3496" s="1">
        <v>42500</v>
      </c>
      <c r="H3496" t="s">
        <v>41</v>
      </c>
      <c r="I3496">
        <v>0</v>
      </c>
      <c r="J3496" t="s">
        <v>111</v>
      </c>
      <c r="K3496">
        <v>0</v>
      </c>
      <c r="L3496">
        <v>1</v>
      </c>
      <c r="M3496">
        <v>0</v>
      </c>
      <c r="N3496">
        <v>0</v>
      </c>
      <c r="O3496">
        <v>1</v>
      </c>
      <c r="P3496">
        <v>0</v>
      </c>
      <c r="Q3496" t="s">
        <v>23</v>
      </c>
      <c r="R3496">
        <v>0</v>
      </c>
    </row>
    <row r="3497" spans="1:18">
      <c r="A3497" s="4">
        <v>2771650000000</v>
      </c>
      <c r="B3497" t="s">
        <v>28</v>
      </c>
      <c r="C3497">
        <v>1</v>
      </c>
      <c r="D3497" t="s">
        <v>31</v>
      </c>
      <c r="E3497" t="s">
        <v>105</v>
      </c>
      <c r="F3497" s="1">
        <v>42500</v>
      </c>
      <c r="G3497" s="1">
        <v>42500</v>
      </c>
      <c r="H3497" t="s">
        <v>41</v>
      </c>
      <c r="I3497">
        <v>0</v>
      </c>
      <c r="J3497" t="s">
        <v>111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23</v>
      </c>
      <c r="R3497">
        <v>0</v>
      </c>
    </row>
    <row r="3498" spans="1:18">
      <c r="A3498" s="4">
        <v>44886400000000</v>
      </c>
      <c r="B3498" t="s">
        <v>18</v>
      </c>
      <c r="C3498">
        <v>37</v>
      </c>
      <c r="D3498" t="s">
        <v>27</v>
      </c>
      <c r="E3498" t="s">
        <v>84</v>
      </c>
      <c r="F3498" s="1">
        <v>42500</v>
      </c>
      <c r="G3498" s="1">
        <v>42500</v>
      </c>
      <c r="H3498" t="s">
        <v>41</v>
      </c>
      <c r="I3498">
        <v>0</v>
      </c>
      <c r="J3498" t="s">
        <v>111</v>
      </c>
      <c r="K3498">
        <v>1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23</v>
      </c>
      <c r="R3498">
        <v>0</v>
      </c>
    </row>
    <row r="3499" spans="1:18">
      <c r="A3499" s="4">
        <v>589458000000</v>
      </c>
      <c r="B3499" t="s">
        <v>18</v>
      </c>
      <c r="C3499">
        <v>39</v>
      </c>
      <c r="D3499" t="s">
        <v>27</v>
      </c>
      <c r="E3499" t="s">
        <v>36</v>
      </c>
      <c r="F3499" s="1">
        <v>42500</v>
      </c>
      <c r="G3499" s="1">
        <v>42507</v>
      </c>
      <c r="H3499" t="s">
        <v>41</v>
      </c>
      <c r="I3499">
        <v>7</v>
      </c>
      <c r="J3499" t="s">
        <v>107</v>
      </c>
      <c r="K3499">
        <v>0</v>
      </c>
      <c r="L3499">
        <v>1</v>
      </c>
      <c r="M3499">
        <v>1</v>
      </c>
      <c r="N3499">
        <v>0</v>
      </c>
      <c r="O3499">
        <v>0</v>
      </c>
      <c r="P3499">
        <v>0</v>
      </c>
      <c r="Q3499" t="s">
        <v>23</v>
      </c>
      <c r="R3499">
        <v>0</v>
      </c>
    </row>
    <row r="3500" spans="1:18">
      <c r="A3500" s="4">
        <v>13536700000000</v>
      </c>
      <c r="B3500" t="s">
        <v>28</v>
      </c>
      <c r="C3500">
        <v>61</v>
      </c>
      <c r="D3500" t="s">
        <v>35</v>
      </c>
      <c r="E3500" t="s">
        <v>55</v>
      </c>
      <c r="F3500" s="1">
        <v>42500</v>
      </c>
      <c r="G3500" s="1">
        <v>42500</v>
      </c>
      <c r="H3500" t="s">
        <v>41</v>
      </c>
      <c r="I3500">
        <v>0</v>
      </c>
      <c r="J3500" t="s">
        <v>111</v>
      </c>
      <c r="K3500">
        <v>0</v>
      </c>
      <c r="L3500">
        <v>1</v>
      </c>
      <c r="M3500">
        <v>0</v>
      </c>
      <c r="N3500">
        <v>0</v>
      </c>
      <c r="O3500">
        <v>0</v>
      </c>
      <c r="P3500">
        <v>0</v>
      </c>
      <c r="Q3500" t="s">
        <v>23</v>
      </c>
      <c r="R3500">
        <v>0</v>
      </c>
    </row>
    <row r="3501" spans="1:18">
      <c r="A3501" s="4">
        <v>828646000000000</v>
      </c>
      <c r="B3501" t="s">
        <v>28</v>
      </c>
      <c r="C3501">
        <v>0</v>
      </c>
      <c r="D3501" t="s">
        <v>31</v>
      </c>
      <c r="E3501" t="s">
        <v>84</v>
      </c>
      <c r="F3501" s="1">
        <v>42500</v>
      </c>
      <c r="G3501" s="1">
        <v>42502</v>
      </c>
      <c r="H3501" t="s">
        <v>33</v>
      </c>
      <c r="I3501">
        <v>2</v>
      </c>
      <c r="J3501" t="s">
        <v>109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23</v>
      </c>
      <c r="R3501">
        <v>0</v>
      </c>
    </row>
    <row r="3502" spans="1:18">
      <c r="A3502" s="4">
        <v>24434800000000</v>
      </c>
      <c r="B3502" t="s">
        <v>18</v>
      </c>
      <c r="C3502">
        <v>38</v>
      </c>
      <c r="D3502" t="s">
        <v>27</v>
      </c>
      <c r="E3502" t="s">
        <v>106</v>
      </c>
      <c r="F3502" s="1">
        <v>42500</v>
      </c>
      <c r="G3502" s="1">
        <v>42507</v>
      </c>
      <c r="H3502" t="s">
        <v>41</v>
      </c>
      <c r="I3502">
        <v>7</v>
      </c>
      <c r="J3502" t="s">
        <v>107</v>
      </c>
      <c r="K3502">
        <v>0</v>
      </c>
      <c r="L3502">
        <v>1</v>
      </c>
      <c r="M3502">
        <v>0</v>
      </c>
      <c r="N3502">
        <v>0</v>
      </c>
      <c r="O3502">
        <v>1</v>
      </c>
      <c r="P3502">
        <v>0</v>
      </c>
      <c r="Q3502" t="s">
        <v>23</v>
      </c>
      <c r="R3502">
        <v>0</v>
      </c>
    </row>
    <row r="3503" spans="1:18">
      <c r="A3503" s="4">
        <v>21122400000000</v>
      </c>
      <c r="B3503" t="s">
        <v>28</v>
      </c>
      <c r="C3503">
        <v>25</v>
      </c>
      <c r="D3503" t="s">
        <v>37</v>
      </c>
      <c r="E3503" t="s">
        <v>59</v>
      </c>
      <c r="F3503" s="1">
        <v>42500</v>
      </c>
      <c r="G3503" s="1">
        <v>42500</v>
      </c>
      <c r="H3503" t="s">
        <v>41</v>
      </c>
      <c r="I3503">
        <v>0</v>
      </c>
      <c r="J3503" t="s">
        <v>111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23</v>
      </c>
      <c r="R3503">
        <v>0</v>
      </c>
    </row>
    <row r="3504" spans="1:18">
      <c r="A3504" s="4">
        <v>268992000000</v>
      </c>
      <c r="B3504" t="s">
        <v>18</v>
      </c>
      <c r="C3504">
        <v>57</v>
      </c>
      <c r="D3504" t="s">
        <v>35</v>
      </c>
      <c r="E3504" t="s">
        <v>39</v>
      </c>
      <c r="F3504" s="1">
        <v>42500</v>
      </c>
      <c r="G3504" s="1">
        <v>42502</v>
      </c>
      <c r="H3504" t="s">
        <v>33</v>
      </c>
      <c r="I3504">
        <v>2</v>
      </c>
      <c r="J3504" t="s">
        <v>109</v>
      </c>
      <c r="K3504">
        <v>0</v>
      </c>
      <c r="L3504">
        <v>1</v>
      </c>
      <c r="M3504">
        <v>1</v>
      </c>
      <c r="N3504">
        <v>0</v>
      </c>
      <c r="O3504">
        <v>0</v>
      </c>
      <c r="P3504">
        <v>0</v>
      </c>
      <c r="Q3504" t="s">
        <v>26</v>
      </c>
      <c r="R3504">
        <v>1</v>
      </c>
    </row>
    <row r="3505" spans="1:18">
      <c r="A3505" s="4">
        <v>292630000000</v>
      </c>
      <c r="B3505" t="s">
        <v>18</v>
      </c>
      <c r="C3505">
        <v>2</v>
      </c>
      <c r="D3505" t="s">
        <v>31</v>
      </c>
      <c r="E3505" t="s">
        <v>71</v>
      </c>
      <c r="F3505" s="1">
        <v>42500</v>
      </c>
      <c r="G3505" s="1">
        <v>42502</v>
      </c>
      <c r="H3505" t="s">
        <v>33</v>
      </c>
      <c r="I3505">
        <v>2</v>
      </c>
      <c r="J3505" t="s">
        <v>109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23</v>
      </c>
      <c r="R3505">
        <v>0</v>
      </c>
    </row>
    <row r="3506" spans="1:18">
      <c r="A3506" s="4">
        <v>7138110000000</v>
      </c>
      <c r="B3506" t="s">
        <v>28</v>
      </c>
      <c r="C3506">
        <v>20</v>
      </c>
      <c r="D3506" t="s">
        <v>37</v>
      </c>
      <c r="E3506" t="s">
        <v>94</v>
      </c>
      <c r="F3506" s="1">
        <v>42500</v>
      </c>
      <c r="G3506" s="1">
        <v>42500</v>
      </c>
      <c r="H3506" t="s">
        <v>41</v>
      </c>
      <c r="I3506">
        <v>0</v>
      </c>
      <c r="J3506" t="s">
        <v>111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23</v>
      </c>
      <c r="R3506">
        <v>0</v>
      </c>
    </row>
    <row r="3507" spans="1:18">
      <c r="A3507" s="4">
        <v>7858250000000</v>
      </c>
      <c r="B3507" t="s">
        <v>18</v>
      </c>
      <c r="C3507">
        <v>4</v>
      </c>
      <c r="D3507" t="s">
        <v>31</v>
      </c>
      <c r="E3507" t="s">
        <v>47</v>
      </c>
      <c r="F3507" s="1">
        <v>42500</v>
      </c>
      <c r="G3507" s="1">
        <v>42509</v>
      </c>
      <c r="H3507" t="s">
        <v>33</v>
      </c>
      <c r="I3507">
        <v>9</v>
      </c>
      <c r="J3507" t="s">
        <v>92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26</v>
      </c>
      <c r="R3507">
        <v>1</v>
      </c>
    </row>
    <row r="3508" spans="1:18">
      <c r="A3508" s="4">
        <v>747140000000000</v>
      </c>
      <c r="B3508" t="s">
        <v>18</v>
      </c>
      <c r="C3508">
        <v>41</v>
      </c>
      <c r="D3508" t="s">
        <v>27</v>
      </c>
      <c r="E3508" t="s">
        <v>57</v>
      </c>
      <c r="F3508" s="1">
        <v>42500</v>
      </c>
      <c r="G3508" s="1">
        <v>42514</v>
      </c>
      <c r="H3508" t="s">
        <v>41</v>
      </c>
      <c r="I3508">
        <v>14</v>
      </c>
      <c r="J3508" t="s">
        <v>92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1</v>
      </c>
      <c r="Q3508" t="s">
        <v>23</v>
      </c>
      <c r="R3508">
        <v>0</v>
      </c>
    </row>
    <row r="3509" spans="1:18">
      <c r="A3509" s="4">
        <v>89462900000000</v>
      </c>
      <c r="B3509" t="s">
        <v>28</v>
      </c>
      <c r="C3509">
        <v>46</v>
      </c>
      <c r="D3509" t="s">
        <v>27</v>
      </c>
      <c r="E3509" t="s">
        <v>105</v>
      </c>
      <c r="F3509" s="1">
        <v>42500</v>
      </c>
      <c r="G3509" s="1">
        <v>42500</v>
      </c>
      <c r="H3509" t="s">
        <v>41</v>
      </c>
      <c r="I3509">
        <v>0</v>
      </c>
      <c r="J3509" t="s">
        <v>111</v>
      </c>
      <c r="K3509">
        <v>0</v>
      </c>
      <c r="L3509">
        <v>0</v>
      </c>
      <c r="M3509">
        <v>0</v>
      </c>
      <c r="N3509">
        <v>1</v>
      </c>
      <c r="O3509">
        <v>0</v>
      </c>
      <c r="P3509">
        <v>0</v>
      </c>
      <c r="Q3509" t="s">
        <v>23</v>
      </c>
      <c r="R3509">
        <v>0</v>
      </c>
    </row>
    <row r="3510" spans="1:18">
      <c r="A3510" s="4">
        <v>4153760000000</v>
      </c>
      <c r="B3510" t="s">
        <v>28</v>
      </c>
      <c r="C3510">
        <v>63</v>
      </c>
      <c r="D3510" t="s">
        <v>35</v>
      </c>
      <c r="E3510" t="s">
        <v>56</v>
      </c>
      <c r="F3510" s="1">
        <v>42500</v>
      </c>
      <c r="G3510" s="1">
        <v>42510</v>
      </c>
      <c r="H3510" t="s">
        <v>21</v>
      </c>
      <c r="I3510">
        <v>10</v>
      </c>
      <c r="J3510" t="s">
        <v>92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0</v>
      </c>
      <c r="Q3510" t="s">
        <v>23</v>
      </c>
      <c r="R3510">
        <v>0</v>
      </c>
    </row>
    <row r="3511" spans="1:18">
      <c r="A3511" s="4">
        <v>843397000000</v>
      </c>
      <c r="B3511" t="s">
        <v>28</v>
      </c>
      <c r="C3511">
        <v>37</v>
      </c>
      <c r="D3511" t="s">
        <v>27</v>
      </c>
      <c r="E3511" t="s">
        <v>73</v>
      </c>
      <c r="F3511" s="1">
        <v>42500</v>
      </c>
      <c r="G3511" s="1">
        <v>42500</v>
      </c>
      <c r="H3511" t="s">
        <v>41</v>
      </c>
      <c r="I3511">
        <v>0</v>
      </c>
      <c r="J3511" t="s">
        <v>111</v>
      </c>
      <c r="K3511">
        <v>0</v>
      </c>
      <c r="L3511">
        <v>1</v>
      </c>
      <c r="M3511">
        <v>1</v>
      </c>
      <c r="N3511">
        <v>0</v>
      </c>
      <c r="O3511">
        <v>0</v>
      </c>
      <c r="P3511">
        <v>0</v>
      </c>
      <c r="Q3511" t="s">
        <v>23</v>
      </c>
      <c r="R3511">
        <v>0</v>
      </c>
    </row>
    <row r="3512" spans="1:18">
      <c r="A3512" s="4">
        <v>42454800000000</v>
      </c>
      <c r="B3512" t="s">
        <v>28</v>
      </c>
      <c r="C3512">
        <v>15</v>
      </c>
      <c r="D3512" t="s">
        <v>60</v>
      </c>
      <c r="E3512" t="s">
        <v>73</v>
      </c>
      <c r="F3512" s="1">
        <v>42500</v>
      </c>
      <c r="G3512" s="1">
        <v>42500</v>
      </c>
      <c r="H3512" t="s">
        <v>41</v>
      </c>
      <c r="I3512">
        <v>0</v>
      </c>
      <c r="J3512" t="s">
        <v>111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23</v>
      </c>
      <c r="R3512">
        <v>0</v>
      </c>
    </row>
    <row r="3513" spans="1:18">
      <c r="A3513" s="4">
        <v>36741600000000</v>
      </c>
      <c r="B3513" t="s">
        <v>18</v>
      </c>
      <c r="C3513">
        <v>75</v>
      </c>
      <c r="D3513" t="s">
        <v>19</v>
      </c>
      <c r="E3513" t="s">
        <v>74</v>
      </c>
      <c r="F3513" s="1">
        <v>42500</v>
      </c>
      <c r="G3513" s="1">
        <v>42500</v>
      </c>
      <c r="H3513" t="s">
        <v>41</v>
      </c>
      <c r="I3513">
        <v>0</v>
      </c>
      <c r="J3513" t="s">
        <v>111</v>
      </c>
      <c r="K3513">
        <v>0</v>
      </c>
      <c r="L3513">
        <v>1</v>
      </c>
      <c r="M3513">
        <v>1</v>
      </c>
      <c r="N3513">
        <v>0</v>
      </c>
      <c r="O3513">
        <v>0</v>
      </c>
      <c r="P3513">
        <v>0</v>
      </c>
      <c r="Q3513" t="s">
        <v>23</v>
      </c>
      <c r="R3513">
        <v>0</v>
      </c>
    </row>
    <row r="3514" spans="1:18">
      <c r="A3514" s="4">
        <v>13854800000000</v>
      </c>
      <c r="B3514" t="s">
        <v>18</v>
      </c>
      <c r="C3514">
        <v>8</v>
      </c>
      <c r="D3514" t="s">
        <v>31</v>
      </c>
      <c r="E3514" t="s">
        <v>73</v>
      </c>
      <c r="F3514" s="1">
        <v>42500</v>
      </c>
      <c r="G3514" s="1">
        <v>42500</v>
      </c>
      <c r="H3514" t="s">
        <v>41</v>
      </c>
      <c r="I3514">
        <v>0</v>
      </c>
      <c r="J3514" t="s">
        <v>111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23</v>
      </c>
      <c r="R3514">
        <v>0</v>
      </c>
    </row>
    <row r="3515" spans="1:18">
      <c r="A3515" s="4">
        <v>9995590000000</v>
      </c>
      <c r="B3515" t="s">
        <v>18</v>
      </c>
      <c r="C3515">
        <v>29</v>
      </c>
      <c r="D3515" t="s">
        <v>37</v>
      </c>
      <c r="E3515" t="s">
        <v>96</v>
      </c>
      <c r="F3515" s="1">
        <v>42500</v>
      </c>
      <c r="G3515" s="1">
        <v>42500</v>
      </c>
      <c r="H3515" t="s">
        <v>41</v>
      </c>
      <c r="I3515">
        <v>0</v>
      </c>
      <c r="J3515" t="s">
        <v>111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23</v>
      </c>
      <c r="R3515">
        <v>0</v>
      </c>
    </row>
    <row r="3516" spans="1:18">
      <c r="A3516" s="4">
        <v>223560000000</v>
      </c>
      <c r="B3516" t="s">
        <v>28</v>
      </c>
      <c r="C3516">
        <v>13</v>
      </c>
      <c r="D3516" t="s">
        <v>60</v>
      </c>
      <c r="E3516" t="s">
        <v>40</v>
      </c>
      <c r="F3516" s="1">
        <v>42500</v>
      </c>
      <c r="G3516" s="1">
        <v>42501</v>
      </c>
      <c r="H3516" t="s">
        <v>25</v>
      </c>
      <c r="I3516">
        <v>1</v>
      </c>
      <c r="J3516" t="s">
        <v>109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23</v>
      </c>
      <c r="R3516">
        <v>0</v>
      </c>
    </row>
    <row r="3517" spans="1:18">
      <c r="A3517" s="4">
        <v>96819200000000</v>
      </c>
      <c r="B3517" t="s">
        <v>18</v>
      </c>
      <c r="C3517">
        <v>45</v>
      </c>
      <c r="D3517" t="s">
        <v>27</v>
      </c>
      <c r="E3517" t="s">
        <v>103</v>
      </c>
      <c r="F3517" s="1">
        <v>42500</v>
      </c>
      <c r="G3517" s="1">
        <v>42500</v>
      </c>
      <c r="H3517" t="s">
        <v>41</v>
      </c>
      <c r="I3517">
        <v>0</v>
      </c>
      <c r="J3517" t="s">
        <v>111</v>
      </c>
      <c r="K3517">
        <v>1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23</v>
      </c>
      <c r="R3517">
        <v>0</v>
      </c>
    </row>
    <row r="3518" spans="1:18">
      <c r="A3518" s="4">
        <v>33397300000000</v>
      </c>
      <c r="B3518" t="s">
        <v>18</v>
      </c>
      <c r="C3518">
        <v>65</v>
      </c>
      <c r="D3518" t="s">
        <v>35</v>
      </c>
      <c r="E3518" t="s">
        <v>68</v>
      </c>
      <c r="F3518" s="1">
        <v>42500</v>
      </c>
      <c r="G3518" s="1">
        <v>42521</v>
      </c>
      <c r="H3518" t="s">
        <v>41</v>
      </c>
      <c r="I3518">
        <v>21</v>
      </c>
      <c r="J3518" t="s">
        <v>77</v>
      </c>
      <c r="K3518">
        <v>0</v>
      </c>
      <c r="L3518">
        <v>1</v>
      </c>
      <c r="M3518">
        <v>1</v>
      </c>
      <c r="N3518">
        <v>0</v>
      </c>
      <c r="O3518">
        <v>0</v>
      </c>
      <c r="P3518">
        <v>1</v>
      </c>
      <c r="Q3518" t="s">
        <v>23</v>
      </c>
      <c r="R3518">
        <v>0</v>
      </c>
    </row>
    <row r="3519" spans="1:18">
      <c r="A3519" s="4">
        <v>52584627848</v>
      </c>
      <c r="B3519" t="s">
        <v>18</v>
      </c>
      <c r="C3519">
        <v>16</v>
      </c>
      <c r="D3519" t="s">
        <v>60</v>
      </c>
      <c r="E3519" t="s">
        <v>44</v>
      </c>
      <c r="F3519" s="1">
        <v>42500</v>
      </c>
      <c r="G3519" s="1">
        <v>42514</v>
      </c>
      <c r="H3519" t="s">
        <v>41</v>
      </c>
      <c r="I3519">
        <v>14</v>
      </c>
      <c r="J3519" t="s">
        <v>92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1</v>
      </c>
      <c r="Q3519" t="s">
        <v>23</v>
      </c>
      <c r="R3519">
        <v>0</v>
      </c>
    </row>
    <row r="3520" spans="1:18">
      <c r="A3520" s="4">
        <v>953224000000000</v>
      </c>
      <c r="B3520" t="s">
        <v>28</v>
      </c>
      <c r="C3520">
        <v>28</v>
      </c>
      <c r="D3520" t="s">
        <v>37</v>
      </c>
      <c r="E3520" t="s">
        <v>45</v>
      </c>
      <c r="F3520" s="1">
        <v>42500</v>
      </c>
      <c r="G3520" s="1">
        <v>42501</v>
      </c>
      <c r="H3520" t="s">
        <v>25</v>
      </c>
      <c r="I3520">
        <v>1</v>
      </c>
      <c r="J3520" t="s">
        <v>109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23</v>
      </c>
      <c r="R3520">
        <v>0</v>
      </c>
    </row>
    <row r="3521" spans="1:18">
      <c r="A3521" s="4">
        <v>15445600000000</v>
      </c>
      <c r="B3521" t="s">
        <v>28</v>
      </c>
      <c r="C3521">
        <v>4</v>
      </c>
      <c r="D3521" t="s">
        <v>31</v>
      </c>
      <c r="E3521" t="s">
        <v>72</v>
      </c>
      <c r="F3521" s="1">
        <v>42500</v>
      </c>
      <c r="G3521" s="1">
        <v>42500</v>
      </c>
      <c r="H3521" t="s">
        <v>41</v>
      </c>
      <c r="I3521">
        <v>0</v>
      </c>
      <c r="J3521" t="s">
        <v>111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23</v>
      </c>
      <c r="R3521">
        <v>0</v>
      </c>
    </row>
    <row r="3522" spans="1:18">
      <c r="A3522" s="4">
        <v>5865330000000</v>
      </c>
      <c r="B3522" t="s">
        <v>18</v>
      </c>
      <c r="C3522">
        <v>34</v>
      </c>
      <c r="D3522" t="s">
        <v>37</v>
      </c>
      <c r="E3522" t="s">
        <v>68</v>
      </c>
      <c r="F3522" s="1">
        <v>42500</v>
      </c>
      <c r="G3522" s="1">
        <v>42527</v>
      </c>
      <c r="H3522" t="s">
        <v>30</v>
      </c>
      <c r="I3522">
        <v>27</v>
      </c>
      <c r="J3522" t="s">
        <v>77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1</v>
      </c>
      <c r="Q3522" t="s">
        <v>26</v>
      </c>
      <c r="R3522">
        <v>1</v>
      </c>
    </row>
    <row r="3523" spans="1:18">
      <c r="A3523" s="4">
        <v>77619200000000</v>
      </c>
      <c r="B3523" t="s">
        <v>18</v>
      </c>
      <c r="C3523">
        <v>28</v>
      </c>
      <c r="D3523" t="s">
        <v>37</v>
      </c>
      <c r="E3523" t="s">
        <v>47</v>
      </c>
      <c r="F3523" s="1">
        <v>42500</v>
      </c>
      <c r="G3523" s="1">
        <v>42500</v>
      </c>
      <c r="H3523" t="s">
        <v>41</v>
      </c>
      <c r="I3523">
        <v>0</v>
      </c>
      <c r="J3523" t="s">
        <v>111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23</v>
      </c>
      <c r="R3523">
        <v>0</v>
      </c>
    </row>
    <row r="3524" spans="1:18">
      <c r="A3524" s="4">
        <v>68489946781</v>
      </c>
      <c r="B3524" t="s">
        <v>18</v>
      </c>
      <c r="C3524">
        <v>17</v>
      </c>
      <c r="D3524" t="s">
        <v>60</v>
      </c>
      <c r="E3524" t="s">
        <v>69</v>
      </c>
      <c r="F3524" s="1">
        <v>42500</v>
      </c>
      <c r="G3524" s="1">
        <v>42502</v>
      </c>
      <c r="H3524" t="s">
        <v>33</v>
      </c>
      <c r="I3524">
        <v>2</v>
      </c>
      <c r="J3524" t="s">
        <v>109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26</v>
      </c>
      <c r="R3524">
        <v>1</v>
      </c>
    </row>
    <row r="3525" spans="1:18">
      <c r="A3525" s="4">
        <v>56284800000000</v>
      </c>
      <c r="B3525" t="s">
        <v>18</v>
      </c>
      <c r="C3525">
        <v>49</v>
      </c>
      <c r="D3525" t="s">
        <v>27</v>
      </c>
      <c r="E3525" t="s">
        <v>38</v>
      </c>
      <c r="F3525" s="1">
        <v>42500</v>
      </c>
      <c r="G3525" s="1">
        <v>42500</v>
      </c>
      <c r="H3525" t="s">
        <v>41</v>
      </c>
      <c r="I3525">
        <v>0</v>
      </c>
      <c r="J3525" t="s">
        <v>111</v>
      </c>
      <c r="K3525">
        <v>0</v>
      </c>
      <c r="L3525">
        <v>1</v>
      </c>
      <c r="M3525">
        <v>0</v>
      </c>
      <c r="N3525">
        <v>0</v>
      </c>
      <c r="O3525">
        <v>0</v>
      </c>
      <c r="P3525">
        <v>0</v>
      </c>
      <c r="Q3525" t="s">
        <v>23</v>
      </c>
      <c r="R3525">
        <v>0</v>
      </c>
    </row>
    <row r="3526" spans="1:18">
      <c r="A3526" s="4">
        <v>4332200000000</v>
      </c>
      <c r="B3526" t="s">
        <v>18</v>
      </c>
      <c r="C3526">
        <v>82</v>
      </c>
      <c r="D3526" t="s">
        <v>19</v>
      </c>
      <c r="E3526" t="s">
        <v>55</v>
      </c>
      <c r="F3526" s="1">
        <v>42500</v>
      </c>
      <c r="G3526" s="1">
        <v>42509</v>
      </c>
      <c r="H3526" t="s">
        <v>33</v>
      </c>
      <c r="I3526">
        <v>9</v>
      </c>
      <c r="J3526" t="s">
        <v>92</v>
      </c>
      <c r="K3526">
        <v>0</v>
      </c>
      <c r="L3526">
        <v>1</v>
      </c>
      <c r="M3526">
        <v>0</v>
      </c>
      <c r="N3526">
        <v>0</v>
      </c>
      <c r="O3526">
        <v>0</v>
      </c>
      <c r="P3526">
        <v>0</v>
      </c>
      <c r="Q3526" t="s">
        <v>23</v>
      </c>
      <c r="R3526">
        <v>0</v>
      </c>
    </row>
    <row r="3527" spans="1:18">
      <c r="A3527" s="4">
        <v>2152660000000</v>
      </c>
      <c r="B3527" t="s">
        <v>28</v>
      </c>
      <c r="C3527">
        <v>10</v>
      </c>
      <c r="D3527" t="s">
        <v>31</v>
      </c>
      <c r="E3527" t="s">
        <v>80</v>
      </c>
      <c r="F3527" s="1">
        <v>42500</v>
      </c>
      <c r="G3527" s="1">
        <v>42506</v>
      </c>
      <c r="H3527" t="s">
        <v>30</v>
      </c>
      <c r="I3527">
        <v>6</v>
      </c>
      <c r="J3527" t="s">
        <v>107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23</v>
      </c>
      <c r="R3527">
        <v>0</v>
      </c>
    </row>
    <row r="3528" spans="1:18">
      <c r="A3528" s="4">
        <v>363829000000000</v>
      </c>
      <c r="B3528" t="s">
        <v>28</v>
      </c>
      <c r="C3528">
        <v>19</v>
      </c>
      <c r="D3528" t="s">
        <v>37</v>
      </c>
      <c r="E3528" t="s">
        <v>39</v>
      </c>
      <c r="F3528" s="1">
        <v>42500</v>
      </c>
      <c r="G3528" s="1">
        <v>42501</v>
      </c>
      <c r="H3528" t="s">
        <v>25</v>
      </c>
      <c r="I3528">
        <v>1</v>
      </c>
      <c r="J3528" t="s">
        <v>109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23</v>
      </c>
      <c r="R3528">
        <v>0</v>
      </c>
    </row>
    <row r="3529" spans="1:18">
      <c r="A3529" s="4">
        <v>4112950000000</v>
      </c>
      <c r="B3529" t="s">
        <v>18</v>
      </c>
      <c r="C3529">
        <v>57</v>
      </c>
      <c r="D3529" t="s">
        <v>35</v>
      </c>
      <c r="E3529" t="s">
        <v>57</v>
      </c>
      <c r="F3529" s="1">
        <v>42500</v>
      </c>
      <c r="G3529" s="1">
        <v>42502</v>
      </c>
      <c r="H3529" t="s">
        <v>33</v>
      </c>
      <c r="I3529">
        <v>2</v>
      </c>
      <c r="J3529" t="s">
        <v>109</v>
      </c>
      <c r="K3529">
        <v>0</v>
      </c>
      <c r="L3529">
        <v>1</v>
      </c>
      <c r="M3529">
        <v>0</v>
      </c>
      <c r="N3529">
        <v>0</v>
      </c>
      <c r="O3529">
        <v>0</v>
      </c>
      <c r="P3529">
        <v>0</v>
      </c>
      <c r="Q3529" t="s">
        <v>23</v>
      </c>
      <c r="R3529">
        <v>0</v>
      </c>
    </row>
    <row r="3530" spans="1:18">
      <c r="A3530" s="4">
        <v>327883000000000</v>
      </c>
      <c r="B3530" t="s">
        <v>18</v>
      </c>
      <c r="C3530">
        <v>37</v>
      </c>
      <c r="D3530" t="s">
        <v>27</v>
      </c>
      <c r="E3530" t="s">
        <v>44</v>
      </c>
      <c r="F3530" s="1">
        <v>42500</v>
      </c>
      <c r="G3530" s="1">
        <v>42502</v>
      </c>
      <c r="H3530" t="s">
        <v>33</v>
      </c>
      <c r="I3530">
        <v>2</v>
      </c>
      <c r="J3530" t="s">
        <v>109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23</v>
      </c>
      <c r="R3530">
        <v>0</v>
      </c>
    </row>
    <row r="3531" spans="1:18">
      <c r="A3531" s="4">
        <v>1862170000000</v>
      </c>
      <c r="B3531" t="s">
        <v>18</v>
      </c>
      <c r="C3531">
        <v>70</v>
      </c>
      <c r="D3531" t="s">
        <v>19</v>
      </c>
      <c r="E3531" t="s">
        <v>54</v>
      </c>
      <c r="F3531" s="1">
        <v>42500</v>
      </c>
      <c r="G3531" s="1">
        <v>42502</v>
      </c>
      <c r="H3531" t="s">
        <v>33</v>
      </c>
      <c r="I3531">
        <v>2</v>
      </c>
      <c r="J3531" t="s">
        <v>109</v>
      </c>
      <c r="K3531">
        <v>0</v>
      </c>
      <c r="L3531">
        <v>1</v>
      </c>
      <c r="M3531">
        <v>1</v>
      </c>
      <c r="N3531">
        <v>0</v>
      </c>
      <c r="O3531">
        <v>0</v>
      </c>
      <c r="P3531">
        <v>0</v>
      </c>
      <c r="Q3531" t="s">
        <v>23</v>
      </c>
      <c r="R3531">
        <v>0</v>
      </c>
    </row>
    <row r="3532" spans="1:18">
      <c r="A3532" s="4">
        <v>23876000000000</v>
      </c>
      <c r="B3532" t="s">
        <v>18</v>
      </c>
      <c r="C3532">
        <v>56</v>
      </c>
      <c r="D3532" t="s">
        <v>35</v>
      </c>
      <c r="E3532" t="s">
        <v>49</v>
      </c>
      <c r="F3532" s="1">
        <v>42500</v>
      </c>
      <c r="G3532" s="1">
        <v>42506</v>
      </c>
      <c r="H3532" t="s">
        <v>30</v>
      </c>
      <c r="I3532">
        <v>6</v>
      </c>
      <c r="J3532" t="s">
        <v>107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23</v>
      </c>
      <c r="R3532">
        <v>0</v>
      </c>
    </row>
    <row r="3533" spans="1:18">
      <c r="A3533" s="4">
        <v>119275000000</v>
      </c>
      <c r="B3533" t="s">
        <v>18</v>
      </c>
      <c r="C3533">
        <v>30</v>
      </c>
      <c r="D3533" t="s">
        <v>37</v>
      </c>
      <c r="E3533" t="s">
        <v>45</v>
      </c>
      <c r="F3533" s="1">
        <v>42500</v>
      </c>
      <c r="G3533" s="1">
        <v>42510</v>
      </c>
      <c r="H3533" t="s">
        <v>21</v>
      </c>
      <c r="I3533">
        <v>10</v>
      </c>
      <c r="J3533" t="s">
        <v>92</v>
      </c>
      <c r="K3533">
        <v>1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26</v>
      </c>
      <c r="R3533">
        <v>1</v>
      </c>
    </row>
    <row r="3534" spans="1:18">
      <c r="A3534" s="4">
        <v>2838860000000</v>
      </c>
      <c r="B3534" t="s">
        <v>28</v>
      </c>
      <c r="C3534">
        <v>2</v>
      </c>
      <c r="D3534" t="s">
        <v>31</v>
      </c>
      <c r="E3534" t="s">
        <v>29</v>
      </c>
      <c r="F3534" s="1">
        <v>42500</v>
      </c>
      <c r="G3534" s="1">
        <v>42500</v>
      </c>
      <c r="H3534" t="s">
        <v>41</v>
      </c>
      <c r="I3534">
        <v>0</v>
      </c>
      <c r="J3534" t="s">
        <v>111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23</v>
      </c>
      <c r="R3534">
        <v>0</v>
      </c>
    </row>
    <row r="3535" spans="1:18">
      <c r="A3535" s="4">
        <v>44915800000000</v>
      </c>
      <c r="B3535" t="s">
        <v>18</v>
      </c>
      <c r="C3535">
        <v>30</v>
      </c>
      <c r="D3535" t="s">
        <v>37</v>
      </c>
      <c r="E3535" t="s">
        <v>38</v>
      </c>
      <c r="F3535" s="1">
        <v>42500</v>
      </c>
      <c r="G3535" s="1">
        <v>42503</v>
      </c>
      <c r="H3535" t="s">
        <v>21</v>
      </c>
      <c r="I3535">
        <v>3</v>
      </c>
      <c r="J3535" t="s">
        <v>109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26</v>
      </c>
      <c r="R3535">
        <v>1</v>
      </c>
    </row>
    <row r="3536" spans="1:18">
      <c r="A3536" s="4">
        <v>7218810000000</v>
      </c>
      <c r="B3536" t="s">
        <v>18</v>
      </c>
      <c r="C3536">
        <v>81</v>
      </c>
      <c r="D3536" t="s">
        <v>19</v>
      </c>
      <c r="E3536" t="s">
        <v>39</v>
      </c>
      <c r="F3536" s="1">
        <v>42500</v>
      </c>
      <c r="G3536" s="1">
        <v>42502</v>
      </c>
      <c r="H3536" t="s">
        <v>33</v>
      </c>
      <c r="I3536">
        <v>2</v>
      </c>
      <c r="J3536" t="s">
        <v>109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 t="s">
        <v>23</v>
      </c>
      <c r="R3536">
        <v>0</v>
      </c>
    </row>
    <row r="3537" spans="1:18">
      <c r="A3537" s="4">
        <v>55627341444</v>
      </c>
      <c r="B3537" t="s">
        <v>18</v>
      </c>
      <c r="C3537">
        <v>67</v>
      </c>
      <c r="D3537" t="s">
        <v>19</v>
      </c>
      <c r="E3537" t="s">
        <v>72</v>
      </c>
      <c r="F3537" s="1">
        <v>42500</v>
      </c>
      <c r="G3537" s="1">
        <v>42527</v>
      </c>
      <c r="H3537" t="s">
        <v>30</v>
      </c>
      <c r="I3537">
        <v>27</v>
      </c>
      <c r="J3537" t="s">
        <v>77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1</v>
      </c>
      <c r="Q3537" t="s">
        <v>23</v>
      </c>
      <c r="R3537">
        <v>0</v>
      </c>
    </row>
    <row r="3538" spans="1:18">
      <c r="A3538" s="4">
        <v>21661900000000</v>
      </c>
      <c r="B3538" t="s">
        <v>18</v>
      </c>
      <c r="C3538">
        <v>1</v>
      </c>
      <c r="D3538" t="s">
        <v>31</v>
      </c>
      <c r="E3538" t="s">
        <v>40</v>
      </c>
      <c r="F3538" s="1">
        <v>42500</v>
      </c>
      <c r="G3538" s="1">
        <v>42500</v>
      </c>
      <c r="H3538" t="s">
        <v>41</v>
      </c>
      <c r="I3538">
        <v>0</v>
      </c>
      <c r="J3538" t="s">
        <v>111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23</v>
      </c>
      <c r="R3538">
        <v>0</v>
      </c>
    </row>
    <row r="3539" spans="1:18">
      <c r="A3539" s="4">
        <v>773416000000000</v>
      </c>
      <c r="B3539" t="s">
        <v>18</v>
      </c>
      <c r="C3539">
        <v>17</v>
      </c>
      <c r="D3539" t="s">
        <v>60</v>
      </c>
      <c r="E3539" t="s">
        <v>56</v>
      </c>
      <c r="F3539" s="1">
        <v>42500</v>
      </c>
      <c r="G3539" s="1">
        <v>42528</v>
      </c>
      <c r="H3539" t="s">
        <v>41</v>
      </c>
      <c r="I3539">
        <v>28</v>
      </c>
      <c r="J3539" t="s">
        <v>77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1</v>
      </c>
      <c r="Q3539" t="s">
        <v>26</v>
      </c>
      <c r="R3539">
        <v>1</v>
      </c>
    </row>
    <row r="3540" spans="1:18">
      <c r="A3540" s="4">
        <v>7925670000000</v>
      </c>
      <c r="B3540" t="s">
        <v>28</v>
      </c>
      <c r="C3540">
        <v>0</v>
      </c>
      <c r="D3540" t="s">
        <v>31</v>
      </c>
      <c r="E3540" t="s">
        <v>84</v>
      </c>
      <c r="F3540" s="1">
        <v>42500</v>
      </c>
      <c r="G3540" s="1">
        <v>42507</v>
      </c>
      <c r="H3540" t="s">
        <v>41</v>
      </c>
      <c r="I3540">
        <v>7</v>
      </c>
      <c r="J3540" t="s">
        <v>107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23</v>
      </c>
      <c r="R3540">
        <v>0</v>
      </c>
    </row>
    <row r="3541" spans="1:18">
      <c r="A3541" s="4">
        <v>67426500000000</v>
      </c>
      <c r="B3541" t="s">
        <v>18</v>
      </c>
      <c r="C3541">
        <v>57</v>
      </c>
      <c r="D3541" t="s">
        <v>35</v>
      </c>
      <c r="E3541" t="s">
        <v>84</v>
      </c>
      <c r="F3541" s="1">
        <v>42500</v>
      </c>
      <c r="G3541" s="1">
        <v>42500</v>
      </c>
      <c r="H3541" t="s">
        <v>41</v>
      </c>
      <c r="I3541">
        <v>0</v>
      </c>
      <c r="J3541" t="s">
        <v>111</v>
      </c>
      <c r="K3541">
        <v>0</v>
      </c>
      <c r="L3541">
        <v>1</v>
      </c>
      <c r="M3541">
        <v>1</v>
      </c>
      <c r="N3541">
        <v>0</v>
      </c>
      <c r="O3541">
        <v>0</v>
      </c>
      <c r="P3541">
        <v>0</v>
      </c>
      <c r="Q3541" t="s">
        <v>23</v>
      </c>
      <c r="R3541">
        <v>0</v>
      </c>
    </row>
    <row r="3542" spans="1:18">
      <c r="A3542" s="4">
        <v>658586000000000</v>
      </c>
      <c r="B3542" t="s">
        <v>18</v>
      </c>
      <c r="C3542">
        <v>92</v>
      </c>
      <c r="D3542" t="s">
        <v>19</v>
      </c>
      <c r="E3542" t="s">
        <v>50</v>
      </c>
      <c r="F3542" s="1">
        <v>42500</v>
      </c>
      <c r="G3542" s="1">
        <v>42515</v>
      </c>
      <c r="H3542" t="s">
        <v>25</v>
      </c>
      <c r="I3542">
        <v>15</v>
      </c>
      <c r="J3542" t="s">
        <v>77</v>
      </c>
      <c r="K3542">
        <v>0</v>
      </c>
      <c r="L3542">
        <v>1</v>
      </c>
      <c r="M3542">
        <v>0</v>
      </c>
      <c r="N3542">
        <v>0</v>
      </c>
      <c r="O3542">
        <v>0</v>
      </c>
      <c r="P3542">
        <v>0</v>
      </c>
      <c r="Q3542" t="s">
        <v>26</v>
      </c>
      <c r="R3542">
        <v>1</v>
      </c>
    </row>
    <row r="3543" spans="1:18">
      <c r="A3543" s="4">
        <v>3563980000000</v>
      </c>
      <c r="B3543" t="s">
        <v>18</v>
      </c>
      <c r="C3543">
        <v>31</v>
      </c>
      <c r="D3543" t="s">
        <v>37</v>
      </c>
      <c r="E3543" t="s">
        <v>38</v>
      </c>
      <c r="F3543" s="1">
        <v>42500</v>
      </c>
      <c r="G3543" s="1">
        <v>42528</v>
      </c>
      <c r="H3543" t="s">
        <v>41</v>
      </c>
      <c r="I3543">
        <v>28</v>
      </c>
      <c r="J3543" t="s">
        <v>77</v>
      </c>
      <c r="K3543">
        <v>1</v>
      </c>
      <c r="L3543">
        <v>0</v>
      </c>
      <c r="M3543">
        <v>0</v>
      </c>
      <c r="N3543">
        <v>0</v>
      </c>
      <c r="O3543">
        <v>0</v>
      </c>
      <c r="P3543">
        <v>1</v>
      </c>
      <c r="Q3543" t="s">
        <v>26</v>
      </c>
      <c r="R3543">
        <v>1</v>
      </c>
    </row>
    <row r="3544" spans="1:18">
      <c r="A3544" s="4">
        <v>693742000000000</v>
      </c>
      <c r="B3544" t="s">
        <v>28</v>
      </c>
      <c r="C3544">
        <v>29</v>
      </c>
      <c r="D3544" t="s">
        <v>37</v>
      </c>
      <c r="E3544" t="s">
        <v>42</v>
      </c>
      <c r="F3544" s="1">
        <v>42500</v>
      </c>
      <c r="G3544" s="1">
        <v>42500</v>
      </c>
      <c r="H3544" t="s">
        <v>41</v>
      </c>
      <c r="I3544">
        <v>0</v>
      </c>
      <c r="J3544" t="s">
        <v>111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23</v>
      </c>
      <c r="R3544">
        <v>0</v>
      </c>
    </row>
    <row r="3545" spans="1:18">
      <c r="A3545" s="4">
        <v>62197800000000</v>
      </c>
      <c r="B3545" t="s">
        <v>18</v>
      </c>
      <c r="C3545">
        <v>27</v>
      </c>
      <c r="D3545" t="s">
        <v>37</v>
      </c>
      <c r="E3545" t="s">
        <v>32</v>
      </c>
      <c r="F3545" s="1">
        <v>42500</v>
      </c>
      <c r="G3545" s="1">
        <v>42502</v>
      </c>
      <c r="H3545" t="s">
        <v>33</v>
      </c>
      <c r="I3545">
        <v>2</v>
      </c>
      <c r="J3545" t="s">
        <v>109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23</v>
      </c>
      <c r="R3545">
        <v>0</v>
      </c>
    </row>
    <row r="3546" spans="1:18">
      <c r="A3546" s="4">
        <v>32169700000000</v>
      </c>
      <c r="B3546" t="s">
        <v>28</v>
      </c>
      <c r="C3546">
        <v>2</v>
      </c>
      <c r="D3546" t="s">
        <v>31</v>
      </c>
      <c r="E3546" t="s">
        <v>44</v>
      </c>
      <c r="F3546" s="1">
        <v>42500</v>
      </c>
      <c r="G3546" s="1">
        <v>42500</v>
      </c>
      <c r="H3546" t="s">
        <v>41</v>
      </c>
      <c r="I3546">
        <v>0</v>
      </c>
      <c r="J3546" t="s">
        <v>111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23</v>
      </c>
      <c r="R3546">
        <v>0</v>
      </c>
    </row>
    <row r="3547" spans="1:18">
      <c r="A3547" s="4">
        <v>419795000000</v>
      </c>
      <c r="B3547" t="s">
        <v>18</v>
      </c>
      <c r="C3547">
        <v>43</v>
      </c>
      <c r="D3547" t="s">
        <v>27</v>
      </c>
      <c r="E3547" t="s">
        <v>54</v>
      </c>
      <c r="F3547" s="1">
        <v>42500</v>
      </c>
      <c r="G3547" s="1">
        <v>42506</v>
      </c>
      <c r="H3547" t="s">
        <v>30</v>
      </c>
      <c r="I3547">
        <v>6</v>
      </c>
      <c r="J3547" t="s">
        <v>107</v>
      </c>
      <c r="K3547">
        <v>0</v>
      </c>
      <c r="L3547">
        <v>1</v>
      </c>
      <c r="M3547">
        <v>0</v>
      </c>
      <c r="N3547">
        <v>0</v>
      </c>
      <c r="O3547">
        <v>0</v>
      </c>
      <c r="P3547">
        <v>0</v>
      </c>
      <c r="Q3547" t="s">
        <v>26</v>
      </c>
      <c r="R3547">
        <v>1</v>
      </c>
    </row>
    <row r="3548" spans="1:18">
      <c r="A3548" s="4">
        <v>59365200000000</v>
      </c>
      <c r="B3548" t="s">
        <v>18</v>
      </c>
      <c r="C3548">
        <v>36</v>
      </c>
      <c r="D3548" t="s">
        <v>27</v>
      </c>
      <c r="E3548" t="s">
        <v>47</v>
      </c>
      <c r="F3548" s="1">
        <v>42500</v>
      </c>
      <c r="G3548" s="1">
        <v>42506</v>
      </c>
      <c r="H3548" t="s">
        <v>30</v>
      </c>
      <c r="I3548">
        <v>6</v>
      </c>
      <c r="J3548" t="s">
        <v>107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23</v>
      </c>
      <c r="R3548">
        <v>0</v>
      </c>
    </row>
    <row r="3549" spans="1:18">
      <c r="A3549" s="4">
        <v>317676000000000</v>
      </c>
      <c r="B3549" t="s">
        <v>18</v>
      </c>
      <c r="C3549">
        <v>20</v>
      </c>
      <c r="D3549" t="s">
        <v>37</v>
      </c>
      <c r="E3549" t="s">
        <v>50</v>
      </c>
      <c r="F3549" s="1">
        <v>42500</v>
      </c>
      <c r="G3549" s="1">
        <v>42500</v>
      </c>
      <c r="H3549" t="s">
        <v>41</v>
      </c>
      <c r="I3549">
        <v>0</v>
      </c>
      <c r="J3549" t="s">
        <v>111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 t="s">
        <v>23</v>
      </c>
      <c r="R3549">
        <v>0</v>
      </c>
    </row>
    <row r="3550" spans="1:18">
      <c r="A3550" s="4">
        <v>51548700000000</v>
      </c>
      <c r="B3550" t="s">
        <v>28</v>
      </c>
      <c r="C3550">
        <v>63</v>
      </c>
      <c r="D3550" t="s">
        <v>35</v>
      </c>
      <c r="E3550" t="s">
        <v>56</v>
      </c>
      <c r="F3550" s="1">
        <v>42500</v>
      </c>
      <c r="G3550" s="1">
        <v>42500</v>
      </c>
      <c r="H3550" t="s">
        <v>41</v>
      </c>
      <c r="I3550">
        <v>0</v>
      </c>
      <c r="J3550" t="s">
        <v>111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23</v>
      </c>
      <c r="R3550">
        <v>0</v>
      </c>
    </row>
    <row r="3551" spans="1:18">
      <c r="A3551" s="4">
        <v>492978000000000</v>
      </c>
      <c r="B3551" t="s">
        <v>18</v>
      </c>
      <c r="C3551">
        <v>73</v>
      </c>
      <c r="D3551" t="s">
        <v>19</v>
      </c>
      <c r="E3551" t="s">
        <v>56</v>
      </c>
      <c r="F3551" s="1">
        <v>42500</v>
      </c>
      <c r="G3551" s="1">
        <v>42528</v>
      </c>
      <c r="H3551" t="s">
        <v>41</v>
      </c>
      <c r="I3551">
        <v>28</v>
      </c>
      <c r="J3551" t="s">
        <v>77</v>
      </c>
      <c r="K3551">
        <v>0</v>
      </c>
      <c r="L3551">
        <v>1</v>
      </c>
      <c r="M3551">
        <v>0</v>
      </c>
      <c r="N3551">
        <v>0</v>
      </c>
      <c r="O3551">
        <v>0</v>
      </c>
      <c r="P3551">
        <v>1</v>
      </c>
      <c r="Q3551" t="s">
        <v>23</v>
      </c>
      <c r="R3551">
        <v>0</v>
      </c>
    </row>
    <row r="3552" spans="1:18">
      <c r="A3552" s="4">
        <v>58896500000000</v>
      </c>
      <c r="B3552" t="s">
        <v>18</v>
      </c>
      <c r="C3552">
        <v>40</v>
      </c>
      <c r="D3552" t="s">
        <v>27</v>
      </c>
      <c r="E3552" t="s">
        <v>50</v>
      </c>
      <c r="F3552" s="1">
        <v>42500</v>
      </c>
      <c r="G3552" s="1">
        <v>42501</v>
      </c>
      <c r="H3552" t="s">
        <v>25</v>
      </c>
      <c r="I3552">
        <v>1</v>
      </c>
      <c r="J3552" t="s">
        <v>109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23</v>
      </c>
      <c r="R3552">
        <v>0</v>
      </c>
    </row>
    <row r="3553" spans="1:18">
      <c r="A3553" s="4">
        <v>2212950000000</v>
      </c>
      <c r="B3553" t="s">
        <v>18</v>
      </c>
      <c r="C3553">
        <v>79</v>
      </c>
      <c r="D3553" t="s">
        <v>19</v>
      </c>
      <c r="E3553" t="s">
        <v>70</v>
      </c>
      <c r="F3553" s="1">
        <v>42500</v>
      </c>
      <c r="G3553" s="1">
        <v>42528</v>
      </c>
      <c r="H3553" t="s">
        <v>41</v>
      </c>
      <c r="I3553">
        <v>28</v>
      </c>
      <c r="J3553" t="s">
        <v>77</v>
      </c>
      <c r="K3553">
        <v>0</v>
      </c>
      <c r="L3553">
        <v>1</v>
      </c>
      <c r="M3553">
        <v>0</v>
      </c>
      <c r="N3553">
        <v>0</v>
      </c>
      <c r="O3553">
        <v>1</v>
      </c>
      <c r="P3553">
        <v>0</v>
      </c>
      <c r="Q3553" t="s">
        <v>23</v>
      </c>
      <c r="R3553">
        <v>0</v>
      </c>
    </row>
    <row r="3554" spans="1:18">
      <c r="A3554" s="4">
        <v>425862000000000</v>
      </c>
      <c r="B3554" t="s">
        <v>18</v>
      </c>
      <c r="C3554">
        <v>43</v>
      </c>
      <c r="D3554" t="s">
        <v>27</v>
      </c>
      <c r="E3554" t="s">
        <v>29</v>
      </c>
      <c r="F3554" s="1">
        <v>42500</v>
      </c>
      <c r="G3554" s="1">
        <v>42514</v>
      </c>
      <c r="H3554" t="s">
        <v>41</v>
      </c>
      <c r="I3554">
        <v>14</v>
      </c>
      <c r="J3554" t="s">
        <v>92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1</v>
      </c>
      <c r="Q3554" t="s">
        <v>23</v>
      </c>
      <c r="R3554">
        <v>0</v>
      </c>
    </row>
    <row r="3555" spans="1:18">
      <c r="A3555" s="4">
        <v>28449900000000</v>
      </c>
      <c r="B3555" t="s">
        <v>18</v>
      </c>
      <c r="C3555">
        <v>91</v>
      </c>
      <c r="D3555" t="s">
        <v>19</v>
      </c>
      <c r="E3555" t="s">
        <v>79</v>
      </c>
      <c r="F3555" s="1">
        <v>42500</v>
      </c>
      <c r="G3555" s="1">
        <v>42502</v>
      </c>
      <c r="H3555" t="s">
        <v>33</v>
      </c>
      <c r="I3555">
        <v>2</v>
      </c>
      <c r="J3555" t="s">
        <v>109</v>
      </c>
      <c r="K3555">
        <v>0</v>
      </c>
      <c r="L3555">
        <v>1</v>
      </c>
      <c r="M3555">
        <v>0</v>
      </c>
      <c r="N3555">
        <v>0</v>
      </c>
      <c r="O3555">
        <v>0</v>
      </c>
      <c r="P3555">
        <v>0</v>
      </c>
      <c r="Q3555" t="s">
        <v>23</v>
      </c>
      <c r="R3555">
        <v>0</v>
      </c>
    </row>
    <row r="3556" spans="1:18">
      <c r="A3556" s="4">
        <v>378572000000</v>
      </c>
      <c r="B3556" t="s">
        <v>18</v>
      </c>
      <c r="C3556">
        <v>9</v>
      </c>
      <c r="D3556" t="s">
        <v>31</v>
      </c>
      <c r="E3556" t="s">
        <v>105</v>
      </c>
      <c r="F3556" s="1">
        <v>42500</v>
      </c>
      <c r="G3556" s="1">
        <v>42502</v>
      </c>
      <c r="H3556" t="s">
        <v>33</v>
      </c>
      <c r="I3556">
        <v>2</v>
      </c>
      <c r="J3556" t="s">
        <v>109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 t="s">
        <v>23</v>
      </c>
      <c r="R3556">
        <v>0</v>
      </c>
    </row>
    <row r="3557" spans="1:18">
      <c r="A3557" s="4">
        <v>318229000000000</v>
      </c>
      <c r="B3557" t="s">
        <v>18</v>
      </c>
      <c r="C3557">
        <v>92</v>
      </c>
      <c r="D3557" t="s">
        <v>19</v>
      </c>
      <c r="E3557" t="s">
        <v>69</v>
      </c>
      <c r="F3557" s="1">
        <v>42500</v>
      </c>
      <c r="G3557" s="1">
        <v>42500</v>
      </c>
      <c r="H3557" t="s">
        <v>41</v>
      </c>
      <c r="I3557">
        <v>0</v>
      </c>
      <c r="J3557" t="s">
        <v>111</v>
      </c>
      <c r="K3557">
        <v>0</v>
      </c>
      <c r="L3557">
        <v>1</v>
      </c>
      <c r="M3557">
        <v>0</v>
      </c>
      <c r="N3557">
        <v>0</v>
      </c>
      <c r="O3557">
        <v>0</v>
      </c>
      <c r="P3557">
        <v>0</v>
      </c>
      <c r="Q3557" t="s">
        <v>23</v>
      </c>
      <c r="R3557">
        <v>0</v>
      </c>
    </row>
    <row r="3558" spans="1:18">
      <c r="A3558" s="4">
        <v>68545173979</v>
      </c>
      <c r="B3558" t="s">
        <v>28</v>
      </c>
      <c r="C3558">
        <v>17</v>
      </c>
      <c r="D3558" t="s">
        <v>60</v>
      </c>
      <c r="E3558" t="s">
        <v>20</v>
      </c>
      <c r="F3558" s="1">
        <v>42500</v>
      </c>
      <c r="G3558" s="1">
        <v>42500</v>
      </c>
      <c r="H3558" t="s">
        <v>41</v>
      </c>
      <c r="I3558">
        <v>0</v>
      </c>
      <c r="J3558" t="s">
        <v>111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23</v>
      </c>
      <c r="R3558">
        <v>0</v>
      </c>
    </row>
    <row r="3559" spans="1:18">
      <c r="A3559" s="4">
        <v>6166850000000</v>
      </c>
      <c r="B3559" t="s">
        <v>18</v>
      </c>
      <c r="C3559">
        <v>65</v>
      </c>
      <c r="D3559" t="s">
        <v>35</v>
      </c>
      <c r="E3559" t="s">
        <v>50</v>
      </c>
      <c r="F3559" s="1">
        <v>42500</v>
      </c>
      <c r="G3559" s="1">
        <v>42500</v>
      </c>
      <c r="H3559" t="s">
        <v>41</v>
      </c>
      <c r="I3559">
        <v>0</v>
      </c>
      <c r="J3559" t="s">
        <v>111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23</v>
      </c>
      <c r="R3559">
        <v>0</v>
      </c>
    </row>
    <row r="3560" spans="1:18">
      <c r="A3560" s="4">
        <v>224167000000</v>
      </c>
      <c r="B3560" t="s">
        <v>18</v>
      </c>
      <c r="C3560">
        <v>29</v>
      </c>
      <c r="D3560" t="s">
        <v>37</v>
      </c>
      <c r="E3560" t="s">
        <v>32</v>
      </c>
      <c r="F3560" s="1">
        <v>42500</v>
      </c>
      <c r="G3560" s="1">
        <v>42500</v>
      </c>
      <c r="H3560" t="s">
        <v>41</v>
      </c>
      <c r="I3560">
        <v>0</v>
      </c>
      <c r="J3560" t="s">
        <v>111</v>
      </c>
      <c r="K3560">
        <v>1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23</v>
      </c>
      <c r="R3560">
        <v>0</v>
      </c>
    </row>
    <row r="3561" spans="1:18">
      <c r="A3561" s="4">
        <v>221346000000000</v>
      </c>
      <c r="B3561" t="s">
        <v>28</v>
      </c>
      <c r="C3561">
        <v>12</v>
      </c>
      <c r="D3561" t="s">
        <v>31</v>
      </c>
      <c r="E3561" t="s">
        <v>34</v>
      </c>
      <c r="F3561" s="1">
        <v>42500</v>
      </c>
      <c r="G3561" s="1">
        <v>42507</v>
      </c>
      <c r="H3561" t="s">
        <v>41</v>
      </c>
      <c r="I3561">
        <v>7</v>
      </c>
      <c r="J3561" t="s">
        <v>107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23</v>
      </c>
      <c r="R3561">
        <v>0</v>
      </c>
    </row>
    <row r="3562" spans="1:18">
      <c r="A3562" s="4">
        <v>61981437155</v>
      </c>
      <c r="B3562" t="s">
        <v>28</v>
      </c>
      <c r="C3562">
        <v>0</v>
      </c>
      <c r="D3562" t="s">
        <v>31</v>
      </c>
      <c r="E3562" t="s">
        <v>57</v>
      </c>
      <c r="F3562" s="1">
        <v>42500</v>
      </c>
      <c r="G3562" s="1">
        <v>42507</v>
      </c>
      <c r="H3562" t="s">
        <v>41</v>
      </c>
      <c r="I3562">
        <v>7</v>
      </c>
      <c r="J3562" t="s">
        <v>107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23</v>
      </c>
      <c r="R3562">
        <v>0</v>
      </c>
    </row>
    <row r="3563" spans="1:18">
      <c r="A3563" s="4">
        <v>93343500000000</v>
      </c>
      <c r="B3563" t="s">
        <v>18</v>
      </c>
      <c r="C3563">
        <v>57</v>
      </c>
      <c r="D3563" t="s">
        <v>35</v>
      </c>
      <c r="E3563" t="s">
        <v>67</v>
      </c>
      <c r="F3563" s="1">
        <v>42500</v>
      </c>
      <c r="G3563" s="1">
        <v>42502</v>
      </c>
      <c r="H3563" t="s">
        <v>33</v>
      </c>
      <c r="I3563">
        <v>2</v>
      </c>
      <c r="J3563" t="s">
        <v>109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23</v>
      </c>
      <c r="R3563">
        <v>0</v>
      </c>
    </row>
    <row r="3564" spans="1:18">
      <c r="A3564" s="4">
        <v>19314223565</v>
      </c>
      <c r="B3564" t="s">
        <v>18</v>
      </c>
      <c r="C3564">
        <v>55</v>
      </c>
      <c r="D3564" t="s">
        <v>35</v>
      </c>
      <c r="E3564" t="s">
        <v>39</v>
      </c>
      <c r="F3564" s="1">
        <v>42500</v>
      </c>
      <c r="G3564" s="1">
        <v>42501</v>
      </c>
      <c r="H3564" t="s">
        <v>25</v>
      </c>
      <c r="I3564">
        <v>1</v>
      </c>
      <c r="J3564" t="s">
        <v>109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23</v>
      </c>
      <c r="R3564">
        <v>0</v>
      </c>
    </row>
    <row r="3565" spans="1:18">
      <c r="A3565" s="4">
        <v>715794000000</v>
      </c>
      <c r="B3565" t="s">
        <v>28</v>
      </c>
      <c r="C3565">
        <v>12</v>
      </c>
      <c r="D3565" t="s">
        <v>31</v>
      </c>
      <c r="E3565" t="s">
        <v>67</v>
      </c>
      <c r="F3565" s="1">
        <v>42500</v>
      </c>
      <c r="G3565" s="1">
        <v>42520</v>
      </c>
      <c r="H3565" t="s">
        <v>30</v>
      </c>
      <c r="I3565">
        <v>20</v>
      </c>
      <c r="J3565" t="s">
        <v>77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1</v>
      </c>
      <c r="Q3565" t="s">
        <v>23</v>
      </c>
      <c r="R3565">
        <v>0</v>
      </c>
    </row>
    <row r="3566" spans="1:18">
      <c r="A3566" s="4">
        <v>15366900000000</v>
      </c>
      <c r="B3566" t="s">
        <v>18</v>
      </c>
      <c r="C3566">
        <v>52</v>
      </c>
      <c r="D3566" t="s">
        <v>35</v>
      </c>
      <c r="E3566" t="s">
        <v>72</v>
      </c>
      <c r="F3566" s="1">
        <v>42500</v>
      </c>
      <c r="G3566" s="1">
        <v>42507</v>
      </c>
      <c r="H3566" t="s">
        <v>41</v>
      </c>
      <c r="I3566">
        <v>7</v>
      </c>
      <c r="J3566" t="s">
        <v>107</v>
      </c>
      <c r="K3566">
        <v>0</v>
      </c>
      <c r="L3566">
        <v>1</v>
      </c>
      <c r="M3566">
        <v>0</v>
      </c>
      <c r="N3566">
        <v>0</v>
      </c>
      <c r="O3566">
        <v>0</v>
      </c>
      <c r="P3566">
        <v>0</v>
      </c>
      <c r="Q3566" t="s">
        <v>23</v>
      </c>
      <c r="R3566">
        <v>0</v>
      </c>
    </row>
    <row r="3567" spans="1:18">
      <c r="A3567" s="4">
        <v>2266000000000</v>
      </c>
      <c r="B3567" t="s">
        <v>28</v>
      </c>
      <c r="C3567">
        <v>30</v>
      </c>
      <c r="D3567" t="s">
        <v>37</v>
      </c>
      <c r="E3567" t="s">
        <v>71</v>
      </c>
      <c r="F3567" s="1">
        <v>42500</v>
      </c>
      <c r="G3567" s="1">
        <v>42502</v>
      </c>
      <c r="H3567" t="s">
        <v>33</v>
      </c>
      <c r="I3567">
        <v>2</v>
      </c>
      <c r="J3567" t="s">
        <v>109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23</v>
      </c>
      <c r="R3567">
        <v>0</v>
      </c>
    </row>
    <row r="3568" spans="1:18">
      <c r="A3568" s="4">
        <v>2336120000000</v>
      </c>
      <c r="B3568" t="s">
        <v>18</v>
      </c>
      <c r="C3568">
        <v>57</v>
      </c>
      <c r="D3568" t="s">
        <v>35</v>
      </c>
      <c r="E3568" t="s">
        <v>50</v>
      </c>
      <c r="F3568" s="1">
        <v>42500</v>
      </c>
      <c r="G3568" s="1">
        <v>42500</v>
      </c>
      <c r="H3568" t="s">
        <v>41</v>
      </c>
      <c r="I3568">
        <v>0</v>
      </c>
      <c r="J3568" t="s">
        <v>111</v>
      </c>
      <c r="K3568">
        <v>0</v>
      </c>
      <c r="L3568">
        <v>1</v>
      </c>
      <c r="M3568">
        <v>0</v>
      </c>
      <c r="N3568">
        <v>0</v>
      </c>
      <c r="O3568">
        <v>0</v>
      </c>
      <c r="P3568">
        <v>0</v>
      </c>
      <c r="Q3568" t="s">
        <v>23</v>
      </c>
      <c r="R3568">
        <v>0</v>
      </c>
    </row>
    <row r="3569" spans="1:18">
      <c r="A3569" s="4">
        <v>62166400000000</v>
      </c>
      <c r="B3569" t="s">
        <v>18</v>
      </c>
      <c r="C3569">
        <v>61</v>
      </c>
      <c r="D3569" t="s">
        <v>35</v>
      </c>
      <c r="E3569" t="s">
        <v>39</v>
      </c>
      <c r="F3569" s="1">
        <v>42500</v>
      </c>
      <c r="G3569" s="1">
        <v>42502</v>
      </c>
      <c r="H3569" t="s">
        <v>33</v>
      </c>
      <c r="I3569">
        <v>2</v>
      </c>
      <c r="J3569" t="s">
        <v>109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26</v>
      </c>
      <c r="R3569">
        <v>1</v>
      </c>
    </row>
    <row r="3570" spans="1:18">
      <c r="A3570" s="4">
        <v>32655900000000</v>
      </c>
      <c r="B3570" t="s">
        <v>18</v>
      </c>
      <c r="C3570">
        <v>54</v>
      </c>
      <c r="D3570" t="s">
        <v>35</v>
      </c>
      <c r="E3570" t="s">
        <v>84</v>
      </c>
      <c r="F3570" s="1">
        <v>42500</v>
      </c>
      <c r="G3570" s="1">
        <v>42501</v>
      </c>
      <c r="H3570" t="s">
        <v>25</v>
      </c>
      <c r="I3570">
        <v>1</v>
      </c>
      <c r="J3570" t="s">
        <v>109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23</v>
      </c>
      <c r="R3570">
        <v>0</v>
      </c>
    </row>
    <row r="3571" spans="1:18">
      <c r="A3571" s="4">
        <v>8287530000000</v>
      </c>
      <c r="B3571" t="s">
        <v>18</v>
      </c>
      <c r="C3571">
        <v>56</v>
      </c>
      <c r="D3571" t="s">
        <v>35</v>
      </c>
      <c r="E3571" t="s">
        <v>69</v>
      </c>
      <c r="F3571" s="1">
        <v>42500</v>
      </c>
      <c r="G3571" s="1">
        <v>42501</v>
      </c>
      <c r="H3571" t="s">
        <v>25</v>
      </c>
      <c r="I3571">
        <v>1</v>
      </c>
      <c r="J3571" t="s">
        <v>109</v>
      </c>
      <c r="K3571">
        <v>0</v>
      </c>
      <c r="L3571">
        <v>1</v>
      </c>
      <c r="M3571">
        <v>0</v>
      </c>
      <c r="N3571">
        <v>0</v>
      </c>
      <c r="O3571">
        <v>0</v>
      </c>
      <c r="P3571">
        <v>0</v>
      </c>
      <c r="Q3571" t="s">
        <v>23</v>
      </c>
      <c r="R3571">
        <v>0</v>
      </c>
    </row>
    <row r="3572" spans="1:18">
      <c r="A3572" s="4">
        <v>95553700000000</v>
      </c>
      <c r="B3572" t="s">
        <v>18</v>
      </c>
      <c r="C3572">
        <v>22</v>
      </c>
      <c r="D3572" t="s">
        <v>37</v>
      </c>
      <c r="E3572" t="s">
        <v>38</v>
      </c>
      <c r="F3572" s="1">
        <v>42500</v>
      </c>
      <c r="G3572" s="1">
        <v>42507</v>
      </c>
      <c r="H3572" t="s">
        <v>41</v>
      </c>
      <c r="I3572">
        <v>7</v>
      </c>
      <c r="J3572" t="s">
        <v>107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23</v>
      </c>
      <c r="R3572">
        <v>0</v>
      </c>
    </row>
    <row r="3573" spans="1:18">
      <c r="A3573" s="4">
        <v>37399000000000</v>
      </c>
      <c r="B3573" t="s">
        <v>28</v>
      </c>
      <c r="C3573">
        <v>17</v>
      </c>
      <c r="D3573" t="s">
        <v>60</v>
      </c>
      <c r="E3573" t="s">
        <v>29</v>
      </c>
      <c r="F3573" s="1">
        <v>42500</v>
      </c>
      <c r="G3573" s="1">
        <v>42500</v>
      </c>
      <c r="H3573" t="s">
        <v>41</v>
      </c>
      <c r="I3573">
        <v>0</v>
      </c>
      <c r="J3573" t="s">
        <v>111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23</v>
      </c>
      <c r="R3573">
        <v>0</v>
      </c>
    </row>
    <row r="3574" spans="1:18">
      <c r="A3574" s="4">
        <v>9452750000000</v>
      </c>
      <c r="B3574" t="s">
        <v>28</v>
      </c>
      <c r="C3574">
        <v>59</v>
      </c>
      <c r="D3574" t="s">
        <v>35</v>
      </c>
      <c r="E3574" t="s">
        <v>62</v>
      </c>
      <c r="F3574" s="1">
        <v>42500</v>
      </c>
      <c r="G3574" s="1">
        <v>42500</v>
      </c>
      <c r="H3574" t="s">
        <v>41</v>
      </c>
      <c r="I3574">
        <v>0</v>
      </c>
      <c r="J3574" t="s">
        <v>111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23</v>
      </c>
      <c r="R3574">
        <v>0</v>
      </c>
    </row>
    <row r="3575" spans="1:18">
      <c r="A3575" s="4">
        <v>6391290000000</v>
      </c>
      <c r="B3575" t="s">
        <v>28</v>
      </c>
      <c r="C3575">
        <v>15</v>
      </c>
      <c r="D3575" t="s">
        <v>60</v>
      </c>
      <c r="E3575" t="s">
        <v>20</v>
      </c>
      <c r="F3575" s="1">
        <v>42500</v>
      </c>
      <c r="G3575" s="1">
        <v>42501</v>
      </c>
      <c r="H3575" t="s">
        <v>25</v>
      </c>
      <c r="I3575">
        <v>1</v>
      </c>
      <c r="J3575" t="s">
        <v>109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26</v>
      </c>
      <c r="R3575">
        <v>1</v>
      </c>
    </row>
    <row r="3576" spans="1:18">
      <c r="A3576" s="4">
        <v>31925000000000</v>
      </c>
      <c r="B3576" t="s">
        <v>18</v>
      </c>
      <c r="C3576">
        <v>24</v>
      </c>
      <c r="D3576" t="s">
        <v>37</v>
      </c>
      <c r="E3576" t="s">
        <v>43</v>
      </c>
      <c r="F3576" s="1">
        <v>42500</v>
      </c>
      <c r="G3576" s="1">
        <v>42501</v>
      </c>
      <c r="H3576" t="s">
        <v>25</v>
      </c>
      <c r="I3576">
        <v>1</v>
      </c>
      <c r="J3576" t="s">
        <v>109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26</v>
      </c>
      <c r="R3576">
        <v>1</v>
      </c>
    </row>
    <row r="3577" spans="1:18">
      <c r="A3577" s="4">
        <v>43329400000000</v>
      </c>
      <c r="B3577" t="s">
        <v>18</v>
      </c>
      <c r="C3577">
        <v>79</v>
      </c>
      <c r="D3577" t="s">
        <v>19</v>
      </c>
      <c r="E3577" t="s">
        <v>59</v>
      </c>
      <c r="F3577" s="1">
        <v>42500</v>
      </c>
      <c r="G3577" s="1">
        <v>42501</v>
      </c>
      <c r="H3577" t="s">
        <v>25</v>
      </c>
      <c r="I3577">
        <v>1</v>
      </c>
      <c r="J3577" t="s">
        <v>109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23</v>
      </c>
      <c r="R3577">
        <v>0</v>
      </c>
    </row>
    <row r="3578" spans="1:18">
      <c r="A3578" s="4">
        <v>419965000000000</v>
      </c>
      <c r="B3578" t="s">
        <v>18</v>
      </c>
      <c r="C3578">
        <v>65</v>
      </c>
      <c r="D3578" t="s">
        <v>35</v>
      </c>
      <c r="E3578" t="s">
        <v>45</v>
      </c>
      <c r="F3578" s="1">
        <v>42500</v>
      </c>
      <c r="G3578" s="1">
        <v>42502</v>
      </c>
      <c r="H3578" t="s">
        <v>33</v>
      </c>
      <c r="I3578">
        <v>2</v>
      </c>
      <c r="J3578" t="s">
        <v>109</v>
      </c>
      <c r="K3578">
        <v>0</v>
      </c>
      <c r="L3578">
        <v>1</v>
      </c>
      <c r="M3578">
        <v>1</v>
      </c>
      <c r="N3578">
        <v>0</v>
      </c>
      <c r="O3578">
        <v>0</v>
      </c>
      <c r="P3578">
        <v>0</v>
      </c>
      <c r="Q3578" t="s">
        <v>26</v>
      </c>
      <c r="R3578">
        <v>1</v>
      </c>
    </row>
    <row r="3579" spans="1:18">
      <c r="A3579" s="4">
        <v>769336000000000</v>
      </c>
      <c r="B3579" t="s">
        <v>18</v>
      </c>
      <c r="C3579">
        <v>2</v>
      </c>
      <c r="D3579" t="s">
        <v>31</v>
      </c>
      <c r="E3579" t="s">
        <v>61</v>
      </c>
      <c r="F3579" s="1">
        <v>42500</v>
      </c>
      <c r="G3579" s="1">
        <v>42500</v>
      </c>
      <c r="H3579" t="s">
        <v>41</v>
      </c>
      <c r="I3579">
        <v>0</v>
      </c>
      <c r="J3579" t="s">
        <v>111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23</v>
      </c>
      <c r="R3579">
        <v>0</v>
      </c>
    </row>
    <row r="3580" spans="1:18">
      <c r="A3580" s="4">
        <v>79385681333</v>
      </c>
      <c r="B3580" t="s">
        <v>28</v>
      </c>
      <c r="C3580">
        <v>73</v>
      </c>
      <c r="D3580" t="s">
        <v>19</v>
      </c>
      <c r="E3580" t="s">
        <v>62</v>
      </c>
      <c r="F3580" s="1">
        <v>42500</v>
      </c>
      <c r="G3580" s="1">
        <v>42502</v>
      </c>
      <c r="H3580" t="s">
        <v>33</v>
      </c>
      <c r="I3580">
        <v>2</v>
      </c>
      <c r="J3580" t="s">
        <v>109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23</v>
      </c>
      <c r="R3580">
        <v>0</v>
      </c>
    </row>
    <row r="3581" spans="1:18">
      <c r="A3581" s="4">
        <v>51941400000000</v>
      </c>
      <c r="B3581" t="s">
        <v>18</v>
      </c>
      <c r="C3581">
        <v>67</v>
      </c>
      <c r="D3581" t="s">
        <v>19</v>
      </c>
      <c r="E3581" t="s">
        <v>46</v>
      </c>
      <c r="F3581" s="1">
        <v>42500</v>
      </c>
      <c r="G3581" s="1">
        <v>42502</v>
      </c>
      <c r="H3581" t="s">
        <v>33</v>
      </c>
      <c r="I3581">
        <v>2</v>
      </c>
      <c r="J3581" t="s">
        <v>109</v>
      </c>
      <c r="K3581">
        <v>0</v>
      </c>
      <c r="L3581">
        <v>1</v>
      </c>
      <c r="M3581">
        <v>0</v>
      </c>
      <c r="N3581">
        <v>0</v>
      </c>
      <c r="O3581">
        <v>0</v>
      </c>
      <c r="P3581">
        <v>0</v>
      </c>
      <c r="Q3581" t="s">
        <v>23</v>
      </c>
      <c r="R3581">
        <v>0</v>
      </c>
    </row>
    <row r="3582" spans="1:18">
      <c r="A3582" s="4">
        <v>27517800000000</v>
      </c>
      <c r="B3582" t="s">
        <v>28</v>
      </c>
      <c r="C3582">
        <v>55</v>
      </c>
      <c r="D3582" t="s">
        <v>35</v>
      </c>
      <c r="E3582" t="s">
        <v>32</v>
      </c>
      <c r="F3582" s="1">
        <v>42500</v>
      </c>
      <c r="G3582" s="1">
        <v>42500</v>
      </c>
      <c r="H3582" t="s">
        <v>41</v>
      </c>
      <c r="I3582">
        <v>0</v>
      </c>
      <c r="J3582" t="s">
        <v>111</v>
      </c>
      <c r="K3582">
        <v>0</v>
      </c>
      <c r="L3582">
        <v>1</v>
      </c>
      <c r="M3582">
        <v>0</v>
      </c>
      <c r="N3582">
        <v>0</v>
      </c>
      <c r="O3582">
        <v>0</v>
      </c>
      <c r="P3582">
        <v>0</v>
      </c>
      <c r="Q3582" t="s">
        <v>23</v>
      </c>
      <c r="R3582">
        <v>0</v>
      </c>
    </row>
    <row r="3583" spans="1:18">
      <c r="A3583" s="4">
        <v>55715600000000</v>
      </c>
      <c r="B3583" t="s">
        <v>18</v>
      </c>
      <c r="C3583">
        <v>19</v>
      </c>
      <c r="D3583" t="s">
        <v>37</v>
      </c>
      <c r="E3583" t="s">
        <v>103</v>
      </c>
      <c r="F3583" s="1">
        <v>42500</v>
      </c>
      <c r="G3583" s="1">
        <v>42507</v>
      </c>
      <c r="H3583" t="s">
        <v>41</v>
      </c>
      <c r="I3583">
        <v>7</v>
      </c>
      <c r="J3583" t="s">
        <v>107</v>
      </c>
      <c r="K3583">
        <v>1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26</v>
      </c>
      <c r="R3583">
        <v>1</v>
      </c>
    </row>
    <row r="3584" spans="1:18">
      <c r="A3584" s="4">
        <v>55739700000000</v>
      </c>
      <c r="B3584" t="s">
        <v>18</v>
      </c>
      <c r="C3584">
        <v>63</v>
      </c>
      <c r="D3584" t="s">
        <v>35</v>
      </c>
      <c r="E3584" t="s">
        <v>65</v>
      </c>
      <c r="F3584" s="1">
        <v>42500</v>
      </c>
      <c r="G3584" s="1">
        <v>42507</v>
      </c>
      <c r="H3584" t="s">
        <v>41</v>
      </c>
      <c r="I3584">
        <v>7</v>
      </c>
      <c r="J3584" t="s">
        <v>107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23</v>
      </c>
      <c r="R3584">
        <v>0</v>
      </c>
    </row>
    <row r="3585" spans="1:18">
      <c r="A3585" s="4">
        <v>728578000000000</v>
      </c>
      <c r="B3585" t="s">
        <v>18</v>
      </c>
      <c r="C3585">
        <v>5</v>
      </c>
      <c r="D3585" t="s">
        <v>31</v>
      </c>
      <c r="E3585" t="s">
        <v>78</v>
      </c>
      <c r="F3585" s="1">
        <v>42500</v>
      </c>
      <c r="G3585" s="1">
        <v>42509</v>
      </c>
      <c r="H3585" t="s">
        <v>33</v>
      </c>
      <c r="I3585">
        <v>9</v>
      </c>
      <c r="J3585" t="s">
        <v>92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23</v>
      </c>
      <c r="R3585">
        <v>0</v>
      </c>
    </row>
    <row r="3586" spans="1:18">
      <c r="A3586" s="4">
        <v>4395340000000</v>
      </c>
      <c r="B3586" t="s">
        <v>18</v>
      </c>
      <c r="C3586">
        <v>16</v>
      </c>
      <c r="D3586" t="s">
        <v>60</v>
      </c>
      <c r="E3586" t="s">
        <v>69</v>
      </c>
      <c r="F3586" s="1">
        <v>42500</v>
      </c>
      <c r="G3586" s="1">
        <v>42500</v>
      </c>
      <c r="H3586" t="s">
        <v>41</v>
      </c>
      <c r="I3586">
        <v>0</v>
      </c>
      <c r="J3586" t="s">
        <v>111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23</v>
      </c>
      <c r="R3586">
        <v>0</v>
      </c>
    </row>
    <row r="3587" spans="1:18">
      <c r="A3587" s="4">
        <v>6153300000000</v>
      </c>
      <c r="B3587" t="s">
        <v>18</v>
      </c>
      <c r="C3587">
        <v>23</v>
      </c>
      <c r="D3587" t="s">
        <v>37</v>
      </c>
      <c r="E3587" t="s">
        <v>48</v>
      </c>
      <c r="F3587" s="1">
        <v>42500</v>
      </c>
      <c r="G3587" s="1">
        <v>42501</v>
      </c>
      <c r="H3587" t="s">
        <v>25</v>
      </c>
      <c r="I3587">
        <v>1</v>
      </c>
      <c r="J3587" t="s">
        <v>109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23</v>
      </c>
      <c r="R3587">
        <v>0</v>
      </c>
    </row>
    <row r="3588" spans="1:18">
      <c r="A3588" s="4">
        <v>2558150000000</v>
      </c>
      <c r="B3588" t="s">
        <v>18</v>
      </c>
      <c r="C3588">
        <v>32</v>
      </c>
      <c r="D3588" t="s">
        <v>37</v>
      </c>
      <c r="E3588" t="s">
        <v>86</v>
      </c>
      <c r="F3588" s="1">
        <v>42500</v>
      </c>
      <c r="G3588" s="1">
        <v>42506</v>
      </c>
      <c r="H3588" t="s">
        <v>30</v>
      </c>
      <c r="I3588">
        <v>6</v>
      </c>
      <c r="J3588" t="s">
        <v>107</v>
      </c>
      <c r="K3588">
        <v>1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23</v>
      </c>
      <c r="R3588">
        <v>0</v>
      </c>
    </row>
    <row r="3589" spans="1:18">
      <c r="A3589" s="4">
        <v>616128000000000</v>
      </c>
      <c r="B3589" t="s">
        <v>28</v>
      </c>
      <c r="C3589">
        <v>5</v>
      </c>
      <c r="D3589" t="s">
        <v>31</v>
      </c>
      <c r="E3589" t="s">
        <v>56</v>
      </c>
      <c r="F3589" s="1">
        <v>42500</v>
      </c>
      <c r="G3589" s="1">
        <v>42500</v>
      </c>
      <c r="H3589" t="s">
        <v>41</v>
      </c>
      <c r="I3589">
        <v>0</v>
      </c>
      <c r="J3589" t="s">
        <v>111</v>
      </c>
      <c r="K3589">
        <v>1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23</v>
      </c>
      <c r="R3589">
        <v>0</v>
      </c>
    </row>
    <row r="3590" spans="1:18">
      <c r="A3590" s="4">
        <v>9142370000000</v>
      </c>
      <c r="B3590" t="s">
        <v>18</v>
      </c>
      <c r="C3590">
        <v>73</v>
      </c>
      <c r="D3590" t="s">
        <v>19</v>
      </c>
      <c r="E3590" t="s">
        <v>61</v>
      </c>
      <c r="F3590" s="1">
        <v>42500</v>
      </c>
      <c r="G3590" s="1">
        <v>42500</v>
      </c>
      <c r="H3590" t="s">
        <v>41</v>
      </c>
      <c r="I3590">
        <v>0</v>
      </c>
      <c r="J3590" t="s">
        <v>111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23</v>
      </c>
      <c r="R3590">
        <v>0</v>
      </c>
    </row>
    <row r="3591" spans="1:18">
      <c r="A3591" s="4">
        <v>29884800000000</v>
      </c>
      <c r="B3591" t="s">
        <v>18</v>
      </c>
      <c r="C3591">
        <v>60</v>
      </c>
      <c r="D3591" t="s">
        <v>35</v>
      </c>
      <c r="E3591" t="s">
        <v>56</v>
      </c>
      <c r="F3591" s="1">
        <v>42500</v>
      </c>
      <c r="G3591" s="1">
        <v>42502</v>
      </c>
      <c r="H3591" t="s">
        <v>33</v>
      </c>
      <c r="I3591">
        <v>2</v>
      </c>
      <c r="J3591" t="s">
        <v>109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23</v>
      </c>
      <c r="R3591">
        <v>0</v>
      </c>
    </row>
    <row r="3592" spans="1:18">
      <c r="A3592" s="4">
        <v>41215200000000</v>
      </c>
      <c r="B3592" t="s">
        <v>18</v>
      </c>
      <c r="C3592">
        <v>52</v>
      </c>
      <c r="D3592" t="s">
        <v>35</v>
      </c>
      <c r="E3592" t="s">
        <v>64</v>
      </c>
      <c r="F3592" s="1">
        <v>42500</v>
      </c>
      <c r="G3592" s="1">
        <v>42506</v>
      </c>
      <c r="H3592" t="s">
        <v>30</v>
      </c>
      <c r="I3592">
        <v>6</v>
      </c>
      <c r="J3592" t="s">
        <v>107</v>
      </c>
      <c r="K3592">
        <v>0</v>
      </c>
      <c r="L3592">
        <v>0</v>
      </c>
      <c r="M3592">
        <v>1</v>
      </c>
      <c r="N3592">
        <v>0</v>
      </c>
      <c r="O3592">
        <v>0</v>
      </c>
      <c r="P3592">
        <v>0</v>
      </c>
      <c r="Q3592" t="s">
        <v>26</v>
      </c>
      <c r="R3592">
        <v>1</v>
      </c>
    </row>
    <row r="3593" spans="1:18">
      <c r="A3593" s="4">
        <v>2232920000000</v>
      </c>
      <c r="B3593" t="s">
        <v>18</v>
      </c>
      <c r="C3593">
        <v>68</v>
      </c>
      <c r="D3593" t="s">
        <v>19</v>
      </c>
      <c r="E3593" t="s">
        <v>38</v>
      </c>
      <c r="F3593" s="1">
        <v>42500</v>
      </c>
      <c r="G3593" s="1">
        <v>42501</v>
      </c>
      <c r="H3593" t="s">
        <v>25</v>
      </c>
      <c r="I3593">
        <v>1</v>
      </c>
      <c r="J3593" t="s">
        <v>109</v>
      </c>
      <c r="K3593">
        <v>0</v>
      </c>
      <c r="L3593">
        <v>1</v>
      </c>
      <c r="M3593">
        <v>1</v>
      </c>
      <c r="N3593">
        <v>0</v>
      </c>
      <c r="O3593">
        <v>0</v>
      </c>
      <c r="P3593">
        <v>0</v>
      </c>
      <c r="Q3593" t="s">
        <v>23</v>
      </c>
      <c r="R3593">
        <v>0</v>
      </c>
    </row>
    <row r="3594" spans="1:18">
      <c r="A3594" s="4">
        <v>917324000000000</v>
      </c>
      <c r="B3594" t="s">
        <v>18</v>
      </c>
      <c r="C3594">
        <v>24</v>
      </c>
      <c r="D3594" t="s">
        <v>37</v>
      </c>
      <c r="E3594" t="s">
        <v>71</v>
      </c>
      <c r="F3594" s="1">
        <v>42500</v>
      </c>
      <c r="G3594" s="1">
        <v>42507</v>
      </c>
      <c r="H3594" t="s">
        <v>41</v>
      </c>
      <c r="I3594">
        <v>7</v>
      </c>
      <c r="J3594" t="s">
        <v>107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23</v>
      </c>
      <c r="R3594">
        <v>0</v>
      </c>
    </row>
    <row r="3595" spans="1:18">
      <c r="A3595" s="4">
        <v>494889000000</v>
      </c>
      <c r="B3595" t="s">
        <v>18</v>
      </c>
      <c r="C3595">
        <v>64</v>
      </c>
      <c r="D3595" t="s">
        <v>35</v>
      </c>
      <c r="E3595" t="s">
        <v>91</v>
      </c>
      <c r="F3595" s="1">
        <v>42500</v>
      </c>
      <c r="G3595" s="1">
        <v>42500</v>
      </c>
      <c r="H3595" t="s">
        <v>41</v>
      </c>
      <c r="I3595">
        <v>0</v>
      </c>
      <c r="J3595" t="s">
        <v>111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23</v>
      </c>
      <c r="R3595">
        <v>0</v>
      </c>
    </row>
    <row r="3596" spans="1:18">
      <c r="A3596" s="4">
        <v>2643320000000</v>
      </c>
      <c r="B3596" t="s">
        <v>18</v>
      </c>
      <c r="C3596">
        <v>38</v>
      </c>
      <c r="D3596" t="s">
        <v>27</v>
      </c>
      <c r="E3596" t="s">
        <v>59</v>
      </c>
      <c r="F3596" s="1">
        <v>42500</v>
      </c>
      <c r="G3596" s="1">
        <v>42502</v>
      </c>
      <c r="H3596" t="s">
        <v>33</v>
      </c>
      <c r="I3596">
        <v>2</v>
      </c>
      <c r="J3596" t="s">
        <v>109</v>
      </c>
      <c r="K3596">
        <v>1</v>
      </c>
      <c r="L3596">
        <v>0</v>
      </c>
      <c r="M3596">
        <v>0</v>
      </c>
      <c r="N3596">
        <v>0</v>
      </c>
      <c r="O3596">
        <v>1</v>
      </c>
      <c r="P3596">
        <v>0</v>
      </c>
      <c r="Q3596" t="s">
        <v>26</v>
      </c>
      <c r="R3596">
        <v>1</v>
      </c>
    </row>
    <row r="3597" spans="1:18">
      <c r="A3597" s="4">
        <v>74752200000000</v>
      </c>
      <c r="B3597" t="s">
        <v>18</v>
      </c>
      <c r="C3597">
        <v>46</v>
      </c>
      <c r="D3597" t="s">
        <v>27</v>
      </c>
      <c r="E3597" t="s">
        <v>65</v>
      </c>
      <c r="F3597" s="1">
        <v>42500</v>
      </c>
      <c r="G3597" s="1">
        <v>42501</v>
      </c>
      <c r="H3597" t="s">
        <v>25</v>
      </c>
      <c r="I3597">
        <v>1</v>
      </c>
      <c r="J3597" t="s">
        <v>109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23</v>
      </c>
      <c r="R3597">
        <v>0</v>
      </c>
    </row>
    <row r="3598" spans="1:18">
      <c r="A3598" s="4">
        <v>456299000000000</v>
      </c>
      <c r="B3598" t="s">
        <v>18</v>
      </c>
      <c r="C3598">
        <v>35</v>
      </c>
      <c r="D3598" t="s">
        <v>37</v>
      </c>
      <c r="E3598" t="s">
        <v>61</v>
      </c>
      <c r="F3598" s="1">
        <v>42500</v>
      </c>
      <c r="G3598" s="1">
        <v>42528</v>
      </c>
      <c r="H3598" t="s">
        <v>41</v>
      </c>
      <c r="I3598">
        <v>28</v>
      </c>
      <c r="J3598" t="s">
        <v>77</v>
      </c>
      <c r="K3598">
        <v>1</v>
      </c>
      <c r="L3598">
        <v>1</v>
      </c>
      <c r="M3598">
        <v>0</v>
      </c>
      <c r="N3598">
        <v>0</v>
      </c>
      <c r="O3598">
        <v>0</v>
      </c>
      <c r="P3598">
        <v>1</v>
      </c>
      <c r="Q3598" t="s">
        <v>23</v>
      </c>
      <c r="R3598">
        <v>0</v>
      </c>
    </row>
    <row r="3599" spans="1:18">
      <c r="A3599" s="4">
        <v>81126200000000</v>
      </c>
      <c r="B3599" t="s">
        <v>18</v>
      </c>
      <c r="C3599">
        <v>60</v>
      </c>
      <c r="D3599" t="s">
        <v>35</v>
      </c>
      <c r="E3599" t="s">
        <v>20</v>
      </c>
      <c r="F3599" s="1">
        <v>42500</v>
      </c>
      <c r="G3599" s="1">
        <v>42500</v>
      </c>
      <c r="H3599" t="s">
        <v>41</v>
      </c>
      <c r="I3599">
        <v>0</v>
      </c>
      <c r="J3599" t="s">
        <v>111</v>
      </c>
      <c r="K3599">
        <v>0</v>
      </c>
      <c r="L3599">
        <v>1</v>
      </c>
      <c r="M3599">
        <v>0</v>
      </c>
      <c r="N3599">
        <v>0</v>
      </c>
      <c r="O3599">
        <v>0</v>
      </c>
      <c r="P3599">
        <v>0</v>
      </c>
      <c r="Q3599" t="s">
        <v>23</v>
      </c>
      <c r="R3599">
        <v>0</v>
      </c>
    </row>
    <row r="3600" spans="1:18">
      <c r="A3600" s="4">
        <v>1752250000000</v>
      </c>
      <c r="B3600" t="s">
        <v>18</v>
      </c>
      <c r="C3600">
        <v>24</v>
      </c>
      <c r="D3600" t="s">
        <v>37</v>
      </c>
      <c r="E3600" t="s">
        <v>36</v>
      </c>
      <c r="F3600" s="1">
        <v>42500</v>
      </c>
      <c r="G3600" s="1">
        <v>42528</v>
      </c>
      <c r="H3600" t="s">
        <v>41</v>
      </c>
      <c r="I3600">
        <v>28</v>
      </c>
      <c r="J3600" t="s">
        <v>77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1</v>
      </c>
      <c r="Q3600" t="s">
        <v>26</v>
      </c>
      <c r="R3600">
        <v>1</v>
      </c>
    </row>
    <row r="3601" spans="1:18">
      <c r="A3601" s="4">
        <v>89862800000000</v>
      </c>
      <c r="B3601" t="s">
        <v>18</v>
      </c>
      <c r="C3601">
        <v>0</v>
      </c>
      <c r="D3601" t="s">
        <v>31</v>
      </c>
      <c r="E3601" t="s">
        <v>72</v>
      </c>
      <c r="F3601" s="1">
        <v>42500</v>
      </c>
      <c r="G3601" s="1">
        <v>42514</v>
      </c>
      <c r="H3601" t="s">
        <v>41</v>
      </c>
      <c r="I3601">
        <v>14</v>
      </c>
      <c r="J3601" t="s">
        <v>92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1</v>
      </c>
      <c r="Q3601" t="s">
        <v>23</v>
      </c>
      <c r="R3601">
        <v>0</v>
      </c>
    </row>
    <row r="3602" spans="1:18">
      <c r="A3602" s="4">
        <v>8869440000000</v>
      </c>
      <c r="B3602" t="s">
        <v>18</v>
      </c>
      <c r="C3602">
        <v>53</v>
      </c>
      <c r="D3602" t="s">
        <v>35</v>
      </c>
      <c r="E3602" t="s">
        <v>63</v>
      </c>
      <c r="F3602" s="1">
        <v>42500</v>
      </c>
      <c r="G3602" s="1">
        <v>42500</v>
      </c>
      <c r="H3602" t="s">
        <v>41</v>
      </c>
      <c r="I3602">
        <v>0</v>
      </c>
      <c r="J3602" t="s">
        <v>111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23</v>
      </c>
      <c r="R3602">
        <v>0</v>
      </c>
    </row>
    <row r="3603" spans="1:18">
      <c r="A3603" s="4">
        <v>115573000000</v>
      </c>
      <c r="B3603" t="s">
        <v>28</v>
      </c>
      <c r="C3603">
        <v>16</v>
      </c>
      <c r="D3603" t="s">
        <v>60</v>
      </c>
      <c r="E3603" t="s">
        <v>39</v>
      </c>
      <c r="F3603" s="1">
        <v>42500</v>
      </c>
      <c r="G3603" s="1">
        <v>42507</v>
      </c>
      <c r="H3603" t="s">
        <v>41</v>
      </c>
      <c r="I3603">
        <v>7</v>
      </c>
      <c r="J3603" t="s">
        <v>107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23</v>
      </c>
      <c r="R3603">
        <v>0</v>
      </c>
    </row>
    <row r="3604" spans="1:18">
      <c r="A3604" s="4">
        <v>86547900000000</v>
      </c>
      <c r="B3604" t="s">
        <v>28</v>
      </c>
      <c r="C3604">
        <v>93</v>
      </c>
      <c r="D3604" t="s">
        <v>19</v>
      </c>
      <c r="E3604" t="s">
        <v>40</v>
      </c>
      <c r="F3604" s="1">
        <v>42500</v>
      </c>
      <c r="G3604" s="1">
        <v>42500</v>
      </c>
      <c r="H3604" t="s">
        <v>41</v>
      </c>
      <c r="I3604">
        <v>0</v>
      </c>
      <c r="J3604" t="s">
        <v>111</v>
      </c>
      <c r="K3604">
        <v>0</v>
      </c>
      <c r="L3604">
        <v>1</v>
      </c>
      <c r="M3604">
        <v>0</v>
      </c>
      <c r="N3604">
        <v>0</v>
      </c>
      <c r="O3604">
        <v>0</v>
      </c>
      <c r="P3604">
        <v>0</v>
      </c>
      <c r="Q3604" t="s">
        <v>23</v>
      </c>
      <c r="R3604">
        <v>0</v>
      </c>
    </row>
    <row r="3605" spans="1:18">
      <c r="A3605" s="4">
        <v>1398650000000</v>
      </c>
      <c r="B3605" t="s">
        <v>18</v>
      </c>
      <c r="C3605">
        <v>30</v>
      </c>
      <c r="D3605" t="s">
        <v>37</v>
      </c>
      <c r="E3605" t="s">
        <v>42</v>
      </c>
      <c r="F3605" s="1">
        <v>42500</v>
      </c>
      <c r="G3605" s="1">
        <v>42503</v>
      </c>
      <c r="H3605" t="s">
        <v>21</v>
      </c>
      <c r="I3605">
        <v>3</v>
      </c>
      <c r="J3605" t="s">
        <v>109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26</v>
      </c>
      <c r="R3605">
        <v>1</v>
      </c>
    </row>
    <row r="3606" spans="1:18">
      <c r="A3606" s="4">
        <v>946268000000000</v>
      </c>
      <c r="B3606" t="s">
        <v>18</v>
      </c>
      <c r="C3606">
        <v>39</v>
      </c>
      <c r="D3606" t="s">
        <v>27</v>
      </c>
      <c r="E3606" t="s">
        <v>59</v>
      </c>
      <c r="F3606" s="1">
        <v>42500</v>
      </c>
      <c r="G3606" s="1">
        <v>42500</v>
      </c>
      <c r="H3606" t="s">
        <v>41</v>
      </c>
      <c r="I3606">
        <v>0</v>
      </c>
      <c r="J3606" t="s">
        <v>111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23</v>
      </c>
      <c r="R3606">
        <v>0</v>
      </c>
    </row>
    <row r="3607" spans="1:18">
      <c r="A3607" s="4">
        <v>539542000000</v>
      </c>
      <c r="B3607" t="s">
        <v>18</v>
      </c>
      <c r="C3607">
        <v>42</v>
      </c>
      <c r="D3607" t="s">
        <v>27</v>
      </c>
      <c r="E3607" t="s">
        <v>54</v>
      </c>
      <c r="F3607" s="1">
        <v>42500</v>
      </c>
      <c r="G3607" s="1">
        <v>42502</v>
      </c>
      <c r="H3607" t="s">
        <v>33</v>
      </c>
      <c r="I3607">
        <v>2</v>
      </c>
      <c r="J3607" t="s">
        <v>109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23</v>
      </c>
      <c r="R3607">
        <v>0</v>
      </c>
    </row>
    <row r="3608" spans="1:18">
      <c r="A3608" s="4">
        <v>67254200000000</v>
      </c>
      <c r="B3608" t="s">
        <v>28</v>
      </c>
      <c r="C3608">
        <v>2</v>
      </c>
      <c r="D3608" t="s">
        <v>31</v>
      </c>
      <c r="E3608" t="s">
        <v>57</v>
      </c>
      <c r="F3608" s="1">
        <v>42500</v>
      </c>
      <c r="G3608" s="1">
        <v>42507</v>
      </c>
      <c r="H3608" t="s">
        <v>41</v>
      </c>
      <c r="I3608">
        <v>7</v>
      </c>
      <c r="J3608" t="s">
        <v>107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 t="s">
        <v>23</v>
      </c>
      <c r="R3608">
        <v>0</v>
      </c>
    </row>
    <row r="3609" spans="1:18">
      <c r="A3609" s="4">
        <v>86991800000000</v>
      </c>
      <c r="B3609" t="s">
        <v>18</v>
      </c>
      <c r="C3609">
        <v>40</v>
      </c>
      <c r="D3609" t="s">
        <v>27</v>
      </c>
      <c r="E3609" t="s">
        <v>113</v>
      </c>
      <c r="F3609" s="1">
        <v>42500</v>
      </c>
      <c r="G3609" s="1">
        <v>42523</v>
      </c>
      <c r="H3609" t="s">
        <v>33</v>
      </c>
      <c r="I3609">
        <v>23</v>
      </c>
      <c r="J3609" t="s">
        <v>77</v>
      </c>
      <c r="K3609">
        <v>0</v>
      </c>
      <c r="L3609">
        <v>0</v>
      </c>
      <c r="M3609">
        <v>1</v>
      </c>
      <c r="N3609">
        <v>0</v>
      </c>
      <c r="O3609">
        <v>0</v>
      </c>
      <c r="P3609">
        <v>1</v>
      </c>
      <c r="Q3609" t="s">
        <v>23</v>
      </c>
      <c r="R3609">
        <v>0</v>
      </c>
    </row>
    <row r="3610" spans="1:18">
      <c r="A3610" s="4">
        <v>993999000000000</v>
      </c>
      <c r="B3610" t="s">
        <v>18</v>
      </c>
      <c r="C3610">
        <v>39</v>
      </c>
      <c r="D3610" t="s">
        <v>27</v>
      </c>
      <c r="E3610" t="s">
        <v>72</v>
      </c>
      <c r="F3610" s="1">
        <v>42500</v>
      </c>
      <c r="G3610" s="1">
        <v>42500</v>
      </c>
      <c r="H3610" t="s">
        <v>41</v>
      </c>
      <c r="I3610">
        <v>0</v>
      </c>
      <c r="J3610" t="s">
        <v>111</v>
      </c>
      <c r="K3610">
        <v>1</v>
      </c>
      <c r="L3610">
        <v>1</v>
      </c>
      <c r="M3610">
        <v>0</v>
      </c>
      <c r="N3610">
        <v>1</v>
      </c>
      <c r="O3610">
        <v>0</v>
      </c>
      <c r="P3610">
        <v>0</v>
      </c>
      <c r="Q3610" t="s">
        <v>23</v>
      </c>
      <c r="R3610">
        <v>0</v>
      </c>
    </row>
    <row r="3611" spans="1:18">
      <c r="A3611" s="4">
        <v>211513000000000</v>
      </c>
      <c r="B3611" t="s">
        <v>18</v>
      </c>
      <c r="C3611">
        <v>0</v>
      </c>
      <c r="D3611" t="s">
        <v>31</v>
      </c>
      <c r="E3611" t="s">
        <v>39</v>
      </c>
      <c r="F3611" s="1">
        <v>42500</v>
      </c>
      <c r="G3611" s="1">
        <v>42500</v>
      </c>
      <c r="H3611" t="s">
        <v>41</v>
      </c>
      <c r="I3611">
        <v>0</v>
      </c>
      <c r="J3611" t="s">
        <v>111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23</v>
      </c>
      <c r="R3611">
        <v>0</v>
      </c>
    </row>
    <row r="3612" spans="1:18">
      <c r="A3612" s="4">
        <v>78344200000000</v>
      </c>
      <c r="B3612" t="s">
        <v>28</v>
      </c>
      <c r="C3612">
        <v>24</v>
      </c>
      <c r="D3612" t="s">
        <v>37</v>
      </c>
      <c r="E3612" t="s">
        <v>47</v>
      </c>
      <c r="F3612" s="1">
        <v>42500</v>
      </c>
      <c r="G3612" s="1">
        <v>42508</v>
      </c>
      <c r="H3612" t="s">
        <v>25</v>
      </c>
      <c r="I3612">
        <v>8</v>
      </c>
      <c r="J3612" t="s">
        <v>92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26</v>
      </c>
      <c r="R3612">
        <v>1</v>
      </c>
    </row>
    <row r="3613" spans="1:18">
      <c r="A3613" s="4">
        <v>47122500000000</v>
      </c>
      <c r="B3613" t="s">
        <v>18</v>
      </c>
      <c r="C3613">
        <v>30</v>
      </c>
      <c r="D3613" t="s">
        <v>37</v>
      </c>
      <c r="E3613" t="s">
        <v>75</v>
      </c>
      <c r="F3613" s="1">
        <v>42500</v>
      </c>
      <c r="G3613" s="1">
        <v>42500</v>
      </c>
      <c r="H3613" t="s">
        <v>41</v>
      </c>
      <c r="I3613">
        <v>0</v>
      </c>
      <c r="J3613" t="s">
        <v>111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23</v>
      </c>
      <c r="R3613">
        <v>0</v>
      </c>
    </row>
    <row r="3614" spans="1:18">
      <c r="A3614" s="4">
        <v>31644100000000</v>
      </c>
      <c r="B3614" t="s">
        <v>18</v>
      </c>
      <c r="C3614">
        <v>64</v>
      </c>
      <c r="D3614" t="s">
        <v>35</v>
      </c>
      <c r="E3614" t="s">
        <v>74</v>
      </c>
      <c r="F3614" s="1">
        <v>42500</v>
      </c>
      <c r="G3614" s="1">
        <v>42509</v>
      </c>
      <c r="H3614" t="s">
        <v>33</v>
      </c>
      <c r="I3614">
        <v>9</v>
      </c>
      <c r="J3614" t="s">
        <v>92</v>
      </c>
      <c r="K3614">
        <v>0</v>
      </c>
      <c r="L3614">
        <v>1</v>
      </c>
      <c r="M3614">
        <v>0</v>
      </c>
      <c r="N3614">
        <v>0</v>
      </c>
      <c r="O3614">
        <v>0</v>
      </c>
      <c r="P3614">
        <v>0</v>
      </c>
      <c r="Q3614" t="s">
        <v>23</v>
      </c>
      <c r="R3614">
        <v>0</v>
      </c>
    </row>
    <row r="3615" spans="1:18">
      <c r="A3615" s="4">
        <v>8247350000000</v>
      </c>
      <c r="B3615" t="s">
        <v>18</v>
      </c>
      <c r="C3615">
        <v>30</v>
      </c>
      <c r="D3615" t="s">
        <v>37</v>
      </c>
      <c r="E3615" t="s">
        <v>45</v>
      </c>
      <c r="F3615" s="1">
        <v>42500</v>
      </c>
      <c r="G3615" s="1">
        <v>42500</v>
      </c>
      <c r="H3615" t="s">
        <v>41</v>
      </c>
      <c r="I3615">
        <v>0</v>
      </c>
      <c r="J3615" t="s">
        <v>111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23</v>
      </c>
      <c r="R3615">
        <v>0</v>
      </c>
    </row>
    <row r="3616" spans="1:18">
      <c r="A3616" s="4">
        <v>792817000000000</v>
      </c>
      <c r="B3616" t="s">
        <v>28</v>
      </c>
      <c r="C3616">
        <v>17</v>
      </c>
      <c r="D3616" t="s">
        <v>60</v>
      </c>
      <c r="E3616" t="s">
        <v>38</v>
      </c>
      <c r="F3616" s="1">
        <v>42500</v>
      </c>
      <c r="G3616" s="1">
        <v>42503</v>
      </c>
      <c r="H3616" t="s">
        <v>21</v>
      </c>
      <c r="I3616">
        <v>3</v>
      </c>
      <c r="J3616" t="s">
        <v>109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23</v>
      </c>
      <c r="R3616">
        <v>0</v>
      </c>
    </row>
    <row r="3617" spans="1:18">
      <c r="A3617" s="4">
        <v>92487000000000</v>
      </c>
      <c r="B3617" t="s">
        <v>18</v>
      </c>
      <c r="C3617">
        <v>39</v>
      </c>
      <c r="D3617" t="s">
        <v>27</v>
      </c>
      <c r="E3617" t="s">
        <v>47</v>
      </c>
      <c r="F3617" s="1">
        <v>42500</v>
      </c>
      <c r="G3617" s="1">
        <v>42507</v>
      </c>
      <c r="H3617" t="s">
        <v>41</v>
      </c>
      <c r="I3617">
        <v>7</v>
      </c>
      <c r="J3617" t="s">
        <v>107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26</v>
      </c>
      <c r="R3617">
        <v>1</v>
      </c>
    </row>
    <row r="3618" spans="1:18">
      <c r="A3618" s="4">
        <v>342756000000000</v>
      </c>
      <c r="B3618" t="s">
        <v>18</v>
      </c>
      <c r="C3618">
        <v>31</v>
      </c>
      <c r="D3618" t="s">
        <v>37</v>
      </c>
      <c r="E3618" t="s">
        <v>100</v>
      </c>
      <c r="F3618" s="1">
        <v>42500</v>
      </c>
      <c r="G3618" s="1">
        <v>42500</v>
      </c>
      <c r="H3618" t="s">
        <v>41</v>
      </c>
      <c r="I3618">
        <v>0</v>
      </c>
      <c r="J3618" t="s">
        <v>111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23</v>
      </c>
      <c r="R3618">
        <v>0</v>
      </c>
    </row>
    <row r="3619" spans="1:18">
      <c r="A3619" s="4">
        <v>37283100000000</v>
      </c>
      <c r="B3619" t="s">
        <v>18</v>
      </c>
      <c r="C3619">
        <v>41</v>
      </c>
      <c r="D3619" t="s">
        <v>27</v>
      </c>
      <c r="E3619" t="s">
        <v>38</v>
      </c>
      <c r="F3619" s="1">
        <v>42500</v>
      </c>
      <c r="G3619" s="1">
        <v>42507</v>
      </c>
      <c r="H3619" t="s">
        <v>41</v>
      </c>
      <c r="I3619">
        <v>7</v>
      </c>
      <c r="J3619" t="s">
        <v>107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23</v>
      </c>
      <c r="R3619">
        <v>0</v>
      </c>
    </row>
    <row r="3620" spans="1:18">
      <c r="A3620" s="4">
        <v>8265590000000</v>
      </c>
      <c r="B3620" t="s">
        <v>18</v>
      </c>
      <c r="C3620">
        <v>51</v>
      </c>
      <c r="D3620" t="s">
        <v>35</v>
      </c>
      <c r="E3620" t="s">
        <v>29</v>
      </c>
      <c r="F3620" s="1">
        <v>42500</v>
      </c>
      <c r="G3620" s="1">
        <v>42529</v>
      </c>
      <c r="H3620" t="s">
        <v>25</v>
      </c>
      <c r="I3620">
        <v>29</v>
      </c>
      <c r="J3620" t="s">
        <v>77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1</v>
      </c>
      <c r="Q3620" t="s">
        <v>23</v>
      </c>
      <c r="R3620">
        <v>0</v>
      </c>
    </row>
    <row r="3621" spans="1:18">
      <c r="A3621" s="4">
        <v>721166000000</v>
      </c>
      <c r="B3621" t="s">
        <v>18</v>
      </c>
      <c r="C3621">
        <v>43</v>
      </c>
      <c r="D3621" t="s">
        <v>27</v>
      </c>
      <c r="E3621" t="s">
        <v>81</v>
      </c>
      <c r="F3621" s="1">
        <v>42500</v>
      </c>
      <c r="G3621" s="1">
        <v>42529</v>
      </c>
      <c r="H3621" t="s">
        <v>25</v>
      </c>
      <c r="I3621">
        <v>29</v>
      </c>
      <c r="J3621" t="s">
        <v>77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1</v>
      </c>
      <c r="Q3621" t="s">
        <v>23</v>
      </c>
      <c r="R3621">
        <v>0</v>
      </c>
    </row>
    <row r="3622" spans="1:18">
      <c r="A3622" s="4">
        <v>27712200000000</v>
      </c>
      <c r="B3622" t="s">
        <v>28</v>
      </c>
      <c r="C3622">
        <v>49</v>
      </c>
      <c r="D3622" t="s">
        <v>27</v>
      </c>
      <c r="E3622" t="s">
        <v>68</v>
      </c>
      <c r="F3622" s="1">
        <v>42500</v>
      </c>
      <c r="G3622" s="1">
        <v>42528</v>
      </c>
      <c r="H3622" t="s">
        <v>41</v>
      </c>
      <c r="I3622">
        <v>28</v>
      </c>
      <c r="J3622" t="s">
        <v>77</v>
      </c>
      <c r="K3622">
        <v>0</v>
      </c>
      <c r="L3622">
        <v>0</v>
      </c>
      <c r="M3622">
        <v>1</v>
      </c>
      <c r="N3622">
        <v>0</v>
      </c>
      <c r="O3622">
        <v>0</v>
      </c>
      <c r="P3622">
        <v>1</v>
      </c>
      <c r="Q3622" t="s">
        <v>23</v>
      </c>
      <c r="R3622">
        <v>0</v>
      </c>
    </row>
    <row r="3623" spans="1:18">
      <c r="A3623" s="4">
        <v>4229140000000</v>
      </c>
      <c r="B3623" t="s">
        <v>18</v>
      </c>
      <c r="C3623">
        <v>93</v>
      </c>
      <c r="D3623" t="s">
        <v>19</v>
      </c>
      <c r="E3623" t="s">
        <v>57</v>
      </c>
      <c r="F3623" s="1">
        <v>42500</v>
      </c>
      <c r="G3623" s="1">
        <v>42501</v>
      </c>
      <c r="H3623" t="s">
        <v>25</v>
      </c>
      <c r="I3623">
        <v>1</v>
      </c>
      <c r="J3623" t="s">
        <v>109</v>
      </c>
      <c r="K3623">
        <v>0</v>
      </c>
      <c r="L3623">
        <v>1</v>
      </c>
      <c r="M3623">
        <v>0</v>
      </c>
      <c r="N3623">
        <v>0</v>
      </c>
      <c r="O3623">
        <v>0</v>
      </c>
      <c r="P3623">
        <v>0</v>
      </c>
      <c r="Q3623" t="s">
        <v>23</v>
      </c>
      <c r="R3623">
        <v>0</v>
      </c>
    </row>
    <row r="3624" spans="1:18">
      <c r="A3624" s="4">
        <v>6656920000000</v>
      </c>
      <c r="B3624" t="s">
        <v>18</v>
      </c>
      <c r="C3624">
        <v>1</v>
      </c>
      <c r="D3624" t="s">
        <v>31</v>
      </c>
      <c r="E3624" t="s">
        <v>96</v>
      </c>
      <c r="F3624" s="1">
        <v>42500</v>
      </c>
      <c r="G3624" s="1">
        <v>42500</v>
      </c>
      <c r="H3624" t="s">
        <v>41</v>
      </c>
      <c r="I3624">
        <v>0</v>
      </c>
      <c r="J3624" t="s">
        <v>111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23</v>
      </c>
      <c r="R3624">
        <v>0</v>
      </c>
    </row>
    <row r="3625" spans="1:18">
      <c r="A3625" s="4">
        <v>592153000000000</v>
      </c>
      <c r="B3625" t="s">
        <v>18</v>
      </c>
      <c r="C3625">
        <v>85</v>
      </c>
      <c r="D3625" t="s">
        <v>19</v>
      </c>
      <c r="E3625" t="s">
        <v>80</v>
      </c>
      <c r="F3625" s="1">
        <v>42500</v>
      </c>
      <c r="G3625" s="1">
        <v>42500</v>
      </c>
      <c r="H3625" t="s">
        <v>41</v>
      </c>
      <c r="I3625">
        <v>0</v>
      </c>
      <c r="J3625" t="s">
        <v>111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23</v>
      </c>
      <c r="R3625">
        <v>0</v>
      </c>
    </row>
    <row r="3626" spans="1:18">
      <c r="A3626" s="4">
        <v>7454890000000</v>
      </c>
      <c r="B3626" t="s">
        <v>18</v>
      </c>
      <c r="C3626">
        <v>7</v>
      </c>
      <c r="D3626" t="s">
        <v>31</v>
      </c>
      <c r="E3626" t="s">
        <v>53</v>
      </c>
      <c r="F3626" s="1">
        <v>42500</v>
      </c>
      <c r="G3626" s="1">
        <v>42508</v>
      </c>
      <c r="H3626" t="s">
        <v>25</v>
      </c>
      <c r="I3626">
        <v>8</v>
      </c>
      <c r="J3626" t="s">
        <v>92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26</v>
      </c>
      <c r="R3626">
        <v>1</v>
      </c>
    </row>
    <row r="3627" spans="1:18">
      <c r="A3627" s="4">
        <v>241669000000000</v>
      </c>
      <c r="B3627" t="s">
        <v>28</v>
      </c>
      <c r="C3627">
        <v>35</v>
      </c>
      <c r="D3627" t="s">
        <v>37</v>
      </c>
      <c r="E3627" t="s">
        <v>76</v>
      </c>
      <c r="F3627" s="1">
        <v>42500</v>
      </c>
      <c r="G3627" s="1">
        <v>42514</v>
      </c>
      <c r="H3627" t="s">
        <v>41</v>
      </c>
      <c r="I3627">
        <v>14</v>
      </c>
      <c r="J3627" t="s">
        <v>92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1</v>
      </c>
      <c r="Q3627" t="s">
        <v>23</v>
      </c>
      <c r="R3627">
        <v>0</v>
      </c>
    </row>
    <row r="3628" spans="1:18">
      <c r="A3628" s="4">
        <v>117461000000</v>
      </c>
      <c r="B3628" t="s">
        <v>18</v>
      </c>
      <c r="C3628">
        <v>65</v>
      </c>
      <c r="D3628" t="s">
        <v>35</v>
      </c>
      <c r="E3628" t="s">
        <v>48</v>
      </c>
      <c r="F3628" s="1">
        <v>42500</v>
      </c>
      <c r="G3628" s="1">
        <v>42502</v>
      </c>
      <c r="H3628" t="s">
        <v>33</v>
      </c>
      <c r="I3628">
        <v>2</v>
      </c>
      <c r="J3628" t="s">
        <v>109</v>
      </c>
      <c r="K3628">
        <v>0</v>
      </c>
      <c r="L3628">
        <v>1</v>
      </c>
      <c r="M3628">
        <v>1</v>
      </c>
      <c r="N3628">
        <v>0</v>
      </c>
      <c r="O3628">
        <v>0</v>
      </c>
      <c r="P3628">
        <v>0</v>
      </c>
      <c r="Q3628" t="s">
        <v>23</v>
      </c>
      <c r="R3628">
        <v>0</v>
      </c>
    </row>
    <row r="3629" spans="1:18">
      <c r="A3629" s="4">
        <v>57271900000000</v>
      </c>
      <c r="B3629" t="s">
        <v>18</v>
      </c>
      <c r="C3629">
        <v>0</v>
      </c>
      <c r="D3629" t="s">
        <v>31</v>
      </c>
      <c r="E3629" t="s">
        <v>63</v>
      </c>
      <c r="F3629" s="1">
        <v>42500</v>
      </c>
      <c r="G3629" s="1">
        <v>42508</v>
      </c>
      <c r="H3629" t="s">
        <v>25</v>
      </c>
      <c r="I3629">
        <v>8</v>
      </c>
      <c r="J3629" t="s">
        <v>92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26</v>
      </c>
      <c r="R3629">
        <v>1</v>
      </c>
    </row>
    <row r="3630" spans="1:18">
      <c r="A3630" s="4">
        <v>383548000000</v>
      </c>
      <c r="B3630" t="s">
        <v>28</v>
      </c>
      <c r="C3630">
        <v>50</v>
      </c>
      <c r="D3630" t="s">
        <v>27</v>
      </c>
      <c r="E3630" t="s">
        <v>71</v>
      </c>
      <c r="F3630" s="1">
        <v>42500</v>
      </c>
      <c r="G3630" s="1">
        <v>42508</v>
      </c>
      <c r="H3630" t="s">
        <v>25</v>
      </c>
      <c r="I3630">
        <v>8</v>
      </c>
      <c r="J3630" t="s">
        <v>92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23</v>
      </c>
      <c r="R3630">
        <v>0</v>
      </c>
    </row>
    <row r="3631" spans="1:18">
      <c r="A3631" s="4">
        <v>463578000000000</v>
      </c>
      <c r="B3631" t="s">
        <v>18</v>
      </c>
      <c r="C3631">
        <v>28</v>
      </c>
      <c r="D3631" t="s">
        <v>37</v>
      </c>
      <c r="E3631" t="s">
        <v>97</v>
      </c>
      <c r="F3631" s="1">
        <v>42500</v>
      </c>
      <c r="G3631" s="1">
        <v>42500</v>
      </c>
      <c r="H3631" t="s">
        <v>41</v>
      </c>
      <c r="I3631">
        <v>0</v>
      </c>
      <c r="J3631" t="s">
        <v>111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23</v>
      </c>
      <c r="R3631">
        <v>0</v>
      </c>
    </row>
    <row r="3632" spans="1:18">
      <c r="A3632" s="4">
        <v>221415000000000</v>
      </c>
      <c r="B3632" t="s">
        <v>28</v>
      </c>
      <c r="C3632">
        <v>10</v>
      </c>
      <c r="D3632" t="s">
        <v>31</v>
      </c>
      <c r="E3632" t="s">
        <v>72</v>
      </c>
      <c r="F3632" s="1">
        <v>42500</v>
      </c>
      <c r="G3632" s="1">
        <v>42528</v>
      </c>
      <c r="H3632" t="s">
        <v>41</v>
      </c>
      <c r="I3632">
        <v>28</v>
      </c>
      <c r="J3632" t="s">
        <v>77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1</v>
      </c>
      <c r="Q3632" t="s">
        <v>23</v>
      </c>
      <c r="R3632">
        <v>0</v>
      </c>
    </row>
    <row r="3633" spans="1:18">
      <c r="A3633" s="4">
        <v>752289000000000</v>
      </c>
      <c r="B3633" t="s">
        <v>28</v>
      </c>
      <c r="C3633">
        <v>26</v>
      </c>
      <c r="D3633" t="s">
        <v>37</v>
      </c>
      <c r="E3633" t="s">
        <v>110</v>
      </c>
      <c r="F3633" s="1">
        <v>42500</v>
      </c>
      <c r="G3633" s="1">
        <v>42507</v>
      </c>
      <c r="H3633" t="s">
        <v>41</v>
      </c>
      <c r="I3633">
        <v>7</v>
      </c>
      <c r="J3633" t="s">
        <v>107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23</v>
      </c>
      <c r="R3633">
        <v>0</v>
      </c>
    </row>
    <row r="3634" spans="1:18">
      <c r="A3634" s="4">
        <v>9452750000000</v>
      </c>
      <c r="B3634" t="s">
        <v>28</v>
      </c>
      <c r="C3634">
        <v>59</v>
      </c>
      <c r="D3634" t="s">
        <v>35</v>
      </c>
      <c r="E3634" t="s">
        <v>62</v>
      </c>
      <c r="F3634" s="1">
        <v>42500</v>
      </c>
      <c r="G3634" s="1">
        <v>42500</v>
      </c>
      <c r="H3634" t="s">
        <v>41</v>
      </c>
      <c r="I3634">
        <v>0</v>
      </c>
      <c r="J3634" t="s">
        <v>111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23</v>
      </c>
      <c r="R3634">
        <v>0</v>
      </c>
    </row>
    <row r="3635" spans="1:18">
      <c r="A3635" s="4">
        <v>572328000000</v>
      </c>
      <c r="B3635" t="s">
        <v>18</v>
      </c>
      <c r="C3635">
        <v>65</v>
      </c>
      <c r="D3635" t="s">
        <v>35</v>
      </c>
      <c r="E3635" t="s">
        <v>54</v>
      </c>
      <c r="F3635" s="1">
        <v>42500</v>
      </c>
      <c r="G3635" s="1">
        <v>42509</v>
      </c>
      <c r="H3635" t="s">
        <v>33</v>
      </c>
      <c r="I3635">
        <v>9</v>
      </c>
      <c r="J3635" t="s">
        <v>92</v>
      </c>
      <c r="K3635">
        <v>0</v>
      </c>
      <c r="L3635">
        <v>1</v>
      </c>
      <c r="M3635">
        <v>0</v>
      </c>
      <c r="N3635">
        <v>0</v>
      </c>
      <c r="O3635">
        <v>0</v>
      </c>
      <c r="P3635">
        <v>0</v>
      </c>
      <c r="Q3635" t="s">
        <v>23</v>
      </c>
      <c r="R3635">
        <v>0</v>
      </c>
    </row>
    <row r="3636" spans="1:18">
      <c r="A3636" s="4">
        <v>826482000000000</v>
      </c>
      <c r="B3636" t="s">
        <v>18</v>
      </c>
      <c r="C3636">
        <v>31</v>
      </c>
      <c r="D3636" t="s">
        <v>37</v>
      </c>
      <c r="E3636" t="s">
        <v>43</v>
      </c>
      <c r="F3636" s="1">
        <v>42500</v>
      </c>
      <c r="G3636" s="1">
        <v>42507</v>
      </c>
      <c r="H3636" t="s">
        <v>41</v>
      </c>
      <c r="I3636">
        <v>7</v>
      </c>
      <c r="J3636" t="s">
        <v>107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23</v>
      </c>
      <c r="R3636">
        <v>0</v>
      </c>
    </row>
    <row r="3637" spans="1:18">
      <c r="A3637" s="4">
        <v>6232650000000</v>
      </c>
      <c r="B3637" t="s">
        <v>18</v>
      </c>
      <c r="C3637">
        <v>56</v>
      </c>
      <c r="D3637" t="s">
        <v>35</v>
      </c>
      <c r="E3637" t="s">
        <v>51</v>
      </c>
      <c r="F3637" s="1">
        <v>42500</v>
      </c>
      <c r="G3637" s="1">
        <v>42501</v>
      </c>
      <c r="H3637" t="s">
        <v>25</v>
      </c>
      <c r="I3637">
        <v>1</v>
      </c>
      <c r="J3637" t="s">
        <v>109</v>
      </c>
      <c r="K3637">
        <v>0</v>
      </c>
      <c r="L3637">
        <v>1</v>
      </c>
      <c r="M3637">
        <v>0</v>
      </c>
      <c r="N3637">
        <v>0</v>
      </c>
      <c r="O3637">
        <v>0</v>
      </c>
      <c r="P3637">
        <v>0</v>
      </c>
      <c r="Q3637" t="s">
        <v>26</v>
      </c>
      <c r="R3637">
        <v>1</v>
      </c>
    </row>
    <row r="3638" spans="1:18">
      <c r="A3638" s="4">
        <v>9525450000000</v>
      </c>
      <c r="B3638" t="s">
        <v>28</v>
      </c>
      <c r="C3638">
        <v>82</v>
      </c>
      <c r="D3638" t="s">
        <v>19</v>
      </c>
      <c r="E3638" t="s">
        <v>51</v>
      </c>
      <c r="F3638" s="1">
        <v>42500</v>
      </c>
      <c r="G3638" s="1">
        <v>42500</v>
      </c>
      <c r="H3638" t="s">
        <v>41</v>
      </c>
      <c r="I3638">
        <v>0</v>
      </c>
      <c r="J3638" t="s">
        <v>111</v>
      </c>
      <c r="K3638">
        <v>0</v>
      </c>
      <c r="L3638">
        <v>1</v>
      </c>
      <c r="M3638">
        <v>1</v>
      </c>
      <c r="N3638">
        <v>0</v>
      </c>
      <c r="O3638">
        <v>1</v>
      </c>
      <c r="P3638">
        <v>0</v>
      </c>
      <c r="Q3638" t="s">
        <v>23</v>
      </c>
      <c r="R3638">
        <v>0</v>
      </c>
    </row>
    <row r="3639" spans="1:18">
      <c r="A3639" s="4">
        <v>22589300000000</v>
      </c>
      <c r="B3639" t="s">
        <v>28</v>
      </c>
      <c r="C3639">
        <v>4</v>
      </c>
      <c r="D3639" t="s">
        <v>31</v>
      </c>
      <c r="E3639" t="s">
        <v>47</v>
      </c>
      <c r="F3639" s="1">
        <v>42500</v>
      </c>
      <c r="G3639" s="1">
        <v>42527</v>
      </c>
      <c r="H3639" t="s">
        <v>30</v>
      </c>
      <c r="I3639">
        <v>27</v>
      </c>
      <c r="J3639" t="s">
        <v>77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1</v>
      </c>
      <c r="Q3639" t="s">
        <v>23</v>
      </c>
      <c r="R3639">
        <v>0</v>
      </c>
    </row>
    <row r="3640" spans="1:18">
      <c r="A3640" s="4">
        <v>76687800000000</v>
      </c>
      <c r="B3640" t="s">
        <v>28</v>
      </c>
      <c r="C3640">
        <v>54</v>
      </c>
      <c r="D3640" t="s">
        <v>35</v>
      </c>
      <c r="E3640" t="s">
        <v>40</v>
      </c>
      <c r="F3640" s="1">
        <v>42500</v>
      </c>
      <c r="G3640" s="1">
        <v>42507</v>
      </c>
      <c r="H3640" t="s">
        <v>41</v>
      </c>
      <c r="I3640">
        <v>7</v>
      </c>
      <c r="J3640" t="s">
        <v>107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23</v>
      </c>
      <c r="R3640">
        <v>0</v>
      </c>
    </row>
    <row r="3641" spans="1:18">
      <c r="A3641" s="4">
        <v>856436000000000</v>
      </c>
      <c r="B3641" t="s">
        <v>18</v>
      </c>
      <c r="C3641">
        <v>36</v>
      </c>
      <c r="D3641" t="s">
        <v>27</v>
      </c>
      <c r="E3641" t="s">
        <v>55</v>
      </c>
      <c r="F3641" s="1">
        <v>42500</v>
      </c>
      <c r="G3641" s="1">
        <v>42500</v>
      </c>
      <c r="H3641" t="s">
        <v>41</v>
      </c>
      <c r="I3641">
        <v>0</v>
      </c>
      <c r="J3641" t="s">
        <v>111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23</v>
      </c>
      <c r="R3641">
        <v>0</v>
      </c>
    </row>
    <row r="3642" spans="1:18">
      <c r="A3642" s="4">
        <v>1463530000000</v>
      </c>
      <c r="B3642" t="s">
        <v>18</v>
      </c>
      <c r="C3642">
        <v>23</v>
      </c>
      <c r="D3642" t="s">
        <v>37</v>
      </c>
      <c r="E3642" t="s">
        <v>84</v>
      </c>
      <c r="F3642" s="1">
        <v>42500</v>
      </c>
      <c r="G3642" s="1">
        <v>42508</v>
      </c>
      <c r="H3642" t="s">
        <v>25</v>
      </c>
      <c r="I3642">
        <v>8</v>
      </c>
      <c r="J3642" t="s">
        <v>92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26</v>
      </c>
      <c r="R3642">
        <v>1</v>
      </c>
    </row>
    <row r="3643" spans="1:18">
      <c r="A3643" s="4">
        <v>38379600000000</v>
      </c>
      <c r="B3643" t="s">
        <v>18</v>
      </c>
      <c r="C3643">
        <v>22</v>
      </c>
      <c r="D3643" t="s">
        <v>37</v>
      </c>
      <c r="E3643" t="s">
        <v>84</v>
      </c>
      <c r="F3643" s="1">
        <v>42500</v>
      </c>
      <c r="G3643" s="1">
        <v>42510</v>
      </c>
      <c r="H3643" t="s">
        <v>21</v>
      </c>
      <c r="I3643">
        <v>10</v>
      </c>
      <c r="J3643" t="s">
        <v>92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23</v>
      </c>
      <c r="R3643">
        <v>0</v>
      </c>
    </row>
    <row r="3644" spans="1:18">
      <c r="A3644" s="4">
        <v>6166850000000</v>
      </c>
      <c r="B3644" t="s">
        <v>18</v>
      </c>
      <c r="C3644">
        <v>65</v>
      </c>
      <c r="D3644" t="s">
        <v>35</v>
      </c>
      <c r="E3644" t="s">
        <v>50</v>
      </c>
      <c r="F3644" s="1">
        <v>42500</v>
      </c>
      <c r="G3644" s="1">
        <v>42503</v>
      </c>
      <c r="H3644" t="s">
        <v>21</v>
      </c>
      <c r="I3644">
        <v>3</v>
      </c>
      <c r="J3644" t="s">
        <v>109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23</v>
      </c>
      <c r="R3644">
        <v>0</v>
      </c>
    </row>
    <row r="3645" spans="1:18">
      <c r="A3645" s="4">
        <v>35546534361</v>
      </c>
      <c r="B3645" t="s">
        <v>18</v>
      </c>
      <c r="C3645">
        <v>59</v>
      </c>
      <c r="D3645" t="s">
        <v>35</v>
      </c>
      <c r="E3645" t="s">
        <v>39</v>
      </c>
      <c r="F3645" s="1">
        <v>42500</v>
      </c>
      <c r="G3645" s="1">
        <v>42527</v>
      </c>
      <c r="H3645" t="s">
        <v>30</v>
      </c>
      <c r="I3645">
        <v>27</v>
      </c>
      <c r="J3645" t="s">
        <v>77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1</v>
      </c>
      <c r="Q3645" t="s">
        <v>23</v>
      </c>
      <c r="R3645">
        <v>0</v>
      </c>
    </row>
    <row r="3646" spans="1:18">
      <c r="A3646" s="4">
        <v>12652288542</v>
      </c>
      <c r="B3646" t="s">
        <v>28</v>
      </c>
      <c r="C3646">
        <v>52</v>
      </c>
      <c r="D3646" t="s">
        <v>35</v>
      </c>
      <c r="E3646" t="s">
        <v>39</v>
      </c>
      <c r="F3646" s="1">
        <v>42500</v>
      </c>
      <c r="G3646" s="1">
        <v>42502</v>
      </c>
      <c r="H3646" t="s">
        <v>33</v>
      </c>
      <c r="I3646">
        <v>2</v>
      </c>
      <c r="J3646" t="s">
        <v>109</v>
      </c>
      <c r="K3646">
        <v>0</v>
      </c>
      <c r="L3646">
        <v>1</v>
      </c>
      <c r="M3646">
        <v>0</v>
      </c>
      <c r="N3646">
        <v>0</v>
      </c>
      <c r="O3646">
        <v>0</v>
      </c>
      <c r="P3646">
        <v>0</v>
      </c>
      <c r="Q3646" t="s">
        <v>23</v>
      </c>
      <c r="R3646">
        <v>0</v>
      </c>
    </row>
    <row r="3647" spans="1:18">
      <c r="A3647" s="4">
        <v>5211280000000</v>
      </c>
      <c r="B3647" t="s">
        <v>18</v>
      </c>
      <c r="C3647">
        <v>32</v>
      </c>
      <c r="D3647" t="s">
        <v>37</v>
      </c>
      <c r="E3647" t="s">
        <v>42</v>
      </c>
      <c r="F3647" s="1">
        <v>42500</v>
      </c>
      <c r="G3647" s="1">
        <v>42506</v>
      </c>
      <c r="H3647" t="s">
        <v>30</v>
      </c>
      <c r="I3647">
        <v>6</v>
      </c>
      <c r="J3647" t="s">
        <v>107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23</v>
      </c>
      <c r="R3647">
        <v>0</v>
      </c>
    </row>
    <row r="3648" spans="1:18">
      <c r="A3648" s="4">
        <v>342228000000000</v>
      </c>
      <c r="B3648" t="s">
        <v>28</v>
      </c>
      <c r="C3648">
        <v>78</v>
      </c>
      <c r="D3648" t="s">
        <v>19</v>
      </c>
      <c r="E3648" t="s">
        <v>43</v>
      </c>
      <c r="F3648" s="1">
        <v>42500</v>
      </c>
      <c r="G3648" s="1">
        <v>42507</v>
      </c>
      <c r="H3648" t="s">
        <v>41</v>
      </c>
      <c r="I3648">
        <v>7</v>
      </c>
      <c r="J3648" t="s">
        <v>107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23</v>
      </c>
      <c r="R3648">
        <v>0</v>
      </c>
    </row>
    <row r="3649" spans="1:18">
      <c r="A3649" s="4">
        <v>9217540000000</v>
      </c>
      <c r="B3649" t="s">
        <v>18</v>
      </c>
      <c r="C3649">
        <v>56</v>
      </c>
      <c r="D3649" t="s">
        <v>35</v>
      </c>
      <c r="E3649" t="s">
        <v>72</v>
      </c>
      <c r="F3649" s="1">
        <v>42500</v>
      </c>
      <c r="G3649" s="1">
        <v>42510</v>
      </c>
      <c r="H3649" t="s">
        <v>21</v>
      </c>
      <c r="I3649">
        <v>10</v>
      </c>
      <c r="J3649" t="s">
        <v>92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26</v>
      </c>
      <c r="R3649">
        <v>1</v>
      </c>
    </row>
    <row r="3650" spans="1:18">
      <c r="A3650" s="4">
        <v>54538200000000</v>
      </c>
      <c r="B3650" t="s">
        <v>18</v>
      </c>
      <c r="C3650">
        <v>52</v>
      </c>
      <c r="D3650" t="s">
        <v>35</v>
      </c>
      <c r="E3650" t="s">
        <v>72</v>
      </c>
      <c r="F3650" s="1">
        <v>42500</v>
      </c>
      <c r="G3650" s="1">
        <v>42510</v>
      </c>
      <c r="H3650" t="s">
        <v>21</v>
      </c>
      <c r="I3650">
        <v>10</v>
      </c>
      <c r="J3650" t="s">
        <v>92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26</v>
      </c>
      <c r="R3650">
        <v>1</v>
      </c>
    </row>
    <row r="3651" spans="1:18">
      <c r="A3651" s="4">
        <v>179199000000000</v>
      </c>
      <c r="B3651" t="s">
        <v>18</v>
      </c>
      <c r="C3651">
        <v>22</v>
      </c>
      <c r="D3651" t="s">
        <v>37</v>
      </c>
      <c r="E3651" t="s">
        <v>72</v>
      </c>
      <c r="F3651" s="1">
        <v>42500</v>
      </c>
      <c r="G3651" s="1">
        <v>42506</v>
      </c>
      <c r="H3651" t="s">
        <v>30</v>
      </c>
      <c r="I3651">
        <v>6</v>
      </c>
      <c r="J3651" t="s">
        <v>107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23</v>
      </c>
      <c r="R3651">
        <v>0</v>
      </c>
    </row>
    <row r="3652" spans="1:18">
      <c r="A3652" s="4">
        <v>441749000000000</v>
      </c>
      <c r="B3652" t="s">
        <v>28</v>
      </c>
      <c r="C3652">
        <v>76</v>
      </c>
      <c r="D3652" t="s">
        <v>19</v>
      </c>
      <c r="E3652" t="s">
        <v>39</v>
      </c>
      <c r="F3652" s="1">
        <v>42500</v>
      </c>
      <c r="G3652" s="1">
        <v>42503</v>
      </c>
      <c r="H3652" t="s">
        <v>21</v>
      </c>
      <c r="I3652">
        <v>3</v>
      </c>
      <c r="J3652" t="s">
        <v>109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26</v>
      </c>
      <c r="R3652">
        <v>1</v>
      </c>
    </row>
    <row r="3653" spans="1:18">
      <c r="A3653" s="4">
        <v>4176780000000</v>
      </c>
      <c r="B3653" t="s">
        <v>18</v>
      </c>
      <c r="C3653">
        <v>60</v>
      </c>
      <c r="D3653" t="s">
        <v>35</v>
      </c>
      <c r="E3653" t="s">
        <v>78</v>
      </c>
      <c r="F3653" s="1">
        <v>42500</v>
      </c>
      <c r="G3653" s="1">
        <v>42508</v>
      </c>
      <c r="H3653" t="s">
        <v>25</v>
      </c>
      <c r="I3653">
        <v>8</v>
      </c>
      <c r="J3653" t="s">
        <v>92</v>
      </c>
      <c r="K3653">
        <v>0</v>
      </c>
      <c r="L3653">
        <v>1</v>
      </c>
      <c r="M3653">
        <v>1</v>
      </c>
      <c r="N3653">
        <v>0</v>
      </c>
      <c r="O3653">
        <v>0</v>
      </c>
      <c r="P3653">
        <v>0</v>
      </c>
      <c r="Q3653" t="s">
        <v>26</v>
      </c>
      <c r="R3653">
        <v>1</v>
      </c>
    </row>
    <row r="3654" spans="1:18">
      <c r="A3654" s="4">
        <v>15982400000000</v>
      </c>
      <c r="B3654" t="s">
        <v>28</v>
      </c>
      <c r="C3654">
        <v>39</v>
      </c>
      <c r="D3654" t="s">
        <v>27</v>
      </c>
      <c r="E3654" t="s">
        <v>71</v>
      </c>
      <c r="F3654" s="1">
        <v>42500</v>
      </c>
      <c r="G3654" s="1">
        <v>42508</v>
      </c>
      <c r="H3654" t="s">
        <v>25</v>
      </c>
      <c r="I3654">
        <v>8</v>
      </c>
      <c r="J3654" t="s">
        <v>92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 t="s">
        <v>23</v>
      </c>
      <c r="R3654">
        <v>0</v>
      </c>
    </row>
    <row r="3655" spans="1:18">
      <c r="A3655" s="4">
        <v>1484140000000</v>
      </c>
      <c r="B3655" t="s">
        <v>18</v>
      </c>
      <c r="C3655">
        <v>56</v>
      </c>
      <c r="D3655" t="s">
        <v>35</v>
      </c>
      <c r="E3655" t="s">
        <v>78</v>
      </c>
      <c r="F3655" s="1">
        <v>42500</v>
      </c>
      <c r="G3655" s="1">
        <v>42510</v>
      </c>
      <c r="H3655" t="s">
        <v>21</v>
      </c>
      <c r="I3655">
        <v>10</v>
      </c>
      <c r="J3655" t="s">
        <v>92</v>
      </c>
      <c r="K3655">
        <v>0</v>
      </c>
      <c r="L3655">
        <v>1</v>
      </c>
      <c r="M3655">
        <v>0</v>
      </c>
      <c r="N3655">
        <v>0</v>
      </c>
      <c r="O3655">
        <v>0</v>
      </c>
      <c r="P3655">
        <v>0</v>
      </c>
      <c r="Q3655" t="s">
        <v>23</v>
      </c>
      <c r="R3655">
        <v>0</v>
      </c>
    </row>
    <row r="3656" spans="1:18">
      <c r="A3656" s="4">
        <v>61793200000000</v>
      </c>
      <c r="B3656" t="s">
        <v>18</v>
      </c>
      <c r="C3656">
        <v>29</v>
      </c>
      <c r="D3656" t="s">
        <v>37</v>
      </c>
      <c r="E3656" t="s">
        <v>39</v>
      </c>
      <c r="F3656" s="1">
        <v>42500</v>
      </c>
      <c r="G3656" s="1">
        <v>42503</v>
      </c>
      <c r="H3656" t="s">
        <v>21</v>
      </c>
      <c r="I3656">
        <v>3</v>
      </c>
      <c r="J3656" t="s">
        <v>109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 t="s">
        <v>26</v>
      </c>
      <c r="R3656">
        <v>1</v>
      </c>
    </row>
    <row r="3657" spans="1:18">
      <c r="A3657" s="4">
        <v>958335000000</v>
      </c>
      <c r="B3657" t="s">
        <v>28</v>
      </c>
      <c r="C3657">
        <v>48</v>
      </c>
      <c r="D3657" t="s">
        <v>27</v>
      </c>
      <c r="E3657" t="s">
        <v>29</v>
      </c>
      <c r="F3657" s="1">
        <v>42500</v>
      </c>
      <c r="G3657" s="1">
        <v>42524</v>
      </c>
      <c r="H3657" t="s">
        <v>21</v>
      </c>
      <c r="I3657">
        <v>24</v>
      </c>
      <c r="J3657" t="s">
        <v>77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23</v>
      </c>
      <c r="R3657">
        <v>0</v>
      </c>
    </row>
    <row r="3658" spans="1:18">
      <c r="A3658" s="4">
        <v>59323700000000</v>
      </c>
      <c r="B3658" t="s">
        <v>28</v>
      </c>
      <c r="C3658">
        <v>65</v>
      </c>
      <c r="D3658" t="s">
        <v>35</v>
      </c>
      <c r="E3658" t="s">
        <v>39</v>
      </c>
      <c r="F3658" s="1">
        <v>42501</v>
      </c>
      <c r="G3658" s="1">
        <v>42503</v>
      </c>
      <c r="H3658" t="s">
        <v>21</v>
      </c>
      <c r="I3658">
        <v>2</v>
      </c>
      <c r="J3658" t="s">
        <v>109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23</v>
      </c>
      <c r="R3658">
        <v>0</v>
      </c>
    </row>
    <row r="3659" spans="1:18">
      <c r="A3659" s="4">
        <v>634341000000</v>
      </c>
      <c r="B3659" t="s">
        <v>18</v>
      </c>
      <c r="C3659">
        <v>39</v>
      </c>
      <c r="D3659" t="s">
        <v>27</v>
      </c>
      <c r="E3659" t="s">
        <v>38</v>
      </c>
      <c r="F3659" s="1">
        <v>42501</v>
      </c>
      <c r="G3659" s="1">
        <v>42501</v>
      </c>
      <c r="H3659" t="s">
        <v>25</v>
      </c>
      <c r="I3659">
        <v>0</v>
      </c>
      <c r="J3659" t="s">
        <v>111</v>
      </c>
      <c r="K3659">
        <v>1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26</v>
      </c>
      <c r="R3659">
        <v>1</v>
      </c>
    </row>
    <row r="3660" spans="1:18">
      <c r="A3660" s="4">
        <v>492622000000000</v>
      </c>
      <c r="B3660" t="s">
        <v>18</v>
      </c>
      <c r="C3660">
        <v>19</v>
      </c>
      <c r="D3660" t="s">
        <v>37</v>
      </c>
      <c r="E3660" t="s">
        <v>59</v>
      </c>
      <c r="F3660" s="1">
        <v>42501</v>
      </c>
      <c r="G3660" s="1">
        <v>42502</v>
      </c>
      <c r="H3660" t="s">
        <v>33</v>
      </c>
      <c r="I3660">
        <v>1</v>
      </c>
      <c r="J3660" t="s">
        <v>109</v>
      </c>
      <c r="K3660">
        <v>1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23</v>
      </c>
      <c r="R3660">
        <v>0</v>
      </c>
    </row>
    <row r="3661" spans="1:18">
      <c r="A3661" s="4">
        <v>524695000000000</v>
      </c>
      <c r="B3661" t="s">
        <v>28</v>
      </c>
      <c r="C3661">
        <v>3</v>
      </c>
      <c r="D3661" t="s">
        <v>31</v>
      </c>
      <c r="E3661" t="s">
        <v>78</v>
      </c>
      <c r="F3661" s="1">
        <v>42501</v>
      </c>
      <c r="G3661" s="1">
        <v>42503</v>
      </c>
      <c r="H3661" t="s">
        <v>21</v>
      </c>
      <c r="I3661">
        <v>2</v>
      </c>
      <c r="J3661" t="s">
        <v>109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26</v>
      </c>
      <c r="R3661">
        <v>1</v>
      </c>
    </row>
    <row r="3662" spans="1:18">
      <c r="A3662" s="4">
        <v>17339900000000</v>
      </c>
      <c r="B3662" t="s">
        <v>28</v>
      </c>
      <c r="C3662">
        <v>47</v>
      </c>
      <c r="D3662" t="s">
        <v>27</v>
      </c>
      <c r="E3662" t="s">
        <v>40</v>
      </c>
      <c r="F3662" s="1">
        <v>42501</v>
      </c>
      <c r="G3662" s="1">
        <v>42501</v>
      </c>
      <c r="H3662" t="s">
        <v>25</v>
      </c>
      <c r="I3662">
        <v>0</v>
      </c>
      <c r="J3662" t="s">
        <v>111</v>
      </c>
      <c r="K3662">
        <v>0</v>
      </c>
      <c r="L3662">
        <v>1</v>
      </c>
      <c r="M3662">
        <v>0</v>
      </c>
      <c r="N3662">
        <v>0</v>
      </c>
      <c r="O3662">
        <v>0</v>
      </c>
      <c r="P3662">
        <v>0</v>
      </c>
      <c r="Q3662" t="s">
        <v>23</v>
      </c>
      <c r="R3662">
        <v>0</v>
      </c>
    </row>
    <row r="3663" spans="1:18">
      <c r="A3663" s="4">
        <v>94866100000000</v>
      </c>
      <c r="B3663" t="s">
        <v>18</v>
      </c>
      <c r="C3663">
        <v>26</v>
      </c>
      <c r="D3663" t="s">
        <v>37</v>
      </c>
      <c r="E3663" t="s">
        <v>29</v>
      </c>
      <c r="F3663" s="1">
        <v>42501</v>
      </c>
      <c r="G3663" s="1">
        <v>42503</v>
      </c>
      <c r="H3663" t="s">
        <v>21</v>
      </c>
      <c r="I3663">
        <v>2</v>
      </c>
      <c r="J3663" t="s">
        <v>109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23</v>
      </c>
      <c r="R3663">
        <v>0</v>
      </c>
    </row>
    <row r="3664" spans="1:18">
      <c r="A3664" s="4">
        <v>85131600000000</v>
      </c>
      <c r="B3664" t="s">
        <v>18</v>
      </c>
      <c r="C3664">
        <v>28</v>
      </c>
      <c r="D3664" t="s">
        <v>37</v>
      </c>
      <c r="E3664" t="s">
        <v>64</v>
      </c>
      <c r="F3664" s="1">
        <v>42501</v>
      </c>
      <c r="G3664" s="1">
        <v>42506</v>
      </c>
      <c r="H3664" t="s">
        <v>30</v>
      </c>
      <c r="I3664">
        <v>5</v>
      </c>
      <c r="J3664" t="s">
        <v>107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23</v>
      </c>
      <c r="R3664">
        <v>0</v>
      </c>
    </row>
    <row r="3665" spans="1:18">
      <c r="A3665" s="4">
        <v>4669460000000</v>
      </c>
      <c r="B3665" t="s">
        <v>18</v>
      </c>
      <c r="C3665">
        <v>58</v>
      </c>
      <c r="D3665" t="s">
        <v>35</v>
      </c>
      <c r="E3665" t="s">
        <v>44</v>
      </c>
      <c r="F3665" s="1">
        <v>42501</v>
      </c>
      <c r="G3665" s="1">
        <v>42501</v>
      </c>
      <c r="H3665" t="s">
        <v>25</v>
      </c>
      <c r="I3665">
        <v>0</v>
      </c>
      <c r="J3665" t="s">
        <v>111</v>
      </c>
      <c r="K3665">
        <v>0</v>
      </c>
      <c r="L3665">
        <v>1</v>
      </c>
      <c r="M3665">
        <v>0</v>
      </c>
      <c r="N3665">
        <v>0</v>
      </c>
      <c r="O3665">
        <v>0</v>
      </c>
      <c r="P3665">
        <v>0</v>
      </c>
      <c r="Q3665" t="s">
        <v>23</v>
      </c>
      <c r="R3665">
        <v>0</v>
      </c>
    </row>
    <row r="3666" spans="1:18">
      <c r="A3666" s="4">
        <v>8479180000000</v>
      </c>
      <c r="B3666" t="s">
        <v>18</v>
      </c>
      <c r="C3666">
        <v>41</v>
      </c>
      <c r="D3666" t="s">
        <v>27</v>
      </c>
      <c r="E3666" t="s">
        <v>40</v>
      </c>
      <c r="F3666" s="1">
        <v>42501</v>
      </c>
      <c r="G3666" s="1">
        <v>42501</v>
      </c>
      <c r="H3666" t="s">
        <v>25</v>
      </c>
      <c r="I3666">
        <v>0</v>
      </c>
      <c r="J3666" t="s">
        <v>111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23</v>
      </c>
      <c r="R3666">
        <v>0</v>
      </c>
    </row>
    <row r="3667" spans="1:18">
      <c r="A3667" s="4">
        <v>7461670000000</v>
      </c>
      <c r="B3667" t="s">
        <v>28</v>
      </c>
      <c r="C3667">
        <v>89</v>
      </c>
      <c r="D3667" t="s">
        <v>19</v>
      </c>
      <c r="E3667" t="s">
        <v>50</v>
      </c>
      <c r="F3667" s="1">
        <v>42501</v>
      </c>
      <c r="G3667" s="1">
        <v>42501</v>
      </c>
      <c r="H3667" t="s">
        <v>25</v>
      </c>
      <c r="I3667">
        <v>0</v>
      </c>
      <c r="J3667" t="s">
        <v>111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23</v>
      </c>
      <c r="R3667">
        <v>0</v>
      </c>
    </row>
    <row r="3668" spans="1:18">
      <c r="A3668" s="4">
        <v>89451600000000</v>
      </c>
      <c r="B3668" t="s">
        <v>28</v>
      </c>
      <c r="C3668">
        <v>0</v>
      </c>
      <c r="D3668" t="s">
        <v>31</v>
      </c>
      <c r="E3668" t="s">
        <v>50</v>
      </c>
      <c r="F3668" s="1">
        <v>42501</v>
      </c>
      <c r="G3668" s="1">
        <v>42501</v>
      </c>
      <c r="H3668" t="s">
        <v>25</v>
      </c>
      <c r="I3668">
        <v>0</v>
      </c>
      <c r="J3668" t="s">
        <v>111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23</v>
      </c>
      <c r="R3668">
        <v>0</v>
      </c>
    </row>
    <row r="3669" spans="1:18">
      <c r="A3669" s="4">
        <v>9582490000000</v>
      </c>
      <c r="B3669" t="s">
        <v>28</v>
      </c>
      <c r="C3669">
        <v>68</v>
      </c>
      <c r="D3669" t="s">
        <v>19</v>
      </c>
      <c r="E3669" t="s">
        <v>34</v>
      </c>
      <c r="F3669" s="1">
        <v>42501</v>
      </c>
      <c r="G3669" s="1">
        <v>42501</v>
      </c>
      <c r="H3669" t="s">
        <v>25</v>
      </c>
      <c r="I3669">
        <v>0</v>
      </c>
      <c r="J3669" t="s">
        <v>111</v>
      </c>
      <c r="K3669">
        <v>0</v>
      </c>
      <c r="L3669">
        <v>1</v>
      </c>
      <c r="M3669">
        <v>0</v>
      </c>
      <c r="N3669">
        <v>0</v>
      </c>
      <c r="O3669">
        <v>0</v>
      </c>
      <c r="P3669">
        <v>0</v>
      </c>
      <c r="Q3669" t="s">
        <v>23</v>
      </c>
      <c r="R3669">
        <v>0</v>
      </c>
    </row>
    <row r="3670" spans="1:18">
      <c r="A3670" s="4">
        <v>264717000000</v>
      </c>
      <c r="B3670" t="s">
        <v>18</v>
      </c>
      <c r="C3670">
        <v>13</v>
      </c>
      <c r="D3670" t="s">
        <v>60</v>
      </c>
      <c r="E3670" t="s">
        <v>39</v>
      </c>
      <c r="F3670" s="1">
        <v>42501</v>
      </c>
      <c r="G3670" s="1">
        <v>42501</v>
      </c>
      <c r="H3670" t="s">
        <v>25</v>
      </c>
      <c r="I3670">
        <v>0</v>
      </c>
      <c r="J3670" t="s">
        <v>111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23</v>
      </c>
      <c r="R3670">
        <v>0</v>
      </c>
    </row>
    <row r="3671" spans="1:18">
      <c r="A3671" s="4">
        <v>69797200000000</v>
      </c>
      <c r="B3671" t="s">
        <v>18</v>
      </c>
      <c r="C3671">
        <v>38</v>
      </c>
      <c r="D3671" t="s">
        <v>27</v>
      </c>
      <c r="E3671" t="s">
        <v>87</v>
      </c>
      <c r="F3671" s="1">
        <v>42501</v>
      </c>
      <c r="G3671" s="1">
        <v>42508</v>
      </c>
      <c r="H3671" t="s">
        <v>25</v>
      </c>
      <c r="I3671">
        <v>7</v>
      </c>
      <c r="J3671" t="s">
        <v>107</v>
      </c>
      <c r="K3671">
        <v>1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23</v>
      </c>
      <c r="R3671">
        <v>0</v>
      </c>
    </row>
    <row r="3672" spans="1:18">
      <c r="A3672" s="4">
        <v>399159000000</v>
      </c>
      <c r="B3672" t="s">
        <v>18</v>
      </c>
      <c r="C3672">
        <v>8</v>
      </c>
      <c r="D3672" t="s">
        <v>31</v>
      </c>
      <c r="E3672" t="s">
        <v>50</v>
      </c>
      <c r="F3672" s="1">
        <v>42501</v>
      </c>
      <c r="G3672" s="1">
        <v>42501</v>
      </c>
      <c r="H3672" t="s">
        <v>25</v>
      </c>
      <c r="I3672">
        <v>0</v>
      </c>
      <c r="J3672" t="s">
        <v>111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23</v>
      </c>
      <c r="R3672">
        <v>0</v>
      </c>
    </row>
    <row r="3673" spans="1:18">
      <c r="A3673" s="4">
        <v>4361860000000</v>
      </c>
      <c r="B3673" t="s">
        <v>18</v>
      </c>
      <c r="C3673">
        <v>51</v>
      </c>
      <c r="D3673" t="s">
        <v>35</v>
      </c>
      <c r="E3673" t="s">
        <v>44</v>
      </c>
      <c r="F3673" s="1">
        <v>42501</v>
      </c>
      <c r="G3673" s="1">
        <v>42503</v>
      </c>
      <c r="H3673" t="s">
        <v>21</v>
      </c>
      <c r="I3673">
        <v>2</v>
      </c>
      <c r="J3673" t="s">
        <v>109</v>
      </c>
      <c r="K3673">
        <v>0</v>
      </c>
      <c r="L3673">
        <v>0</v>
      </c>
      <c r="M3673">
        <v>1</v>
      </c>
      <c r="N3673">
        <v>0</v>
      </c>
      <c r="O3673">
        <v>0</v>
      </c>
      <c r="P3673">
        <v>0</v>
      </c>
      <c r="Q3673" t="s">
        <v>23</v>
      </c>
      <c r="R3673">
        <v>0</v>
      </c>
    </row>
    <row r="3674" spans="1:18">
      <c r="A3674" s="4">
        <v>7749370000000</v>
      </c>
      <c r="B3674" t="s">
        <v>18</v>
      </c>
      <c r="C3674">
        <v>48</v>
      </c>
      <c r="D3674" t="s">
        <v>27</v>
      </c>
      <c r="E3674" t="s">
        <v>87</v>
      </c>
      <c r="F3674" s="1">
        <v>42501</v>
      </c>
      <c r="G3674" s="1">
        <v>42509</v>
      </c>
      <c r="H3674" t="s">
        <v>33</v>
      </c>
      <c r="I3674">
        <v>8</v>
      </c>
      <c r="J3674" t="s">
        <v>92</v>
      </c>
      <c r="K3674">
        <v>1</v>
      </c>
      <c r="L3674">
        <v>1</v>
      </c>
      <c r="M3674">
        <v>0</v>
      </c>
      <c r="N3674">
        <v>0</v>
      </c>
      <c r="O3674">
        <v>0</v>
      </c>
      <c r="P3674">
        <v>0</v>
      </c>
      <c r="Q3674" t="s">
        <v>26</v>
      </c>
      <c r="R3674">
        <v>1</v>
      </c>
    </row>
    <row r="3675" spans="1:18">
      <c r="A3675" s="4">
        <v>169963000000</v>
      </c>
      <c r="B3675" t="s">
        <v>18</v>
      </c>
      <c r="C3675">
        <v>39</v>
      </c>
      <c r="D3675" t="s">
        <v>27</v>
      </c>
      <c r="E3675" t="s">
        <v>68</v>
      </c>
      <c r="F3675" s="1">
        <v>42501</v>
      </c>
      <c r="G3675" s="1">
        <v>42501</v>
      </c>
      <c r="H3675" t="s">
        <v>25</v>
      </c>
      <c r="I3675">
        <v>0</v>
      </c>
      <c r="J3675" t="s">
        <v>111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23</v>
      </c>
      <c r="R3675">
        <v>0</v>
      </c>
    </row>
    <row r="3676" spans="1:18">
      <c r="A3676" s="4">
        <v>251720000000000</v>
      </c>
      <c r="B3676" t="s">
        <v>28</v>
      </c>
      <c r="C3676">
        <v>29</v>
      </c>
      <c r="D3676" t="s">
        <v>37</v>
      </c>
      <c r="E3676" t="s">
        <v>86</v>
      </c>
      <c r="F3676" s="1">
        <v>42501</v>
      </c>
      <c r="G3676" s="1">
        <v>42501</v>
      </c>
      <c r="H3676" t="s">
        <v>25</v>
      </c>
      <c r="I3676">
        <v>0</v>
      </c>
      <c r="J3676" t="s">
        <v>111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23</v>
      </c>
      <c r="R3676">
        <v>0</v>
      </c>
    </row>
    <row r="3677" spans="1:18">
      <c r="A3677" s="4">
        <v>61174200000000</v>
      </c>
      <c r="B3677" t="s">
        <v>18</v>
      </c>
      <c r="C3677">
        <v>25</v>
      </c>
      <c r="D3677" t="s">
        <v>37</v>
      </c>
      <c r="E3677" t="s">
        <v>96</v>
      </c>
      <c r="F3677" s="1">
        <v>42501</v>
      </c>
      <c r="G3677" s="1">
        <v>42509</v>
      </c>
      <c r="H3677" t="s">
        <v>33</v>
      </c>
      <c r="I3677">
        <v>8</v>
      </c>
      <c r="J3677" t="s">
        <v>92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26</v>
      </c>
      <c r="R3677">
        <v>1</v>
      </c>
    </row>
    <row r="3678" spans="1:18">
      <c r="A3678" s="4">
        <v>5432293155</v>
      </c>
      <c r="B3678" t="s">
        <v>28</v>
      </c>
      <c r="C3678">
        <v>1</v>
      </c>
      <c r="D3678" t="s">
        <v>31</v>
      </c>
      <c r="E3678" t="s">
        <v>58</v>
      </c>
      <c r="F3678" s="1">
        <v>42501</v>
      </c>
      <c r="G3678" s="1">
        <v>42501</v>
      </c>
      <c r="H3678" t="s">
        <v>25</v>
      </c>
      <c r="I3678">
        <v>0</v>
      </c>
      <c r="J3678" t="s">
        <v>111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23</v>
      </c>
      <c r="R3678">
        <v>0</v>
      </c>
    </row>
    <row r="3679" spans="1:18">
      <c r="A3679" s="4">
        <v>4636190000000</v>
      </c>
      <c r="B3679" t="s">
        <v>18</v>
      </c>
      <c r="C3679">
        <v>12</v>
      </c>
      <c r="D3679" t="s">
        <v>31</v>
      </c>
      <c r="E3679" t="s">
        <v>69</v>
      </c>
      <c r="F3679" s="1">
        <v>42501</v>
      </c>
      <c r="G3679" s="1">
        <v>42501</v>
      </c>
      <c r="H3679" t="s">
        <v>25</v>
      </c>
      <c r="I3679">
        <v>0</v>
      </c>
      <c r="J3679" t="s">
        <v>111</v>
      </c>
      <c r="K3679">
        <v>1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23</v>
      </c>
      <c r="R3679">
        <v>0</v>
      </c>
    </row>
    <row r="3680" spans="1:18">
      <c r="A3680" s="4">
        <v>836463000000</v>
      </c>
      <c r="B3680" t="s">
        <v>18</v>
      </c>
      <c r="C3680">
        <v>39</v>
      </c>
      <c r="D3680" t="s">
        <v>27</v>
      </c>
      <c r="E3680" t="s">
        <v>71</v>
      </c>
      <c r="F3680" s="1">
        <v>42501</v>
      </c>
      <c r="G3680" s="1">
        <v>42515</v>
      </c>
      <c r="H3680" t="s">
        <v>25</v>
      </c>
      <c r="I3680">
        <v>14</v>
      </c>
      <c r="J3680" t="s">
        <v>92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1</v>
      </c>
      <c r="Q3680" t="s">
        <v>23</v>
      </c>
      <c r="R3680">
        <v>0</v>
      </c>
    </row>
    <row r="3681" spans="1:18">
      <c r="A3681" s="4">
        <v>7133240000000</v>
      </c>
      <c r="B3681" t="s">
        <v>18</v>
      </c>
      <c r="C3681">
        <v>83</v>
      </c>
      <c r="D3681" t="s">
        <v>19</v>
      </c>
      <c r="E3681" t="s">
        <v>91</v>
      </c>
      <c r="F3681" s="1">
        <v>42501</v>
      </c>
      <c r="G3681" s="1">
        <v>42506</v>
      </c>
      <c r="H3681" t="s">
        <v>30</v>
      </c>
      <c r="I3681">
        <v>5</v>
      </c>
      <c r="J3681" t="s">
        <v>107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26</v>
      </c>
      <c r="R3681">
        <v>1</v>
      </c>
    </row>
    <row r="3682" spans="1:18">
      <c r="A3682" s="4">
        <v>2527990000000</v>
      </c>
      <c r="B3682" t="s">
        <v>18</v>
      </c>
      <c r="C3682">
        <v>28</v>
      </c>
      <c r="D3682" t="s">
        <v>37</v>
      </c>
      <c r="E3682" t="s">
        <v>54</v>
      </c>
      <c r="F3682" s="1">
        <v>42501</v>
      </c>
      <c r="G3682" s="1">
        <v>42506</v>
      </c>
      <c r="H3682" t="s">
        <v>30</v>
      </c>
      <c r="I3682">
        <v>5</v>
      </c>
      <c r="J3682" t="s">
        <v>107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26</v>
      </c>
      <c r="R3682">
        <v>1</v>
      </c>
    </row>
    <row r="3683" spans="1:18">
      <c r="A3683" s="4">
        <v>8767620000000</v>
      </c>
      <c r="B3683" t="s">
        <v>18</v>
      </c>
      <c r="C3683">
        <v>23</v>
      </c>
      <c r="D3683" t="s">
        <v>37</v>
      </c>
      <c r="E3683" t="s">
        <v>29</v>
      </c>
      <c r="F3683" s="1">
        <v>42501</v>
      </c>
      <c r="G3683" s="1">
        <v>42503</v>
      </c>
      <c r="H3683" t="s">
        <v>21</v>
      </c>
      <c r="I3683">
        <v>2</v>
      </c>
      <c r="J3683" t="s">
        <v>109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23</v>
      </c>
      <c r="R3683">
        <v>0</v>
      </c>
    </row>
    <row r="3684" spans="1:18">
      <c r="A3684" s="4">
        <v>23113500000000</v>
      </c>
      <c r="B3684" t="s">
        <v>18</v>
      </c>
      <c r="C3684">
        <v>55</v>
      </c>
      <c r="D3684" t="s">
        <v>35</v>
      </c>
      <c r="E3684" t="s">
        <v>66</v>
      </c>
      <c r="F3684" s="1">
        <v>42501</v>
      </c>
      <c r="G3684" s="1">
        <v>42515</v>
      </c>
      <c r="H3684" t="s">
        <v>25</v>
      </c>
      <c r="I3684">
        <v>14</v>
      </c>
      <c r="J3684" t="s">
        <v>92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23</v>
      </c>
      <c r="R3684">
        <v>0</v>
      </c>
    </row>
    <row r="3685" spans="1:18">
      <c r="A3685" s="4">
        <v>5218750000000</v>
      </c>
      <c r="B3685" t="s">
        <v>18</v>
      </c>
      <c r="C3685">
        <v>54</v>
      </c>
      <c r="D3685" t="s">
        <v>35</v>
      </c>
      <c r="E3685" t="s">
        <v>72</v>
      </c>
      <c r="F3685" s="1">
        <v>42501</v>
      </c>
      <c r="G3685" s="1">
        <v>42506</v>
      </c>
      <c r="H3685" t="s">
        <v>30</v>
      </c>
      <c r="I3685">
        <v>5</v>
      </c>
      <c r="J3685" t="s">
        <v>107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23</v>
      </c>
      <c r="R3685">
        <v>0</v>
      </c>
    </row>
    <row r="3686" spans="1:18">
      <c r="A3686" s="4">
        <v>5842800000000</v>
      </c>
      <c r="B3686" t="s">
        <v>18</v>
      </c>
      <c r="C3686">
        <v>35</v>
      </c>
      <c r="D3686" t="s">
        <v>37</v>
      </c>
      <c r="E3686" t="s">
        <v>57</v>
      </c>
      <c r="F3686" s="1">
        <v>42501</v>
      </c>
      <c r="G3686" s="1">
        <v>42501</v>
      </c>
      <c r="H3686" t="s">
        <v>25</v>
      </c>
      <c r="I3686">
        <v>0</v>
      </c>
      <c r="J3686" t="s">
        <v>111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23</v>
      </c>
      <c r="R3686">
        <v>0</v>
      </c>
    </row>
    <row r="3687" spans="1:18">
      <c r="A3687" s="4">
        <v>68336435616</v>
      </c>
      <c r="B3687" t="s">
        <v>18</v>
      </c>
      <c r="C3687">
        <v>19</v>
      </c>
      <c r="D3687" t="s">
        <v>37</v>
      </c>
      <c r="E3687" t="s">
        <v>32</v>
      </c>
      <c r="F3687" s="1">
        <v>42501</v>
      </c>
      <c r="G3687" s="1">
        <v>42501</v>
      </c>
      <c r="H3687" t="s">
        <v>25</v>
      </c>
      <c r="I3687">
        <v>0</v>
      </c>
      <c r="J3687" t="s">
        <v>111</v>
      </c>
      <c r="K3687">
        <v>1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23</v>
      </c>
      <c r="R3687">
        <v>0</v>
      </c>
    </row>
    <row r="3688" spans="1:18">
      <c r="A3688" s="4">
        <v>862666000000</v>
      </c>
      <c r="B3688" t="s">
        <v>18</v>
      </c>
      <c r="C3688">
        <v>80</v>
      </c>
      <c r="D3688" t="s">
        <v>19</v>
      </c>
      <c r="E3688" t="s">
        <v>45</v>
      </c>
      <c r="F3688" s="1">
        <v>42501</v>
      </c>
      <c r="G3688" s="1">
        <v>42506</v>
      </c>
      <c r="H3688" t="s">
        <v>30</v>
      </c>
      <c r="I3688">
        <v>5</v>
      </c>
      <c r="J3688" t="s">
        <v>107</v>
      </c>
      <c r="K3688">
        <v>0</v>
      </c>
      <c r="L3688">
        <v>1</v>
      </c>
      <c r="M3688">
        <v>1</v>
      </c>
      <c r="N3688">
        <v>0</v>
      </c>
      <c r="O3688">
        <v>0</v>
      </c>
      <c r="P3688">
        <v>0</v>
      </c>
      <c r="Q3688" t="s">
        <v>23</v>
      </c>
      <c r="R3688">
        <v>0</v>
      </c>
    </row>
    <row r="3689" spans="1:18">
      <c r="A3689" s="4">
        <v>74796637297</v>
      </c>
      <c r="B3689" t="s">
        <v>18</v>
      </c>
      <c r="C3689">
        <v>35</v>
      </c>
      <c r="D3689" t="s">
        <v>37</v>
      </c>
      <c r="E3689" t="s">
        <v>50</v>
      </c>
      <c r="F3689" s="1">
        <v>42501</v>
      </c>
      <c r="G3689" s="1">
        <v>42501</v>
      </c>
      <c r="H3689" t="s">
        <v>25</v>
      </c>
      <c r="I3689">
        <v>0</v>
      </c>
      <c r="J3689" t="s">
        <v>111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23</v>
      </c>
      <c r="R3689">
        <v>0</v>
      </c>
    </row>
    <row r="3690" spans="1:18">
      <c r="A3690" s="4">
        <v>8526730000000</v>
      </c>
      <c r="B3690" t="s">
        <v>18</v>
      </c>
      <c r="C3690">
        <v>58</v>
      </c>
      <c r="D3690" t="s">
        <v>35</v>
      </c>
      <c r="E3690" t="s">
        <v>47</v>
      </c>
      <c r="F3690" s="1">
        <v>42501</v>
      </c>
      <c r="G3690" s="1">
        <v>42506</v>
      </c>
      <c r="H3690" t="s">
        <v>30</v>
      </c>
      <c r="I3690">
        <v>5</v>
      </c>
      <c r="J3690" t="s">
        <v>107</v>
      </c>
      <c r="K3690">
        <v>0</v>
      </c>
      <c r="L3690">
        <v>1</v>
      </c>
      <c r="M3690">
        <v>0</v>
      </c>
      <c r="N3690">
        <v>0</v>
      </c>
      <c r="O3690">
        <v>0</v>
      </c>
      <c r="P3690">
        <v>0</v>
      </c>
      <c r="Q3690" t="s">
        <v>26</v>
      </c>
      <c r="R3690">
        <v>1</v>
      </c>
    </row>
    <row r="3691" spans="1:18">
      <c r="A3691" s="4">
        <v>57426700000000</v>
      </c>
      <c r="B3691" t="s">
        <v>18</v>
      </c>
      <c r="C3691">
        <v>26</v>
      </c>
      <c r="D3691" t="s">
        <v>37</v>
      </c>
      <c r="E3691" t="s">
        <v>44</v>
      </c>
      <c r="F3691" s="1">
        <v>42501</v>
      </c>
      <c r="G3691" s="1">
        <v>42501</v>
      </c>
      <c r="H3691" t="s">
        <v>25</v>
      </c>
      <c r="I3691">
        <v>0</v>
      </c>
      <c r="J3691" t="s">
        <v>111</v>
      </c>
      <c r="K3691">
        <v>0</v>
      </c>
      <c r="L3691">
        <v>0</v>
      </c>
      <c r="M3691">
        <v>0</v>
      </c>
      <c r="N3691">
        <v>1</v>
      </c>
      <c r="O3691">
        <v>0</v>
      </c>
      <c r="P3691">
        <v>0</v>
      </c>
      <c r="Q3691" t="s">
        <v>23</v>
      </c>
      <c r="R3691">
        <v>0</v>
      </c>
    </row>
    <row r="3692" spans="1:18">
      <c r="A3692" s="4">
        <v>912180000000000</v>
      </c>
      <c r="B3692" t="s">
        <v>18</v>
      </c>
      <c r="C3692">
        <v>20</v>
      </c>
      <c r="D3692" t="s">
        <v>37</v>
      </c>
      <c r="E3692" t="s">
        <v>63</v>
      </c>
      <c r="F3692" s="1">
        <v>42501</v>
      </c>
      <c r="G3692" s="1">
        <v>42501</v>
      </c>
      <c r="H3692" t="s">
        <v>25</v>
      </c>
      <c r="I3692">
        <v>0</v>
      </c>
      <c r="J3692" t="s">
        <v>111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23</v>
      </c>
      <c r="R3692">
        <v>0</v>
      </c>
    </row>
    <row r="3693" spans="1:18">
      <c r="A3693" s="4">
        <v>9439110000000</v>
      </c>
      <c r="B3693" t="s">
        <v>18</v>
      </c>
      <c r="C3693">
        <v>45</v>
      </c>
      <c r="D3693" t="s">
        <v>27</v>
      </c>
      <c r="E3693" t="s">
        <v>34</v>
      </c>
      <c r="F3693" s="1">
        <v>42501</v>
      </c>
      <c r="G3693" s="1">
        <v>42502</v>
      </c>
      <c r="H3693" t="s">
        <v>33</v>
      </c>
      <c r="I3693">
        <v>1</v>
      </c>
      <c r="J3693" t="s">
        <v>109</v>
      </c>
      <c r="K3693">
        <v>0</v>
      </c>
      <c r="L3693">
        <v>1</v>
      </c>
      <c r="M3693">
        <v>0</v>
      </c>
      <c r="N3693">
        <v>0</v>
      </c>
      <c r="O3693">
        <v>0</v>
      </c>
      <c r="P3693">
        <v>0</v>
      </c>
      <c r="Q3693" t="s">
        <v>23</v>
      </c>
      <c r="R3693">
        <v>0</v>
      </c>
    </row>
    <row r="3694" spans="1:18">
      <c r="A3694" s="4">
        <v>92377900000000</v>
      </c>
      <c r="B3694" t="s">
        <v>28</v>
      </c>
      <c r="C3694">
        <v>53</v>
      </c>
      <c r="D3694" t="s">
        <v>35</v>
      </c>
      <c r="E3694" t="s">
        <v>39</v>
      </c>
      <c r="F3694" s="1">
        <v>42501</v>
      </c>
      <c r="G3694" s="1">
        <v>42503</v>
      </c>
      <c r="H3694" t="s">
        <v>21</v>
      </c>
      <c r="I3694">
        <v>2</v>
      </c>
      <c r="J3694" t="s">
        <v>109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23</v>
      </c>
      <c r="R3694">
        <v>0</v>
      </c>
    </row>
    <row r="3695" spans="1:18">
      <c r="A3695" s="4">
        <v>21529800000000</v>
      </c>
      <c r="B3695" t="s">
        <v>18</v>
      </c>
      <c r="C3695">
        <v>43</v>
      </c>
      <c r="D3695" t="s">
        <v>27</v>
      </c>
      <c r="E3695" t="s">
        <v>84</v>
      </c>
      <c r="F3695" s="1">
        <v>42501</v>
      </c>
      <c r="G3695" s="1">
        <v>42501</v>
      </c>
      <c r="H3695" t="s">
        <v>25</v>
      </c>
      <c r="I3695">
        <v>0</v>
      </c>
      <c r="J3695" t="s">
        <v>111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23</v>
      </c>
      <c r="R3695">
        <v>0</v>
      </c>
    </row>
    <row r="3696" spans="1:18">
      <c r="A3696" s="4">
        <v>9217540000000</v>
      </c>
      <c r="B3696" t="s">
        <v>18</v>
      </c>
      <c r="C3696">
        <v>56</v>
      </c>
      <c r="D3696" t="s">
        <v>35</v>
      </c>
      <c r="E3696" t="s">
        <v>72</v>
      </c>
      <c r="F3696" s="1">
        <v>42501</v>
      </c>
      <c r="G3696" s="1">
        <v>42510</v>
      </c>
      <c r="H3696" t="s">
        <v>21</v>
      </c>
      <c r="I3696">
        <v>9</v>
      </c>
      <c r="J3696" t="s">
        <v>92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26</v>
      </c>
      <c r="R3696">
        <v>1</v>
      </c>
    </row>
    <row r="3697" spans="1:18">
      <c r="A3697" s="4">
        <v>65686462455</v>
      </c>
      <c r="B3697" t="s">
        <v>18</v>
      </c>
      <c r="C3697">
        <v>18</v>
      </c>
      <c r="D3697" t="s">
        <v>37</v>
      </c>
      <c r="E3697" t="s">
        <v>69</v>
      </c>
      <c r="F3697" s="1">
        <v>42501</v>
      </c>
      <c r="G3697" s="1">
        <v>42501</v>
      </c>
      <c r="H3697" t="s">
        <v>25</v>
      </c>
      <c r="I3697">
        <v>0</v>
      </c>
      <c r="J3697" t="s">
        <v>111</v>
      </c>
      <c r="K3697">
        <v>1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23</v>
      </c>
      <c r="R3697">
        <v>0</v>
      </c>
    </row>
    <row r="3698" spans="1:18">
      <c r="A3698" s="4">
        <v>1998620000000</v>
      </c>
      <c r="B3698" t="s">
        <v>18</v>
      </c>
      <c r="C3698">
        <v>44</v>
      </c>
      <c r="D3698" t="s">
        <v>27</v>
      </c>
      <c r="E3698" t="s">
        <v>73</v>
      </c>
      <c r="F3698" s="1">
        <v>42501</v>
      </c>
      <c r="G3698" s="1">
        <v>42501</v>
      </c>
      <c r="H3698" t="s">
        <v>25</v>
      </c>
      <c r="I3698">
        <v>0</v>
      </c>
      <c r="J3698" t="s">
        <v>111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23</v>
      </c>
      <c r="R3698">
        <v>0</v>
      </c>
    </row>
    <row r="3699" spans="1:18">
      <c r="A3699" s="4">
        <v>18855800000000</v>
      </c>
      <c r="B3699" t="s">
        <v>18</v>
      </c>
      <c r="C3699">
        <v>13</v>
      </c>
      <c r="D3699" t="s">
        <v>60</v>
      </c>
      <c r="E3699" t="s">
        <v>68</v>
      </c>
      <c r="F3699" s="1">
        <v>42501</v>
      </c>
      <c r="G3699" s="1">
        <v>42503</v>
      </c>
      <c r="H3699" t="s">
        <v>21</v>
      </c>
      <c r="I3699">
        <v>2</v>
      </c>
      <c r="J3699" t="s">
        <v>109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26</v>
      </c>
      <c r="R3699">
        <v>1</v>
      </c>
    </row>
    <row r="3700" spans="1:18">
      <c r="A3700" s="4">
        <v>926668000000000</v>
      </c>
      <c r="B3700" t="s">
        <v>18</v>
      </c>
      <c r="C3700">
        <v>65</v>
      </c>
      <c r="D3700" t="s">
        <v>35</v>
      </c>
      <c r="E3700" t="s">
        <v>34</v>
      </c>
      <c r="F3700" s="1">
        <v>42501</v>
      </c>
      <c r="G3700" s="1">
        <v>42507</v>
      </c>
      <c r="H3700" t="s">
        <v>41</v>
      </c>
      <c r="I3700">
        <v>6</v>
      </c>
      <c r="J3700" t="s">
        <v>107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23</v>
      </c>
      <c r="R3700">
        <v>0</v>
      </c>
    </row>
    <row r="3701" spans="1:18">
      <c r="A3701" s="4">
        <v>51931661934</v>
      </c>
      <c r="B3701" t="s">
        <v>28</v>
      </c>
      <c r="C3701">
        <v>12</v>
      </c>
      <c r="D3701" t="s">
        <v>31</v>
      </c>
      <c r="E3701" t="s">
        <v>101</v>
      </c>
      <c r="F3701" s="1">
        <v>42501</v>
      </c>
      <c r="G3701" s="1">
        <v>42501</v>
      </c>
      <c r="H3701" t="s">
        <v>25</v>
      </c>
      <c r="I3701">
        <v>0</v>
      </c>
      <c r="J3701" t="s">
        <v>111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23</v>
      </c>
      <c r="R3701">
        <v>0</v>
      </c>
    </row>
    <row r="3702" spans="1:18">
      <c r="A3702" s="4">
        <v>21836500000000</v>
      </c>
      <c r="B3702" t="s">
        <v>18</v>
      </c>
      <c r="C3702">
        <v>20</v>
      </c>
      <c r="D3702" t="s">
        <v>37</v>
      </c>
      <c r="E3702" t="s">
        <v>34</v>
      </c>
      <c r="F3702" s="1">
        <v>42501</v>
      </c>
      <c r="G3702" s="1">
        <v>42507</v>
      </c>
      <c r="H3702" t="s">
        <v>41</v>
      </c>
      <c r="I3702">
        <v>6</v>
      </c>
      <c r="J3702" t="s">
        <v>107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23</v>
      </c>
      <c r="R3702">
        <v>0</v>
      </c>
    </row>
    <row r="3703" spans="1:18">
      <c r="A3703" s="4">
        <v>99976300000000</v>
      </c>
      <c r="B3703" t="s">
        <v>28</v>
      </c>
      <c r="C3703">
        <v>16</v>
      </c>
      <c r="D3703" t="s">
        <v>60</v>
      </c>
      <c r="E3703" t="s">
        <v>44</v>
      </c>
      <c r="F3703" s="1">
        <v>42501</v>
      </c>
      <c r="G3703" s="1">
        <v>42501</v>
      </c>
      <c r="H3703" t="s">
        <v>25</v>
      </c>
      <c r="I3703">
        <v>0</v>
      </c>
      <c r="J3703" t="s">
        <v>111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23</v>
      </c>
      <c r="R3703">
        <v>0</v>
      </c>
    </row>
    <row r="3704" spans="1:18">
      <c r="A3704" s="4">
        <v>1638650000000</v>
      </c>
      <c r="B3704" t="s">
        <v>18</v>
      </c>
      <c r="C3704">
        <v>49</v>
      </c>
      <c r="D3704" t="s">
        <v>27</v>
      </c>
      <c r="E3704" t="s">
        <v>50</v>
      </c>
      <c r="F3704" s="1">
        <v>42501</v>
      </c>
      <c r="G3704" s="1">
        <v>42501</v>
      </c>
      <c r="H3704" t="s">
        <v>25</v>
      </c>
      <c r="I3704">
        <v>0</v>
      </c>
      <c r="J3704" t="s">
        <v>111</v>
      </c>
      <c r="K3704">
        <v>0</v>
      </c>
      <c r="L3704">
        <v>1</v>
      </c>
      <c r="M3704">
        <v>0</v>
      </c>
      <c r="N3704">
        <v>0</v>
      </c>
      <c r="O3704">
        <v>0</v>
      </c>
      <c r="P3704">
        <v>0</v>
      </c>
      <c r="Q3704" t="s">
        <v>23</v>
      </c>
      <c r="R3704">
        <v>0</v>
      </c>
    </row>
    <row r="3705" spans="1:18">
      <c r="A3705" s="4">
        <v>1198160000000</v>
      </c>
      <c r="B3705" t="s">
        <v>28</v>
      </c>
      <c r="C3705">
        <v>10</v>
      </c>
      <c r="D3705" t="s">
        <v>31</v>
      </c>
      <c r="E3705" t="s">
        <v>44</v>
      </c>
      <c r="F3705" s="1">
        <v>42501</v>
      </c>
      <c r="G3705" s="1">
        <v>42501</v>
      </c>
      <c r="H3705" t="s">
        <v>25</v>
      </c>
      <c r="I3705">
        <v>0</v>
      </c>
      <c r="J3705" t="s">
        <v>111</v>
      </c>
      <c r="K3705">
        <v>1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26</v>
      </c>
      <c r="R3705">
        <v>1</v>
      </c>
    </row>
    <row r="3706" spans="1:18">
      <c r="A3706" s="4">
        <v>152136000000000</v>
      </c>
      <c r="B3706" t="s">
        <v>18</v>
      </c>
      <c r="C3706">
        <v>26</v>
      </c>
      <c r="D3706" t="s">
        <v>37</v>
      </c>
      <c r="E3706" t="s">
        <v>70</v>
      </c>
      <c r="F3706" s="1">
        <v>42501</v>
      </c>
      <c r="G3706" s="1">
        <v>42501</v>
      </c>
      <c r="H3706" t="s">
        <v>25</v>
      </c>
      <c r="I3706">
        <v>0</v>
      </c>
      <c r="J3706" t="s">
        <v>111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23</v>
      </c>
      <c r="R3706">
        <v>0</v>
      </c>
    </row>
    <row r="3707" spans="1:18">
      <c r="A3707" s="4">
        <v>63286900000000</v>
      </c>
      <c r="B3707" t="s">
        <v>18</v>
      </c>
      <c r="C3707">
        <v>11</v>
      </c>
      <c r="D3707" t="s">
        <v>31</v>
      </c>
      <c r="E3707" t="s">
        <v>32</v>
      </c>
      <c r="F3707" s="1">
        <v>42501</v>
      </c>
      <c r="G3707" s="1">
        <v>42508</v>
      </c>
      <c r="H3707" t="s">
        <v>25</v>
      </c>
      <c r="I3707">
        <v>7</v>
      </c>
      <c r="J3707" t="s">
        <v>107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23</v>
      </c>
      <c r="R3707">
        <v>0</v>
      </c>
    </row>
    <row r="3708" spans="1:18">
      <c r="A3708" s="4">
        <v>8886320000000</v>
      </c>
      <c r="B3708" t="s">
        <v>18</v>
      </c>
      <c r="C3708">
        <v>5</v>
      </c>
      <c r="D3708" t="s">
        <v>31</v>
      </c>
      <c r="E3708" t="s">
        <v>72</v>
      </c>
      <c r="F3708" s="1">
        <v>42501</v>
      </c>
      <c r="G3708" s="1">
        <v>42501</v>
      </c>
      <c r="H3708" t="s">
        <v>25</v>
      </c>
      <c r="I3708">
        <v>0</v>
      </c>
      <c r="J3708" t="s">
        <v>111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23</v>
      </c>
      <c r="R3708">
        <v>0</v>
      </c>
    </row>
    <row r="3709" spans="1:18">
      <c r="A3709" s="4">
        <v>59253777989</v>
      </c>
      <c r="B3709" t="s">
        <v>18</v>
      </c>
      <c r="C3709">
        <v>17</v>
      </c>
      <c r="D3709" t="s">
        <v>60</v>
      </c>
      <c r="E3709" t="s">
        <v>34</v>
      </c>
      <c r="F3709" s="1">
        <v>42501</v>
      </c>
      <c r="G3709" s="1">
        <v>42507</v>
      </c>
      <c r="H3709" t="s">
        <v>41</v>
      </c>
      <c r="I3709">
        <v>6</v>
      </c>
      <c r="J3709" t="s">
        <v>107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23</v>
      </c>
      <c r="R3709">
        <v>0</v>
      </c>
    </row>
    <row r="3710" spans="1:18">
      <c r="A3710" s="4">
        <v>6844690000000</v>
      </c>
      <c r="B3710" t="s">
        <v>18</v>
      </c>
      <c r="C3710">
        <v>58</v>
      </c>
      <c r="D3710" t="s">
        <v>35</v>
      </c>
      <c r="E3710" t="s">
        <v>66</v>
      </c>
      <c r="F3710" s="1">
        <v>42501</v>
      </c>
      <c r="G3710" s="1">
        <v>42501</v>
      </c>
      <c r="H3710" t="s">
        <v>25</v>
      </c>
      <c r="I3710">
        <v>0</v>
      </c>
      <c r="J3710" t="s">
        <v>111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23</v>
      </c>
      <c r="R3710">
        <v>0</v>
      </c>
    </row>
    <row r="3711" spans="1:18">
      <c r="A3711" s="4">
        <v>249164000000000</v>
      </c>
      <c r="B3711" t="s">
        <v>28</v>
      </c>
      <c r="C3711">
        <v>8</v>
      </c>
      <c r="D3711" t="s">
        <v>31</v>
      </c>
      <c r="E3711" t="s">
        <v>47</v>
      </c>
      <c r="F3711" s="1">
        <v>42501</v>
      </c>
      <c r="G3711" s="1">
        <v>42501</v>
      </c>
      <c r="H3711" t="s">
        <v>25</v>
      </c>
      <c r="I3711">
        <v>0</v>
      </c>
      <c r="J3711" t="s">
        <v>111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26</v>
      </c>
      <c r="R3711">
        <v>1</v>
      </c>
    </row>
    <row r="3712" spans="1:18">
      <c r="A3712" s="4">
        <v>5669580000000</v>
      </c>
      <c r="B3712" t="s">
        <v>18</v>
      </c>
      <c r="C3712">
        <v>10</v>
      </c>
      <c r="D3712" t="s">
        <v>31</v>
      </c>
      <c r="E3712" t="s">
        <v>68</v>
      </c>
      <c r="F3712" s="1">
        <v>42501</v>
      </c>
      <c r="G3712" s="1">
        <v>42501</v>
      </c>
      <c r="H3712" t="s">
        <v>25</v>
      </c>
      <c r="I3712">
        <v>0</v>
      </c>
      <c r="J3712" t="s">
        <v>111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26</v>
      </c>
      <c r="R3712">
        <v>1</v>
      </c>
    </row>
    <row r="3713" spans="1:18">
      <c r="A3713" s="4">
        <v>3854990000000</v>
      </c>
      <c r="B3713" t="s">
        <v>28</v>
      </c>
      <c r="C3713">
        <v>1</v>
      </c>
      <c r="D3713" t="s">
        <v>31</v>
      </c>
      <c r="E3713" t="s">
        <v>63</v>
      </c>
      <c r="F3713" s="1">
        <v>42501</v>
      </c>
      <c r="G3713" s="1">
        <v>42501</v>
      </c>
      <c r="H3713" t="s">
        <v>25</v>
      </c>
      <c r="I3713">
        <v>0</v>
      </c>
      <c r="J3713" t="s">
        <v>111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23</v>
      </c>
      <c r="R3713">
        <v>0</v>
      </c>
    </row>
    <row r="3714" spans="1:18">
      <c r="A3714" s="4">
        <v>472248000000000</v>
      </c>
      <c r="B3714" t="s">
        <v>18</v>
      </c>
      <c r="C3714">
        <v>20</v>
      </c>
      <c r="D3714" t="s">
        <v>37</v>
      </c>
      <c r="E3714" t="s">
        <v>43</v>
      </c>
      <c r="F3714" s="1">
        <v>42501</v>
      </c>
      <c r="G3714" s="1">
        <v>42501</v>
      </c>
      <c r="H3714" t="s">
        <v>25</v>
      </c>
      <c r="I3714">
        <v>0</v>
      </c>
      <c r="J3714" t="s">
        <v>111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23</v>
      </c>
      <c r="R3714">
        <v>0</v>
      </c>
    </row>
    <row r="3715" spans="1:18">
      <c r="A3715" s="4">
        <v>55819700000000</v>
      </c>
      <c r="B3715" t="s">
        <v>18</v>
      </c>
      <c r="C3715">
        <v>56</v>
      </c>
      <c r="D3715" t="s">
        <v>35</v>
      </c>
      <c r="E3715" t="s">
        <v>71</v>
      </c>
      <c r="F3715" s="1">
        <v>42501</v>
      </c>
      <c r="G3715" s="1">
        <v>42506</v>
      </c>
      <c r="H3715" t="s">
        <v>30</v>
      </c>
      <c r="I3715">
        <v>5</v>
      </c>
      <c r="J3715" t="s">
        <v>107</v>
      </c>
      <c r="K3715">
        <v>0</v>
      </c>
      <c r="L3715">
        <v>1</v>
      </c>
      <c r="M3715">
        <v>0</v>
      </c>
      <c r="N3715">
        <v>0</v>
      </c>
      <c r="O3715">
        <v>0</v>
      </c>
      <c r="P3715">
        <v>0</v>
      </c>
      <c r="Q3715" t="s">
        <v>23</v>
      </c>
      <c r="R3715">
        <v>0</v>
      </c>
    </row>
    <row r="3716" spans="1:18">
      <c r="A3716" s="4">
        <v>4216650000000</v>
      </c>
      <c r="B3716" t="s">
        <v>18</v>
      </c>
      <c r="C3716">
        <v>49</v>
      </c>
      <c r="D3716" t="s">
        <v>27</v>
      </c>
      <c r="E3716" t="s">
        <v>32</v>
      </c>
      <c r="F3716" s="1">
        <v>42501</v>
      </c>
      <c r="G3716" s="1">
        <v>42509</v>
      </c>
      <c r="H3716" t="s">
        <v>33</v>
      </c>
      <c r="I3716">
        <v>8</v>
      </c>
      <c r="J3716" t="s">
        <v>92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26</v>
      </c>
      <c r="R3716">
        <v>1</v>
      </c>
    </row>
    <row r="3717" spans="1:18">
      <c r="A3717" s="4">
        <v>7891460000000</v>
      </c>
      <c r="B3717" t="s">
        <v>18</v>
      </c>
      <c r="C3717">
        <v>1</v>
      </c>
      <c r="D3717" t="s">
        <v>31</v>
      </c>
      <c r="E3717" t="s">
        <v>54</v>
      </c>
      <c r="F3717" s="1">
        <v>42501</v>
      </c>
      <c r="G3717" s="1">
        <v>42501</v>
      </c>
      <c r="H3717" t="s">
        <v>25</v>
      </c>
      <c r="I3717">
        <v>0</v>
      </c>
      <c r="J3717" t="s">
        <v>111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23</v>
      </c>
      <c r="R3717">
        <v>0</v>
      </c>
    </row>
    <row r="3718" spans="1:18">
      <c r="A3718" s="4">
        <v>396567000000000</v>
      </c>
      <c r="B3718" t="s">
        <v>18</v>
      </c>
      <c r="C3718">
        <v>70</v>
      </c>
      <c r="D3718" t="s">
        <v>19</v>
      </c>
      <c r="E3718" t="s">
        <v>38</v>
      </c>
      <c r="F3718" s="1">
        <v>42501</v>
      </c>
      <c r="G3718" s="1">
        <v>42501</v>
      </c>
      <c r="H3718" t="s">
        <v>25</v>
      </c>
      <c r="I3718">
        <v>0</v>
      </c>
      <c r="J3718" t="s">
        <v>111</v>
      </c>
      <c r="K3718">
        <v>0</v>
      </c>
      <c r="L3718">
        <v>1</v>
      </c>
      <c r="M3718">
        <v>0</v>
      </c>
      <c r="N3718">
        <v>0</v>
      </c>
      <c r="O3718">
        <v>0</v>
      </c>
      <c r="P3718">
        <v>0</v>
      </c>
      <c r="Q3718" t="s">
        <v>23</v>
      </c>
      <c r="R3718">
        <v>0</v>
      </c>
    </row>
    <row r="3719" spans="1:18">
      <c r="A3719" s="4">
        <v>223647000000</v>
      </c>
      <c r="B3719" t="s">
        <v>28</v>
      </c>
      <c r="C3719">
        <v>53</v>
      </c>
      <c r="D3719" t="s">
        <v>35</v>
      </c>
      <c r="E3719" t="s">
        <v>50</v>
      </c>
      <c r="F3719" s="1">
        <v>42501</v>
      </c>
      <c r="G3719" s="1">
        <v>42502</v>
      </c>
      <c r="H3719" t="s">
        <v>33</v>
      </c>
      <c r="I3719">
        <v>1</v>
      </c>
      <c r="J3719" t="s">
        <v>109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26</v>
      </c>
      <c r="R3719">
        <v>1</v>
      </c>
    </row>
    <row r="3720" spans="1:18">
      <c r="A3720" s="4">
        <v>93432300000000</v>
      </c>
      <c r="B3720" t="s">
        <v>28</v>
      </c>
      <c r="C3720">
        <v>30</v>
      </c>
      <c r="D3720" t="s">
        <v>37</v>
      </c>
      <c r="E3720" t="s">
        <v>69</v>
      </c>
      <c r="F3720" s="1">
        <v>42501</v>
      </c>
      <c r="G3720" s="1">
        <v>42503</v>
      </c>
      <c r="H3720" t="s">
        <v>21</v>
      </c>
      <c r="I3720">
        <v>2</v>
      </c>
      <c r="J3720" t="s">
        <v>109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23</v>
      </c>
      <c r="R3720">
        <v>0</v>
      </c>
    </row>
    <row r="3721" spans="1:18">
      <c r="A3721" s="4">
        <v>43694600000000</v>
      </c>
      <c r="B3721" t="s">
        <v>18</v>
      </c>
      <c r="C3721">
        <v>38</v>
      </c>
      <c r="D3721" t="s">
        <v>27</v>
      </c>
      <c r="E3721" t="s">
        <v>44</v>
      </c>
      <c r="F3721" s="1">
        <v>42501</v>
      </c>
      <c r="G3721" s="1">
        <v>42509</v>
      </c>
      <c r="H3721" t="s">
        <v>33</v>
      </c>
      <c r="I3721">
        <v>8</v>
      </c>
      <c r="J3721" t="s">
        <v>92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26</v>
      </c>
      <c r="R3721">
        <v>1</v>
      </c>
    </row>
    <row r="3722" spans="1:18">
      <c r="A3722" s="4">
        <v>16796500000000</v>
      </c>
      <c r="B3722" t="s">
        <v>18</v>
      </c>
      <c r="C3722">
        <v>39</v>
      </c>
      <c r="D3722" t="s">
        <v>27</v>
      </c>
      <c r="E3722" t="s">
        <v>84</v>
      </c>
      <c r="F3722" s="1">
        <v>42501</v>
      </c>
      <c r="G3722" s="1">
        <v>42509</v>
      </c>
      <c r="H3722" t="s">
        <v>33</v>
      </c>
      <c r="I3722">
        <v>8</v>
      </c>
      <c r="J3722" t="s">
        <v>92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26</v>
      </c>
      <c r="R3722">
        <v>1</v>
      </c>
    </row>
    <row r="3723" spans="1:18">
      <c r="A3723" s="4">
        <v>336213000000000</v>
      </c>
      <c r="B3723" t="s">
        <v>18</v>
      </c>
      <c r="C3723">
        <v>28</v>
      </c>
      <c r="D3723" t="s">
        <v>37</v>
      </c>
      <c r="E3723" t="s">
        <v>47</v>
      </c>
      <c r="F3723" s="1">
        <v>42501</v>
      </c>
      <c r="G3723" s="1">
        <v>42503</v>
      </c>
      <c r="H3723" t="s">
        <v>21</v>
      </c>
      <c r="I3723">
        <v>2</v>
      </c>
      <c r="J3723" t="s">
        <v>109</v>
      </c>
      <c r="K3723">
        <v>1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26</v>
      </c>
      <c r="R3723">
        <v>1</v>
      </c>
    </row>
    <row r="3724" spans="1:18">
      <c r="A3724" s="4">
        <v>26324100000000</v>
      </c>
      <c r="B3724" t="s">
        <v>18</v>
      </c>
      <c r="C3724">
        <v>41</v>
      </c>
      <c r="D3724" t="s">
        <v>27</v>
      </c>
      <c r="E3724" t="s">
        <v>39</v>
      </c>
      <c r="F3724" s="1">
        <v>42501</v>
      </c>
      <c r="G3724" s="1">
        <v>42507</v>
      </c>
      <c r="H3724" t="s">
        <v>41</v>
      </c>
      <c r="I3724">
        <v>6</v>
      </c>
      <c r="J3724" t="s">
        <v>107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23</v>
      </c>
      <c r="R3724">
        <v>0</v>
      </c>
    </row>
    <row r="3725" spans="1:18">
      <c r="A3725" s="4">
        <v>14331400000000</v>
      </c>
      <c r="B3725" t="s">
        <v>18</v>
      </c>
      <c r="C3725">
        <v>31</v>
      </c>
      <c r="D3725" t="s">
        <v>37</v>
      </c>
      <c r="E3725" t="s">
        <v>44</v>
      </c>
      <c r="F3725" s="1">
        <v>42501</v>
      </c>
      <c r="G3725" s="1">
        <v>42501</v>
      </c>
      <c r="H3725" t="s">
        <v>25</v>
      </c>
      <c r="I3725">
        <v>0</v>
      </c>
      <c r="J3725" t="s">
        <v>111</v>
      </c>
      <c r="K3725">
        <v>1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23</v>
      </c>
      <c r="R3725">
        <v>0</v>
      </c>
    </row>
    <row r="3726" spans="1:18">
      <c r="A3726" s="4">
        <v>8878150000000</v>
      </c>
      <c r="B3726" t="s">
        <v>18</v>
      </c>
      <c r="C3726">
        <v>25</v>
      </c>
      <c r="D3726" t="s">
        <v>37</v>
      </c>
      <c r="E3726" t="s">
        <v>47</v>
      </c>
      <c r="F3726" s="1">
        <v>42501</v>
      </c>
      <c r="G3726" s="1">
        <v>42501</v>
      </c>
      <c r="H3726" t="s">
        <v>25</v>
      </c>
      <c r="I3726">
        <v>0</v>
      </c>
      <c r="J3726" t="s">
        <v>111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23</v>
      </c>
      <c r="R3726">
        <v>0</v>
      </c>
    </row>
    <row r="3727" spans="1:18">
      <c r="A3727" s="4">
        <v>94227800000000</v>
      </c>
      <c r="B3727" t="s">
        <v>18</v>
      </c>
      <c r="C3727">
        <v>71</v>
      </c>
      <c r="D3727" t="s">
        <v>19</v>
      </c>
      <c r="E3727" t="s">
        <v>59</v>
      </c>
      <c r="F3727" s="1">
        <v>42501</v>
      </c>
      <c r="G3727" s="1">
        <v>42501</v>
      </c>
      <c r="H3727" t="s">
        <v>25</v>
      </c>
      <c r="I3727">
        <v>0</v>
      </c>
      <c r="J3727" t="s">
        <v>111</v>
      </c>
      <c r="K3727">
        <v>0</v>
      </c>
      <c r="L3727">
        <v>1</v>
      </c>
      <c r="M3727">
        <v>1</v>
      </c>
      <c r="N3727">
        <v>0</v>
      </c>
      <c r="O3727">
        <v>0</v>
      </c>
      <c r="P3727">
        <v>0</v>
      </c>
      <c r="Q3727" t="s">
        <v>23</v>
      </c>
      <c r="R3727">
        <v>0</v>
      </c>
    </row>
    <row r="3728" spans="1:18">
      <c r="A3728" s="4">
        <v>13478682871</v>
      </c>
      <c r="B3728" t="s">
        <v>18</v>
      </c>
      <c r="C3728">
        <v>36</v>
      </c>
      <c r="D3728" t="s">
        <v>27</v>
      </c>
      <c r="E3728" t="s">
        <v>29</v>
      </c>
      <c r="F3728" s="1">
        <v>42501</v>
      </c>
      <c r="G3728" s="1">
        <v>42501</v>
      </c>
      <c r="H3728" t="s">
        <v>25</v>
      </c>
      <c r="I3728">
        <v>0</v>
      </c>
      <c r="J3728" t="s">
        <v>111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23</v>
      </c>
      <c r="R3728">
        <v>0</v>
      </c>
    </row>
    <row r="3729" spans="1:18">
      <c r="A3729" s="4">
        <v>3353670000000</v>
      </c>
      <c r="B3729" t="s">
        <v>18</v>
      </c>
      <c r="C3729">
        <v>51</v>
      </c>
      <c r="D3729" t="s">
        <v>35</v>
      </c>
      <c r="E3729" t="s">
        <v>47</v>
      </c>
      <c r="F3729" s="1">
        <v>42501</v>
      </c>
      <c r="G3729" s="1">
        <v>42501</v>
      </c>
      <c r="H3729" t="s">
        <v>25</v>
      </c>
      <c r="I3729">
        <v>0</v>
      </c>
      <c r="J3729" t="s">
        <v>111</v>
      </c>
      <c r="K3729">
        <v>1</v>
      </c>
      <c r="L3729">
        <v>0</v>
      </c>
      <c r="M3729">
        <v>0</v>
      </c>
      <c r="N3729">
        <v>0</v>
      </c>
      <c r="O3729">
        <v>1</v>
      </c>
      <c r="P3729">
        <v>0</v>
      </c>
      <c r="Q3729" t="s">
        <v>23</v>
      </c>
      <c r="R3729">
        <v>0</v>
      </c>
    </row>
    <row r="3730" spans="1:18">
      <c r="A3730" s="4">
        <v>3853700000000</v>
      </c>
      <c r="B3730" t="s">
        <v>28</v>
      </c>
      <c r="C3730">
        <v>31</v>
      </c>
      <c r="D3730" t="s">
        <v>37</v>
      </c>
      <c r="E3730" t="s">
        <v>79</v>
      </c>
      <c r="F3730" s="1">
        <v>42501</v>
      </c>
      <c r="G3730" s="1">
        <v>42506</v>
      </c>
      <c r="H3730" t="s">
        <v>30</v>
      </c>
      <c r="I3730">
        <v>5</v>
      </c>
      <c r="J3730" t="s">
        <v>107</v>
      </c>
      <c r="K3730">
        <v>1</v>
      </c>
      <c r="L3730">
        <v>1</v>
      </c>
      <c r="M3730">
        <v>0</v>
      </c>
      <c r="N3730">
        <v>0</v>
      </c>
      <c r="O3730">
        <v>1</v>
      </c>
      <c r="P3730">
        <v>0</v>
      </c>
      <c r="Q3730" t="s">
        <v>23</v>
      </c>
      <c r="R3730">
        <v>0</v>
      </c>
    </row>
    <row r="3731" spans="1:18">
      <c r="A3731" s="4">
        <v>69365900000000</v>
      </c>
      <c r="B3731" t="s">
        <v>18</v>
      </c>
      <c r="C3731">
        <v>13</v>
      </c>
      <c r="D3731" t="s">
        <v>60</v>
      </c>
      <c r="E3731" t="s">
        <v>39</v>
      </c>
      <c r="F3731" s="1">
        <v>42501</v>
      </c>
      <c r="G3731" s="1">
        <v>42501</v>
      </c>
      <c r="H3731" t="s">
        <v>25</v>
      </c>
      <c r="I3731">
        <v>0</v>
      </c>
      <c r="J3731" t="s">
        <v>111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23</v>
      </c>
      <c r="R3731">
        <v>0</v>
      </c>
    </row>
    <row r="3732" spans="1:18">
      <c r="A3732" s="4">
        <v>77497500000000</v>
      </c>
      <c r="B3732" t="s">
        <v>18</v>
      </c>
      <c r="C3732">
        <v>13</v>
      </c>
      <c r="D3732" t="s">
        <v>60</v>
      </c>
      <c r="E3732" t="s">
        <v>45</v>
      </c>
      <c r="F3732" s="1">
        <v>42501</v>
      </c>
      <c r="G3732" s="1">
        <v>42501</v>
      </c>
      <c r="H3732" t="s">
        <v>25</v>
      </c>
      <c r="I3732">
        <v>0</v>
      </c>
      <c r="J3732" t="s">
        <v>111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23</v>
      </c>
      <c r="R3732">
        <v>0</v>
      </c>
    </row>
    <row r="3733" spans="1:18">
      <c r="A3733" s="4">
        <v>79327400000000</v>
      </c>
      <c r="B3733" t="s">
        <v>28</v>
      </c>
      <c r="C3733">
        <v>0</v>
      </c>
      <c r="D3733" t="s">
        <v>31</v>
      </c>
      <c r="E3733" t="s">
        <v>59</v>
      </c>
      <c r="F3733" s="1">
        <v>42501</v>
      </c>
      <c r="G3733" s="1">
        <v>42501</v>
      </c>
      <c r="H3733" t="s">
        <v>25</v>
      </c>
      <c r="I3733">
        <v>0</v>
      </c>
      <c r="J3733" t="s">
        <v>111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23</v>
      </c>
      <c r="R3733">
        <v>0</v>
      </c>
    </row>
    <row r="3734" spans="1:18">
      <c r="A3734" s="4">
        <v>65825496795</v>
      </c>
      <c r="B3734" t="s">
        <v>28</v>
      </c>
      <c r="C3734">
        <v>52</v>
      </c>
      <c r="D3734" t="s">
        <v>35</v>
      </c>
      <c r="E3734" t="s">
        <v>63</v>
      </c>
      <c r="F3734" s="1">
        <v>42501</v>
      </c>
      <c r="G3734" s="1">
        <v>42506</v>
      </c>
      <c r="H3734" t="s">
        <v>30</v>
      </c>
      <c r="I3734">
        <v>5</v>
      </c>
      <c r="J3734" t="s">
        <v>107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23</v>
      </c>
      <c r="R3734">
        <v>0</v>
      </c>
    </row>
    <row r="3735" spans="1:18">
      <c r="A3735" s="4">
        <v>23178100000000</v>
      </c>
      <c r="B3735" t="s">
        <v>18</v>
      </c>
      <c r="C3735">
        <v>30</v>
      </c>
      <c r="D3735" t="s">
        <v>37</v>
      </c>
      <c r="E3735" t="s">
        <v>69</v>
      </c>
      <c r="F3735" s="1">
        <v>42501</v>
      </c>
      <c r="G3735" s="1">
        <v>42514</v>
      </c>
      <c r="H3735" t="s">
        <v>41</v>
      </c>
      <c r="I3735">
        <v>13</v>
      </c>
      <c r="J3735" t="s">
        <v>92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26</v>
      </c>
      <c r="R3735">
        <v>1</v>
      </c>
    </row>
    <row r="3736" spans="1:18">
      <c r="A3736" s="4">
        <v>37576000000000</v>
      </c>
      <c r="B3736" t="s">
        <v>28</v>
      </c>
      <c r="C3736">
        <v>5</v>
      </c>
      <c r="D3736" t="s">
        <v>31</v>
      </c>
      <c r="E3736" t="s">
        <v>45</v>
      </c>
      <c r="F3736" s="1">
        <v>42501</v>
      </c>
      <c r="G3736" s="1">
        <v>42503</v>
      </c>
      <c r="H3736" t="s">
        <v>21</v>
      </c>
      <c r="I3736">
        <v>2</v>
      </c>
      <c r="J3736" t="s">
        <v>109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26</v>
      </c>
      <c r="R3736">
        <v>1</v>
      </c>
    </row>
    <row r="3737" spans="1:18">
      <c r="A3737" s="4">
        <v>39674000000000</v>
      </c>
      <c r="B3737" t="s">
        <v>18</v>
      </c>
      <c r="C3737">
        <v>28</v>
      </c>
      <c r="D3737" t="s">
        <v>37</v>
      </c>
      <c r="E3737" t="s">
        <v>78</v>
      </c>
      <c r="F3737" s="1">
        <v>42501</v>
      </c>
      <c r="G3737" s="1">
        <v>42501</v>
      </c>
      <c r="H3737" t="s">
        <v>25</v>
      </c>
      <c r="I3737">
        <v>0</v>
      </c>
      <c r="J3737" t="s">
        <v>111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23</v>
      </c>
      <c r="R3737">
        <v>0</v>
      </c>
    </row>
    <row r="3738" spans="1:18">
      <c r="A3738" s="4">
        <v>1441980000000</v>
      </c>
      <c r="B3738" t="s">
        <v>18</v>
      </c>
      <c r="C3738">
        <v>49</v>
      </c>
      <c r="D3738" t="s">
        <v>27</v>
      </c>
      <c r="E3738" t="s">
        <v>39</v>
      </c>
      <c r="F3738" s="1">
        <v>42501</v>
      </c>
      <c r="G3738" s="1">
        <v>42502</v>
      </c>
      <c r="H3738" t="s">
        <v>33</v>
      </c>
      <c r="I3738">
        <v>1</v>
      </c>
      <c r="J3738" t="s">
        <v>109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23</v>
      </c>
      <c r="R3738">
        <v>0</v>
      </c>
    </row>
    <row r="3739" spans="1:18">
      <c r="A3739" s="4">
        <v>367435000000000</v>
      </c>
      <c r="B3739" t="s">
        <v>18</v>
      </c>
      <c r="C3739">
        <v>80</v>
      </c>
      <c r="D3739" t="s">
        <v>19</v>
      </c>
      <c r="E3739" t="s">
        <v>63</v>
      </c>
      <c r="F3739" s="1">
        <v>42501</v>
      </c>
      <c r="G3739" s="1">
        <v>42507</v>
      </c>
      <c r="H3739" t="s">
        <v>41</v>
      </c>
      <c r="I3739">
        <v>6</v>
      </c>
      <c r="J3739" t="s">
        <v>107</v>
      </c>
      <c r="K3739">
        <v>0</v>
      </c>
      <c r="L3739">
        <v>1</v>
      </c>
      <c r="M3739">
        <v>0</v>
      </c>
      <c r="N3739">
        <v>0</v>
      </c>
      <c r="O3739">
        <v>0</v>
      </c>
      <c r="P3739">
        <v>0</v>
      </c>
      <c r="Q3739" t="s">
        <v>23</v>
      </c>
      <c r="R3739">
        <v>0</v>
      </c>
    </row>
    <row r="3740" spans="1:18">
      <c r="A3740" s="4">
        <v>6264200000000</v>
      </c>
      <c r="B3740" t="s">
        <v>28</v>
      </c>
      <c r="C3740">
        <v>59</v>
      </c>
      <c r="D3740" t="s">
        <v>35</v>
      </c>
      <c r="E3740" t="s">
        <v>45</v>
      </c>
      <c r="F3740" s="1">
        <v>42501</v>
      </c>
      <c r="G3740" s="1">
        <v>42501</v>
      </c>
      <c r="H3740" t="s">
        <v>25</v>
      </c>
      <c r="I3740">
        <v>0</v>
      </c>
      <c r="J3740" t="s">
        <v>111</v>
      </c>
      <c r="K3740">
        <v>1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23</v>
      </c>
      <c r="R3740">
        <v>0</v>
      </c>
    </row>
    <row r="3741" spans="1:18">
      <c r="A3741" s="4">
        <v>631278000000</v>
      </c>
      <c r="B3741" t="s">
        <v>18</v>
      </c>
      <c r="C3741">
        <v>32</v>
      </c>
      <c r="D3741" t="s">
        <v>37</v>
      </c>
      <c r="E3741" t="s">
        <v>66</v>
      </c>
      <c r="F3741" s="1">
        <v>42501</v>
      </c>
      <c r="G3741" s="1">
        <v>42520</v>
      </c>
      <c r="H3741" t="s">
        <v>30</v>
      </c>
      <c r="I3741">
        <v>19</v>
      </c>
      <c r="J3741" t="s">
        <v>77</v>
      </c>
      <c r="K3741">
        <v>0</v>
      </c>
      <c r="L3741">
        <v>1</v>
      </c>
      <c r="M3741">
        <v>0</v>
      </c>
      <c r="N3741">
        <v>0</v>
      </c>
      <c r="O3741">
        <v>0</v>
      </c>
      <c r="P3741">
        <v>1</v>
      </c>
      <c r="Q3741" t="s">
        <v>26</v>
      </c>
      <c r="R3741">
        <v>1</v>
      </c>
    </row>
    <row r="3742" spans="1:18">
      <c r="A3742" s="4">
        <v>277987000000000</v>
      </c>
      <c r="B3742" t="s">
        <v>18</v>
      </c>
      <c r="C3742">
        <v>26</v>
      </c>
      <c r="D3742" t="s">
        <v>37</v>
      </c>
      <c r="E3742" t="s">
        <v>38</v>
      </c>
      <c r="F3742" s="1">
        <v>42501</v>
      </c>
      <c r="G3742" s="1">
        <v>42501</v>
      </c>
      <c r="H3742" t="s">
        <v>25</v>
      </c>
      <c r="I3742">
        <v>0</v>
      </c>
      <c r="J3742" t="s">
        <v>111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23</v>
      </c>
      <c r="R3742">
        <v>0</v>
      </c>
    </row>
    <row r="3743" spans="1:18">
      <c r="A3743" s="4">
        <v>438673000000000</v>
      </c>
      <c r="B3743" t="s">
        <v>18</v>
      </c>
      <c r="C3743">
        <v>66</v>
      </c>
      <c r="D3743" t="s">
        <v>19</v>
      </c>
      <c r="E3743" t="s">
        <v>29</v>
      </c>
      <c r="F3743" s="1">
        <v>42501</v>
      </c>
      <c r="G3743" s="1">
        <v>42501</v>
      </c>
      <c r="H3743" t="s">
        <v>25</v>
      </c>
      <c r="I3743">
        <v>0</v>
      </c>
      <c r="J3743" t="s">
        <v>111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23</v>
      </c>
      <c r="R3743">
        <v>0</v>
      </c>
    </row>
    <row r="3744" spans="1:18">
      <c r="A3744" s="4">
        <v>7228130000000</v>
      </c>
      <c r="B3744" t="s">
        <v>18</v>
      </c>
      <c r="C3744">
        <v>6</v>
      </c>
      <c r="D3744" t="s">
        <v>31</v>
      </c>
      <c r="E3744" t="s">
        <v>39</v>
      </c>
      <c r="F3744" s="1">
        <v>42501</v>
      </c>
      <c r="G3744" s="1">
        <v>42522</v>
      </c>
      <c r="H3744" t="s">
        <v>25</v>
      </c>
      <c r="I3744">
        <v>21</v>
      </c>
      <c r="J3744" t="s">
        <v>77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1</v>
      </c>
      <c r="Q3744" t="s">
        <v>23</v>
      </c>
      <c r="R3744">
        <v>0</v>
      </c>
    </row>
    <row r="3745" spans="1:18">
      <c r="A3745" s="4">
        <v>16214400000000</v>
      </c>
      <c r="B3745" t="s">
        <v>18</v>
      </c>
      <c r="C3745">
        <v>33</v>
      </c>
      <c r="D3745" t="s">
        <v>37</v>
      </c>
      <c r="E3745" t="s">
        <v>55</v>
      </c>
      <c r="F3745" s="1">
        <v>42501</v>
      </c>
      <c r="G3745" s="1">
        <v>42523</v>
      </c>
      <c r="H3745" t="s">
        <v>33</v>
      </c>
      <c r="I3745">
        <v>22</v>
      </c>
      <c r="J3745" t="s">
        <v>77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26</v>
      </c>
      <c r="R3745">
        <v>1</v>
      </c>
    </row>
    <row r="3746" spans="1:18">
      <c r="A3746" s="4">
        <v>975338000000</v>
      </c>
      <c r="B3746" t="s">
        <v>28</v>
      </c>
      <c r="C3746">
        <v>48</v>
      </c>
      <c r="D3746" t="s">
        <v>27</v>
      </c>
      <c r="E3746" t="s">
        <v>68</v>
      </c>
      <c r="F3746" s="1">
        <v>42501</v>
      </c>
      <c r="G3746" s="1">
        <v>42501</v>
      </c>
      <c r="H3746" t="s">
        <v>25</v>
      </c>
      <c r="I3746">
        <v>0</v>
      </c>
      <c r="J3746" t="s">
        <v>111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23</v>
      </c>
      <c r="R3746">
        <v>0</v>
      </c>
    </row>
    <row r="3747" spans="1:18">
      <c r="A3747" s="4">
        <v>275389000000000</v>
      </c>
      <c r="B3747" t="s">
        <v>18</v>
      </c>
      <c r="C3747">
        <v>39</v>
      </c>
      <c r="D3747" t="s">
        <v>27</v>
      </c>
      <c r="E3747" t="s">
        <v>72</v>
      </c>
      <c r="F3747" s="1">
        <v>42501</v>
      </c>
      <c r="G3747" s="1">
        <v>42529</v>
      </c>
      <c r="H3747" t="s">
        <v>25</v>
      </c>
      <c r="I3747">
        <v>28</v>
      </c>
      <c r="J3747" t="s">
        <v>77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1</v>
      </c>
      <c r="Q3747" t="s">
        <v>23</v>
      </c>
      <c r="R3747">
        <v>0</v>
      </c>
    </row>
    <row r="3748" spans="1:18">
      <c r="A3748" s="4">
        <v>33711400000000</v>
      </c>
      <c r="B3748" t="s">
        <v>18</v>
      </c>
      <c r="C3748">
        <v>24</v>
      </c>
      <c r="D3748" t="s">
        <v>37</v>
      </c>
      <c r="E3748" t="s">
        <v>78</v>
      </c>
      <c r="F3748" s="1">
        <v>42501</v>
      </c>
      <c r="G3748" s="1">
        <v>42510</v>
      </c>
      <c r="H3748" t="s">
        <v>21</v>
      </c>
      <c r="I3748">
        <v>9</v>
      </c>
      <c r="J3748" t="s">
        <v>92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26</v>
      </c>
      <c r="R3748">
        <v>1</v>
      </c>
    </row>
    <row r="3749" spans="1:18">
      <c r="A3749" s="4">
        <v>197567000000</v>
      </c>
      <c r="B3749" t="s">
        <v>18</v>
      </c>
      <c r="C3749">
        <v>32</v>
      </c>
      <c r="D3749" t="s">
        <v>37</v>
      </c>
      <c r="E3749" t="s">
        <v>38</v>
      </c>
      <c r="F3749" s="1">
        <v>42501</v>
      </c>
      <c r="G3749" s="1">
        <v>42508</v>
      </c>
      <c r="H3749" t="s">
        <v>25</v>
      </c>
      <c r="I3749">
        <v>7</v>
      </c>
      <c r="J3749" t="s">
        <v>107</v>
      </c>
      <c r="K3749">
        <v>1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23</v>
      </c>
      <c r="R3749">
        <v>0</v>
      </c>
    </row>
    <row r="3750" spans="1:18">
      <c r="A3750" s="4">
        <v>5731750000000</v>
      </c>
      <c r="B3750" t="s">
        <v>28</v>
      </c>
      <c r="C3750">
        <v>33</v>
      </c>
      <c r="D3750" t="s">
        <v>37</v>
      </c>
      <c r="E3750" t="s">
        <v>63</v>
      </c>
      <c r="F3750" s="1">
        <v>42501</v>
      </c>
      <c r="G3750" s="1">
        <v>42501</v>
      </c>
      <c r="H3750" t="s">
        <v>25</v>
      </c>
      <c r="I3750">
        <v>0</v>
      </c>
      <c r="J3750" t="s">
        <v>111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23</v>
      </c>
      <c r="R3750">
        <v>0</v>
      </c>
    </row>
    <row r="3751" spans="1:18">
      <c r="A3751" s="4">
        <v>64472800000000</v>
      </c>
      <c r="B3751" t="s">
        <v>18</v>
      </c>
      <c r="C3751">
        <v>54</v>
      </c>
      <c r="D3751" t="s">
        <v>35</v>
      </c>
      <c r="E3751" t="s">
        <v>72</v>
      </c>
      <c r="F3751" s="1">
        <v>42501</v>
      </c>
      <c r="G3751" s="1">
        <v>42501</v>
      </c>
      <c r="H3751" t="s">
        <v>25</v>
      </c>
      <c r="I3751">
        <v>0</v>
      </c>
      <c r="J3751" t="s">
        <v>111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23</v>
      </c>
      <c r="R3751">
        <v>0</v>
      </c>
    </row>
    <row r="3752" spans="1:18">
      <c r="A3752" s="4">
        <v>66959400000000</v>
      </c>
      <c r="B3752" t="s">
        <v>18</v>
      </c>
      <c r="C3752">
        <v>2</v>
      </c>
      <c r="D3752" t="s">
        <v>31</v>
      </c>
      <c r="E3752" t="s">
        <v>63</v>
      </c>
      <c r="F3752" s="1">
        <v>42501</v>
      </c>
      <c r="G3752" s="1">
        <v>42501</v>
      </c>
      <c r="H3752" t="s">
        <v>25</v>
      </c>
      <c r="I3752">
        <v>0</v>
      </c>
      <c r="J3752" t="s">
        <v>111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23</v>
      </c>
      <c r="R3752">
        <v>0</v>
      </c>
    </row>
    <row r="3753" spans="1:18">
      <c r="A3753" s="4">
        <v>96311800000000</v>
      </c>
      <c r="B3753" t="s">
        <v>18</v>
      </c>
      <c r="C3753">
        <v>46</v>
      </c>
      <c r="D3753" t="s">
        <v>27</v>
      </c>
      <c r="E3753" t="s">
        <v>93</v>
      </c>
      <c r="F3753" s="1">
        <v>42501</v>
      </c>
      <c r="G3753" s="1">
        <v>42502</v>
      </c>
      <c r="H3753" t="s">
        <v>33</v>
      </c>
      <c r="I3753">
        <v>1</v>
      </c>
      <c r="J3753" t="s">
        <v>109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23</v>
      </c>
      <c r="R3753">
        <v>0</v>
      </c>
    </row>
    <row r="3754" spans="1:18">
      <c r="A3754" s="4">
        <v>25623100000000</v>
      </c>
      <c r="B3754" t="s">
        <v>28</v>
      </c>
      <c r="C3754">
        <v>15</v>
      </c>
      <c r="D3754" t="s">
        <v>60</v>
      </c>
      <c r="E3754" t="s">
        <v>71</v>
      </c>
      <c r="F3754" s="1">
        <v>42501</v>
      </c>
      <c r="G3754" s="1">
        <v>42501</v>
      </c>
      <c r="H3754" t="s">
        <v>25</v>
      </c>
      <c r="I3754">
        <v>0</v>
      </c>
      <c r="J3754" t="s">
        <v>111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23</v>
      </c>
      <c r="R3754">
        <v>0</v>
      </c>
    </row>
    <row r="3755" spans="1:18">
      <c r="A3755" s="4">
        <v>7143550000000</v>
      </c>
      <c r="B3755" t="s">
        <v>18</v>
      </c>
      <c r="C3755">
        <v>58</v>
      </c>
      <c r="D3755" t="s">
        <v>35</v>
      </c>
      <c r="E3755" t="s">
        <v>40</v>
      </c>
      <c r="F3755" s="1">
        <v>42501</v>
      </c>
      <c r="G3755" s="1">
        <v>42514</v>
      </c>
      <c r="H3755" t="s">
        <v>41</v>
      </c>
      <c r="I3755">
        <v>13</v>
      </c>
      <c r="J3755" t="s">
        <v>92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1</v>
      </c>
      <c r="Q3755" t="s">
        <v>23</v>
      </c>
      <c r="R3755">
        <v>0</v>
      </c>
    </row>
    <row r="3756" spans="1:18">
      <c r="A3756" s="4">
        <v>698814000000</v>
      </c>
      <c r="B3756" t="s">
        <v>18</v>
      </c>
      <c r="C3756">
        <v>59</v>
      </c>
      <c r="D3756" t="s">
        <v>35</v>
      </c>
      <c r="E3756" t="s">
        <v>71</v>
      </c>
      <c r="F3756" s="1">
        <v>42501</v>
      </c>
      <c r="G3756" s="1">
        <v>42501</v>
      </c>
      <c r="H3756" t="s">
        <v>25</v>
      </c>
      <c r="I3756">
        <v>0</v>
      </c>
      <c r="J3756" t="s">
        <v>111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23</v>
      </c>
      <c r="R3756">
        <v>0</v>
      </c>
    </row>
    <row r="3757" spans="1:18">
      <c r="A3757" s="4">
        <v>125637000000</v>
      </c>
      <c r="B3757" t="s">
        <v>28</v>
      </c>
      <c r="C3757">
        <v>14</v>
      </c>
      <c r="D3757" t="s">
        <v>60</v>
      </c>
      <c r="E3757" t="s">
        <v>42</v>
      </c>
      <c r="F3757" s="1">
        <v>42501</v>
      </c>
      <c r="G3757" s="1">
        <v>42508</v>
      </c>
      <c r="H3757" t="s">
        <v>25</v>
      </c>
      <c r="I3757">
        <v>7</v>
      </c>
      <c r="J3757" t="s">
        <v>107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23</v>
      </c>
      <c r="R3757">
        <v>0</v>
      </c>
    </row>
    <row r="3758" spans="1:18">
      <c r="A3758" s="4">
        <v>314582000000000</v>
      </c>
      <c r="B3758" t="s">
        <v>18</v>
      </c>
      <c r="C3758">
        <v>17</v>
      </c>
      <c r="D3758" t="s">
        <v>60</v>
      </c>
      <c r="E3758" t="s">
        <v>108</v>
      </c>
      <c r="F3758" s="1">
        <v>42501</v>
      </c>
      <c r="G3758" s="1">
        <v>42501</v>
      </c>
      <c r="H3758" t="s">
        <v>25</v>
      </c>
      <c r="I3758">
        <v>0</v>
      </c>
      <c r="J3758" t="s">
        <v>111</v>
      </c>
      <c r="K3758">
        <v>1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23</v>
      </c>
      <c r="R3758">
        <v>0</v>
      </c>
    </row>
    <row r="3759" spans="1:18">
      <c r="A3759" s="4">
        <v>48325700000000</v>
      </c>
      <c r="B3759" t="s">
        <v>18</v>
      </c>
      <c r="C3759">
        <v>65</v>
      </c>
      <c r="D3759" t="s">
        <v>35</v>
      </c>
      <c r="E3759" t="s">
        <v>72</v>
      </c>
      <c r="F3759" s="1">
        <v>42501</v>
      </c>
      <c r="G3759" s="1">
        <v>42528</v>
      </c>
      <c r="H3759" t="s">
        <v>41</v>
      </c>
      <c r="I3759">
        <v>27</v>
      </c>
      <c r="J3759" t="s">
        <v>77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1</v>
      </c>
      <c r="Q3759" t="s">
        <v>23</v>
      </c>
      <c r="R3759">
        <v>0</v>
      </c>
    </row>
    <row r="3760" spans="1:18">
      <c r="A3760" s="4">
        <v>21493600000000</v>
      </c>
      <c r="B3760" t="s">
        <v>28</v>
      </c>
      <c r="C3760">
        <v>81</v>
      </c>
      <c r="D3760" t="s">
        <v>19</v>
      </c>
      <c r="E3760" t="s">
        <v>53</v>
      </c>
      <c r="F3760" s="1">
        <v>42501</v>
      </c>
      <c r="G3760" s="1">
        <v>42520</v>
      </c>
      <c r="H3760" t="s">
        <v>30</v>
      </c>
      <c r="I3760">
        <v>19</v>
      </c>
      <c r="J3760" t="s">
        <v>77</v>
      </c>
      <c r="K3760">
        <v>0</v>
      </c>
      <c r="L3760">
        <v>1</v>
      </c>
      <c r="M3760">
        <v>0</v>
      </c>
      <c r="N3760">
        <v>0</v>
      </c>
      <c r="O3760">
        <v>0</v>
      </c>
      <c r="P3760">
        <v>1</v>
      </c>
      <c r="Q3760" t="s">
        <v>23</v>
      </c>
      <c r="R3760">
        <v>0</v>
      </c>
    </row>
    <row r="3761" spans="1:18">
      <c r="A3761" s="4">
        <v>97556700000000</v>
      </c>
      <c r="B3761" t="s">
        <v>28</v>
      </c>
      <c r="C3761">
        <v>0</v>
      </c>
      <c r="D3761" t="s">
        <v>31</v>
      </c>
      <c r="E3761" t="s">
        <v>72</v>
      </c>
      <c r="F3761" s="1">
        <v>42501</v>
      </c>
      <c r="G3761" s="1">
        <v>42501</v>
      </c>
      <c r="H3761" t="s">
        <v>25</v>
      </c>
      <c r="I3761">
        <v>0</v>
      </c>
      <c r="J3761" t="s">
        <v>111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23</v>
      </c>
      <c r="R3761">
        <v>0</v>
      </c>
    </row>
    <row r="3762" spans="1:18">
      <c r="A3762" s="4">
        <v>615663000000</v>
      </c>
      <c r="B3762" t="s">
        <v>18</v>
      </c>
      <c r="C3762">
        <v>39</v>
      </c>
      <c r="D3762" t="s">
        <v>27</v>
      </c>
      <c r="E3762" t="s">
        <v>57</v>
      </c>
      <c r="F3762" s="1">
        <v>42501</v>
      </c>
      <c r="G3762" s="1">
        <v>42501</v>
      </c>
      <c r="H3762" t="s">
        <v>25</v>
      </c>
      <c r="I3762">
        <v>0</v>
      </c>
      <c r="J3762" t="s">
        <v>111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23</v>
      </c>
      <c r="R3762">
        <v>0</v>
      </c>
    </row>
    <row r="3763" spans="1:18">
      <c r="A3763" s="4">
        <v>88345700000000</v>
      </c>
      <c r="B3763" t="s">
        <v>18</v>
      </c>
      <c r="C3763">
        <v>79</v>
      </c>
      <c r="D3763" t="s">
        <v>19</v>
      </c>
      <c r="E3763" t="s">
        <v>44</v>
      </c>
      <c r="F3763" s="1">
        <v>42501</v>
      </c>
      <c r="G3763" s="1">
        <v>42502</v>
      </c>
      <c r="H3763" t="s">
        <v>33</v>
      </c>
      <c r="I3763">
        <v>1</v>
      </c>
      <c r="J3763" t="s">
        <v>109</v>
      </c>
      <c r="K3763">
        <v>0</v>
      </c>
      <c r="L3763">
        <v>0</v>
      </c>
      <c r="M3763">
        <v>1</v>
      </c>
      <c r="N3763">
        <v>0</v>
      </c>
      <c r="O3763">
        <v>0</v>
      </c>
      <c r="P3763">
        <v>0</v>
      </c>
      <c r="Q3763" t="s">
        <v>23</v>
      </c>
      <c r="R3763">
        <v>0</v>
      </c>
    </row>
    <row r="3764" spans="1:18">
      <c r="A3764" s="4">
        <v>94576700000000</v>
      </c>
      <c r="B3764" t="s">
        <v>18</v>
      </c>
      <c r="C3764">
        <v>43</v>
      </c>
      <c r="D3764" t="s">
        <v>27</v>
      </c>
      <c r="E3764" t="s">
        <v>29</v>
      </c>
      <c r="F3764" s="1">
        <v>42501</v>
      </c>
      <c r="G3764" s="1">
        <v>42508</v>
      </c>
      <c r="H3764" t="s">
        <v>25</v>
      </c>
      <c r="I3764">
        <v>7</v>
      </c>
      <c r="J3764" t="s">
        <v>107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23</v>
      </c>
      <c r="R3764">
        <v>0</v>
      </c>
    </row>
    <row r="3765" spans="1:18">
      <c r="A3765" s="4">
        <v>735690000000000</v>
      </c>
      <c r="B3765" t="s">
        <v>28</v>
      </c>
      <c r="C3765">
        <v>0</v>
      </c>
      <c r="D3765" t="s">
        <v>31</v>
      </c>
      <c r="E3765" t="s">
        <v>49</v>
      </c>
      <c r="F3765" s="1">
        <v>42501</v>
      </c>
      <c r="G3765" s="1">
        <v>42506</v>
      </c>
      <c r="H3765" t="s">
        <v>30</v>
      </c>
      <c r="I3765">
        <v>5</v>
      </c>
      <c r="J3765" t="s">
        <v>107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23</v>
      </c>
      <c r="R3765">
        <v>0</v>
      </c>
    </row>
    <row r="3766" spans="1:18">
      <c r="A3766" s="4">
        <v>5586570000000</v>
      </c>
      <c r="B3766" t="s">
        <v>28</v>
      </c>
      <c r="C3766">
        <v>3</v>
      </c>
      <c r="D3766" t="s">
        <v>31</v>
      </c>
      <c r="E3766" t="s">
        <v>78</v>
      </c>
      <c r="F3766" s="1">
        <v>42501</v>
      </c>
      <c r="G3766" s="1">
        <v>42522</v>
      </c>
      <c r="H3766" t="s">
        <v>25</v>
      </c>
      <c r="I3766">
        <v>21</v>
      </c>
      <c r="J3766" t="s">
        <v>77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1</v>
      </c>
      <c r="Q3766" t="s">
        <v>23</v>
      </c>
      <c r="R3766">
        <v>0</v>
      </c>
    </row>
    <row r="3767" spans="1:18">
      <c r="A3767" s="4">
        <v>544337000000000</v>
      </c>
      <c r="B3767" t="s">
        <v>18</v>
      </c>
      <c r="C3767">
        <v>35</v>
      </c>
      <c r="D3767" t="s">
        <v>37</v>
      </c>
      <c r="E3767" t="s">
        <v>72</v>
      </c>
      <c r="F3767" s="1">
        <v>42501</v>
      </c>
      <c r="G3767" s="1">
        <v>42501</v>
      </c>
      <c r="H3767" t="s">
        <v>25</v>
      </c>
      <c r="I3767">
        <v>0</v>
      </c>
      <c r="J3767" t="s">
        <v>111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23</v>
      </c>
      <c r="R3767">
        <v>0</v>
      </c>
    </row>
    <row r="3768" spans="1:18">
      <c r="A3768" s="4">
        <v>93743300000000</v>
      </c>
      <c r="B3768" t="s">
        <v>18</v>
      </c>
      <c r="C3768">
        <v>0</v>
      </c>
      <c r="D3768" t="s">
        <v>31</v>
      </c>
      <c r="E3768" t="s">
        <v>74</v>
      </c>
      <c r="F3768" s="1">
        <v>42501</v>
      </c>
      <c r="G3768" s="1">
        <v>42508</v>
      </c>
      <c r="H3768" t="s">
        <v>25</v>
      </c>
      <c r="I3768">
        <v>7</v>
      </c>
      <c r="J3768" t="s">
        <v>107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23</v>
      </c>
      <c r="R3768">
        <v>0</v>
      </c>
    </row>
    <row r="3769" spans="1:18">
      <c r="A3769" s="4">
        <v>793380000000</v>
      </c>
      <c r="B3769" t="s">
        <v>28</v>
      </c>
      <c r="C3769">
        <v>57</v>
      </c>
      <c r="D3769" t="s">
        <v>35</v>
      </c>
      <c r="E3769" t="s">
        <v>67</v>
      </c>
      <c r="F3769" s="1">
        <v>42501</v>
      </c>
      <c r="G3769" s="1">
        <v>42501</v>
      </c>
      <c r="H3769" t="s">
        <v>25</v>
      </c>
      <c r="I3769">
        <v>0</v>
      </c>
      <c r="J3769" t="s">
        <v>111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23</v>
      </c>
      <c r="R3769">
        <v>0</v>
      </c>
    </row>
    <row r="3770" spans="1:18">
      <c r="A3770" s="4">
        <v>8592820000000</v>
      </c>
      <c r="B3770" t="s">
        <v>18</v>
      </c>
      <c r="C3770">
        <v>7</v>
      </c>
      <c r="D3770" t="s">
        <v>31</v>
      </c>
      <c r="E3770" t="s">
        <v>96</v>
      </c>
      <c r="F3770" s="1">
        <v>42501</v>
      </c>
      <c r="G3770" s="1">
        <v>42501</v>
      </c>
      <c r="H3770" t="s">
        <v>25</v>
      </c>
      <c r="I3770">
        <v>0</v>
      </c>
      <c r="J3770" t="s">
        <v>111</v>
      </c>
      <c r="K3770">
        <v>1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23</v>
      </c>
      <c r="R3770">
        <v>0</v>
      </c>
    </row>
    <row r="3771" spans="1:18">
      <c r="A3771" s="4">
        <v>41197900000000</v>
      </c>
      <c r="B3771" t="s">
        <v>18</v>
      </c>
      <c r="C3771">
        <v>36</v>
      </c>
      <c r="D3771" t="s">
        <v>27</v>
      </c>
      <c r="E3771" t="s">
        <v>95</v>
      </c>
      <c r="F3771" s="1">
        <v>42501</v>
      </c>
      <c r="G3771" s="1">
        <v>42508</v>
      </c>
      <c r="H3771" t="s">
        <v>25</v>
      </c>
      <c r="I3771">
        <v>7</v>
      </c>
      <c r="J3771" t="s">
        <v>107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23</v>
      </c>
      <c r="R3771">
        <v>0</v>
      </c>
    </row>
    <row r="3772" spans="1:18">
      <c r="A3772" s="4">
        <v>39934354681</v>
      </c>
      <c r="B3772" t="s">
        <v>18</v>
      </c>
      <c r="C3772">
        <v>30</v>
      </c>
      <c r="D3772" t="s">
        <v>37</v>
      </c>
      <c r="E3772" t="s">
        <v>100</v>
      </c>
      <c r="F3772" s="1">
        <v>42501</v>
      </c>
      <c r="G3772" s="1">
        <v>42522</v>
      </c>
      <c r="H3772" t="s">
        <v>25</v>
      </c>
      <c r="I3772">
        <v>21</v>
      </c>
      <c r="J3772" t="s">
        <v>77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1</v>
      </c>
      <c r="Q3772" t="s">
        <v>23</v>
      </c>
      <c r="R3772">
        <v>0</v>
      </c>
    </row>
    <row r="3773" spans="1:18">
      <c r="A3773" s="4">
        <v>1269422141</v>
      </c>
      <c r="B3773" t="s">
        <v>18</v>
      </c>
      <c r="C3773">
        <v>51</v>
      </c>
      <c r="D3773" t="s">
        <v>35</v>
      </c>
      <c r="E3773" t="s">
        <v>47</v>
      </c>
      <c r="F3773" s="1">
        <v>42501</v>
      </c>
      <c r="G3773" s="1">
        <v>42501</v>
      </c>
      <c r="H3773" t="s">
        <v>25</v>
      </c>
      <c r="I3773">
        <v>0</v>
      </c>
      <c r="J3773" t="s">
        <v>111</v>
      </c>
      <c r="K3773">
        <v>0</v>
      </c>
      <c r="L3773">
        <v>1</v>
      </c>
      <c r="M3773">
        <v>0</v>
      </c>
      <c r="N3773">
        <v>0</v>
      </c>
      <c r="O3773">
        <v>0</v>
      </c>
      <c r="P3773">
        <v>0</v>
      </c>
      <c r="Q3773" t="s">
        <v>23</v>
      </c>
      <c r="R3773">
        <v>0</v>
      </c>
    </row>
    <row r="3774" spans="1:18">
      <c r="A3774" s="4">
        <v>3647260000000</v>
      </c>
      <c r="B3774" t="s">
        <v>18</v>
      </c>
      <c r="C3774">
        <v>1</v>
      </c>
      <c r="D3774" t="s">
        <v>31</v>
      </c>
      <c r="E3774" t="s">
        <v>58</v>
      </c>
      <c r="F3774" s="1">
        <v>42501</v>
      </c>
      <c r="G3774" s="1">
        <v>42502</v>
      </c>
      <c r="H3774" t="s">
        <v>33</v>
      </c>
      <c r="I3774">
        <v>1</v>
      </c>
      <c r="J3774" t="s">
        <v>109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26</v>
      </c>
      <c r="R3774">
        <v>1</v>
      </c>
    </row>
    <row r="3775" spans="1:18">
      <c r="A3775" s="4">
        <v>3416460000000</v>
      </c>
      <c r="B3775" t="s">
        <v>28</v>
      </c>
      <c r="C3775">
        <v>62</v>
      </c>
      <c r="D3775" t="s">
        <v>35</v>
      </c>
      <c r="E3775" t="s">
        <v>58</v>
      </c>
      <c r="F3775" s="1">
        <v>42501</v>
      </c>
      <c r="G3775" s="1">
        <v>42504</v>
      </c>
      <c r="H3775" t="s">
        <v>114</v>
      </c>
      <c r="I3775">
        <v>3</v>
      </c>
      <c r="J3775" t="s">
        <v>109</v>
      </c>
      <c r="K3775">
        <v>0</v>
      </c>
      <c r="L3775">
        <v>1</v>
      </c>
      <c r="M3775">
        <v>0</v>
      </c>
      <c r="N3775">
        <v>1</v>
      </c>
      <c r="O3775">
        <v>0</v>
      </c>
      <c r="P3775">
        <v>0</v>
      </c>
      <c r="Q3775" t="s">
        <v>23</v>
      </c>
      <c r="R3775">
        <v>0</v>
      </c>
    </row>
    <row r="3776" spans="1:18">
      <c r="A3776" s="4">
        <v>1498810000000</v>
      </c>
      <c r="B3776" t="s">
        <v>28</v>
      </c>
      <c r="C3776">
        <v>49</v>
      </c>
      <c r="D3776" t="s">
        <v>27</v>
      </c>
      <c r="E3776" t="s">
        <v>48</v>
      </c>
      <c r="F3776" s="1">
        <v>42501</v>
      </c>
      <c r="G3776" s="1">
        <v>42508</v>
      </c>
      <c r="H3776" t="s">
        <v>25</v>
      </c>
      <c r="I3776">
        <v>7</v>
      </c>
      <c r="J3776" t="s">
        <v>107</v>
      </c>
      <c r="K3776">
        <v>0</v>
      </c>
      <c r="L3776">
        <v>1</v>
      </c>
      <c r="M3776">
        <v>0</v>
      </c>
      <c r="N3776">
        <v>0</v>
      </c>
      <c r="O3776">
        <v>0</v>
      </c>
      <c r="P3776">
        <v>0</v>
      </c>
      <c r="Q3776" t="s">
        <v>23</v>
      </c>
      <c r="R3776">
        <v>0</v>
      </c>
    </row>
    <row r="3777" spans="1:18">
      <c r="A3777" s="4">
        <v>432276000000000</v>
      </c>
      <c r="B3777" t="s">
        <v>18</v>
      </c>
      <c r="C3777">
        <v>68</v>
      </c>
      <c r="D3777" t="s">
        <v>19</v>
      </c>
      <c r="E3777" t="s">
        <v>57</v>
      </c>
      <c r="F3777" s="1">
        <v>42501</v>
      </c>
      <c r="G3777" s="1">
        <v>42509</v>
      </c>
      <c r="H3777" t="s">
        <v>33</v>
      </c>
      <c r="I3777">
        <v>8</v>
      </c>
      <c r="J3777" t="s">
        <v>92</v>
      </c>
      <c r="K3777">
        <v>0</v>
      </c>
      <c r="L3777">
        <v>1</v>
      </c>
      <c r="M3777">
        <v>0</v>
      </c>
      <c r="N3777">
        <v>0</v>
      </c>
      <c r="O3777">
        <v>0</v>
      </c>
      <c r="P3777">
        <v>0</v>
      </c>
      <c r="Q3777" t="s">
        <v>23</v>
      </c>
      <c r="R3777">
        <v>0</v>
      </c>
    </row>
    <row r="3778" spans="1:18">
      <c r="A3778" s="4">
        <v>9472660000000</v>
      </c>
      <c r="B3778" t="s">
        <v>18</v>
      </c>
      <c r="C3778">
        <v>52</v>
      </c>
      <c r="D3778" t="s">
        <v>35</v>
      </c>
      <c r="E3778" t="s">
        <v>49</v>
      </c>
      <c r="F3778" s="1">
        <v>42501</v>
      </c>
      <c r="G3778" s="1">
        <v>42501</v>
      </c>
      <c r="H3778" t="s">
        <v>25</v>
      </c>
      <c r="I3778">
        <v>0</v>
      </c>
      <c r="J3778" t="s">
        <v>111</v>
      </c>
      <c r="K3778">
        <v>0</v>
      </c>
      <c r="L3778">
        <v>0</v>
      </c>
      <c r="M3778">
        <v>0</v>
      </c>
      <c r="N3778">
        <v>0</v>
      </c>
      <c r="O3778">
        <v>1</v>
      </c>
      <c r="P3778">
        <v>0</v>
      </c>
      <c r="Q3778" t="s">
        <v>23</v>
      </c>
      <c r="R3778">
        <v>0</v>
      </c>
    </row>
    <row r="3779" spans="1:18">
      <c r="A3779" s="4">
        <v>1423770000000</v>
      </c>
      <c r="B3779" t="s">
        <v>18</v>
      </c>
      <c r="C3779">
        <v>27</v>
      </c>
      <c r="D3779" t="s">
        <v>37</v>
      </c>
      <c r="E3779" t="s">
        <v>34</v>
      </c>
      <c r="F3779" s="1">
        <v>42501</v>
      </c>
      <c r="G3779" s="1">
        <v>42503</v>
      </c>
      <c r="H3779" t="s">
        <v>21</v>
      </c>
      <c r="I3779">
        <v>2</v>
      </c>
      <c r="J3779" t="s">
        <v>109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26</v>
      </c>
      <c r="R3779">
        <v>1</v>
      </c>
    </row>
    <row r="3780" spans="1:18">
      <c r="A3780" s="4">
        <v>647522000000000</v>
      </c>
      <c r="B3780" t="s">
        <v>18</v>
      </c>
      <c r="C3780">
        <v>18</v>
      </c>
      <c r="D3780" t="s">
        <v>37</v>
      </c>
      <c r="E3780" t="s">
        <v>29</v>
      </c>
      <c r="F3780" s="1">
        <v>42501</v>
      </c>
      <c r="G3780" s="1">
        <v>42501</v>
      </c>
      <c r="H3780" t="s">
        <v>25</v>
      </c>
      <c r="I3780">
        <v>0</v>
      </c>
      <c r="J3780" t="s">
        <v>111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23</v>
      </c>
      <c r="R3780">
        <v>0</v>
      </c>
    </row>
    <row r="3781" spans="1:18">
      <c r="A3781" s="4">
        <v>9333120000000</v>
      </c>
      <c r="B3781" t="s">
        <v>18</v>
      </c>
      <c r="C3781">
        <v>51</v>
      </c>
      <c r="D3781" t="s">
        <v>35</v>
      </c>
      <c r="E3781" t="s">
        <v>55</v>
      </c>
      <c r="F3781" s="1">
        <v>42501</v>
      </c>
      <c r="G3781" s="1">
        <v>42502</v>
      </c>
      <c r="H3781" t="s">
        <v>33</v>
      </c>
      <c r="I3781">
        <v>1</v>
      </c>
      <c r="J3781" t="s">
        <v>109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23</v>
      </c>
      <c r="R3781">
        <v>0</v>
      </c>
    </row>
    <row r="3782" spans="1:18">
      <c r="A3782" s="4">
        <v>43642500000000</v>
      </c>
      <c r="B3782" t="s">
        <v>18</v>
      </c>
      <c r="C3782">
        <v>47</v>
      </c>
      <c r="D3782" t="s">
        <v>27</v>
      </c>
      <c r="E3782" t="s">
        <v>72</v>
      </c>
      <c r="F3782" s="1">
        <v>42501</v>
      </c>
      <c r="G3782" s="1">
        <v>42501</v>
      </c>
      <c r="H3782" t="s">
        <v>25</v>
      </c>
      <c r="I3782">
        <v>0</v>
      </c>
      <c r="J3782" t="s">
        <v>111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23</v>
      </c>
      <c r="R3782">
        <v>0</v>
      </c>
    </row>
    <row r="3783" spans="1:18">
      <c r="A3783" s="4">
        <v>54954000000000</v>
      </c>
      <c r="B3783" t="s">
        <v>18</v>
      </c>
      <c r="C3783">
        <v>54</v>
      </c>
      <c r="D3783" t="s">
        <v>35</v>
      </c>
      <c r="E3783" t="s">
        <v>43</v>
      </c>
      <c r="F3783" s="1">
        <v>42501</v>
      </c>
      <c r="G3783" s="1">
        <v>42508</v>
      </c>
      <c r="H3783" t="s">
        <v>25</v>
      </c>
      <c r="I3783">
        <v>7</v>
      </c>
      <c r="J3783" t="s">
        <v>107</v>
      </c>
      <c r="K3783">
        <v>0</v>
      </c>
      <c r="L3783">
        <v>0</v>
      </c>
      <c r="M3783">
        <v>0</v>
      </c>
      <c r="N3783">
        <v>1</v>
      </c>
      <c r="O3783">
        <v>0</v>
      </c>
      <c r="P3783">
        <v>0</v>
      </c>
      <c r="Q3783" t="s">
        <v>26</v>
      </c>
      <c r="R3783">
        <v>1</v>
      </c>
    </row>
    <row r="3784" spans="1:18">
      <c r="A3784" s="4">
        <v>841613000000000</v>
      </c>
      <c r="B3784" t="s">
        <v>18</v>
      </c>
      <c r="C3784">
        <v>18</v>
      </c>
      <c r="D3784" t="s">
        <v>37</v>
      </c>
      <c r="E3784" t="s">
        <v>54</v>
      </c>
      <c r="F3784" s="1">
        <v>42501</v>
      </c>
      <c r="G3784" s="1">
        <v>42510</v>
      </c>
      <c r="H3784" t="s">
        <v>21</v>
      </c>
      <c r="I3784">
        <v>9</v>
      </c>
      <c r="J3784" t="s">
        <v>92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26</v>
      </c>
      <c r="R3784">
        <v>1</v>
      </c>
    </row>
    <row r="3785" spans="1:18">
      <c r="A3785" s="4">
        <v>28985500000000</v>
      </c>
      <c r="B3785" t="s">
        <v>18</v>
      </c>
      <c r="C3785">
        <v>58</v>
      </c>
      <c r="D3785" t="s">
        <v>35</v>
      </c>
      <c r="E3785" t="s">
        <v>45</v>
      </c>
      <c r="F3785" s="1">
        <v>42501</v>
      </c>
      <c r="G3785" s="1">
        <v>42503</v>
      </c>
      <c r="H3785" t="s">
        <v>21</v>
      </c>
      <c r="I3785">
        <v>2</v>
      </c>
      <c r="J3785" t="s">
        <v>109</v>
      </c>
      <c r="K3785">
        <v>1</v>
      </c>
      <c r="L3785">
        <v>1</v>
      </c>
      <c r="M3785">
        <v>0</v>
      </c>
      <c r="N3785">
        <v>0</v>
      </c>
      <c r="O3785">
        <v>0</v>
      </c>
      <c r="P3785">
        <v>0</v>
      </c>
      <c r="Q3785" t="s">
        <v>23</v>
      </c>
      <c r="R3785">
        <v>0</v>
      </c>
    </row>
    <row r="3786" spans="1:18">
      <c r="A3786" s="4">
        <v>7965130000000</v>
      </c>
      <c r="B3786" t="s">
        <v>28</v>
      </c>
      <c r="C3786">
        <v>43</v>
      </c>
      <c r="D3786" t="s">
        <v>27</v>
      </c>
      <c r="E3786" t="s">
        <v>51</v>
      </c>
      <c r="F3786" s="1">
        <v>42501</v>
      </c>
      <c r="G3786" s="1">
        <v>42506</v>
      </c>
      <c r="H3786" t="s">
        <v>30</v>
      </c>
      <c r="I3786">
        <v>5</v>
      </c>
      <c r="J3786" t="s">
        <v>107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23</v>
      </c>
      <c r="R3786">
        <v>0</v>
      </c>
    </row>
    <row r="3787" spans="1:18">
      <c r="A3787" s="4">
        <v>28739964825</v>
      </c>
      <c r="B3787" t="s">
        <v>28</v>
      </c>
      <c r="C3787">
        <v>23</v>
      </c>
      <c r="D3787" t="s">
        <v>37</v>
      </c>
      <c r="E3787" t="s">
        <v>39</v>
      </c>
      <c r="F3787" s="1">
        <v>42501</v>
      </c>
      <c r="G3787" s="1">
        <v>42506</v>
      </c>
      <c r="H3787" t="s">
        <v>30</v>
      </c>
      <c r="I3787">
        <v>5</v>
      </c>
      <c r="J3787" t="s">
        <v>107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23</v>
      </c>
      <c r="R3787">
        <v>0</v>
      </c>
    </row>
    <row r="3788" spans="1:18">
      <c r="A3788" s="4">
        <v>151664000000000</v>
      </c>
      <c r="B3788" t="s">
        <v>28</v>
      </c>
      <c r="C3788">
        <v>43</v>
      </c>
      <c r="D3788" t="s">
        <v>27</v>
      </c>
      <c r="E3788" t="s">
        <v>39</v>
      </c>
      <c r="F3788" s="1">
        <v>42501</v>
      </c>
      <c r="G3788" s="1">
        <v>42506</v>
      </c>
      <c r="H3788" t="s">
        <v>30</v>
      </c>
      <c r="I3788">
        <v>5</v>
      </c>
      <c r="J3788" t="s">
        <v>107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26</v>
      </c>
      <c r="R3788">
        <v>1</v>
      </c>
    </row>
    <row r="3789" spans="1:18">
      <c r="A3789" s="4">
        <v>2465650000000</v>
      </c>
      <c r="B3789" t="s">
        <v>18</v>
      </c>
      <c r="C3789">
        <v>18</v>
      </c>
      <c r="D3789" t="s">
        <v>37</v>
      </c>
      <c r="E3789" t="s">
        <v>50</v>
      </c>
      <c r="F3789" s="1">
        <v>42501</v>
      </c>
      <c r="G3789" s="1">
        <v>42501</v>
      </c>
      <c r="H3789" t="s">
        <v>25</v>
      </c>
      <c r="I3789">
        <v>0</v>
      </c>
      <c r="J3789" t="s">
        <v>111</v>
      </c>
      <c r="K3789">
        <v>0</v>
      </c>
      <c r="L3789">
        <v>0</v>
      </c>
      <c r="M3789">
        <v>0</v>
      </c>
      <c r="N3789">
        <v>0</v>
      </c>
      <c r="O3789">
        <v>1</v>
      </c>
      <c r="P3789">
        <v>0</v>
      </c>
      <c r="Q3789" t="s">
        <v>23</v>
      </c>
      <c r="R3789">
        <v>0</v>
      </c>
    </row>
    <row r="3790" spans="1:18">
      <c r="A3790" s="4">
        <v>667297000000000</v>
      </c>
      <c r="B3790" t="s">
        <v>28</v>
      </c>
      <c r="C3790">
        <v>2</v>
      </c>
      <c r="D3790" t="s">
        <v>31</v>
      </c>
      <c r="E3790" t="s">
        <v>78</v>
      </c>
      <c r="F3790" s="1">
        <v>42501</v>
      </c>
      <c r="G3790" s="1">
        <v>42507</v>
      </c>
      <c r="H3790" t="s">
        <v>41</v>
      </c>
      <c r="I3790">
        <v>6</v>
      </c>
      <c r="J3790" t="s">
        <v>107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26</v>
      </c>
      <c r="R3790">
        <v>1</v>
      </c>
    </row>
    <row r="3791" spans="1:18">
      <c r="A3791" s="4">
        <v>416753000000000</v>
      </c>
      <c r="B3791" t="s">
        <v>18</v>
      </c>
      <c r="C3791">
        <v>93</v>
      </c>
      <c r="D3791" t="s">
        <v>19</v>
      </c>
      <c r="E3791" t="s">
        <v>38</v>
      </c>
      <c r="F3791" s="1">
        <v>42501</v>
      </c>
      <c r="G3791" s="1">
        <v>42501</v>
      </c>
      <c r="H3791" t="s">
        <v>25</v>
      </c>
      <c r="I3791">
        <v>0</v>
      </c>
      <c r="J3791" t="s">
        <v>111</v>
      </c>
      <c r="K3791">
        <v>0</v>
      </c>
      <c r="L3791">
        <v>1</v>
      </c>
      <c r="M3791">
        <v>0</v>
      </c>
      <c r="N3791">
        <v>0</v>
      </c>
      <c r="O3791">
        <v>0</v>
      </c>
      <c r="P3791">
        <v>0</v>
      </c>
      <c r="Q3791" t="s">
        <v>23</v>
      </c>
      <c r="R3791">
        <v>0</v>
      </c>
    </row>
    <row r="3792" spans="1:18">
      <c r="A3792" s="4">
        <v>9426680000000</v>
      </c>
      <c r="B3792" t="s">
        <v>18</v>
      </c>
      <c r="C3792">
        <v>6</v>
      </c>
      <c r="D3792" t="s">
        <v>31</v>
      </c>
      <c r="E3792" t="s">
        <v>75</v>
      </c>
      <c r="F3792" s="1">
        <v>42501</v>
      </c>
      <c r="G3792" s="1">
        <v>42508</v>
      </c>
      <c r="H3792" t="s">
        <v>25</v>
      </c>
      <c r="I3792">
        <v>7</v>
      </c>
      <c r="J3792" t="s">
        <v>107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23</v>
      </c>
      <c r="R3792">
        <v>0</v>
      </c>
    </row>
    <row r="3793" spans="1:18">
      <c r="A3793" s="4">
        <v>134673000000000</v>
      </c>
      <c r="B3793" t="s">
        <v>18</v>
      </c>
      <c r="C3793">
        <v>34</v>
      </c>
      <c r="D3793" t="s">
        <v>37</v>
      </c>
      <c r="E3793" t="s">
        <v>68</v>
      </c>
      <c r="F3793" s="1">
        <v>42501</v>
      </c>
      <c r="G3793" s="1">
        <v>42501</v>
      </c>
      <c r="H3793" t="s">
        <v>25</v>
      </c>
      <c r="I3793">
        <v>0</v>
      </c>
      <c r="J3793" t="s">
        <v>111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23</v>
      </c>
      <c r="R3793">
        <v>0</v>
      </c>
    </row>
    <row r="3794" spans="1:18">
      <c r="A3794" s="4">
        <v>1969790000000</v>
      </c>
      <c r="B3794" t="s">
        <v>18</v>
      </c>
      <c r="C3794">
        <v>40</v>
      </c>
      <c r="D3794" t="s">
        <v>27</v>
      </c>
      <c r="E3794" t="s">
        <v>54</v>
      </c>
      <c r="F3794" s="1">
        <v>42501</v>
      </c>
      <c r="G3794" s="1">
        <v>42501</v>
      </c>
      <c r="H3794" t="s">
        <v>25</v>
      </c>
      <c r="I3794">
        <v>0</v>
      </c>
      <c r="J3794" t="s">
        <v>111</v>
      </c>
      <c r="K3794">
        <v>1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23</v>
      </c>
      <c r="R3794">
        <v>0</v>
      </c>
    </row>
    <row r="3795" spans="1:18">
      <c r="A3795" s="4">
        <v>969417000000000</v>
      </c>
      <c r="B3795" t="s">
        <v>18</v>
      </c>
      <c r="C3795">
        <v>17</v>
      </c>
      <c r="D3795" t="s">
        <v>60</v>
      </c>
      <c r="E3795" t="s">
        <v>67</v>
      </c>
      <c r="F3795" s="1">
        <v>42501</v>
      </c>
      <c r="G3795" s="1">
        <v>42527</v>
      </c>
      <c r="H3795" t="s">
        <v>30</v>
      </c>
      <c r="I3795">
        <v>26</v>
      </c>
      <c r="J3795" t="s">
        <v>77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1</v>
      </c>
      <c r="Q3795" t="s">
        <v>26</v>
      </c>
      <c r="R3795">
        <v>1</v>
      </c>
    </row>
    <row r="3796" spans="1:18">
      <c r="A3796" s="4">
        <v>5879530000000</v>
      </c>
      <c r="B3796" t="s">
        <v>28</v>
      </c>
      <c r="C3796">
        <v>13</v>
      </c>
      <c r="D3796" t="s">
        <v>60</v>
      </c>
      <c r="E3796" t="s">
        <v>45</v>
      </c>
      <c r="F3796" s="1">
        <v>42501</v>
      </c>
      <c r="G3796" s="1">
        <v>42527</v>
      </c>
      <c r="H3796" t="s">
        <v>30</v>
      </c>
      <c r="I3796">
        <v>26</v>
      </c>
      <c r="J3796" t="s">
        <v>77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23</v>
      </c>
      <c r="R3796">
        <v>0</v>
      </c>
    </row>
    <row r="3797" spans="1:18">
      <c r="A3797" s="4">
        <v>17693800000000</v>
      </c>
      <c r="B3797" t="s">
        <v>28</v>
      </c>
      <c r="C3797">
        <v>0</v>
      </c>
      <c r="D3797" t="s">
        <v>31</v>
      </c>
      <c r="E3797" t="s">
        <v>45</v>
      </c>
      <c r="F3797" s="1">
        <v>42501</v>
      </c>
      <c r="G3797" s="1">
        <v>42503</v>
      </c>
      <c r="H3797" t="s">
        <v>21</v>
      </c>
      <c r="I3797">
        <v>2</v>
      </c>
      <c r="J3797" t="s">
        <v>109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23</v>
      </c>
      <c r="R3797">
        <v>0</v>
      </c>
    </row>
    <row r="3798" spans="1:18">
      <c r="A3798" s="4">
        <v>4517440000000</v>
      </c>
      <c r="B3798" t="s">
        <v>28</v>
      </c>
      <c r="C3798">
        <v>52</v>
      </c>
      <c r="D3798" t="s">
        <v>35</v>
      </c>
      <c r="E3798" t="s">
        <v>89</v>
      </c>
      <c r="F3798" s="1">
        <v>42501</v>
      </c>
      <c r="G3798" s="1">
        <v>42509</v>
      </c>
      <c r="H3798" t="s">
        <v>33</v>
      </c>
      <c r="I3798">
        <v>8</v>
      </c>
      <c r="J3798" t="s">
        <v>92</v>
      </c>
      <c r="K3798">
        <v>0</v>
      </c>
      <c r="L3798">
        <v>1</v>
      </c>
      <c r="M3798">
        <v>0</v>
      </c>
      <c r="N3798">
        <v>1</v>
      </c>
      <c r="O3798">
        <v>0</v>
      </c>
      <c r="P3798">
        <v>0</v>
      </c>
      <c r="Q3798" t="s">
        <v>26</v>
      </c>
      <c r="R3798">
        <v>1</v>
      </c>
    </row>
    <row r="3799" spans="1:18">
      <c r="A3799" s="4">
        <v>13429200000000</v>
      </c>
      <c r="B3799" t="s">
        <v>18</v>
      </c>
      <c r="C3799">
        <v>39</v>
      </c>
      <c r="D3799" t="s">
        <v>27</v>
      </c>
      <c r="E3799" t="s">
        <v>38</v>
      </c>
      <c r="F3799" s="1">
        <v>42501</v>
      </c>
      <c r="G3799" s="1">
        <v>42508</v>
      </c>
      <c r="H3799" t="s">
        <v>25</v>
      </c>
      <c r="I3799">
        <v>7</v>
      </c>
      <c r="J3799" t="s">
        <v>107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23</v>
      </c>
      <c r="R3799">
        <v>0</v>
      </c>
    </row>
    <row r="3800" spans="1:18">
      <c r="A3800" s="4">
        <v>923566000000000</v>
      </c>
      <c r="B3800" t="s">
        <v>28</v>
      </c>
      <c r="C3800">
        <v>53</v>
      </c>
      <c r="D3800" t="s">
        <v>35</v>
      </c>
      <c r="E3800" t="s">
        <v>58</v>
      </c>
      <c r="F3800" s="1">
        <v>42501</v>
      </c>
      <c r="G3800" s="1">
        <v>42506</v>
      </c>
      <c r="H3800" t="s">
        <v>30</v>
      </c>
      <c r="I3800">
        <v>5</v>
      </c>
      <c r="J3800" t="s">
        <v>107</v>
      </c>
      <c r="K3800">
        <v>0</v>
      </c>
      <c r="L3800">
        <v>1</v>
      </c>
      <c r="M3800">
        <v>0</v>
      </c>
      <c r="N3800">
        <v>1</v>
      </c>
      <c r="O3800">
        <v>0</v>
      </c>
      <c r="P3800">
        <v>0</v>
      </c>
      <c r="Q3800" t="s">
        <v>23</v>
      </c>
      <c r="R3800">
        <v>0</v>
      </c>
    </row>
    <row r="3801" spans="1:18">
      <c r="A3801" s="4">
        <v>386621000000000</v>
      </c>
      <c r="B3801" t="s">
        <v>28</v>
      </c>
      <c r="C3801">
        <v>48</v>
      </c>
      <c r="D3801" t="s">
        <v>27</v>
      </c>
      <c r="E3801" t="s">
        <v>101</v>
      </c>
      <c r="F3801" s="1">
        <v>42501</v>
      </c>
      <c r="G3801" s="1">
        <v>42501</v>
      </c>
      <c r="H3801" t="s">
        <v>25</v>
      </c>
      <c r="I3801">
        <v>0</v>
      </c>
      <c r="J3801" t="s">
        <v>111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23</v>
      </c>
      <c r="R3801">
        <v>0</v>
      </c>
    </row>
    <row r="3802" spans="1:18">
      <c r="A3802" s="4">
        <v>3417840000000</v>
      </c>
      <c r="B3802" t="s">
        <v>18</v>
      </c>
      <c r="C3802">
        <v>61</v>
      </c>
      <c r="D3802" t="s">
        <v>35</v>
      </c>
      <c r="E3802" t="s">
        <v>97</v>
      </c>
      <c r="F3802" s="1">
        <v>42501</v>
      </c>
      <c r="G3802" s="1">
        <v>42501</v>
      </c>
      <c r="H3802" t="s">
        <v>25</v>
      </c>
      <c r="I3802">
        <v>0</v>
      </c>
      <c r="J3802" t="s">
        <v>111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26</v>
      </c>
      <c r="R3802">
        <v>1</v>
      </c>
    </row>
    <row r="3803" spans="1:18">
      <c r="A3803" s="4">
        <v>933583000000000</v>
      </c>
      <c r="B3803" t="s">
        <v>18</v>
      </c>
      <c r="C3803">
        <v>24</v>
      </c>
      <c r="D3803" t="s">
        <v>37</v>
      </c>
      <c r="E3803" t="s">
        <v>57</v>
      </c>
      <c r="F3803" s="1">
        <v>42501</v>
      </c>
      <c r="G3803" s="1">
        <v>42501</v>
      </c>
      <c r="H3803" t="s">
        <v>25</v>
      </c>
      <c r="I3803">
        <v>0</v>
      </c>
      <c r="J3803" t="s">
        <v>111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23</v>
      </c>
      <c r="R3803">
        <v>0</v>
      </c>
    </row>
    <row r="3804" spans="1:18">
      <c r="A3804" s="4">
        <v>96536700000000</v>
      </c>
      <c r="B3804" t="s">
        <v>18</v>
      </c>
      <c r="C3804">
        <v>2</v>
      </c>
      <c r="D3804" t="s">
        <v>31</v>
      </c>
      <c r="E3804" t="s">
        <v>54</v>
      </c>
      <c r="F3804" s="1">
        <v>42501</v>
      </c>
      <c r="G3804" s="1">
        <v>42501</v>
      </c>
      <c r="H3804" t="s">
        <v>25</v>
      </c>
      <c r="I3804">
        <v>0</v>
      </c>
      <c r="J3804" t="s">
        <v>111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23</v>
      </c>
      <c r="R3804">
        <v>0</v>
      </c>
    </row>
    <row r="3805" spans="1:18">
      <c r="A3805" s="4">
        <v>145520000000000</v>
      </c>
      <c r="B3805" t="s">
        <v>18</v>
      </c>
      <c r="C3805">
        <v>16</v>
      </c>
      <c r="D3805" t="s">
        <v>60</v>
      </c>
      <c r="E3805" t="s">
        <v>61</v>
      </c>
      <c r="F3805" s="1">
        <v>42501</v>
      </c>
      <c r="G3805" s="1">
        <v>42501</v>
      </c>
      <c r="H3805" t="s">
        <v>25</v>
      </c>
      <c r="I3805">
        <v>0</v>
      </c>
      <c r="J3805" t="s">
        <v>111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23</v>
      </c>
      <c r="R3805">
        <v>0</v>
      </c>
    </row>
    <row r="3806" spans="1:18">
      <c r="A3806" s="4">
        <v>85987700000000</v>
      </c>
      <c r="B3806" t="s">
        <v>18</v>
      </c>
      <c r="C3806">
        <v>17</v>
      </c>
      <c r="D3806" t="s">
        <v>60</v>
      </c>
      <c r="E3806" t="s">
        <v>65</v>
      </c>
      <c r="F3806" s="1">
        <v>42501</v>
      </c>
      <c r="G3806" s="1">
        <v>42501</v>
      </c>
      <c r="H3806" t="s">
        <v>25</v>
      </c>
      <c r="I3806">
        <v>0</v>
      </c>
      <c r="J3806" t="s">
        <v>111</v>
      </c>
      <c r="K3806">
        <v>1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23</v>
      </c>
      <c r="R3806">
        <v>0</v>
      </c>
    </row>
    <row r="3807" spans="1:18">
      <c r="A3807" s="4">
        <v>4229140000000</v>
      </c>
      <c r="B3807" t="s">
        <v>18</v>
      </c>
      <c r="C3807">
        <v>93</v>
      </c>
      <c r="D3807" t="s">
        <v>19</v>
      </c>
      <c r="E3807" t="s">
        <v>57</v>
      </c>
      <c r="F3807" s="1">
        <v>42501</v>
      </c>
      <c r="G3807" s="1">
        <v>42502</v>
      </c>
      <c r="H3807" t="s">
        <v>33</v>
      </c>
      <c r="I3807">
        <v>1</v>
      </c>
      <c r="J3807" t="s">
        <v>109</v>
      </c>
      <c r="K3807">
        <v>0</v>
      </c>
      <c r="L3807">
        <v>1</v>
      </c>
      <c r="M3807">
        <v>0</v>
      </c>
      <c r="N3807">
        <v>0</v>
      </c>
      <c r="O3807">
        <v>0</v>
      </c>
      <c r="P3807">
        <v>0</v>
      </c>
      <c r="Q3807" t="s">
        <v>23</v>
      </c>
      <c r="R3807">
        <v>0</v>
      </c>
    </row>
    <row r="3808" spans="1:18">
      <c r="A3808" s="4">
        <v>66379100000000</v>
      </c>
      <c r="B3808" t="s">
        <v>18</v>
      </c>
      <c r="C3808">
        <v>33</v>
      </c>
      <c r="D3808" t="s">
        <v>37</v>
      </c>
      <c r="E3808" t="s">
        <v>71</v>
      </c>
      <c r="F3808" s="1">
        <v>42501</v>
      </c>
      <c r="G3808" s="1">
        <v>42501</v>
      </c>
      <c r="H3808" t="s">
        <v>25</v>
      </c>
      <c r="I3808">
        <v>0</v>
      </c>
      <c r="J3808" t="s">
        <v>111</v>
      </c>
      <c r="K3808">
        <v>1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23</v>
      </c>
      <c r="R3808">
        <v>0</v>
      </c>
    </row>
    <row r="3809" spans="1:18">
      <c r="A3809" s="4">
        <v>165726000000000</v>
      </c>
      <c r="B3809" t="s">
        <v>18</v>
      </c>
      <c r="C3809">
        <v>25</v>
      </c>
      <c r="D3809" t="s">
        <v>37</v>
      </c>
      <c r="E3809" t="s">
        <v>59</v>
      </c>
      <c r="F3809" s="1">
        <v>42501</v>
      </c>
      <c r="G3809" s="1">
        <v>42501</v>
      </c>
      <c r="H3809" t="s">
        <v>25</v>
      </c>
      <c r="I3809">
        <v>0</v>
      </c>
      <c r="J3809" t="s">
        <v>111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23</v>
      </c>
      <c r="R3809">
        <v>0</v>
      </c>
    </row>
    <row r="3810" spans="1:18">
      <c r="A3810" s="4">
        <v>416292000000000</v>
      </c>
      <c r="B3810" t="s">
        <v>18</v>
      </c>
      <c r="C3810">
        <v>50</v>
      </c>
      <c r="D3810" t="s">
        <v>27</v>
      </c>
      <c r="E3810" t="s">
        <v>96</v>
      </c>
      <c r="F3810" s="1">
        <v>42501</v>
      </c>
      <c r="G3810" s="1">
        <v>42501</v>
      </c>
      <c r="H3810" t="s">
        <v>25</v>
      </c>
      <c r="I3810">
        <v>0</v>
      </c>
      <c r="J3810" t="s">
        <v>111</v>
      </c>
      <c r="K3810">
        <v>0</v>
      </c>
      <c r="L3810">
        <v>1</v>
      </c>
      <c r="M3810">
        <v>0</v>
      </c>
      <c r="N3810">
        <v>0</v>
      </c>
      <c r="O3810">
        <v>0</v>
      </c>
      <c r="P3810">
        <v>0</v>
      </c>
      <c r="Q3810" t="s">
        <v>23</v>
      </c>
      <c r="R3810">
        <v>0</v>
      </c>
    </row>
    <row r="3811" spans="1:18">
      <c r="A3811" s="4">
        <v>592828000000</v>
      </c>
      <c r="B3811" t="s">
        <v>28</v>
      </c>
      <c r="C3811">
        <v>65</v>
      </c>
      <c r="D3811" t="s">
        <v>35</v>
      </c>
      <c r="E3811" t="s">
        <v>29</v>
      </c>
      <c r="F3811" s="1">
        <v>42501</v>
      </c>
      <c r="G3811" s="1">
        <v>42501</v>
      </c>
      <c r="H3811" t="s">
        <v>25</v>
      </c>
      <c r="I3811">
        <v>0</v>
      </c>
      <c r="J3811" t="s">
        <v>111</v>
      </c>
      <c r="K3811">
        <v>0</v>
      </c>
      <c r="L3811">
        <v>1</v>
      </c>
      <c r="M3811">
        <v>0</v>
      </c>
      <c r="N3811">
        <v>0</v>
      </c>
      <c r="O3811">
        <v>0</v>
      </c>
      <c r="P3811">
        <v>0</v>
      </c>
      <c r="Q3811" t="s">
        <v>23</v>
      </c>
      <c r="R3811">
        <v>0</v>
      </c>
    </row>
    <row r="3812" spans="1:18">
      <c r="A3812" s="4">
        <v>115328000000</v>
      </c>
      <c r="B3812" t="s">
        <v>18</v>
      </c>
      <c r="C3812">
        <v>74</v>
      </c>
      <c r="D3812" t="s">
        <v>19</v>
      </c>
      <c r="E3812" t="s">
        <v>65</v>
      </c>
      <c r="F3812" s="1">
        <v>42501</v>
      </c>
      <c r="G3812" s="1">
        <v>42503</v>
      </c>
      <c r="H3812" t="s">
        <v>21</v>
      </c>
      <c r="I3812">
        <v>2</v>
      </c>
      <c r="J3812" t="s">
        <v>109</v>
      </c>
      <c r="K3812">
        <v>0</v>
      </c>
      <c r="L3812">
        <v>1</v>
      </c>
      <c r="M3812">
        <v>0</v>
      </c>
      <c r="N3812">
        <v>0</v>
      </c>
      <c r="O3812">
        <v>0</v>
      </c>
      <c r="P3812">
        <v>0</v>
      </c>
      <c r="Q3812" t="s">
        <v>23</v>
      </c>
      <c r="R3812">
        <v>0</v>
      </c>
    </row>
    <row r="3813" spans="1:18">
      <c r="A3813" s="4">
        <v>54782200000000</v>
      </c>
      <c r="B3813" t="s">
        <v>18</v>
      </c>
      <c r="C3813">
        <v>46</v>
      </c>
      <c r="D3813" t="s">
        <v>27</v>
      </c>
      <c r="E3813" t="s">
        <v>72</v>
      </c>
      <c r="F3813" s="1">
        <v>42501</v>
      </c>
      <c r="G3813" s="1">
        <v>42501</v>
      </c>
      <c r="H3813" t="s">
        <v>25</v>
      </c>
      <c r="I3813">
        <v>0</v>
      </c>
      <c r="J3813" t="s">
        <v>111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23</v>
      </c>
      <c r="R3813">
        <v>0</v>
      </c>
    </row>
    <row r="3814" spans="1:18">
      <c r="A3814" s="4">
        <v>472248000000000</v>
      </c>
      <c r="B3814" t="s">
        <v>18</v>
      </c>
      <c r="C3814">
        <v>20</v>
      </c>
      <c r="D3814" t="s">
        <v>37</v>
      </c>
      <c r="E3814" t="s">
        <v>43</v>
      </c>
      <c r="F3814" s="1">
        <v>42501</v>
      </c>
      <c r="G3814" s="1">
        <v>42508</v>
      </c>
      <c r="H3814" t="s">
        <v>25</v>
      </c>
      <c r="I3814">
        <v>7</v>
      </c>
      <c r="J3814" t="s">
        <v>107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23</v>
      </c>
      <c r="R3814">
        <v>0</v>
      </c>
    </row>
    <row r="3815" spans="1:18">
      <c r="A3815" s="4">
        <v>314587000000000</v>
      </c>
      <c r="B3815" t="s">
        <v>18</v>
      </c>
      <c r="C3815">
        <v>36</v>
      </c>
      <c r="D3815" t="s">
        <v>27</v>
      </c>
      <c r="E3815" t="s">
        <v>64</v>
      </c>
      <c r="F3815" s="1">
        <v>42501</v>
      </c>
      <c r="G3815" s="1">
        <v>42501</v>
      </c>
      <c r="H3815" t="s">
        <v>25</v>
      </c>
      <c r="I3815">
        <v>0</v>
      </c>
      <c r="J3815" t="s">
        <v>111</v>
      </c>
      <c r="K3815">
        <v>1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23</v>
      </c>
      <c r="R3815">
        <v>0</v>
      </c>
    </row>
    <row r="3816" spans="1:18">
      <c r="A3816" s="4">
        <v>65959800000000</v>
      </c>
      <c r="B3816" t="s">
        <v>18</v>
      </c>
      <c r="C3816">
        <v>65</v>
      </c>
      <c r="D3816" t="s">
        <v>35</v>
      </c>
      <c r="E3816" t="s">
        <v>57</v>
      </c>
      <c r="F3816" s="1">
        <v>42501</v>
      </c>
      <c r="G3816" s="1">
        <v>42501</v>
      </c>
      <c r="H3816" t="s">
        <v>25</v>
      </c>
      <c r="I3816">
        <v>0</v>
      </c>
      <c r="J3816" t="s">
        <v>111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23</v>
      </c>
      <c r="R3816">
        <v>0</v>
      </c>
    </row>
    <row r="3817" spans="1:18">
      <c r="A3817" s="4">
        <v>28649700000000</v>
      </c>
      <c r="B3817" t="s">
        <v>28</v>
      </c>
      <c r="C3817">
        <v>49</v>
      </c>
      <c r="D3817" t="s">
        <v>27</v>
      </c>
      <c r="E3817" t="s">
        <v>80</v>
      </c>
      <c r="F3817" s="1">
        <v>42501</v>
      </c>
      <c r="G3817" s="1">
        <v>42501</v>
      </c>
      <c r="H3817" t="s">
        <v>25</v>
      </c>
      <c r="I3817">
        <v>0</v>
      </c>
      <c r="J3817" t="s">
        <v>111</v>
      </c>
      <c r="K3817">
        <v>0</v>
      </c>
      <c r="L3817">
        <v>0</v>
      </c>
      <c r="M3817">
        <v>0</v>
      </c>
      <c r="N3817">
        <v>0</v>
      </c>
      <c r="O3817">
        <v>1</v>
      </c>
      <c r="P3817">
        <v>0</v>
      </c>
      <c r="Q3817" t="s">
        <v>23</v>
      </c>
      <c r="R3817">
        <v>0</v>
      </c>
    </row>
    <row r="3818" spans="1:18">
      <c r="A3818" s="4">
        <v>364522000000</v>
      </c>
      <c r="B3818" t="s">
        <v>28</v>
      </c>
      <c r="C3818">
        <v>9</v>
      </c>
      <c r="D3818" t="s">
        <v>31</v>
      </c>
      <c r="E3818" t="s">
        <v>59</v>
      </c>
      <c r="F3818" s="1">
        <v>42501</v>
      </c>
      <c r="G3818" s="1">
        <v>42501</v>
      </c>
      <c r="H3818" t="s">
        <v>25</v>
      </c>
      <c r="I3818">
        <v>0</v>
      </c>
      <c r="J3818" t="s">
        <v>111</v>
      </c>
      <c r="K3818">
        <v>1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26</v>
      </c>
      <c r="R3818">
        <v>1</v>
      </c>
    </row>
    <row r="3819" spans="1:18">
      <c r="A3819" s="4">
        <v>8464660000000</v>
      </c>
      <c r="B3819" t="s">
        <v>28</v>
      </c>
      <c r="C3819">
        <v>21</v>
      </c>
      <c r="D3819" t="s">
        <v>37</v>
      </c>
      <c r="E3819" t="s">
        <v>112</v>
      </c>
      <c r="F3819" s="1">
        <v>42501</v>
      </c>
      <c r="G3819" s="1">
        <v>42503</v>
      </c>
      <c r="H3819" t="s">
        <v>21</v>
      </c>
      <c r="I3819">
        <v>2</v>
      </c>
      <c r="J3819" t="s">
        <v>109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26</v>
      </c>
      <c r="R3819">
        <v>1</v>
      </c>
    </row>
    <row r="3820" spans="1:18">
      <c r="A3820" s="4">
        <v>367435000000000</v>
      </c>
      <c r="B3820" t="s">
        <v>18</v>
      </c>
      <c r="C3820">
        <v>80</v>
      </c>
      <c r="D3820" t="s">
        <v>19</v>
      </c>
      <c r="E3820" t="s">
        <v>63</v>
      </c>
      <c r="F3820" s="1">
        <v>42501</v>
      </c>
      <c r="G3820" s="1">
        <v>42503</v>
      </c>
      <c r="H3820" t="s">
        <v>21</v>
      </c>
      <c r="I3820">
        <v>2</v>
      </c>
      <c r="J3820" t="s">
        <v>109</v>
      </c>
      <c r="K3820">
        <v>0</v>
      </c>
      <c r="L3820">
        <v>1</v>
      </c>
      <c r="M3820">
        <v>0</v>
      </c>
      <c r="N3820">
        <v>0</v>
      </c>
      <c r="O3820">
        <v>0</v>
      </c>
      <c r="P3820">
        <v>0</v>
      </c>
      <c r="Q3820" t="s">
        <v>23</v>
      </c>
      <c r="R3820">
        <v>0</v>
      </c>
    </row>
    <row r="3821" spans="1:18">
      <c r="A3821" s="4">
        <v>8451970000000</v>
      </c>
      <c r="B3821" t="s">
        <v>18</v>
      </c>
      <c r="C3821">
        <v>19</v>
      </c>
      <c r="D3821" t="s">
        <v>37</v>
      </c>
      <c r="E3821" t="s">
        <v>78</v>
      </c>
      <c r="F3821" s="1">
        <v>42501</v>
      </c>
      <c r="G3821" s="1">
        <v>42515</v>
      </c>
      <c r="H3821" t="s">
        <v>25</v>
      </c>
      <c r="I3821">
        <v>14</v>
      </c>
      <c r="J3821" t="s">
        <v>92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1</v>
      </c>
      <c r="Q3821" t="s">
        <v>23</v>
      </c>
      <c r="R3821">
        <v>0</v>
      </c>
    </row>
    <row r="3822" spans="1:18">
      <c r="A3822" s="4">
        <v>63564000000000</v>
      </c>
      <c r="B3822" t="s">
        <v>18</v>
      </c>
      <c r="C3822">
        <v>50</v>
      </c>
      <c r="D3822" t="s">
        <v>27</v>
      </c>
      <c r="E3822" t="s">
        <v>97</v>
      </c>
      <c r="F3822" s="1">
        <v>42501</v>
      </c>
      <c r="G3822" s="1">
        <v>42521</v>
      </c>
      <c r="H3822" t="s">
        <v>41</v>
      </c>
      <c r="I3822">
        <v>20</v>
      </c>
      <c r="J3822" t="s">
        <v>77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1</v>
      </c>
      <c r="Q3822" t="s">
        <v>23</v>
      </c>
      <c r="R3822">
        <v>0</v>
      </c>
    </row>
    <row r="3823" spans="1:18">
      <c r="A3823" s="4">
        <v>9253480000000</v>
      </c>
      <c r="B3823" t="s">
        <v>18</v>
      </c>
      <c r="C3823">
        <v>17</v>
      </c>
      <c r="D3823" t="s">
        <v>60</v>
      </c>
      <c r="E3823" t="s">
        <v>96</v>
      </c>
      <c r="F3823" s="1">
        <v>42501</v>
      </c>
      <c r="G3823" s="1">
        <v>42509</v>
      </c>
      <c r="H3823" t="s">
        <v>33</v>
      </c>
      <c r="I3823">
        <v>8</v>
      </c>
      <c r="J3823" t="s">
        <v>92</v>
      </c>
      <c r="K3823">
        <v>1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23</v>
      </c>
      <c r="R3823">
        <v>0</v>
      </c>
    </row>
    <row r="3824" spans="1:18">
      <c r="A3824" s="4">
        <v>552652000000</v>
      </c>
      <c r="B3824" t="s">
        <v>18</v>
      </c>
      <c r="C3824">
        <v>32</v>
      </c>
      <c r="D3824" t="s">
        <v>37</v>
      </c>
      <c r="E3824" t="s">
        <v>39</v>
      </c>
      <c r="F3824" s="1">
        <v>42501</v>
      </c>
      <c r="G3824" s="1">
        <v>42501</v>
      </c>
      <c r="H3824" t="s">
        <v>25</v>
      </c>
      <c r="I3824">
        <v>0</v>
      </c>
      <c r="J3824" t="s">
        <v>111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23</v>
      </c>
      <c r="R3824">
        <v>0</v>
      </c>
    </row>
    <row r="3825" spans="1:18">
      <c r="A3825" s="4">
        <v>7859970000000</v>
      </c>
      <c r="B3825" t="s">
        <v>28</v>
      </c>
      <c r="C3825">
        <v>2</v>
      </c>
      <c r="D3825" t="s">
        <v>31</v>
      </c>
      <c r="E3825" t="s">
        <v>67</v>
      </c>
      <c r="F3825" s="1">
        <v>42501</v>
      </c>
      <c r="G3825" s="1">
        <v>42527</v>
      </c>
      <c r="H3825" t="s">
        <v>30</v>
      </c>
      <c r="I3825">
        <v>26</v>
      </c>
      <c r="J3825" t="s">
        <v>77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1</v>
      </c>
      <c r="Q3825" t="s">
        <v>23</v>
      </c>
      <c r="R3825">
        <v>0</v>
      </c>
    </row>
    <row r="3826" spans="1:18">
      <c r="A3826" s="4">
        <v>98544300000000</v>
      </c>
      <c r="B3826" t="s">
        <v>28</v>
      </c>
      <c r="C3826">
        <v>6</v>
      </c>
      <c r="D3826" t="s">
        <v>31</v>
      </c>
      <c r="E3826" t="s">
        <v>62</v>
      </c>
      <c r="F3826" s="1">
        <v>42501</v>
      </c>
      <c r="G3826" s="1">
        <v>42503</v>
      </c>
      <c r="H3826" t="s">
        <v>21</v>
      </c>
      <c r="I3826">
        <v>2</v>
      </c>
      <c r="J3826" t="s">
        <v>109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23</v>
      </c>
      <c r="R3826">
        <v>0</v>
      </c>
    </row>
    <row r="3827" spans="1:18">
      <c r="A3827" s="4">
        <v>5315860000000</v>
      </c>
      <c r="B3827" t="s">
        <v>18</v>
      </c>
      <c r="C3827">
        <v>39</v>
      </c>
      <c r="D3827" t="s">
        <v>27</v>
      </c>
      <c r="E3827" t="s">
        <v>38</v>
      </c>
      <c r="F3827" s="1">
        <v>42501</v>
      </c>
      <c r="G3827" s="1">
        <v>42515</v>
      </c>
      <c r="H3827" t="s">
        <v>25</v>
      </c>
      <c r="I3827">
        <v>14</v>
      </c>
      <c r="J3827" t="s">
        <v>92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1</v>
      </c>
      <c r="Q3827" t="s">
        <v>23</v>
      </c>
      <c r="R3827">
        <v>0</v>
      </c>
    </row>
    <row r="3828" spans="1:18">
      <c r="A3828" s="4">
        <v>87629200000000</v>
      </c>
      <c r="B3828" t="s">
        <v>18</v>
      </c>
      <c r="C3828">
        <v>64</v>
      </c>
      <c r="D3828" t="s">
        <v>35</v>
      </c>
      <c r="E3828" t="s">
        <v>39</v>
      </c>
      <c r="F3828" s="1">
        <v>42501</v>
      </c>
      <c r="G3828" s="1">
        <v>42501</v>
      </c>
      <c r="H3828" t="s">
        <v>25</v>
      </c>
      <c r="I3828">
        <v>0</v>
      </c>
      <c r="J3828" t="s">
        <v>111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23</v>
      </c>
      <c r="R3828">
        <v>0</v>
      </c>
    </row>
    <row r="3829" spans="1:18">
      <c r="A3829" s="4">
        <v>748650000000</v>
      </c>
      <c r="B3829" t="s">
        <v>28</v>
      </c>
      <c r="C3829">
        <v>1</v>
      </c>
      <c r="D3829" t="s">
        <v>31</v>
      </c>
      <c r="E3829" t="s">
        <v>55</v>
      </c>
      <c r="F3829" s="1">
        <v>42501</v>
      </c>
      <c r="G3829" s="1">
        <v>42501</v>
      </c>
      <c r="H3829" t="s">
        <v>25</v>
      </c>
      <c r="I3829">
        <v>0</v>
      </c>
      <c r="J3829" t="s">
        <v>111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23</v>
      </c>
      <c r="R3829">
        <v>0</v>
      </c>
    </row>
    <row r="3830" spans="1:18">
      <c r="A3830" s="4">
        <v>717821000000000</v>
      </c>
      <c r="B3830" t="s">
        <v>28</v>
      </c>
      <c r="C3830">
        <v>40</v>
      </c>
      <c r="D3830" t="s">
        <v>27</v>
      </c>
      <c r="E3830" t="s">
        <v>80</v>
      </c>
      <c r="F3830" s="1">
        <v>42501</v>
      </c>
      <c r="G3830" s="1">
        <v>42507</v>
      </c>
      <c r="H3830" t="s">
        <v>41</v>
      </c>
      <c r="I3830">
        <v>6</v>
      </c>
      <c r="J3830" t="s">
        <v>107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26</v>
      </c>
      <c r="R3830">
        <v>1</v>
      </c>
    </row>
    <row r="3831" spans="1:18">
      <c r="A3831" s="4">
        <v>943133000000000</v>
      </c>
      <c r="B3831" t="s">
        <v>18</v>
      </c>
      <c r="C3831">
        <v>82</v>
      </c>
      <c r="D3831" t="s">
        <v>19</v>
      </c>
      <c r="E3831" t="s">
        <v>101</v>
      </c>
      <c r="F3831" s="1">
        <v>42501</v>
      </c>
      <c r="G3831" s="1">
        <v>42506</v>
      </c>
      <c r="H3831" t="s">
        <v>30</v>
      </c>
      <c r="I3831">
        <v>5</v>
      </c>
      <c r="J3831" t="s">
        <v>107</v>
      </c>
      <c r="K3831">
        <v>0</v>
      </c>
      <c r="L3831">
        <v>1</v>
      </c>
      <c r="M3831">
        <v>1</v>
      </c>
      <c r="N3831">
        <v>0</v>
      </c>
      <c r="O3831">
        <v>0</v>
      </c>
      <c r="P3831">
        <v>0</v>
      </c>
      <c r="Q3831" t="s">
        <v>23</v>
      </c>
      <c r="R3831">
        <v>0</v>
      </c>
    </row>
    <row r="3832" spans="1:18">
      <c r="A3832" s="4">
        <v>6318830000000</v>
      </c>
      <c r="B3832" t="s">
        <v>28</v>
      </c>
      <c r="C3832">
        <v>59</v>
      </c>
      <c r="D3832" t="s">
        <v>35</v>
      </c>
      <c r="E3832" t="s">
        <v>32</v>
      </c>
      <c r="F3832" s="1">
        <v>42501</v>
      </c>
      <c r="G3832" s="1">
        <v>42506</v>
      </c>
      <c r="H3832" t="s">
        <v>30</v>
      </c>
      <c r="I3832">
        <v>5</v>
      </c>
      <c r="J3832" t="s">
        <v>107</v>
      </c>
      <c r="K3832">
        <v>0</v>
      </c>
      <c r="L3832">
        <v>1</v>
      </c>
      <c r="M3832">
        <v>0</v>
      </c>
      <c r="N3832">
        <v>1</v>
      </c>
      <c r="O3832">
        <v>0</v>
      </c>
      <c r="P3832">
        <v>0</v>
      </c>
      <c r="Q3832" t="s">
        <v>26</v>
      </c>
      <c r="R3832">
        <v>1</v>
      </c>
    </row>
    <row r="3833" spans="1:18">
      <c r="A3833" s="4">
        <v>83448486233</v>
      </c>
      <c r="B3833" t="s">
        <v>18</v>
      </c>
      <c r="C3833">
        <v>32</v>
      </c>
      <c r="D3833" t="s">
        <v>37</v>
      </c>
      <c r="E3833" t="s">
        <v>66</v>
      </c>
      <c r="F3833" s="1">
        <v>42501</v>
      </c>
      <c r="G3833" s="1">
        <v>42508</v>
      </c>
      <c r="H3833" t="s">
        <v>25</v>
      </c>
      <c r="I3833">
        <v>7</v>
      </c>
      <c r="J3833" t="s">
        <v>107</v>
      </c>
      <c r="K3833">
        <v>1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26</v>
      </c>
      <c r="R3833">
        <v>1</v>
      </c>
    </row>
    <row r="3834" spans="1:18">
      <c r="A3834" s="4">
        <v>4844650000000</v>
      </c>
      <c r="B3834" t="s">
        <v>18</v>
      </c>
      <c r="C3834">
        <v>60</v>
      </c>
      <c r="D3834" t="s">
        <v>35</v>
      </c>
      <c r="E3834" t="s">
        <v>61</v>
      </c>
      <c r="F3834" s="1">
        <v>42501</v>
      </c>
      <c r="G3834" s="1">
        <v>42508</v>
      </c>
      <c r="H3834" t="s">
        <v>25</v>
      </c>
      <c r="I3834">
        <v>7</v>
      </c>
      <c r="J3834" t="s">
        <v>107</v>
      </c>
      <c r="K3834">
        <v>0</v>
      </c>
      <c r="L3834">
        <v>1</v>
      </c>
      <c r="M3834">
        <v>0</v>
      </c>
      <c r="N3834">
        <v>0</v>
      </c>
      <c r="O3834">
        <v>0</v>
      </c>
      <c r="P3834">
        <v>0</v>
      </c>
      <c r="Q3834" t="s">
        <v>23</v>
      </c>
      <c r="R3834">
        <v>0</v>
      </c>
    </row>
    <row r="3835" spans="1:18">
      <c r="A3835" s="4">
        <v>56168600000000</v>
      </c>
      <c r="B3835" t="s">
        <v>18</v>
      </c>
      <c r="C3835">
        <v>70</v>
      </c>
      <c r="D3835" t="s">
        <v>19</v>
      </c>
      <c r="E3835" t="s">
        <v>54</v>
      </c>
      <c r="F3835" s="1">
        <v>42501</v>
      </c>
      <c r="G3835" s="1">
        <v>42506</v>
      </c>
      <c r="H3835" t="s">
        <v>30</v>
      </c>
      <c r="I3835">
        <v>5</v>
      </c>
      <c r="J3835" t="s">
        <v>107</v>
      </c>
      <c r="K3835">
        <v>1</v>
      </c>
      <c r="L3835">
        <v>1</v>
      </c>
      <c r="M3835">
        <v>0</v>
      </c>
      <c r="N3835">
        <v>1</v>
      </c>
      <c r="O3835">
        <v>0</v>
      </c>
      <c r="P3835">
        <v>0</v>
      </c>
      <c r="Q3835" t="s">
        <v>26</v>
      </c>
      <c r="R3835">
        <v>1</v>
      </c>
    </row>
    <row r="3836" spans="1:18">
      <c r="A3836" s="4">
        <v>3764170000000</v>
      </c>
      <c r="B3836" t="s">
        <v>18</v>
      </c>
      <c r="C3836">
        <v>80</v>
      </c>
      <c r="D3836" t="s">
        <v>19</v>
      </c>
      <c r="E3836" t="s">
        <v>43</v>
      </c>
      <c r="F3836" s="1">
        <v>42501</v>
      </c>
      <c r="G3836" s="1">
        <v>42520</v>
      </c>
      <c r="H3836" t="s">
        <v>30</v>
      </c>
      <c r="I3836">
        <v>19</v>
      </c>
      <c r="J3836" t="s">
        <v>77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1</v>
      </c>
      <c r="Q3836" t="s">
        <v>26</v>
      </c>
      <c r="R3836">
        <v>1</v>
      </c>
    </row>
    <row r="3837" spans="1:18">
      <c r="A3837" s="4">
        <v>558273000000</v>
      </c>
      <c r="B3837" t="s">
        <v>18</v>
      </c>
      <c r="C3837">
        <v>52</v>
      </c>
      <c r="D3837" t="s">
        <v>35</v>
      </c>
      <c r="E3837" t="s">
        <v>85</v>
      </c>
      <c r="F3837" s="1">
        <v>42501</v>
      </c>
      <c r="G3837" s="1">
        <v>42524</v>
      </c>
      <c r="H3837" t="s">
        <v>21</v>
      </c>
      <c r="I3837">
        <v>23</v>
      </c>
      <c r="J3837" t="s">
        <v>77</v>
      </c>
      <c r="K3837">
        <v>0</v>
      </c>
      <c r="L3837">
        <v>1</v>
      </c>
      <c r="M3837">
        <v>0</v>
      </c>
      <c r="N3837">
        <v>0</v>
      </c>
      <c r="O3837">
        <v>0</v>
      </c>
      <c r="P3837">
        <v>1</v>
      </c>
      <c r="Q3837" t="s">
        <v>23</v>
      </c>
      <c r="R3837">
        <v>0</v>
      </c>
    </row>
    <row r="3838" spans="1:18">
      <c r="A3838" s="4">
        <v>922653000000</v>
      </c>
      <c r="B3838" t="s">
        <v>18</v>
      </c>
      <c r="C3838">
        <v>42</v>
      </c>
      <c r="D3838" t="s">
        <v>27</v>
      </c>
      <c r="E3838" t="s">
        <v>96</v>
      </c>
      <c r="F3838" s="1">
        <v>42501</v>
      </c>
      <c r="G3838" s="1">
        <v>42501</v>
      </c>
      <c r="H3838" t="s">
        <v>25</v>
      </c>
      <c r="I3838">
        <v>0</v>
      </c>
      <c r="J3838" t="s">
        <v>111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23</v>
      </c>
      <c r="R3838">
        <v>0</v>
      </c>
    </row>
    <row r="3839" spans="1:18">
      <c r="A3839" s="4">
        <v>3222130000000</v>
      </c>
      <c r="B3839" t="s">
        <v>18</v>
      </c>
      <c r="C3839">
        <v>29</v>
      </c>
      <c r="D3839" t="s">
        <v>37</v>
      </c>
      <c r="E3839" t="s">
        <v>81</v>
      </c>
      <c r="F3839" s="1">
        <v>42501</v>
      </c>
      <c r="G3839" s="1">
        <v>42501</v>
      </c>
      <c r="H3839" t="s">
        <v>25</v>
      </c>
      <c r="I3839">
        <v>0</v>
      </c>
      <c r="J3839" t="s">
        <v>111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23</v>
      </c>
      <c r="R3839">
        <v>0</v>
      </c>
    </row>
    <row r="3840" spans="1:18">
      <c r="A3840" s="4">
        <v>941886000000000</v>
      </c>
      <c r="B3840" t="s">
        <v>18</v>
      </c>
      <c r="C3840">
        <v>25</v>
      </c>
      <c r="D3840" t="s">
        <v>37</v>
      </c>
      <c r="E3840" t="s">
        <v>39</v>
      </c>
      <c r="F3840" s="1">
        <v>42501</v>
      </c>
      <c r="G3840" s="1">
        <v>42506</v>
      </c>
      <c r="H3840" t="s">
        <v>30</v>
      </c>
      <c r="I3840">
        <v>5</v>
      </c>
      <c r="J3840" t="s">
        <v>107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26</v>
      </c>
      <c r="R3840">
        <v>1</v>
      </c>
    </row>
    <row r="3841" spans="1:18">
      <c r="A3841" s="4">
        <v>2453950000000</v>
      </c>
      <c r="B3841" t="s">
        <v>18</v>
      </c>
      <c r="C3841">
        <v>18</v>
      </c>
      <c r="D3841" t="s">
        <v>37</v>
      </c>
      <c r="E3841" t="s">
        <v>20</v>
      </c>
      <c r="F3841" s="1">
        <v>42501</v>
      </c>
      <c r="G3841" s="1">
        <v>42514</v>
      </c>
      <c r="H3841" t="s">
        <v>41</v>
      </c>
      <c r="I3841">
        <v>13</v>
      </c>
      <c r="J3841" t="s">
        <v>92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1</v>
      </c>
      <c r="Q3841" t="s">
        <v>23</v>
      </c>
      <c r="R3841">
        <v>0</v>
      </c>
    </row>
    <row r="3842" spans="1:18">
      <c r="A3842" s="4">
        <v>3119240000000</v>
      </c>
      <c r="B3842" t="s">
        <v>18</v>
      </c>
      <c r="C3842">
        <v>64</v>
      </c>
      <c r="D3842" t="s">
        <v>35</v>
      </c>
      <c r="E3842" t="s">
        <v>72</v>
      </c>
      <c r="F3842" s="1">
        <v>42501</v>
      </c>
      <c r="G3842" s="1">
        <v>42507</v>
      </c>
      <c r="H3842" t="s">
        <v>41</v>
      </c>
      <c r="I3842">
        <v>6</v>
      </c>
      <c r="J3842" t="s">
        <v>107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23</v>
      </c>
      <c r="R3842">
        <v>0</v>
      </c>
    </row>
    <row r="3843" spans="1:18">
      <c r="A3843" s="4">
        <v>5579920000000</v>
      </c>
      <c r="B3843" t="s">
        <v>18</v>
      </c>
      <c r="C3843">
        <v>42</v>
      </c>
      <c r="D3843" t="s">
        <v>27</v>
      </c>
      <c r="E3843" t="s">
        <v>32</v>
      </c>
      <c r="F3843" s="1">
        <v>42501</v>
      </c>
      <c r="G3843" s="1">
        <v>42502</v>
      </c>
      <c r="H3843" t="s">
        <v>33</v>
      </c>
      <c r="I3843">
        <v>1</v>
      </c>
      <c r="J3843" t="s">
        <v>109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23</v>
      </c>
      <c r="R3843">
        <v>0</v>
      </c>
    </row>
    <row r="3844" spans="1:18">
      <c r="A3844" s="4">
        <v>324297000000000</v>
      </c>
      <c r="B3844" t="s">
        <v>18</v>
      </c>
      <c r="C3844">
        <v>26</v>
      </c>
      <c r="D3844" t="s">
        <v>37</v>
      </c>
      <c r="E3844" t="s">
        <v>96</v>
      </c>
      <c r="F3844" s="1">
        <v>42501</v>
      </c>
      <c r="G3844" s="1">
        <v>42521</v>
      </c>
      <c r="H3844" t="s">
        <v>41</v>
      </c>
      <c r="I3844">
        <v>20</v>
      </c>
      <c r="J3844" t="s">
        <v>77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1</v>
      </c>
      <c r="Q3844" t="s">
        <v>23</v>
      </c>
      <c r="R3844">
        <v>0</v>
      </c>
    </row>
    <row r="3845" spans="1:18">
      <c r="A3845" s="4">
        <v>94479800000000</v>
      </c>
      <c r="B3845" t="s">
        <v>18</v>
      </c>
      <c r="C3845">
        <v>54</v>
      </c>
      <c r="D3845" t="s">
        <v>35</v>
      </c>
      <c r="E3845" t="s">
        <v>72</v>
      </c>
      <c r="F3845" s="1">
        <v>42501</v>
      </c>
      <c r="G3845" s="1">
        <v>42509</v>
      </c>
      <c r="H3845" t="s">
        <v>33</v>
      </c>
      <c r="I3845">
        <v>8</v>
      </c>
      <c r="J3845" t="s">
        <v>92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26</v>
      </c>
      <c r="R3845">
        <v>1</v>
      </c>
    </row>
    <row r="3846" spans="1:18">
      <c r="A3846" s="4">
        <v>85512124252</v>
      </c>
      <c r="B3846" t="s">
        <v>18</v>
      </c>
      <c r="C3846">
        <v>15</v>
      </c>
      <c r="D3846" t="s">
        <v>60</v>
      </c>
      <c r="E3846" t="s">
        <v>20</v>
      </c>
      <c r="F3846" s="1">
        <v>42501</v>
      </c>
      <c r="G3846" s="1">
        <v>42506</v>
      </c>
      <c r="H3846" t="s">
        <v>30</v>
      </c>
      <c r="I3846">
        <v>5</v>
      </c>
      <c r="J3846" t="s">
        <v>107</v>
      </c>
      <c r="K3846">
        <v>1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23</v>
      </c>
      <c r="R3846">
        <v>0</v>
      </c>
    </row>
    <row r="3847" spans="1:18">
      <c r="A3847" s="4">
        <v>1148250000000</v>
      </c>
      <c r="B3847" t="s">
        <v>18</v>
      </c>
      <c r="C3847">
        <v>54</v>
      </c>
      <c r="D3847" t="s">
        <v>35</v>
      </c>
      <c r="E3847" t="s">
        <v>39</v>
      </c>
      <c r="F3847" s="1">
        <v>42501</v>
      </c>
      <c r="G3847" s="1">
        <v>42501</v>
      </c>
      <c r="H3847" t="s">
        <v>25</v>
      </c>
      <c r="I3847">
        <v>0</v>
      </c>
      <c r="J3847" t="s">
        <v>111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23</v>
      </c>
      <c r="R3847">
        <v>0</v>
      </c>
    </row>
    <row r="3848" spans="1:18">
      <c r="A3848" s="4">
        <v>7611823977</v>
      </c>
      <c r="B3848" t="s">
        <v>28</v>
      </c>
      <c r="C3848">
        <v>77</v>
      </c>
      <c r="D3848" t="s">
        <v>19</v>
      </c>
      <c r="E3848" t="s">
        <v>72</v>
      </c>
      <c r="F3848" s="1">
        <v>42501</v>
      </c>
      <c r="G3848" s="1">
        <v>42501</v>
      </c>
      <c r="H3848" t="s">
        <v>25</v>
      </c>
      <c r="I3848">
        <v>0</v>
      </c>
      <c r="J3848" t="s">
        <v>111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23</v>
      </c>
      <c r="R3848">
        <v>0</v>
      </c>
    </row>
    <row r="3849" spans="1:18">
      <c r="A3849" s="4">
        <v>881325000000000</v>
      </c>
      <c r="B3849" t="s">
        <v>18</v>
      </c>
      <c r="C3849">
        <v>68</v>
      </c>
      <c r="D3849" t="s">
        <v>19</v>
      </c>
      <c r="E3849" t="s">
        <v>36</v>
      </c>
      <c r="F3849" s="1">
        <v>42501</v>
      </c>
      <c r="G3849" s="1">
        <v>42501</v>
      </c>
      <c r="H3849" t="s">
        <v>25</v>
      </c>
      <c r="I3849">
        <v>0</v>
      </c>
      <c r="J3849" t="s">
        <v>111</v>
      </c>
      <c r="K3849">
        <v>0</v>
      </c>
      <c r="L3849">
        <v>1</v>
      </c>
      <c r="M3849">
        <v>0</v>
      </c>
      <c r="N3849">
        <v>0</v>
      </c>
      <c r="O3849">
        <v>0</v>
      </c>
      <c r="P3849">
        <v>0</v>
      </c>
      <c r="Q3849" t="s">
        <v>23</v>
      </c>
      <c r="R3849">
        <v>0</v>
      </c>
    </row>
    <row r="3850" spans="1:18">
      <c r="A3850" s="4">
        <v>354756000000</v>
      </c>
      <c r="B3850" t="s">
        <v>18</v>
      </c>
      <c r="C3850">
        <v>46</v>
      </c>
      <c r="D3850" t="s">
        <v>27</v>
      </c>
      <c r="E3850" t="s">
        <v>96</v>
      </c>
      <c r="F3850" s="1">
        <v>42501</v>
      </c>
      <c r="G3850" s="1">
        <v>42510</v>
      </c>
      <c r="H3850" t="s">
        <v>21</v>
      </c>
      <c r="I3850">
        <v>9</v>
      </c>
      <c r="J3850" t="s">
        <v>92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26</v>
      </c>
      <c r="R3850">
        <v>1</v>
      </c>
    </row>
    <row r="3851" spans="1:18">
      <c r="A3851" s="4">
        <v>688838000000000</v>
      </c>
      <c r="B3851" t="s">
        <v>18</v>
      </c>
      <c r="C3851">
        <v>45</v>
      </c>
      <c r="D3851" t="s">
        <v>27</v>
      </c>
      <c r="E3851" t="s">
        <v>32</v>
      </c>
      <c r="F3851" s="1">
        <v>42501</v>
      </c>
      <c r="G3851" s="1">
        <v>42501</v>
      </c>
      <c r="H3851" t="s">
        <v>25</v>
      </c>
      <c r="I3851">
        <v>0</v>
      </c>
      <c r="J3851" t="s">
        <v>111</v>
      </c>
      <c r="K3851">
        <v>1</v>
      </c>
      <c r="L3851">
        <v>0</v>
      </c>
      <c r="M3851">
        <v>0</v>
      </c>
      <c r="N3851">
        <v>0</v>
      </c>
      <c r="O3851">
        <v>0</v>
      </c>
      <c r="P3851">
        <v>0</v>
      </c>
      <c r="Q3851" t="s">
        <v>23</v>
      </c>
      <c r="R3851">
        <v>0</v>
      </c>
    </row>
    <row r="3852" spans="1:18">
      <c r="A3852" s="4">
        <v>7796320000000</v>
      </c>
      <c r="B3852" t="s">
        <v>18</v>
      </c>
      <c r="C3852">
        <v>60</v>
      </c>
      <c r="D3852" t="s">
        <v>35</v>
      </c>
      <c r="E3852" t="s">
        <v>39</v>
      </c>
      <c r="F3852" s="1">
        <v>42501</v>
      </c>
      <c r="G3852" s="1">
        <v>42501</v>
      </c>
      <c r="H3852" t="s">
        <v>25</v>
      </c>
      <c r="I3852">
        <v>0</v>
      </c>
      <c r="J3852" t="s">
        <v>111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23</v>
      </c>
      <c r="R3852">
        <v>0</v>
      </c>
    </row>
    <row r="3853" spans="1:18">
      <c r="A3853" s="4">
        <v>558578000000000</v>
      </c>
      <c r="B3853" t="s">
        <v>18</v>
      </c>
      <c r="C3853">
        <v>39</v>
      </c>
      <c r="D3853" t="s">
        <v>27</v>
      </c>
      <c r="E3853" t="s">
        <v>39</v>
      </c>
      <c r="F3853" s="1">
        <v>42501</v>
      </c>
      <c r="G3853" s="1">
        <v>42502</v>
      </c>
      <c r="H3853" t="s">
        <v>33</v>
      </c>
      <c r="I3853">
        <v>1</v>
      </c>
      <c r="J3853" t="s">
        <v>109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26</v>
      </c>
      <c r="R3853">
        <v>1</v>
      </c>
    </row>
    <row r="3854" spans="1:18">
      <c r="A3854" s="4">
        <v>318918000000000</v>
      </c>
      <c r="B3854" t="s">
        <v>28</v>
      </c>
      <c r="C3854">
        <v>35</v>
      </c>
      <c r="D3854" t="s">
        <v>37</v>
      </c>
      <c r="E3854" t="s">
        <v>67</v>
      </c>
      <c r="F3854" s="1">
        <v>42501</v>
      </c>
      <c r="G3854" s="1">
        <v>42506</v>
      </c>
      <c r="H3854" t="s">
        <v>30</v>
      </c>
      <c r="I3854">
        <v>5</v>
      </c>
      <c r="J3854" t="s">
        <v>107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23</v>
      </c>
      <c r="R3854">
        <v>0</v>
      </c>
    </row>
    <row r="3855" spans="1:18">
      <c r="A3855" s="4">
        <v>347312000000000</v>
      </c>
      <c r="B3855" t="s">
        <v>18</v>
      </c>
      <c r="C3855">
        <v>29</v>
      </c>
      <c r="D3855" t="s">
        <v>37</v>
      </c>
      <c r="E3855" t="s">
        <v>67</v>
      </c>
      <c r="F3855" s="1">
        <v>42501</v>
      </c>
      <c r="G3855" s="1">
        <v>42502</v>
      </c>
      <c r="H3855" t="s">
        <v>33</v>
      </c>
      <c r="I3855">
        <v>1</v>
      </c>
      <c r="J3855" t="s">
        <v>109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26</v>
      </c>
      <c r="R3855">
        <v>1</v>
      </c>
    </row>
    <row r="3856" spans="1:18">
      <c r="A3856" s="4">
        <v>529543000000000</v>
      </c>
      <c r="B3856" t="s">
        <v>18</v>
      </c>
      <c r="C3856">
        <v>11</v>
      </c>
      <c r="D3856" t="s">
        <v>31</v>
      </c>
      <c r="E3856" t="s">
        <v>46</v>
      </c>
      <c r="F3856" s="1">
        <v>42501</v>
      </c>
      <c r="G3856" s="1">
        <v>42501</v>
      </c>
      <c r="H3856" t="s">
        <v>25</v>
      </c>
      <c r="I3856">
        <v>0</v>
      </c>
      <c r="J3856" t="s">
        <v>111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23</v>
      </c>
      <c r="R3856">
        <v>0</v>
      </c>
    </row>
    <row r="3857" spans="1:18">
      <c r="A3857" s="4">
        <v>354386000000</v>
      </c>
      <c r="B3857" t="s">
        <v>28</v>
      </c>
      <c r="C3857">
        <v>49</v>
      </c>
      <c r="D3857" t="s">
        <v>27</v>
      </c>
      <c r="E3857" t="s">
        <v>39</v>
      </c>
      <c r="F3857" s="1">
        <v>42501</v>
      </c>
      <c r="G3857" s="1">
        <v>42506</v>
      </c>
      <c r="H3857" t="s">
        <v>30</v>
      </c>
      <c r="I3857">
        <v>5</v>
      </c>
      <c r="J3857" t="s">
        <v>107</v>
      </c>
      <c r="K3857">
        <v>0</v>
      </c>
      <c r="L3857">
        <v>1</v>
      </c>
      <c r="M3857">
        <v>0</v>
      </c>
      <c r="N3857">
        <v>0</v>
      </c>
      <c r="O3857">
        <v>0</v>
      </c>
      <c r="P3857">
        <v>0</v>
      </c>
      <c r="Q3857" t="s">
        <v>23</v>
      </c>
      <c r="R3857">
        <v>0</v>
      </c>
    </row>
    <row r="3858" spans="1:18">
      <c r="A3858" s="4">
        <v>627757000000000</v>
      </c>
      <c r="B3858" t="s">
        <v>18</v>
      </c>
      <c r="C3858">
        <v>1</v>
      </c>
      <c r="D3858" t="s">
        <v>31</v>
      </c>
      <c r="E3858" t="s">
        <v>91</v>
      </c>
      <c r="F3858" s="1">
        <v>42501</v>
      </c>
      <c r="G3858" s="1">
        <v>42501</v>
      </c>
      <c r="H3858" t="s">
        <v>25</v>
      </c>
      <c r="I3858">
        <v>0</v>
      </c>
      <c r="J3858" t="s">
        <v>111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23</v>
      </c>
      <c r="R3858">
        <v>0</v>
      </c>
    </row>
    <row r="3859" spans="1:18">
      <c r="A3859" s="4">
        <v>46698535659</v>
      </c>
      <c r="B3859" t="s">
        <v>18</v>
      </c>
      <c r="C3859">
        <v>69</v>
      </c>
      <c r="D3859" t="s">
        <v>19</v>
      </c>
      <c r="E3859" t="s">
        <v>39</v>
      </c>
      <c r="F3859" s="1">
        <v>42501</v>
      </c>
      <c r="G3859" s="1">
        <v>42501</v>
      </c>
      <c r="H3859" t="s">
        <v>25</v>
      </c>
      <c r="I3859">
        <v>0</v>
      </c>
      <c r="J3859" t="s">
        <v>111</v>
      </c>
      <c r="K3859">
        <v>1</v>
      </c>
      <c r="L3859">
        <v>1</v>
      </c>
      <c r="M3859">
        <v>1</v>
      </c>
      <c r="N3859">
        <v>0</v>
      </c>
      <c r="O3859">
        <v>0</v>
      </c>
      <c r="P3859">
        <v>0</v>
      </c>
      <c r="Q3859" t="s">
        <v>23</v>
      </c>
      <c r="R3859">
        <v>0</v>
      </c>
    </row>
    <row r="3860" spans="1:18">
      <c r="A3860" s="4">
        <v>245283000000000</v>
      </c>
      <c r="B3860" t="s">
        <v>18</v>
      </c>
      <c r="C3860">
        <v>46</v>
      </c>
      <c r="D3860" t="s">
        <v>27</v>
      </c>
      <c r="E3860" t="s">
        <v>24</v>
      </c>
      <c r="F3860" s="1">
        <v>42501</v>
      </c>
      <c r="G3860" s="1">
        <v>42503</v>
      </c>
      <c r="H3860" t="s">
        <v>21</v>
      </c>
      <c r="I3860">
        <v>2</v>
      </c>
      <c r="J3860" t="s">
        <v>109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26</v>
      </c>
      <c r="R3860">
        <v>1</v>
      </c>
    </row>
    <row r="3861" spans="1:18">
      <c r="A3861" s="4">
        <v>2321280000000</v>
      </c>
      <c r="B3861" t="s">
        <v>28</v>
      </c>
      <c r="C3861">
        <v>5</v>
      </c>
      <c r="D3861" t="s">
        <v>31</v>
      </c>
      <c r="E3861" t="s">
        <v>116</v>
      </c>
      <c r="F3861" s="1">
        <v>42501</v>
      </c>
      <c r="G3861" s="1">
        <v>42502</v>
      </c>
      <c r="H3861" t="s">
        <v>33</v>
      </c>
      <c r="I3861">
        <v>1</v>
      </c>
      <c r="J3861" t="s">
        <v>109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23</v>
      </c>
      <c r="R3861">
        <v>0</v>
      </c>
    </row>
    <row r="3862" spans="1:18">
      <c r="A3862" s="4">
        <v>521685000000000</v>
      </c>
      <c r="B3862" t="s">
        <v>18</v>
      </c>
      <c r="C3862">
        <v>34</v>
      </c>
      <c r="D3862" t="s">
        <v>37</v>
      </c>
      <c r="E3862" t="s">
        <v>44</v>
      </c>
      <c r="F3862" s="1">
        <v>42501</v>
      </c>
      <c r="G3862" s="1">
        <v>42509</v>
      </c>
      <c r="H3862" t="s">
        <v>33</v>
      </c>
      <c r="I3862">
        <v>8</v>
      </c>
      <c r="J3862" t="s">
        <v>92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23</v>
      </c>
      <c r="R3862">
        <v>0</v>
      </c>
    </row>
    <row r="3863" spans="1:18">
      <c r="A3863" s="4">
        <v>2117000000000</v>
      </c>
      <c r="B3863" t="s">
        <v>18</v>
      </c>
      <c r="C3863">
        <v>44</v>
      </c>
      <c r="D3863" t="s">
        <v>27</v>
      </c>
      <c r="E3863" t="s">
        <v>39</v>
      </c>
      <c r="F3863" s="1">
        <v>42501</v>
      </c>
      <c r="G3863" s="1">
        <v>42515</v>
      </c>
      <c r="H3863" t="s">
        <v>25</v>
      </c>
      <c r="I3863">
        <v>14</v>
      </c>
      <c r="J3863" t="s">
        <v>92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1</v>
      </c>
      <c r="Q3863" t="s">
        <v>26</v>
      </c>
      <c r="R3863">
        <v>1</v>
      </c>
    </row>
    <row r="3864" spans="1:18">
      <c r="A3864" s="4">
        <v>69773100000000</v>
      </c>
      <c r="B3864" t="s">
        <v>18</v>
      </c>
      <c r="C3864">
        <v>3</v>
      </c>
      <c r="D3864" t="s">
        <v>31</v>
      </c>
      <c r="E3864" t="s">
        <v>64</v>
      </c>
      <c r="F3864" s="1">
        <v>42501</v>
      </c>
      <c r="G3864" s="1">
        <v>42501</v>
      </c>
      <c r="H3864" t="s">
        <v>25</v>
      </c>
      <c r="I3864">
        <v>0</v>
      </c>
      <c r="J3864" t="s">
        <v>111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23</v>
      </c>
      <c r="R3864">
        <v>0</v>
      </c>
    </row>
    <row r="3865" spans="1:18">
      <c r="A3865" s="4">
        <v>627347000000</v>
      </c>
      <c r="B3865" t="s">
        <v>28</v>
      </c>
      <c r="C3865">
        <v>45</v>
      </c>
      <c r="D3865" t="s">
        <v>27</v>
      </c>
      <c r="E3865" t="s">
        <v>58</v>
      </c>
      <c r="F3865" s="1">
        <v>42501</v>
      </c>
      <c r="G3865" s="1">
        <v>42509</v>
      </c>
      <c r="H3865" t="s">
        <v>33</v>
      </c>
      <c r="I3865">
        <v>8</v>
      </c>
      <c r="J3865" t="s">
        <v>92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26</v>
      </c>
      <c r="R3865">
        <v>1</v>
      </c>
    </row>
    <row r="3866" spans="1:18">
      <c r="A3866" s="4">
        <v>7876660000000</v>
      </c>
      <c r="B3866" t="s">
        <v>18</v>
      </c>
      <c r="C3866">
        <v>18</v>
      </c>
      <c r="D3866" t="s">
        <v>37</v>
      </c>
      <c r="E3866" t="s">
        <v>89</v>
      </c>
      <c r="F3866" s="1">
        <v>42501</v>
      </c>
      <c r="G3866" s="1">
        <v>42529</v>
      </c>
      <c r="H3866" t="s">
        <v>25</v>
      </c>
      <c r="I3866">
        <v>28</v>
      </c>
      <c r="J3866" t="s">
        <v>77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1</v>
      </c>
      <c r="Q3866" t="s">
        <v>23</v>
      </c>
      <c r="R3866">
        <v>0</v>
      </c>
    </row>
    <row r="3867" spans="1:18">
      <c r="A3867" s="4">
        <v>4592300000000</v>
      </c>
      <c r="B3867" t="s">
        <v>18</v>
      </c>
      <c r="C3867">
        <v>34</v>
      </c>
      <c r="D3867" t="s">
        <v>37</v>
      </c>
      <c r="E3867" t="s">
        <v>29</v>
      </c>
      <c r="F3867" s="1">
        <v>42501</v>
      </c>
      <c r="G3867" s="1">
        <v>42507</v>
      </c>
      <c r="H3867" t="s">
        <v>41</v>
      </c>
      <c r="I3867">
        <v>6</v>
      </c>
      <c r="J3867" t="s">
        <v>107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23</v>
      </c>
      <c r="R3867">
        <v>0</v>
      </c>
    </row>
    <row r="3868" spans="1:18">
      <c r="A3868" s="4">
        <v>512328000000000</v>
      </c>
      <c r="B3868" t="s">
        <v>28</v>
      </c>
      <c r="C3868">
        <v>19</v>
      </c>
      <c r="D3868" t="s">
        <v>37</v>
      </c>
      <c r="E3868" t="s">
        <v>32</v>
      </c>
      <c r="F3868" s="1">
        <v>42501</v>
      </c>
      <c r="G3868" s="1">
        <v>42507</v>
      </c>
      <c r="H3868" t="s">
        <v>41</v>
      </c>
      <c r="I3868">
        <v>6</v>
      </c>
      <c r="J3868" t="s">
        <v>107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 t="s">
        <v>26</v>
      </c>
      <c r="R3868">
        <v>1</v>
      </c>
    </row>
    <row r="3869" spans="1:18">
      <c r="A3869" s="4">
        <v>1313480000000</v>
      </c>
      <c r="B3869" t="s">
        <v>18</v>
      </c>
      <c r="C3869">
        <v>70</v>
      </c>
      <c r="D3869" t="s">
        <v>19</v>
      </c>
      <c r="E3869" t="s">
        <v>39</v>
      </c>
      <c r="F3869" s="1">
        <v>42501</v>
      </c>
      <c r="G3869" s="1">
        <v>42501</v>
      </c>
      <c r="H3869" t="s">
        <v>25</v>
      </c>
      <c r="I3869">
        <v>0</v>
      </c>
      <c r="J3869" t="s">
        <v>111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23</v>
      </c>
      <c r="R3869">
        <v>0</v>
      </c>
    </row>
    <row r="3870" spans="1:18">
      <c r="A3870" s="4">
        <v>11314300000000</v>
      </c>
      <c r="B3870" t="s">
        <v>18</v>
      </c>
      <c r="C3870">
        <v>23</v>
      </c>
      <c r="D3870" t="s">
        <v>37</v>
      </c>
      <c r="E3870" t="s">
        <v>64</v>
      </c>
      <c r="F3870" s="1">
        <v>42502</v>
      </c>
      <c r="G3870" s="1">
        <v>42503</v>
      </c>
      <c r="H3870" t="s">
        <v>21</v>
      </c>
      <c r="I3870">
        <v>1</v>
      </c>
      <c r="J3870" t="s">
        <v>109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23</v>
      </c>
      <c r="R3870">
        <v>0</v>
      </c>
    </row>
    <row r="3871" spans="1:18">
      <c r="A3871" s="4">
        <v>57932600000000</v>
      </c>
      <c r="B3871" t="s">
        <v>18</v>
      </c>
      <c r="C3871">
        <v>51</v>
      </c>
      <c r="D3871" t="s">
        <v>35</v>
      </c>
      <c r="E3871" t="s">
        <v>72</v>
      </c>
      <c r="F3871" s="1">
        <v>42502</v>
      </c>
      <c r="G3871" s="1">
        <v>42502</v>
      </c>
      <c r="H3871" t="s">
        <v>33</v>
      </c>
      <c r="I3871">
        <v>0</v>
      </c>
      <c r="J3871" t="s">
        <v>111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23</v>
      </c>
      <c r="R3871">
        <v>0</v>
      </c>
    </row>
    <row r="3872" spans="1:18">
      <c r="A3872" s="4">
        <v>137635000000000</v>
      </c>
      <c r="B3872" t="s">
        <v>28</v>
      </c>
      <c r="C3872">
        <v>63</v>
      </c>
      <c r="D3872" t="s">
        <v>35</v>
      </c>
      <c r="E3872" t="s">
        <v>24</v>
      </c>
      <c r="F3872" s="1">
        <v>42502</v>
      </c>
      <c r="G3872" s="1">
        <v>42502</v>
      </c>
      <c r="H3872" t="s">
        <v>33</v>
      </c>
      <c r="I3872">
        <v>0</v>
      </c>
      <c r="J3872" t="s">
        <v>111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23</v>
      </c>
      <c r="R3872">
        <v>0</v>
      </c>
    </row>
    <row r="3873" spans="1:18">
      <c r="A3873" s="4">
        <v>91997000000000</v>
      </c>
      <c r="B3873" t="s">
        <v>28</v>
      </c>
      <c r="C3873">
        <v>2</v>
      </c>
      <c r="D3873" t="s">
        <v>31</v>
      </c>
      <c r="E3873" t="s">
        <v>108</v>
      </c>
      <c r="F3873" s="1">
        <v>42502</v>
      </c>
      <c r="G3873" s="1">
        <v>42502</v>
      </c>
      <c r="H3873" t="s">
        <v>33</v>
      </c>
      <c r="I3873">
        <v>0</v>
      </c>
      <c r="J3873" t="s">
        <v>111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23</v>
      </c>
      <c r="R3873">
        <v>0</v>
      </c>
    </row>
    <row r="3874" spans="1:18">
      <c r="A3874" s="4">
        <v>1122440000000</v>
      </c>
      <c r="B3874" t="s">
        <v>28</v>
      </c>
      <c r="C3874">
        <v>66</v>
      </c>
      <c r="D3874" t="s">
        <v>19</v>
      </c>
      <c r="E3874" t="s">
        <v>84</v>
      </c>
      <c r="F3874" s="1">
        <v>42502</v>
      </c>
      <c r="G3874" s="1">
        <v>42506</v>
      </c>
      <c r="H3874" t="s">
        <v>30</v>
      </c>
      <c r="I3874">
        <v>4</v>
      </c>
      <c r="J3874" t="s">
        <v>107</v>
      </c>
      <c r="K3874">
        <v>0</v>
      </c>
      <c r="L3874">
        <v>1</v>
      </c>
      <c r="M3874">
        <v>1</v>
      </c>
      <c r="N3874">
        <v>0</v>
      </c>
      <c r="O3874">
        <v>0</v>
      </c>
      <c r="P3874">
        <v>0</v>
      </c>
      <c r="Q3874" t="s">
        <v>23</v>
      </c>
      <c r="R3874">
        <v>0</v>
      </c>
    </row>
    <row r="3875" spans="1:18">
      <c r="A3875" s="4">
        <v>92314500000000</v>
      </c>
      <c r="B3875" t="s">
        <v>28</v>
      </c>
      <c r="C3875">
        <v>24</v>
      </c>
      <c r="D3875" t="s">
        <v>37</v>
      </c>
      <c r="E3875" t="s">
        <v>79</v>
      </c>
      <c r="F3875" s="1">
        <v>42502</v>
      </c>
      <c r="G3875" s="1">
        <v>42503</v>
      </c>
      <c r="H3875" t="s">
        <v>21</v>
      </c>
      <c r="I3875">
        <v>1</v>
      </c>
      <c r="J3875" t="s">
        <v>109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23</v>
      </c>
      <c r="R3875">
        <v>0</v>
      </c>
    </row>
    <row r="3876" spans="1:18">
      <c r="A3876" s="4">
        <v>84276600000000</v>
      </c>
      <c r="B3876" t="s">
        <v>18</v>
      </c>
      <c r="C3876">
        <v>10</v>
      </c>
      <c r="D3876" t="s">
        <v>31</v>
      </c>
      <c r="E3876" t="s">
        <v>58</v>
      </c>
      <c r="F3876" s="1">
        <v>42502</v>
      </c>
      <c r="G3876" s="1">
        <v>42502</v>
      </c>
      <c r="H3876" t="s">
        <v>33</v>
      </c>
      <c r="I3876">
        <v>0</v>
      </c>
      <c r="J3876" t="s">
        <v>111</v>
      </c>
      <c r="K3876">
        <v>1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23</v>
      </c>
      <c r="R3876">
        <v>0</v>
      </c>
    </row>
    <row r="3877" spans="1:18">
      <c r="A3877" s="4">
        <v>52554200000000</v>
      </c>
      <c r="B3877" t="s">
        <v>28</v>
      </c>
      <c r="C3877">
        <v>7</v>
      </c>
      <c r="D3877" t="s">
        <v>31</v>
      </c>
      <c r="E3877" t="s">
        <v>105</v>
      </c>
      <c r="F3877" s="1">
        <v>42502</v>
      </c>
      <c r="G3877" s="1">
        <v>42502</v>
      </c>
      <c r="H3877" t="s">
        <v>33</v>
      </c>
      <c r="I3877">
        <v>0</v>
      </c>
      <c r="J3877" t="s">
        <v>111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23</v>
      </c>
      <c r="R3877">
        <v>0</v>
      </c>
    </row>
    <row r="3878" spans="1:18">
      <c r="A3878" s="4">
        <v>13373500000000</v>
      </c>
      <c r="B3878" t="s">
        <v>18</v>
      </c>
      <c r="C3878">
        <v>47</v>
      </c>
      <c r="D3878" t="s">
        <v>27</v>
      </c>
      <c r="E3878" t="s">
        <v>47</v>
      </c>
      <c r="F3878" s="1">
        <v>42502</v>
      </c>
      <c r="G3878" s="1">
        <v>42502</v>
      </c>
      <c r="H3878" t="s">
        <v>33</v>
      </c>
      <c r="I3878">
        <v>0</v>
      </c>
      <c r="J3878" t="s">
        <v>111</v>
      </c>
      <c r="K3878">
        <v>0</v>
      </c>
      <c r="L3878">
        <v>1</v>
      </c>
      <c r="M3878">
        <v>0</v>
      </c>
      <c r="N3878">
        <v>0</v>
      </c>
      <c r="O3878">
        <v>0</v>
      </c>
      <c r="P3878">
        <v>0</v>
      </c>
      <c r="Q3878" t="s">
        <v>23</v>
      </c>
      <c r="R3878">
        <v>0</v>
      </c>
    </row>
    <row r="3879" spans="1:18">
      <c r="A3879" s="4">
        <v>666595000000</v>
      </c>
      <c r="B3879" t="s">
        <v>18</v>
      </c>
      <c r="C3879">
        <v>63</v>
      </c>
      <c r="D3879" t="s">
        <v>35</v>
      </c>
      <c r="E3879" t="s">
        <v>84</v>
      </c>
      <c r="F3879" s="1">
        <v>42502</v>
      </c>
      <c r="G3879" s="1">
        <v>42506</v>
      </c>
      <c r="H3879" t="s">
        <v>30</v>
      </c>
      <c r="I3879">
        <v>4</v>
      </c>
      <c r="J3879" t="s">
        <v>107</v>
      </c>
      <c r="K3879">
        <v>0</v>
      </c>
      <c r="L3879">
        <v>1</v>
      </c>
      <c r="M3879">
        <v>1</v>
      </c>
      <c r="N3879">
        <v>0</v>
      </c>
      <c r="O3879">
        <v>0</v>
      </c>
      <c r="P3879">
        <v>0</v>
      </c>
      <c r="Q3879" t="s">
        <v>23</v>
      </c>
      <c r="R3879">
        <v>0</v>
      </c>
    </row>
    <row r="3880" spans="1:18">
      <c r="A3880" s="4">
        <v>6755880000000</v>
      </c>
      <c r="B3880" t="s">
        <v>28</v>
      </c>
      <c r="C3880">
        <v>1</v>
      </c>
      <c r="D3880" t="s">
        <v>31</v>
      </c>
      <c r="E3880" t="s">
        <v>71</v>
      </c>
      <c r="F3880" s="1">
        <v>42502</v>
      </c>
      <c r="G3880" s="1">
        <v>42502</v>
      </c>
      <c r="H3880" t="s">
        <v>33</v>
      </c>
      <c r="I3880">
        <v>0</v>
      </c>
      <c r="J3880" t="s">
        <v>111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23</v>
      </c>
      <c r="R3880">
        <v>0</v>
      </c>
    </row>
    <row r="3881" spans="1:18">
      <c r="A3881" s="4">
        <v>761713000000</v>
      </c>
      <c r="B3881" t="s">
        <v>18</v>
      </c>
      <c r="C3881">
        <v>52</v>
      </c>
      <c r="D3881" t="s">
        <v>35</v>
      </c>
      <c r="E3881" t="s">
        <v>67</v>
      </c>
      <c r="F3881" s="1">
        <v>42502</v>
      </c>
      <c r="G3881" s="1">
        <v>42503</v>
      </c>
      <c r="H3881" t="s">
        <v>21</v>
      </c>
      <c r="I3881">
        <v>1</v>
      </c>
      <c r="J3881" t="s">
        <v>109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23</v>
      </c>
      <c r="R3881">
        <v>0</v>
      </c>
    </row>
    <row r="3882" spans="1:18">
      <c r="A3882" s="4">
        <v>63345600000000</v>
      </c>
      <c r="B3882" t="s">
        <v>28</v>
      </c>
      <c r="C3882">
        <v>9</v>
      </c>
      <c r="D3882" t="s">
        <v>31</v>
      </c>
      <c r="E3882" t="s">
        <v>40</v>
      </c>
      <c r="F3882" s="1">
        <v>42502</v>
      </c>
      <c r="G3882" s="1">
        <v>42502</v>
      </c>
      <c r="H3882" t="s">
        <v>33</v>
      </c>
      <c r="I3882">
        <v>0</v>
      </c>
      <c r="J3882" t="s">
        <v>111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23</v>
      </c>
      <c r="R3882">
        <v>0</v>
      </c>
    </row>
    <row r="3883" spans="1:18">
      <c r="A3883" s="4">
        <v>85786900000000</v>
      </c>
      <c r="B3883" t="s">
        <v>18</v>
      </c>
      <c r="C3883">
        <v>54</v>
      </c>
      <c r="D3883" t="s">
        <v>35</v>
      </c>
      <c r="E3883" t="s">
        <v>84</v>
      </c>
      <c r="F3883" s="1">
        <v>42502</v>
      </c>
      <c r="G3883" s="1">
        <v>42508</v>
      </c>
      <c r="H3883" t="s">
        <v>25</v>
      </c>
      <c r="I3883">
        <v>6</v>
      </c>
      <c r="J3883" t="s">
        <v>107</v>
      </c>
      <c r="K3883">
        <v>0</v>
      </c>
      <c r="L3883">
        <v>1</v>
      </c>
      <c r="M3883">
        <v>1</v>
      </c>
      <c r="N3883">
        <v>0</v>
      </c>
      <c r="O3883">
        <v>0</v>
      </c>
      <c r="P3883">
        <v>0</v>
      </c>
      <c r="Q3883" t="s">
        <v>26</v>
      </c>
      <c r="R3883">
        <v>1</v>
      </c>
    </row>
    <row r="3884" spans="1:18">
      <c r="A3884" s="4">
        <v>213673000000000</v>
      </c>
      <c r="B3884" t="s">
        <v>18</v>
      </c>
      <c r="C3884">
        <v>2</v>
      </c>
      <c r="D3884" t="s">
        <v>31</v>
      </c>
      <c r="E3884" t="s">
        <v>20</v>
      </c>
      <c r="F3884" s="1">
        <v>42502</v>
      </c>
      <c r="G3884" s="1">
        <v>42502</v>
      </c>
      <c r="H3884" t="s">
        <v>33</v>
      </c>
      <c r="I3884">
        <v>0</v>
      </c>
      <c r="J3884" t="s">
        <v>111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23</v>
      </c>
      <c r="R3884">
        <v>0</v>
      </c>
    </row>
    <row r="3885" spans="1:18">
      <c r="A3885" s="4">
        <v>378156000000000</v>
      </c>
      <c r="B3885" t="s">
        <v>18</v>
      </c>
      <c r="C3885">
        <v>2</v>
      </c>
      <c r="D3885" t="s">
        <v>31</v>
      </c>
      <c r="E3885" t="s">
        <v>66</v>
      </c>
      <c r="F3885" s="1">
        <v>42502</v>
      </c>
      <c r="G3885" s="1">
        <v>42506</v>
      </c>
      <c r="H3885" t="s">
        <v>30</v>
      </c>
      <c r="I3885">
        <v>4</v>
      </c>
      <c r="J3885" t="s">
        <v>107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23</v>
      </c>
      <c r="R3885">
        <v>0</v>
      </c>
    </row>
    <row r="3886" spans="1:18">
      <c r="A3886" s="4">
        <v>491927000000</v>
      </c>
      <c r="B3886" t="s">
        <v>18</v>
      </c>
      <c r="C3886">
        <v>42</v>
      </c>
      <c r="D3886" t="s">
        <v>27</v>
      </c>
      <c r="E3886" t="s">
        <v>47</v>
      </c>
      <c r="F3886" s="1">
        <v>42502</v>
      </c>
      <c r="G3886" s="1">
        <v>42502</v>
      </c>
      <c r="H3886" t="s">
        <v>33</v>
      </c>
      <c r="I3886">
        <v>0</v>
      </c>
      <c r="J3886" t="s">
        <v>111</v>
      </c>
      <c r="K3886">
        <v>1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23</v>
      </c>
      <c r="R3886">
        <v>0</v>
      </c>
    </row>
    <row r="3887" spans="1:18">
      <c r="A3887" s="4">
        <v>52311300000000</v>
      </c>
      <c r="B3887" t="s">
        <v>18</v>
      </c>
      <c r="C3887">
        <v>40</v>
      </c>
      <c r="D3887" t="s">
        <v>27</v>
      </c>
      <c r="E3887" t="s">
        <v>105</v>
      </c>
      <c r="F3887" s="1">
        <v>42502</v>
      </c>
      <c r="G3887" s="1">
        <v>42502</v>
      </c>
      <c r="H3887" t="s">
        <v>33</v>
      </c>
      <c r="I3887">
        <v>0</v>
      </c>
      <c r="J3887" t="s">
        <v>111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23</v>
      </c>
      <c r="R3887">
        <v>0</v>
      </c>
    </row>
    <row r="3888" spans="1:18">
      <c r="A3888" s="4">
        <v>743815000000000</v>
      </c>
      <c r="B3888" t="s">
        <v>18</v>
      </c>
      <c r="C3888">
        <v>76</v>
      </c>
      <c r="D3888" t="s">
        <v>19</v>
      </c>
      <c r="E3888" t="s">
        <v>48</v>
      </c>
      <c r="F3888" s="1">
        <v>42502</v>
      </c>
      <c r="G3888" s="1">
        <v>42506</v>
      </c>
      <c r="H3888" t="s">
        <v>30</v>
      </c>
      <c r="I3888">
        <v>4</v>
      </c>
      <c r="J3888" t="s">
        <v>107</v>
      </c>
      <c r="K3888">
        <v>0</v>
      </c>
      <c r="L3888">
        <v>1</v>
      </c>
      <c r="M3888">
        <v>0</v>
      </c>
      <c r="N3888">
        <v>0</v>
      </c>
      <c r="O3888">
        <v>0</v>
      </c>
      <c r="P3888">
        <v>0</v>
      </c>
      <c r="Q3888" t="s">
        <v>23</v>
      </c>
      <c r="R3888">
        <v>0</v>
      </c>
    </row>
    <row r="3889" spans="1:18">
      <c r="A3889" s="4">
        <v>18185000000000</v>
      </c>
      <c r="B3889" t="s">
        <v>18</v>
      </c>
      <c r="C3889">
        <v>21</v>
      </c>
      <c r="D3889" t="s">
        <v>37</v>
      </c>
      <c r="E3889" t="s">
        <v>84</v>
      </c>
      <c r="F3889" s="1">
        <v>42502</v>
      </c>
      <c r="G3889" s="1">
        <v>42508</v>
      </c>
      <c r="H3889" t="s">
        <v>25</v>
      </c>
      <c r="I3889">
        <v>6</v>
      </c>
      <c r="J3889" t="s">
        <v>107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26</v>
      </c>
      <c r="R3889">
        <v>1</v>
      </c>
    </row>
    <row r="3890" spans="1:18">
      <c r="A3890" s="4">
        <v>2213980000000</v>
      </c>
      <c r="B3890" t="s">
        <v>18</v>
      </c>
      <c r="C3890">
        <v>39</v>
      </c>
      <c r="D3890" t="s">
        <v>27</v>
      </c>
      <c r="E3890" t="s">
        <v>38</v>
      </c>
      <c r="F3890" s="1">
        <v>42502</v>
      </c>
      <c r="G3890" s="1">
        <v>42506</v>
      </c>
      <c r="H3890" t="s">
        <v>30</v>
      </c>
      <c r="I3890">
        <v>4</v>
      </c>
      <c r="J3890" t="s">
        <v>107</v>
      </c>
      <c r="K3890">
        <v>0</v>
      </c>
      <c r="L3890">
        <v>1</v>
      </c>
      <c r="M3890">
        <v>1</v>
      </c>
      <c r="N3890">
        <v>0</v>
      </c>
      <c r="O3890">
        <v>0</v>
      </c>
      <c r="P3890">
        <v>0</v>
      </c>
      <c r="Q3890" t="s">
        <v>23</v>
      </c>
      <c r="R3890">
        <v>0</v>
      </c>
    </row>
    <row r="3891" spans="1:18">
      <c r="A3891" s="4">
        <v>617965000000</v>
      </c>
      <c r="B3891" t="s">
        <v>18</v>
      </c>
      <c r="C3891">
        <v>42</v>
      </c>
      <c r="D3891" t="s">
        <v>27</v>
      </c>
      <c r="E3891" t="s">
        <v>65</v>
      </c>
      <c r="F3891" s="1">
        <v>42502</v>
      </c>
      <c r="G3891" s="1">
        <v>42502</v>
      </c>
      <c r="H3891" t="s">
        <v>33</v>
      </c>
      <c r="I3891">
        <v>0</v>
      </c>
      <c r="J3891" t="s">
        <v>111</v>
      </c>
      <c r="K3891">
        <v>0</v>
      </c>
      <c r="L3891">
        <v>1</v>
      </c>
      <c r="M3891">
        <v>0</v>
      </c>
      <c r="N3891">
        <v>0</v>
      </c>
      <c r="O3891">
        <v>0</v>
      </c>
      <c r="P3891">
        <v>0</v>
      </c>
      <c r="Q3891" t="s">
        <v>23</v>
      </c>
      <c r="R3891">
        <v>0</v>
      </c>
    </row>
    <row r="3892" spans="1:18">
      <c r="A3892" s="4">
        <v>756380000000</v>
      </c>
      <c r="B3892" t="s">
        <v>18</v>
      </c>
      <c r="C3892">
        <v>18</v>
      </c>
      <c r="D3892" t="s">
        <v>37</v>
      </c>
      <c r="E3892" t="s">
        <v>54</v>
      </c>
      <c r="F3892" s="1">
        <v>42502</v>
      </c>
      <c r="G3892" s="1">
        <v>42508</v>
      </c>
      <c r="H3892" t="s">
        <v>25</v>
      </c>
      <c r="I3892">
        <v>6</v>
      </c>
      <c r="J3892" t="s">
        <v>107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23</v>
      </c>
      <c r="R3892">
        <v>0</v>
      </c>
    </row>
    <row r="3893" spans="1:18">
      <c r="A3893" s="4">
        <v>268774000000</v>
      </c>
      <c r="B3893" t="s">
        <v>18</v>
      </c>
      <c r="C3893">
        <v>37</v>
      </c>
      <c r="D3893" t="s">
        <v>27</v>
      </c>
      <c r="E3893" t="s">
        <v>36</v>
      </c>
      <c r="F3893" s="1">
        <v>42502</v>
      </c>
      <c r="G3893" s="1">
        <v>42502</v>
      </c>
      <c r="H3893" t="s">
        <v>33</v>
      </c>
      <c r="I3893">
        <v>0</v>
      </c>
      <c r="J3893" t="s">
        <v>111</v>
      </c>
      <c r="K3893">
        <v>0</v>
      </c>
      <c r="L3893">
        <v>1</v>
      </c>
      <c r="M3893">
        <v>0</v>
      </c>
      <c r="N3893">
        <v>0</v>
      </c>
      <c r="O3893">
        <v>0</v>
      </c>
      <c r="P3893">
        <v>0</v>
      </c>
      <c r="Q3893" t="s">
        <v>23</v>
      </c>
      <c r="R3893">
        <v>0</v>
      </c>
    </row>
    <row r="3894" spans="1:18">
      <c r="A3894" s="4">
        <v>63726700000000</v>
      </c>
      <c r="B3894" t="s">
        <v>28</v>
      </c>
      <c r="C3894">
        <v>47</v>
      </c>
      <c r="D3894" t="s">
        <v>27</v>
      </c>
      <c r="E3894" t="s">
        <v>54</v>
      </c>
      <c r="F3894" s="1">
        <v>42502</v>
      </c>
      <c r="G3894" s="1">
        <v>42508</v>
      </c>
      <c r="H3894" t="s">
        <v>25</v>
      </c>
      <c r="I3894">
        <v>6</v>
      </c>
      <c r="J3894" t="s">
        <v>107</v>
      </c>
      <c r="K3894">
        <v>1</v>
      </c>
      <c r="L3894">
        <v>1</v>
      </c>
      <c r="M3894">
        <v>0</v>
      </c>
      <c r="N3894">
        <v>1</v>
      </c>
      <c r="O3894">
        <v>0</v>
      </c>
      <c r="P3894">
        <v>0</v>
      </c>
      <c r="Q3894" t="s">
        <v>23</v>
      </c>
      <c r="R3894">
        <v>0</v>
      </c>
    </row>
    <row r="3895" spans="1:18">
      <c r="A3895" s="4">
        <v>58552200000000</v>
      </c>
      <c r="B3895" t="s">
        <v>28</v>
      </c>
      <c r="C3895">
        <v>22</v>
      </c>
      <c r="D3895" t="s">
        <v>37</v>
      </c>
      <c r="E3895" t="s">
        <v>86</v>
      </c>
      <c r="F3895" s="1">
        <v>42502</v>
      </c>
      <c r="G3895" s="1">
        <v>42508</v>
      </c>
      <c r="H3895" t="s">
        <v>25</v>
      </c>
      <c r="I3895">
        <v>6</v>
      </c>
      <c r="J3895" t="s">
        <v>107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23</v>
      </c>
      <c r="R3895">
        <v>0</v>
      </c>
    </row>
    <row r="3896" spans="1:18">
      <c r="A3896" s="4">
        <v>92624000000000</v>
      </c>
      <c r="B3896" t="s">
        <v>18</v>
      </c>
      <c r="C3896">
        <v>59</v>
      </c>
      <c r="D3896" t="s">
        <v>35</v>
      </c>
      <c r="E3896" t="s">
        <v>93</v>
      </c>
      <c r="F3896" s="1">
        <v>42502</v>
      </c>
      <c r="G3896" s="1">
        <v>42504</v>
      </c>
      <c r="H3896" t="s">
        <v>114</v>
      </c>
      <c r="I3896">
        <v>2</v>
      </c>
      <c r="J3896" t="s">
        <v>109</v>
      </c>
      <c r="K3896">
        <v>0</v>
      </c>
      <c r="L3896">
        <v>1</v>
      </c>
      <c r="M3896">
        <v>0</v>
      </c>
      <c r="N3896">
        <v>0</v>
      </c>
      <c r="O3896">
        <v>0</v>
      </c>
      <c r="P3896">
        <v>0</v>
      </c>
      <c r="Q3896" t="s">
        <v>23</v>
      </c>
      <c r="R3896">
        <v>0</v>
      </c>
    </row>
    <row r="3897" spans="1:18">
      <c r="A3897" s="4">
        <v>823983000000000</v>
      </c>
      <c r="B3897" t="s">
        <v>28</v>
      </c>
      <c r="C3897">
        <v>59</v>
      </c>
      <c r="D3897" t="s">
        <v>35</v>
      </c>
      <c r="E3897" t="s">
        <v>65</v>
      </c>
      <c r="F3897" s="1">
        <v>42502</v>
      </c>
      <c r="G3897" s="1">
        <v>42506</v>
      </c>
      <c r="H3897" t="s">
        <v>30</v>
      </c>
      <c r="I3897">
        <v>4</v>
      </c>
      <c r="J3897" t="s">
        <v>107</v>
      </c>
      <c r="K3897">
        <v>0</v>
      </c>
      <c r="L3897">
        <v>1</v>
      </c>
      <c r="M3897">
        <v>0</v>
      </c>
      <c r="N3897">
        <v>0</v>
      </c>
      <c r="O3897">
        <v>0</v>
      </c>
      <c r="P3897">
        <v>0</v>
      </c>
      <c r="Q3897" t="s">
        <v>23</v>
      </c>
      <c r="R3897">
        <v>0</v>
      </c>
    </row>
    <row r="3898" spans="1:18">
      <c r="A3898" s="4">
        <v>84454400000000</v>
      </c>
      <c r="B3898" t="s">
        <v>18</v>
      </c>
      <c r="C3898">
        <v>14</v>
      </c>
      <c r="D3898" t="s">
        <v>60</v>
      </c>
      <c r="E3898" t="s">
        <v>45</v>
      </c>
      <c r="F3898" s="1">
        <v>42502</v>
      </c>
      <c r="G3898" s="1">
        <v>42503</v>
      </c>
      <c r="H3898" t="s">
        <v>21</v>
      </c>
      <c r="I3898">
        <v>1</v>
      </c>
      <c r="J3898" t="s">
        <v>109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23</v>
      </c>
      <c r="R3898">
        <v>0</v>
      </c>
    </row>
    <row r="3899" spans="1:18">
      <c r="A3899" s="4">
        <v>831745000000000</v>
      </c>
      <c r="B3899" t="s">
        <v>28</v>
      </c>
      <c r="C3899">
        <v>59</v>
      </c>
      <c r="D3899" t="s">
        <v>35</v>
      </c>
      <c r="E3899" t="s">
        <v>54</v>
      </c>
      <c r="F3899" s="1">
        <v>42502</v>
      </c>
      <c r="G3899" s="1">
        <v>42508</v>
      </c>
      <c r="H3899" t="s">
        <v>25</v>
      </c>
      <c r="I3899">
        <v>6</v>
      </c>
      <c r="J3899" t="s">
        <v>107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23</v>
      </c>
      <c r="R3899">
        <v>0</v>
      </c>
    </row>
    <row r="3900" spans="1:18">
      <c r="A3900" s="4">
        <v>7915740000000</v>
      </c>
      <c r="B3900" t="s">
        <v>18</v>
      </c>
      <c r="C3900">
        <v>61</v>
      </c>
      <c r="D3900" t="s">
        <v>35</v>
      </c>
      <c r="E3900" t="s">
        <v>59</v>
      </c>
      <c r="F3900" s="1">
        <v>42502</v>
      </c>
      <c r="G3900" s="1">
        <v>42502</v>
      </c>
      <c r="H3900" t="s">
        <v>33</v>
      </c>
      <c r="I3900">
        <v>0</v>
      </c>
      <c r="J3900" t="s">
        <v>111</v>
      </c>
      <c r="K3900">
        <v>0</v>
      </c>
      <c r="L3900">
        <v>1</v>
      </c>
      <c r="M3900">
        <v>1</v>
      </c>
      <c r="N3900">
        <v>0</v>
      </c>
      <c r="O3900">
        <v>0</v>
      </c>
      <c r="P3900">
        <v>0</v>
      </c>
      <c r="Q3900" t="s">
        <v>23</v>
      </c>
      <c r="R3900">
        <v>0</v>
      </c>
    </row>
    <row r="3901" spans="1:18">
      <c r="A3901" s="4">
        <v>92631300000000</v>
      </c>
      <c r="B3901" t="s">
        <v>28</v>
      </c>
      <c r="C3901">
        <v>30</v>
      </c>
      <c r="D3901" t="s">
        <v>37</v>
      </c>
      <c r="E3901" t="s">
        <v>96</v>
      </c>
      <c r="F3901" s="1">
        <v>42502</v>
      </c>
      <c r="G3901" s="1">
        <v>42502</v>
      </c>
      <c r="H3901" t="s">
        <v>33</v>
      </c>
      <c r="I3901">
        <v>0</v>
      </c>
      <c r="J3901" t="s">
        <v>111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23</v>
      </c>
      <c r="R3901">
        <v>0</v>
      </c>
    </row>
    <row r="3902" spans="1:18">
      <c r="A3902" s="4">
        <v>13746400000000</v>
      </c>
      <c r="B3902" t="s">
        <v>18</v>
      </c>
      <c r="C3902">
        <v>53</v>
      </c>
      <c r="D3902" t="s">
        <v>35</v>
      </c>
      <c r="E3902" t="s">
        <v>78</v>
      </c>
      <c r="F3902" s="1">
        <v>42502</v>
      </c>
      <c r="G3902" s="1">
        <v>42502</v>
      </c>
      <c r="H3902" t="s">
        <v>33</v>
      </c>
      <c r="I3902">
        <v>0</v>
      </c>
      <c r="J3902" t="s">
        <v>111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 t="s">
        <v>23</v>
      </c>
      <c r="R3902">
        <v>0</v>
      </c>
    </row>
    <row r="3903" spans="1:18">
      <c r="A3903" s="4">
        <v>398159000000000</v>
      </c>
      <c r="B3903" t="s">
        <v>18</v>
      </c>
      <c r="C3903">
        <v>43</v>
      </c>
      <c r="D3903" t="s">
        <v>27</v>
      </c>
      <c r="E3903" t="s">
        <v>32</v>
      </c>
      <c r="F3903" s="1">
        <v>42502</v>
      </c>
      <c r="G3903" s="1">
        <v>42507</v>
      </c>
      <c r="H3903" t="s">
        <v>41</v>
      </c>
      <c r="I3903">
        <v>5</v>
      </c>
      <c r="J3903" t="s">
        <v>107</v>
      </c>
      <c r="K3903">
        <v>1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23</v>
      </c>
      <c r="R3903">
        <v>0</v>
      </c>
    </row>
    <row r="3904" spans="1:18">
      <c r="A3904" s="4">
        <v>17465200000000</v>
      </c>
      <c r="B3904" t="s">
        <v>18</v>
      </c>
      <c r="C3904">
        <v>46</v>
      </c>
      <c r="D3904" t="s">
        <v>27</v>
      </c>
      <c r="E3904" t="s">
        <v>39</v>
      </c>
      <c r="F3904" s="1">
        <v>42502</v>
      </c>
      <c r="G3904" s="1">
        <v>42506</v>
      </c>
      <c r="H3904" t="s">
        <v>30</v>
      </c>
      <c r="I3904">
        <v>4</v>
      </c>
      <c r="J3904" t="s">
        <v>107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23</v>
      </c>
      <c r="R3904">
        <v>0</v>
      </c>
    </row>
    <row r="3905" spans="1:18">
      <c r="A3905" s="4">
        <v>613782000000000</v>
      </c>
      <c r="B3905" t="s">
        <v>18</v>
      </c>
      <c r="C3905">
        <v>53</v>
      </c>
      <c r="D3905" t="s">
        <v>35</v>
      </c>
      <c r="E3905" t="s">
        <v>32</v>
      </c>
      <c r="F3905" s="1">
        <v>42502</v>
      </c>
      <c r="G3905" s="1">
        <v>42508</v>
      </c>
      <c r="H3905" t="s">
        <v>25</v>
      </c>
      <c r="I3905">
        <v>6</v>
      </c>
      <c r="J3905" t="s">
        <v>107</v>
      </c>
      <c r="K3905">
        <v>0</v>
      </c>
      <c r="L3905">
        <v>0</v>
      </c>
      <c r="M3905">
        <v>1</v>
      </c>
      <c r="N3905">
        <v>0</v>
      </c>
      <c r="O3905">
        <v>0</v>
      </c>
      <c r="P3905">
        <v>0</v>
      </c>
      <c r="Q3905" t="s">
        <v>23</v>
      </c>
      <c r="R3905">
        <v>0</v>
      </c>
    </row>
    <row r="3906" spans="1:18">
      <c r="A3906" s="4">
        <v>52187700000000</v>
      </c>
      <c r="B3906" t="s">
        <v>18</v>
      </c>
      <c r="C3906">
        <v>28</v>
      </c>
      <c r="D3906" t="s">
        <v>37</v>
      </c>
      <c r="E3906" t="s">
        <v>87</v>
      </c>
      <c r="F3906" s="1">
        <v>42502</v>
      </c>
      <c r="G3906" s="1">
        <v>42502</v>
      </c>
      <c r="H3906" t="s">
        <v>33</v>
      </c>
      <c r="I3906">
        <v>0</v>
      </c>
      <c r="J3906" t="s">
        <v>111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23</v>
      </c>
      <c r="R3906">
        <v>0</v>
      </c>
    </row>
    <row r="3907" spans="1:18">
      <c r="A3907" s="4">
        <v>67696400000000</v>
      </c>
      <c r="B3907" t="s">
        <v>18</v>
      </c>
      <c r="C3907">
        <v>18</v>
      </c>
      <c r="D3907" t="s">
        <v>37</v>
      </c>
      <c r="E3907" t="s">
        <v>66</v>
      </c>
      <c r="F3907" s="1">
        <v>42502</v>
      </c>
      <c r="G3907" s="1">
        <v>42510</v>
      </c>
      <c r="H3907" t="s">
        <v>21</v>
      </c>
      <c r="I3907">
        <v>8</v>
      </c>
      <c r="J3907" t="s">
        <v>92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26</v>
      </c>
      <c r="R3907">
        <v>1</v>
      </c>
    </row>
    <row r="3908" spans="1:18">
      <c r="A3908" s="4">
        <v>29586700000000</v>
      </c>
      <c r="B3908" t="s">
        <v>18</v>
      </c>
      <c r="C3908">
        <v>25</v>
      </c>
      <c r="D3908" t="s">
        <v>37</v>
      </c>
      <c r="E3908" t="s">
        <v>72</v>
      </c>
      <c r="F3908" s="1">
        <v>42502</v>
      </c>
      <c r="G3908" s="1">
        <v>42507</v>
      </c>
      <c r="H3908" t="s">
        <v>41</v>
      </c>
      <c r="I3908">
        <v>5</v>
      </c>
      <c r="J3908" t="s">
        <v>107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23</v>
      </c>
      <c r="R3908">
        <v>0</v>
      </c>
    </row>
    <row r="3909" spans="1:18">
      <c r="A3909" s="4">
        <v>56322700000000</v>
      </c>
      <c r="B3909" t="s">
        <v>18</v>
      </c>
      <c r="C3909">
        <v>37</v>
      </c>
      <c r="D3909" t="s">
        <v>27</v>
      </c>
      <c r="E3909" t="s">
        <v>24</v>
      </c>
      <c r="F3909" s="1">
        <v>42502</v>
      </c>
      <c r="G3909" s="1">
        <v>42503</v>
      </c>
      <c r="H3909" t="s">
        <v>21</v>
      </c>
      <c r="I3909">
        <v>1</v>
      </c>
      <c r="J3909" t="s">
        <v>109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23</v>
      </c>
      <c r="R3909">
        <v>0</v>
      </c>
    </row>
    <row r="3910" spans="1:18">
      <c r="A3910" s="4">
        <v>53838700000000</v>
      </c>
      <c r="B3910" t="s">
        <v>18</v>
      </c>
      <c r="C3910">
        <v>24</v>
      </c>
      <c r="D3910" t="s">
        <v>37</v>
      </c>
      <c r="E3910" t="s">
        <v>84</v>
      </c>
      <c r="F3910" s="1">
        <v>42502</v>
      </c>
      <c r="G3910" s="1">
        <v>42502</v>
      </c>
      <c r="H3910" t="s">
        <v>33</v>
      </c>
      <c r="I3910">
        <v>0</v>
      </c>
      <c r="J3910" t="s">
        <v>111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23</v>
      </c>
      <c r="R3910">
        <v>0</v>
      </c>
    </row>
    <row r="3911" spans="1:18">
      <c r="A3911" s="4">
        <v>2116670000000</v>
      </c>
      <c r="B3911" t="s">
        <v>28</v>
      </c>
      <c r="C3911">
        <v>43</v>
      </c>
      <c r="D3911" t="s">
        <v>27</v>
      </c>
      <c r="E3911" t="s">
        <v>45</v>
      </c>
      <c r="F3911" s="1">
        <v>42502</v>
      </c>
      <c r="G3911" s="1">
        <v>42507</v>
      </c>
      <c r="H3911" t="s">
        <v>41</v>
      </c>
      <c r="I3911">
        <v>5</v>
      </c>
      <c r="J3911" t="s">
        <v>107</v>
      </c>
      <c r="K3911">
        <v>1</v>
      </c>
      <c r="L3911">
        <v>0</v>
      </c>
      <c r="M3911">
        <v>1</v>
      </c>
      <c r="N3911">
        <v>0</v>
      </c>
      <c r="O3911">
        <v>0</v>
      </c>
      <c r="P3911">
        <v>0</v>
      </c>
      <c r="Q3911" t="s">
        <v>23</v>
      </c>
      <c r="R3911">
        <v>0</v>
      </c>
    </row>
    <row r="3912" spans="1:18">
      <c r="A3912" s="4">
        <v>275386000000000</v>
      </c>
      <c r="B3912" t="s">
        <v>18</v>
      </c>
      <c r="C3912">
        <v>39</v>
      </c>
      <c r="D3912" t="s">
        <v>27</v>
      </c>
      <c r="E3912" t="s">
        <v>69</v>
      </c>
      <c r="F3912" s="1">
        <v>42502</v>
      </c>
      <c r="G3912" s="1">
        <v>42502</v>
      </c>
      <c r="H3912" t="s">
        <v>33</v>
      </c>
      <c r="I3912">
        <v>0</v>
      </c>
      <c r="J3912" t="s">
        <v>111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23</v>
      </c>
      <c r="R3912">
        <v>0</v>
      </c>
    </row>
    <row r="3913" spans="1:18">
      <c r="A3913" s="4">
        <v>389694000000000</v>
      </c>
      <c r="B3913" t="s">
        <v>28</v>
      </c>
      <c r="C3913">
        <v>15</v>
      </c>
      <c r="D3913" t="s">
        <v>60</v>
      </c>
      <c r="E3913" t="s">
        <v>57</v>
      </c>
      <c r="F3913" s="1">
        <v>42502</v>
      </c>
      <c r="G3913" s="1">
        <v>42502</v>
      </c>
      <c r="H3913" t="s">
        <v>33</v>
      </c>
      <c r="I3913">
        <v>0</v>
      </c>
      <c r="J3913" t="s">
        <v>111</v>
      </c>
      <c r="K3913">
        <v>1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23</v>
      </c>
      <c r="R3913">
        <v>0</v>
      </c>
    </row>
    <row r="3914" spans="1:18">
      <c r="A3914" s="4">
        <v>44786619987</v>
      </c>
      <c r="B3914" t="s">
        <v>18</v>
      </c>
      <c r="C3914">
        <v>5</v>
      </c>
      <c r="D3914" t="s">
        <v>31</v>
      </c>
      <c r="E3914" t="s">
        <v>95</v>
      </c>
      <c r="F3914" s="1">
        <v>42502</v>
      </c>
      <c r="G3914" s="1">
        <v>42502</v>
      </c>
      <c r="H3914" t="s">
        <v>33</v>
      </c>
      <c r="I3914">
        <v>0</v>
      </c>
      <c r="J3914" t="s">
        <v>111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23</v>
      </c>
      <c r="R3914">
        <v>0</v>
      </c>
    </row>
    <row r="3915" spans="1:18">
      <c r="A3915" s="4">
        <v>4547280000000</v>
      </c>
      <c r="B3915" t="s">
        <v>18</v>
      </c>
      <c r="C3915">
        <v>38</v>
      </c>
      <c r="D3915" t="s">
        <v>27</v>
      </c>
      <c r="E3915" t="s">
        <v>66</v>
      </c>
      <c r="F3915" s="1">
        <v>42502</v>
      </c>
      <c r="G3915" s="1">
        <v>42502</v>
      </c>
      <c r="H3915" t="s">
        <v>33</v>
      </c>
      <c r="I3915">
        <v>0</v>
      </c>
      <c r="J3915" t="s">
        <v>111</v>
      </c>
      <c r="K3915">
        <v>1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26</v>
      </c>
      <c r="R3915">
        <v>1</v>
      </c>
    </row>
    <row r="3916" spans="1:18">
      <c r="A3916" s="4">
        <v>1254860000000</v>
      </c>
      <c r="B3916" t="s">
        <v>28</v>
      </c>
      <c r="C3916">
        <v>9</v>
      </c>
      <c r="D3916" t="s">
        <v>31</v>
      </c>
      <c r="E3916" t="s">
        <v>32</v>
      </c>
      <c r="F3916" s="1">
        <v>42502</v>
      </c>
      <c r="G3916" s="1">
        <v>42506</v>
      </c>
      <c r="H3916" t="s">
        <v>30</v>
      </c>
      <c r="I3916">
        <v>4</v>
      </c>
      <c r="J3916" t="s">
        <v>107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26</v>
      </c>
      <c r="R3916">
        <v>1</v>
      </c>
    </row>
    <row r="3917" spans="1:18">
      <c r="A3917" s="4">
        <v>56967800000000</v>
      </c>
      <c r="B3917" t="s">
        <v>18</v>
      </c>
      <c r="C3917">
        <v>59</v>
      </c>
      <c r="D3917" t="s">
        <v>35</v>
      </c>
      <c r="E3917" t="s">
        <v>68</v>
      </c>
      <c r="F3917" s="1">
        <v>42502</v>
      </c>
      <c r="G3917" s="1">
        <v>42502</v>
      </c>
      <c r="H3917" t="s">
        <v>33</v>
      </c>
      <c r="I3917">
        <v>0</v>
      </c>
      <c r="J3917" t="s">
        <v>111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23</v>
      </c>
      <c r="R3917">
        <v>0</v>
      </c>
    </row>
    <row r="3918" spans="1:18">
      <c r="A3918" s="4">
        <v>5735800000000</v>
      </c>
      <c r="B3918" t="s">
        <v>18</v>
      </c>
      <c r="C3918">
        <v>22</v>
      </c>
      <c r="D3918" t="s">
        <v>37</v>
      </c>
      <c r="E3918" t="s">
        <v>69</v>
      </c>
      <c r="F3918" s="1">
        <v>42502</v>
      </c>
      <c r="G3918" s="1">
        <v>42502</v>
      </c>
      <c r="H3918" t="s">
        <v>33</v>
      </c>
      <c r="I3918">
        <v>0</v>
      </c>
      <c r="J3918" t="s">
        <v>111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23</v>
      </c>
      <c r="R3918">
        <v>0</v>
      </c>
    </row>
    <row r="3919" spans="1:18">
      <c r="A3919" s="4">
        <v>34785600000000</v>
      </c>
      <c r="B3919" t="s">
        <v>18</v>
      </c>
      <c r="C3919">
        <v>41</v>
      </c>
      <c r="D3919" t="s">
        <v>27</v>
      </c>
      <c r="E3919" t="s">
        <v>105</v>
      </c>
      <c r="F3919" s="1">
        <v>42502</v>
      </c>
      <c r="G3919" s="1">
        <v>42502</v>
      </c>
      <c r="H3919" t="s">
        <v>33</v>
      </c>
      <c r="I3919">
        <v>0</v>
      </c>
      <c r="J3919" t="s">
        <v>111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23</v>
      </c>
      <c r="R3919">
        <v>0</v>
      </c>
    </row>
    <row r="3920" spans="1:18">
      <c r="A3920" s="4">
        <v>58545400000000</v>
      </c>
      <c r="B3920" t="s">
        <v>28</v>
      </c>
      <c r="C3920">
        <v>36</v>
      </c>
      <c r="D3920" t="s">
        <v>27</v>
      </c>
      <c r="E3920" t="s">
        <v>29</v>
      </c>
      <c r="F3920" s="1">
        <v>42502</v>
      </c>
      <c r="G3920" s="1">
        <v>42520</v>
      </c>
      <c r="H3920" t="s">
        <v>30</v>
      </c>
      <c r="I3920">
        <v>18</v>
      </c>
      <c r="J3920" t="s">
        <v>77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1</v>
      </c>
      <c r="Q3920" t="s">
        <v>23</v>
      </c>
      <c r="R3920">
        <v>0</v>
      </c>
    </row>
    <row r="3921" spans="1:18">
      <c r="A3921" s="4">
        <v>811168000000000</v>
      </c>
      <c r="B3921" t="s">
        <v>18</v>
      </c>
      <c r="C3921">
        <v>38</v>
      </c>
      <c r="D3921" t="s">
        <v>27</v>
      </c>
      <c r="E3921" t="s">
        <v>50</v>
      </c>
      <c r="F3921" s="1">
        <v>42502</v>
      </c>
      <c r="G3921" s="1">
        <v>42502</v>
      </c>
      <c r="H3921" t="s">
        <v>33</v>
      </c>
      <c r="I3921">
        <v>0</v>
      </c>
      <c r="J3921" t="s">
        <v>111</v>
      </c>
      <c r="K3921">
        <v>1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23</v>
      </c>
      <c r="R3921">
        <v>0</v>
      </c>
    </row>
    <row r="3922" spans="1:18">
      <c r="A3922" s="4">
        <v>5733590000000</v>
      </c>
      <c r="B3922" t="s">
        <v>28</v>
      </c>
      <c r="C3922">
        <v>14</v>
      </c>
      <c r="D3922" t="s">
        <v>60</v>
      </c>
      <c r="E3922" t="s">
        <v>58</v>
      </c>
      <c r="F3922" s="1">
        <v>42502</v>
      </c>
      <c r="G3922" s="1">
        <v>42502</v>
      </c>
      <c r="H3922" t="s">
        <v>33</v>
      </c>
      <c r="I3922">
        <v>0</v>
      </c>
      <c r="J3922" t="s">
        <v>111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23</v>
      </c>
      <c r="R3922">
        <v>0</v>
      </c>
    </row>
    <row r="3923" spans="1:18">
      <c r="A3923" s="4">
        <v>55745700000000</v>
      </c>
      <c r="B3923" t="s">
        <v>18</v>
      </c>
      <c r="C3923">
        <v>34</v>
      </c>
      <c r="D3923" t="s">
        <v>37</v>
      </c>
      <c r="E3923" t="s">
        <v>105</v>
      </c>
      <c r="F3923" s="1">
        <v>42502</v>
      </c>
      <c r="G3923" s="1">
        <v>42502</v>
      </c>
      <c r="H3923" t="s">
        <v>33</v>
      </c>
      <c r="I3923">
        <v>0</v>
      </c>
      <c r="J3923" t="s">
        <v>111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23</v>
      </c>
      <c r="R3923">
        <v>0</v>
      </c>
    </row>
    <row r="3924" spans="1:18">
      <c r="A3924" s="4">
        <v>25245200000000</v>
      </c>
      <c r="B3924" t="s">
        <v>18</v>
      </c>
      <c r="C3924">
        <v>31</v>
      </c>
      <c r="D3924" t="s">
        <v>37</v>
      </c>
      <c r="E3924" t="s">
        <v>50</v>
      </c>
      <c r="F3924" s="1">
        <v>42502</v>
      </c>
      <c r="G3924" s="1">
        <v>42502</v>
      </c>
      <c r="H3924" t="s">
        <v>33</v>
      </c>
      <c r="I3924">
        <v>0</v>
      </c>
      <c r="J3924" t="s">
        <v>111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23</v>
      </c>
      <c r="R3924">
        <v>0</v>
      </c>
    </row>
    <row r="3925" spans="1:18">
      <c r="A3925" s="4">
        <v>676234000000</v>
      </c>
      <c r="B3925" t="s">
        <v>28</v>
      </c>
      <c r="C3925">
        <v>62</v>
      </c>
      <c r="D3925" t="s">
        <v>35</v>
      </c>
      <c r="E3925" t="s">
        <v>91</v>
      </c>
      <c r="F3925" s="1">
        <v>42502</v>
      </c>
      <c r="G3925" s="1">
        <v>42502</v>
      </c>
      <c r="H3925" t="s">
        <v>33</v>
      </c>
      <c r="I3925">
        <v>0</v>
      </c>
      <c r="J3925" t="s">
        <v>111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t="s">
        <v>23</v>
      </c>
      <c r="R3925">
        <v>0</v>
      </c>
    </row>
    <row r="3926" spans="1:18">
      <c r="A3926" s="4">
        <v>761999000000000</v>
      </c>
      <c r="B3926" t="s">
        <v>28</v>
      </c>
      <c r="C3926">
        <v>27</v>
      </c>
      <c r="D3926" t="s">
        <v>37</v>
      </c>
      <c r="E3926" t="s">
        <v>20</v>
      </c>
      <c r="F3926" s="1">
        <v>42502</v>
      </c>
      <c r="G3926" s="1">
        <v>42502</v>
      </c>
      <c r="H3926" t="s">
        <v>33</v>
      </c>
      <c r="I3926">
        <v>0</v>
      </c>
      <c r="J3926" t="s">
        <v>111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23</v>
      </c>
      <c r="R3926">
        <v>0</v>
      </c>
    </row>
    <row r="3927" spans="1:18">
      <c r="A3927" s="4">
        <v>9877280000000</v>
      </c>
      <c r="B3927" t="s">
        <v>18</v>
      </c>
      <c r="C3927">
        <v>39</v>
      </c>
      <c r="D3927" t="s">
        <v>27</v>
      </c>
      <c r="E3927" t="s">
        <v>105</v>
      </c>
      <c r="F3927" s="1">
        <v>42502</v>
      </c>
      <c r="G3927" s="1">
        <v>42502</v>
      </c>
      <c r="H3927" t="s">
        <v>33</v>
      </c>
      <c r="I3927">
        <v>0</v>
      </c>
      <c r="J3927" t="s">
        <v>111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23</v>
      </c>
      <c r="R3927">
        <v>0</v>
      </c>
    </row>
    <row r="3928" spans="1:18">
      <c r="A3928" s="4">
        <v>416756000000000</v>
      </c>
      <c r="B3928" t="s">
        <v>28</v>
      </c>
      <c r="C3928">
        <v>33</v>
      </c>
      <c r="D3928" t="s">
        <v>37</v>
      </c>
      <c r="E3928" t="s">
        <v>68</v>
      </c>
      <c r="F3928" s="1">
        <v>42502</v>
      </c>
      <c r="G3928" s="1">
        <v>42502</v>
      </c>
      <c r="H3928" t="s">
        <v>33</v>
      </c>
      <c r="I3928">
        <v>0</v>
      </c>
      <c r="J3928" t="s">
        <v>111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23</v>
      </c>
      <c r="R3928">
        <v>0</v>
      </c>
    </row>
    <row r="3929" spans="1:18">
      <c r="A3929" s="4">
        <v>4923930000000</v>
      </c>
      <c r="B3929" t="s">
        <v>28</v>
      </c>
      <c r="C3929">
        <v>5</v>
      </c>
      <c r="D3929" t="s">
        <v>31</v>
      </c>
      <c r="E3929" t="s">
        <v>99</v>
      </c>
      <c r="F3929" s="1">
        <v>42502</v>
      </c>
      <c r="G3929" s="1">
        <v>42502</v>
      </c>
      <c r="H3929" t="s">
        <v>33</v>
      </c>
      <c r="I3929">
        <v>0</v>
      </c>
      <c r="J3929" t="s">
        <v>111</v>
      </c>
      <c r="K3929">
        <v>1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23</v>
      </c>
      <c r="R3929">
        <v>0</v>
      </c>
    </row>
    <row r="3930" spans="1:18">
      <c r="A3930" s="4">
        <v>5915380000000</v>
      </c>
      <c r="B3930" t="s">
        <v>28</v>
      </c>
      <c r="C3930">
        <v>54</v>
      </c>
      <c r="D3930" t="s">
        <v>35</v>
      </c>
      <c r="E3930" t="s">
        <v>52</v>
      </c>
      <c r="F3930" s="1">
        <v>42502</v>
      </c>
      <c r="G3930" s="1">
        <v>42502</v>
      </c>
      <c r="H3930" t="s">
        <v>33</v>
      </c>
      <c r="I3930">
        <v>0</v>
      </c>
      <c r="J3930" t="s">
        <v>111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23</v>
      </c>
      <c r="R3930">
        <v>0</v>
      </c>
    </row>
    <row r="3931" spans="1:18">
      <c r="A3931" s="4">
        <v>57359300000000</v>
      </c>
      <c r="B3931" t="s">
        <v>18</v>
      </c>
      <c r="C3931">
        <v>80</v>
      </c>
      <c r="D3931" t="s">
        <v>19</v>
      </c>
      <c r="E3931" t="s">
        <v>61</v>
      </c>
      <c r="F3931" s="1">
        <v>42502</v>
      </c>
      <c r="G3931" s="1">
        <v>42502</v>
      </c>
      <c r="H3931" t="s">
        <v>33</v>
      </c>
      <c r="I3931">
        <v>0</v>
      </c>
      <c r="J3931" t="s">
        <v>111</v>
      </c>
      <c r="K3931">
        <v>0</v>
      </c>
      <c r="L3931">
        <v>1</v>
      </c>
      <c r="M3931">
        <v>0</v>
      </c>
      <c r="N3931">
        <v>0</v>
      </c>
      <c r="O3931">
        <v>0</v>
      </c>
      <c r="P3931">
        <v>0</v>
      </c>
      <c r="Q3931" t="s">
        <v>23</v>
      </c>
      <c r="R3931">
        <v>0</v>
      </c>
    </row>
    <row r="3932" spans="1:18">
      <c r="A3932" s="4">
        <v>38347100000000</v>
      </c>
      <c r="B3932" t="s">
        <v>18</v>
      </c>
      <c r="C3932">
        <v>41</v>
      </c>
      <c r="D3932" t="s">
        <v>27</v>
      </c>
      <c r="E3932" t="s">
        <v>80</v>
      </c>
      <c r="F3932" s="1">
        <v>42502</v>
      </c>
      <c r="G3932" s="1">
        <v>42502</v>
      </c>
      <c r="H3932" t="s">
        <v>33</v>
      </c>
      <c r="I3932">
        <v>0</v>
      </c>
      <c r="J3932" t="s">
        <v>111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23</v>
      </c>
      <c r="R3932">
        <v>0</v>
      </c>
    </row>
    <row r="3933" spans="1:18">
      <c r="A3933" s="4">
        <v>56726400000000</v>
      </c>
      <c r="B3933" t="s">
        <v>18</v>
      </c>
      <c r="C3933">
        <v>19</v>
      </c>
      <c r="D3933" t="s">
        <v>37</v>
      </c>
      <c r="E3933" t="s">
        <v>44</v>
      </c>
      <c r="F3933" s="1">
        <v>42502</v>
      </c>
      <c r="G3933" s="1">
        <v>42506</v>
      </c>
      <c r="H3933" t="s">
        <v>30</v>
      </c>
      <c r="I3933">
        <v>4</v>
      </c>
      <c r="J3933" t="s">
        <v>107</v>
      </c>
      <c r="K3933">
        <v>1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23</v>
      </c>
      <c r="R3933">
        <v>0</v>
      </c>
    </row>
    <row r="3934" spans="1:18">
      <c r="A3934" s="4">
        <v>71479500000000</v>
      </c>
      <c r="B3934" t="s">
        <v>18</v>
      </c>
      <c r="C3934">
        <v>38</v>
      </c>
      <c r="D3934" t="s">
        <v>27</v>
      </c>
      <c r="E3934" t="s">
        <v>80</v>
      </c>
      <c r="F3934" s="1">
        <v>42502</v>
      </c>
      <c r="G3934" s="1">
        <v>42506</v>
      </c>
      <c r="H3934" t="s">
        <v>30</v>
      </c>
      <c r="I3934">
        <v>4</v>
      </c>
      <c r="J3934" t="s">
        <v>107</v>
      </c>
      <c r="K3934">
        <v>1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26</v>
      </c>
      <c r="R3934">
        <v>1</v>
      </c>
    </row>
    <row r="3935" spans="1:18">
      <c r="A3935" s="4">
        <v>4382787292</v>
      </c>
      <c r="B3935" t="s">
        <v>18</v>
      </c>
      <c r="C3935">
        <v>84</v>
      </c>
      <c r="D3935" t="s">
        <v>19</v>
      </c>
      <c r="E3935" t="s">
        <v>76</v>
      </c>
      <c r="F3935" s="1">
        <v>42502</v>
      </c>
      <c r="G3935" s="1">
        <v>42506</v>
      </c>
      <c r="H3935" t="s">
        <v>30</v>
      </c>
      <c r="I3935">
        <v>4</v>
      </c>
      <c r="J3935" t="s">
        <v>107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23</v>
      </c>
      <c r="R3935">
        <v>0</v>
      </c>
    </row>
    <row r="3936" spans="1:18">
      <c r="A3936" s="4">
        <v>5319970000000</v>
      </c>
      <c r="B3936" t="s">
        <v>18</v>
      </c>
      <c r="C3936">
        <v>57</v>
      </c>
      <c r="D3936" t="s">
        <v>35</v>
      </c>
      <c r="E3936" t="s">
        <v>29</v>
      </c>
      <c r="F3936" s="1">
        <v>42502</v>
      </c>
      <c r="G3936" s="1">
        <v>42507</v>
      </c>
      <c r="H3936" t="s">
        <v>41</v>
      </c>
      <c r="I3936">
        <v>5</v>
      </c>
      <c r="J3936" t="s">
        <v>107</v>
      </c>
      <c r="K3936">
        <v>0</v>
      </c>
      <c r="L3936">
        <v>1</v>
      </c>
      <c r="M3936">
        <v>0</v>
      </c>
      <c r="N3936">
        <v>0</v>
      </c>
      <c r="O3936">
        <v>0</v>
      </c>
      <c r="P3936">
        <v>0</v>
      </c>
      <c r="Q3936" t="s">
        <v>23</v>
      </c>
      <c r="R3936">
        <v>0</v>
      </c>
    </row>
    <row r="3937" spans="1:18">
      <c r="A3937" s="4">
        <v>78260000000000</v>
      </c>
      <c r="B3937" t="s">
        <v>28</v>
      </c>
      <c r="C3937">
        <v>69</v>
      </c>
      <c r="D3937" t="s">
        <v>19</v>
      </c>
      <c r="E3937" t="s">
        <v>59</v>
      </c>
      <c r="F3937" s="1">
        <v>42502</v>
      </c>
      <c r="G3937" s="1">
        <v>42506</v>
      </c>
      <c r="H3937" t="s">
        <v>30</v>
      </c>
      <c r="I3937">
        <v>4</v>
      </c>
      <c r="J3937" t="s">
        <v>107</v>
      </c>
      <c r="K3937">
        <v>0</v>
      </c>
      <c r="L3937">
        <v>1</v>
      </c>
      <c r="M3937">
        <v>0</v>
      </c>
      <c r="N3937">
        <v>0</v>
      </c>
      <c r="O3937">
        <v>0</v>
      </c>
      <c r="P3937">
        <v>0</v>
      </c>
      <c r="Q3937" t="s">
        <v>23</v>
      </c>
      <c r="R3937">
        <v>0</v>
      </c>
    </row>
    <row r="3938" spans="1:18">
      <c r="A3938" s="4">
        <v>74843900000000</v>
      </c>
      <c r="B3938" t="s">
        <v>18</v>
      </c>
      <c r="C3938">
        <v>27</v>
      </c>
      <c r="D3938" t="s">
        <v>37</v>
      </c>
      <c r="E3938" t="s">
        <v>51</v>
      </c>
      <c r="F3938" s="1">
        <v>42502</v>
      </c>
      <c r="G3938" s="1">
        <v>42502</v>
      </c>
      <c r="H3938" t="s">
        <v>33</v>
      </c>
      <c r="I3938">
        <v>0</v>
      </c>
      <c r="J3938" t="s">
        <v>111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23</v>
      </c>
      <c r="R3938">
        <v>0</v>
      </c>
    </row>
    <row r="3939" spans="1:18">
      <c r="A3939" s="4">
        <v>41471900000000</v>
      </c>
      <c r="B3939" t="s">
        <v>28</v>
      </c>
      <c r="C3939">
        <v>62</v>
      </c>
      <c r="D3939" t="s">
        <v>35</v>
      </c>
      <c r="E3939" t="s">
        <v>72</v>
      </c>
      <c r="F3939" s="1">
        <v>42502</v>
      </c>
      <c r="G3939" s="1">
        <v>42528</v>
      </c>
      <c r="H3939" t="s">
        <v>41</v>
      </c>
      <c r="I3939">
        <v>26</v>
      </c>
      <c r="J3939" t="s">
        <v>77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1</v>
      </c>
      <c r="Q3939" t="s">
        <v>23</v>
      </c>
      <c r="R3939">
        <v>0</v>
      </c>
    </row>
    <row r="3940" spans="1:18">
      <c r="A3940" s="4">
        <v>99427100000000</v>
      </c>
      <c r="B3940" t="s">
        <v>28</v>
      </c>
      <c r="C3940">
        <v>57</v>
      </c>
      <c r="D3940" t="s">
        <v>35</v>
      </c>
      <c r="E3940" t="s">
        <v>40</v>
      </c>
      <c r="F3940" s="1">
        <v>42502</v>
      </c>
      <c r="G3940" s="1">
        <v>42506</v>
      </c>
      <c r="H3940" t="s">
        <v>30</v>
      </c>
      <c r="I3940">
        <v>4</v>
      </c>
      <c r="J3940" t="s">
        <v>107</v>
      </c>
      <c r="K3940">
        <v>0</v>
      </c>
      <c r="L3940">
        <v>1</v>
      </c>
      <c r="M3940">
        <v>0</v>
      </c>
      <c r="N3940">
        <v>0</v>
      </c>
      <c r="O3940">
        <v>0</v>
      </c>
      <c r="P3940">
        <v>0</v>
      </c>
      <c r="Q3940" t="s">
        <v>23</v>
      </c>
      <c r="R3940">
        <v>0</v>
      </c>
    </row>
    <row r="3941" spans="1:18">
      <c r="A3941" s="4">
        <v>34316000000000</v>
      </c>
      <c r="B3941" t="s">
        <v>18</v>
      </c>
      <c r="C3941">
        <v>78</v>
      </c>
      <c r="D3941" t="s">
        <v>19</v>
      </c>
      <c r="E3941" t="s">
        <v>29</v>
      </c>
      <c r="F3941" s="1">
        <v>42502</v>
      </c>
      <c r="G3941" s="1">
        <v>42506</v>
      </c>
      <c r="H3941" t="s">
        <v>30</v>
      </c>
      <c r="I3941">
        <v>4</v>
      </c>
      <c r="J3941" t="s">
        <v>107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26</v>
      </c>
      <c r="R3941">
        <v>1</v>
      </c>
    </row>
    <row r="3942" spans="1:18">
      <c r="A3942" s="4">
        <v>692157000000000</v>
      </c>
      <c r="B3942" t="s">
        <v>18</v>
      </c>
      <c r="C3942">
        <v>6</v>
      </c>
      <c r="D3942" t="s">
        <v>31</v>
      </c>
      <c r="E3942" t="s">
        <v>29</v>
      </c>
      <c r="F3942" s="1">
        <v>42502</v>
      </c>
      <c r="G3942" s="1">
        <v>42510</v>
      </c>
      <c r="H3942" t="s">
        <v>21</v>
      </c>
      <c r="I3942">
        <v>8</v>
      </c>
      <c r="J3942" t="s">
        <v>92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23</v>
      </c>
      <c r="R3942">
        <v>0</v>
      </c>
    </row>
    <row r="3943" spans="1:18">
      <c r="A3943" s="4">
        <v>467236000000000</v>
      </c>
      <c r="B3943" t="s">
        <v>18</v>
      </c>
      <c r="C3943">
        <v>27</v>
      </c>
      <c r="D3943" t="s">
        <v>37</v>
      </c>
      <c r="E3943" t="s">
        <v>36</v>
      </c>
      <c r="F3943" s="1">
        <v>42502</v>
      </c>
      <c r="G3943" s="1">
        <v>42502</v>
      </c>
      <c r="H3943" t="s">
        <v>33</v>
      </c>
      <c r="I3943">
        <v>0</v>
      </c>
      <c r="J3943" t="s">
        <v>111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23</v>
      </c>
      <c r="R3943">
        <v>0</v>
      </c>
    </row>
    <row r="3944" spans="1:18">
      <c r="A3944" s="4">
        <v>3665430000000</v>
      </c>
      <c r="B3944" t="s">
        <v>18</v>
      </c>
      <c r="C3944">
        <v>57</v>
      </c>
      <c r="D3944" t="s">
        <v>35</v>
      </c>
      <c r="E3944" t="s">
        <v>46</v>
      </c>
      <c r="F3944" s="1">
        <v>42502</v>
      </c>
      <c r="G3944" s="1">
        <v>42502</v>
      </c>
      <c r="H3944" t="s">
        <v>33</v>
      </c>
      <c r="I3944">
        <v>0</v>
      </c>
      <c r="J3944" t="s">
        <v>111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 t="s">
        <v>23</v>
      </c>
      <c r="R3944">
        <v>0</v>
      </c>
    </row>
    <row r="3945" spans="1:18">
      <c r="A3945" s="4">
        <v>8971842352</v>
      </c>
      <c r="B3945" t="s">
        <v>18</v>
      </c>
      <c r="C3945">
        <v>55</v>
      </c>
      <c r="D3945" t="s">
        <v>35</v>
      </c>
      <c r="E3945" t="s">
        <v>96</v>
      </c>
      <c r="F3945" s="1">
        <v>42502</v>
      </c>
      <c r="G3945" s="1">
        <v>42502</v>
      </c>
      <c r="H3945" t="s">
        <v>33</v>
      </c>
      <c r="I3945">
        <v>0</v>
      </c>
      <c r="J3945" t="s">
        <v>111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23</v>
      </c>
      <c r="R3945">
        <v>0</v>
      </c>
    </row>
    <row r="3946" spans="1:18">
      <c r="A3946" s="4">
        <v>88863100000000</v>
      </c>
      <c r="B3946" t="s">
        <v>18</v>
      </c>
      <c r="C3946">
        <v>47</v>
      </c>
      <c r="D3946" t="s">
        <v>27</v>
      </c>
      <c r="E3946" t="s">
        <v>50</v>
      </c>
      <c r="F3946" s="1">
        <v>42502</v>
      </c>
      <c r="G3946" s="1">
        <v>42502</v>
      </c>
      <c r="H3946" t="s">
        <v>33</v>
      </c>
      <c r="I3946">
        <v>0</v>
      </c>
      <c r="J3946" t="s">
        <v>111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23</v>
      </c>
      <c r="R3946">
        <v>0</v>
      </c>
    </row>
    <row r="3947" spans="1:18">
      <c r="A3947" s="4">
        <v>49782700000000</v>
      </c>
      <c r="B3947" t="s">
        <v>18</v>
      </c>
      <c r="C3947">
        <v>15</v>
      </c>
      <c r="D3947" t="s">
        <v>60</v>
      </c>
      <c r="E3947" t="s">
        <v>74</v>
      </c>
      <c r="F3947" s="1">
        <v>42502</v>
      </c>
      <c r="G3947" s="1">
        <v>42506</v>
      </c>
      <c r="H3947" t="s">
        <v>30</v>
      </c>
      <c r="I3947">
        <v>4</v>
      </c>
      <c r="J3947" t="s">
        <v>107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23</v>
      </c>
      <c r="R3947">
        <v>0</v>
      </c>
    </row>
    <row r="3948" spans="1:18">
      <c r="A3948" s="4">
        <v>5838720000000</v>
      </c>
      <c r="B3948" t="s">
        <v>18</v>
      </c>
      <c r="C3948">
        <v>17</v>
      </c>
      <c r="D3948" t="s">
        <v>60</v>
      </c>
      <c r="E3948" t="s">
        <v>80</v>
      </c>
      <c r="F3948" s="1">
        <v>42502</v>
      </c>
      <c r="G3948" s="1">
        <v>42508</v>
      </c>
      <c r="H3948" t="s">
        <v>25</v>
      </c>
      <c r="I3948">
        <v>6</v>
      </c>
      <c r="J3948" t="s">
        <v>107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23</v>
      </c>
      <c r="R3948">
        <v>0</v>
      </c>
    </row>
    <row r="3949" spans="1:18">
      <c r="A3949" s="4">
        <v>81912300000000</v>
      </c>
      <c r="B3949" t="s">
        <v>18</v>
      </c>
      <c r="C3949">
        <v>0</v>
      </c>
      <c r="D3949" t="s">
        <v>31</v>
      </c>
      <c r="E3949" t="s">
        <v>48</v>
      </c>
      <c r="F3949" s="1">
        <v>42502</v>
      </c>
      <c r="G3949" s="1">
        <v>42506</v>
      </c>
      <c r="H3949" t="s">
        <v>30</v>
      </c>
      <c r="I3949">
        <v>4</v>
      </c>
      <c r="J3949" t="s">
        <v>107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23</v>
      </c>
      <c r="R3949">
        <v>0</v>
      </c>
    </row>
    <row r="3950" spans="1:18">
      <c r="A3950" s="4">
        <v>4282730000000</v>
      </c>
      <c r="B3950" t="s">
        <v>18</v>
      </c>
      <c r="C3950">
        <v>34</v>
      </c>
      <c r="D3950" t="s">
        <v>37</v>
      </c>
      <c r="E3950" t="s">
        <v>29</v>
      </c>
      <c r="F3950" s="1">
        <v>42502</v>
      </c>
      <c r="G3950" s="1">
        <v>42502</v>
      </c>
      <c r="H3950" t="s">
        <v>33</v>
      </c>
      <c r="I3950">
        <v>0</v>
      </c>
      <c r="J3950" t="s">
        <v>111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23</v>
      </c>
      <c r="R3950">
        <v>0</v>
      </c>
    </row>
    <row r="3951" spans="1:18">
      <c r="A3951" s="4">
        <v>3581230000000</v>
      </c>
      <c r="B3951" t="s">
        <v>18</v>
      </c>
      <c r="C3951">
        <v>46</v>
      </c>
      <c r="D3951" t="s">
        <v>27</v>
      </c>
      <c r="E3951" t="s">
        <v>95</v>
      </c>
      <c r="F3951" s="1">
        <v>42502</v>
      </c>
      <c r="G3951" s="1">
        <v>42521</v>
      </c>
      <c r="H3951" t="s">
        <v>41</v>
      </c>
      <c r="I3951">
        <v>19</v>
      </c>
      <c r="J3951" t="s">
        <v>77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1</v>
      </c>
      <c r="Q3951" t="s">
        <v>23</v>
      </c>
      <c r="R3951">
        <v>0</v>
      </c>
    </row>
    <row r="3952" spans="1:18">
      <c r="A3952" s="4">
        <v>62318872412</v>
      </c>
      <c r="B3952" t="s">
        <v>18</v>
      </c>
      <c r="C3952">
        <v>61</v>
      </c>
      <c r="D3952" t="s">
        <v>35</v>
      </c>
      <c r="E3952" t="s">
        <v>65</v>
      </c>
      <c r="F3952" s="1">
        <v>42502</v>
      </c>
      <c r="G3952" s="1">
        <v>42514</v>
      </c>
      <c r="H3952" t="s">
        <v>41</v>
      </c>
      <c r="I3952">
        <v>12</v>
      </c>
      <c r="J3952" t="s">
        <v>92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1</v>
      </c>
      <c r="Q3952" t="s">
        <v>23</v>
      </c>
      <c r="R3952">
        <v>0</v>
      </c>
    </row>
    <row r="3953" spans="1:18">
      <c r="A3953" s="4">
        <v>61462392715</v>
      </c>
      <c r="B3953" t="s">
        <v>18</v>
      </c>
      <c r="C3953">
        <v>8</v>
      </c>
      <c r="D3953" t="s">
        <v>31</v>
      </c>
      <c r="E3953" t="s">
        <v>39</v>
      </c>
      <c r="F3953" s="1">
        <v>42502</v>
      </c>
      <c r="G3953" s="1">
        <v>42502</v>
      </c>
      <c r="H3953" t="s">
        <v>33</v>
      </c>
      <c r="I3953">
        <v>0</v>
      </c>
      <c r="J3953" t="s">
        <v>111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23</v>
      </c>
      <c r="R3953">
        <v>0</v>
      </c>
    </row>
    <row r="3954" spans="1:18">
      <c r="A3954" s="4">
        <v>516385000000000</v>
      </c>
      <c r="B3954" t="s">
        <v>18</v>
      </c>
      <c r="C3954">
        <v>23</v>
      </c>
      <c r="D3954" t="s">
        <v>37</v>
      </c>
      <c r="E3954" t="s">
        <v>29</v>
      </c>
      <c r="F3954" s="1">
        <v>42502</v>
      </c>
      <c r="G3954" s="1">
        <v>42503</v>
      </c>
      <c r="H3954" t="s">
        <v>21</v>
      </c>
      <c r="I3954">
        <v>1</v>
      </c>
      <c r="J3954" t="s">
        <v>109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23</v>
      </c>
      <c r="R3954">
        <v>0</v>
      </c>
    </row>
    <row r="3955" spans="1:18">
      <c r="A3955" s="4">
        <v>15772523636</v>
      </c>
      <c r="B3955" t="s">
        <v>18</v>
      </c>
      <c r="C3955">
        <v>75</v>
      </c>
      <c r="D3955" t="s">
        <v>19</v>
      </c>
      <c r="E3955" t="s">
        <v>68</v>
      </c>
      <c r="F3955" s="1">
        <v>42502</v>
      </c>
      <c r="G3955" s="1">
        <v>42523</v>
      </c>
      <c r="H3955" t="s">
        <v>33</v>
      </c>
      <c r="I3955">
        <v>21</v>
      </c>
      <c r="J3955" t="s">
        <v>77</v>
      </c>
      <c r="K3955">
        <v>0</v>
      </c>
      <c r="L3955">
        <v>1</v>
      </c>
      <c r="M3955">
        <v>1</v>
      </c>
      <c r="N3955">
        <v>0</v>
      </c>
      <c r="O3955">
        <v>0</v>
      </c>
      <c r="P3955">
        <v>1</v>
      </c>
      <c r="Q3955" t="s">
        <v>23</v>
      </c>
      <c r="R3955">
        <v>0</v>
      </c>
    </row>
    <row r="3956" spans="1:18">
      <c r="A3956" s="4">
        <v>89698200000000</v>
      </c>
      <c r="B3956" t="s">
        <v>28</v>
      </c>
      <c r="C3956">
        <v>85</v>
      </c>
      <c r="D3956" t="s">
        <v>19</v>
      </c>
      <c r="E3956" t="s">
        <v>68</v>
      </c>
      <c r="F3956" s="1">
        <v>42502</v>
      </c>
      <c r="G3956" s="1">
        <v>42529</v>
      </c>
      <c r="H3956" t="s">
        <v>25</v>
      </c>
      <c r="I3956">
        <v>27</v>
      </c>
      <c r="J3956" t="s">
        <v>77</v>
      </c>
      <c r="K3956">
        <v>0</v>
      </c>
      <c r="L3956">
        <v>1</v>
      </c>
      <c r="M3956">
        <v>1</v>
      </c>
      <c r="N3956">
        <v>0</v>
      </c>
      <c r="O3956">
        <v>0</v>
      </c>
      <c r="P3956">
        <v>1</v>
      </c>
      <c r="Q3956" t="s">
        <v>23</v>
      </c>
      <c r="R3956">
        <v>0</v>
      </c>
    </row>
    <row r="3957" spans="1:18">
      <c r="A3957" s="4">
        <v>87498900000000</v>
      </c>
      <c r="B3957" t="s">
        <v>18</v>
      </c>
      <c r="C3957">
        <v>20</v>
      </c>
      <c r="D3957" t="s">
        <v>37</v>
      </c>
      <c r="E3957" t="s">
        <v>63</v>
      </c>
      <c r="F3957" s="1">
        <v>42502</v>
      </c>
      <c r="G3957" s="1">
        <v>42502</v>
      </c>
      <c r="H3957" t="s">
        <v>33</v>
      </c>
      <c r="I3957">
        <v>0</v>
      </c>
      <c r="J3957" t="s">
        <v>111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 t="s">
        <v>23</v>
      </c>
      <c r="R3957">
        <v>0</v>
      </c>
    </row>
    <row r="3958" spans="1:18">
      <c r="A3958" s="4">
        <v>88776500000000</v>
      </c>
      <c r="B3958" t="s">
        <v>18</v>
      </c>
      <c r="C3958">
        <v>11</v>
      </c>
      <c r="D3958" t="s">
        <v>31</v>
      </c>
      <c r="E3958" t="s">
        <v>96</v>
      </c>
      <c r="F3958" s="1">
        <v>42502</v>
      </c>
      <c r="G3958" s="1">
        <v>42514</v>
      </c>
      <c r="H3958" t="s">
        <v>41</v>
      </c>
      <c r="I3958">
        <v>12</v>
      </c>
      <c r="J3958" t="s">
        <v>92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1</v>
      </c>
      <c r="Q3958" t="s">
        <v>26</v>
      </c>
      <c r="R3958">
        <v>1</v>
      </c>
    </row>
    <row r="3959" spans="1:18">
      <c r="A3959" s="4">
        <v>3866570000000</v>
      </c>
      <c r="B3959" t="s">
        <v>18</v>
      </c>
      <c r="C3959">
        <v>27</v>
      </c>
      <c r="D3959" t="s">
        <v>37</v>
      </c>
      <c r="E3959" t="s">
        <v>38</v>
      </c>
      <c r="F3959" s="1">
        <v>42502</v>
      </c>
      <c r="G3959" s="1">
        <v>42522</v>
      </c>
      <c r="H3959" t="s">
        <v>25</v>
      </c>
      <c r="I3959">
        <v>20</v>
      </c>
      <c r="J3959" t="s">
        <v>77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1</v>
      </c>
      <c r="Q3959" t="s">
        <v>26</v>
      </c>
      <c r="R3959">
        <v>1</v>
      </c>
    </row>
    <row r="3960" spans="1:18">
      <c r="A3960" s="4">
        <v>48699989773</v>
      </c>
      <c r="B3960" t="s">
        <v>18</v>
      </c>
      <c r="C3960">
        <v>1</v>
      </c>
      <c r="D3960" t="s">
        <v>31</v>
      </c>
      <c r="E3960" t="s">
        <v>39</v>
      </c>
      <c r="F3960" s="1">
        <v>42502</v>
      </c>
      <c r="G3960" s="1">
        <v>42503</v>
      </c>
      <c r="H3960" t="s">
        <v>21</v>
      </c>
      <c r="I3960">
        <v>1</v>
      </c>
      <c r="J3960" t="s">
        <v>109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23</v>
      </c>
      <c r="R3960">
        <v>0</v>
      </c>
    </row>
    <row r="3961" spans="1:18">
      <c r="A3961" s="4">
        <v>682348000000000</v>
      </c>
      <c r="B3961" t="s">
        <v>18</v>
      </c>
      <c r="C3961">
        <v>63</v>
      </c>
      <c r="D3961" t="s">
        <v>35</v>
      </c>
      <c r="E3961" t="s">
        <v>65</v>
      </c>
      <c r="F3961" s="1">
        <v>42502</v>
      </c>
      <c r="G3961" s="1">
        <v>42509</v>
      </c>
      <c r="H3961" t="s">
        <v>33</v>
      </c>
      <c r="I3961">
        <v>7</v>
      </c>
      <c r="J3961" t="s">
        <v>107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23</v>
      </c>
      <c r="R3961">
        <v>0</v>
      </c>
    </row>
    <row r="3962" spans="1:18">
      <c r="A3962" s="4">
        <v>11568100000000</v>
      </c>
      <c r="B3962" t="s">
        <v>18</v>
      </c>
      <c r="C3962">
        <v>62</v>
      </c>
      <c r="D3962" t="s">
        <v>35</v>
      </c>
      <c r="E3962" t="s">
        <v>55</v>
      </c>
      <c r="F3962" s="1">
        <v>42502</v>
      </c>
      <c r="G3962" s="1">
        <v>42502</v>
      </c>
      <c r="H3962" t="s">
        <v>33</v>
      </c>
      <c r="I3962">
        <v>0</v>
      </c>
      <c r="J3962" t="s">
        <v>111</v>
      </c>
      <c r="K3962">
        <v>0</v>
      </c>
      <c r="L3962">
        <v>0</v>
      </c>
      <c r="M3962">
        <v>1</v>
      </c>
      <c r="N3962">
        <v>0</v>
      </c>
      <c r="O3962">
        <v>0</v>
      </c>
      <c r="P3962">
        <v>0</v>
      </c>
      <c r="Q3962" t="s">
        <v>23</v>
      </c>
      <c r="R3962">
        <v>0</v>
      </c>
    </row>
    <row r="3963" spans="1:18">
      <c r="A3963" s="4">
        <v>81858000000000</v>
      </c>
      <c r="B3963" t="s">
        <v>18</v>
      </c>
      <c r="C3963">
        <v>91</v>
      </c>
      <c r="D3963" t="s">
        <v>19</v>
      </c>
      <c r="E3963" t="s">
        <v>58</v>
      </c>
      <c r="F3963" s="1">
        <v>42502</v>
      </c>
      <c r="G3963" s="1">
        <v>42509</v>
      </c>
      <c r="H3963" t="s">
        <v>33</v>
      </c>
      <c r="I3963">
        <v>7</v>
      </c>
      <c r="J3963" t="s">
        <v>107</v>
      </c>
      <c r="K3963">
        <v>0</v>
      </c>
      <c r="L3963">
        <v>1</v>
      </c>
      <c r="M3963">
        <v>0</v>
      </c>
      <c r="N3963">
        <v>0</v>
      </c>
      <c r="O3963">
        <v>0</v>
      </c>
      <c r="P3963">
        <v>0</v>
      </c>
      <c r="Q3963" t="s">
        <v>26</v>
      </c>
      <c r="R3963">
        <v>1</v>
      </c>
    </row>
    <row r="3964" spans="1:18">
      <c r="A3964" s="4">
        <v>74946500000000</v>
      </c>
      <c r="B3964" t="s">
        <v>28</v>
      </c>
      <c r="C3964">
        <v>0</v>
      </c>
      <c r="D3964" t="s">
        <v>31</v>
      </c>
      <c r="E3964" t="s">
        <v>48</v>
      </c>
      <c r="F3964" s="1">
        <v>42502</v>
      </c>
      <c r="G3964" s="1">
        <v>42502</v>
      </c>
      <c r="H3964" t="s">
        <v>33</v>
      </c>
      <c r="I3964">
        <v>0</v>
      </c>
      <c r="J3964" t="s">
        <v>111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23</v>
      </c>
      <c r="R3964">
        <v>0</v>
      </c>
    </row>
    <row r="3965" spans="1:18">
      <c r="A3965" s="4">
        <v>38152700000000</v>
      </c>
      <c r="B3965" t="s">
        <v>18</v>
      </c>
      <c r="C3965">
        <v>71</v>
      </c>
      <c r="D3965" t="s">
        <v>19</v>
      </c>
      <c r="E3965" t="s">
        <v>72</v>
      </c>
      <c r="F3965" s="1">
        <v>42502</v>
      </c>
      <c r="G3965" s="1">
        <v>42502</v>
      </c>
      <c r="H3965" t="s">
        <v>33</v>
      </c>
      <c r="I3965">
        <v>0</v>
      </c>
      <c r="J3965" t="s">
        <v>111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23</v>
      </c>
      <c r="R3965">
        <v>0</v>
      </c>
    </row>
    <row r="3966" spans="1:18">
      <c r="A3966" s="4">
        <v>89614500000000</v>
      </c>
      <c r="B3966" t="s">
        <v>18</v>
      </c>
      <c r="C3966">
        <v>82</v>
      </c>
      <c r="D3966" t="s">
        <v>19</v>
      </c>
      <c r="E3966" t="s">
        <v>58</v>
      </c>
      <c r="F3966" s="1">
        <v>42502</v>
      </c>
      <c r="G3966" s="1">
        <v>42507</v>
      </c>
      <c r="H3966" t="s">
        <v>41</v>
      </c>
      <c r="I3966">
        <v>5</v>
      </c>
      <c r="J3966" t="s">
        <v>107</v>
      </c>
      <c r="K3966">
        <v>0</v>
      </c>
      <c r="L3966">
        <v>1</v>
      </c>
      <c r="M3966">
        <v>0</v>
      </c>
      <c r="N3966">
        <v>0</v>
      </c>
      <c r="O3966">
        <v>0</v>
      </c>
      <c r="P3966">
        <v>0</v>
      </c>
      <c r="Q3966" t="s">
        <v>23</v>
      </c>
      <c r="R3966">
        <v>0</v>
      </c>
    </row>
    <row r="3967" spans="1:18">
      <c r="A3967" s="4">
        <v>196542000000</v>
      </c>
      <c r="B3967" t="s">
        <v>18</v>
      </c>
      <c r="C3967">
        <v>12</v>
      </c>
      <c r="D3967" t="s">
        <v>31</v>
      </c>
      <c r="E3967" t="s">
        <v>68</v>
      </c>
      <c r="F3967" s="1">
        <v>42502</v>
      </c>
      <c r="G3967" s="1">
        <v>42523</v>
      </c>
      <c r="H3967" t="s">
        <v>33</v>
      </c>
      <c r="I3967">
        <v>21</v>
      </c>
      <c r="J3967" t="s">
        <v>77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1</v>
      </c>
      <c r="Q3967" t="s">
        <v>26</v>
      </c>
      <c r="R3967">
        <v>1</v>
      </c>
    </row>
    <row r="3968" spans="1:18">
      <c r="A3968" s="4">
        <v>178919000000000</v>
      </c>
      <c r="B3968" t="s">
        <v>18</v>
      </c>
      <c r="C3968">
        <v>46</v>
      </c>
      <c r="D3968" t="s">
        <v>27</v>
      </c>
      <c r="E3968" t="s">
        <v>106</v>
      </c>
      <c r="F3968" s="1">
        <v>42502</v>
      </c>
      <c r="G3968" s="1">
        <v>42502</v>
      </c>
      <c r="H3968" t="s">
        <v>33</v>
      </c>
      <c r="I3968">
        <v>0</v>
      </c>
      <c r="J3968" t="s">
        <v>111</v>
      </c>
      <c r="K3968">
        <v>1</v>
      </c>
      <c r="L3968">
        <v>1</v>
      </c>
      <c r="M3968">
        <v>0</v>
      </c>
      <c r="N3968">
        <v>0</v>
      </c>
      <c r="O3968">
        <v>0</v>
      </c>
      <c r="P3968">
        <v>0</v>
      </c>
      <c r="Q3968" t="s">
        <v>23</v>
      </c>
      <c r="R3968">
        <v>0</v>
      </c>
    </row>
    <row r="3969" spans="1:18">
      <c r="A3969" s="4">
        <v>798900000000000</v>
      </c>
      <c r="B3969" t="s">
        <v>18</v>
      </c>
      <c r="C3969">
        <v>68</v>
      </c>
      <c r="D3969" t="s">
        <v>19</v>
      </c>
      <c r="E3969" t="s">
        <v>29</v>
      </c>
      <c r="F3969" s="1">
        <v>42502</v>
      </c>
      <c r="G3969" s="1">
        <v>42507</v>
      </c>
      <c r="H3969" t="s">
        <v>41</v>
      </c>
      <c r="I3969">
        <v>5</v>
      </c>
      <c r="J3969" t="s">
        <v>107</v>
      </c>
      <c r="K3969">
        <v>0</v>
      </c>
      <c r="L3969">
        <v>1</v>
      </c>
      <c r="M3969">
        <v>0</v>
      </c>
      <c r="N3969">
        <v>0</v>
      </c>
      <c r="O3969">
        <v>0</v>
      </c>
      <c r="P3969">
        <v>0</v>
      </c>
      <c r="Q3969" t="s">
        <v>23</v>
      </c>
      <c r="R3969">
        <v>0</v>
      </c>
    </row>
    <row r="3970" spans="1:18">
      <c r="A3970" s="4">
        <v>134337000000000</v>
      </c>
      <c r="B3970" t="s">
        <v>28</v>
      </c>
      <c r="C3970">
        <v>74</v>
      </c>
      <c r="D3970" t="s">
        <v>19</v>
      </c>
      <c r="E3970" t="s">
        <v>50</v>
      </c>
      <c r="F3970" s="1">
        <v>42502</v>
      </c>
      <c r="G3970" s="1">
        <v>42502</v>
      </c>
      <c r="H3970" t="s">
        <v>33</v>
      </c>
      <c r="I3970">
        <v>0</v>
      </c>
      <c r="J3970" t="s">
        <v>111</v>
      </c>
      <c r="K3970">
        <v>0</v>
      </c>
      <c r="L3970">
        <v>1</v>
      </c>
      <c r="M3970">
        <v>0</v>
      </c>
      <c r="N3970">
        <v>0</v>
      </c>
      <c r="O3970">
        <v>0</v>
      </c>
      <c r="P3970">
        <v>0</v>
      </c>
      <c r="Q3970" t="s">
        <v>23</v>
      </c>
      <c r="R3970">
        <v>0</v>
      </c>
    </row>
    <row r="3971" spans="1:18">
      <c r="A3971" s="4">
        <v>51114500000000</v>
      </c>
      <c r="B3971" t="s">
        <v>18</v>
      </c>
      <c r="C3971">
        <v>49</v>
      </c>
      <c r="D3971" t="s">
        <v>27</v>
      </c>
      <c r="E3971" t="s">
        <v>29</v>
      </c>
      <c r="F3971" s="1">
        <v>42502</v>
      </c>
      <c r="G3971" s="1">
        <v>42502</v>
      </c>
      <c r="H3971" t="s">
        <v>33</v>
      </c>
      <c r="I3971">
        <v>0</v>
      </c>
      <c r="J3971" t="s">
        <v>111</v>
      </c>
      <c r="K3971">
        <v>0</v>
      </c>
      <c r="L3971">
        <v>1</v>
      </c>
      <c r="M3971">
        <v>0</v>
      </c>
      <c r="N3971">
        <v>0</v>
      </c>
      <c r="O3971">
        <v>0</v>
      </c>
      <c r="P3971">
        <v>0</v>
      </c>
      <c r="Q3971" t="s">
        <v>23</v>
      </c>
      <c r="R3971">
        <v>0</v>
      </c>
    </row>
    <row r="3972" spans="1:18">
      <c r="A3972" s="4">
        <v>14127700000000</v>
      </c>
      <c r="B3972" t="s">
        <v>18</v>
      </c>
      <c r="C3972">
        <v>73</v>
      </c>
      <c r="D3972" t="s">
        <v>19</v>
      </c>
      <c r="E3972" t="s">
        <v>39</v>
      </c>
      <c r="F3972" s="1">
        <v>42502</v>
      </c>
      <c r="G3972" s="1">
        <v>42502</v>
      </c>
      <c r="H3972" t="s">
        <v>33</v>
      </c>
      <c r="I3972">
        <v>0</v>
      </c>
      <c r="J3972" t="s">
        <v>111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23</v>
      </c>
      <c r="R3972">
        <v>0</v>
      </c>
    </row>
    <row r="3973" spans="1:18">
      <c r="A3973" s="4">
        <v>456152000000000</v>
      </c>
      <c r="B3973" t="s">
        <v>28</v>
      </c>
      <c r="C3973">
        <v>0</v>
      </c>
      <c r="D3973" t="s">
        <v>31</v>
      </c>
      <c r="E3973" t="s">
        <v>84</v>
      </c>
      <c r="F3973" s="1">
        <v>42502</v>
      </c>
      <c r="G3973" s="1">
        <v>42507</v>
      </c>
      <c r="H3973" t="s">
        <v>41</v>
      </c>
      <c r="I3973">
        <v>5</v>
      </c>
      <c r="J3973" t="s">
        <v>107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26</v>
      </c>
      <c r="R3973">
        <v>1</v>
      </c>
    </row>
    <row r="3974" spans="1:18">
      <c r="A3974" s="4">
        <v>94367600000000</v>
      </c>
      <c r="B3974" t="s">
        <v>28</v>
      </c>
      <c r="C3974">
        <v>62</v>
      </c>
      <c r="D3974" t="s">
        <v>35</v>
      </c>
      <c r="E3974" t="s">
        <v>29</v>
      </c>
      <c r="F3974" s="1">
        <v>42502</v>
      </c>
      <c r="G3974" s="1">
        <v>42506</v>
      </c>
      <c r="H3974" t="s">
        <v>30</v>
      </c>
      <c r="I3974">
        <v>4</v>
      </c>
      <c r="J3974" t="s">
        <v>107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23</v>
      </c>
      <c r="R3974">
        <v>0</v>
      </c>
    </row>
    <row r="3975" spans="1:18">
      <c r="A3975" s="4">
        <v>65412300000000</v>
      </c>
      <c r="B3975" t="s">
        <v>18</v>
      </c>
      <c r="C3975">
        <v>20</v>
      </c>
      <c r="D3975" t="s">
        <v>37</v>
      </c>
      <c r="E3975" t="s">
        <v>69</v>
      </c>
      <c r="F3975" s="1">
        <v>42502</v>
      </c>
      <c r="G3975" s="1">
        <v>42502</v>
      </c>
      <c r="H3975" t="s">
        <v>33</v>
      </c>
      <c r="I3975">
        <v>0</v>
      </c>
      <c r="J3975" t="s">
        <v>111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23</v>
      </c>
      <c r="R3975">
        <v>0</v>
      </c>
    </row>
    <row r="3976" spans="1:18">
      <c r="A3976" s="4">
        <v>23218748321</v>
      </c>
      <c r="B3976" t="s">
        <v>18</v>
      </c>
      <c r="C3976">
        <v>90</v>
      </c>
      <c r="D3976" t="s">
        <v>19</v>
      </c>
      <c r="E3976" t="s">
        <v>58</v>
      </c>
      <c r="F3976" s="1">
        <v>42502</v>
      </c>
      <c r="G3976" s="1">
        <v>42507</v>
      </c>
      <c r="H3976" t="s">
        <v>41</v>
      </c>
      <c r="I3976">
        <v>5</v>
      </c>
      <c r="J3976" t="s">
        <v>107</v>
      </c>
      <c r="K3976">
        <v>0</v>
      </c>
      <c r="L3976">
        <v>1</v>
      </c>
      <c r="M3976">
        <v>1</v>
      </c>
      <c r="N3976">
        <v>0</v>
      </c>
      <c r="O3976">
        <v>0</v>
      </c>
      <c r="P3976">
        <v>0</v>
      </c>
      <c r="Q3976" t="s">
        <v>23</v>
      </c>
      <c r="R3976">
        <v>0</v>
      </c>
    </row>
    <row r="3977" spans="1:18">
      <c r="A3977" s="4">
        <v>49735300000000</v>
      </c>
      <c r="B3977" t="s">
        <v>18</v>
      </c>
      <c r="C3977">
        <v>16</v>
      </c>
      <c r="D3977" t="s">
        <v>60</v>
      </c>
      <c r="E3977" t="s">
        <v>34</v>
      </c>
      <c r="F3977" s="1">
        <v>42502</v>
      </c>
      <c r="G3977" s="1">
        <v>42523</v>
      </c>
      <c r="H3977" t="s">
        <v>33</v>
      </c>
      <c r="I3977">
        <v>21</v>
      </c>
      <c r="J3977" t="s">
        <v>77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1</v>
      </c>
      <c r="Q3977" t="s">
        <v>23</v>
      </c>
      <c r="R3977">
        <v>0</v>
      </c>
    </row>
    <row r="3978" spans="1:18">
      <c r="A3978" s="4">
        <v>533693000000</v>
      </c>
      <c r="B3978" t="s">
        <v>28</v>
      </c>
      <c r="C3978">
        <v>77</v>
      </c>
      <c r="D3978" t="s">
        <v>19</v>
      </c>
      <c r="E3978" t="s">
        <v>47</v>
      </c>
      <c r="F3978" s="1">
        <v>42502</v>
      </c>
      <c r="G3978" s="1">
        <v>42507</v>
      </c>
      <c r="H3978" t="s">
        <v>41</v>
      </c>
      <c r="I3978">
        <v>5</v>
      </c>
      <c r="J3978" t="s">
        <v>107</v>
      </c>
      <c r="K3978">
        <v>0</v>
      </c>
      <c r="L3978">
        <v>1</v>
      </c>
      <c r="M3978">
        <v>1</v>
      </c>
      <c r="N3978">
        <v>0</v>
      </c>
      <c r="O3978">
        <v>0</v>
      </c>
      <c r="P3978">
        <v>0</v>
      </c>
      <c r="Q3978" t="s">
        <v>23</v>
      </c>
      <c r="R3978">
        <v>0</v>
      </c>
    </row>
    <row r="3979" spans="1:18">
      <c r="A3979" s="4">
        <v>465132000000000</v>
      </c>
      <c r="B3979" t="s">
        <v>18</v>
      </c>
      <c r="C3979">
        <v>12</v>
      </c>
      <c r="D3979" t="s">
        <v>31</v>
      </c>
      <c r="E3979" t="s">
        <v>81</v>
      </c>
      <c r="F3979" s="1">
        <v>42502</v>
      </c>
      <c r="G3979" s="1">
        <v>42502</v>
      </c>
      <c r="H3979" t="s">
        <v>33</v>
      </c>
      <c r="I3979">
        <v>0</v>
      </c>
      <c r="J3979" t="s">
        <v>111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23</v>
      </c>
      <c r="R3979">
        <v>0</v>
      </c>
    </row>
    <row r="3980" spans="1:18">
      <c r="A3980" s="4">
        <v>7243560000000</v>
      </c>
      <c r="B3980" t="s">
        <v>28</v>
      </c>
      <c r="C3980">
        <v>32</v>
      </c>
      <c r="D3980" t="s">
        <v>37</v>
      </c>
      <c r="E3980" t="s">
        <v>63</v>
      </c>
      <c r="F3980" s="1">
        <v>42502</v>
      </c>
      <c r="G3980" s="1">
        <v>42502</v>
      </c>
      <c r="H3980" t="s">
        <v>33</v>
      </c>
      <c r="I3980">
        <v>0</v>
      </c>
      <c r="J3980" t="s">
        <v>111</v>
      </c>
      <c r="K3980">
        <v>0</v>
      </c>
      <c r="L3980">
        <v>0</v>
      </c>
      <c r="M3980">
        <v>0</v>
      </c>
      <c r="N3980">
        <v>0</v>
      </c>
      <c r="O3980">
        <v>1</v>
      </c>
      <c r="P3980">
        <v>0</v>
      </c>
      <c r="Q3980" t="s">
        <v>23</v>
      </c>
      <c r="R3980">
        <v>0</v>
      </c>
    </row>
    <row r="3981" spans="1:18">
      <c r="A3981" s="4">
        <v>7582710000000</v>
      </c>
      <c r="B3981" t="s">
        <v>28</v>
      </c>
      <c r="C3981">
        <v>63</v>
      </c>
      <c r="D3981" t="s">
        <v>35</v>
      </c>
      <c r="E3981" t="s">
        <v>69</v>
      </c>
      <c r="F3981" s="1">
        <v>42502</v>
      </c>
      <c r="G3981" s="1">
        <v>42502</v>
      </c>
      <c r="H3981" t="s">
        <v>33</v>
      </c>
      <c r="I3981">
        <v>0</v>
      </c>
      <c r="J3981" t="s">
        <v>111</v>
      </c>
      <c r="K3981">
        <v>0</v>
      </c>
      <c r="L3981">
        <v>0</v>
      </c>
      <c r="M3981">
        <v>0</v>
      </c>
      <c r="N3981">
        <v>1</v>
      </c>
      <c r="O3981">
        <v>0</v>
      </c>
      <c r="P3981">
        <v>0</v>
      </c>
      <c r="Q3981" t="s">
        <v>23</v>
      </c>
      <c r="R3981">
        <v>0</v>
      </c>
    </row>
    <row r="3982" spans="1:18">
      <c r="A3982" s="4">
        <v>583122000000</v>
      </c>
      <c r="B3982" t="s">
        <v>18</v>
      </c>
      <c r="C3982">
        <v>20</v>
      </c>
      <c r="D3982" t="s">
        <v>37</v>
      </c>
      <c r="E3982" t="s">
        <v>57</v>
      </c>
      <c r="F3982" s="1">
        <v>42502</v>
      </c>
      <c r="G3982" s="1">
        <v>42502</v>
      </c>
      <c r="H3982" t="s">
        <v>33</v>
      </c>
      <c r="I3982">
        <v>0</v>
      </c>
      <c r="J3982" t="s">
        <v>111</v>
      </c>
      <c r="K3982">
        <v>1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23</v>
      </c>
      <c r="R3982">
        <v>0</v>
      </c>
    </row>
    <row r="3983" spans="1:18">
      <c r="A3983" s="4">
        <v>4377550000000</v>
      </c>
      <c r="B3983" t="s">
        <v>18</v>
      </c>
      <c r="C3983">
        <v>53</v>
      </c>
      <c r="D3983" t="s">
        <v>35</v>
      </c>
      <c r="E3983" t="s">
        <v>76</v>
      </c>
      <c r="F3983" s="1">
        <v>42502</v>
      </c>
      <c r="G3983" s="1">
        <v>42503</v>
      </c>
      <c r="H3983" t="s">
        <v>21</v>
      </c>
      <c r="I3983">
        <v>1</v>
      </c>
      <c r="J3983" t="s">
        <v>109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23</v>
      </c>
      <c r="R3983">
        <v>0</v>
      </c>
    </row>
    <row r="3984" spans="1:18">
      <c r="A3984" s="4">
        <v>78497800000000</v>
      </c>
      <c r="B3984" t="s">
        <v>18</v>
      </c>
      <c r="C3984">
        <v>38</v>
      </c>
      <c r="D3984" t="s">
        <v>27</v>
      </c>
      <c r="E3984" t="s">
        <v>67</v>
      </c>
      <c r="F3984" s="1">
        <v>42502</v>
      </c>
      <c r="G3984" s="1">
        <v>42529</v>
      </c>
      <c r="H3984" t="s">
        <v>25</v>
      </c>
      <c r="I3984">
        <v>27</v>
      </c>
      <c r="J3984" t="s">
        <v>77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1</v>
      </c>
      <c r="Q3984" t="s">
        <v>26</v>
      </c>
      <c r="R3984">
        <v>1</v>
      </c>
    </row>
    <row r="3985" spans="1:18">
      <c r="A3985" s="4">
        <v>82861800000000</v>
      </c>
      <c r="B3985" t="s">
        <v>18</v>
      </c>
      <c r="C3985">
        <v>56</v>
      </c>
      <c r="D3985" t="s">
        <v>35</v>
      </c>
      <c r="E3985" t="s">
        <v>76</v>
      </c>
      <c r="F3985" s="1">
        <v>42502</v>
      </c>
      <c r="G3985" s="1">
        <v>42503</v>
      </c>
      <c r="H3985" t="s">
        <v>21</v>
      </c>
      <c r="I3985">
        <v>1</v>
      </c>
      <c r="J3985" t="s">
        <v>109</v>
      </c>
      <c r="K3985">
        <v>0</v>
      </c>
      <c r="L3985">
        <v>1</v>
      </c>
      <c r="M3985">
        <v>0</v>
      </c>
      <c r="N3985">
        <v>0</v>
      </c>
      <c r="O3985">
        <v>0</v>
      </c>
      <c r="P3985">
        <v>0</v>
      </c>
      <c r="Q3985" t="s">
        <v>23</v>
      </c>
      <c r="R3985">
        <v>0</v>
      </c>
    </row>
    <row r="3986" spans="1:18">
      <c r="A3986" s="4">
        <v>86129000000000</v>
      </c>
      <c r="B3986" t="s">
        <v>18</v>
      </c>
      <c r="C3986">
        <v>23</v>
      </c>
      <c r="D3986" t="s">
        <v>37</v>
      </c>
      <c r="E3986" t="s">
        <v>67</v>
      </c>
      <c r="F3986" s="1">
        <v>42502</v>
      </c>
      <c r="G3986" s="1">
        <v>42503</v>
      </c>
      <c r="H3986" t="s">
        <v>21</v>
      </c>
      <c r="I3986">
        <v>1</v>
      </c>
      <c r="J3986" t="s">
        <v>109</v>
      </c>
      <c r="K3986">
        <v>1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23</v>
      </c>
      <c r="R3986">
        <v>0</v>
      </c>
    </row>
    <row r="3987" spans="1:18">
      <c r="A3987" s="4">
        <v>7838780000000</v>
      </c>
      <c r="B3987" t="s">
        <v>18</v>
      </c>
      <c r="C3987">
        <v>27</v>
      </c>
      <c r="D3987" t="s">
        <v>37</v>
      </c>
      <c r="E3987" t="s">
        <v>29</v>
      </c>
      <c r="F3987" s="1">
        <v>42502</v>
      </c>
      <c r="G3987" s="1">
        <v>42507</v>
      </c>
      <c r="H3987" t="s">
        <v>41</v>
      </c>
      <c r="I3987">
        <v>5</v>
      </c>
      <c r="J3987" t="s">
        <v>107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23</v>
      </c>
      <c r="R3987">
        <v>0</v>
      </c>
    </row>
    <row r="3988" spans="1:18">
      <c r="A3988" s="4">
        <v>98226300000000</v>
      </c>
      <c r="B3988" t="s">
        <v>18</v>
      </c>
      <c r="C3988">
        <v>13</v>
      </c>
      <c r="D3988" t="s">
        <v>60</v>
      </c>
      <c r="E3988" t="s">
        <v>88</v>
      </c>
      <c r="F3988" s="1">
        <v>42502</v>
      </c>
      <c r="G3988" s="1">
        <v>42509</v>
      </c>
      <c r="H3988" t="s">
        <v>33</v>
      </c>
      <c r="I3988">
        <v>7</v>
      </c>
      <c r="J3988" t="s">
        <v>107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23</v>
      </c>
      <c r="R3988">
        <v>0</v>
      </c>
    </row>
    <row r="3989" spans="1:18">
      <c r="A3989" s="4">
        <v>21114300000000</v>
      </c>
      <c r="B3989" t="s">
        <v>18</v>
      </c>
      <c r="C3989">
        <v>54</v>
      </c>
      <c r="D3989" t="s">
        <v>35</v>
      </c>
      <c r="E3989" t="s">
        <v>81</v>
      </c>
      <c r="F3989" s="1">
        <v>42502</v>
      </c>
      <c r="G3989" s="1">
        <v>42502</v>
      </c>
      <c r="H3989" t="s">
        <v>33</v>
      </c>
      <c r="I3989">
        <v>0</v>
      </c>
      <c r="J3989" t="s">
        <v>111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23</v>
      </c>
      <c r="R3989">
        <v>0</v>
      </c>
    </row>
    <row r="3990" spans="1:18">
      <c r="A3990" s="4">
        <v>21234594283</v>
      </c>
      <c r="B3990" t="s">
        <v>18</v>
      </c>
      <c r="C3990">
        <v>0</v>
      </c>
      <c r="D3990" t="s">
        <v>31</v>
      </c>
      <c r="E3990" t="s">
        <v>71</v>
      </c>
      <c r="F3990" s="1">
        <v>42502</v>
      </c>
      <c r="G3990" s="1">
        <v>42502</v>
      </c>
      <c r="H3990" t="s">
        <v>33</v>
      </c>
      <c r="I3990">
        <v>0</v>
      </c>
      <c r="J3990" t="s">
        <v>111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23</v>
      </c>
      <c r="R3990">
        <v>0</v>
      </c>
    </row>
    <row r="3991" spans="1:18">
      <c r="A3991" s="4">
        <v>7779990000000</v>
      </c>
      <c r="B3991" t="s">
        <v>18</v>
      </c>
      <c r="C3991">
        <v>31</v>
      </c>
      <c r="D3991" t="s">
        <v>37</v>
      </c>
      <c r="E3991" t="s">
        <v>96</v>
      </c>
      <c r="F3991" s="1">
        <v>42502</v>
      </c>
      <c r="G3991" s="1">
        <v>42515</v>
      </c>
      <c r="H3991" t="s">
        <v>25</v>
      </c>
      <c r="I3991">
        <v>13</v>
      </c>
      <c r="J3991" t="s">
        <v>92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1</v>
      </c>
      <c r="Q3991" t="s">
        <v>26</v>
      </c>
      <c r="R3991">
        <v>1</v>
      </c>
    </row>
    <row r="3992" spans="1:18">
      <c r="A3992" s="4">
        <v>71264600000000</v>
      </c>
      <c r="B3992" t="s">
        <v>18</v>
      </c>
      <c r="C3992">
        <v>78</v>
      </c>
      <c r="D3992" t="s">
        <v>19</v>
      </c>
      <c r="E3992" t="s">
        <v>72</v>
      </c>
      <c r="F3992" s="1">
        <v>42502</v>
      </c>
      <c r="G3992" s="1">
        <v>42528</v>
      </c>
      <c r="H3992" t="s">
        <v>41</v>
      </c>
      <c r="I3992">
        <v>26</v>
      </c>
      <c r="J3992" t="s">
        <v>77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23</v>
      </c>
      <c r="R3992">
        <v>0</v>
      </c>
    </row>
    <row r="3993" spans="1:18">
      <c r="A3993" s="4">
        <v>1645380000000</v>
      </c>
      <c r="B3993" t="s">
        <v>28</v>
      </c>
      <c r="C3993">
        <v>3</v>
      </c>
      <c r="D3993" t="s">
        <v>31</v>
      </c>
      <c r="E3993" t="s">
        <v>59</v>
      </c>
      <c r="F3993" s="1">
        <v>42502</v>
      </c>
      <c r="G3993" s="1">
        <v>42521</v>
      </c>
      <c r="H3993" t="s">
        <v>41</v>
      </c>
      <c r="I3993">
        <v>19</v>
      </c>
      <c r="J3993" t="s">
        <v>77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1</v>
      </c>
      <c r="Q3993" t="s">
        <v>23</v>
      </c>
      <c r="R3993">
        <v>0</v>
      </c>
    </row>
    <row r="3994" spans="1:18">
      <c r="A3994" s="4">
        <v>6414360000000</v>
      </c>
      <c r="B3994" t="s">
        <v>28</v>
      </c>
      <c r="C3994">
        <v>50</v>
      </c>
      <c r="D3994" t="s">
        <v>27</v>
      </c>
      <c r="E3994" t="s">
        <v>75</v>
      </c>
      <c r="F3994" s="1">
        <v>42502</v>
      </c>
      <c r="G3994" s="1">
        <v>42503</v>
      </c>
      <c r="H3994" t="s">
        <v>21</v>
      </c>
      <c r="I3994">
        <v>1</v>
      </c>
      <c r="J3994" t="s">
        <v>109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26</v>
      </c>
      <c r="R3994">
        <v>1</v>
      </c>
    </row>
    <row r="3995" spans="1:18">
      <c r="A3995" s="4">
        <v>38814300000000</v>
      </c>
      <c r="B3995" t="s">
        <v>28</v>
      </c>
      <c r="C3995">
        <v>31</v>
      </c>
      <c r="D3995" t="s">
        <v>37</v>
      </c>
      <c r="E3995" t="s">
        <v>39</v>
      </c>
      <c r="F3995" s="1">
        <v>42502</v>
      </c>
      <c r="G3995" s="1">
        <v>42502</v>
      </c>
      <c r="H3995" t="s">
        <v>33</v>
      </c>
      <c r="I3995">
        <v>0</v>
      </c>
      <c r="J3995" t="s">
        <v>111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23</v>
      </c>
      <c r="R3995">
        <v>0</v>
      </c>
    </row>
    <row r="3996" spans="1:18">
      <c r="A3996" s="4">
        <v>9739320000000</v>
      </c>
      <c r="B3996" t="s">
        <v>18</v>
      </c>
      <c r="C3996">
        <v>3</v>
      </c>
      <c r="D3996" t="s">
        <v>31</v>
      </c>
      <c r="E3996" t="s">
        <v>98</v>
      </c>
      <c r="F3996" s="1">
        <v>42502</v>
      </c>
      <c r="G3996" s="1">
        <v>42502</v>
      </c>
      <c r="H3996" t="s">
        <v>33</v>
      </c>
      <c r="I3996">
        <v>0</v>
      </c>
      <c r="J3996" t="s">
        <v>111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23</v>
      </c>
      <c r="R3996">
        <v>0</v>
      </c>
    </row>
    <row r="3997" spans="1:18">
      <c r="A3997" s="4">
        <v>963834000000</v>
      </c>
      <c r="B3997" t="s">
        <v>18</v>
      </c>
      <c r="C3997">
        <v>55</v>
      </c>
      <c r="D3997" t="s">
        <v>35</v>
      </c>
      <c r="E3997" t="s">
        <v>58</v>
      </c>
      <c r="F3997" s="1">
        <v>42502</v>
      </c>
      <c r="G3997" s="1">
        <v>42502</v>
      </c>
      <c r="H3997" t="s">
        <v>33</v>
      </c>
      <c r="I3997">
        <v>0</v>
      </c>
      <c r="J3997" t="s">
        <v>111</v>
      </c>
      <c r="K3997">
        <v>0</v>
      </c>
      <c r="L3997">
        <v>1</v>
      </c>
      <c r="M3997">
        <v>0</v>
      </c>
      <c r="N3997">
        <v>1</v>
      </c>
      <c r="O3997">
        <v>0</v>
      </c>
      <c r="P3997">
        <v>0</v>
      </c>
      <c r="Q3997" t="s">
        <v>23</v>
      </c>
      <c r="R3997">
        <v>0</v>
      </c>
    </row>
    <row r="3998" spans="1:18">
      <c r="A3998" s="4">
        <v>9791990000000</v>
      </c>
      <c r="B3998" t="s">
        <v>18</v>
      </c>
      <c r="C3998">
        <v>57</v>
      </c>
      <c r="D3998" t="s">
        <v>35</v>
      </c>
      <c r="E3998" t="s">
        <v>45</v>
      </c>
      <c r="F3998" s="1">
        <v>42502</v>
      </c>
      <c r="G3998" s="1">
        <v>42503</v>
      </c>
      <c r="H3998" t="s">
        <v>21</v>
      </c>
      <c r="I3998">
        <v>1</v>
      </c>
      <c r="J3998" t="s">
        <v>109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23</v>
      </c>
      <c r="R3998">
        <v>0</v>
      </c>
    </row>
    <row r="3999" spans="1:18">
      <c r="A3999" s="4">
        <v>119499000000000</v>
      </c>
      <c r="B3999" t="s">
        <v>28</v>
      </c>
      <c r="C3999">
        <v>49</v>
      </c>
      <c r="D3999" t="s">
        <v>27</v>
      </c>
      <c r="E3999" t="s">
        <v>57</v>
      </c>
      <c r="F3999" s="1">
        <v>42502</v>
      </c>
      <c r="G3999" s="1">
        <v>42502</v>
      </c>
      <c r="H3999" t="s">
        <v>33</v>
      </c>
      <c r="I3999">
        <v>0</v>
      </c>
      <c r="J3999" t="s">
        <v>111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23</v>
      </c>
      <c r="R3999">
        <v>0</v>
      </c>
    </row>
    <row r="4000" spans="1:18">
      <c r="A4000" s="4">
        <v>41976600000000</v>
      </c>
      <c r="B4000" t="s">
        <v>18</v>
      </c>
      <c r="C4000">
        <v>57</v>
      </c>
      <c r="D4000" t="s">
        <v>35</v>
      </c>
      <c r="E4000" t="s">
        <v>57</v>
      </c>
      <c r="F4000" s="1">
        <v>42502</v>
      </c>
      <c r="G4000" s="1">
        <v>42502</v>
      </c>
      <c r="H4000" t="s">
        <v>33</v>
      </c>
      <c r="I4000">
        <v>0</v>
      </c>
      <c r="J4000" t="s">
        <v>111</v>
      </c>
      <c r="K4000">
        <v>0</v>
      </c>
      <c r="L4000">
        <v>1</v>
      </c>
      <c r="M4000">
        <v>0</v>
      </c>
      <c r="N4000">
        <v>0</v>
      </c>
      <c r="O4000">
        <v>0</v>
      </c>
      <c r="P4000">
        <v>0</v>
      </c>
      <c r="Q4000" t="s">
        <v>23</v>
      </c>
      <c r="R4000">
        <v>0</v>
      </c>
    </row>
    <row r="4001" spans="1:18">
      <c r="A4001" s="4">
        <v>13778500000000</v>
      </c>
      <c r="B4001" t="s">
        <v>18</v>
      </c>
      <c r="C4001">
        <v>23</v>
      </c>
      <c r="D4001" t="s">
        <v>37</v>
      </c>
      <c r="E4001" t="s">
        <v>72</v>
      </c>
      <c r="F4001" s="1">
        <v>42502</v>
      </c>
      <c r="G4001" s="1">
        <v>42502</v>
      </c>
      <c r="H4001" t="s">
        <v>33</v>
      </c>
      <c r="I4001">
        <v>0</v>
      </c>
      <c r="J4001" t="s">
        <v>111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23</v>
      </c>
      <c r="R4001">
        <v>0</v>
      </c>
    </row>
    <row r="4002" spans="1:18">
      <c r="A4002" s="4">
        <v>9739320000000</v>
      </c>
      <c r="B4002" t="s">
        <v>18</v>
      </c>
      <c r="C4002">
        <v>3</v>
      </c>
      <c r="D4002" t="s">
        <v>31</v>
      </c>
      <c r="E4002" t="s">
        <v>98</v>
      </c>
      <c r="F4002" s="1">
        <v>42502</v>
      </c>
      <c r="G4002" s="1">
        <v>42502</v>
      </c>
      <c r="H4002" t="s">
        <v>33</v>
      </c>
      <c r="I4002">
        <v>0</v>
      </c>
      <c r="J4002" t="s">
        <v>111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23</v>
      </c>
      <c r="R4002">
        <v>0</v>
      </c>
    </row>
    <row r="4003" spans="1:18">
      <c r="A4003" s="4">
        <v>23895000000000</v>
      </c>
      <c r="B4003" t="s">
        <v>18</v>
      </c>
      <c r="C4003">
        <v>39</v>
      </c>
      <c r="D4003" t="s">
        <v>27</v>
      </c>
      <c r="E4003" t="s">
        <v>72</v>
      </c>
      <c r="F4003" s="1">
        <v>42502</v>
      </c>
      <c r="G4003" s="1">
        <v>42502</v>
      </c>
      <c r="H4003" t="s">
        <v>33</v>
      </c>
      <c r="I4003">
        <v>0</v>
      </c>
      <c r="J4003" t="s">
        <v>111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23</v>
      </c>
      <c r="R4003">
        <v>0</v>
      </c>
    </row>
    <row r="4004" spans="1:18">
      <c r="A4004" s="4">
        <v>15471800000000</v>
      </c>
      <c r="B4004" t="s">
        <v>18</v>
      </c>
      <c r="C4004">
        <v>0</v>
      </c>
      <c r="D4004" t="s">
        <v>31</v>
      </c>
      <c r="E4004" t="s">
        <v>43</v>
      </c>
      <c r="F4004" s="1">
        <v>42502</v>
      </c>
      <c r="G4004" s="1">
        <v>42514</v>
      </c>
      <c r="H4004" t="s">
        <v>41</v>
      </c>
      <c r="I4004">
        <v>12</v>
      </c>
      <c r="J4004" t="s">
        <v>92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1</v>
      </c>
      <c r="Q4004" t="s">
        <v>26</v>
      </c>
      <c r="R4004">
        <v>1</v>
      </c>
    </row>
    <row r="4005" spans="1:18">
      <c r="A4005" s="4">
        <v>4345000000000</v>
      </c>
      <c r="B4005" t="s">
        <v>28</v>
      </c>
      <c r="C4005">
        <v>51</v>
      </c>
      <c r="D4005" t="s">
        <v>35</v>
      </c>
      <c r="E4005" t="s">
        <v>45</v>
      </c>
      <c r="F4005" s="1">
        <v>42502</v>
      </c>
      <c r="G4005" s="1">
        <v>42502</v>
      </c>
      <c r="H4005" t="s">
        <v>33</v>
      </c>
      <c r="I4005">
        <v>0</v>
      </c>
      <c r="J4005" t="s">
        <v>111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0</v>
      </c>
      <c r="Q4005" t="s">
        <v>23</v>
      </c>
      <c r="R4005">
        <v>0</v>
      </c>
    </row>
    <row r="4006" spans="1:18">
      <c r="A4006" s="4">
        <v>831395000000000</v>
      </c>
      <c r="B4006" t="s">
        <v>18</v>
      </c>
      <c r="C4006">
        <v>35</v>
      </c>
      <c r="D4006" t="s">
        <v>37</v>
      </c>
      <c r="E4006" t="s">
        <v>47</v>
      </c>
      <c r="F4006" s="1">
        <v>42502</v>
      </c>
      <c r="G4006" s="1">
        <v>42503</v>
      </c>
      <c r="H4006" t="s">
        <v>21</v>
      </c>
      <c r="I4006">
        <v>1</v>
      </c>
      <c r="J4006" t="s">
        <v>109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23</v>
      </c>
      <c r="R4006">
        <v>0</v>
      </c>
    </row>
    <row r="4007" spans="1:18">
      <c r="A4007" s="4">
        <v>661328000000000</v>
      </c>
      <c r="B4007" t="s">
        <v>28</v>
      </c>
      <c r="C4007">
        <v>6</v>
      </c>
      <c r="D4007" t="s">
        <v>31</v>
      </c>
      <c r="E4007" t="s">
        <v>72</v>
      </c>
      <c r="F4007" s="1">
        <v>42502</v>
      </c>
      <c r="G4007" s="1">
        <v>42503</v>
      </c>
      <c r="H4007" t="s">
        <v>21</v>
      </c>
      <c r="I4007">
        <v>1</v>
      </c>
      <c r="J4007" t="s">
        <v>109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23</v>
      </c>
      <c r="R4007">
        <v>0</v>
      </c>
    </row>
    <row r="4008" spans="1:18">
      <c r="A4008" s="4">
        <v>912437000000000</v>
      </c>
      <c r="B4008" t="s">
        <v>18</v>
      </c>
      <c r="C4008">
        <v>64</v>
      </c>
      <c r="D4008" t="s">
        <v>35</v>
      </c>
      <c r="E4008" t="s">
        <v>72</v>
      </c>
      <c r="F4008" s="1">
        <v>42502</v>
      </c>
      <c r="G4008" s="1">
        <v>42502</v>
      </c>
      <c r="H4008" t="s">
        <v>33</v>
      </c>
      <c r="I4008">
        <v>0</v>
      </c>
      <c r="J4008" t="s">
        <v>111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23</v>
      </c>
      <c r="R4008">
        <v>0</v>
      </c>
    </row>
    <row r="4009" spans="1:18">
      <c r="A4009" s="4">
        <v>796142000000000</v>
      </c>
      <c r="B4009" t="s">
        <v>18</v>
      </c>
      <c r="C4009">
        <v>7</v>
      </c>
      <c r="D4009" t="s">
        <v>31</v>
      </c>
      <c r="E4009" t="s">
        <v>68</v>
      </c>
      <c r="F4009" s="1">
        <v>42502</v>
      </c>
      <c r="G4009" s="1">
        <v>42503</v>
      </c>
      <c r="H4009" t="s">
        <v>21</v>
      </c>
      <c r="I4009">
        <v>1</v>
      </c>
      <c r="J4009" t="s">
        <v>109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23</v>
      </c>
      <c r="R4009">
        <v>0</v>
      </c>
    </row>
    <row r="4010" spans="1:18">
      <c r="A4010" s="4">
        <v>68747600000000</v>
      </c>
      <c r="B4010" t="s">
        <v>18</v>
      </c>
      <c r="C4010">
        <v>11</v>
      </c>
      <c r="D4010" t="s">
        <v>31</v>
      </c>
      <c r="E4010" t="s">
        <v>39</v>
      </c>
      <c r="F4010" s="1">
        <v>42502</v>
      </c>
      <c r="G4010" s="1">
        <v>42503</v>
      </c>
      <c r="H4010" t="s">
        <v>21</v>
      </c>
      <c r="I4010">
        <v>1</v>
      </c>
      <c r="J4010" t="s">
        <v>109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23</v>
      </c>
      <c r="R4010">
        <v>0</v>
      </c>
    </row>
    <row r="4011" spans="1:18">
      <c r="A4011" s="4">
        <v>4361180000000</v>
      </c>
      <c r="B4011" t="s">
        <v>28</v>
      </c>
      <c r="C4011">
        <v>0</v>
      </c>
      <c r="D4011" t="s">
        <v>31</v>
      </c>
      <c r="E4011" t="s">
        <v>42</v>
      </c>
      <c r="F4011" s="1">
        <v>42502</v>
      </c>
      <c r="G4011" s="1">
        <v>42508</v>
      </c>
      <c r="H4011" t="s">
        <v>25</v>
      </c>
      <c r="I4011">
        <v>6</v>
      </c>
      <c r="J4011" t="s">
        <v>107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26</v>
      </c>
      <c r="R4011">
        <v>1</v>
      </c>
    </row>
    <row r="4012" spans="1:18">
      <c r="A4012" s="4">
        <v>947825000000000</v>
      </c>
      <c r="B4012" t="s">
        <v>18</v>
      </c>
      <c r="C4012">
        <v>46</v>
      </c>
      <c r="D4012" t="s">
        <v>27</v>
      </c>
      <c r="E4012" t="s">
        <v>58</v>
      </c>
      <c r="F4012" s="1">
        <v>42502</v>
      </c>
      <c r="G4012" s="1">
        <v>42502</v>
      </c>
      <c r="H4012" t="s">
        <v>33</v>
      </c>
      <c r="I4012">
        <v>0</v>
      </c>
      <c r="J4012" t="s">
        <v>111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23</v>
      </c>
      <c r="R4012">
        <v>0</v>
      </c>
    </row>
    <row r="4013" spans="1:18">
      <c r="A4013" s="4">
        <v>167735000000000</v>
      </c>
      <c r="B4013" t="s">
        <v>18</v>
      </c>
      <c r="C4013">
        <v>65</v>
      </c>
      <c r="D4013" t="s">
        <v>35</v>
      </c>
      <c r="E4013" t="s">
        <v>39</v>
      </c>
      <c r="F4013" s="1">
        <v>42502</v>
      </c>
      <c r="G4013" s="1">
        <v>42506</v>
      </c>
      <c r="H4013" t="s">
        <v>30</v>
      </c>
      <c r="I4013">
        <v>4</v>
      </c>
      <c r="J4013" t="s">
        <v>107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23</v>
      </c>
      <c r="R4013">
        <v>0</v>
      </c>
    </row>
    <row r="4014" spans="1:18">
      <c r="A4014" s="4">
        <v>63225300000000</v>
      </c>
      <c r="B4014" t="s">
        <v>18</v>
      </c>
      <c r="C4014">
        <v>1</v>
      </c>
      <c r="D4014" t="s">
        <v>31</v>
      </c>
      <c r="E4014" t="s">
        <v>68</v>
      </c>
      <c r="F4014" s="1">
        <v>42502</v>
      </c>
      <c r="G4014" s="1">
        <v>42509</v>
      </c>
      <c r="H4014" t="s">
        <v>33</v>
      </c>
      <c r="I4014">
        <v>7</v>
      </c>
      <c r="J4014" t="s">
        <v>107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23</v>
      </c>
      <c r="R4014">
        <v>0</v>
      </c>
    </row>
    <row r="4015" spans="1:18">
      <c r="A4015" s="4">
        <v>78344200000000</v>
      </c>
      <c r="B4015" t="s">
        <v>28</v>
      </c>
      <c r="C4015">
        <v>24</v>
      </c>
      <c r="D4015" t="s">
        <v>37</v>
      </c>
      <c r="E4015" t="s">
        <v>47</v>
      </c>
      <c r="F4015" s="1">
        <v>42502</v>
      </c>
      <c r="G4015" s="1">
        <v>42502</v>
      </c>
      <c r="H4015" t="s">
        <v>33</v>
      </c>
      <c r="I4015">
        <v>0</v>
      </c>
      <c r="J4015" t="s">
        <v>111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23</v>
      </c>
      <c r="R4015">
        <v>0</v>
      </c>
    </row>
    <row r="4016" spans="1:18">
      <c r="A4016" s="4">
        <v>6264200000000</v>
      </c>
      <c r="B4016" t="s">
        <v>28</v>
      </c>
      <c r="C4016">
        <v>59</v>
      </c>
      <c r="D4016" t="s">
        <v>35</v>
      </c>
      <c r="E4016" t="s">
        <v>45</v>
      </c>
      <c r="F4016" s="1">
        <v>42502</v>
      </c>
      <c r="G4016" s="1">
        <v>42502</v>
      </c>
      <c r="H4016" t="s">
        <v>33</v>
      </c>
      <c r="I4016">
        <v>0</v>
      </c>
      <c r="J4016" t="s">
        <v>111</v>
      </c>
      <c r="K4016">
        <v>1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23</v>
      </c>
      <c r="R4016">
        <v>0</v>
      </c>
    </row>
    <row r="4017" spans="1:18">
      <c r="A4017" s="4">
        <v>4178390000000</v>
      </c>
      <c r="B4017" t="s">
        <v>28</v>
      </c>
      <c r="C4017">
        <v>15</v>
      </c>
      <c r="D4017" t="s">
        <v>60</v>
      </c>
      <c r="E4017" t="s">
        <v>29</v>
      </c>
      <c r="F4017" s="1">
        <v>42502</v>
      </c>
      <c r="G4017" s="1">
        <v>42507</v>
      </c>
      <c r="H4017" t="s">
        <v>41</v>
      </c>
      <c r="I4017">
        <v>5</v>
      </c>
      <c r="J4017" t="s">
        <v>107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23</v>
      </c>
      <c r="R4017">
        <v>0</v>
      </c>
    </row>
    <row r="4018" spans="1:18">
      <c r="A4018" s="4">
        <v>532655000000</v>
      </c>
      <c r="B4018" t="s">
        <v>18</v>
      </c>
      <c r="C4018">
        <v>39</v>
      </c>
      <c r="D4018" t="s">
        <v>27</v>
      </c>
      <c r="E4018" t="s">
        <v>62</v>
      </c>
      <c r="F4018" s="1">
        <v>42502</v>
      </c>
      <c r="G4018" s="1">
        <v>42502</v>
      </c>
      <c r="H4018" t="s">
        <v>33</v>
      </c>
      <c r="I4018">
        <v>0</v>
      </c>
      <c r="J4018" t="s">
        <v>111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23</v>
      </c>
      <c r="R4018">
        <v>0</v>
      </c>
    </row>
    <row r="4019" spans="1:18">
      <c r="A4019" s="4">
        <v>14559300000000</v>
      </c>
      <c r="B4019" t="s">
        <v>18</v>
      </c>
      <c r="C4019">
        <v>21</v>
      </c>
      <c r="D4019" t="s">
        <v>37</v>
      </c>
      <c r="E4019" t="s">
        <v>40</v>
      </c>
      <c r="F4019" s="1">
        <v>42502</v>
      </c>
      <c r="G4019" s="1">
        <v>42507</v>
      </c>
      <c r="H4019" t="s">
        <v>41</v>
      </c>
      <c r="I4019">
        <v>5</v>
      </c>
      <c r="J4019" t="s">
        <v>107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23</v>
      </c>
      <c r="R4019">
        <v>0</v>
      </c>
    </row>
    <row r="4020" spans="1:18">
      <c r="A4020" s="4">
        <v>2596690000000</v>
      </c>
      <c r="B4020" t="s">
        <v>18</v>
      </c>
      <c r="C4020">
        <v>52</v>
      </c>
      <c r="D4020" t="s">
        <v>35</v>
      </c>
      <c r="E4020" t="s">
        <v>58</v>
      </c>
      <c r="F4020" s="1">
        <v>42502</v>
      </c>
      <c r="G4020" s="1">
        <v>42502</v>
      </c>
      <c r="H4020" t="s">
        <v>33</v>
      </c>
      <c r="I4020">
        <v>0</v>
      </c>
      <c r="J4020" t="s">
        <v>111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23</v>
      </c>
      <c r="R4020">
        <v>0</v>
      </c>
    </row>
    <row r="4021" spans="1:18">
      <c r="A4021" s="4">
        <v>32751600000000</v>
      </c>
      <c r="B4021" t="s">
        <v>18</v>
      </c>
      <c r="C4021">
        <v>64</v>
      </c>
      <c r="D4021" t="s">
        <v>35</v>
      </c>
      <c r="E4021" t="s">
        <v>34</v>
      </c>
      <c r="F4021" s="1">
        <v>42502</v>
      </c>
      <c r="G4021" s="1">
        <v>42509</v>
      </c>
      <c r="H4021" t="s">
        <v>33</v>
      </c>
      <c r="I4021">
        <v>7</v>
      </c>
      <c r="J4021" t="s">
        <v>107</v>
      </c>
      <c r="K4021">
        <v>0</v>
      </c>
      <c r="L4021">
        <v>1</v>
      </c>
      <c r="M4021">
        <v>0</v>
      </c>
      <c r="N4021">
        <v>0</v>
      </c>
      <c r="O4021">
        <v>0</v>
      </c>
      <c r="P4021">
        <v>0</v>
      </c>
      <c r="Q4021" t="s">
        <v>23</v>
      </c>
      <c r="R4021">
        <v>0</v>
      </c>
    </row>
    <row r="4022" spans="1:18">
      <c r="A4022" s="4">
        <v>43583800000000</v>
      </c>
      <c r="B4022" t="s">
        <v>18</v>
      </c>
      <c r="C4022">
        <v>67</v>
      </c>
      <c r="D4022" t="s">
        <v>19</v>
      </c>
      <c r="E4022" t="s">
        <v>34</v>
      </c>
      <c r="F4022" s="1">
        <v>42502</v>
      </c>
      <c r="G4022" s="1">
        <v>42509</v>
      </c>
      <c r="H4022" t="s">
        <v>33</v>
      </c>
      <c r="I4022">
        <v>7</v>
      </c>
      <c r="J4022" t="s">
        <v>107</v>
      </c>
      <c r="K4022">
        <v>0</v>
      </c>
      <c r="L4022">
        <v>1</v>
      </c>
      <c r="M4022">
        <v>1</v>
      </c>
      <c r="N4022">
        <v>0</v>
      </c>
      <c r="O4022">
        <v>0</v>
      </c>
      <c r="P4022">
        <v>0</v>
      </c>
      <c r="Q4022" t="s">
        <v>26</v>
      </c>
      <c r="R4022">
        <v>1</v>
      </c>
    </row>
    <row r="4023" spans="1:18">
      <c r="A4023" s="4">
        <v>56126100000000</v>
      </c>
      <c r="B4023" t="s">
        <v>18</v>
      </c>
      <c r="C4023">
        <v>40</v>
      </c>
      <c r="D4023" t="s">
        <v>27</v>
      </c>
      <c r="E4023" t="s">
        <v>69</v>
      </c>
      <c r="F4023" s="1">
        <v>42502</v>
      </c>
      <c r="G4023" s="1">
        <v>42502</v>
      </c>
      <c r="H4023" t="s">
        <v>33</v>
      </c>
      <c r="I4023">
        <v>0</v>
      </c>
      <c r="J4023" t="s">
        <v>111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 t="s">
        <v>23</v>
      </c>
      <c r="R4023">
        <v>0</v>
      </c>
    </row>
    <row r="4024" spans="1:18">
      <c r="A4024" s="4">
        <v>385790000000000</v>
      </c>
      <c r="B4024" t="s">
        <v>18</v>
      </c>
      <c r="C4024">
        <v>27</v>
      </c>
      <c r="D4024" t="s">
        <v>37</v>
      </c>
      <c r="E4024" t="s">
        <v>50</v>
      </c>
      <c r="F4024" s="1">
        <v>42502</v>
      </c>
      <c r="G4024" s="1">
        <v>42502</v>
      </c>
      <c r="H4024" t="s">
        <v>33</v>
      </c>
      <c r="I4024">
        <v>0</v>
      </c>
      <c r="J4024" t="s">
        <v>111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23</v>
      </c>
      <c r="R4024">
        <v>0</v>
      </c>
    </row>
    <row r="4025" spans="1:18">
      <c r="A4025" s="4">
        <v>812646000000000</v>
      </c>
      <c r="B4025" t="s">
        <v>28</v>
      </c>
      <c r="C4025">
        <v>22</v>
      </c>
      <c r="D4025" t="s">
        <v>37</v>
      </c>
      <c r="E4025" t="s">
        <v>106</v>
      </c>
      <c r="F4025" s="1">
        <v>42502</v>
      </c>
      <c r="G4025" s="1">
        <v>42502</v>
      </c>
      <c r="H4025" t="s">
        <v>33</v>
      </c>
      <c r="I4025">
        <v>0</v>
      </c>
      <c r="J4025" t="s">
        <v>111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23</v>
      </c>
      <c r="R4025">
        <v>0</v>
      </c>
    </row>
    <row r="4026" spans="1:18">
      <c r="A4026" s="4">
        <v>64317500000000</v>
      </c>
      <c r="B4026" t="s">
        <v>28</v>
      </c>
      <c r="C4026">
        <v>62</v>
      </c>
      <c r="D4026" t="s">
        <v>35</v>
      </c>
      <c r="E4026" t="s">
        <v>52</v>
      </c>
      <c r="F4026" s="1">
        <v>42502</v>
      </c>
      <c r="G4026" s="1">
        <v>42520</v>
      </c>
      <c r="H4026" t="s">
        <v>30</v>
      </c>
      <c r="I4026">
        <v>18</v>
      </c>
      <c r="J4026" t="s">
        <v>77</v>
      </c>
      <c r="K4026">
        <v>0</v>
      </c>
      <c r="L4026">
        <v>1</v>
      </c>
      <c r="M4026">
        <v>1</v>
      </c>
      <c r="N4026">
        <v>0</v>
      </c>
      <c r="O4026">
        <v>1</v>
      </c>
      <c r="P4026">
        <v>1</v>
      </c>
      <c r="Q4026" t="s">
        <v>26</v>
      </c>
      <c r="R4026">
        <v>1</v>
      </c>
    </row>
    <row r="4027" spans="1:18">
      <c r="A4027" s="4">
        <v>478335000000000</v>
      </c>
      <c r="B4027" t="s">
        <v>18</v>
      </c>
      <c r="C4027">
        <v>75</v>
      </c>
      <c r="D4027" t="s">
        <v>19</v>
      </c>
      <c r="E4027" t="s">
        <v>71</v>
      </c>
      <c r="F4027" s="1">
        <v>42502</v>
      </c>
      <c r="G4027" s="1">
        <v>42503</v>
      </c>
      <c r="H4027" t="s">
        <v>21</v>
      </c>
      <c r="I4027">
        <v>1</v>
      </c>
      <c r="J4027" t="s">
        <v>109</v>
      </c>
      <c r="K4027">
        <v>0</v>
      </c>
      <c r="L4027">
        <v>1</v>
      </c>
      <c r="M4027">
        <v>1</v>
      </c>
      <c r="N4027">
        <v>0</v>
      </c>
      <c r="O4027">
        <v>0</v>
      </c>
      <c r="P4027">
        <v>0</v>
      </c>
      <c r="Q4027" t="s">
        <v>23</v>
      </c>
      <c r="R4027">
        <v>0</v>
      </c>
    </row>
    <row r="4028" spans="1:18">
      <c r="A4028" s="4">
        <v>6765900000000</v>
      </c>
      <c r="B4028" t="s">
        <v>18</v>
      </c>
      <c r="C4028">
        <v>34</v>
      </c>
      <c r="D4028" t="s">
        <v>37</v>
      </c>
      <c r="E4028" t="s">
        <v>65</v>
      </c>
      <c r="F4028" s="1">
        <v>42502</v>
      </c>
      <c r="G4028" s="1">
        <v>42514</v>
      </c>
      <c r="H4028" t="s">
        <v>41</v>
      </c>
      <c r="I4028">
        <v>12</v>
      </c>
      <c r="J4028" t="s">
        <v>92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1</v>
      </c>
      <c r="Q4028" t="s">
        <v>26</v>
      </c>
      <c r="R4028">
        <v>1</v>
      </c>
    </row>
    <row r="4029" spans="1:18">
      <c r="A4029" s="4">
        <v>6873690000000</v>
      </c>
      <c r="B4029" t="s">
        <v>18</v>
      </c>
      <c r="C4029">
        <v>56</v>
      </c>
      <c r="D4029" t="s">
        <v>35</v>
      </c>
      <c r="E4029" t="s">
        <v>67</v>
      </c>
      <c r="F4029" s="1">
        <v>42502</v>
      </c>
      <c r="G4029" s="1">
        <v>42506</v>
      </c>
      <c r="H4029" t="s">
        <v>30</v>
      </c>
      <c r="I4029">
        <v>4</v>
      </c>
      <c r="J4029" t="s">
        <v>107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23</v>
      </c>
      <c r="R4029">
        <v>0</v>
      </c>
    </row>
    <row r="4030" spans="1:18">
      <c r="A4030" s="4">
        <v>756896000000000</v>
      </c>
      <c r="B4030" t="s">
        <v>18</v>
      </c>
      <c r="C4030">
        <v>39</v>
      </c>
      <c r="D4030" t="s">
        <v>27</v>
      </c>
      <c r="E4030" t="s">
        <v>43</v>
      </c>
      <c r="F4030" s="1">
        <v>42502</v>
      </c>
      <c r="G4030" s="1">
        <v>42502</v>
      </c>
      <c r="H4030" t="s">
        <v>33</v>
      </c>
      <c r="I4030">
        <v>0</v>
      </c>
      <c r="J4030" t="s">
        <v>111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23</v>
      </c>
      <c r="R4030">
        <v>0</v>
      </c>
    </row>
    <row r="4031" spans="1:18">
      <c r="A4031" s="4">
        <v>22268500000000</v>
      </c>
      <c r="B4031" t="s">
        <v>18</v>
      </c>
      <c r="C4031">
        <v>32</v>
      </c>
      <c r="D4031" t="s">
        <v>37</v>
      </c>
      <c r="E4031" t="s">
        <v>36</v>
      </c>
      <c r="F4031" s="1">
        <v>42502</v>
      </c>
      <c r="G4031" s="1">
        <v>42509</v>
      </c>
      <c r="H4031" t="s">
        <v>33</v>
      </c>
      <c r="I4031">
        <v>7</v>
      </c>
      <c r="J4031" t="s">
        <v>107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26</v>
      </c>
      <c r="R4031">
        <v>1</v>
      </c>
    </row>
    <row r="4032" spans="1:18">
      <c r="A4032" s="4">
        <v>465423000000000</v>
      </c>
      <c r="B4032" t="s">
        <v>18</v>
      </c>
      <c r="C4032">
        <v>24</v>
      </c>
      <c r="D4032" t="s">
        <v>37</v>
      </c>
      <c r="E4032" t="s">
        <v>72</v>
      </c>
      <c r="F4032" s="1">
        <v>42502</v>
      </c>
      <c r="G4032" s="1">
        <v>42528</v>
      </c>
      <c r="H4032" t="s">
        <v>41</v>
      </c>
      <c r="I4032">
        <v>26</v>
      </c>
      <c r="J4032" t="s">
        <v>77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1</v>
      </c>
      <c r="Q4032" t="s">
        <v>23</v>
      </c>
      <c r="R4032">
        <v>0</v>
      </c>
    </row>
    <row r="4033" spans="1:18">
      <c r="A4033" s="4">
        <v>12318700000000</v>
      </c>
      <c r="B4033" t="s">
        <v>18</v>
      </c>
      <c r="C4033">
        <v>31</v>
      </c>
      <c r="D4033" t="s">
        <v>37</v>
      </c>
      <c r="E4033" t="s">
        <v>73</v>
      </c>
      <c r="F4033" s="1">
        <v>42502</v>
      </c>
      <c r="G4033" s="1">
        <v>42502</v>
      </c>
      <c r="H4033" t="s">
        <v>33</v>
      </c>
      <c r="I4033">
        <v>0</v>
      </c>
      <c r="J4033" t="s">
        <v>111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23</v>
      </c>
      <c r="R4033">
        <v>0</v>
      </c>
    </row>
    <row r="4034" spans="1:18">
      <c r="A4034" s="4">
        <v>84395100000000</v>
      </c>
      <c r="B4034" t="s">
        <v>28</v>
      </c>
      <c r="C4034">
        <v>13</v>
      </c>
      <c r="D4034" t="s">
        <v>60</v>
      </c>
      <c r="E4034" t="s">
        <v>44</v>
      </c>
      <c r="F4034" s="1">
        <v>42502</v>
      </c>
      <c r="G4034" s="1">
        <v>42523</v>
      </c>
      <c r="H4034" t="s">
        <v>33</v>
      </c>
      <c r="I4034">
        <v>21</v>
      </c>
      <c r="J4034" t="s">
        <v>77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1</v>
      </c>
      <c r="Q4034" t="s">
        <v>23</v>
      </c>
      <c r="R4034">
        <v>0</v>
      </c>
    </row>
    <row r="4035" spans="1:18">
      <c r="A4035" s="4">
        <v>59989900000000</v>
      </c>
      <c r="B4035" t="s">
        <v>28</v>
      </c>
      <c r="C4035">
        <v>30</v>
      </c>
      <c r="D4035" t="s">
        <v>37</v>
      </c>
      <c r="E4035" t="s">
        <v>46</v>
      </c>
      <c r="F4035" s="1">
        <v>42502</v>
      </c>
      <c r="G4035" s="1">
        <v>42502</v>
      </c>
      <c r="H4035" t="s">
        <v>33</v>
      </c>
      <c r="I4035">
        <v>0</v>
      </c>
      <c r="J4035" t="s">
        <v>111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23</v>
      </c>
      <c r="R4035">
        <v>0</v>
      </c>
    </row>
    <row r="4036" spans="1:18">
      <c r="A4036" s="4">
        <v>85834900000000</v>
      </c>
      <c r="B4036" t="s">
        <v>18</v>
      </c>
      <c r="C4036">
        <v>26</v>
      </c>
      <c r="D4036" t="s">
        <v>37</v>
      </c>
      <c r="E4036" t="s">
        <v>47</v>
      </c>
      <c r="F4036" s="1">
        <v>42502</v>
      </c>
      <c r="G4036" s="1">
        <v>42502</v>
      </c>
      <c r="H4036" t="s">
        <v>33</v>
      </c>
      <c r="I4036">
        <v>0</v>
      </c>
      <c r="J4036" t="s">
        <v>111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23</v>
      </c>
      <c r="R4036">
        <v>0</v>
      </c>
    </row>
    <row r="4037" spans="1:18">
      <c r="A4037" s="4">
        <v>873149000000000</v>
      </c>
      <c r="B4037" t="s">
        <v>18</v>
      </c>
      <c r="C4037">
        <v>36</v>
      </c>
      <c r="D4037" t="s">
        <v>27</v>
      </c>
      <c r="E4037" t="s">
        <v>61</v>
      </c>
      <c r="F4037" s="1">
        <v>42502</v>
      </c>
      <c r="G4037" s="1">
        <v>42502</v>
      </c>
      <c r="H4037" t="s">
        <v>33</v>
      </c>
      <c r="I4037">
        <v>0</v>
      </c>
      <c r="J4037" t="s">
        <v>111</v>
      </c>
      <c r="K4037">
        <v>1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23</v>
      </c>
      <c r="R4037">
        <v>0</v>
      </c>
    </row>
    <row r="4038" spans="1:18">
      <c r="A4038" s="4">
        <v>752696000000000</v>
      </c>
      <c r="B4038" t="s">
        <v>28</v>
      </c>
      <c r="C4038">
        <v>54</v>
      </c>
      <c r="D4038" t="s">
        <v>35</v>
      </c>
      <c r="E4038" t="s">
        <v>73</v>
      </c>
      <c r="F4038" s="1">
        <v>42502</v>
      </c>
      <c r="G4038" s="1">
        <v>42506</v>
      </c>
      <c r="H4038" t="s">
        <v>30</v>
      </c>
      <c r="I4038">
        <v>4</v>
      </c>
      <c r="J4038" t="s">
        <v>107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23</v>
      </c>
      <c r="R4038">
        <v>0</v>
      </c>
    </row>
    <row r="4039" spans="1:18">
      <c r="A4039" s="4">
        <v>889269000000000</v>
      </c>
      <c r="B4039" t="s">
        <v>28</v>
      </c>
      <c r="C4039">
        <v>54</v>
      </c>
      <c r="D4039" t="s">
        <v>35</v>
      </c>
      <c r="E4039" t="s">
        <v>36</v>
      </c>
      <c r="F4039" s="1">
        <v>42502</v>
      </c>
      <c r="G4039" s="1">
        <v>42527</v>
      </c>
      <c r="H4039" t="s">
        <v>30</v>
      </c>
      <c r="I4039">
        <v>25</v>
      </c>
      <c r="J4039" t="s">
        <v>77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26</v>
      </c>
      <c r="R4039">
        <v>1</v>
      </c>
    </row>
    <row r="4040" spans="1:18">
      <c r="A4040" s="4">
        <v>28552200000000</v>
      </c>
      <c r="B4040" t="s">
        <v>18</v>
      </c>
      <c r="C4040">
        <v>22</v>
      </c>
      <c r="D4040" t="s">
        <v>37</v>
      </c>
      <c r="E4040" t="s">
        <v>43</v>
      </c>
      <c r="F4040" s="1">
        <v>42502</v>
      </c>
      <c r="G4040" s="1">
        <v>42509</v>
      </c>
      <c r="H4040" t="s">
        <v>33</v>
      </c>
      <c r="I4040">
        <v>7</v>
      </c>
      <c r="J4040" t="s">
        <v>107</v>
      </c>
      <c r="K4040">
        <v>1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26</v>
      </c>
      <c r="R4040">
        <v>1</v>
      </c>
    </row>
    <row r="4041" spans="1:18">
      <c r="A4041" s="4">
        <v>9686140000000</v>
      </c>
      <c r="B4041" t="s">
        <v>28</v>
      </c>
      <c r="C4041">
        <v>50</v>
      </c>
      <c r="D4041" t="s">
        <v>27</v>
      </c>
      <c r="E4041" t="s">
        <v>29</v>
      </c>
      <c r="F4041" s="1">
        <v>42502</v>
      </c>
      <c r="G4041" s="1">
        <v>42506</v>
      </c>
      <c r="H4041" t="s">
        <v>30</v>
      </c>
      <c r="I4041">
        <v>4</v>
      </c>
      <c r="J4041" t="s">
        <v>107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23</v>
      </c>
      <c r="R4041">
        <v>0</v>
      </c>
    </row>
    <row r="4042" spans="1:18">
      <c r="A4042" s="4">
        <v>8349370000000</v>
      </c>
      <c r="B4042" t="s">
        <v>18</v>
      </c>
      <c r="C4042">
        <v>49</v>
      </c>
      <c r="D4042" t="s">
        <v>27</v>
      </c>
      <c r="E4042" t="s">
        <v>100</v>
      </c>
      <c r="F4042" s="1">
        <v>42502</v>
      </c>
      <c r="G4042" s="1">
        <v>42522</v>
      </c>
      <c r="H4042" t="s">
        <v>25</v>
      </c>
      <c r="I4042">
        <v>20</v>
      </c>
      <c r="J4042" t="s">
        <v>77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26</v>
      </c>
      <c r="R4042">
        <v>1</v>
      </c>
    </row>
    <row r="4043" spans="1:18">
      <c r="A4043" s="4">
        <v>82433900000000</v>
      </c>
      <c r="B4043" t="s">
        <v>18</v>
      </c>
      <c r="C4043">
        <v>34</v>
      </c>
      <c r="D4043" t="s">
        <v>37</v>
      </c>
      <c r="E4043" t="s">
        <v>71</v>
      </c>
      <c r="F4043" s="1">
        <v>42502</v>
      </c>
      <c r="G4043" s="1">
        <v>42502</v>
      </c>
      <c r="H4043" t="s">
        <v>33</v>
      </c>
      <c r="I4043">
        <v>0</v>
      </c>
      <c r="J4043" t="s">
        <v>111</v>
      </c>
      <c r="K4043">
        <v>1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23</v>
      </c>
      <c r="R4043">
        <v>0</v>
      </c>
    </row>
    <row r="4044" spans="1:18">
      <c r="A4044" s="4">
        <v>21819894132</v>
      </c>
      <c r="B4044" t="s">
        <v>18</v>
      </c>
      <c r="C4044">
        <v>53</v>
      </c>
      <c r="D4044" t="s">
        <v>35</v>
      </c>
      <c r="E4044" t="s">
        <v>113</v>
      </c>
      <c r="F4044" s="1">
        <v>42502</v>
      </c>
      <c r="G4044" s="1">
        <v>42506</v>
      </c>
      <c r="H4044" t="s">
        <v>30</v>
      </c>
      <c r="I4044">
        <v>4</v>
      </c>
      <c r="J4044" t="s">
        <v>107</v>
      </c>
      <c r="K4044">
        <v>0</v>
      </c>
      <c r="L4044">
        <v>1</v>
      </c>
      <c r="M4044">
        <v>0</v>
      </c>
      <c r="N4044">
        <v>0</v>
      </c>
      <c r="O4044">
        <v>0</v>
      </c>
      <c r="P4044">
        <v>0</v>
      </c>
      <c r="Q4044" t="s">
        <v>23</v>
      </c>
      <c r="R4044">
        <v>0</v>
      </c>
    </row>
    <row r="4045" spans="1:18">
      <c r="A4045" s="4">
        <v>4694660000000</v>
      </c>
      <c r="B4045" t="s">
        <v>28</v>
      </c>
      <c r="C4045">
        <v>72</v>
      </c>
      <c r="D4045" t="s">
        <v>19</v>
      </c>
      <c r="E4045" t="s">
        <v>50</v>
      </c>
      <c r="F4045" s="1">
        <v>42502</v>
      </c>
      <c r="G4045" s="1">
        <v>42506</v>
      </c>
      <c r="H4045" t="s">
        <v>30</v>
      </c>
      <c r="I4045">
        <v>4</v>
      </c>
      <c r="J4045" t="s">
        <v>107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26</v>
      </c>
      <c r="R4045">
        <v>1</v>
      </c>
    </row>
    <row r="4046" spans="1:18">
      <c r="A4046" s="4">
        <v>8562790000000</v>
      </c>
      <c r="B4046" t="s">
        <v>18</v>
      </c>
      <c r="C4046">
        <v>23</v>
      </c>
      <c r="D4046" t="s">
        <v>37</v>
      </c>
      <c r="E4046" t="s">
        <v>65</v>
      </c>
      <c r="F4046" s="1">
        <v>42502</v>
      </c>
      <c r="G4046" s="1">
        <v>42507</v>
      </c>
      <c r="H4046" t="s">
        <v>41</v>
      </c>
      <c r="I4046">
        <v>5</v>
      </c>
      <c r="J4046" t="s">
        <v>107</v>
      </c>
      <c r="K4046">
        <v>0</v>
      </c>
      <c r="L4046">
        <v>0</v>
      </c>
      <c r="M4046">
        <v>0</v>
      </c>
      <c r="N4046">
        <v>0</v>
      </c>
      <c r="O4046">
        <v>1</v>
      </c>
      <c r="P4046">
        <v>0</v>
      </c>
      <c r="Q4046" t="s">
        <v>23</v>
      </c>
      <c r="R4046">
        <v>0</v>
      </c>
    </row>
    <row r="4047" spans="1:18">
      <c r="A4047" s="4">
        <v>354280000000</v>
      </c>
      <c r="B4047" t="s">
        <v>28</v>
      </c>
      <c r="C4047">
        <v>15</v>
      </c>
      <c r="D4047" t="s">
        <v>60</v>
      </c>
      <c r="E4047" t="s">
        <v>68</v>
      </c>
      <c r="F4047" s="1">
        <v>42502</v>
      </c>
      <c r="G4047" s="1">
        <v>42502</v>
      </c>
      <c r="H4047" t="s">
        <v>33</v>
      </c>
      <c r="I4047">
        <v>0</v>
      </c>
      <c r="J4047" t="s">
        <v>111</v>
      </c>
      <c r="K4047">
        <v>1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23</v>
      </c>
      <c r="R4047">
        <v>0</v>
      </c>
    </row>
    <row r="4048" spans="1:18">
      <c r="A4048" s="4">
        <v>8711180000000</v>
      </c>
      <c r="B4048" t="s">
        <v>18</v>
      </c>
      <c r="C4048">
        <v>22</v>
      </c>
      <c r="D4048" t="s">
        <v>37</v>
      </c>
      <c r="E4048" t="s">
        <v>70</v>
      </c>
      <c r="F4048" s="1">
        <v>42502</v>
      </c>
      <c r="G4048" s="1">
        <v>42502</v>
      </c>
      <c r="H4048" t="s">
        <v>33</v>
      </c>
      <c r="I4048">
        <v>0</v>
      </c>
      <c r="J4048" t="s">
        <v>111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23</v>
      </c>
      <c r="R4048">
        <v>0</v>
      </c>
    </row>
    <row r="4049" spans="1:18">
      <c r="A4049" s="4">
        <v>972732000000</v>
      </c>
      <c r="B4049" t="s">
        <v>18</v>
      </c>
      <c r="C4049">
        <v>70</v>
      </c>
      <c r="D4049" t="s">
        <v>19</v>
      </c>
      <c r="E4049" t="s">
        <v>29</v>
      </c>
      <c r="F4049" s="1">
        <v>42502</v>
      </c>
      <c r="G4049" s="1">
        <v>42509</v>
      </c>
      <c r="H4049" t="s">
        <v>33</v>
      </c>
      <c r="I4049">
        <v>7</v>
      </c>
      <c r="J4049" t="s">
        <v>107</v>
      </c>
      <c r="K4049">
        <v>0</v>
      </c>
      <c r="L4049">
        <v>1</v>
      </c>
      <c r="M4049">
        <v>0</v>
      </c>
      <c r="N4049">
        <v>0</v>
      </c>
      <c r="O4049">
        <v>0</v>
      </c>
      <c r="P4049">
        <v>0</v>
      </c>
      <c r="Q4049" t="s">
        <v>26</v>
      </c>
      <c r="R4049">
        <v>1</v>
      </c>
    </row>
    <row r="4050" spans="1:18">
      <c r="A4050" s="4">
        <v>9411860000000</v>
      </c>
      <c r="B4050" t="s">
        <v>18</v>
      </c>
      <c r="C4050">
        <v>38</v>
      </c>
      <c r="D4050" t="s">
        <v>27</v>
      </c>
      <c r="E4050" t="s">
        <v>72</v>
      </c>
      <c r="F4050" s="1">
        <v>42502</v>
      </c>
      <c r="G4050" s="1">
        <v>42502</v>
      </c>
      <c r="H4050" t="s">
        <v>33</v>
      </c>
      <c r="I4050">
        <v>0</v>
      </c>
      <c r="J4050" t="s">
        <v>111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23</v>
      </c>
      <c r="R4050">
        <v>0</v>
      </c>
    </row>
    <row r="4051" spans="1:18">
      <c r="A4051" s="4">
        <v>284475000000000</v>
      </c>
      <c r="B4051" t="s">
        <v>18</v>
      </c>
      <c r="C4051">
        <v>67</v>
      </c>
      <c r="D4051" t="s">
        <v>19</v>
      </c>
      <c r="E4051" t="s">
        <v>63</v>
      </c>
      <c r="F4051" s="1">
        <v>42502</v>
      </c>
      <c r="G4051" s="1">
        <v>42502</v>
      </c>
      <c r="H4051" t="s">
        <v>33</v>
      </c>
      <c r="I4051">
        <v>0</v>
      </c>
      <c r="J4051" t="s">
        <v>111</v>
      </c>
      <c r="K4051">
        <v>0</v>
      </c>
      <c r="L4051">
        <v>1</v>
      </c>
      <c r="M4051">
        <v>1</v>
      </c>
      <c r="N4051">
        <v>0</v>
      </c>
      <c r="O4051">
        <v>0</v>
      </c>
      <c r="P4051">
        <v>0</v>
      </c>
      <c r="Q4051" t="s">
        <v>23</v>
      </c>
      <c r="R4051">
        <v>0</v>
      </c>
    </row>
    <row r="4052" spans="1:18">
      <c r="A4052" s="4">
        <v>65268400000000</v>
      </c>
      <c r="B4052" t="s">
        <v>28</v>
      </c>
      <c r="C4052">
        <v>56</v>
      </c>
      <c r="D4052" t="s">
        <v>35</v>
      </c>
      <c r="E4052" t="s">
        <v>47</v>
      </c>
      <c r="F4052" s="1">
        <v>42502</v>
      </c>
      <c r="G4052" s="1">
        <v>42504</v>
      </c>
      <c r="H4052" t="s">
        <v>114</v>
      </c>
      <c r="I4052">
        <v>2</v>
      </c>
      <c r="J4052" t="s">
        <v>109</v>
      </c>
      <c r="K4052">
        <v>0</v>
      </c>
      <c r="L4052">
        <v>1</v>
      </c>
      <c r="M4052">
        <v>0</v>
      </c>
      <c r="N4052">
        <v>0</v>
      </c>
      <c r="O4052">
        <v>0</v>
      </c>
      <c r="P4052">
        <v>0</v>
      </c>
      <c r="Q4052" t="s">
        <v>23</v>
      </c>
      <c r="R4052">
        <v>0</v>
      </c>
    </row>
    <row r="4053" spans="1:18">
      <c r="A4053" s="4">
        <v>812763000000000</v>
      </c>
      <c r="B4053" t="s">
        <v>28</v>
      </c>
      <c r="C4053">
        <v>41</v>
      </c>
      <c r="D4053" t="s">
        <v>27</v>
      </c>
      <c r="E4053" t="s">
        <v>32</v>
      </c>
      <c r="F4053" s="1">
        <v>42502</v>
      </c>
      <c r="G4053" s="1">
        <v>42509</v>
      </c>
      <c r="H4053" t="s">
        <v>33</v>
      </c>
      <c r="I4053">
        <v>7</v>
      </c>
      <c r="J4053" t="s">
        <v>107</v>
      </c>
      <c r="K4053">
        <v>0</v>
      </c>
      <c r="L4053">
        <v>1</v>
      </c>
      <c r="M4053">
        <v>0</v>
      </c>
      <c r="N4053">
        <v>0</v>
      </c>
      <c r="O4053">
        <v>0</v>
      </c>
      <c r="P4053">
        <v>0</v>
      </c>
      <c r="Q4053" t="s">
        <v>23</v>
      </c>
      <c r="R4053">
        <v>0</v>
      </c>
    </row>
    <row r="4054" spans="1:18">
      <c r="A4054" s="4">
        <v>112975000000000</v>
      </c>
      <c r="B4054" t="s">
        <v>28</v>
      </c>
      <c r="C4054">
        <v>90</v>
      </c>
      <c r="D4054" t="s">
        <v>19</v>
      </c>
      <c r="E4054" t="s">
        <v>96</v>
      </c>
      <c r="F4054" s="1">
        <v>42502</v>
      </c>
      <c r="G4054" s="1">
        <v>42502</v>
      </c>
      <c r="H4054" t="s">
        <v>33</v>
      </c>
      <c r="I4054">
        <v>0</v>
      </c>
      <c r="J4054" t="s">
        <v>111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 t="s">
        <v>23</v>
      </c>
      <c r="R4054">
        <v>0</v>
      </c>
    </row>
    <row r="4055" spans="1:18">
      <c r="A4055" s="4">
        <v>937889000000</v>
      </c>
      <c r="B4055" t="s">
        <v>18</v>
      </c>
      <c r="C4055">
        <v>35</v>
      </c>
      <c r="D4055" t="s">
        <v>37</v>
      </c>
      <c r="E4055" t="s">
        <v>58</v>
      </c>
      <c r="F4055" s="1">
        <v>42502</v>
      </c>
      <c r="G4055" s="1">
        <v>42502</v>
      </c>
      <c r="H4055" t="s">
        <v>33</v>
      </c>
      <c r="I4055">
        <v>0</v>
      </c>
      <c r="J4055" t="s">
        <v>111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23</v>
      </c>
      <c r="R4055">
        <v>0</v>
      </c>
    </row>
    <row r="4056" spans="1:18">
      <c r="A4056" s="4">
        <v>83362900000000</v>
      </c>
      <c r="B4056" t="s">
        <v>18</v>
      </c>
      <c r="C4056">
        <v>80</v>
      </c>
      <c r="D4056" t="s">
        <v>19</v>
      </c>
      <c r="E4056" t="s">
        <v>67</v>
      </c>
      <c r="F4056" s="1">
        <v>42502</v>
      </c>
      <c r="G4056" s="1">
        <v>42506</v>
      </c>
      <c r="H4056" t="s">
        <v>30</v>
      </c>
      <c r="I4056">
        <v>4</v>
      </c>
      <c r="J4056" t="s">
        <v>107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23</v>
      </c>
      <c r="R4056">
        <v>0</v>
      </c>
    </row>
    <row r="4057" spans="1:18">
      <c r="A4057" s="4">
        <v>629623000000000</v>
      </c>
      <c r="B4057" t="s">
        <v>18</v>
      </c>
      <c r="C4057">
        <v>32</v>
      </c>
      <c r="D4057" t="s">
        <v>37</v>
      </c>
      <c r="E4057" t="s">
        <v>39</v>
      </c>
      <c r="F4057" s="1">
        <v>42502</v>
      </c>
      <c r="G4057" s="1">
        <v>42502</v>
      </c>
      <c r="H4057" t="s">
        <v>33</v>
      </c>
      <c r="I4057">
        <v>0</v>
      </c>
      <c r="J4057" t="s">
        <v>111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23</v>
      </c>
      <c r="R4057">
        <v>0</v>
      </c>
    </row>
    <row r="4058" spans="1:18">
      <c r="A4058" s="4">
        <v>2686730000000</v>
      </c>
      <c r="B4058" t="s">
        <v>28</v>
      </c>
      <c r="C4058">
        <v>6</v>
      </c>
      <c r="D4058" t="s">
        <v>31</v>
      </c>
      <c r="E4058" t="s">
        <v>101</v>
      </c>
      <c r="F4058" s="1">
        <v>42502</v>
      </c>
      <c r="G4058" s="1">
        <v>42502</v>
      </c>
      <c r="H4058" t="s">
        <v>33</v>
      </c>
      <c r="I4058">
        <v>0</v>
      </c>
      <c r="J4058" t="s">
        <v>111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23</v>
      </c>
      <c r="R4058">
        <v>0</v>
      </c>
    </row>
    <row r="4059" spans="1:18">
      <c r="A4059" s="4">
        <v>2957000000000</v>
      </c>
      <c r="B4059" t="s">
        <v>18</v>
      </c>
      <c r="C4059">
        <v>32</v>
      </c>
      <c r="D4059" t="s">
        <v>37</v>
      </c>
      <c r="E4059" t="s">
        <v>105</v>
      </c>
      <c r="F4059" s="1">
        <v>42502</v>
      </c>
      <c r="G4059" s="1">
        <v>42502</v>
      </c>
      <c r="H4059" t="s">
        <v>33</v>
      </c>
      <c r="I4059">
        <v>0</v>
      </c>
      <c r="J4059" t="s">
        <v>111</v>
      </c>
      <c r="K4059">
        <v>1</v>
      </c>
      <c r="L4059">
        <v>0</v>
      </c>
      <c r="M4059">
        <v>0</v>
      </c>
      <c r="N4059">
        <v>1</v>
      </c>
      <c r="O4059">
        <v>0</v>
      </c>
      <c r="P4059">
        <v>0</v>
      </c>
      <c r="Q4059" t="s">
        <v>23</v>
      </c>
      <c r="R4059">
        <v>0</v>
      </c>
    </row>
    <row r="4060" spans="1:18">
      <c r="A4060" s="4">
        <v>273492000000000</v>
      </c>
      <c r="B4060" t="s">
        <v>18</v>
      </c>
      <c r="C4060">
        <v>65</v>
      </c>
      <c r="D4060" t="s">
        <v>35</v>
      </c>
      <c r="E4060" t="s">
        <v>58</v>
      </c>
      <c r="F4060" s="1">
        <v>42502</v>
      </c>
      <c r="G4060" s="1">
        <v>42506</v>
      </c>
      <c r="H4060" t="s">
        <v>30</v>
      </c>
      <c r="I4060">
        <v>4</v>
      </c>
      <c r="J4060" t="s">
        <v>107</v>
      </c>
      <c r="K4060">
        <v>0</v>
      </c>
      <c r="L4060">
        <v>0</v>
      </c>
      <c r="M4060">
        <v>1</v>
      </c>
      <c r="N4060">
        <v>0</v>
      </c>
      <c r="O4060">
        <v>0</v>
      </c>
      <c r="P4060">
        <v>0</v>
      </c>
      <c r="Q4060" t="s">
        <v>23</v>
      </c>
      <c r="R4060">
        <v>0</v>
      </c>
    </row>
    <row r="4061" spans="1:18">
      <c r="A4061" s="4">
        <v>1436284497</v>
      </c>
      <c r="B4061" t="s">
        <v>18</v>
      </c>
      <c r="C4061">
        <v>89</v>
      </c>
      <c r="D4061" t="s">
        <v>19</v>
      </c>
      <c r="E4061" t="s">
        <v>29</v>
      </c>
      <c r="F4061" s="1">
        <v>42502</v>
      </c>
      <c r="G4061" s="1">
        <v>42506</v>
      </c>
      <c r="H4061" t="s">
        <v>30</v>
      </c>
      <c r="I4061">
        <v>4</v>
      </c>
      <c r="J4061" t="s">
        <v>107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23</v>
      </c>
      <c r="R4061">
        <v>0</v>
      </c>
    </row>
    <row r="4062" spans="1:18">
      <c r="A4062" s="4">
        <v>684813000000000</v>
      </c>
      <c r="B4062" t="s">
        <v>18</v>
      </c>
      <c r="C4062">
        <v>20</v>
      </c>
      <c r="D4062" t="s">
        <v>37</v>
      </c>
      <c r="E4062" t="s">
        <v>29</v>
      </c>
      <c r="F4062" s="1">
        <v>42502</v>
      </c>
      <c r="G4062" s="1">
        <v>42502</v>
      </c>
      <c r="H4062" t="s">
        <v>33</v>
      </c>
      <c r="I4062">
        <v>0</v>
      </c>
      <c r="J4062" t="s">
        <v>111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23</v>
      </c>
      <c r="R4062">
        <v>0</v>
      </c>
    </row>
    <row r="4063" spans="1:18">
      <c r="A4063" s="4">
        <v>96866600000000</v>
      </c>
      <c r="B4063" t="s">
        <v>18</v>
      </c>
      <c r="C4063">
        <v>31</v>
      </c>
      <c r="D4063" t="s">
        <v>37</v>
      </c>
      <c r="E4063" t="s">
        <v>83</v>
      </c>
      <c r="F4063" s="1">
        <v>42502</v>
      </c>
      <c r="G4063" s="1">
        <v>42502</v>
      </c>
      <c r="H4063" t="s">
        <v>33</v>
      </c>
      <c r="I4063">
        <v>0</v>
      </c>
      <c r="J4063" t="s">
        <v>111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23</v>
      </c>
      <c r="R4063">
        <v>0</v>
      </c>
    </row>
    <row r="4064" spans="1:18">
      <c r="A4064" s="4">
        <v>85772900000000</v>
      </c>
      <c r="B4064" t="s">
        <v>18</v>
      </c>
      <c r="C4064">
        <v>32</v>
      </c>
      <c r="D4064" t="s">
        <v>37</v>
      </c>
      <c r="E4064" t="s">
        <v>72</v>
      </c>
      <c r="F4064" s="1">
        <v>42502</v>
      </c>
      <c r="G4064" s="1">
        <v>42520</v>
      </c>
      <c r="H4064" t="s">
        <v>30</v>
      </c>
      <c r="I4064">
        <v>18</v>
      </c>
      <c r="J4064" t="s">
        <v>77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1</v>
      </c>
      <c r="Q4064" t="s">
        <v>23</v>
      </c>
      <c r="R4064">
        <v>0</v>
      </c>
    </row>
    <row r="4065" spans="1:18">
      <c r="A4065" s="4">
        <v>847435000000000</v>
      </c>
      <c r="B4065" t="s">
        <v>28</v>
      </c>
      <c r="C4065">
        <v>6</v>
      </c>
      <c r="D4065" t="s">
        <v>31</v>
      </c>
      <c r="E4065" t="s">
        <v>48</v>
      </c>
      <c r="F4065" s="1">
        <v>42502</v>
      </c>
      <c r="G4065" s="1">
        <v>42503</v>
      </c>
      <c r="H4065" t="s">
        <v>21</v>
      </c>
      <c r="I4065">
        <v>1</v>
      </c>
      <c r="J4065" t="s">
        <v>109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23</v>
      </c>
      <c r="R4065">
        <v>0</v>
      </c>
    </row>
    <row r="4066" spans="1:18">
      <c r="A4066" s="4">
        <v>5856820000000</v>
      </c>
      <c r="B4066" t="s">
        <v>18</v>
      </c>
      <c r="C4066">
        <v>60</v>
      </c>
      <c r="D4066" t="s">
        <v>35</v>
      </c>
      <c r="E4066" t="s">
        <v>40</v>
      </c>
      <c r="F4066" s="1">
        <v>42502</v>
      </c>
      <c r="G4066" s="1">
        <v>42502</v>
      </c>
      <c r="H4066" t="s">
        <v>33</v>
      </c>
      <c r="I4066">
        <v>0</v>
      </c>
      <c r="J4066" t="s">
        <v>111</v>
      </c>
      <c r="K4066">
        <v>1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23</v>
      </c>
      <c r="R4066">
        <v>0</v>
      </c>
    </row>
    <row r="4067" spans="1:18">
      <c r="A4067" s="4">
        <v>11512000000000</v>
      </c>
      <c r="B4067" t="s">
        <v>28</v>
      </c>
      <c r="C4067">
        <v>48</v>
      </c>
      <c r="D4067" t="s">
        <v>27</v>
      </c>
      <c r="E4067" t="s">
        <v>72</v>
      </c>
      <c r="F4067" s="1">
        <v>42502</v>
      </c>
      <c r="G4067" s="1">
        <v>42508</v>
      </c>
      <c r="H4067" t="s">
        <v>25</v>
      </c>
      <c r="I4067">
        <v>6</v>
      </c>
      <c r="J4067" t="s">
        <v>107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23</v>
      </c>
      <c r="R4067">
        <v>0</v>
      </c>
    </row>
    <row r="4068" spans="1:18">
      <c r="A4068" s="4">
        <v>539716000000000</v>
      </c>
      <c r="B4068" t="s">
        <v>18</v>
      </c>
      <c r="C4068">
        <v>35</v>
      </c>
      <c r="D4068" t="s">
        <v>37</v>
      </c>
      <c r="E4068" t="s">
        <v>46</v>
      </c>
      <c r="F4068" s="1">
        <v>42502</v>
      </c>
      <c r="G4068" s="1">
        <v>42507</v>
      </c>
      <c r="H4068" t="s">
        <v>41</v>
      </c>
      <c r="I4068">
        <v>5</v>
      </c>
      <c r="J4068" t="s">
        <v>107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26</v>
      </c>
      <c r="R4068">
        <v>1</v>
      </c>
    </row>
    <row r="4069" spans="1:18">
      <c r="A4069" s="4">
        <v>566371000000000</v>
      </c>
      <c r="B4069" t="s">
        <v>18</v>
      </c>
      <c r="C4069">
        <v>22</v>
      </c>
      <c r="D4069" t="s">
        <v>37</v>
      </c>
      <c r="E4069" t="s">
        <v>64</v>
      </c>
      <c r="F4069" s="1">
        <v>42502</v>
      </c>
      <c r="G4069" s="1">
        <v>42507</v>
      </c>
      <c r="H4069" t="s">
        <v>41</v>
      </c>
      <c r="I4069">
        <v>5</v>
      </c>
      <c r="J4069" t="s">
        <v>107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23</v>
      </c>
      <c r="R4069">
        <v>0</v>
      </c>
    </row>
    <row r="4070" spans="1:18">
      <c r="A4070" s="4">
        <v>7867320000000</v>
      </c>
      <c r="B4070" t="s">
        <v>28</v>
      </c>
      <c r="C4070">
        <v>38</v>
      </c>
      <c r="D4070" t="s">
        <v>27</v>
      </c>
      <c r="E4070" t="s">
        <v>94</v>
      </c>
      <c r="F4070" s="1">
        <v>42502</v>
      </c>
      <c r="G4070" s="1">
        <v>42510</v>
      </c>
      <c r="H4070" t="s">
        <v>21</v>
      </c>
      <c r="I4070">
        <v>8</v>
      </c>
      <c r="J4070" t="s">
        <v>92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23</v>
      </c>
      <c r="R4070">
        <v>0</v>
      </c>
    </row>
    <row r="4071" spans="1:18">
      <c r="A4071" s="4">
        <v>5851690000000</v>
      </c>
      <c r="B4071" t="s">
        <v>28</v>
      </c>
      <c r="C4071">
        <v>13</v>
      </c>
      <c r="D4071" t="s">
        <v>60</v>
      </c>
      <c r="E4071" t="s">
        <v>44</v>
      </c>
      <c r="F4071" s="1">
        <v>42502</v>
      </c>
      <c r="G4071" s="1">
        <v>42502</v>
      </c>
      <c r="H4071" t="s">
        <v>33</v>
      </c>
      <c r="I4071">
        <v>0</v>
      </c>
      <c r="J4071" t="s">
        <v>111</v>
      </c>
      <c r="K4071">
        <v>1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26</v>
      </c>
      <c r="R4071">
        <v>1</v>
      </c>
    </row>
    <row r="4072" spans="1:18">
      <c r="A4072" s="4">
        <v>137143000000</v>
      </c>
      <c r="B4072" t="s">
        <v>18</v>
      </c>
      <c r="C4072">
        <v>37</v>
      </c>
      <c r="D4072" t="s">
        <v>27</v>
      </c>
      <c r="E4072" t="s">
        <v>32</v>
      </c>
      <c r="F4072" s="1">
        <v>42502</v>
      </c>
      <c r="G4072" s="1">
        <v>42507</v>
      </c>
      <c r="H4072" t="s">
        <v>41</v>
      </c>
      <c r="I4072">
        <v>5</v>
      </c>
      <c r="J4072" t="s">
        <v>107</v>
      </c>
      <c r="K4072">
        <v>0</v>
      </c>
      <c r="L4072">
        <v>1</v>
      </c>
      <c r="M4072">
        <v>0</v>
      </c>
      <c r="N4072">
        <v>0</v>
      </c>
      <c r="O4072">
        <v>0</v>
      </c>
      <c r="P4072">
        <v>0</v>
      </c>
      <c r="Q4072" t="s">
        <v>23</v>
      </c>
      <c r="R4072">
        <v>0</v>
      </c>
    </row>
    <row r="4073" spans="1:18">
      <c r="A4073" s="4">
        <v>38899500000000</v>
      </c>
      <c r="B4073" t="s">
        <v>18</v>
      </c>
      <c r="C4073">
        <v>68</v>
      </c>
      <c r="D4073" t="s">
        <v>19</v>
      </c>
      <c r="E4073" t="s">
        <v>105</v>
      </c>
      <c r="F4073" s="1">
        <v>42502</v>
      </c>
      <c r="G4073" s="1">
        <v>42521</v>
      </c>
      <c r="H4073" t="s">
        <v>41</v>
      </c>
      <c r="I4073">
        <v>19</v>
      </c>
      <c r="J4073" t="s">
        <v>77</v>
      </c>
      <c r="K4073">
        <v>0</v>
      </c>
      <c r="L4073">
        <v>1</v>
      </c>
      <c r="M4073">
        <v>1</v>
      </c>
      <c r="N4073">
        <v>0</v>
      </c>
      <c r="O4073">
        <v>0</v>
      </c>
      <c r="P4073">
        <v>1</v>
      </c>
      <c r="Q4073" t="s">
        <v>23</v>
      </c>
      <c r="R4073">
        <v>0</v>
      </c>
    </row>
    <row r="4074" spans="1:18">
      <c r="A4074" s="4">
        <v>1477560000000</v>
      </c>
      <c r="B4074" t="s">
        <v>18</v>
      </c>
      <c r="C4074">
        <v>42</v>
      </c>
      <c r="D4074" t="s">
        <v>27</v>
      </c>
      <c r="E4074" t="s">
        <v>34</v>
      </c>
      <c r="F4074" s="1">
        <v>42502</v>
      </c>
      <c r="G4074" s="1">
        <v>42529</v>
      </c>
      <c r="H4074" t="s">
        <v>25</v>
      </c>
      <c r="I4074">
        <v>27</v>
      </c>
      <c r="J4074" t="s">
        <v>77</v>
      </c>
      <c r="K4074">
        <v>1</v>
      </c>
      <c r="L4074">
        <v>0</v>
      </c>
      <c r="M4074">
        <v>0</v>
      </c>
      <c r="N4074">
        <v>0</v>
      </c>
      <c r="O4074">
        <v>0</v>
      </c>
      <c r="P4074">
        <v>1</v>
      </c>
      <c r="Q4074" t="s">
        <v>26</v>
      </c>
      <c r="R4074">
        <v>1</v>
      </c>
    </row>
    <row r="4075" spans="1:18">
      <c r="A4075" s="4">
        <v>2168840000000</v>
      </c>
      <c r="B4075" t="s">
        <v>18</v>
      </c>
      <c r="C4075">
        <v>85</v>
      </c>
      <c r="D4075" t="s">
        <v>19</v>
      </c>
      <c r="E4075" t="s">
        <v>57</v>
      </c>
      <c r="F4075" s="1">
        <v>42502</v>
      </c>
      <c r="G4075" s="1">
        <v>42508</v>
      </c>
      <c r="H4075" t="s">
        <v>25</v>
      </c>
      <c r="I4075">
        <v>6</v>
      </c>
      <c r="J4075" t="s">
        <v>107</v>
      </c>
      <c r="K4075">
        <v>0</v>
      </c>
      <c r="L4075">
        <v>1</v>
      </c>
      <c r="M4075">
        <v>1</v>
      </c>
      <c r="N4075">
        <v>0</v>
      </c>
      <c r="O4075">
        <v>0</v>
      </c>
      <c r="P4075">
        <v>0</v>
      </c>
      <c r="Q4075" t="s">
        <v>23</v>
      </c>
      <c r="R4075">
        <v>0</v>
      </c>
    </row>
    <row r="4076" spans="1:18">
      <c r="A4076" s="4">
        <v>92773487582</v>
      </c>
      <c r="B4076" t="s">
        <v>18</v>
      </c>
      <c r="C4076">
        <v>54</v>
      </c>
      <c r="D4076" t="s">
        <v>35</v>
      </c>
      <c r="E4076" t="s">
        <v>29</v>
      </c>
      <c r="F4076" s="1">
        <v>42502</v>
      </c>
      <c r="G4076" s="1">
        <v>42528</v>
      </c>
      <c r="H4076" t="s">
        <v>41</v>
      </c>
      <c r="I4076">
        <v>26</v>
      </c>
      <c r="J4076" t="s">
        <v>77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1</v>
      </c>
      <c r="Q4076" t="s">
        <v>23</v>
      </c>
      <c r="R4076">
        <v>0</v>
      </c>
    </row>
    <row r="4077" spans="1:18">
      <c r="A4077" s="4">
        <v>413341000000</v>
      </c>
      <c r="B4077" t="s">
        <v>18</v>
      </c>
      <c r="C4077">
        <v>53</v>
      </c>
      <c r="D4077" t="s">
        <v>35</v>
      </c>
      <c r="E4077" t="s">
        <v>32</v>
      </c>
      <c r="F4077" s="1">
        <v>42502</v>
      </c>
      <c r="G4077" s="1">
        <v>42507</v>
      </c>
      <c r="H4077" t="s">
        <v>41</v>
      </c>
      <c r="I4077">
        <v>5</v>
      </c>
      <c r="J4077" t="s">
        <v>107</v>
      </c>
      <c r="K4077">
        <v>0</v>
      </c>
      <c r="L4077">
        <v>1</v>
      </c>
      <c r="M4077">
        <v>0</v>
      </c>
      <c r="N4077">
        <v>0</v>
      </c>
      <c r="O4077">
        <v>0</v>
      </c>
      <c r="P4077">
        <v>0</v>
      </c>
      <c r="Q4077" t="s">
        <v>23</v>
      </c>
      <c r="R4077">
        <v>0</v>
      </c>
    </row>
    <row r="4078" spans="1:18">
      <c r="A4078" s="4">
        <v>948566000000</v>
      </c>
      <c r="B4078" t="s">
        <v>18</v>
      </c>
      <c r="C4078">
        <v>52</v>
      </c>
      <c r="D4078" t="s">
        <v>35</v>
      </c>
      <c r="E4078" t="s">
        <v>39</v>
      </c>
      <c r="F4078" s="1">
        <v>42502</v>
      </c>
      <c r="G4078" s="1">
        <v>42507</v>
      </c>
      <c r="H4078" t="s">
        <v>41</v>
      </c>
      <c r="I4078">
        <v>5</v>
      </c>
      <c r="J4078" t="s">
        <v>107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26</v>
      </c>
      <c r="R4078">
        <v>1</v>
      </c>
    </row>
    <row r="4079" spans="1:18">
      <c r="A4079" s="4">
        <v>33854800000000</v>
      </c>
      <c r="B4079" t="s">
        <v>18</v>
      </c>
      <c r="C4079">
        <v>36</v>
      </c>
      <c r="D4079" t="s">
        <v>27</v>
      </c>
      <c r="E4079" t="s">
        <v>57</v>
      </c>
      <c r="F4079" s="1">
        <v>42502</v>
      </c>
      <c r="G4079" s="1">
        <v>42502</v>
      </c>
      <c r="H4079" t="s">
        <v>33</v>
      </c>
      <c r="I4079">
        <v>0</v>
      </c>
      <c r="J4079" t="s">
        <v>111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23</v>
      </c>
      <c r="R4079">
        <v>0</v>
      </c>
    </row>
    <row r="4080" spans="1:18">
      <c r="A4080" s="4">
        <v>68573900000000</v>
      </c>
      <c r="B4080" t="s">
        <v>28</v>
      </c>
      <c r="C4080">
        <v>44</v>
      </c>
      <c r="D4080" t="s">
        <v>27</v>
      </c>
      <c r="E4080" t="s">
        <v>72</v>
      </c>
      <c r="F4080" s="1">
        <v>42502</v>
      </c>
      <c r="G4080" s="1">
        <v>42502</v>
      </c>
      <c r="H4080" t="s">
        <v>33</v>
      </c>
      <c r="I4080">
        <v>0</v>
      </c>
      <c r="J4080" t="s">
        <v>111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23</v>
      </c>
      <c r="R4080">
        <v>0</v>
      </c>
    </row>
    <row r="4081" spans="1:18">
      <c r="A4081" s="4">
        <v>89231900000000</v>
      </c>
      <c r="B4081" t="s">
        <v>28</v>
      </c>
      <c r="C4081">
        <v>26</v>
      </c>
      <c r="D4081" t="s">
        <v>37</v>
      </c>
      <c r="E4081" t="s">
        <v>40</v>
      </c>
      <c r="F4081" s="1">
        <v>42502</v>
      </c>
      <c r="G4081" s="1">
        <v>42509</v>
      </c>
      <c r="H4081" t="s">
        <v>33</v>
      </c>
      <c r="I4081">
        <v>7</v>
      </c>
      <c r="J4081" t="s">
        <v>107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23</v>
      </c>
      <c r="R4081">
        <v>0</v>
      </c>
    </row>
    <row r="4082" spans="1:18">
      <c r="A4082" s="4">
        <v>66117912619</v>
      </c>
      <c r="B4082" t="s">
        <v>18</v>
      </c>
      <c r="C4082">
        <v>41</v>
      </c>
      <c r="D4082" t="s">
        <v>27</v>
      </c>
      <c r="E4082" t="s">
        <v>39</v>
      </c>
      <c r="F4082" s="1">
        <v>42502</v>
      </c>
      <c r="G4082" s="1">
        <v>42502</v>
      </c>
      <c r="H4082" t="s">
        <v>33</v>
      </c>
      <c r="I4082">
        <v>0</v>
      </c>
      <c r="J4082" t="s">
        <v>111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23</v>
      </c>
      <c r="R4082">
        <v>0</v>
      </c>
    </row>
    <row r="4083" spans="1:18">
      <c r="A4083" s="4">
        <v>38719800000000</v>
      </c>
      <c r="B4083" t="s">
        <v>18</v>
      </c>
      <c r="C4083">
        <v>63</v>
      </c>
      <c r="D4083" t="s">
        <v>35</v>
      </c>
      <c r="E4083" t="s">
        <v>29</v>
      </c>
      <c r="F4083" s="1">
        <v>42502</v>
      </c>
      <c r="G4083" s="1">
        <v>42502</v>
      </c>
      <c r="H4083" t="s">
        <v>33</v>
      </c>
      <c r="I4083">
        <v>0</v>
      </c>
      <c r="J4083" t="s">
        <v>111</v>
      </c>
      <c r="K4083">
        <v>0</v>
      </c>
      <c r="L4083">
        <v>1</v>
      </c>
      <c r="M4083">
        <v>0</v>
      </c>
      <c r="N4083">
        <v>0</v>
      </c>
      <c r="O4083">
        <v>0</v>
      </c>
      <c r="P4083">
        <v>0</v>
      </c>
      <c r="Q4083" t="s">
        <v>23</v>
      </c>
      <c r="R4083">
        <v>0</v>
      </c>
    </row>
    <row r="4084" spans="1:18">
      <c r="A4084" s="4">
        <v>188232000000000</v>
      </c>
      <c r="B4084" t="s">
        <v>28</v>
      </c>
      <c r="C4084">
        <v>45</v>
      </c>
      <c r="D4084" t="s">
        <v>27</v>
      </c>
      <c r="E4084" t="s">
        <v>67</v>
      </c>
      <c r="F4084" s="1">
        <v>42502</v>
      </c>
      <c r="G4084" s="1">
        <v>42502</v>
      </c>
      <c r="H4084" t="s">
        <v>33</v>
      </c>
      <c r="I4084">
        <v>0</v>
      </c>
      <c r="J4084" t="s">
        <v>111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23</v>
      </c>
      <c r="R4084">
        <v>0</v>
      </c>
    </row>
    <row r="4085" spans="1:18">
      <c r="A4085" s="4">
        <v>8147430000000</v>
      </c>
      <c r="B4085" t="s">
        <v>18</v>
      </c>
      <c r="C4085">
        <v>35</v>
      </c>
      <c r="D4085" t="s">
        <v>37</v>
      </c>
      <c r="E4085" t="s">
        <v>39</v>
      </c>
      <c r="F4085" s="1">
        <v>42502</v>
      </c>
      <c r="G4085" s="1">
        <v>42502</v>
      </c>
      <c r="H4085" t="s">
        <v>33</v>
      </c>
      <c r="I4085">
        <v>0</v>
      </c>
      <c r="J4085" t="s">
        <v>111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23</v>
      </c>
      <c r="R4085">
        <v>0</v>
      </c>
    </row>
    <row r="4086" spans="1:18">
      <c r="A4086" s="4">
        <v>36995000000000</v>
      </c>
      <c r="B4086" t="s">
        <v>18</v>
      </c>
      <c r="C4086">
        <v>28</v>
      </c>
      <c r="D4086" t="s">
        <v>37</v>
      </c>
      <c r="E4086" t="s">
        <v>47</v>
      </c>
      <c r="F4086" s="1">
        <v>42502</v>
      </c>
      <c r="G4086" s="1">
        <v>42502</v>
      </c>
      <c r="H4086" t="s">
        <v>33</v>
      </c>
      <c r="I4086">
        <v>0</v>
      </c>
      <c r="J4086" t="s">
        <v>111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23</v>
      </c>
      <c r="R4086">
        <v>0</v>
      </c>
    </row>
    <row r="4087" spans="1:18">
      <c r="A4087" s="4">
        <v>3951640000000</v>
      </c>
      <c r="B4087" t="s">
        <v>18</v>
      </c>
      <c r="C4087">
        <v>38</v>
      </c>
      <c r="D4087" t="s">
        <v>27</v>
      </c>
      <c r="E4087" t="s">
        <v>72</v>
      </c>
      <c r="F4087" s="1">
        <v>42502</v>
      </c>
      <c r="G4087" s="1">
        <v>42510</v>
      </c>
      <c r="H4087" t="s">
        <v>21</v>
      </c>
      <c r="I4087">
        <v>8</v>
      </c>
      <c r="J4087" t="s">
        <v>92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26</v>
      </c>
      <c r="R4087">
        <v>1</v>
      </c>
    </row>
    <row r="4088" spans="1:18">
      <c r="A4088" s="4">
        <v>2758660000000</v>
      </c>
      <c r="B4088" t="s">
        <v>28</v>
      </c>
      <c r="C4088">
        <v>41</v>
      </c>
      <c r="D4088" t="s">
        <v>27</v>
      </c>
      <c r="E4088" t="s">
        <v>62</v>
      </c>
      <c r="F4088" s="1">
        <v>42502</v>
      </c>
      <c r="G4088" s="1">
        <v>42509</v>
      </c>
      <c r="H4088" t="s">
        <v>33</v>
      </c>
      <c r="I4088">
        <v>7</v>
      </c>
      <c r="J4088" t="s">
        <v>107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23</v>
      </c>
      <c r="R4088">
        <v>0</v>
      </c>
    </row>
    <row r="4089" spans="1:18">
      <c r="A4089" s="4">
        <v>354280000000</v>
      </c>
      <c r="B4089" t="s">
        <v>28</v>
      </c>
      <c r="C4089">
        <v>15</v>
      </c>
      <c r="D4089" t="s">
        <v>60</v>
      </c>
      <c r="E4089" t="s">
        <v>68</v>
      </c>
      <c r="F4089" s="1">
        <v>42502</v>
      </c>
      <c r="G4089" s="1">
        <v>42502</v>
      </c>
      <c r="H4089" t="s">
        <v>33</v>
      </c>
      <c r="I4089">
        <v>0</v>
      </c>
      <c r="J4089" t="s">
        <v>111</v>
      </c>
      <c r="K4089">
        <v>1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23</v>
      </c>
      <c r="R4089">
        <v>0</v>
      </c>
    </row>
    <row r="4090" spans="1:18">
      <c r="A4090" s="4">
        <v>37458900000000</v>
      </c>
      <c r="B4090" t="s">
        <v>18</v>
      </c>
      <c r="C4090">
        <v>83</v>
      </c>
      <c r="D4090" t="s">
        <v>19</v>
      </c>
      <c r="E4090" t="s">
        <v>39</v>
      </c>
      <c r="F4090" s="1">
        <v>42502</v>
      </c>
      <c r="G4090" s="1">
        <v>42502</v>
      </c>
      <c r="H4090" t="s">
        <v>33</v>
      </c>
      <c r="I4090">
        <v>0</v>
      </c>
      <c r="J4090" t="s">
        <v>111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23</v>
      </c>
      <c r="R4090">
        <v>0</v>
      </c>
    </row>
    <row r="4091" spans="1:18">
      <c r="A4091" s="4">
        <v>611162000000000</v>
      </c>
      <c r="B4091" t="s">
        <v>18</v>
      </c>
      <c r="C4091">
        <v>46</v>
      </c>
      <c r="D4091" t="s">
        <v>27</v>
      </c>
      <c r="E4091" t="s">
        <v>29</v>
      </c>
      <c r="F4091" s="1">
        <v>42502</v>
      </c>
      <c r="G4091" s="1">
        <v>42502</v>
      </c>
      <c r="H4091" t="s">
        <v>33</v>
      </c>
      <c r="I4091">
        <v>0</v>
      </c>
      <c r="J4091" t="s">
        <v>111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23</v>
      </c>
      <c r="R4091">
        <v>0</v>
      </c>
    </row>
    <row r="4092" spans="1:18">
      <c r="A4092" s="4">
        <v>4295450000000</v>
      </c>
      <c r="B4092" t="s">
        <v>18</v>
      </c>
      <c r="C4092">
        <v>60</v>
      </c>
      <c r="D4092" t="s">
        <v>35</v>
      </c>
      <c r="E4092" t="s">
        <v>57</v>
      </c>
      <c r="F4092" s="1">
        <v>42502</v>
      </c>
      <c r="G4092" s="1">
        <v>42502</v>
      </c>
      <c r="H4092" t="s">
        <v>33</v>
      </c>
      <c r="I4092">
        <v>0</v>
      </c>
      <c r="J4092" t="s">
        <v>111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23</v>
      </c>
      <c r="R4092">
        <v>0</v>
      </c>
    </row>
    <row r="4093" spans="1:18">
      <c r="A4093" s="4">
        <v>53352200000000</v>
      </c>
      <c r="B4093" t="s">
        <v>18</v>
      </c>
      <c r="C4093">
        <v>55</v>
      </c>
      <c r="D4093" t="s">
        <v>35</v>
      </c>
      <c r="E4093" t="s">
        <v>39</v>
      </c>
      <c r="F4093" s="1">
        <v>42502</v>
      </c>
      <c r="G4093" s="1">
        <v>42507</v>
      </c>
      <c r="H4093" t="s">
        <v>41</v>
      </c>
      <c r="I4093">
        <v>5</v>
      </c>
      <c r="J4093" t="s">
        <v>107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23</v>
      </c>
      <c r="R4093">
        <v>0</v>
      </c>
    </row>
    <row r="4094" spans="1:18">
      <c r="A4094" s="4">
        <v>584525000000000</v>
      </c>
      <c r="B4094" t="s">
        <v>18</v>
      </c>
      <c r="C4094">
        <v>52</v>
      </c>
      <c r="D4094" t="s">
        <v>35</v>
      </c>
      <c r="E4094" t="s">
        <v>39</v>
      </c>
      <c r="F4094" s="1">
        <v>42502</v>
      </c>
      <c r="G4094" s="1">
        <v>42507</v>
      </c>
      <c r="H4094" t="s">
        <v>41</v>
      </c>
      <c r="I4094">
        <v>5</v>
      </c>
      <c r="J4094" t="s">
        <v>107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23</v>
      </c>
      <c r="R4094">
        <v>0</v>
      </c>
    </row>
    <row r="4095" spans="1:18">
      <c r="A4095" s="4">
        <v>234199000000</v>
      </c>
      <c r="B4095" t="s">
        <v>28</v>
      </c>
      <c r="C4095">
        <v>39</v>
      </c>
      <c r="D4095" t="s">
        <v>27</v>
      </c>
      <c r="E4095" t="s">
        <v>58</v>
      </c>
      <c r="F4095" s="1">
        <v>42503</v>
      </c>
      <c r="G4095" s="1">
        <v>42507</v>
      </c>
      <c r="H4095" t="s">
        <v>41</v>
      </c>
      <c r="I4095">
        <v>4</v>
      </c>
      <c r="J4095" t="s">
        <v>107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23</v>
      </c>
      <c r="R4095">
        <v>0</v>
      </c>
    </row>
    <row r="4096" spans="1:18">
      <c r="A4096" s="4">
        <v>326283000000000</v>
      </c>
      <c r="B4096" t="s">
        <v>18</v>
      </c>
      <c r="C4096">
        <v>7</v>
      </c>
      <c r="D4096" t="s">
        <v>31</v>
      </c>
      <c r="E4096" t="s">
        <v>64</v>
      </c>
      <c r="F4096" s="1">
        <v>42503</v>
      </c>
      <c r="G4096" s="1">
        <v>42506</v>
      </c>
      <c r="H4096" t="s">
        <v>30</v>
      </c>
      <c r="I4096">
        <v>3</v>
      </c>
      <c r="J4096" t="s">
        <v>109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23</v>
      </c>
      <c r="R4096">
        <v>0</v>
      </c>
    </row>
    <row r="4097" spans="1:18">
      <c r="A4097" s="4">
        <v>294838000000</v>
      </c>
      <c r="B4097" t="s">
        <v>28</v>
      </c>
      <c r="C4097">
        <v>22</v>
      </c>
      <c r="D4097" t="s">
        <v>37</v>
      </c>
      <c r="E4097" t="s">
        <v>69</v>
      </c>
      <c r="F4097" s="1">
        <v>42503</v>
      </c>
      <c r="G4097" s="1">
        <v>42503</v>
      </c>
      <c r="H4097" t="s">
        <v>21</v>
      </c>
      <c r="I4097">
        <v>0</v>
      </c>
      <c r="J4097" t="s">
        <v>111</v>
      </c>
      <c r="K4097">
        <v>0</v>
      </c>
      <c r="L4097">
        <v>1</v>
      </c>
      <c r="M4097">
        <v>0</v>
      </c>
      <c r="N4097">
        <v>0</v>
      </c>
      <c r="O4097">
        <v>0</v>
      </c>
      <c r="P4097">
        <v>0</v>
      </c>
      <c r="Q4097" t="s">
        <v>23</v>
      </c>
      <c r="R4097">
        <v>0</v>
      </c>
    </row>
    <row r="4098" spans="1:18">
      <c r="A4098" s="4">
        <v>7796320000000</v>
      </c>
      <c r="B4098" t="s">
        <v>18</v>
      </c>
      <c r="C4098">
        <v>32</v>
      </c>
      <c r="D4098" t="s">
        <v>37</v>
      </c>
      <c r="E4098" t="s">
        <v>47</v>
      </c>
      <c r="F4098" s="1">
        <v>42503</v>
      </c>
      <c r="G4098" s="1">
        <v>42507</v>
      </c>
      <c r="H4098" t="s">
        <v>41</v>
      </c>
      <c r="I4098">
        <v>4</v>
      </c>
      <c r="J4098" t="s">
        <v>107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23</v>
      </c>
      <c r="R4098">
        <v>0</v>
      </c>
    </row>
    <row r="4099" spans="1:18">
      <c r="A4099" s="4">
        <v>884976000000</v>
      </c>
      <c r="B4099" t="s">
        <v>28</v>
      </c>
      <c r="C4099">
        <v>58</v>
      </c>
      <c r="D4099" t="s">
        <v>35</v>
      </c>
      <c r="E4099" t="s">
        <v>106</v>
      </c>
      <c r="F4099" s="1">
        <v>42503</v>
      </c>
      <c r="G4099" s="1">
        <v>42503</v>
      </c>
      <c r="H4099" t="s">
        <v>21</v>
      </c>
      <c r="I4099">
        <v>0</v>
      </c>
      <c r="J4099" t="s">
        <v>111</v>
      </c>
      <c r="K4099">
        <v>0</v>
      </c>
      <c r="L4099">
        <v>1</v>
      </c>
      <c r="M4099">
        <v>0</v>
      </c>
      <c r="N4099">
        <v>1</v>
      </c>
      <c r="O4099">
        <v>0</v>
      </c>
      <c r="P4099">
        <v>0</v>
      </c>
      <c r="Q4099" t="s">
        <v>23</v>
      </c>
      <c r="R4099">
        <v>0</v>
      </c>
    </row>
    <row r="4100" spans="1:18">
      <c r="A4100" s="4">
        <v>472265000000000</v>
      </c>
      <c r="B4100" t="s">
        <v>28</v>
      </c>
      <c r="C4100">
        <v>89</v>
      </c>
      <c r="D4100" t="s">
        <v>19</v>
      </c>
      <c r="E4100" t="s">
        <v>91</v>
      </c>
      <c r="F4100" s="1">
        <v>42503</v>
      </c>
      <c r="G4100" s="1">
        <v>42515</v>
      </c>
      <c r="H4100" t="s">
        <v>25</v>
      </c>
      <c r="I4100">
        <v>12</v>
      </c>
      <c r="J4100" t="s">
        <v>92</v>
      </c>
      <c r="K4100">
        <v>0</v>
      </c>
      <c r="L4100">
        <v>1</v>
      </c>
      <c r="M4100">
        <v>1</v>
      </c>
      <c r="N4100">
        <v>0</v>
      </c>
      <c r="O4100">
        <v>0</v>
      </c>
      <c r="P4100">
        <v>1</v>
      </c>
      <c r="Q4100" t="s">
        <v>23</v>
      </c>
      <c r="R4100">
        <v>0</v>
      </c>
    </row>
    <row r="4101" spans="1:18">
      <c r="A4101" s="4">
        <v>8537840000000</v>
      </c>
      <c r="B4101" t="s">
        <v>18</v>
      </c>
      <c r="C4101">
        <v>5</v>
      </c>
      <c r="D4101" t="s">
        <v>31</v>
      </c>
      <c r="E4101" t="s">
        <v>68</v>
      </c>
      <c r="F4101" s="1">
        <v>42503</v>
      </c>
      <c r="G4101" s="1">
        <v>42503</v>
      </c>
      <c r="H4101" t="s">
        <v>21</v>
      </c>
      <c r="I4101">
        <v>0</v>
      </c>
      <c r="J4101" t="s">
        <v>111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26</v>
      </c>
      <c r="R4101">
        <v>1</v>
      </c>
    </row>
    <row r="4102" spans="1:18">
      <c r="A4102" s="4">
        <v>35888200000000</v>
      </c>
      <c r="B4102" t="s">
        <v>28</v>
      </c>
      <c r="C4102">
        <v>81</v>
      </c>
      <c r="D4102" t="s">
        <v>19</v>
      </c>
      <c r="E4102" t="s">
        <v>57</v>
      </c>
      <c r="F4102" s="1">
        <v>42503</v>
      </c>
      <c r="G4102" s="1">
        <v>42507</v>
      </c>
      <c r="H4102" t="s">
        <v>41</v>
      </c>
      <c r="I4102">
        <v>4</v>
      </c>
      <c r="J4102" t="s">
        <v>107</v>
      </c>
      <c r="K4102">
        <v>0</v>
      </c>
      <c r="L4102">
        <v>0</v>
      </c>
      <c r="M4102">
        <v>0</v>
      </c>
      <c r="N4102">
        <v>1</v>
      </c>
      <c r="O4102">
        <v>0</v>
      </c>
      <c r="P4102">
        <v>0</v>
      </c>
      <c r="Q4102" t="s">
        <v>23</v>
      </c>
      <c r="R4102">
        <v>0</v>
      </c>
    </row>
    <row r="4103" spans="1:18">
      <c r="A4103" s="4">
        <v>432581000000000</v>
      </c>
      <c r="B4103" t="s">
        <v>18</v>
      </c>
      <c r="C4103">
        <v>8</v>
      </c>
      <c r="D4103" t="s">
        <v>31</v>
      </c>
      <c r="E4103" t="s">
        <v>71</v>
      </c>
      <c r="F4103" s="1">
        <v>42503</v>
      </c>
      <c r="G4103" s="1">
        <v>42507</v>
      </c>
      <c r="H4103" t="s">
        <v>41</v>
      </c>
      <c r="I4103">
        <v>4</v>
      </c>
      <c r="J4103" t="s">
        <v>107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23</v>
      </c>
      <c r="R4103">
        <v>0</v>
      </c>
    </row>
    <row r="4104" spans="1:18">
      <c r="A4104" s="4">
        <v>22352500000000</v>
      </c>
      <c r="B4104" t="s">
        <v>18</v>
      </c>
      <c r="C4104">
        <v>36</v>
      </c>
      <c r="D4104" t="s">
        <v>27</v>
      </c>
      <c r="E4104" t="s">
        <v>45</v>
      </c>
      <c r="F4104" s="1">
        <v>42503</v>
      </c>
      <c r="G4104" s="1">
        <v>42503</v>
      </c>
      <c r="H4104" t="s">
        <v>21</v>
      </c>
      <c r="I4104">
        <v>0</v>
      </c>
      <c r="J4104" t="s">
        <v>111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23</v>
      </c>
      <c r="R4104">
        <v>0</v>
      </c>
    </row>
    <row r="4105" spans="1:18">
      <c r="A4105" s="4">
        <v>775590000000000</v>
      </c>
      <c r="B4105" t="s">
        <v>28</v>
      </c>
      <c r="C4105">
        <v>7</v>
      </c>
      <c r="D4105" t="s">
        <v>31</v>
      </c>
      <c r="E4105" t="s">
        <v>39</v>
      </c>
      <c r="F4105" s="1">
        <v>42503</v>
      </c>
      <c r="G4105" s="1">
        <v>42503</v>
      </c>
      <c r="H4105" t="s">
        <v>21</v>
      </c>
      <c r="I4105">
        <v>0</v>
      </c>
      <c r="J4105" t="s">
        <v>111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23</v>
      </c>
      <c r="R4105">
        <v>0</v>
      </c>
    </row>
    <row r="4106" spans="1:18">
      <c r="A4106" s="4">
        <v>664853000000</v>
      </c>
      <c r="B4106" t="s">
        <v>18</v>
      </c>
      <c r="C4106">
        <v>69</v>
      </c>
      <c r="D4106" t="s">
        <v>19</v>
      </c>
      <c r="E4106" t="s">
        <v>57</v>
      </c>
      <c r="F4106" s="1">
        <v>42503</v>
      </c>
      <c r="G4106" s="1">
        <v>42503</v>
      </c>
      <c r="H4106" t="s">
        <v>21</v>
      </c>
      <c r="I4106">
        <v>0</v>
      </c>
      <c r="J4106" t="s">
        <v>111</v>
      </c>
      <c r="K4106">
        <v>0</v>
      </c>
      <c r="L4106">
        <v>1</v>
      </c>
      <c r="M4106">
        <v>1</v>
      </c>
      <c r="N4106">
        <v>0</v>
      </c>
      <c r="O4106">
        <v>0</v>
      </c>
      <c r="P4106">
        <v>0</v>
      </c>
      <c r="Q4106" t="s">
        <v>23</v>
      </c>
      <c r="R4106">
        <v>0</v>
      </c>
    </row>
    <row r="4107" spans="1:18">
      <c r="A4107" s="4">
        <v>81453700000000</v>
      </c>
      <c r="B4107" t="s">
        <v>28</v>
      </c>
      <c r="C4107">
        <v>34</v>
      </c>
      <c r="D4107" t="s">
        <v>37</v>
      </c>
      <c r="E4107" t="s">
        <v>66</v>
      </c>
      <c r="F4107" s="1">
        <v>42503</v>
      </c>
      <c r="G4107" s="1">
        <v>42514</v>
      </c>
      <c r="H4107" t="s">
        <v>41</v>
      </c>
      <c r="I4107">
        <v>11</v>
      </c>
      <c r="J4107" t="s">
        <v>92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1</v>
      </c>
      <c r="Q4107" t="s">
        <v>26</v>
      </c>
      <c r="R4107">
        <v>1</v>
      </c>
    </row>
    <row r="4108" spans="1:18">
      <c r="A4108" s="4">
        <v>88521900000000</v>
      </c>
      <c r="B4108" t="s">
        <v>18</v>
      </c>
      <c r="C4108">
        <v>34</v>
      </c>
      <c r="D4108" t="s">
        <v>37</v>
      </c>
      <c r="E4108" t="s">
        <v>95</v>
      </c>
      <c r="F4108" s="1">
        <v>42503</v>
      </c>
      <c r="G4108" s="1">
        <v>42520</v>
      </c>
      <c r="H4108" t="s">
        <v>30</v>
      </c>
      <c r="I4108">
        <v>17</v>
      </c>
      <c r="J4108" t="s">
        <v>77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1</v>
      </c>
      <c r="Q4108" t="s">
        <v>26</v>
      </c>
      <c r="R4108">
        <v>1</v>
      </c>
    </row>
    <row r="4109" spans="1:18">
      <c r="A4109" s="4">
        <v>9689410000000</v>
      </c>
      <c r="B4109" t="s">
        <v>18</v>
      </c>
      <c r="C4109">
        <v>40</v>
      </c>
      <c r="D4109" t="s">
        <v>27</v>
      </c>
      <c r="E4109" t="s">
        <v>69</v>
      </c>
      <c r="F4109" s="1">
        <v>42503</v>
      </c>
      <c r="G4109" s="1">
        <v>42520</v>
      </c>
      <c r="H4109" t="s">
        <v>30</v>
      </c>
      <c r="I4109">
        <v>17</v>
      </c>
      <c r="J4109" t="s">
        <v>77</v>
      </c>
      <c r="K4109">
        <v>0</v>
      </c>
      <c r="L4109">
        <v>0</v>
      </c>
      <c r="M4109">
        <v>0</v>
      </c>
      <c r="N4109">
        <v>1</v>
      </c>
      <c r="O4109">
        <v>0</v>
      </c>
      <c r="P4109">
        <v>1</v>
      </c>
      <c r="Q4109" t="s">
        <v>23</v>
      </c>
      <c r="R4109">
        <v>0</v>
      </c>
    </row>
    <row r="4110" spans="1:18">
      <c r="A4110" s="4">
        <v>163596000000000</v>
      </c>
      <c r="B4110" t="s">
        <v>18</v>
      </c>
      <c r="C4110">
        <v>63</v>
      </c>
      <c r="D4110" t="s">
        <v>35</v>
      </c>
      <c r="E4110" t="s">
        <v>81</v>
      </c>
      <c r="F4110" s="1">
        <v>42503</v>
      </c>
      <c r="G4110" s="1">
        <v>42507</v>
      </c>
      <c r="H4110" t="s">
        <v>41</v>
      </c>
      <c r="I4110">
        <v>4</v>
      </c>
      <c r="J4110" t="s">
        <v>107</v>
      </c>
      <c r="K4110">
        <v>0</v>
      </c>
      <c r="L4110">
        <v>1</v>
      </c>
      <c r="M4110">
        <v>0</v>
      </c>
      <c r="N4110">
        <v>0</v>
      </c>
      <c r="O4110">
        <v>0</v>
      </c>
      <c r="P4110">
        <v>0</v>
      </c>
      <c r="Q4110" t="s">
        <v>26</v>
      </c>
      <c r="R4110">
        <v>1</v>
      </c>
    </row>
    <row r="4111" spans="1:18">
      <c r="A4111" s="4">
        <v>91146400000000</v>
      </c>
      <c r="B4111" t="s">
        <v>28</v>
      </c>
      <c r="C4111">
        <v>48</v>
      </c>
      <c r="D4111" t="s">
        <v>27</v>
      </c>
      <c r="E4111" t="s">
        <v>68</v>
      </c>
      <c r="F4111" s="1">
        <v>42503</v>
      </c>
      <c r="G4111" s="1">
        <v>42507</v>
      </c>
      <c r="H4111" t="s">
        <v>41</v>
      </c>
      <c r="I4111">
        <v>4</v>
      </c>
      <c r="J4111" t="s">
        <v>107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23</v>
      </c>
      <c r="R4111">
        <v>0</v>
      </c>
    </row>
    <row r="4112" spans="1:18">
      <c r="A4112" s="4">
        <v>1993780000000</v>
      </c>
      <c r="B4112" t="s">
        <v>18</v>
      </c>
      <c r="C4112">
        <v>51</v>
      </c>
      <c r="D4112" t="s">
        <v>35</v>
      </c>
      <c r="E4112" t="s">
        <v>69</v>
      </c>
      <c r="F4112" s="1">
        <v>42503</v>
      </c>
      <c r="G4112" s="1">
        <v>42503</v>
      </c>
      <c r="H4112" t="s">
        <v>21</v>
      </c>
      <c r="I4112">
        <v>0</v>
      </c>
      <c r="J4112" t="s">
        <v>111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23</v>
      </c>
      <c r="R4112">
        <v>0</v>
      </c>
    </row>
    <row r="4113" spans="1:18">
      <c r="A4113" s="4">
        <v>57758400000000</v>
      </c>
      <c r="B4113" t="s">
        <v>18</v>
      </c>
      <c r="C4113">
        <v>57</v>
      </c>
      <c r="D4113" t="s">
        <v>35</v>
      </c>
      <c r="E4113" t="s">
        <v>32</v>
      </c>
      <c r="F4113" s="1">
        <v>42503</v>
      </c>
      <c r="G4113" s="1">
        <v>42506</v>
      </c>
      <c r="H4113" t="s">
        <v>30</v>
      </c>
      <c r="I4113">
        <v>3</v>
      </c>
      <c r="J4113" t="s">
        <v>109</v>
      </c>
      <c r="K4113">
        <v>0</v>
      </c>
      <c r="L4113">
        <v>0</v>
      </c>
      <c r="M4113">
        <v>1</v>
      </c>
      <c r="N4113">
        <v>0</v>
      </c>
      <c r="O4113">
        <v>0</v>
      </c>
      <c r="P4113">
        <v>0</v>
      </c>
      <c r="Q4113" t="s">
        <v>23</v>
      </c>
      <c r="R4113">
        <v>0</v>
      </c>
    </row>
    <row r="4114" spans="1:18">
      <c r="A4114" s="4">
        <v>4388700000000</v>
      </c>
      <c r="B4114" t="s">
        <v>18</v>
      </c>
      <c r="C4114">
        <v>17</v>
      </c>
      <c r="D4114" t="s">
        <v>60</v>
      </c>
      <c r="E4114" t="s">
        <v>38</v>
      </c>
      <c r="F4114" s="1">
        <v>42503</v>
      </c>
      <c r="G4114" s="1">
        <v>42507</v>
      </c>
      <c r="H4114" t="s">
        <v>41</v>
      </c>
      <c r="I4114">
        <v>4</v>
      </c>
      <c r="J4114" t="s">
        <v>107</v>
      </c>
      <c r="K4114">
        <v>1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23</v>
      </c>
      <c r="R4114">
        <v>0</v>
      </c>
    </row>
    <row r="4115" spans="1:18">
      <c r="A4115" s="4">
        <v>4711640000000</v>
      </c>
      <c r="B4115" t="s">
        <v>28</v>
      </c>
      <c r="C4115">
        <v>9</v>
      </c>
      <c r="D4115" t="s">
        <v>31</v>
      </c>
      <c r="E4115" t="s">
        <v>38</v>
      </c>
      <c r="F4115" s="1">
        <v>42503</v>
      </c>
      <c r="G4115" s="1">
        <v>42503</v>
      </c>
      <c r="H4115" t="s">
        <v>21</v>
      </c>
      <c r="I4115">
        <v>0</v>
      </c>
      <c r="J4115" t="s">
        <v>111</v>
      </c>
      <c r="K4115">
        <v>1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23</v>
      </c>
      <c r="R4115">
        <v>0</v>
      </c>
    </row>
    <row r="4116" spans="1:18">
      <c r="A4116" s="4">
        <v>52298600000000</v>
      </c>
      <c r="B4116" t="s">
        <v>28</v>
      </c>
      <c r="C4116">
        <v>47</v>
      </c>
      <c r="D4116" t="s">
        <v>27</v>
      </c>
      <c r="E4116" t="s">
        <v>32</v>
      </c>
      <c r="F4116" s="1">
        <v>42503</v>
      </c>
      <c r="G4116" s="1">
        <v>42508</v>
      </c>
      <c r="H4116" t="s">
        <v>25</v>
      </c>
      <c r="I4116">
        <v>5</v>
      </c>
      <c r="J4116" t="s">
        <v>107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23</v>
      </c>
      <c r="R4116">
        <v>0</v>
      </c>
    </row>
    <row r="4117" spans="1:18">
      <c r="A4117" s="4">
        <v>79631200000000</v>
      </c>
      <c r="B4117" t="s">
        <v>28</v>
      </c>
      <c r="C4117">
        <v>55</v>
      </c>
      <c r="D4117" t="s">
        <v>35</v>
      </c>
      <c r="E4117" t="s">
        <v>74</v>
      </c>
      <c r="F4117" s="1">
        <v>42503</v>
      </c>
      <c r="G4117" s="1">
        <v>42507</v>
      </c>
      <c r="H4117" t="s">
        <v>41</v>
      </c>
      <c r="I4117">
        <v>4</v>
      </c>
      <c r="J4117" t="s">
        <v>107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23</v>
      </c>
      <c r="R4117">
        <v>0</v>
      </c>
    </row>
    <row r="4118" spans="1:18">
      <c r="A4118" s="4">
        <v>13137400000000</v>
      </c>
      <c r="B4118" t="s">
        <v>18</v>
      </c>
      <c r="C4118">
        <v>4</v>
      </c>
      <c r="D4118" t="s">
        <v>31</v>
      </c>
      <c r="E4118" t="s">
        <v>84</v>
      </c>
      <c r="F4118" s="1">
        <v>42503</v>
      </c>
      <c r="G4118" s="1">
        <v>42527</v>
      </c>
      <c r="H4118" t="s">
        <v>30</v>
      </c>
      <c r="I4118">
        <v>24</v>
      </c>
      <c r="J4118" t="s">
        <v>77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1</v>
      </c>
      <c r="Q4118" t="s">
        <v>23</v>
      </c>
      <c r="R4118">
        <v>0</v>
      </c>
    </row>
    <row r="4119" spans="1:18">
      <c r="A4119" s="4">
        <v>19187600000000</v>
      </c>
      <c r="B4119" t="s">
        <v>18</v>
      </c>
      <c r="C4119">
        <v>2</v>
      </c>
      <c r="D4119" t="s">
        <v>31</v>
      </c>
      <c r="E4119" t="s">
        <v>84</v>
      </c>
      <c r="F4119" s="1">
        <v>42503</v>
      </c>
      <c r="G4119" s="1">
        <v>42508</v>
      </c>
      <c r="H4119" t="s">
        <v>25</v>
      </c>
      <c r="I4119">
        <v>5</v>
      </c>
      <c r="J4119" t="s">
        <v>107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23</v>
      </c>
      <c r="R4119">
        <v>0</v>
      </c>
    </row>
    <row r="4120" spans="1:18">
      <c r="A4120" s="4">
        <v>7434990000000</v>
      </c>
      <c r="B4120" t="s">
        <v>28</v>
      </c>
      <c r="C4120">
        <v>25</v>
      </c>
      <c r="D4120" t="s">
        <v>37</v>
      </c>
      <c r="E4120" t="s">
        <v>54</v>
      </c>
      <c r="F4120" s="1">
        <v>42503</v>
      </c>
      <c r="G4120" s="1">
        <v>42503</v>
      </c>
      <c r="H4120" t="s">
        <v>21</v>
      </c>
      <c r="I4120">
        <v>0</v>
      </c>
      <c r="J4120" t="s">
        <v>111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23</v>
      </c>
      <c r="R4120">
        <v>0</v>
      </c>
    </row>
    <row r="4121" spans="1:18">
      <c r="A4121" s="4">
        <v>8228950000000</v>
      </c>
      <c r="B4121" t="s">
        <v>28</v>
      </c>
      <c r="C4121">
        <v>51</v>
      </c>
      <c r="D4121" t="s">
        <v>35</v>
      </c>
      <c r="E4121" t="s">
        <v>97</v>
      </c>
      <c r="F4121" s="1">
        <v>42503</v>
      </c>
      <c r="G4121" s="1">
        <v>42503</v>
      </c>
      <c r="H4121" t="s">
        <v>21</v>
      </c>
      <c r="I4121">
        <v>0</v>
      </c>
      <c r="J4121" t="s">
        <v>111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23</v>
      </c>
      <c r="R4121">
        <v>0</v>
      </c>
    </row>
    <row r="4122" spans="1:18">
      <c r="A4122" s="4">
        <v>165114000000000</v>
      </c>
      <c r="B4122" t="s">
        <v>28</v>
      </c>
      <c r="C4122">
        <v>1</v>
      </c>
      <c r="D4122" t="s">
        <v>31</v>
      </c>
      <c r="E4122" t="s">
        <v>73</v>
      </c>
      <c r="F4122" s="1">
        <v>42503</v>
      </c>
      <c r="G4122" s="1">
        <v>42503</v>
      </c>
      <c r="H4122" t="s">
        <v>21</v>
      </c>
      <c r="I4122">
        <v>0</v>
      </c>
      <c r="J4122" t="s">
        <v>111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23</v>
      </c>
      <c r="R4122">
        <v>0</v>
      </c>
    </row>
    <row r="4123" spans="1:18">
      <c r="A4123" s="4">
        <v>2196240000000</v>
      </c>
      <c r="B4123" t="s">
        <v>18</v>
      </c>
      <c r="C4123">
        <v>30</v>
      </c>
      <c r="D4123" t="s">
        <v>37</v>
      </c>
      <c r="E4123" t="s">
        <v>52</v>
      </c>
      <c r="F4123" s="1">
        <v>42503</v>
      </c>
      <c r="G4123" s="1">
        <v>42503</v>
      </c>
      <c r="H4123" t="s">
        <v>21</v>
      </c>
      <c r="I4123">
        <v>0</v>
      </c>
      <c r="J4123" t="s">
        <v>111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23</v>
      </c>
      <c r="R4123">
        <v>0</v>
      </c>
    </row>
    <row r="4124" spans="1:18">
      <c r="A4124" s="4">
        <v>37696800000000</v>
      </c>
      <c r="B4124" t="s">
        <v>18</v>
      </c>
      <c r="C4124">
        <v>6</v>
      </c>
      <c r="D4124" t="s">
        <v>31</v>
      </c>
      <c r="E4124" t="s">
        <v>71</v>
      </c>
      <c r="F4124" s="1">
        <v>42503</v>
      </c>
      <c r="G4124" s="1">
        <v>42503</v>
      </c>
      <c r="H4124" t="s">
        <v>21</v>
      </c>
      <c r="I4124">
        <v>0</v>
      </c>
      <c r="J4124" t="s">
        <v>111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23</v>
      </c>
      <c r="R4124">
        <v>0</v>
      </c>
    </row>
    <row r="4125" spans="1:18">
      <c r="A4125" s="4">
        <v>26795200000000</v>
      </c>
      <c r="B4125" t="s">
        <v>18</v>
      </c>
      <c r="C4125">
        <v>80</v>
      </c>
      <c r="D4125" t="s">
        <v>19</v>
      </c>
      <c r="E4125" t="s">
        <v>39</v>
      </c>
      <c r="F4125" s="1">
        <v>42503</v>
      </c>
      <c r="G4125" s="1">
        <v>42506</v>
      </c>
      <c r="H4125" t="s">
        <v>30</v>
      </c>
      <c r="I4125">
        <v>3</v>
      </c>
      <c r="J4125" t="s">
        <v>109</v>
      </c>
      <c r="K4125">
        <v>0</v>
      </c>
      <c r="L4125">
        <v>1</v>
      </c>
      <c r="M4125">
        <v>0</v>
      </c>
      <c r="N4125">
        <v>0</v>
      </c>
      <c r="O4125">
        <v>0</v>
      </c>
      <c r="P4125">
        <v>0</v>
      </c>
      <c r="Q4125" t="s">
        <v>23</v>
      </c>
      <c r="R4125">
        <v>0</v>
      </c>
    </row>
    <row r="4126" spans="1:18">
      <c r="A4126" s="4">
        <v>3549770000000</v>
      </c>
      <c r="B4126" t="s">
        <v>18</v>
      </c>
      <c r="C4126">
        <v>31</v>
      </c>
      <c r="D4126" t="s">
        <v>37</v>
      </c>
      <c r="E4126" t="s">
        <v>72</v>
      </c>
      <c r="F4126" s="1">
        <v>42503</v>
      </c>
      <c r="G4126" s="1">
        <v>42503</v>
      </c>
      <c r="H4126" t="s">
        <v>21</v>
      </c>
      <c r="I4126">
        <v>0</v>
      </c>
      <c r="J4126" t="s">
        <v>111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23</v>
      </c>
      <c r="R4126">
        <v>0</v>
      </c>
    </row>
    <row r="4127" spans="1:18">
      <c r="A4127" s="4">
        <v>13951300000000</v>
      </c>
      <c r="B4127" t="s">
        <v>18</v>
      </c>
      <c r="C4127">
        <v>30</v>
      </c>
      <c r="D4127" t="s">
        <v>37</v>
      </c>
      <c r="E4127" t="s">
        <v>91</v>
      </c>
      <c r="F4127" s="1">
        <v>42503</v>
      </c>
      <c r="G4127" s="1">
        <v>42524</v>
      </c>
      <c r="H4127" t="s">
        <v>21</v>
      </c>
      <c r="I4127">
        <v>21</v>
      </c>
      <c r="J4127" t="s">
        <v>77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1</v>
      </c>
      <c r="Q4127" t="s">
        <v>23</v>
      </c>
      <c r="R4127">
        <v>0</v>
      </c>
    </row>
    <row r="4128" spans="1:18">
      <c r="A4128" s="4">
        <v>178164000000000</v>
      </c>
      <c r="B4128" t="s">
        <v>28</v>
      </c>
      <c r="C4128">
        <v>34</v>
      </c>
      <c r="D4128" t="s">
        <v>37</v>
      </c>
      <c r="E4128" t="s">
        <v>97</v>
      </c>
      <c r="F4128" s="1">
        <v>42503</v>
      </c>
      <c r="G4128" s="1">
        <v>42522</v>
      </c>
      <c r="H4128" t="s">
        <v>25</v>
      </c>
      <c r="I4128">
        <v>19</v>
      </c>
      <c r="J4128" t="s">
        <v>77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1</v>
      </c>
      <c r="Q4128" t="s">
        <v>23</v>
      </c>
      <c r="R4128">
        <v>0</v>
      </c>
    </row>
    <row r="4129" spans="1:18">
      <c r="A4129" s="4">
        <v>4874300000000</v>
      </c>
      <c r="B4129" t="s">
        <v>18</v>
      </c>
      <c r="C4129">
        <v>27</v>
      </c>
      <c r="D4129" t="s">
        <v>37</v>
      </c>
      <c r="E4129" t="s">
        <v>43</v>
      </c>
      <c r="F4129" s="1">
        <v>42503</v>
      </c>
      <c r="G4129" s="1">
        <v>42503</v>
      </c>
      <c r="H4129" t="s">
        <v>21</v>
      </c>
      <c r="I4129">
        <v>0</v>
      </c>
      <c r="J4129" t="s">
        <v>111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23</v>
      </c>
      <c r="R4129">
        <v>0</v>
      </c>
    </row>
    <row r="4130" spans="1:18">
      <c r="A4130" s="4">
        <v>6198750000000</v>
      </c>
      <c r="B4130" t="s">
        <v>18</v>
      </c>
      <c r="C4130">
        <v>79</v>
      </c>
      <c r="D4130" t="s">
        <v>19</v>
      </c>
      <c r="E4130" t="s">
        <v>57</v>
      </c>
      <c r="F4130" s="1">
        <v>42503</v>
      </c>
      <c r="G4130" s="1">
        <v>42503</v>
      </c>
      <c r="H4130" t="s">
        <v>21</v>
      </c>
      <c r="I4130">
        <v>0</v>
      </c>
      <c r="J4130" t="s">
        <v>111</v>
      </c>
      <c r="K4130">
        <v>0</v>
      </c>
      <c r="L4130">
        <v>1</v>
      </c>
      <c r="M4130">
        <v>0</v>
      </c>
      <c r="N4130">
        <v>0</v>
      </c>
      <c r="O4130">
        <v>0</v>
      </c>
      <c r="P4130">
        <v>0</v>
      </c>
      <c r="Q4130" t="s">
        <v>23</v>
      </c>
      <c r="R4130">
        <v>0</v>
      </c>
    </row>
    <row r="4131" spans="1:18">
      <c r="A4131" s="4">
        <v>94864200000000</v>
      </c>
      <c r="B4131" t="s">
        <v>18</v>
      </c>
      <c r="C4131">
        <v>14</v>
      </c>
      <c r="D4131" t="s">
        <v>60</v>
      </c>
      <c r="E4131" t="s">
        <v>20</v>
      </c>
      <c r="F4131" s="1">
        <v>42503</v>
      </c>
      <c r="G4131" s="1">
        <v>42506</v>
      </c>
      <c r="H4131" t="s">
        <v>30</v>
      </c>
      <c r="I4131">
        <v>3</v>
      </c>
      <c r="J4131" t="s">
        <v>109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23</v>
      </c>
      <c r="R4131">
        <v>0</v>
      </c>
    </row>
    <row r="4132" spans="1:18">
      <c r="A4132" s="4">
        <v>678370000000</v>
      </c>
      <c r="B4132" t="s">
        <v>18</v>
      </c>
      <c r="C4132">
        <v>5</v>
      </c>
      <c r="D4132" t="s">
        <v>31</v>
      </c>
      <c r="E4132" t="s">
        <v>96</v>
      </c>
      <c r="F4132" s="1">
        <v>42503</v>
      </c>
      <c r="G4132" s="1">
        <v>42521</v>
      </c>
      <c r="H4132" t="s">
        <v>41</v>
      </c>
      <c r="I4132">
        <v>18</v>
      </c>
      <c r="J4132" t="s">
        <v>77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1</v>
      </c>
      <c r="Q4132" t="s">
        <v>26</v>
      </c>
      <c r="R4132">
        <v>1</v>
      </c>
    </row>
    <row r="4133" spans="1:18">
      <c r="A4133" s="4">
        <v>1125900000000</v>
      </c>
      <c r="B4133" t="s">
        <v>18</v>
      </c>
      <c r="C4133">
        <v>10</v>
      </c>
      <c r="D4133" t="s">
        <v>31</v>
      </c>
      <c r="E4133" t="s">
        <v>38</v>
      </c>
      <c r="F4133" s="1">
        <v>42503</v>
      </c>
      <c r="G4133" s="1">
        <v>42529</v>
      </c>
      <c r="H4133" t="s">
        <v>25</v>
      </c>
      <c r="I4133">
        <v>26</v>
      </c>
      <c r="J4133" t="s">
        <v>77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1</v>
      </c>
      <c r="Q4133" t="s">
        <v>23</v>
      </c>
      <c r="R4133">
        <v>0</v>
      </c>
    </row>
    <row r="4134" spans="1:18">
      <c r="A4134" s="4">
        <v>57794400000000</v>
      </c>
      <c r="B4134" t="s">
        <v>18</v>
      </c>
      <c r="C4134">
        <v>31</v>
      </c>
      <c r="D4134" t="s">
        <v>37</v>
      </c>
      <c r="E4134" t="s">
        <v>75</v>
      </c>
      <c r="F4134" s="1">
        <v>42503</v>
      </c>
      <c r="G4134" s="1">
        <v>42503</v>
      </c>
      <c r="H4134" t="s">
        <v>21</v>
      </c>
      <c r="I4134">
        <v>0</v>
      </c>
      <c r="J4134" t="s">
        <v>111</v>
      </c>
      <c r="K4134">
        <v>1</v>
      </c>
      <c r="L4134">
        <v>0</v>
      </c>
      <c r="M4134">
        <v>0</v>
      </c>
      <c r="N4134">
        <v>0</v>
      </c>
      <c r="O4134">
        <v>0</v>
      </c>
      <c r="P4134">
        <v>0</v>
      </c>
      <c r="Q4134" t="s">
        <v>23</v>
      </c>
      <c r="R4134">
        <v>0</v>
      </c>
    </row>
    <row r="4135" spans="1:18">
      <c r="A4135" s="4">
        <v>116655000000000</v>
      </c>
      <c r="B4135" t="s">
        <v>18</v>
      </c>
      <c r="C4135">
        <v>39</v>
      </c>
      <c r="D4135" t="s">
        <v>27</v>
      </c>
      <c r="E4135" t="s">
        <v>49</v>
      </c>
      <c r="F4135" s="1">
        <v>42503</v>
      </c>
      <c r="G4135" s="1">
        <v>42510</v>
      </c>
      <c r="H4135" t="s">
        <v>21</v>
      </c>
      <c r="I4135">
        <v>7</v>
      </c>
      <c r="J4135" t="s">
        <v>107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 t="s">
        <v>26</v>
      </c>
      <c r="R4135">
        <v>1</v>
      </c>
    </row>
    <row r="4136" spans="1:18">
      <c r="A4136" s="4">
        <v>8662360000000</v>
      </c>
      <c r="B4136" t="s">
        <v>28</v>
      </c>
      <c r="C4136">
        <v>6</v>
      </c>
      <c r="D4136" t="s">
        <v>31</v>
      </c>
      <c r="E4136" t="s">
        <v>45</v>
      </c>
      <c r="F4136" s="1">
        <v>42503</v>
      </c>
      <c r="G4136" s="1">
        <v>42506</v>
      </c>
      <c r="H4136" t="s">
        <v>30</v>
      </c>
      <c r="I4136">
        <v>3</v>
      </c>
      <c r="J4136" t="s">
        <v>109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 t="s">
        <v>23</v>
      </c>
      <c r="R4136">
        <v>0</v>
      </c>
    </row>
    <row r="4137" spans="1:18">
      <c r="A4137" s="4">
        <v>58289200000000</v>
      </c>
      <c r="B4137" t="s">
        <v>28</v>
      </c>
      <c r="C4137">
        <v>19</v>
      </c>
      <c r="D4137" t="s">
        <v>37</v>
      </c>
      <c r="E4137" t="s">
        <v>48</v>
      </c>
      <c r="F4137" s="1">
        <v>42503</v>
      </c>
      <c r="G4137" s="1">
        <v>42503</v>
      </c>
      <c r="H4137" t="s">
        <v>21</v>
      </c>
      <c r="I4137">
        <v>0</v>
      </c>
      <c r="J4137" t="s">
        <v>111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 t="s">
        <v>23</v>
      </c>
      <c r="R4137">
        <v>0</v>
      </c>
    </row>
    <row r="4138" spans="1:18">
      <c r="A4138" s="4">
        <v>9271390000000</v>
      </c>
      <c r="B4138" t="s">
        <v>18</v>
      </c>
      <c r="C4138">
        <v>1</v>
      </c>
      <c r="D4138" t="s">
        <v>31</v>
      </c>
      <c r="E4138" t="s">
        <v>51</v>
      </c>
      <c r="F4138" s="1">
        <v>42503</v>
      </c>
      <c r="G4138" s="1">
        <v>42503</v>
      </c>
      <c r="H4138" t="s">
        <v>21</v>
      </c>
      <c r="I4138">
        <v>0</v>
      </c>
      <c r="J4138" t="s">
        <v>111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23</v>
      </c>
      <c r="R4138">
        <v>0</v>
      </c>
    </row>
    <row r="4139" spans="1:18">
      <c r="A4139" s="4">
        <v>48324600000000</v>
      </c>
      <c r="B4139" t="s">
        <v>28</v>
      </c>
      <c r="C4139">
        <v>15</v>
      </c>
      <c r="D4139" t="s">
        <v>60</v>
      </c>
      <c r="E4139" t="s">
        <v>39</v>
      </c>
      <c r="F4139" s="1">
        <v>42503</v>
      </c>
      <c r="G4139" s="1">
        <v>42503</v>
      </c>
      <c r="H4139" t="s">
        <v>21</v>
      </c>
      <c r="I4139">
        <v>0</v>
      </c>
      <c r="J4139" t="s">
        <v>111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 t="s">
        <v>26</v>
      </c>
      <c r="R4139">
        <v>1</v>
      </c>
    </row>
    <row r="4140" spans="1:18">
      <c r="A4140" s="4">
        <v>641662000000</v>
      </c>
      <c r="B4140" t="s">
        <v>18</v>
      </c>
      <c r="C4140">
        <v>89</v>
      </c>
      <c r="D4140" t="s">
        <v>19</v>
      </c>
      <c r="E4140" t="s">
        <v>39</v>
      </c>
      <c r="F4140" s="1">
        <v>42503</v>
      </c>
      <c r="G4140" s="1">
        <v>42507</v>
      </c>
      <c r="H4140" t="s">
        <v>41</v>
      </c>
      <c r="I4140">
        <v>4</v>
      </c>
      <c r="J4140" t="s">
        <v>107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 t="s">
        <v>23</v>
      </c>
      <c r="R4140">
        <v>0</v>
      </c>
    </row>
    <row r="4141" spans="1:18">
      <c r="A4141" s="4">
        <v>6922530000000</v>
      </c>
      <c r="B4141" t="s">
        <v>18</v>
      </c>
      <c r="C4141">
        <v>12</v>
      </c>
      <c r="D4141" t="s">
        <v>31</v>
      </c>
      <c r="E4141" t="s">
        <v>76</v>
      </c>
      <c r="F4141" s="1">
        <v>42503</v>
      </c>
      <c r="G4141" s="1">
        <v>42507</v>
      </c>
      <c r="H4141" t="s">
        <v>41</v>
      </c>
      <c r="I4141">
        <v>4</v>
      </c>
      <c r="J4141" t="s">
        <v>107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26</v>
      </c>
      <c r="R4141">
        <v>1</v>
      </c>
    </row>
    <row r="4142" spans="1:18">
      <c r="A4142" s="4">
        <v>4318200000000</v>
      </c>
      <c r="B4142" t="s">
        <v>28</v>
      </c>
      <c r="C4142">
        <v>61</v>
      </c>
      <c r="D4142" t="s">
        <v>35</v>
      </c>
      <c r="E4142" t="s">
        <v>82</v>
      </c>
      <c r="F4142" s="1">
        <v>42503</v>
      </c>
      <c r="G4142" s="1">
        <v>42507</v>
      </c>
      <c r="H4142" t="s">
        <v>41</v>
      </c>
      <c r="I4142">
        <v>4</v>
      </c>
      <c r="J4142" t="s">
        <v>107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23</v>
      </c>
      <c r="R4142">
        <v>0</v>
      </c>
    </row>
    <row r="4143" spans="1:18">
      <c r="A4143" s="4">
        <v>52259600000000</v>
      </c>
      <c r="B4143" t="s">
        <v>28</v>
      </c>
      <c r="C4143">
        <v>16</v>
      </c>
      <c r="D4143" t="s">
        <v>60</v>
      </c>
      <c r="E4143" t="s">
        <v>87</v>
      </c>
      <c r="F4143" s="1">
        <v>42503</v>
      </c>
      <c r="G4143" s="1">
        <v>42503</v>
      </c>
      <c r="H4143" t="s">
        <v>21</v>
      </c>
      <c r="I4143">
        <v>0</v>
      </c>
      <c r="J4143" t="s">
        <v>111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 t="s">
        <v>23</v>
      </c>
      <c r="R4143">
        <v>0</v>
      </c>
    </row>
    <row r="4144" spans="1:18">
      <c r="A4144" s="4">
        <v>15735800000000</v>
      </c>
      <c r="B4144" t="s">
        <v>28</v>
      </c>
      <c r="C4144">
        <v>79</v>
      </c>
      <c r="D4144" t="s">
        <v>19</v>
      </c>
      <c r="E4144" t="s">
        <v>72</v>
      </c>
      <c r="F4144" s="1">
        <v>42503</v>
      </c>
      <c r="G4144" s="1">
        <v>42507</v>
      </c>
      <c r="H4144" t="s">
        <v>41</v>
      </c>
      <c r="I4144">
        <v>4</v>
      </c>
      <c r="J4144" t="s">
        <v>107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 t="s">
        <v>26</v>
      </c>
      <c r="R4144">
        <v>1</v>
      </c>
    </row>
    <row r="4145" spans="1:18">
      <c r="A4145" s="4">
        <v>739231000000000</v>
      </c>
      <c r="B4145" t="s">
        <v>18</v>
      </c>
      <c r="C4145">
        <v>66</v>
      </c>
      <c r="D4145" t="s">
        <v>19</v>
      </c>
      <c r="E4145" t="s">
        <v>39</v>
      </c>
      <c r="F4145" s="1">
        <v>42503</v>
      </c>
      <c r="G4145" s="1">
        <v>42507</v>
      </c>
      <c r="H4145" t="s">
        <v>41</v>
      </c>
      <c r="I4145">
        <v>4</v>
      </c>
      <c r="J4145" t="s">
        <v>107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 t="s">
        <v>26</v>
      </c>
      <c r="R4145">
        <v>1</v>
      </c>
    </row>
    <row r="4146" spans="1:18">
      <c r="A4146" s="4">
        <v>59458300000000</v>
      </c>
      <c r="B4146" t="s">
        <v>28</v>
      </c>
      <c r="C4146">
        <v>66</v>
      </c>
      <c r="D4146" t="s">
        <v>19</v>
      </c>
      <c r="E4146" t="s">
        <v>91</v>
      </c>
      <c r="F4146" s="1">
        <v>42503</v>
      </c>
      <c r="G4146" s="1">
        <v>42507</v>
      </c>
      <c r="H4146" t="s">
        <v>41</v>
      </c>
      <c r="I4146">
        <v>4</v>
      </c>
      <c r="J4146" t="s">
        <v>107</v>
      </c>
      <c r="K4146">
        <v>0</v>
      </c>
      <c r="L4146">
        <v>0</v>
      </c>
      <c r="M4146">
        <v>1</v>
      </c>
      <c r="N4146">
        <v>0</v>
      </c>
      <c r="O4146">
        <v>0</v>
      </c>
      <c r="P4146">
        <v>0</v>
      </c>
      <c r="Q4146" t="s">
        <v>23</v>
      </c>
      <c r="R4146">
        <v>0</v>
      </c>
    </row>
    <row r="4147" spans="1:18">
      <c r="A4147" s="4">
        <v>56124500000000</v>
      </c>
      <c r="B4147" t="s">
        <v>28</v>
      </c>
      <c r="C4147">
        <v>16</v>
      </c>
      <c r="D4147" t="s">
        <v>60</v>
      </c>
      <c r="E4147" t="s">
        <v>69</v>
      </c>
      <c r="F4147" s="1">
        <v>42503</v>
      </c>
      <c r="G4147" s="1">
        <v>42503</v>
      </c>
      <c r="H4147" t="s">
        <v>21</v>
      </c>
      <c r="I4147">
        <v>0</v>
      </c>
      <c r="J4147" t="s">
        <v>111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 t="s">
        <v>23</v>
      </c>
      <c r="R4147">
        <v>0</v>
      </c>
    </row>
    <row r="4148" spans="1:18">
      <c r="A4148" s="4">
        <v>65751600000000</v>
      </c>
      <c r="B4148" t="s">
        <v>28</v>
      </c>
      <c r="C4148">
        <v>2</v>
      </c>
      <c r="D4148" t="s">
        <v>31</v>
      </c>
      <c r="E4148" t="s">
        <v>34</v>
      </c>
      <c r="F4148" s="1">
        <v>42503</v>
      </c>
      <c r="G4148" s="1">
        <v>42514</v>
      </c>
      <c r="H4148" t="s">
        <v>41</v>
      </c>
      <c r="I4148">
        <v>11</v>
      </c>
      <c r="J4148" t="s">
        <v>92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1</v>
      </c>
      <c r="Q4148" t="s">
        <v>23</v>
      </c>
      <c r="R4148">
        <v>0</v>
      </c>
    </row>
    <row r="4149" spans="1:18">
      <c r="A4149" s="4">
        <v>39297500000000</v>
      </c>
      <c r="B4149" t="s">
        <v>18</v>
      </c>
      <c r="C4149">
        <v>59</v>
      </c>
      <c r="D4149" t="s">
        <v>35</v>
      </c>
      <c r="E4149" t="s">
        <v>72</v>
      </c>
      <c r="F4149" s="1">
        <v>42503</v>
      </c>
      <c r="G4149" s="1">
        <v>42507</v>
      </c>
      <c r="H4149" t="s">
        <v>41</v>
      </c>
      <c r="I4149">
        <v>4</v>
      </c>
      <c r="J4149" t="s">
        <v>107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 t="s">
        <v>23</v>
      </c>
      <c r="R4149">
        <v>0</v>
      </c>
    </row>
    <row r="4150" spans="1:18">
      <c r="A4150" s="4">
        <v>8292250000000</v>
      </c>
      <c r="B4150" t="s">
        <v>28</v>
      </c>
      <c r="C4150">
        <v>66</v>
      </c>
      <c r="D4150" t="s">
        <v>19</v>
      </c>
      <c r="E4150" t="s">
        <v>100</v>
      </c>
      <c r="F4150" s="1">
        <v>42503</v>
      </c>
      <c r="G4150" s="1">
        <v>42508</v>
      </c>
      <c r="H4150" t="s">
        <v>25</v>
      </c>
      <c r="I4150">
        <v>5</v>
      </c>
      <c r="J4150" t="s">
        <v>107</v>
      </c>
      <c r="K4150">
        <v>0</v>
      </c>
      <c r="L4150">
        <v>1</v>
      </c>
      <c r="M4150">
        <v>1</v>
      </c>
      <c r="N4150">
        <v>0</v>
      </c>
      <c r="O4150">
        <v>0</v>
      </c>
      <c r="P4150">
        <v>0</v>
      </c>
      <c r="Q4150" t="s">
        <v>23</v>
      </c>
      <c r="R4150">
        <v>0</v>
      </c>
    </row>
    <row r="4151" spans="1:18">
      <c r="A4151" s="4">
        <v>152417000000000</v>
      </c>
      <c r="B4151" t="s">
        <v>28</v>
      </c>
      <c r="C4151">
        <v>52</v>
      </c>
      <c r="D4151" t="s">
        <v>35</v>
      </c>
      <c r="E4151" t="s">
        <v>29</v>
      </c>
      <c r="F4151" s="1">
        <v>42503</v>
      </c>
      <c r="G4151" s="1">
        <v>42503</v>
      </c>
      <c r="H4151" t="s">
        <v>21</v>
      </c>
      <c r="I4151">
        <v>0</v>
      </c>
      <c r="J4151" t="s">
        <v>111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23</v>
      </c>
      <c r="R4151">
        <v>0</v>
      </c>
    </row>
    <row r="4152" spans="1:18">
      <c r="A4152" s="4">
        <v>649780000000000</v>
      </c>
      <c r="B4152" t="s">
        <v>18</v>
      </c>
      <c r="C4152">
        <v>14</v>
      </c>
      <c r="D4152" t="s">
        <v>60</v>
      </c>
      <c r="E4152" t="s">
        <v>78</v>
      </c>
      <c r="F4152" s="1">
        <v>42503</v>
      </c>
      <c r="G4152" s="1">
        <v>42510</v>
      </c>
      <c r="H4152" t="s">
        <v>21</v>
      </c>
      <c r="I4152">
        <v>7</v>
      </c>
      <c r="J4152" t="s">
        <v>107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 t="s">
        <v>26</v>
      </c>
      <c r="R4152">
        <v>1</v>
      </c>
    </row>
    <row r="4153" spans="1:18">
      <c r="A4153" s="4">
        <v>8725270000000</v>
      </c>
      <c r="B4153" t="s">
        <v>18</v>
      </c>
      <c r="C4153">
        <v>58</v>
      </c>
      <c r="D4153" t="s">
        <v>35</v>
      </c>
      <c r="E4153" t="s">
        <v>40</v>
      </c>
      <c r="F4153" s="1">
        <v>42503</v>
      </c>
      <c r="G4153" s="1">
        <v>42507</v>
      </c>
      <c r="H4153" t="s">
        <v>41</v>
      </c>
      <c r="I4153">
        <v>4</v>
      </c>
      <c r="J4153" t="s">
        <v>107</v>
      </c>
      <c r="K4153">
        <v>0</v>
      </c>
      <c r="L4153">
        <v>1</v>
      </c>
      <c r="M4153">
        <v>0</v>
      </c>
      <c r="N4153">
        <v>0</v>
      </c>
      <c r="O4153">
        <v>0</v>
      </c>
      <c r="P4153">
        <v>0</v>
      </c>
      <c r="Q4153" t="s">
        <v>23</v>
      </c>
      <c r="R4153">
        <v>0</v>
      </c>
    </row>
    <row r="4154" spans="1:18">
      <c r="A4154" s="4">
        <v>65751400000000</v>
      </c>
      <c r="B4154" t="s">
        <v>28</v>
      </c>
      <c r="C4154">
        <v>14</v>
      </c>
      <c r="D4154" t="s">
        <v>60</v>
      </c>
      <c r="E4154" t="s">
        <v>96</v>
      </c>
      <c r="F4154" s="1">
        <v>42503</v>
      </c>
      <c r="G4154" s="1">
        <v>42503</v>
      </c>
      <c r="H4154" t="s">
        <v>21</v>
      </c>
      <c r="I4154">
        <v>0</v>
      </c>
      <c r="J4154" t="s">
        <v>111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 t="s">
        <v>26</v>
      </c>
      <c r="R4154">
        <v>1</v>
      </c>
    </row>
    <row r="4155" spans="1:18">
      <c r="A4155" s="4">
        <v>47586000000000</v>
      </c>
      <c r="B4155" t="s">
        <v>28</v>
      </c>
      <c r="C4155">
        <v>57</v>
      </c>
      <c r="D4155" t="s">
        <v>35</v>
      </c>
      <c r="E4155" t="s">
        <v>71</v>
      </c>
      <c r="F4155" s="1">
        <v>42503</v>
      </c>
      <c r="G4155" s="1">
        <v>42521</v>
      </c>
      <c r="H4155" t="s">
        <v>41</v>
      </c>
      <c r="I4155">
        <v>18</v>
      </c>
      <c r="J4155" t="s">
        <v>77</v>
      </c>
      <c r="K4155">
        <v>0</v>
      </c>
      <c r="L4155">
        <v>1</v>
      </c>
      <c r="M4155">
        <v>0</v>
      </c>
      <c r="N4155">
        <v>0</v>
      </c>
      <c r="O4155">
        <v>0</v>
      </c>
      <c r="P4155">
        <v>1</v>
      </c>
      <c r="Q4155" t="s">
        <v>23</v>
      </c>
      <c r="R4155">
        <v>0</v>
      </c>
    </row>
    <row r="4156" spans="1:18">
      <c r="A4156" s="4">
        <v>22482200000000</v>
      </c>
      <c r="B4156" t="s">
        <v>18</v>
      </c>
      <c r="C4156">
        <v>62</v>
      </c>
      <c r="D4156" t="s">
        <v>35</v>
      </c>
      <c r="E4156" t="s">
        <v>54</v>
      </c>
      <c r="F4156" s="1">
        <v>42503</v>
      </c>
      <c r="G4156" s="1">
        <v>42509</v>
      </c>
      <c r="H4156" t="s">
        <v>33</v>
      </c>
      <c r="I4156">
        <v>6</v>
      </c>
      <c r="J4156" t="s">
        <v>107</v>
      </c>
      <c r="K4156">
        <v>1</v>
      </c>
      <c r="L4156">
        <v>1</v>
      </c>
      <c r="M4156">
        <v>0</v>
      </c>
      <c r="N4156">
        <v>0</v>
      </c>
      <c r="O4156">
        <v>0</v>
      </c>
      <c r="P4156">
        <v>0</v>
      </c>
      <c r="Q4156" t="s">
        <v>23</v>
      </c>
      <c r="R4156">
        <v>0</v>
      </c>
    </row>
    <row r="4157" spans="1:18">
      <c r="A4157" s="4">
        <v>61177400000000</v>
      </c>
      <c r="B4157" t="s">
        <v>18</v>
      </c>
      <c r="C4157">
        <v>16</v>
      </c>
      <c r="D4157" t="s">
        <v>60</v>
      </c>
      <c r="E4157" t="s">
        <v>66</v>
      </c>
      <c r="F4157" s="1">
        <v>42503</v>
      </c>
      <c r="G4157" s="1">
        <v>42507</v>
      </c>
      <c r="H4157" t="s">
        <v>41</v>
      </c>
      <c r="I4157">
        <v>4</v>
      </c>
      <c r="J4157" t="s">
        <v>107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23</v>
      </c>
      <c r="R4157">
        <v>0</v>
      </c>
    </row>
    <row r="4158" spans="1:18">
      <c r="A4158" s="4">
        <v>5852850000000</v>
      </c>
      <c r="B4158" t="s">
        <v>18</v>
      </c>
      <c r="C4158">
        <v>19</v>
      </c>
      <c r="D4158" t="s">
        <v>37</v>
      </c>
      <c r="E4158" t="s">
        <v>79</v>
      </c>
      <c r="F4158" s="1">
        <v>42503</v>
      </c>
      <c r="G4158" s="1">
        <v>42503</v>
      </c>
      <c r="H4158" t="s">
        <v>21</v>
      </c>
      <c r="I4158">
        <v>0</v>
      </c>
      <c r="J4158" t="s">
        <v>111</v>
      </c>
      <c r="K4158">
        <v>1</v>
      </c>
      <c r="L4158">
        <v>0</v>
      </c>
      <c r="M4158">
        <v>0</v>
      </c>
      <c r="N4158">
        <v>0</v>
      </c>
      <c r="O4158">
        <v>1</v>
      </c>
      <c r="P4158">
        <v>0</v>
      </c>
      <c r="Q4158" t="s">
        <v>23</v>
      </c>
      <c r="R4158">
        <v>0</v>
      </c>
    </row>
    <row r="4159" spans="1:18">
      <c r="A4159" s="4">
        <v>7254930000000</v>
      </c>
      <c r="B4159" t="s">
        <v>28</v>
      </c>
      <c r="C4159">
        <v>17</v>
      </c>
      <c r="D4159" t="s">
        <v>60</v>
      </c>
      <c r="E4159" t="s">
        <v>74</v>
      </c>
      <c r="F4159" s="1">
        <v>42503</v>
      </c>
      <c r="G4159" s="1">
        <v>42503</v>
      </c>
      <c r="H4159" t="s">
        <v>21</v>
      </c>
      <c r="I4159">
        <v>0</v>
      </c>
      <c r="J4159" t="s">
        <v>111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26</v>
      </c>
      <c r="R4159">
        <v>1</v>
      </c>
    </row>
    <row r="4160" spans="1:18">
      <c r="A4160" s="4">
        <v>4497415116</v>
      </c>
      <c r="B4160" t="s">
        <v>18</v>
      </c>
      <c r="C4160">
        <v>11</v>
      </c>
      <c r="D4160" t="s">
        <v>31</v>
      </c>
      <c r="E4160" t="s">
        <v>61</v>
      </c>
      <c r="F4160" s="1">
        <v>42503</v>
      </c>
      <c r="G4160" s="1">
        <v>42510</v>
      </c>
      <c r="H4160" t="s">
        <v>21</v>
      </c>
      <c r="I4160">
        <v>7</v>
      </c>
      <c r="J4160" t="s">
        <v>107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 t="s">
        <v>23</v>
      </c>
      <c r="R4160">
        <v>0</v>
      </c>
    </row>
    <row r="4161" spans="1:18">
      <c r="A4161" s="4">
        <v>239584000000000</v>
      </c>
      <c r="B4161" t="s">
        <v>18</v>
      </c>
      <c r="C4161">
        <v>15</v>
      </c>
      <c r="D4161" t="s">
        <v>60</v>
      </c>
      <c r="E4161" t="s">
        <v>67</v>
      </c>
      <c r="F4161" s="1">
        <v>42503</v>
      </c>
      <c r="G4161" s="1">
        <v>42503</v>
      </c>
      <c r="H4161" t="s">
        <v>21</v>
      </c>
      <c r="I4161">
        <v>0</v>
      </c>
      <c r="J4161" t="s">
        <v>111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 t="s">
        <v>23</v>
      </c>
      <c r="R4161">
        <v>0</v>
      </c>
    </row>
    <row r="4162" spans="1:18">
      <c r="A4162" s="4">
        <v>57128400000000</v>
      </c>
      <c r="B4162" t="s">
        <v>18</v>
      </c>
      <c r="C4162">
        <v>35</v>
      </c>
      <c r="D4162" t="s">
        <v>37</v>
      </c>
      <c r="E4162" t="s">
        <v>47</v>
      </c>
      <c r="F4162" s="1">
        <v>42503</v>
      </c>
      <c r="G4162" s="1">
        <v>42510</v>
      </c>
      <c r="H4162" t="s">
        <v>21</v>
      </c>
      <c r="I4162">
        <v>7</v>
      </c>
      <c r="J4162" t="s">
        <v>107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 t="s">
        <v>26</v>
      </c>
      <c r="R4162">
        <v>1</v>
      </c>
    </row>
    <row r="4163" spans="1:18">
      <c r="A4163" s="4">
        <v>96464400000000</v>
      </c>
      <c r="B4163" t="s">
        <v>18</v>
      </c>
      <c r="C4163">
        <v>81</v>
      </c>
      <c r="D4163" t="s">
        <v>19</v>
      </c>
      <c r="E4163" t="s">
        <v>82</v>
      </c>
      <c r="F4163" s="1">
        <v>42503</v>
      </c>
      <c r="G4163" s="1">
        <v>42523</v>
      </c>
      <c r="H4163" t="s">
        <v>33</v>
      </c>
      <c r="I4163">
        <v>20</v>
      </c>
      <c r="J4163" t="s">
        <v>77</v>
      </c>
      <c r="K4163">
        <v>0</v>
      </c>
      <c r="L4163">
        <v>1</v>
      </c>
      <c r="M4163">
        <v>1</v>
      </c>
      <c r="N4163">
        <v>0</v>
      </c>
      <c r="O4163">
        <v>0</v>
      </c>
      <c r="P4163">
        <v>1</v>
      </c>
      <c r="Q4163" t="s">
        <v>23</v>
      </c>
      <c r="R4163">
        <v>0</v>
      </c>
    </row>
    <row r="4164" spans="1:18">
      <c r="A4164" s="4">
        <v>28937200000000</v>
      </c>
      <c r="B4164" t="s">
        <v>18</v>
      </c>
      <c r="C4164">
        <v>60</v>
      </c>
      <c r="D4164" t="s">
        <v>35</v>
      </c>
      <c r="E4164" t="s">
        <v>72</v>
      </c>
      <c r="F4164" s="1">
        <v>42503</v>
      </c>
      <c r="G4164" s="1">
        <v>42508</v>
      </c>
      <c r="H4164" t="s">
        <v>25</v>
      </c>
      <c r="I4164">
        <v>5</v>
      </c>
      <c r="J4164" t="s">
        <v>107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23</v>
      </c>
      <c r="R4164">
        <v>0</v>
      </c>
    </row>
    <row r="4165" spans="1:18">
      <c r="A4165" s="4">
        <v>6518640000000</v>
      </c>
      <c r="B4165" t="s">
        <v>28</v>
      </c>
      <c r="C4165">
        <v>43</v>
      </c>
      <c r="D4165" t="s">
        <v>27</v>
      </c>
      <c r="E4165" t="s">
        <v>106</v>
      </c>
      <c r="F4165" s="1">
        <v>42503</v>
      </c>
      <c r="G4165" s="1">
        <v>42508</v>
      </c>
      <c r="H4165" t="s">
        <v>25</v>
      </c>
      <c r="I4165">
        <v>5</v>
      </c>
      <c r="J4165" t="s">
        <v>107</v>
      </c>
      <c r="K4165">
        <v>0</v>
      </c>
      <c r="L4165">
        <v>1</v>
      </c>
      <c r="M4165">
        <v>0</v>
      </c>
      <c r="N4165">
        <v>0</v>
      </c>
      <c r="O4165">
        <v>0</v>
      </c>
      <c r="P4165">
        <v>0</v>
      </c>
      <c r="Q4165" t="s">
        <v>23</v>
      </c>
      <c r="R4165">
        <v>0</v>
      </c>
    </row>
    <row r="4166" spans="1:18">
      <c r="A4166" s="4">
        <v>67263200000000</v>
      </c>
      <c r="B4166" t="s">
        <v>28</v>
      </c>
      <c r="C4166">
        <v>63</v>
      </c>
      <c r="D4166" t="s">
        <v>35</v>
      </c>
      <c r="E4166" t="s">
        <v>101</v>
      </c>
      <c r="F4166" s="1">
        <v>42503</v>
      </c>
      <c r="G4166" s="1">
        <v>42503</v>
      </c>
      <c r="H4166" t="s">
        <v>21</v>
      </c>
      <c r="I4166">
        <v>0</v>
      </c>
      <c r="J4166" t="s">
        <v>111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23</v>
      </c>
      <c r="R4166">
        <v>0</v>
      </c>
    </row>
    <row r="4167" spans="1:18">
      <c r="A4167" s="4">
        <v>1126170000000</v>
      </c>
      <c r="B4167" t="s">
        <v>28</v>
      </c>
      <c r="C4167">
        <v>26</v>
      </c>
      <c r="D4167" t="s">
        <v>37</v>
      </c>
      <c r="E4167" t="s">
        <v>20</v>
      </c>
      <c r="F4167" s="1">
        <v>42503</v>
      </c>
      <c r="G4167" s="1">
        <v>42503</v>
      </c>
      <c r="H4167" t="s">
        <v>21</v>
      </c>
      <c r="I4167">
        <v>0</v>
      </c>
      <c r="J4167" t="s">
        <v>111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23</v>
      </c>
      <c r="R4167">
        <v>0</v>
      </c>
    </row>
    <row r="4168" spans="1:18">
      <c r="A4168" s="4">
        <v>684224000000000</v>
      </c>
      <c r="B4168" t="s">
        <v>18</v>
      </c>
      <c r="C4168">
        <v>6</v>
      </c>
      <c r="D4168" t="s">
        <v>31</v>
      </c>
      <c r="E4168" t="s">
        <v>65</v>
      </c>
      <c r="F4168" s="1">
        <v>42503</v>
      </c>
      <c r="G4168" s="1">
        <v>42503</v>
      </c>
      <c r="H4168" t="s">
        <v>21</v>
      </c>
      <c r="I4168">
        <v>0</v>
      </c>
      <c r="J4168" t="s">
        <v>111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23</v>
      </c>
      <c r="R4168">
        <v>0</v>
      </c>
    </row>
    <row r="4169" spans="1:18">
      <c r="A4169" s="4">
        <v>17596800000000</v>
      </c>
      <c r="B4169" t="s">
        <v>28</v>
      </c>
      <c r="C4169">
        <v>49</v>
      </c>
      <c r="D4169" t="s">
        <v>27</v>
      </c>
      <c r="E4169" t="s">
        <v>56</v>
      </c>
      <c r="F4169" s="1">
        <v>42503</v>
      </c>
      <c r="G4169" s="1">
        <v>42527</v>
      </c>
      <c r="H4169" t="s">
        <v>30</v>
      </c>
      <c r="I4169">
        <v>24</v>
      </c>
      <c r="J4169" t="s">
        <v>77</v>
      </c>
      <c r="K4169">
        <v>0</v>
      </c>
      <c r="L4169">
        <v>1</v>
      </c>
      <c r="M4169">
        <v>0</v>
      </c>
      <c r="N4169">
        <v>0</v>
      </c>
      <c r="O4169">
        <v>0</v>
      </c>
      <c r="P4169">
        <v>1</v>
      </c>
      <c r="Q4169" t="s">
        <v>23</v>
      </c>
      <c r="R4169">
        <v>0</v>
      </c>
    </row>
    <row r="4170" spans="1:18">
      <c r="A4170" s="4">
        <v>413761000000</v>
      </c>
      <c r="B4170" t="s">
        <v>18</v>
      </c>
      <c r="C4170">
        <v>35</v>
      </c>
      <c r="D4170" t="s">
        <v>37</v>
      </c>
      <c r="E4170" t="s">
        <v>58</v>
      </c>
      <c r="F4170" s="1">
        <v>42503</v>
      </c>
      <c r="G4170" s="1">
        <v>42503</v>
      </c>
      <c r="H4170" t="s">
        <v>21</v>
      </c>
      <c r="I4170">
        <v>0</v>
      </c>
      <c r="J4170" t="s">
        <v>111</v>
      </c>
      <c r="K4170">
        <v>1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23</v>
      </c>
      <c r="R4170">
        <v>0</v>
      </c>
    </row>
    <row r="4171" spans="1:18">
      <c r="A4171" s="4">
        <v>3552850000000</v>
      </c>
      <c r="B4171" t="s">
        <v>28</v>
      </c>
      <c r="C4171">
        <v>72</v>
      </c>
      <c r="D4171" t="s">
        <v>19</v>
      </c>
      <c r="E4171" t="s">
        <v>20</v>
      </c>
      <c r="F4171" s="1">
        <v>42503</v>
      </c>
      <c r="G4171" s="1">
        <v>42503</v>
      </c>
      <c r="H4171" t="s">
        <v>21</v>
      </c>
      <c r="I4171">
        <v>0</v>
      </c>
      <c r="J4171" t="s">
        <v>111</v>
      </c>
      <c r="K4171">
        <v>0</v>
      </c>
      <c r="L4171">
        <v>1</v>
      </c>
      <c r="M4171">
        <v>0</v>
      </c>
      <c r="N4171">
        <v>0</v>
      </c>
      <c r="O4171">
        <v>0</v>
      </c>
      <c r="P4171">
        <v>0</v>
      </c>
      <c r="Q4171" t="s">
        <v>23</v>
      </c>
      <c r="R4171">
        <v>0</v>
      </c>
    </row>
    <row r="4172" spans="1:18">
      <c r="A4172" s="4">
        <v>29621400000000</v>
      </c>
      <c r="B4172" t="s">
        <v>28</v>
      </c>
      <c r="C4172">
        <v>8</v>
      </c>
      <c r="D4172" t="s">
        <v>31</v>
      </c>
      <c r="E4172" t="s">
        <v>59</v>
      </c>
      <c r="F4172" s="1">
        <v>42503</v>
      </c>
      <c r="G4172" s="1">
        <v>42503</v>
      </c>
      <c r="H4172" t="s">
        <v>21</v>
      </c>
      <c r="I4172">
        <v>0</v>
      </c>
      <c r="J4172" t="s">
        <v>111</v>
      </c>
      <c r="K4172">
        <v>1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23</v>
      </c>
      <c r="R4172">
        <v>0</v>
      </c>
    </row>
    <row r="4173" spans="1:18">
      <c r="A4173" s="4">
        <v>79129100000000</v>
      </c>
      <c r="B4173" t="s">
        <v>18</v>
      </c>
      <c r="C4173">
        <v>34</v>
      </c>
      <c r="D4173" t="s">
        <v>37</v>
      </c>
      <c r="E4173" t="s">
        <v>32</v>
      </c>
      <c r="F4173" s="1">
        <v>42503</v>
      </c>
      <c r="G4173" s="1">
        <v>42503</v>
      </c>
      <c r="H4173" t="s">
        <v>21</v>
      </c>
      <c r="I4173">
        <v>0</v>
      </c>
      <c r="J4173" t="s">
        <v>111</v>
      </c>
      <c r="K4173">
        <v>1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23</v>
      </c>
      <c r="R4173">
        <v>0</v>
      </c>
    </row>
    <row r="4174" spans="1:18">
      <c r="A4174" s="4">
        <v>1846490000000</v>
      </c>
      <c r="B4174" t="s">
        <v>28</v>
      </c>
      <c r="C4174">
        <v>34</v>
      </c>
      <c r="D4174" t="s">
        <v>37</v>
      </c>
      <c r="E4174" t="s">
        <v>96</v>
      </c>
      <c r="F4174" s="1">
        <v>42503</v>
      </c>
      <c r="G4174" s="1">
        <v>42503</v>
      </c>
      <c r="H4174" t="s">
        <v>21</v>
      </c>
      <c r="I4174">
        <v>0</v>
      </c>
      <c r="J4174" t="s">
        <v>111</v>
      </c>
      <c r="K4174">
        <v>1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23</v>
      </c>
      <c r="R4174">
        <v>0</v>
      </c>
    </row>
    <row r="4175" spans="1:18">
      <c r="A4175" s="4">
        <v>659614000000000</v>
      </c>
      <c r="B4175" t="s">
        <v>28</v>
      </c>
      <c r="C4175">
        <v>57</v>
      </c>
      <c r="D4175" t="s">
        <v>35</v>
      </c>
      <c r="E4175" t="s">
        <v>59</v>
      </c>
      <c r="F4175" s="1">
        <v>42503</v>
      </c>
      <c r="G4175" s="1">
        <v>42503</v>
      </c>
      <c r="H4175" t="s">
        <v>21</v>
      </c>
      <c r="I4175">
        <v>0</v>
      </c>
      <c r="J4175" t="s">
        <v>111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 t="s">
        <v>23</v>
      </c>
      <c r="R4175">
        <v>0</v>
      </c>
    </row>
    <row r="4176" spans="1:18">
      <c r="A4176" s="4">
        <v>4922160000000</v>
      </c>
      <c r="B4176" t="s">
        <v>18</v>
      </c>
      <c r="C4176">
        <v>14</v>
      </c>
      <c r="D4176" t="s">
        <v>60</v>
      </c>
      <c r="E4176" t="s">
        <v>46</v>
      </c>
      <c r="F4176" s="1">
        <v>42503</v>
      </c>
      <c r="G4176" s="1">
        <v>42503</v>
      </c>
      <c r="H4176" t="s">
        <v>21</v>
      </c>
      <c r="I4176">
        <v>0</v>
      </c>
      <c r="J4176" t="s">
        <v>111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23</v>
      </c>
      <c r="R4176">
        <v>0</v>
      </c>
    </row>
    <row r="4177" spans="1:18">
      <c r="A4177" s="4">
        <v>15935300000000</v>
      </c>
      <c r="B4177" t="s">
        <v>28</v>
      </c>
      <c r="C4177">
        <v>38</v>
      </c>
      <c r="D4177" t="s">
        <v>27</v>
      </c>
      <c r="E4177" t="s">
        <v>72</v>
      </c>
      <c r="F4177" s="1">
        <v>42503</v>
      </c>
      <c r="G4177" s="1">
        <v>42503</v>
      </c>
      <c r="H4177" t="s">
        <v>21</v>
      </c>
      <c r="I4177">
        <v>0</v>
      </c>
      <c r="J4177" t="s">
        <v>111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23</v>
      </c>
      <c r="R4177">
        <v>0</v>
      </c>
    </row>
    <row r="4178" spans="1:18">
      <c r="A4178" s="4">
        <v>119112000000000</v>
      </c>
      <c r="B4178" t="s">
        <v>18</v>
      </c>
      <c r="C4178">
        <v>37</v>
      </c>
      <c r="D4178" t="s">
        <v>27</v>
      </c>
      <c r="E4178" t="s">
        <v>106</v>
      </c>
      <c r="F4178" s="1">
        <v>42503</v>
      </c>
      <c r="G4178" s="1">
        <v>42503</v>
      </c>
      <c r="H4178" t="s">
        <v>21</v>
      </c>
      <c r="I4178">
        <v>0</v>
      </c>
      <c r="J4178" t="s">
        <v>111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23</v>
      </c>
      <c r="R4178">
        <v>0</v>
      </c>
    </row>
    <row r="4179" spans="1:18">
      <c r="A4179" s="4">
        <v>5716860000000</v>
      </c>
      <c r="B4179" t="s">
        <v>18</v>
      </c>
      <c r="C4179">
        <v>70</v>
      </c>
      <c r="D4179" t="s">
        <v>19</v>
      </c>
      <c r="E4179" t="s">
        <v>40</v>
      </c>
      <c r="F4179" s="1">
        <v>42503</v>
      </c>
      <c r="G4179" s="1">
        <v>42510</v>
      </c>
      <c r="H4179" t="s">
        <v>21</v>
      </c>
      <c r="I4179">
        <v>7</v>
      </c>
      <c r="J4179" t="s">
        <v>107</v>
      </c>
      <c r="K4179">
        <v>0</v>
      </c>
      <c r="L4179">
        <v>1</v>
      </c>
      <c r="M4179">
        <v>0</v>
      </c>
      <c r="N4179">
        <v>0</v>
      </c>
      <c r="O4179">
        <v>0</v>
      </c>
      <c r="P4179">
        <v>0</v>
      </c>
      <c r="Q4179" t="s">
        <v>23</v>
      </c>
      <c r="R4179">
        <v>0</v>
      </c>
    </row>
    <row r="4180" spans="1:18">
      <c r="A4180" s="4">
        <v>65135000000000</v>
      </c>
      <c r="B4180" t="s">
        <v>18</v>
      </c>
      <c r="C4180">
        <v>25</v>
      </c>
      <c r="D4180" t="s">
        <v>37</v>
      </c>
      <c r="E4180" t="s">
        <v>40</v>
      </c>
      <c r="F4180" s="1">
        <v>42503</v>
      </c>
      <c r="G4180" s="1">
        <v>42510</v>
      </c>
      <c r="H4180" t="s">
        <v>21</v>
      </c>
      <c r="I4180">
        <v>7</v>
      </c>
      <c r="J4180" t="s">
        <v>107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23</v>
      </c>
      <c r="R4180">
        <v>0</v>
      </c>
    </row>
    <row r="4181" spans="1:18">
      <c r="A4181" s="4">
        <v>39731400000000</v>
      </c>
      <c r="B4181" t="s">
        <v>28</v>
      </c>
      <c r="C4181">
        <v>1</v>
      </c>
      <c r="D4181" t="s">
        <v>31</v>
      </c>
      <c r="E4181" t="s">
        <v>80</v>
      </c>
      <c r="F4181" s="1">
        <v>42503</v>
      </c>
      <c r="G4181" s="1">
        <v>42503</v>
      </c>
      <c r="H4181" t="s">
        <v>21</v>
      </c>
      <c r="I4181">
        <v>0</v>
      </c>
      <c r="J4181" t="s">
        <v>111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23</v>
      </c>
      <c r="R4181">
        <v>0</v>
      </c>
    </row>
    <row r="4182" spans="1:18">
      <c r="A4182" s="4">
        <v>1647310000000</v>
      </c>
      <c r="B4182" t="s">
        <v>18</v>
      </c>
      <c r="C4182">
        <v>19</v>
      </c>
      <c r="D4182" t="s">
        <v>37</v>
      </c>
      <c r="E4182" t="s">
        <v>36</v>
      </c>
      <c r="F4182" s="1">
        <v>42503</v>
      </c>
      <c r="G4182" s="1">
        <v>42528</v>
      </c>
      <c r="H4182" t="s">
        <v>41</v>
      </c>
      <c r="I4182">
        <v>25</v>
      </c>
      <c r="J4182" t="s">
        <v>77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1</v>
      </c>
      <c r="Q4182" t="s">
        <v>23</v>
      </c>
      <c r="R4182">
        <v>0</v>
      </c>
    </row>
    <row r="4183" spans="1:18">
      <c r="A4183" s="4">
        <v>669350000000</v>
      </c>
      <c r="B4183" t="s">
        <v>18</v>
      </c>
      <c r="C4183">
        <v>86</v>
      </c>
      <c r="D4183" t="s">
        <v>19</v>
      </c>
      <c r="E4183" t="s">
        <v>32</v>
      </c>
      <c r="F4183" s="1">
        <v>42503</v>
      </c>
      <c r="G4183" s="1">
        <v>42522</v>
      </c>
      <c r="H4183" t="s">
        <v>25</v>
      </c>
      <c r="I4183">
        <v>19</v>
      </c>
      <c r="J4183" t="s">
        <v>77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23</v>
      </c>
      <c r="R4183">
        <v>0</v>
      </c>
    </row>
    <row r="4184" spans="1:18">
      <c r="A4184" s="4">
        <v>9477300000000</v>
      </c>
      <c r="B4184" t="s">
        <v>18</v>
      </c>
      <c r="C4184">
        <v>15</v>
      </c>
      <c r="D4184" t="s">
        <v>60</v>
      </c>
      <c r="E4184" t="s">
        <v>68</v>
      </c>
      <c r="F4184" s="1">
        <v>42503</v>
      </c>
      <c r="G4184" s="1">
        <v>42503</v>
      </c>
      <c r="H4184" t="s">
        <v>21</v>
      </c>
      <c r="I4184">
        <v>0</v>
      </c>
      <c r="J4184" t="s">
        <v>111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23</v>
      </c>
      <c r="R4184">
        <v>0</v>
      </c>
    </row>
    <row r="4185" spans="1:18">
      <c r="A4185" s="4">
        <v>1411450000000</v>
      </c>
      <c r="B4185" t="s">
        <v>18</v>
      </c>
      <c r="C4185">
        <v>35</v>
      </c>
      <c r="D4185" t="s">
        <v>37</v>
      </c>
      <c r="E4185" t="s">
        <v>96</v>
      </c>
      <c r="F4185" s="1">
        <v>42503</v>
      </c>
      <c r="G4185" s="1">
        <v>42521</v>
      </c>
      <c r="H4185" t="s">
        <v>41</v>
      </c>
      <c r="I4185">
        <v>18</v>
      </c>
      <c r="J4185" t="s">
        <v>77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1</v>
      </c>
      <c r="Q4185" t="s">
        <v>23</v>
      </c>
      <c r="R4185">
        <v>0</v>
      </c>
    </row>
    <row r="4186" spans="1:18">
      <c r="A4186" s="4">
        <v>593227000000000</v>
      </c>
      <c r="B4186" t="s">
        <v>28</v>
      </c>
      <c r="C4186">
        <v>33</v>
      </c>
      <c r="D4186" t="s">
        <v>37</v>
      </c>
      <c r="E4186" t="s">
        <v>84</v>
      </c>
      <c r="F4186" s="1">
        <v>42503</v>
      </c>
      <c r="G4186" s="1">
        <v>42509</v>
      </c>
      <c r="H4186" t="s">
        <v>33</v>
      </c>
      <c r="I4186">
        <v>6</v>
      </c>
      <c r="J4186" t="s">
        <v>107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23</v>
      </c>
      <c r="R4186">
        <v>0</v>
      </c>
    </row>
    <row r="4187" spans="1:18">
      <c r="A4187" s="4">
        <v>353690000000000</v>
      </c>
      <c r="B4187" t="s">
        <v>28</v>
      </c>
      <c r="C4187">
        <v>57</v>
      </c>
      <c r="D4187" t="s">
        <v>35</v>
      </c>
      <c r="E4187" t="s">
        <v>54</v>
      </c>
      <c r="F4187" s="1">
        <v>42503</v>
      </c>
      <c r="G4187" s="1">
        <v>42503</v>
      </c>
      <c r="H4187" t="s">
        <v>21</v>
      </c>
      <c r="I4187">
        <v>0</v>
      </c>
      <c r="J4187" t="s">
        <v>111</v>
      </c>
      <c r="K4187">
        <v>0</v>
      </c>
      <c r="L4187">
        <v>1</v>
      </c>
      <c r="M4187">
        <v>1</v>
      </c>
      <c r="N4187">
        <v>0</v>
      </c>
      <c r="O4187">
        <v>0</v>
      </c>
      <c r="P4187">
        <v>0</v>
      </c>
      <c r="Q4187" t="s">
        <v>23</v>
      </c>
      <c r="R4187">
        <v>0</v>
      </c>
    </row>
    <row r="4188" spans="1:18">
      <c r="A4188" s="4">
        <v>8173200000000</v>
      </c>
      <c r="B4188" t="s">
        <v>18</v>
      </c>
      <c r="C4188">
        <v>82</v>
      </c>
      <c r="D4188" t="s">
        <v>19</v>
      </c>
      <c r="E4188" t="s">
        <v>54</v>
      </c>
      <c r="F4188" s="1">
        <v>42503</v>
      </c>
      <c r="G4188" s="1">
        <v>42503</v>
      </c>
      <c r="H4188" t="s">
        <v>21</v>
      </c>
      <c r="I4188">
        <v>0</v>
      </c>
      <c r="J4188" t="s">
        <v>111</v>
      </c>
      <c r="K4188">
        <v>0</v>
      </c>
      <c r="L4188">
        <v>1</v>
      </c>
      <c r="M4188">
        <v>0</v>
      </c>
      <c r="N4188">
        <v>0</v>
      </c>
      <c r="O4188">
        <v>0</v>
      </c>
      <c r="P4188">
        <v>0</v>
      </c>
      <c r="Q4188" t="s">
        <v>23</v>
      </c>
      <c r="R4188">
        <v>0</v>
      </c>
    </row>
    <row r="4189" spans="1:18">
      <c r="A4189" s="4">
        <v>117681000000</v>
      </c>
      <c r="B4189" t="s">
        <v>18</v>
      </c>
      <c r="C4189">
        <v>62</v>
      </c>
      <c r="D4189" t="s">
        <v>35</v>
      </c>
      <c r="E4189" t="s">
        <v>57</v>
      </c>
      <c r="F4189" s="1">
        <v>42503</v>
      </c>
      <c r="G4189" s="1">
        <v>42503</v>
      </c>
      <c r="H4189" t="s">
        <v>21</v>
      </c>
      <c r="I4189">
        <v>0</v>
      </c>
      <c r="J4189" t="s">
        <v>111</v>
      </c>
      <c r="K4189">
        <v>0</v>
      </c>
      <c r="L4189">
        <v>1</v>
      </c>
      <c r="M4189">
        <v>0</v>
      </c>
      <c r="N4189">
        <v>0</v>
      </c>
      <c r="O4189">
        <v>0</v>
      </c>
      <c r="P4189">
        <v>0</v>
      </c>
      <c r="Q4189" t="s">
        <v>23</v>
      </c>
      <c r="R4189">
        <v>0</v>
      </c>
    </row>
    <row r="4190" spans="1:18">
      <c r="A4190" s="4">
        <v>42726600000000</v>
      </c>
      <c r="B4190" t="s">
        <v>18</v>
      </c>
      <c r="C4190">
        <v>67</v>
      </c>
      <c r="D4190" t="s">
        <v>19</v>
      </c>
      <c r="E4190" t="s">
        <v>91</v>
      </c>
      <c r="F4190" s="1">
        <v>42503</v>
      </c>
      <c r="G4190" s="1">
        <v>42503</v>
      </c>
      <c r="H4190" t="s">
        <v>21</v>
      </c>
      <c r="I4190">
        <v>0</v>
      </c>
      <c r="J4190" t="s">
        <v>111</v>
      </c>
      <c r="K4190">
        <v>0</v>
      </c>
      <c r="L4190">
        <v>1</v>
      </c>
      <c r="M4190">
        <v>1</v>
      </c>
      <c r="N4190">
        <v>0</v>
      </c>
      <c r="O4190">
        <v>0</v>
      </c>
      <c r="P4190">
        <v>0</v>
      </c>
      <c r="Q4190" t="s">
        <v>23</v>
      </c>
      <c r="R4190">
        <v>0</v>
      </c>
    </row>
    <row r="4191" spans="1:18">
      <c r="A4191" s="4">
        <v>9349360000000</v>
      </c>
      <c r="B4191" t="s">
        <v>28</v>
      </c>
      <c r="C4191">
        <v>78</v>
      </c>
      <c r="D4191" t="s">
        <v>19</v>
      </c>
      <c r="E4191" t="s">
        <v>50</v>
      </c>
      <c r="F4191" s="1">
        <v>42503</v>
      </c>
      <c r="G4191" s="1">
        <v>42510</v>
      </c>
      <c r="H4191" t="s">
        <v>21</v>
      </c>
      <c r="I4191">
        <v>7</v>
      </c>
      <c r="J4191" t="s">
        <v>107</v>
      </c>
      <c r="K4191">
        <v>0</v>
      </c>
      <c r="L4191">
        <v>1</v>
      </c>
      <c r="M4191">
        <v>0</v>
      </c>
      <c r="N4191">
        <v>0</v>
      </c>
      <c r="O4191">
        <v>0</v>
      </c>
      <c r="P4191">
        <v>0</v>
      </c>
      <c r="Q4191" t="s">
        <v>23</v>
      </c>
      <c r="R4191">
        <v>0</v>
      </c>
    </row>
    <row r="4192" spans="1:18">
      <c r="A4192" s="4">
        <v>996313000000000</v>
      </c>
      <c r="B4192" t="s">
        <v>18</v>
      </c>
      <c r="C4192">
        <v>85</v>
      </c>
      <c r="D4192" t="s">
        <v>19</v>
      </c>
      <c r="E4192" t="s">
        <v>58</v>
      </c>
      <c r="F4192" s="1">
        <v>42503</v>
      </c>
      <c r="G4192" s="1">
        <v>42507</v>
      </c>
      <c r="H4192" t="s">
        <v>41</v>
      </c>
      <c r="I4192">
        <v>4</v>
      </c>
      <c r="J4192" t="s">
        <v>107</v>
      </c>
      <c r="K4192">
        <v>0</v>
      </c>
      <c r="L4192">
        <v>1</v>
      </c>
      <c r="M4192">
        <v>1</v>
      </c>
      <c r="N4192">
        <v>0</v>
      </c>
      <c r="O4192">
        <v>0</v>
      </c>
      <c r="P4192">
        <v>0</v>
      </c>
      <c r="Q4192" t="s">
        <v>23</v>
      </c>
      <c r="R4192">
        <v>0</v>
      </c>
    </row>
    <row r="4193" spans="1:18">
      <c r="A4193" s="4">
        <v>648818000000000</v>
      </c>
      <c r="B4193" t="s">
        <v>28</v>
      </c>
      <c r="C4193">
        <v>54</v>
      </c>
      <c r="D4193" t="s">
        <v>35</v>
      </c>
      <c r="E4193" t="s">
        <v>72</v>
      </c>
      <c r="F4193" s="1">
        <v>42503</v>
      </c>
      <c r="G4193" s="1">
        <v>42503</v>
      </c>
      <c r="H4193" t="s">
        <v>21</v>
      </c>
      <c r="I4193">
        <v>0</v>
      </c>
      <c r="J4193" t="s">
        <v>111</v>
      </c>
      <c r="K4193">
        <v>0</v>
      </c>
      <c r="L4193">
        <v>1</v>
      </c>
      <c r="M4193">
        <v>1</v>
      </c>
      <c r="N4193">
        <v>0</v>
      </c>
      <c r="O4193">
        <v>0</v>
      </c>
      <c r="P4193">
        <v>0</v>
      </c>
      <c r="Q4193" t="s">
        <v>23</v>
      </c>
      <c r="R4193">
        <v>0</v>
      </c>
    </row>
    <row r="4194" spans="1:18">
      <c r="A4194" s="4">
        <v>13621981994</v>
      </c>
      <c r="B4194" t="s">
        <v>18</v>
      </c>
      <c r="C4194">
        <v>27</v>
      </c>
      <c r="D4194" t="s">
        <v>37</v>
      </c>
      <c r="E4194" t="s">
        <v>76</v>
      </c>
      <c r="F4194" s="1">
        <v>42503</v>
      </c>
      <c r="G4194" s="1">
        <v>42510</v>
      </c>
      <c r="H4194" t="s">
        <v>21</v>
      </c>
      <c r="I4194">
        <v>7</v>
      </c>
      <c r="J4194" t="s">
        <v>107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23</v>
      </c>
      <c r="R4194">
        <v>0</v>
      </c>
    </row>
    <row r="4195" spans="1:18">
      <c r="A4195" s="4">
        <v>13513700000000</v>
      </c>
      <c r="B4195" t="s">
        <v>18</v>
      </c>
      <c r="C4195">
        <v>10</v>
      </c>
      <c r="D4195" t="s">
        <v>31</v>
      </c>
      <c r="E4195" t="s">
        <v>51</v>
      </c>
      <c r="F4195" s="1">
        <v>42503</v>
      </c>
      <c r="G4195" s="1">
        <v>42514</v>
      </c>
      <c r="H4195" t="s">
        <v>41</v>
      </c>
      <c r="I4195">
        <v>11</v>
      </c>
      <c r="J4195" t="s">
        <v>92</v>
      </c>
      <c r="K4195">
        <v>1</v>
      </c>
      <c r="L4195">
        <v>0</v>
      </c>
      <c r="M4195">
        <v>0</v>
      </c>
      <c r="N4195">
        <v>0</v>
      </c>
      <c r="O4195">
        <v>0</v>
      </c>
      <c r="P4195">
        <v>1</v>
      </c>
      <c r="Q4195" t="s">
        <v>26</v>
      </c>
      <c r="R4195">
        <v>1</v>
      </c>
    </row>
    <row r="4196" spans="1:18">
      <c r="A4196" s="4">
        <v>59372300000000</v>
      </c>
      <c r="B4196" t="s">
        <v>18</v>
      </c>
      <c r="C4196">
        <v>45</v>
      </c>
      <c r="D4196" t="s">
        <v>27</v>
      </c>
      <c r="E4196" t="s">
        <v>71</v>
      </c>
      <c r="F4196" s="1">
        <v>42503</v>
      </c>
      <c r="G4196" s="1">
        <v>42510</v>
      </c>
      <c r="H4196" t="s">
        <v>21</v>
      </c>
      <c r="I4196">
        <v>7</v>
      </c>
      <c r="J4196" t="s">
        <v>107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23</v>
      </c>
      <c r="R4196">
        <v>0</v>
      </c>
    </row>
    <row r="4197" spans="1:18">
      <c r="A4197" s="4">
        <v>5784510000000</v>
      </c>
      <c r="B4197" t="s">
        <v>18</v>
      </c>
      <c r="C4197">
        <v>64</v>
      </c>
      <c r="D4197" t="s">
        <v>35</v>
      </c>
      <c r="E4197" t="s">
        <v>103</v>
      </c>
      <c r="F4197" s="1">
        <v>42503</v>
      </c>
      <c r="G4197" s="1">
        <v>42507</v>
      </c>
      <c r="H4197" t="s">
        <v>41</v>
      </c>
      <c r="I4197">
        <v>4</v>
      </c>
      <c r="J4197" t="s">
        <v>107</v>
      </c>
      <c r="K4197">
        <v>0</v>
      </c>
      <c r="L4197">
        <v>1</v>
      </c>
      <c r="M4197">
        <v>1</v>
      </c>
      <c r="N4197">
        <v>0</v>
      </c>
      <c r="O4197">
        <v>0</v>
      </c>
      <c r="P4197">
        <v>0</v>
      </c>
      <c r="Q4197" t="s">
        <v>23</v>
      </c>
      <c r="R4197">
        <v>0</v>
      </c>
    </row>
    <row r="4198" spans="1:18">
      <c r="A4198" s="4">
        <v>65936200000000</v>
      </c>
      <c r="B4198" t="s">
        <v>28</v>
      </c>
      <c r="C4198">
        <v>34</v>
      </c>
      <c r="D4198" t="s">
        <v>37</v>
      </c>
      <c r="E4198" t="s">
        <v>79</v>
      </c>
      <c r="F4198" s="1">
        <v>42503</v>
      </c>
      <c r="G4198" s="1">
        <v>42510</v>
      </c>
      <c r="H4198" t="s">
        <v>21</v>
      </c>
      <c r="I4198">
        <v>7</v>
      </c>
      <c r="J4198" t="s">
        <v>107</v>
      </c>
      <c r="K4198">
        <v>0</v>
      </c>
      <c r="L4198">
        <v>1</v>
      </c>
      <c r="M4198">
        <v>1</v>
      </c>
      <c r="N4198">
        <v>0</v>
      </c>
      <c r="O4198">
        <v>0</v>
      </c>
      <c r="P4198">
        <v>0</v>
      </c>
      <c r="Q4198" t="s">
        <v>26</v>
      </c>
      <c r="R4198">
        <v>1</v>
      </c>
    </row>
    <row r="4199" spans="1:18">
      <c r="A4199" s="4">
        <v>21493600000000</v>
      </c>
      <c r="B4199" t="s">
        <v>28</v>
      </c>
      <c r="C4199">
        <v>81</v>
      </c>
      <c r="D4199" t="s">
        <v>19</v>
      </c>
      <c r="E4199" t="s">
        <v>53</v>
      </c>
      <c r="F4199" s="1">
        <v>42503</v>
      </c>
      <c r="G4199" s="1">
        <v>42507</v>
      </c>
      <c r="H4199" t="s">
        <v>41</v>
      </c>
      <c r="I4199">
        <v>4</v>
      </c>
      <c r="J4199" t="s">
        <v>107</v>
      </c>
      <c r="K4199">
        <v>0</v>
      </c>
      <c r="L4199">
        <v>1</v>
      </c>
      <c r="M4199">
        <v>0</v>
      </c>
      <c r="N4199">
        <v>0</v>
      </c>
      <c r="O4199">
        <v>0</v>
      </c>
      <c r="P4199">
        <v>0</v>
      </c>
      <c r="Q4199" t="s">
        <v>23</v>
      </c>
      <c r="R4199">
        <v>0</v>
      </c>
    </row>
    <row r="4200" spans="1:18">
      <c r="A4200" s="4">
        <v>788523000000000</v>
      </c>
      <c r="B4200" t="s">
        <v>18</v>
      </c>
      <c r="C4200">
        <v>25</v>
      </c>
      <c r="D4200" t="s">
        <v>37</v>
      </c>
      <c r="E4200" t="s">
        <v>84</v>
      </c>
      <c r="F4200" s="1">
        <v>42503</v>
      </c>
      <c r="G4200" s="1">
        <v>42508</v>
      </c>
      <c r="H4200" t="s">
        <v>25</v>
      </c>
      <c r="I4200">
        <v>5</v>
      </c>
      <c r="J4200" t="s">
        <v>107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23</v>
      </c>
      <c r="R4200">
        <v>0</v>
      </c>
    </row>
    <row r="4201" spans="1:18">
      <c r="A4201" s="4">
        <v>154360000000000</v>
      </c>
      <c r="B4201" t="s">
        <v>18</v>
      </c>
      <c r="C4201">
        <v>28</v>
      </c>
      <c r="D4201" t="s">
        <v>37</v>
      </c>
      <c r="E4201" t="s">
        <v>59</v>
      </c>
      <c r="F4201" s="1">
        <v>42503</v>
      </c>
      <c r="G4201" s="1">
        <v>42508</v>
      </c>
      <c r="H4201" t="s">
        <v>25</v>
      </c>
      <c r="I4201">
        <v>5</v>
      </c>
      <c r="J4201" t="s">
        <v>107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23</v>
      </c>
      <c r="R4201">
        <v>0</v>
      </c>
    </row>
    <row r="4202" spans="1:18">
      <c r="A4202" s="4">
        <v>6116280000000</v>
      </c>
      <c r="B4202" t="s">
        <v>28</v>
      </c>
      <c r="C4202">
        <v>28</v>
      </c>
      <c r="D4202" t="s">
        <v>37</v>
      </c>
      <c r="E4202" t="s">
        <v>64</v>
      </c>
      <c r="F4202" s="1">
        <v>42503</v>
      </c>
      <c r="G4202" s="1">
        <v>42509</v>
      </c>
      <c r="H4202" t="s">
        <v>33</v>
      </c>
      <c r="I4202">
        <v>6</v>
      </c>
      <c r="J4202" t="s">
        <v>107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26</v>
      </c>
      <c r="R4202">
        <v>1</v>
      </c>
    </row>
    <row r="4203" spans="1:18">
      <c r="A4203" s="4">
        <v>91582700000000</v>
      </c>
      <c r="B4203" t="s">
        <v>18</v>
      </c>
      <c r="C4203">
        <v>66</v>
      </c>
      <c r="D4203" t="s">
        <v>19</v>
      </c>
      <c r="E4203" t="s">
        <v>39</v>
      </c>
      <c r="F4203" s="1">
        <v>42503</v>
      </c>
      <c r="G4203" s="1">
        <v>42507</v>
      </c>
      <c r="H4203" t="s">
        <v>41</v>
      </c>
      <c r="I4203">
        <v>4</v>
      </c>
      <c r="J4203" t="s">
        <v>107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23</v>
      </c>
      <c r="R4203">
        <v>0</v>
      </c>
    </row>
    <row r="4204" spans="1:18">
      <c r="A4204" s="4">
        <v>78648200000000</v>
      </c>
      <c r="B4204" t="s">
        <v>28</v>
      </c>
      <c r="C4204">
        <v>32</v>
      </c>
      <c r="D4204" t="s">
        <v>37</v>
      </c>
      <c r="E4204" t="s">
        <v>58</v>
      </c>
      <c r="F4204" s="1">
        <v>42503</v>
      </c>
      <c r="G4204" s="1">
        <v>42509</v>
      </c>
      <c r="H4204" t="s">
        <v>33</v>
      </c>
      <c r="I4204">
        <v>6</v>
      </c>
      <c r="J4204" t="s">
        <v>107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23</v>
      </c>
      <c r="R4204">
        <v>0</v>
      </c>
    </row>
    <row r="4205" spans="1:18">
      <c r="A4205" s="4">
        <v>427962175</v>
      </c>
      <c r="B4205" t="s">
        <v>18</v>
      </c>
      <c r="C4205">
        <v>0</v>
      </c>
      <c r="D4205" t="s">
        <v>31</v>
      </c>
      <c r="E4205" t="s">
        <v>36</v>
      </c>
      <c r="F4205" s="1">
        <v>42503</v>
      </c>
      <c r="G4205" s="1">
        <v>42503</v>
      </c>
      <c r="H4205" t="s">
        <v>21</v>
      </c>
      <c r="I4205">
        <v>0</v>
      </c>
      <c r="J4205" t="s">
        <v>111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23</v>
      </c>
      <c r="R4205">
        <v>0</v>
      </c>
    </row>
    <row r="4206" spans="1:18">
      <c r="A4206" s="4">
        <v>91288400000000</v>
      </c>
      <c r="B4206" t="s">
        <v>18</v>
      </c>
      <c r="C4206">
        <v>72</v>
      </c>
      <c r="D4206" t="s">
        <v>19</v>
      </c>
      <c r="E4206" t="s">
        <v>66</v>
      </c>
      <c r="F4206" s="1">
        <v>42503</v>
      </c>
      <c r="G4206" s="1">
        <v>42503</v>
      </c>
      <c r="H4206" t="s">
        <v>21</v>
      </c>
      <c r="I4206">
        <v>0</v>
      </c>
      <c r="J4206" t="s">
        <v>111</v>
      </c>
      <c r="K4206">
        <v>0</v>
      </c>
      <c r="L4206">
        <v>1</v>
      </c>
      <c r="M4206">
        <v>1</v>
      </c>
      <c r="N4206">
        <v>0</v>
      </c>
      <c r="O4206">
        <v>0</v>
      </c>
      <c r="P4206">
        <v>0</v>
      </c>
      <c r="Q4206" t="s">
        <v>23</v>
      </c>
      <c r="R4206">
        <v>0</v>
      </c>
    </row>
    <row r="4207" spans="1:18">
      <c r="A4207" s="4">
        <v>5189990000000</v>
      </c>
      <c r="B4207" t="s">
        <v>18</v>
      </c>
      <c r="C4207">
        <v>10</v>
      </c>
      <c r="D4207" t="s">
        <v>31</v>
      </c>
      <c r="E4207" t="s">
        <v>91</v>
      </c>
      <c r="F4207" s="1">
        <v>42503</v>
      </c>
      <c r="G4207" s="1">
        <v>42510</v>
      </c>
      <c r="H4207" t="s">
        <v>21</v>
      </c>
      <c r="I4207">
        <v>7</v>
      </c>
      <c r="J4207" t="s">
        <v>107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26</v>
      </c>
      <c r="R4207">
        <v>1</v>
      </c>
    </row>
    <row r="4208" spans="1:18">
      <c r="A4208" s="4">
        <v>4917140000000</v>
      </c>
      <c r="B4208" t="s">
        <v>28</v>
      </c>
      <c r="C4208">
        <v>22</v>
      </c>
      <c r="D4208" t="s">
        <v>37</v>
      </c>
      <c r="E4208" t="s">
        <v>99</v>
      </c>
      <c r="F4208" s="1">
        <v>42503</v>
      </c>
      <c r="G4208" s="1">
        <v>42510</v>
      </c>
      <c r="H4208" t="s">
        <v>21</v>
      </c>
      <c r="I4208">
        <v>7</v>
      </c>
      <c r="J4208" t="s">
        <v>107</v>
      </c>
      <c r="K4208">
        <v>1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23</v>
      </c>
      <c r="R4208">
        <v>0</v>
      </c>
    </row>
    <row r="4209" spans="1:18">
      <c r="A4209" s="4">
        <v>614977000000</v>
      </c>
      <c r="B4209" t="s">
        <v>28</v>
      </c>
      <c r="C4209">
        <v>59</v>
      </c>
      <c r="D4209" t="s">
        <v>35</v>
      </c>
      <c r="E4209" t="s">
        <v>72</v>
      </c>
      <c r="F4209" s="1">
        <v>42503</v>
      </c>
      <c r="G4209" s="1">
        <v>42510</v>
      </c>
      <c r="H4209" t="s">
        <v>21</v>
      </c>
      <c r="I4209">
        <v>7</v>
      </c>
      <c r="J4209" t="s">
        <v>107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23</v>
      </c>
      <c r="R4209">
        <v>0</v>
      </c>
    </row>
    <row r="4210" spans="1:18">
      <c r="A4210" s="4">
        <v>53333500000000</v>
      </c>
      <c r="B4210" t="s">
        <v>18</v>
      </c>
      <c r="C4210">
        <v>31</v>
      </c>
      <c r="D4210" t="s">
        <v>37</v>
      </c>
      <c r="E4210" t="s">
        <v>40</v>
      </c>
      <c r="F4210" s="1">
        <v>42503</v>
      </c>
      <c r="G4210" s="1">
        <v>42503</v>
      </c>
      <c r="H4210" t="s">
        <v>21</v>
      </c>
      <c r="I4210">
        <v>0</v>
      </c>
      <c r="J4210" t="s">
        <v>111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23</v>
      </c>
      <c r="R4210">
        <v>0</v>
      </c>
    </row>
    <row r="4211" spans="1:18">
      <c r="A4211" s="4">
        <v>19645400000000</v>
      </c>
      <c r="B4211" t="s">
        <v>18</v>
      </c>
      <c r="C4211">
        <v>44</v>
      </c>
      <c r="D4211" t="s">
        <v>27</v>
      </c>
      <c r="E4211" t="s">
        <v>69</v>
      </c>
      <c r="F4211" s="1">
        <v>42503</v>
      </c>
      <c r="G4211" s="1">
        <v>42507</v>
      </c>
      <c r="H4211" t="s">
        <v>41</v>
      </c>
      <c r="I4211">
        <v>4</v>
      </c>
      <c r="J4211" t="s">
        <v>107</v>
      </c>
      <c r="K4211">
        <v>0</v>
      </c>
      <c r="L4211">
        <v>1</v>
      </c>
      <c r="M4211">
        <v>0</v>
      </c>
      <c r="N4211">
        <v>0</v>
      </c>
      <c r="O4211">
        <v>0</v>
      </c>
      <c r="P4211">
        <v>0</v>
      </c>
      <c r="Q4211" t="s">
        <v>23</v>
      </c>
      <c r="R4211">
        <v>0</v>
      </c>
    </row>
    <row r="4212" spans="1:18">
      <c r="A4212" s="4">
        <v>22698900000000</v>
      </c>
      <c r="B4212" t="s">
        <v>28</v>
      </c>
      <c r="C4212">
        <v>38</v>
      </c>
      <c r="D4212" t="s">
        <v>27</v>
      </c>
      <c r="E4212" t="s">
        <v>103</v>
      </c>
      <c r="F4212" s="1">
        <v>42503</v>
      </c>
      <c r="G4212" s="1">
        <v>42510</v>
      </c>
      <c r="H4212" t="s">
        <v>21</v>
      </c>
      <c r="I4212">
        <v>7</v>
      </c>
      <c r="J4212" t="s">
        <v>107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26</v>
      </c>
      <c r="R4212">
        <v>1</v>
      </c>
    </row>
    <row r="4213" spans="1:18">
      <c r="A4213" s="4">
        <v>38899500000000</v>
      </c>
      <c r="B4213" t="s">
        <v>18</v>
      </c>
      <c r="C4213">
        <v>68</v>
      </c>
      <c r="D4213" t="s">
        <v>19</v>
      </c>
      <c r="E4213" t="s">
        <v>105</v>
      </c>
      <c r="F4213" s="1">
        <v>42503</v>
      </c>
      <c r="G4213" s="1">
        <v>42506</v>
      </c>
      <c r="H4213" t="s">
        <v>30</v>
      </c>
      <c r="I4213">
        <v>3</v>
      </c>
      <c r="J4213" t="s">
        <v>109</v>
      </c>
      <c r="K4213">
        <v>0</v>
      </c>
      <c r="L4213">
        <v>1</v>
      </c>
      <c r="M4213">
        <v>1</v>
      </c>
      <c r="N4213">
        <v>0</v>
      </c>
      <c r="O4213">
        <v>0</v>
      </c>
      <c r="P4213">
        <v>0</v>
      </c>
      <c r="Q4213" t="s">
        <v>23</v>
      </c>
      <c r="R4213">
        <v>0</v>
      </c>
    </row>
    <row r="4214" spans="1:18">
      <c r="A4214" s="4">
        <v>1383910000000</v>
      </c>
      <c r="B4214" t="s">
        <v>28</v>
      </c>
      <c r="C4214">
        <v>45</v>
      </c>
      <c r="D4214" t="s">
        <v>27</v>
      </c>
      <c r="E4214" t="s">
        <v>59</v>
      </c>
      <c r="F4214" s="1">
        <v>42503</v>
      </c>
      <c r="G4214" s="1">
        <v>42503</v>
      </c>
      <c r="H4214" t="s">
        <v>21</v>
      </c>
      <c r="I4214">
        <v>0</v>
      </c>
      <c r="J4214" t="s">
        <v>111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23</v>
      </c>
      <c r="R4214">
        <v>0</v>
      </c>
    </row>
    <row r="4215" spans="1:18">
      <c r="A4215" s="4">
        <v>48565700000000</v>
      </c>
      <c r="B4215" t="s">
        <v>18</v>
      </c>
      <c r="C4215">
        <v>56</v>
      </c>
      <c r="D4215" t="s">
        <v>35</v>
      </c>
      <c r="E4215" t="s">
        <v>79</v>
      </c>
      <c r="F4215" s="1">
        <v>42503</v>
      </c>
      <c r="G4215" s="1">
        <v>42507</v>
      </c>
      <c r="H4215" t="s">
        <v>41</v>
      </c>
      <c r="I4215">
        <v>4</v>
      </c>
      <c r="J4215" t="s">
        <v>107</v>
      </c>
      <c r="K4215">
        <v>0</v>
      </c>
      <c r="L4215">
        <v>1</v>
      </c>
      <c r="M4215">
        <v>1</v>
      </c>
      <c r="N4215">
        <v>1</v>
      </c>
      <c r="O4215">
        <v>0</v>
      </c>
      <c r="P4215">
        <v>0</v>
      </c>
      <c r="Q4215" t="s">
        <v>23</v>
      </c>
      <c r="R4215">
        <v>0</v>
      </c>
    </row>
    <row r="4216" spans="1:18">
      <c r="A4216" s="4">
        <v>27169400000000</v>
      </c>
      <c r="B4216" t="s">
        <v>18</v>
      </c>
      <c r="C4216">
        <v>57</v>
      </c>
      <c r="D4216" t="s">
        <v>35</v>
      </c>
      <c r="E4216" t="s">
        <v>58</v>
      </c>
      <c r="F4216" s="1">
        <v>42503</v>
      </c>
      <c r="G4216" s="1">
        <v>42506</v>
      </c>
      <c r="H4216" t="s">
        <v>30</v>
      </c>
      <c r="I4216">
        <v>3</v>
      </c>
      <c r="J4216" t="s">
        <v>109</v>
      </c>
      <c r="K4216">
        <v>0</v>
      </c>
      <c r="L4216">
        <v>0</v>
      </c>
      <c r="M4216">
        <v>0</v>
      </c>
      <c r="N4216">
        <v>0</v>
      </c>
      <c r="O4216">
        <v>1</v>
      </c>
      <c r="P4216">
        <v>0</v>
      </c>
      <c r="Q4216" t="s">
        <v>23</v>
      </c>
      <c r="R4216">
        <v>0</v>
      </c>
    </row>
    <row r="4217" spans="1:18">
      <c r="A4217" s="4">
        <v>7837850000000</v>
      </c>
      <c r="B4217" t="s">
        <v>18</v>
      </c>
      <c r="C4217">
        <v>1</v>
      </c>
      <c r="D4217" t="s">
        <v>31</v>
      </c>
      <c r="E4217" t="s">
        <v>40</v>
      </c>
      <c r="F4217" s="1">
        <v>42503</v>
      </c>
      <c r="G4217" s="1">
        <v>42503</v>
      </c>
      <c r="H4217" t="s">
        <v>21</v>
      </c>
      <c r="I4217">
        <v>0</v>
      </c>
      <c r="J4217" t="s">
        <v>111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23</v>
      </c>
      <c r="R4217">
        <v>0</v>
      </c>
    </row>
    <row r="4218" spans="1:18">
      <c r="A4218" s="4">
        <v>46363300000000</v>
      </c>
      <c r="B4218" t="s">
        <v>28</v>
      </c>
      <c r="C4218">
        <v>16</v>
      </c>
      <c r="D4218" t="s">
        <v>60</v>
      </c>
      <c r="E4218" t="s">
        <v>85</v>
      </c>
      <c r="F4218" s="1">
        <v>42503</v>
      </c>
      <c r="G4218" s="1">
        <v>42522</v>
      </c>
      <c r="H4218" t="s">
        <v>25</v>
      </c>
      <c r="I4218">
        <v>19</v>
      </c>
      <c r="J4218" t="s">
        <v>77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26</v>
      </c>
      <c r="R4218">
        <v>1</v>
      </c>
    </row>
    <row r="4219" spans="1:18">
      <c r="A4219" s="4">
        <v>8246270000000</v>
      </c>
      <c r="B4219" t="s">
        <v>18</v>
      </c>
      <c r="C4219">
        <v>1</v>
      </c>
      <c r="D4219" t="s">
        <v>31</v>
      </c>
      <c r="E4219" t="s">
        <v>43</v>
      </c>
      <c r="F4219" s="1">
        <v>42503</v>
      </c>
      <c r="G4219" s="1">
        <v>42506</v>
      </c>
      <c r="H4219" t="s">
        <v>30</v>
      </c>
      <c r="I4219">
        <v>3</v>
      </c>
      <c r="J4219" t="s">
        <v>109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23</v>
      </c>
      <c r="R4219">
        <v>0</v>
      </c>
    </row>
    <row r="4220" spans="1:18">
      <c r="A4220" s="4">
        <v>515790000000000</v>
      </c>
      <c r="B4220" t="s">
        <v>28</v>
      </c>
      <c r="C4220">
        <v>42</v>
      </c>
      <c r="D4220" t="s">
        <v>27</v>
      </c>
      <c r="E4220" t="s">
        <v>61</v>
      </c>
      <c r="F4220" s="1">
        <v>42503</v>
      </c>
      <c r="G4220" s="1">
        <v>42503</v>
      </c>
      <c r="H4220" t="s">
        <v>21</v>
      </c>
      <c r="I4220">
        <v>0</v>
      </c>
      <c r="J4220" t="s">
        <v>111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23</v>
      </c>
      <c r="R4220">
        <v>0</v>
      </c>
    </row>
    <row r="4221" spans="1:18">
      <c r="A4221" s="4">
        <v>35914500000000</v>
      </c>
      <c r="B4221" t="s">
        <v>18</v>
      </c>
      <c r="C4221">
        <v>14</v>
      </c>
      <c r="D4221" t="s">
        <v>60</v>
      </c>
      <c r="E4221" t="s">
        <v>47</v>
      </c>
      <c r="F4221" s="1">
        <v>42503</v>
      </c>
      <c r="G4221" s="1">
        <v>42506</v>
      </c>
      <c r="H4221" t="s">
        <v>30</v>
      </c>
      <c r="I4221">
        <v>3</v>
      </c>
      <c r="J4221" t="s">
        <v>109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26</v>
      </c>
      <c r="R4221">
        <v>1</v>
      </c>
    </row>
    <row r="4222" spans="1:18">
      <c r="A4222" s="4">
        <v>751164000000000</v>
      </c>
      <c r="B4222" t="s">
        <v>28</v>
      </c>
      <c r="C4222">
        <v>75</v>
      </c>
      <c r="D4222" t="s">
        <v>19</v>
      </c>
      <c r="E4222" t="s">
        <v>52</v>
      </c>
      <c r="F4222" s="1">
        <v>42503</v>
      </c>
      <c r="G4222" s="1">
        <v>42522</v>
      </c>
      <c r="H4222" t="s">
        <v>25</v>
      </c>
      <c r="I4222">
        <v>19</v>
      </c>
      <c r="J4222" t="s">
        <v>77</v>
      </c>
      <c r="K4222">
        <v>0</v>
      </c>
      <c r="L4222">
        <v>0</v>
      </c>
      <c r="M4222">
        <v>1</v>
      </c>
      <c r="N4222">
        <v>0</v>
      </c>
      <c r="O4222">
        <v>0</v>
      </c>
      <c r="P4222">
        <v>0</v>
      </c>
      <c r="Q4222" t="s">
        <v>23</v>
      </c>
      <c r="R4222">
        <v>0</v>
      </c>
    </row>
    <row r="4223" spans="1:18">
      <c r="A4223" s="4">
        <v>2494770000000</v>
      </c>
      <c r="B4223" t="s">
        <v>18</v>
      </c>
      <c r="C4223">
        <v>45</v>
      </c>
      <c r="D4223" t="s">
        <v>27</v>
      </c>
      <c r="E4223" t="s">
        <v>47</v>
      </c>
      <c r="F4223" s="1">
        <v>42503</v>
      </c>
      <c r="G4223" s="1">
        <v>42507</v>
      </c>
      <c r="H4223" t="s">
        <v>41</v>
      </c>
      <c r="I4223">
        <v>4</v>
      </c>
      <c r="J4223" t="s">
        <v>107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23</v>
      </c>
      <c r="R4223">
        <v>0</v>
      </c>
    </row>
    <row r="4224" spans="1:18">
      <c r="A4224" s="4">
        <v>3685860000000</v>
      </c>
      <c r="B4224" t="s">
        <v>28</v>
      </c>
      <c r="C4224">
        <v>45</v>
      </c>
      <c r="D4224" t="s">
        <v>27</v>
      </c>
      <c r="E4224" t="s">
        <v>66</v>
      </c>
      <c r="F4224" s="1">
        <v>42503</v>
      </c>
      <c r="G4224" s="1">
        <v>42503</v>
      </c>
      <c r="H4224" t="s">
        <v>21</v>
      </c>
      <c r="I4224">
        <v>0</v>
      </c>
      <c r="J4224" t="s">
        <v>111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23</v>
      </c>
      <c r="R4224">
        <v>0</v>
      </c>
    </row>
    <row r="4225" spans="1:18">
      <c r="A4225" s="4">
        <v>6617230000000</v>
      </c>
      <c r="B4225" t="s">
        <v>18</v>
      </c>
      <c r="C4225">
        <v>6</v>
      </c>
      <c r="D4225" t="s">
        <v>31</v>
      </c>
      <c r="E4225" t="s">
        <v>75</v>
      </c>
      <c r="F4225" s="1">
        <v>42503</v>
      </c>
      <c r="G4225" s="1">
        <v>42510</v>
      </c>
      <c r="H4225" t="s">
        <v>21</v>
      </c>
      <c r="I4225">
        <v>7</v>
      </c>
      <c r="J4225" t="s">
        <v>107</v>
      </c>
      <c r="K4225">
        <v>1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26</v>
      </c>
      <c r="R4225">
        <v>1</v>
      </c>
    </row>
    <row r="4226" spans="1:18">
      <c r="A4226" s="4">
        <v>97292600000000</v>
      </c>
      <c r="B4226" t="s">
        <v>18</v>
      </c>
      <c r="C4226">
        <v>49</v>
      </c>
      <c r="D4226" t="s">
        <v>27</v>
      </c>
      <c r="E4226" t="s">
        <v>56</v>
      </c>
      <c r="F4226" s="1">
        <v>42503</v>
      </c>
      <c r="G4226" s="1">
        <v>42529</v>
      </c>
      <c r="H4226" t="s">
        <v>25</v>
      </c>
      <c r="I4226">
        <v>26</v>
      </c>
      <c r="J4226" t="s">
        <v>77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23</v>
      </c>
      <c r="R4226">
        <v>0</v>
      </c>
    </row>
    <row r="4227" spans="1:18">
      <c r="A4227" s="4">
        <v>952893000000</v>
      </c>
      <c r="B4227" t="s">
        <v>28</v>
      </c>
      <c r="C4227">
        <v>31</v>
      </c>
      <c r="D4227" t="s">
        <v>37</v>
      </c>
      <c r="E4227" t="s">
        <v>50</v>
      </c>
      <c r="F4227" s="1">
        <v>42503</v>
      </c>
      <c r="G4227" s="1">
        <v>42503</v>
      </c>
      <c r="H4227" t="s">
        <v>21</v>
      </c>
      <c r="I4227">
        <v>0</v>
      </c>
      <c r="J4227" t="s">
        <v>111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23</v>
      </c>
      <c r="R4227">
        <v>0</v>
      </c>
    </row>
    <row r="4228" spans="1:18">
      <c r="A4228" s="4">
        <v>714413000000</v>
      </c>
      <c r="B4228" t="s">
        <v>28</v>
      </c>
      <c r="C4228">
        <v>68</v>
      </c>
      <c r="D4228" t="s">
        <v>19</v>
      </c>
      <c r="E4228" t="s">
        <v>55</v>
      </c>
      <c r="F4228" s="1">
        <v>42503</v>
      </c>
      <c r="G4228" s="1">
        <v>42503</v>
      </c>
      <c r="H4228" t="s">
        <v>21</v>
      </c>
      <c r="I4228">
        <v>0</v>
      </c>
      <c r="J4228" t="s">
        <v>111</v>
      </c>
      <c r="K4228">
        <v>0</v>
      </c>
      <c r="L4228">
        <v>1</v>
      </c>
      <c r="M4228">
        <v>0</v>
      </c>
      <c r="N4228">
        <v>0</v>
      </c>
      <c r="O4228">
        <v>0</v>
      </c>
      <c r="P4228">
        <v>0</v>
      </c>
      <c r="Q4228" t="s">
        <v>23</v>
      </c>
      <c r="R4228">
        <v>0</v>
      </c>
    </row>
    <row r="4229" spans="1:18">
      <c r="A4229" s="4">
        <v>35676300000000</v>
      </c>
      <c r="B4229" t="s">
        <v>28</v>
      </c>
      <c r="C4229">
        <v>49</v>
      </c>
      <c r="D4229" t="s">
        <v>27</v>
      </c>
      <c r="E4229" t="s">
        <v>68</v>
      </c>
      <c r="F4229" s="1">
        <v>42503</v>
      </c>
      <c r="G4229" s="1">
        <v>42510</v>
      </c>
      <c r="H4229" t="s">
        <v>21</v>
      </c>
      <c r="I4229">
        <v>7</v>
      </c>
      <c r="J4229" t="s">
        <v>107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23</v>
      </c>
      <c r="R4229">
        <v>0</v>
      </c>
    </row>
    <row r="4230" spans="1:18">
      <c r="A4230" s="4">
        <v>189645000000000</v>
      </c>
      <c r="B4230" t="s">
        <v>18</v>
      </c>
      <c r="C4230">
        <v>32</v>
      </c>
      <c r="D4230" t="s">
        <v>37</v>
      </c>
      <c r="E4230" t="s">
        <v>70</v>
      </c>
      <c r="F4230" s="1">
        <v>42503</v>
      </c>
      <c r="G4230" s="1">
        <v>42503</v>
      </c>
      <c r="H4230" t="s">
        <v>21</v>
      </c>
      <c r="I4230">
        <v>0</v>
      </c>
      <c r="J4230" t="s">
        <v>111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23</v>
      </c>
      <c r="R4230">
        <v>0</v>
      </c>
    </row>
    <row r="4231" spans="1:18">
      <c r="A4231" s="4">
        <v>257773000000000</v>
      </c>
      <c r="B4231" t="s">
        <v>18</v>
      </c>
      <c r="C4231">
        <v>18</v>
      </c>
      <c r="D4231" t="s">
        <v>37</v>
      </c>
      <c r="E4231" t="s">
        <v>72</v>
      </c>
      <c r="F4231" s="1">
        <v>42503</v>
      </c>
      <c r="G4231" s="1">
        <v>42503</v>
      </c>
      <c r="H4231" t="s">
        <v>21</v>
      </c>
      <c r="I4231">
        <v>0</v>
      </c>
      <c r="J4231" t="s">
        <v>111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23</v>
      </c>
      <c r="R4231">
        <v>0</v>
      </c>
    </row>
    <row r="4232" spans="1:18">
      <c r="A4232" s="4">
        <v>387484000000000</v>
      </c>
      <c r="B4232" t="s">
        <v>18</v>
      </c>
      <c r="C4232">
        <v>10</v>
      </c>
      <c r="D4232" t="s">
        <v>31</v>
      </c>
      <c r="E4232" t="s">
        <v>40</v>
      </c>
      <c r="F4232" s="1">
        <v>42503</v>
      </c>
      <c r="G4232" s="1">
        <v>42506</v>
      </c>
      <c r="H4232" t="s">
        <v>30</v>
      </c>
      <c r="I4232">
        <v>3</v>
      </c>
      <c r="J4232" t="s">
        <v>109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23</v>
      </c>
      <c r="R4232">
        <v>0</v>
      </c>
    </row>
    <row r="4233" spans="1:18">
      <c r="A4233" s="4">
        <v>3796820000000</v>
      </c>
      <c r="B4233" t="s">
        <v>18</v>
      </c>
      <c r="C4233">
        <v>66</v>
      </c>
      <c r="D4233" t="s">
        <v>19</v>
      </c>
      <c r="E4233" t="s">
        <v>32</v>
      </c>
      <c r="F4233" s="1">
        <v>42503</v>
      </c>
      <c r="G4233" s="1">
        <v>42507</v>
      </c>
      <c r="H4233" t="s">
        <v>41</v>
      </c>
      <c r="I4233">
        <v>4</v>
      </c>
      <c r="J4233" t="s">
        <v>107</v>
      </c>
      <c r="K4233">
        <v>0</v>
      </c>
      <c r="L4233">
        <v>1</v>
      </c>
      <c r="M4233">
        <v>0</v>
      </c>
      <c r="N4233">
        <v>0</v>
      </c>
      <c r="O4233">
        <v>0</v>
      </c>
      <c r="P4233">
        <v>0</v>
      </c>
      <c r="Q4233" t="s">
        <v>23</v>
      </c>
      <c r="R4233">
        <v>0</v>
      </c>
    </row>
    <row r="4234" spans="1:18">
      <c r="A4234" s="4">
        <v>528184000000000</v>
      </c>
      <c r="B4234" t="s">
        <v>28</v>
      </c>
      <c r="C4234">
        <v>38</v>
      </c>
      <c r="D4234" t="s">
        <v>27</v>
      </c>
      <c r="E4234" t="s">
        <v>36</v>
      </c>
      <c r="F4234" s="1">
        <v>42503</v>
      </c>
      <c r="G4234" s="1">
        <v>42503</v>
      </c>
      <c r="H4234" t="s">
        <v>21</v>
      </c>
      <c r="I4234">
        <v>0</v>
      </c>
      <c r="J4234" t="s">
        <v>111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23</v>
      </c>
      <c r="R4234">
        <v>0</v>
      </c>
    </row>
    <row r="4235" spans="1:18">
      <c r="A4235" s="4">
        <v>596665000000</v>
      </c>
      <c r="B4235" t="s">
        <v>18</v>
      </c>
      <c r="C4235">
        <v>77</v>
      </c>
      <c r="D4235" t="s">
        <v>19</v>
      </c>
      <c r="E4235" t="s">
        <v>97</v>
      </c>
      <c r="F4235" s="1">
        <v>42503</v>
      </c>
      <c r="G4235" s="1">
        <v>42521</v>
      </c>
      <c r="H4235" t="s">
        <v>41</v>
      </c>
      <c r="I4235">
        <v>18</v>
      </c>
      <c r="J4235" t="s">
        <v>77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23</v>
      </c>
      <c r="R4235">
        <v>0</v>
      </c>
    </row>
    <row r="4236" spans="1:18">
      <c r="A4236" s="4">
        <v>9462530000000</v>
      </c>
      <c r="B4236" t="s">
        <v>18</v>
      </c>
      <c r="C4236">
        <v>28</v>
      </c>
      <c r="D4236" t="s">
        <v>37</v>
      </c>
      <c r="E4236" t="s">
        <v>72</v>
      </c>
      <c r="F4236" s="1">
        <v>42503</v>
      </c>
      <c r="G4236" s="1">
        <v>42503</v>
      </c>
      <c r="H4236" t="s">
        <v>21</v>
      </c>
      <c r="I4236">
        <v>0</v>
      </c>
      <c r="J4236" t="s">
        <v>111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23</v>
      </c>
      <c r="R4236">
        <v>0</v>
      </c>
    </row>
    <row r="4237" spans="1:18">
      <c r="A4237" s="4">
        <v>3417840000000</v>
      </c>
      <c r="B4237" t="s">
        <v>18</v>
      </c>
      <c r="C4237">
        <v>61</v>
      </c>
      <c r="D4237" t="s">
        <v>35</v>
      </c>
      <c r="E4237" t="s">
        <v>97</v>
      </c>
      <c r="F4237" s="1">
        <v>42503</v>
      </c>
      <c r="G4237" s="1">
        <v>42503</v>
      </c>
      <c r="H4237" t="s">
        <v>21</v>
      </c>
      <c r="I4237">
        <v>0</v>
      </c>
      <c r="J4237" t="s">
        <v>111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23</v>
      </c>
      <c r="R4237">
        <v>0</v>
      </c>
    </row>
    <row r="4238" spans="1:18">
      <c r="A4238" s="4">
        <v>8497360000000</v>
      </c>
      <c r="B4238" t="s">
        <v>18</v>
      </c>
      <c r="C4238">
        <v>1</v>
      </c>
      <c r="D4238" t="s">
        <v>31</v>
      </c>
      <c r="E4238" t="s">
        <v>67</v>
      </c>
      <c r="F4238" s="1">
        <v>42503</v>
      </c>
      <c r="G4238" s="1">
        <v>42503</v>
      </c>
      <c r="H4238" t="s">
        <v>21</v>
      </c>
      <c r="I4238">
        <v>0</v>
      </c>
      <c r="J4238" t="s">
        <v>111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23</v>
      </c>
      <c r="R4238">
        <v>0</v>
      </c>
    </row>
    <row r="4239" spans="1:18">
      <c r="A4239" s="4">
        <v>66431200000000</v>
      </c>
      <c r="B4239" t="s">
        <v>18</v>
      </c>
      <c r="C4239">
        <v>77</v>
      </c>
      <c r="D4239" t="s">
        <v>19</v>
      </c>
      <c r="E4239" t="s">
        <v>50</v>
      </c>
      <c r="F4239" s="1">
        <v>42503</v>
      </c>
      <c r="G4239" s="1">
        <v>42507</v>
      </c>
      <c r="H4239" t="s">
        <v>41</v>
      </c>
      <c r="I4239">
        <v>4</v>
      </c>
      <c r="J4239" t="s">
        <v>107</v>
      </c>
      <c r="K4239">
        <v>0</v>
      </c>
      <c r="L4239">
        <v>1</v>
      </c>
      <c r="M4239">
        <v>0</v>
      </c>
      <c r="N4239">
        <v>0</v>
      </c>
      <c r="O4239">
        <v>0</v>
      </c>
      <c r="P4239">
        <v>0</v>
      </c>
      <c r="Q4239" t="s">
        <v>26</v>
      </c>
      <c r="R4239">
        <v>1</v>
      </c>
    </row>
    <row r="4240" spans="1:18">
      <c r="A4240" s="4">
        <v>64199700000000</v>
      </c>
      <c r="B4240" t="s">
        <v>28</v>
      </c>
      <c r="C4240">
        <v>1</v>
      </c>
      <c r="D4240" t="s">
        <v>31</v>
      </c>
      <c r="E4240" t="s">
        <v>95</v>
      </c>
      <c r="F4240" s="1">
        <v>42503</v>
      </c>
      <c r="G4240" s="1">
        <v>42503</v>
      </c>
      <c r="H4240" t="s">
        <v>21</v>
      </c>
      <c r="I4240">
        <v>0</v>
      </c>
      <c r="J4240" t="s">
        <v>111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23</v>
      </c>
      <c r="R4240">
        <v>0</v>
      </c>
    </row>
    <row r="4241" spans="1:18">
      <c r="A4241" s="4">
        <v>66883300000000</v>
      </c>
      <c r="B4241" t="s">
        <v>18</v>
      </c>
      <c r="C4241">
        <v>56</v>
      </c>
      <c r="D4241" t="s">
        <v>35</v>
      </c>
      <c r="E4241" t="s">
        <v>40</v>
      </c>
      <c r="F4241" s="1">
        <v>42503</v>
      </c>
      <c r="G4241" s="1">
        <v>42503</v>
      </c>
      <c r="H4241" t="s">
        <v>21</v>
      </c>
      <c r="I4241">
        <v>0</v>
      </c>
      <c r="J4241" t="s">
        <v>111</v>
      </c>
      <c r="K4241">
        <v>0</v>
      </c>
      <c r="L4241">
        <v>1</v>
      </c>
      <c r="M4241">
        <v>0</v>
      </c>
      <c r="N4241">
        <v>0</v>
      </c>
      <c r="O4241">
        <v>0</v>
      </c>
      <c r="P4241">
        <v>0</v>
      </c>
      <c r="Q4241" t="s">
        <v>23</v>
      </c>
      <c r="R4241">
        <v>0</v>
      </c>
    </row>
    <row r="4242" spans="1:18">
      <c r="A4242" s="4">
        <v>43314300000000</v>
      </c>
      <c r="B4242" t="s">
        <v>28</v>
      </c>
      <c r="C4242">
        <v>8</v>
      </c>
      <c r="D4242" t="s">
        <v>31</v>
      </c>
      <c r="E4242" t="s">
        <v>106</v>
      </c>
      <c r="F4242" s="1">
        <v>42503</v>
      </c>
      <c r="G4242" s="1">
        <v>42524</v>
      </c>
      <c r="H4242" t="s">
        <v>21</v>
      </c>
      <c r="I4242">
        <v>21</v>
      </c>
      <c r="J4242" t="s">
        <v>77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1</v>
      </c>
      <c r="Q4242" t="s">
        <v>26</v>
      </c>
      <c r="R4242">
        <v>1</v>
      </c>
    </row>
    <row r="4243" spans="1:18">
      <c r="A4243" s="4">
        <v>393789000000000</v>
      </c>
      <c r="B4243" t="s">
        <v>18</v>
      </c>
      <c r="C4243">
        <v>45</v>
      </c>
      <c r="D4243" t="s">
        <v>27</v>
      </c>
      <c r="E4243" t="s">
        <v>64</v>
      </c>
      <c r="F4243" s="1">
        <v>42503</v>
      </c>
      <c r="G4243" s="1">
        <v>42503</v>
      </c>
      <c r="H4243" t="s">
        <v>21</v>
      </c>
      <c r="I4243">
        <v>0</v>
      </c>
      <c r="J4243" t="s">
        <v>111</v>
      </c>
      <c r="K4243">
        <v>0</v>
      </c>
      <c r="L4243">
        <v>1</v>
      </c>
      <c r="M4243">
        <v>0</v>
      </c>
      <c r="N4243">
        <v>0</v>
      </c>
      <c r="O4243">
        <v>0</v>
      </c>
      <c r="P4243">
        <v>0</v>
      </c>
      <c r="Q4243" t="s">
        <v>23</v>
      </c>
      <c r="R4243">
        <v>0</v>
      </c>
    </row>
    <row r="4244" spans="1:18">
      <c r="A4244" s="4">
        <v>74664400000000</v>
      </c>
      <c r="B4244" t="s">
        <v>28</v>
      </c>
      <c r="C4244">
        <v>71</v>
      </c>
      <c r="D4244" t="s">
        <v>19</v>
      </c>
      <c r="E4244" t="s">
        <v>29</v>
      </c>
      <c r="F4244" s="1">
        <v>42503</v>
      </c>
      <c r="G4244" s="1">
        <v>42507</v>
      </c>
      <c r="H4244" t="s">
        <v>41</v>
      </c>
      <c r="I4244">
        <v>4</v>
      </c>
      <c r="J4244" t="s">
        <v>107</v>
      </c>
      <c r="K4244">
        <v>0</v>
      </c>
      <c r="L4244">
        <v>1</v>
      </c>
      <c r="M4244">
        <v>1</v>
      </c>
      <c r="N4244">
        <v>0</v>
      </c>
      <c r="O4244">
        <v>0</v>
      </c>
      <c r="P4244">
        <v>0</v>
      </c>
      <c r="Q4244" t="s">
        <v>23</v>
      </c>
      <c r="R4244">
        <v>0</v>
      </c>
    </row>
    <row r="4245" spans="1:18">
      <c r="A4245" s="4">
        <v>49695500000000</v>
      </c>
      <c r="B4245" t="s">
        <v>18</v>
      </c>
      <c r="C4245">
        <v>13</v>
      </c>
      <c r="D4245" t="s">
        <v>60</v>
      </c>
      <c r="E4245" t="s">
        <v>74</v>
      </c>
      <c r="F4245" s="1">
        <v>42503</v>
      </c>
      <c r="G4245" s="1">
        <v>42507</v>
      </c>
      <c r="H4245" t="s">
        <v>41</v>
      </c>
      <c r="I4245">
        <v>4</v>
      </c>
      <c r="J4245" t="s">
        <v>107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23</v>
      </c>
      <c r="R4245">
        <v>0</v>
      </c>
    </row>
    <row r="4246" spans="1:18">
      <c r="A4246" s="4">
        <v>821891000000000</v>
      </c>
      <c r="B4246" t="s">
        <v>18</v>
      </c>
      <c r="C4246">
        <v>62</v>
      </c>
      <c r="D4246" t="s">
        <v>35</v>
      </c>
      <c r="E4246" t="s">
        <v>71</v>
      </c>
      <c r="F4246" s="1">
        <v>42503</v>
      </c>
      <c r="G4246" s="1">
        <v>42524</v>
      </c>
      <c r="H4246" t="s">
        <v>21</v>
      </c>
      <c r="I4246">
        <v>21</v>
      </c>
      <c r="J4246" t="s">
        <v>77</v>
      </c>
      <c r="K4246">
        <v>0</v>
      </c>
      <c r="L4246">
        <v>1</v>
      </c>
      <c r="M4246">
        <v>0</v>
      </c>
      <c r="N4246">
        <v>0</v>
      </c>
      <c r="O4246">
        <v>0</v>
      </c>
      <c r="P4246">
        <v>1</v>
      </c>
      <c r="Q4246" t="s">
        <v>23</v>
      </c>
      <c r="R4246">
        <v>0</v>
      </c>
    </row>
    <row r="4247" spans="1:18">
      <c r="A4247" s="4">
        <v>49641100000000</v>
      </c>
      <c r="B4247" t="s">
        <v>18</v>
      </c>
      <c r="C4247">
        <v>47</v>
      </c>
      <c r="D4247" t="s">
        <v>27</v>
      </c>
      <c r="E4247" t="s">
        <v>36</v>
      </c>
      <c r="F4247" s="1">
        <v>42503</v>
      </c>
      <c r="G4247" s="1">
        <v>42529</v>
      </c>
      <c r="H4247" t="s">
        <v>25</v>
      </c>
      <c r="I4247">
        <v>26</v>
      </c>
      <c r="J4247" t="s">
        <v>77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1</v>
      </c>
      <c r="Q4247" t="s">
        <v>23</v>
      </c>
      <c r="R4247">
        <v>0</v>
      </c>
    </row>
    <row r="4248" spans="1:18">
      <c r="A4248" s="4">
        <v>5296610000000</v>
      </c>
      <c r="B4248" t="s">
        <v>18</v>
      </c>
      <c r="C4248">
        <v>52</v>
      </c>
      <c r="D4248" t="s">
        <v>35</v>
      </c>
      <c r="E4248" t="s">
        <v>100</v>
      </c>
      <c r="F4248" s="1">
        <v>42503</v>
      </c>
      <c r="G4248" s="1">
        <v>42506</v>
      </c>
      <c r="H4248" t="s">
        <v>30</v>
      </c>
      <c r="I4248">
        <v>3</v>
      </c>
      <c r="J4248" t="s">
        <v>109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23</v>
      </c>
      <c r="R4248">
        <v>0</v>
      </c>
    </row>
    <row r="4249" spans="1:18">
      <c r="A4249" s="4">
        <v>111578000000000</v>
      </c>
      <c r="B4249" t="s">
        <v>18</v>
      </c>
      <c r="C4249">
        <v>32</v>
      </c>
      <c r="D4249" t="s">
        <v>37</v>
      </c>
      <c r="E4249" t="s">
        <v>50</v>
      </c>
      <c r="F4249" s="1">
        <v>42503</v>
      </c>
      <c r="G4249" s="1">
        <v>42508</v>
      </c>
      <c r="H4249" t="s">
        <v>25</v>
      </c>
      <c r="I4249">
        <v>5</v>
      </c>
      <c r="J4249" t="s">
        <v>107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23</v>
      </c>
      <c r="R4249">
        <v>0</v>
      </c>
    </row>
    <row r="4250" spans="1:18">
      <c r="A4250" s="4">
        <v>51442100000000</v>
      </c>
      <c r="B4250" t="s">
        <v>18</v>
      </c>
      <c r="C4250">
        <v>36</v>
      </c>
      <c r="D4250" t="s">
        <v>27</v>
      </c>
      <c r="E4250" t="s">
        <v>106</v>
      </c>
      <c r="F4250" s="1">
        <v>42503</v>
      </c>
      <c r="G4250" s="1">
        <v>42503</v>
      </c>
      <c r="H4250" t="s">
        <v>21</v>
      </c>
      <c r="I4250">
        <v>0</v>
      </c>
      <c r="J4250" t="s">
        <v>111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23</v>
      </c>
      <c r="R4250">
        <v>0</v>
      </c>
    </row>
    <row r="4251" spans="1:18">
      <c r="A4251" s="4">
        <v>53469700000000</v>
      </c>
      <c r="B4251" t="s">
        <v>18</v>
      </c>
      <c r="C4251">
        <v>15</v>
      </c>
      <c r="D4251" t="s">
        <v>60</v>
      </c>
      <c r="E4251" t="s">
        <v>50</v>
      </c>
      <c r="F4251" s="1">
        <v>42503</v>
      </c>
      <c r="G4251" s="1">
        <v>42503</v>
      </c>
      <c r="H4251" t="s">
        <v>21</v>
      </c>
      <c r="I4251">
        <v>0</v>
      </c>
      <c r="J4251" t="s">
        <v>111</v>
      </c>
      <c r="K4251">
        <v>1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23</v>
      </c>
      <c r="R4251">
        <v>0</v>
      </c>
    </row>
    <row r="4252" spans="1:18">
      <c r="A4252" s="4">
        <v>8761860000000</v>
      </c>
      <c r="B4252" t="s">
        <v>18</v>
      </c>
      <c r="C4252">
        <v>48</v>
      </c>
      <c r="D4252" t="s">
        <v>27</v>
      </c>
      <c r="E4252" t="s">
        <v>73</v>
      </c>
      <c r="F4252" s="1">
        <v>42503</v>
      </c>
      <c r="G4252" s="1">
        <v>42507</v>
      </c>
      <c r="H4252" t="s">
        <v>41</v>
      </c>
      <c r="I4252">
        <v>4</v>
      </c>
      <c r="J4252" t="s">
        <v>107</v>
      </c>
      <c r="K4252">
        <v>0</v>
      </c>
      <c r="L4252">
        <v>0</v>
      </c>
      <c r="M4252">
        <v>1</v>
      </c>
      <c r="N4252">
        <v>0</v>
      </c>
      <c r="O4252">
        <v>0</v>
      </c>
      <c r="P4252">
        <v>0</v>
      </c>
      <c r="Q4252" t="s">
        <v>23</v>
      </c>
      <c r="R4252">
        <v>0</v>
      </c>
    </row>
    <row r="4253" spans="1:18">
      <c r="A4253" s="4">
        <v>87168815337</v>
      </c>
      <c r="B4253" t="s">
        <v>28</v>
      </c>
      <c r="C4253">
        <v>50</v>
      </c>
      <c r="D4253" t="s">
        <v>27</v>
      </c>
      <c r="E4253" t="s">
        <v>64</v>
      </c>
      <c r="F4253" s="1">
        <v>42503</v>
      </c>
      <c r="G4253" s="1">
        <v>42503</v>
      </c>
      <c r="H4253" t="s">
        <v>21</v>
      </c>
      <c r="I4253">
        <v>0</v>
      </c>
      <c r="J4253" t="s">
        <v>111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26</v>
      </c>
      <c r="R4253">
        <v>1</v>
      </c>
    </row>
    <row r="4254" spans="1:18">
      <c r="A4254" s="4">
        <v>8559570000000</v>
      </c>
      <c r="B4254" t="s">
        <v>18</v>
      </c>
      <c r="C4254">
        <v>34</v>
      </c>
      <c r="D4254" t="s">
        <v>37</v>
      </c>
      <c r="E4254" t="s">
        <v>50</v>
      </c>
      <c r="F4254" s="1">
        <v>42503</v>
      </c>
      <c r="G4254" s="1">
        <v>42506</v>
      </c>
      <c r="H4254" t="s">
        <v>30</v>
      </c>
      <c r="I4254">
        <v>3</v>
      </c>
      <c r="J4254" t="s">
        <v>109</v>
      </c>
      <c r="K4254">
        <v>1</v>
      </c>
      <c r="L4254">
        <v>1</v>
      </c>
      <c r="M4254">
        <v>0</v>
      </c>
      <c r="N4254">
        <v>0</v>
      </c>
      <c r="O4254">
        <v>0</v>
      </c>
      <c r="P4254">
        <v>0</v>
      </c>
      <c r="Q4254" t="s">
        <v>23</v>
      </c>
      <c r="R4254">
        <v>0</v>
      </c>
    </row>
    <row r="4255" spans="1:18">
      <c r="A4255" s="4">
        <v>4472970000000</v>
      </c>
      <c r="B4255" t="s">
        <v>18</v>
      </c>
      <c r="C4255">
        <v>67</v>
      </c>
      <c r="D4255" t="s">
        <v>19</v>
      </c>
      <c r="E4255" t="s">
        <v>67</v>
      </c>
      <c r="F4255" s="1">
        <v>42503</v>
      </c>
      <c r="G4255" s="1">
        <v>42507</v>
      </c>
      <c r="H4255" t="s">
        <v>41</v>
      </c>
      <c r="I4255">
        <v>4</v>
      </c>
      <c r="J4255" t="s">
        <v>107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23</v>
      </c>
      <c r="R4255">
        <v>0</v>
      </c>
    </row>
    <row r="4256" spans="1:18">
      <c r="A4256" s="4">
        <v>71193300000000</v>
      </c>
      <c r="B4256" t="s">
        <v>18</v>
      </c>
      <c r="C4256">
        <v>70</v>
      </c>
      <c r="D4256" t="s">
        <v>19</v>
      </c>
      <c r="E4256" t="s">
        <v>54</v>
      </c>
      <c r="F4256" s="1">
        <v>42503</v>
      </c>
      <c r="G4256" s="1">
        <v>42507</v>
      </c>
      <c r="H4256" t="s">
        <v>41</v>
      </c>
      <c r="I4256">
        <v>4</v>
      </c>
      <c r="J4256" t="s">
        <v>107</v>
      </c>
      <c r="K4256">
        <v>0</v>
      </c>
      <c r="L4256">
        <v>1</v>
      </c>
      <c r="M4256">
        <v>0</v>
      </c>
      <c r="N4256">
        <v>0</v>
      </c>
      <c r="O4256">
        <v>0</v>
      </c>
      <c r="P4256">
        <v>0</v>
      </c>
      <c r="Q4256" t="s">
        <v>26</v>
      </c>
      <c r="R4256">
        <v>1</v>
      </c>
    </row>
    <row r="4257" spans="1:18">
      <c r="A4257" s="4">
        <v>712459000000000</v>
      </c>
      <c r="B4257" t="s">
        <v>28</v>
      </c>
      <c r="C4257">
        <v>44</v>
      </c>
      <c r="D4257" t="s">
        <v>27</v>
      </c>
      <c r="E4257" t="s">
        <v>48</v>
      </c>
      <c r="F4257" s="1">
        <v>42503</v>
      </c>
      <c r="G4257" s="1">
        <v>42503</v>
      </c>
      <c r="H4257" t="s">
        <v>21</v>
      </c>
      <c r="I4257">
        <v>0</v>
      </c>
      <c r="J4257" t="s">
        <v>111</v>
      </c>
      <c r="K4257">
        <v>0</v>
      </c>
      <c r="L4257">
        <v>0</v>
      </c>
      <c r="M4257">
        <v>0</v>
      </c>
      <c r="N4257">
        <v>1</v>
      </c>
      <c r="O4257">
        <v>0</v>
      </c>
      <c r="P4257">
        <v>0</v>
      </c>
      <c r="Q4257" t="s">
        <v>23</v>
      </c>
      <c r="R4257">
        <v>0</v>
      </c>
    </row>
    <row r="4258" spans="1:18">
      <c r="A4258" s="4">
        <v>614645000000000</v>
      </c>
      <c r="B4258" t="s">
        <v>18</v>
      </c>
      <c r="C4258">
        <v>29</v>
      </c>
      <c r="D4258" t="s">
        <v>37</v>
      </c>
      <c r="E4258" t="s">
        <v>96</v>
      </c>
      <c r="F4258" s="1">
        <v>42503</v>
      </c>
      <c r="G4258" s="1">
        <v>42503</v>
      </c>
      <c r="H4258" t="s">
        <v>21</v>
      </c>
      <c r="I4258">
        <v>0</v>
      </c>
      <c r="J4258" t="s">
        <v>111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23</v>
      </c>
      <c r="R4258">
        <v>0</v>
      </c>
    </row>
    <row r="4259" spans="1:18">
      <c r="A4259" s="4">
        <v>1986120000000</v>
      </c>
      <c r="B4259" t="s">
        <v>18</v>
      </c>
      <c r="C4259">
        <v>57</v>
      </c>
      <c r="D4259" t="s">
        <v>35</v>
      </c>
      <c r="E4259" t="s">
        <v>58</v>
      </c>
      <c r="F4259" s="1">
        <v>42503</v>
      </c>
      <c r="G4259" s="1">
        <v>42503</v>
      </c>
      <c r="H4259" t="s">
        <v>21</v>
      </c>
      <c r="I4259">
        <v>0</v>
      </c>
      <c r="J4259" t="s">
        <v>111</v>
      </c>
      <c r="K4259">
        <v>0</v>
      </c>
      <c r="L4259">
        <v>1</v>
      </c>
      <c r="M4259">
        <v>1</v>
      </c>
      <c r="N4259">
        <v>0</v>
      </c>
      <c r="O4259">
        <v>0</v>
      </c>
      <c r="P4259">
        <v>0</v>
      </c>
      <c r="Q4259" t="s">
        <v>23</v>
      </c>
      <c r="R4259">
        <v>0</v>
      </c>
    </row>
    <row r="4260" spans="1:18">
      <c r="A4260" s="4">
        <v>93373500000000</v>
      </c>
      <c r="B4260" t="s">
        <v>18</v>
      </c>
      <c r="C4260">
        <v>21</v>
      </c>
      <c r="D4260" t="s">
        <v>37</v>
      </c>
      <c r="E4260" t="s">
        <v>44</v>
      </c>
      <c r="F4260" s="1">
        <v>42503</v>
      </c>
      <c r="G4260" s="1">
        <v>42510</v>
      </c>
      <c r="H4260" t="s">
        <v>21</v>
      </c>
      <c r="I4260">
        <v>7</v>
      </c>
      <c r="J4260" t="s">
        <v>107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26</v>
      </c>
      <c r="R4260">
        <v>1</v>
      </c>
    </row>
    <row r="4261" spans="1:18">
      <c r="A4261" s="4">
        <v>19451300000000</v>
      </c>
      <c r="B4261" t="s">
        <v>28</v>
      </c>
      <c r="C4261">
        <v>47</v>
      </c>
      <c r="D4261" t="s">
        <v>27</v>
      </c>
      <c r="E4261" t="s">
        <v>71</v>
      </c>
      <c r="F4261" s="1">
        <v>42503</v>
      </c>
      <c r="G4261" s="1">
        <v>42509</v>
      </c>
      <c r="H4261" t="s">
        <v>33</v>
      </c>
      <c r="I4261">
        <v>6</v>
      </c>
      <c r="J4261" t="s">
        <v>107</v>
      </c>
      <c r="K4261">
        <v>0</v>
      </c>
      <c r="L4261">
        <v>0</v>
      </c>
      <c r="M4261">
        <v>1</v>
      </c>
      <c r="N4261">
        <v>0</v>
      </c>
      <c r="O4261">
        <v>0</v>
      </c>
      <c r="P4261">
        <v>0</v>
      </c>
      <c r="Q4261" t="s">
        <v>26</v>
      </c>
      <c r="R4261">
        <v>1</v>
      </c>
    </row>
    <row r="4262" spans="1:18">
      <c r="A4262" s="4">
        <v>764591000000000</v>
      </c>
      <c r="B4262" t="s">
        <v>18</v>
      </c>
      <c r="C4262">
        <v>88</v>
      </c>
      <c r="D4262" t="s">
        <v>19</v>
      </c>
      <c r="E4262" t="s">
        <v>38</v>
      </c>
      <c r="F4262" s="1">
        <v>42503</v>
      </c>
      <c r="G4262" s="1">
        <v>42503</v>
      </c>
      <c r="H4262" t="s">
        <v>21</v>
      </c>
      <c r="I4262">
        <v>0</v>
      </c>
      <c r="J4262" t="s">
        <v>111</v>
      </c>
      <c r="K4262">
        <v>0</v>
      </c>
      <c r="L4262">
        <v>1</v>
      </c>
      <c r="M4262">
        <v>0</v>
      </c>
      <c r="N4262">
        <v>0</v>
      </c>
      <c r="O4262">
        <v>0</v>
      </c>
      <c r="P4262">
        <v>0</v>
      </c>
      <c r="Q4262" t="s">
        <v>23</v>
      </c>
      <c r="R4262">
        <v>0</v>
      </c>
    </row>
    <row r="4263" spans="1:18">
      <c r="A4263" s="4">
        <v>629324000000</v>
      </c>
      <c r="B4263" t="s">
        <v>18</v>
      </c>
      <c r="C4263">
        <v>10</v>
      </c>
      <c r="D4263" t="s">
        <v>31</v>
      </c>
      <c r="E4263" t="s">
        <v>82</v>
      </c>
      <c r="F4263" s="1">
        <v>42503</v>
      </c>
      <c r="G4263" s="1">
        <v>42523</v>
      </c>
      <c r="H4263" t="s">
        <v>33</v>
      </c>
      <c r="I4263">
        <v>20</v>
      </c>
      <c r="J4263" t="s">
        <v>77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1</v>
      </c>
      <c r="Q4263" t="s">
        <v>26</v>
      </c>
      <c r="R4263">
        <v>1</v>
      </c>
    </row>
    <row r="4264" spans="1:18">
      <c r="A4264" s="4">
        <v>27599300000000</v>
      </c>
      <c r="B4264" t="s">
        <v>28</v>
      </c>
      <c r="C4264">
        <v>1</v>
      </c>
      <c r="D4264" t="s">
        <v>31</v>
      </c>
      <c r="E4264" t="s">
        <v>105</v>
      </c>
      <c r="F4264" s="1">
        <v>42503</v>
      </c>
      <c r="G4264" s="1">
        <v>42509</v>
      </c>
      <c r="H4264" t="s">
        <v>33</v>
      </c>
      <c r="I4264">
        <v>6</v>
      </c>
      <c r="J4264" t="s">
        <v>107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23</v>
      </c>
      <c r="R4264">
        <v>0</v>
      </c>
    </row>
    <row r="4265" spans="1:18">
      <c r="A4265" s="4">
        <v>94528700000000</v>
      </c>
      <c r="B4265" t="s">
        <v>18</v>
      </c>
      <c r="C4265">
        <v>46</v>
      </c>
      <c r="D4265" t="s">
        <v>27</v>
      </c>
      <c r="E4265" t="s">
        <v>39</v>
      </c>
      <c r="F4265" s="1">
        <v>42503</v>
      </c>
      <c r="G4265" s="1">
        <v>42506</v>
      </c>
      <c r="H4265" t="s">
        <v>30</v>
      </c>
      <c r="I4265">
        <v>3</v>
      </c>
      <c r="J4265" t="s">
        <v>109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23</v>
      </c>
      <c r="R4265">
        <v>0</v>
      </c>
    </row>
    <row r="4266" spans="1:18">
      <c r="A4266" s="4">
        <v>626740000000000</v>
      </c>
      <c r="B4266" t="s">
        <v>28</v>
      </c>
      <c r="C4266">
        <v>13</v>
      </c>
      <c r="D4266" t="s">
        <v>60</v>
      </c>
      <c r="E4266" t="s">
        <v>38</v>
      </c>
      <c r="F4266" s="1">
        <v>42503</v>
      </c>
      <c r="G4266" s="1">
        <v>42503</v>
      </c>
      <c r="H4266" t="s">
        <v>21</v>
      </c>
      <c r="I4266">
        <v>0</v>
      </c>
      <c r="J4266" t="s">
        <v>111</v>
      </c>
      <c r="K4266">
        <v>1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23</v>
      </c>
      <c r="R4266">
        <v>0</v>
      </c>
    </row>
    <row r="4267" spans="1:18">
      <c r="A4267" s="4">
        <v>7693350000000</v>
      </c>
      <c r="B4267" t="s">
        <v>18</v>
      </c>
      <c r="C4267">
        <v>42</v>
      </c>
      <c r="D4267" t="s">
        <v>27</v>
      </c>
      <c r="E4267" t="s">
        <v>104</v>
      </c>
      <c r="F4267" s="1">
        <v>42503</v>
      </c>
      <c r="G4267" s="1">
        <v>42523</v>
      </c>
      <c r="H4267" t="s">
        <v>33</v>
      </c>
      <c r="I4267">
        <v>20</v>
      </c>
      <c r="J4267" t="s">
        <v>77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1</v>
      </c>
      <c r="Q4267" t="s">
        <v>23</v>
      </c>
      <c r="R4267">
        <v>0</v>
      </c>
    </row>
    <row r="4268" spans="1:18">
      <c r="A4268" s="4">
        <v>33761400000000</v>
      </c>
      <c r="B4268" t="s">
        <v>18</v>
      </c>
      <c r="C4268">
        <v>74</v>
      </c>
      <c r="D4268" t="s">
        <v>19</v>
      </c>
      <c r="E4268" t="s">
        <v>61</v>
      </c>
      <c r="F4268" s="1">
        <v>42503</v>
      </c>
      <c r="G4268" s="1">
        <v>42503</v>
      </c>
      <c r="H4268" t="s">
        <v>21</v>
      </c>
      <c r="I4268">
        <v>0</v>
      </c>
      <c r="J4268" t="s">
        <v>111</v>
      </c>
      <c r="K4268">
        <v>0</v>
      </c>
      <c r="L4268">
        <v>1</v>
      </c>
      <c r="M4268">
        <v>1</v>
      </c>
      <c r="N4268">
        <v>0</v>
      </c>
      <c r="O4268">
        <v>0</v>
      </c>
      <c r="P4268">
        <v>0</v>
      </c>
      <c r="Q4268" t="s">
        <v>23</v>
      </c>
      <c r="R4268">
        <v>0</v>
      </c>
    </row>
    <row r="4269" spans="1:18">
      <c r="A4269" s="4">
        <v>8526610000000</v>
      </c>
      <c r="B4269" t="s">
        <v>18</v>
      </c>
      <c r="C4269">
        <v>1</v>
      </c>
      <c r="D4269" t="s">
        <v>31</v>
      </c>
      <c r="E4269" t="s">
        <v>104</v>
      </c>
      <c r="F4269" s="1">
        <v>42503</v>
      </c>
      <c r="G4269" s="1">
        <v>42529</v>
      </c>
      <c r="H4269" t="s">
        <v>25</v>
      </c>
      <c r="I4269">
        <v>26</v>
      </c>
      <c r="J4269" t="s">
        <v>77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1</v>
      </c>
      <c r="Q4269" t="s">
        <v>23</v>
      </c>
      <c r="R4269">
        <v>0</v>
      </c>
    </row>
    <row r="4270" spans="1:18">
      <c r="A4270" s="4">
        <v>92213400000000</v>
      </c>
      <c r="B4270" t="s">
        <v>18</v>
      </c>
      <c r="C4270">
        <v>42</v>
      </c>
      <c r="D4270" t="s">
        <v>27</v>
      </c>
      <c r="E4270" t="s">
        <v>78</v>
      </c>
      <c r="F4270" s="1">
        <v>42503</v>
      </c>
      <c r="G4270" s="1">
        <v>42509</v>
      </c>
      <c r="H4270" t="s">
        <v>33</v>
      </c>
      <c r="I4270">
        <v>6</v>
      </c>
      <c r="J4270" t="s">
        <v>107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23</v>
      </c>
      <c r="R4270">
        <v>0</v>
      </c>
    </row>
    <row r="4271" spans="1:18">
      <c r="A4271" s="4">
        <v>2252200000000</v>
      </c>
      <c r="B4271" t="s">
        <v>18</v>
      </c>
      <c r="C4271">
        <v>26</v>
      </c>
      <c r="D4271" t="s">
        <v>37</v>
      </c>
      <c r="E4271" t="s">
        <v>81</v>
      </c>
      <c r="F4271" s="1">
        <v>42503</v>
      </c>
      <c r="G4271" s="1">
        <v>42503</v>
      </c>
      <c r="H4271" t="s">
        <v>21</v>
      </c>
      <c r="I4271">
        <v>0</v>
      </c>
      <c r="J4271" t="s">
        <v>111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23</v>
      </c>
      <c r="R4271">
        <v>0</v>
      </c>
    </row>
    <row r="4272" spans="1:18">
      <c r="A4272" s="4">
        <v>853440000000000</v>
      </c>
      <c r="B4272" t="s">
        <v>18</v>
      </c>
      <c r="C4272">
        <v>37</v>
      </c>
      <c r="D4272" t="s">
        <v>27</v>
      </c>
      <c r="E4272" t="s">
        <v>43</v>
      </c>
      <c r="F4272" s="1">
        <v>42503</v>
      </c>
      <c r="G4272" s="1">
        <v>42503</v>
      </c>
      <c r="H4272" t="s">
        <v>21</v>
      </c>
      <c r="I4272">
        <v>0</v>
      </c>
      <c r="J4272" t="s">
        <v>111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23</v>
      </c>
      <c r="R4272">
        <v>0</v>
      </c>
    </row>
    <row r="4273" spans="1:18">
      <c r="A4273" s="4">
        <v>4482140000000</v>
      </c>
      <c r="B4273" t="s">
        <v>28</v>
      </c>
      <c r="C4273">
        <v>11</v>
      </c>
      <c r="D4273" t="s">
        <v>31</v>
      </c>
      <c r="E4273" t="s">
        <v>50</v>
      </c>
      <c r="F4273" s="1">
        <v>42503</v>
      </c>
      <c r="G4273" s="1">
        <v>42508</v>
      </c>
      <c r="H4273" t="s">
        <v>25</v>
      </c>
      <c r="I4273">
        <v>5</v>
      </c>
      <c r="J4273" t="s">
        <v>107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 t="s">
        <v>26</v>
      </c>
      <c r="R4273">
        <v>1</v>
      </c>
    </row>
    <row r="4274" spans="1:18">
      <c r="A4274" s="4">
        <v>127529000000000</v>
      </c>
      <c r="B4274" t="s">
        <v>18</v>
      </c>
      <c r="C4274">
        <v>13</v>
      </c>
      <c r="D4274" t="s">
        <v>60</v>
      </c>
      <c r="E4274" t="s">
        <v>20</v>
      </c>
      <c r="F4274" s="1">
        <v>42503</v>
      </c>
      <c r="G4274" s="1">
        <v>42509</v>
      </c>
      <c r="H4274" t="s">
        <v>33</v>
      </c>
      <c r="I4274">
        <v>6</v>
      </c>
      <c r="J4274" t="s">
        <v>107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26</v>
      </c>
      <c r="R4274">
        <v>1</v>
      </c>
    </row>
    <row r="4275" spans="1:18">
      <c r="A4275" s="4">
        <v>988212000000000</v>
      </c>
      <c r="B4275" t="s">
        <v>18</v>
      </c>
      <c r="C4275">
        <v>13</v>
      </c>
      <c r="D4275" t="s">
        <v>60</v>
      </c>
      <c r="E4275" t="s">
        <v>75</v>
      </c>
      <c r="F4275" s="1">
        <v>42503</v>
      </c>
      <c r="G4275" s="1">
        <v>42509</v>
      </c>
      <c r="H4275" t="s">
        <v>33</v>
      </c>
      <c r="I4275">
        <v>6</v>
      </c>
      <c r="J4275" t="s">
        <v>107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26</v>
      </c>
      <c r="R4275">
        <v>1</v>
      </c>
    </row>
    <row r="4276" spans="1:18">
      <c r="A4276" s="4">
        <v>619919000000000</v>
      </c>
      <c r="B4276" t="s">
        <v>18</v>
      </c>
      <c r="C4276">
        <v>0</v>
      </c>
      <c r="D4276" t="s">
        <v>31</v>
      </c>
      <c r="E4276" t="s">
        <v>47</v>
      </c>
      <c r="F4276" s="1">
        <v>42503</v>
      </c>
      <c r="G4276" s="1">
        <v>42503</v>
      </c>
      <c r="H4276" t="s">
        <v>21</v>
      </c>
      <c r="I4276">
        <v>0</v>
      </c>
      <c r="J4276" t="s">
        <v>111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23</v>
      </c>
      <c r="R4276">
        <v>0</v>
      </c>
    </row>
    <row r="4277" spans="1:18">
      <c r="A4277" s="4">
        <v>98399200000000</v>
      </c>
      <c r="B4277" t="s">
        <v>18</v>
      </c>
      <c r="C4277">
        <v>7</v>
      </c>
      <c r="D4277" t="s">
        <v>31</v>
      </c>
      <c r="E4277" t="s">
        <v>69</v>
      </c>
      <c r="F4277" s="1">
        <v>42503</v>
      </c>
      <c r="G4277" s="1">
        <v>42503</v>
      </c>
      <c r="H4277" t="s">
        <v>21</v>
      </c>
      <c r="I4277">
        <v>0</v>
      </c>
      <c r="J4277" t="s">
        <v>111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23</v>
      </c>
      <c r="R4277">
        <v>0</v>
      </c>
    </row>
    <row r="4278" spans="1:18">
      <c r="A4278" s="4">
        <v>614995000000000</v>
      </c>
      <c r="B4278" t="s">
        <v>18</v>
      </c>
      <c r="C4278">
        <v>40</v>
      </c>
      <c r="D4278" t="s">
        <v>27</v>
      </c>
      <c r="E4278" t="s">
        <v>32</v>
      </c>
      <c r="F4278" s="1">
        <v>42503</v>
      </c>
      <c r="G4278" s="1">
        <v>42506</v>
      </c>
      <c r="H4278" t="s">
        <v>30</v>
      </c>
      <c r="I4278">
        <v>3</v>
      </c>
      <c r="J4278" t="s">
        <v>109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23</v>
      </c>
      <c r="R4278">
        <v>0</v>
      </c>
    </row>
    <row r="4279" spans="1:18">
      <c r="A4279" s="4">
        <v>615141000000000</v>
      </c>
      <c r="B4279" t="s">
        <v>28</v>
      </c>
      <c r="C4279">
        <v>51</v>
      </c>
      <c r="D4279" t="s">
        <v>35</v>
      </c>
      <c r="E4279" t="s">
        <v>83</v>
      </c>
      <c r="F4279" s="1">
        <v>42503</v>
      </c>
      <c r="G4279" s="1">
        <v>42506</v>
      </c>
      <c r="H4279" t="s">
        <v>30</v>
      </c>
      <c r="I4279">
        <v>3</v>
      </c>
      <c r="J4279" t="s">
        <v>109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23</v>
      </c>
      <c r="R4279">
        <v>0</v>
      </c>
    </row>
    <row r="4280" spans="1:18">
      <c r="A4280" s="4">
        <v>1939230000000</v>
      </c>
      <c r="B4280" t="s">
        <v>18</v>
      </c>
      <c r="C4280">
        <v>42</v>
      </c>
      <c r="D4280" t="s">
        <v>27</v>
      </c>
      <c r="E4280" t="s">
        <v>42</v>
      </c>
      <c r="F4280" s="1">
        <v>42503</v>
      </c>
      <c r="G4280" s="1">
        <v>42507</v>
      </c>
      <c r="H4280" t="s">
        <v>41</v>
      </c>
      <c r="I4280">
        <v>4</v>
      </c>
      <c r="J4280" t="s">
        <v>107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23</v>
      </c>
      <c r="R4280">
        <v>0</v>
      </c>
    </row>
    <row r="4281" spans="1:18">
      <c r="A4281" s="4">
        <v>67936300000000</v>
      </c>
      <c r="B4281" t="s">
        <v>18</v>
      </c>
      <c r="C4281">
        <v>7</v>
      </c>
      <c r="D4281" t="s">
        <v>31</v>
      </c>
      <c r="E4281" t="s">
        <v>50</v>
      </c>
      <c r="F4281" s="1">
        <v>42503</v>
      </c>
      <c r="G4281" s="1">
        <v>42503</v>
      </c>
      <c r="H4281" t="s">
        <v>21</v>
      </c>
      <c r="I4281">
        <v>0</v>
      </c>
      <c r="J4281" t="s">
        <v>111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23</v>
      </c>
      <c r="R4281">
        <v>0</v>
      </c>
    </row>
    <row r="4282" spans="1:18">
      <c r="A4282" s="4">
        <v>39176500000000</v>
      </c>
      <c r="B4282" t="s">
        <v>18</v>
      </c>
      <c r="C4282">
        <v>18</v>
      </c>
      <c r="D4282" t="s">
        <v>37</v>
      </c>
      <c r="E4282" t="s">
        <v>84</v>
      </c>
      <c r="F4282" s="1">
        <v>42503</v>
      </c>
      <c r="G4282" s="1">
        <v>42507</v>
      </c>
      <c r="H4282" t="s">
        <v>41</v>
      </c>
      <c r="I4282">
        <v>4</v>
      </c>
      <c r="J4282" t="s">
        <v>107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23</v>
      </c>
      <c r="R4282">
        <v>0</v>
      </c>
    </row>
    <row r="4283" spans="1:18">
      <c r="A4283" s="4">
        <v>826890000000000</v>
      </c>
      <c r="B4283" t="s">
        <v>18</v>
      </c>
      <c r="C4283">
        <v>30</v>
      </c>
      <c r="D4283" t="s">
        <v>37</v>
      </c>
      <c r="E4283" t="s">
        <v>57</v>
      </c>
      <c r="F4283" s="1">
        <v>42503</v>
      </c>
      <c r="G4283" s="1">
        <v>42509</v>
      </c>
      <c r="H4283" t="s">
        <v>33</v>
      </c>
      <c r="I4283">
        <v>6</v>
      </c>
      <c r="J4283" t="s">
        <v>107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23</v>
      </c>
      <c r="R4283">
        <v>0</v>
      </c>
    </row>
    <row r="4284" spans="1:18">
      <c r="A4284" s="4">
        <v>427761000000000</v>
      </c>
      <c r="B4284" t="s">
        <v>18</v>
      </c>
      <c r="C4284">
        <v>51</v>
      </c>
      <c r="D4284" t="s">
        <v>35</v>
      </c>
      <c r="E4284" t="s">
        <v>58</v>
      </c>
      <c r="F4284" s="1">
        <v>42504</v>
      </c>
      <c r="G4284" s="1">
        <v>42504</v>
      </c>
      <c r="H4284" t="s">
        <v>114</v>
      </c>
      <c r="I4284">
        <v>0</v>
      </c>
      <c r="J4284" t="s">
        <v>111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23</v>
      </c>
      <c r="R4284">
        <v>0</v>
      </c>
    </row>
    <row r="4285" spans="1:18">
      <c r="A4285" s="4">
        <v>58714300000000</v>
      </c>
      <c r="B4285" t="s">
        <v>18</v>
      </c>
      <c r="C4285">
        <v>46</v>
      </c>
      <c r="D4285" t="s">
        <v>27</v>
      </c>
      <c r="E4285" t="s">
        <v>58</v>
      </c>
      <c r="F4285" s="1">
        <v>42504</v>
      </c>
      <c r="G4285" s="1">
        <v>42504</v>
      </c>
      <c r="H4285" t="s">
        <v>114</v>
      </c>
      <c r="I4285">
        <v>0</v>
      </c>
      <c r="J4285" t="s">
        <v>111</v>
      </c>
      <c r="K4285">
        <v>1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23</v>
      </c>
      <c r="R4285">
        <v>0</v>
      </c>
    </row>
    <row r="4286" spans="1:18">
      <c r="A4286" s="4">
        <v>8241330000000</v>
      </c>
      <c r="B4286" t="s">
        <v>18</v>
      </c>
      <c r="C4286">
        <v>43</v>
      </c>
      <c r="D4286" t="s">
        <v>27</v>
      </c>
      <c r="E4286" t="s">
        <v>101</v>
      </c>
      <c r="F4286" s="1">
        <v>42506</v>
      </c>
      <c r="G4286" s="1">
        <v>42506</v>
      </c>
      <c r="H4286" t="s">
        <v>30</v>
      </c>
      <c r="I4286">
        <v>0</v>
      </c>
      <c r="J4286" t="s">
        <v>111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23</v>
      </c>
      <c r="R4286">
        <v>0</v>
      </c>
    </row>
    <row r="4287" spans="1:18">
      <c r="A4287" s="4">
        <v>66671500000000</v>
      </c>
      <c r="B4287" t="s">
        <v>28</v>
      </c>
      <c r="C4287">
        <v>40</v>
      </c>
      <c r="D4287" t="s">
        <v>27</v>
      </c>
      <c r="E4287" t="s">
        <v>71</v>
      </c>
      <c r="F4287" s="1">
        <v>42506</v>
      </c>
      <c r="G4287" s="1">
        <v>42508</v>
      </c>
      <c r="H4287" t="s">
        <v>25</v>
      </c>
      <c r="I4287">
        <v>2</v>
      </c>
      <c r="J4287" t="s">
        <v>109</v>
      </c>
      <c r="K4287">
        <v>0</v>
      </c>
      <c r="L4287">
        <v>1</v>
      </c>
      <c r="M4287">
        <v>1</v>
      </c>
      <c r="N4287">
        <v>0</v>
      </c>
      <c r="O4287">
        <v>0</v>
      </c>
      <c r="P4287">
        <v>0</v>
      </c>
      <c r="Q4287" t="s">
        <v>23</v>
      </c>
      <c r="R4287">
        <v>0</v>
      </c>
    </row>
    <row r="4288" spans="1:18">
      <c r="A4288" s="4">
        <v>247776000000000</v>
      </c>
      <c r="B4288" t="s">
        <v>18</v>
      </c>
      <c r="C4288">
        <v>48</v>
      </c>
      <c r="D4288" t="s">
        <v>27</v>
      </c>
      <c r="E4288" t="s">
        <v>73</v>
      </c>
      <c r="F4288" s="1">
        <v>42506</v>
      </c>
      <c r="G4288" s="1">
        <v>42506</v>
      </c>
      <c r="H4288" t="s">
        <v>30</v>
      </c>
      <c r="I4288">
        <v>0</v>
      </c>
      <c r="J4288" t="s">
        <v>111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23</v>
      </c>
      <c r="R4288">
        <v>0</v>
      </c>
    </row>
    <row r="4289" spans="1:18">
      <c r="A4289" s="4">
        <v>144289000000000</v>
      </c>
      <c r="B4289" t="s">
        <v>28</v>
      </c>
      <c r="C4289">
        <v>45</v>
      </c>
      <c r="D4289" t="s">
        <v>27</v>
      </c>
      <c r="E4289" t="s">
        <v>34</v>
      </c>
      <c r="F4289" s="1">
        <v>42506</v>
      </c>
      <c r="G4289" s="1">
        <v>42508</v>
      </c>
      <c r="H4289" t="s">
        <v>25</v>
      </c>
      <c r="I4289">
        <v>2</v>
      </c>
      <c r="J4289" t="s">
        <v>109</v>
      </c>
      <c r="K4289">
        <v>1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23</v>
      </c>
      <c r="R4289">
        <v>0</v>
      </c>
    </row>
    <row r="4290" spans="1:18">
      <c r="A4290" s="4">
        <v>2367560000000</v>
      </c>
      <c r="B4290" t="s">
        <v>18</v>
      </c>
      <c r="C4290">
        <v>57</v>
      </c>
      <c r="D4290" t="s">
        <v>35</v>
      </c>
      <c r="E4290" t="s">
        <v>91</v>
      </c>
      <c r="F4290" s="1">
        <v>42506</v>
      </c>
      <c r="G4290" s="1">
        <v>42506</v>
      </c>
      <c r="H4290" t="s">
        <v>30</v>
      </c>
      <c r="I4290">
        <v>0</v>
      </c>
      <c r="J4290" t="s">
        <v>111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23</v>
      </c>
      <c r="R4290">
        <v>0</v>
      </c>
    </row>
    <row r="4291" spans="1:18">
      <c r="A4291" s="4">
        <v>331523000000000</v>
      </c>
      <c r="B4291" t="s">
        <v>28</v>
      </c>
      <c r="C4291">
        <v>5</v>
      </c>
      <c r="D4291" t="s">
        <v>31</v>
      </c>
      <c r="E4291" t="s">
        <v>78</v>
      </c>
      <c r="F4291" s="1">
        <v>42506</v>
      </c>
      <c r="G4291" s="1">
        <v>42514</v>
      </c>
      <c r="H4291" t="s">
        <v>41</v>
      </c>
      <c r="I4291">
        <v>8</v>
      </c>
      <c r="J4291" t="s">
        <v>92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1</v>
      </c>
      <c r="Q4291" t="s">
        <v>23</v>
      </c>
      <c r="R4291">
        <v>0</v>
      </c>
    </row>
    <row r="4292" spans="1:18">
      <c r="A4292" s="4">
        <v>86172747259</v>
      </c>
      <c r="B4292" t="s">
        <v>28</v>
      </c>
      <c r="C4292">
        <v>25</v>
      </c>
      <c r="D4292" t="s">
        <v>37</v>
      </c>
      <c r="E4292" t="s">
        <v>40</v>
      </c>
      <c r="F4292" s="1">
        <v>42506</v>
      </c>
      <c r="G4292" s="1">
        <v>42506</v>
      </c>
      <c r="H4292" t="s">
        <v>30</v>
      </c>
      <c r="I4292">
        <v>0</v>
      </c>
      <c r="J4292" t="s">
        <v>111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23</v>
      </c>
      <c r="R4292">
        <v>0</v>
      </c>
    </row>
    <row r="4293" spans="1:18">
      <c r="A4293" s="4">
        <v>1122440000000</v>
      </c>
      <c r="B4293" t="s">
        <v>28</v>
      </c>
      <c r="C4293">
        <v>66</v>
      </c>
      <c r="D4293" t="s">
        <v>19</v>
      </c>
      <c r="E4293" t="s">
        <v>84</v>
      </c>
      <c r="F4293" s="1">
        <v>42506</v>
      </c>
      <c r="G4293" s="1">
        <v>42509</v>
      </c>
      <c r="H4293" t="s">
        <v>33</v>
      </c>
      <c r="I4293">
        <v>3</v>
      </c>
      <c r="J4293" t="s">
        <v>109</v>
      </c>
      <c r="K4293">
        <v>0</v>
      </c>
      <c r="L4293">
        <v>1</v>
      </c>
      <c r="M4293">
        <v>1</v>
      </c>
      <c r="N4293">
        <v>0</v>
      </c>
      <c r="O4293">
        <v>0</v>
      </c>
      <c r="P4293">
        <v>0</v>
      </c>
      <c r="Q4293" t="s">
        <v>26</v>
      </c>
      <c r="R4293">
        <v>1</v>
      </c>
    </row>
    <row r="4294" spans="1:18">
      <c r="A4294" s="4">
        <v>851395000000</v>
      </c>
      <c r="B4294" t="s">
        <v>18</v>
      </c>
      <c r="C4294">
        <v>4</v>
      </c>
      <c r="D4294" t="s">
        <v>31</v>
      </c>
      <c r="E4294" t="s">
        <v>68</v>
      </c>
      <c r="F4294" s="1">
        <v>42506</v>
      </c>
      <c r="G4294" s="1">
        <v>42506</v>
      </c>
      <c r="H4294" t="s">
        <v>30</v>
      </c>
      <c r="I4294">
        <v>0</v>
      </c>
      <c r="J4294" t="s">
        <v>111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23</v>
      </c>
      <c r="R4294">
        <v>0</v>
      </c>
    </row>
    <row r="4295" spans="1:18">
      <c r="A4295" s="4">
        <v>361423000000</v>
      </c>
      <c r="B4295" t="s">
        <v>18</v>
      </c>
      <c r="C4295">
        <v>70</v>
      </c>
      <c r="D4295" t="s">
        <v>19</v>
      </c>
      <c r="E4295" t="s">
        <v>75</v>
      </c>
      <c r="F4295" s="1">
        <v>42506</v>
      </c>
      <c r="G4295" s="1">
        <v>42506</v>
      </c>
      <c r="H4295" t="s">
        <v>30</v>
      </c>
      <c r="I4295">
        <v>0</v>
      </c>
      <c r="J4295" t="s">
        <v>111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23</v>
      </c>
      <c r="R4295">
        <v>0</v>
      </c>
    </row>
    <row r="4296" spans="1:18">
      <c r="A4296" s="4">
        <v>17111700000000</v>
      </c>
      <c r="B4296" t="s">
        <v>18</v>
      </c>
      <c r="C4296">
        <v>70</v>
      </c>
      <c r="D4296" t="s">
        <v>19</v>
      </c>
      <c r="E4296" t="s">
        <v>70</v>
      </c>
      <c r="F4296" s="1">
        <v>42506</v>
      </c>
      <c r="G4296" s="1">
        <v>42506</v>
      </c>
      <c r="H4296" t="s">
        <v>30</v>
      </c>
      <c r="I4296">
        <v>0</v>
      </c>
      <c r="J4296" t="s">
        <v>111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23</v>
      </c>
      <c r="R4296">
        <v>0</v>
      </c>
    </row>
    <row r="4297" spans="1:18">
      <c r="A4297" s="4">
        <v>3899280000000</v>
      </c>
      <c r="B4297" t="s">
        <v>18</v>
      </c>
      <c r="C4297">
        <v>60</v>
      </c>
      <c r="D4297" t="s">
        <v>35</v>
      </c>
      <c r="E4297" t="s">
        <v>48</v>
      </c>
      <c r="F4297" s="1">
        <v>42506</v>
      </c>
      <c r="G4297" s="1">
        <v>42506</v>
      </c>
      <c r="H4297" t="s">
        <v>30</v>
      </c>
      <c r="I4297">
        <v>0</v>
      </c>
      <c r="J4297" t="s">
        <v>111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23</v>
      </c>
      <c r="R4297">
        <v>0</v>
      </c>
    </row>
    <row r="4298" spans="1:18">
      <c r="A4298" s="4">
        <v>98386400000000</v>
      </c>
      <c r="B4298" t="s">
        <v>18</v>
      </c>
      <c r="C4298">
        <v>47</v>
      </c>
      <c r="D4298" t="s">
        <v>27</v>
      </c>
      <c r="E4298" t="s">
        <v>73</v>
      </c>
      <c r="F4298" s="1">
        <v>42506</v>
      </c>
      <c r="G4298" s="1">
        <v>42506</v>
      </c>
      <c r="H4298" t="s">
        <v>30</v>
      </c>
      <c r="I4298">
        <v>0</v>
      </c>
      <c r="J4298" t="s">
        <v>111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23</v>
      </c>
      <c r="R4298">
        <v>0</v>
      </c>
    </row>
    <row r="4299" spans="1:18">
      <c r="A4299" s="4">
        <v>75872177681</v>
      </c>
      <c r="B4299" t="s">
        <v>18</v>
      </c>
      <c r="C4299">
        <v>66</v>
      </c>
      <c r="D4299" t="s">
        <v>19</v>
      </c>
      <c r="E4299" t="s">
        <v>39</v>
      </c>
      <c r="F4299" s="1">
        <v>42506</v>
      </c>
      <c r="G4299" s="1">
        <v>42508</v>
      </c>
      <c r="H4299" t="s">
        <v>25</v>
      </c>
      <c r="I4299">
        <v>2</v>
      </c>
      <c r="J4299" t="s">
        <v>109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23</v>
      </c>
      <c r="R4299">
        <v>0</v>
      </c>
    </row>
    <row r="4300" spans="1:18">
      <c r="A4300" s="4">
        <v>52442600000000</v>
      </c>
      <c r="B4300" t="s">
        <v>18</v>
      </c>
      <c r="C4300">
        <v>44</v>
      </c>
      <c r="D4300" t="s">
        <v>27</v>
      </c>
      <c r="E4300" t="s">
        <v>40</v>
      </c>
      <c r="F4300" s="1">
        <v>42506</v>
      </c>
      <c r="G4300" s="1">
        <v>42520</v>
      </c>
      <c r="H4300" t="s">
        <v>30</v>
      </c>
      <c r="I4300">
        <v>14</v>
      </c>
      <c r="J4300" t="s">
        <v>92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1</v>
      </c>
      <c r="Q4300" t="s">
        <v>23</v>
      </c>
      <c r="R4300">
        <v>0</v>
      </c>
    </row>
    <row r="4301" spans="1:18">
      <c r="A4301" s="4">
        <v>5124300000000</v>
      </c>
      <c r="B4301" t="s">
        <v>28</v>
      </c>
      <c r="C4301">
        <v>73</v>
      </c>
      <c r="D4301" t="s">
        <v>19</v>
      </c>
      <c r="E4301" t="s">
        <v>40</v>
      </c>
      <c r="F4301" s="1">
        <v>42506</v>
      </c>
      <c r="G4301" s="1">
        <v>42506</v>
      </c>
      <c r="H4301" t="s">
        <v>30</v>
      </c>
      <c r="I4301">
        <v>0</v>
      </c>
      <c r="J4301" t="s">
        <v>111</v>
      </c>
      <c r="K4301">
        <v>0</v>
      </c>
      <c r="L4301">
        <v>1</v>
      </c>
      <c r="M4301">
        <v>0</v>
      </c>
      <c r="N4301">
        <v>0</v>
      </c>
      <c r="O4301">
        <v>0</v>
      </c>
      <c r="P4301">
        <v>0</v>
      </c>
      <c r="Q4301" t="s">
        <v>23</v>
      </c>
      <c r="R4301">
        <v>0</v>
      </c>
    </row>
    <row r="4302" spans="1:18">
      <c r="A4302" s="4">
        <v>4948770000000</v>
      </c>
      <c r="B4302" t="s">
        <v>18</v>
      </c>
      <c r="C4302">
        <v>4</v>
      </c>
      <c r="D4302" t="s">
        <v>31</v>
      </c>
      <c r="E4302" t="s">
        <v>29</v>
      </c>
      <c r="F4302" s="1">
        <v>42506</v>
      </c>
      <c r="G4302" s="1">
        <v>42506</v>
      </c>
      <c r="H4302" t="s">
        <v>30</v>
      </c>
      <c r="I4302">
        <v>0</v>
      </c>
      <c r="J4302" t="s">
        <v>111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26</v>
      </c>
      <c r="R4302">
        <v>1</v>
      </c>
    </row>
    <row r="4303" spans="1:18">
      <c r="A4303" s="4">
        <v>4176930000000</v>
      </c>
      <c r="B4303" t="s">
        <v>28</v>
      </c>
      <c r="C4303">
        <v>55</v>
      </c>
      <c r="D4303" t="s">
        <v>35</v>
      </c>
      <c r="E4303" t="s">
        <v>40</v>
      </c>
      <c r="F4303" s="1">
        <v>42506</v>
      </c>
      <c r="G4303" s="1">
        <v>42522</v>
      </c>
      <c r="H4303" t="s">
        <v>25</v>
      </c>
      <c r="I4303">
        <v>16</v>
      </c>
      <c r="J4303" t="s">
        <v>77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1</v>
      </c>
      <c r="Q4303" t="s">
        <v>23</v>
      </c>
      <c r="R4303">
        <v>0</v>
      </c>
    </row>
    <row r="4304" spans="1:18">
      <c r="A4304" s="4">
        <v>88274700000000</v>
      </c>
      <c r="B4304" t="s">
        <v>28</v>
      </c>
      <c r="C4304">
        <v>51</v>
      </c>
      <c r="D4304" t="s">
        <v>35</v>
      </c>
      <c r="E4304" t="s">
        <v>73</v>
      </c>
      <c r="F4304" s="1">
        <v>42506</v>
      </c>
      <c r="G4304" s="1">
        <v>42507</v>
      </c>
      <c r="H4304" t="s">
        <v>41</v>
      </c>
      <c r="I4304">
        <v>1</v>
      </c>
      <c r="J4304" t="s">
        <v>109</v>
      </c>
      <c r="K4304">
        <v>0</v>
      </c>
      <c r="L4304">
        <v>1</v>
      </c>
      <c r="M4304">
        <v>0</v>
      </c>
      <c r="N4304">
        <v>0</v>
      </c>
      <c r="O4304">
        <v>0</v>
      </c>
      <c r="P4304">
        <v>0</v>
      </c>
      <c r="Q4304" t="s">
        <v>23</v>
      </c>
      <c r="R4304">
        <v>0</v>
      </c>
    </row>
    <row r="4305" spans="1:18">
      <c r="A4305" s="4">
        <v>7758460000000</v>
      </c>
      <c r="B4305" t="s">
        <v>28</v>
      </c>
      <c r="C4305">
        <v>41</v>
      </c>
      <c r="D4305" t="s">
        <v>27</v>
      </c>
      <c r="E4305" t="s">
        <v>68</v>
      </c>
      <c r="F4305" s="1">
        <v>42506</v>
      </c>
      <c r="G4305" s="1">
        <v>42523</v>
      </c>
      <c r="H4305" t="s">
        <v>33</v>
      </c>
      <c r="I4305">
        <v>17</v>
      </c>
      <c r="J4305" t="s">
        <v>77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1</v>
      </c>
      <c r="Q4305" t="s">
        <v>23</v>
      </c>
      <c r="R4305">
        <v>0</v>
      </c>
    </row>
    <row r="4306" spans="1:18">
      <c r="A4306" s="4">
        <v>8154520000000</v>
      </c>
      <c r="B4306" t="s">
        <v>28</v>
      </c>
      <c r="C4306">
        <v>9</v>
      </c>
      <c r="D4306" t="s">
        <v>31</v>
      </c>
      <c r="E4306" t="s">
        <v>47</v>
      </c>
      <c r="F4306" s="1">
        <v>42506</v>
      </c>
      <c r="G4306" s="1">
        <v>42506</v>
      </c>
      <c r="H4306" t="s">
        <v>30</v>
      </c>
      <c r="I4306">
        <v>0</v>
      </c>
      <c r="J4306" t="s">
        <v>111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23</v>
      </c>
      <c r="R4306">
        <v>0</v>
      </c>
    </row>
    <row r="4307" spans="1:18">
      <c r="A4307" s="4">
        <v>741838000000</v>
      </c>
      <c r="B4307" t="s">
        <v>28</v>
      </c>
      <c r="C4307">
        <v>8</v>
      </c>
      <c r="D4307" t="s">
        <v>31</v>
      </c>
      <c r="E4307" t="s">
        <v>56</v>
      </c>
      <c r="F4307" s="1">
        <v>42506</v>
      </c>
      <c r="G4307" s="1">
        <v>42506</v>
      </c>
      <c r="H4307" t="s">
        <v>30</v>
      </c>
      <c r="I4307">
        <v>0</v>
      </c>
      <c r="J4307" t="s">
        <v>111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23</v>
      </c>
      <c r="R4307">
        <v>0</v>
      </c>
    </row>
    <row r="4308" spans="1:18">
      <c r="A4308" s="4">
        <v>315916000000000</v>
      </c>
      <c r="B4308" t="s">
        <v>18</v>
      </c>
      <c r="C4308">
        <v>56</v>
      </c>
      <c r="D4308" t="s">
        <v>35</v>
      </c>
      <c r="E4308" t="s">
        <v>61</v>
      </c>
      <c r="F4308" s="1">
        <v>42506</v>
      </c>
      <c r="G4308" s="1">
        <v>42527</v>
      </c>
      <c r="H4308" t="s">
        <v>30</v>
      </c>
      <c r="I4308">
        <v>21</v>
      </c>
      <c r="J4308" t="s">
        <v>77</v>
      </c>
      <c r="K4308">
        <v>0</v>
      </c>
      <c r="L4308">
        <v>1</v>
      </c>
      <c r="M4308">
        <v>1</v>
      </c>
      <c r="N4308">
        <v>0</v>
      </c>
      <c r="O4308">
        <v>0</v>
      </c>
      <c r="P4308">
        <v>1</v>
      </c>
      <c r="Q4308" t="s">
        <v>23</v>
      </c>
      <c r="R4308">
        <v>0</v>
      </c>
    </row>
    <row r="4309" spans="1:18">
      <c r="A4309" s="4">
        <v>3683790000000</v>
      </c>
      <c r="B4309" t="s">
        <v>28</v>
      </c>
      <c r="C4309">
        <v>23</v>
      </c>
      <c r="D4309" t="s">
        <v>37</v>
      </c>
      <c r="E4309" t="s">
        <v>63</v>
      </c>
      <c r="F4309" s="1">
        <v>42506</v>
      </c>
      <c r="G4309" s="1">
        <v>42523</v>
      </c>
      <c r="H4309" t="s">
        <v>33</v>
      </c>
      <c r="I4309">
        <v>17</v>
      </c>
      <c r="J4309" t="s">
        <v>77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1</v>
      </c>
      <c r="Q4309" t="s">
        <v>26</v>
      </c>
      <c r="R4309">
        <v>1</v>
      </c>
    </row>
    <row r="4310" spans="1:18">
      <c r="A4310" s="4">
        <v>372892000000</v>
      </c>
      <c r="B4310" t="s">
        <v>18</v>
      </c>
      <c r="C4310">
        <v>29</v>
      </c>
      <c r="D4310" t="s">
        <v>37</v>
      </c>
      <c r="E4310" t="s">
        <v>73</v>
      </c>
      <c r="F4310" s="1">
        <v>42506</v>
      </c>
      <c r="G4310" s="1">
        <v>42509</v>
      </c>
      <c r="H4310" t="s">
        <v>33</v>
      </c>
      <c r="I4310">
        <v>3</v>
      </c>
      <c r="J4310" t="s">
        <v>109</v>
      </c>
      <c r="K4310">
        <v>1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23</v>
      </c>
      <c r="R4310">
        <v>0</v>
      </c>
    </row>
    <row r="4311" spans="1:18">
      <c r="A4311" s="4">
        <v>7663460000000</v>
      </c>
      <c r="B4311" t="s">
        <v>18</v>
      </c>
      <c r="C4311">
        <v>0</v>
      </c>
      <c r="D4311" t="s">
        <v>31</v>
      </c>
      <c r="E4311" t="s">
        <v>68</v>
      </c>
      <c r="F4311" s="1">
        <v>42506</v>
      </c>
      <c r="G4311" s="1">
        <v>42506</v>
      </c>
      <c r="H4311" t="s">
        <v>30</v>
      </c>
      <c r="I4311">
        <v>0</v>
      </c>
      <c r="J4311" t="s">
        <v>111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23</v>
      </c>
      <c r="R4311">
        <v>0</v>
      </c>
    </row>
    <row r="4312" spans="1:18">
      <c r="A4312" s="4">
        <v>1886350000000</v>
      </c>
      <c r="B4312" t="s">
        <v>18</v>
      </c>
      <c r="C4312">
        <v>53</v>
      </c>
      <c r="D4312" t="s">
        <v>35</v>
      </c>
      <c r="E4312" t="s">
        <v>50</v>
      </c>
      <c r="F4312" s="1">
        <v>42506</v>
      </c>
      <c r="G4312" s="1">
        <v>42523</v>
      </c>
      <c r="H4312" t="s">
        <v>33</v>
      </c>
      <c r="I4312">
        <v>17</v>
      </c>
      <c r="J4312" t="s">
        <v>77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1</v>
      </c>
      <c r="Q4312" t="s">
        <v>23</v>
      </c>
      <c r="R4312">
        <v>0</v>
      </c>
    </row>
    <row r="4313" spans="1:18">
      <c r="A4313" s="4">
        <v>693376000000000</v>
      </c>
      <c r="B4313" t="s">
        <v>18</v>
      </c>
      <c r="C4313">
        <v>23</v>
      </c>
      <c r="D4313" t="s">
        <v>37</v>
      </c>
      <c r="E4313" t="s">
        <v>45</v>
      </c>
      <c r="F4313" s="1">
        <v>42506</v>
      </c>
      <c r="G4313" s="1">
        <v>42506</v>
      </c>
      <c r="H4313" t="s">
        <v>30</v>
      </c>
      <c r="I4313">
        <v>0</v>
      </c>
      <c r="J4313" t="s">
        <v>111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23</v>
      </c>
      <c r="R4313">
        <v>0</v>
      </c>
    </row>
    <row r="4314" spans="1:18">
      <c r="A4314" s="4">
        <v>8283810000000</v>
      </c>
      <c r="B4314" t="s">
        <v>28</v>
      </c>
      <c r="C4314">
        <v>68</v>
      </c>
      <c r="D4314" t="s">
        <v>19</v>
      </c>
      <c r="E4314" t="s">
        <v>50</v>
      </c>
      <c r="F4314" s="1">
        <v>42506</v>
      </c>
      <c r="G4314" s="1">
        <v>42506</v>
      </c>
      <c r="H4314" t="s">
        <v>30</v>
      </c>
      <c r="I4314">
        <v>0</v>
      </c>
      <c r="J4314" t="s">
        <v>111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23</v>
      </c>
      <c r="R4314">
        <v>0</v>
      </c>
    </row>
    <row r="4315" spans="1:18">
      <c r="A4315" s="4">
        <v>899683000000000</v>
      </c>
      <c r="B4315" t="s">
        <v>18</v>
      </c>
      <c r="C4315">
        <v>26</v>
      </c>
      <c r="D4315" t="s">
        <v>37</v>
      </c>
      <c r="E4315" t="s">
        <v>96</v>
      </c>
      <c r="F4315" s="1">
        <v>42506</v>
      </c>
      <c r="G4315" s="1">
        <v>42522</v>
      </c>
      <c r="H4315" t="s">
        <v>25</v>
      </c>
      <c r="I4315">
        <v>16</v>
      </c>
      <c r="J4315" t="s">
        <v>77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1</v>
      </c>
      <c r="Q4315" t="s">
        <v>23</v>
      </c>
      <c r="R4315">
        <v>0</v>
      </c>
    </row>
    <row r="4316" spans="1:18">
      <c r="A4316" s="4">
        <v>778958000000000</v>
      </c>
      <c r="B4316" t="s">
        <v>28</v>
      </c>
      <c r="C4316">
        <v>59</v>
      </c>
      <c r="D4316" t="s">
        <v>35</v>
      </c>
      <c r="E4316" t="s">
        <v>40</v>
      </c>
      <c r="F4316" s="1">
        <v>42506</v>
      </c>
      <c r="G4316" s="1">
        <v>42527</v>
      </c>
      <c r="H4316" t="s">
        <v>30</v>
      </c>
      <c r="I4316">
        <v>21</v>
      </c>
      <c r="J4316" t="s">
        <v>77</v>
      </c>
      <c r="K4316">
        <v>0</v>
      </c>
      <c r="L4316">
        <v>1</v>
      </c>
      <c r="M4316">
        <v>0</v>
      </c>
      <c r="N4316">
        <v>0</v>
      </c>
      <c r="O4316">
        <v>0</v>
      </c>
      <c r="P4316">
        <v>1</v>
      </c>
      <c r="Q4316" t="s">
        <v>23</v>
      </c>
      <c r="R4316">
        <v>0</v>
      </c>
    </row>
    <row r="4317" spans="1:18">
      <c r="A4317" s="4">
        <v>1947680000000</v>
      </c>
      <c r="B4317" t="s">
        <v>18</v>
      </c>
      <c r="C4317">
        <v>19</v>
      </c>
      <c r="D4317" t="s">
        <v>37</v>
      </c>
      <c r="E4317" t="s">
        <v>50</v>
      </c>
      <c r="F4317" s="1">
        <v>42506</v>
      </c>
      <c r="G4317" s="1">
        <v>42522</v>
      </c>
      <c r="H4317" t="s">
        <v>25</v>
      </c>
      <c r="I4317">
        <v>16</v>
      </c>
      <c r="J4317" t="s">
        <v>77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1</v>
      </c>
      <c r="Q4317" t="s">
        <v>26</v>
      </c>
      <c r="R4317">
        <v>1</v>
      </c>
    </row>
    <row r="4318" spans="1:18">
      <c r="A4318" s="4">
        <v>79315700000000</v>
      </c>
      <c r="B4318" t="s">
        <v>18</v>
      </c>
      <c r="C4318">
        <v>17</v>
      </c>
      <c r="D4318" t="s">
        <v>60</v>
      </c>
      <c r="E4318" t="s">
        <v>58</v>
      </c>
      <c r="F4318" s="1">
        <v>42506</v>
      </c>
      <c r="G4318" s="1">
        <v>42528</v>
      </c>
      <c r="H4318" t="s">
        <v>41</v>
      </c>
      <c r="I4318">
        <v>22</v>
      </c>
      <c r="J4318" t="s">
        <v>77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1</v>
      </c>
      <c r="Q4318" t="s">
        <v>23</v>
      </c>
      <c r="R4318">
        <v>0</v>
      </c>
    </row>
    <row r="4319" spans="1:18">
      <c r="A4319" s="4">
        <v>127761000000000</v>
      </c>
      <c r="B4319" t="s">
        <v>18</v>
      </c>
      <c r="C4319">
        <v>53</v>
      </c>
      <c r="D4319" t="s">
        <v>35</v>
      </c>
      <c r="E4319" t="s">
        <v>47</v>
      </c>
      <c r="F4319" s="1">
        <v>42506</v>
      </c>
      <c r="G4319" s="1">
        <v>42523</v>
      </c>
      <c r="H4319" t="s">
        <v>33</v>
      </c>
      <c r="I4319">
        <v>17</v>
      </c>
      <c r="J4319" t="s">
        <v>77</v>
      </c>
      <c r="K4319">
        <v>0</v>
      </c>
      <c r="L4319">
        <v>1</v>
      </c>
      <c r="M4319">
        <v>0</v>
      </c>
      <c r="N4319">
        <v>0</v>
      </c>
      <c r="O4319">
        <v>0</v>
      </c>
      <c r="P4319">
        <v>1</v>
      </c>
      <c r="Q4319" t="s">
        <v>23</v>
      </c>
      <c r="R4319">
        <v>0</v>
      </c>
    </row>
    <row r="4320" spans="1:18">
      <c r="A4320" s="4">
        <v>69521300000000</v>
      </c>
      <c r="B4320" t="s">
        <v>28</v>
      </c>
      <c r="C4320">
        <v>61</v>
      </c>
      <c r="D4320" t="s">
        <v>35</v>
      </c>
      <c r="E4320" t="s">
        <v>61</v>
      </c>
      <c r="F4320" s="1">
        <v>42506</v>
      </c>
      <c r="G4320" s="1">
        <v>42527</v>
      </c>
      <c r="H4320" t="s">
        <v>30</v>
      </c>
      <c r="I4320">
        <v>21</v>
      </c>
      <c r="J4320" t="s">
        <v>77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26</v>
      </c>
      <c r="R4320">
        <v>1</v>
      </c>
    </row>
    <row r="4321" spans="1:18">
      <c r="A4321" s="4">
        <v>814717000000000</v>
      </c>
      <c r="B4321" t="s">
        <v>28</v>
      </c>
      <c r="C4321">
        <v>11</v>
      </c>
      <c r="D4321" t="s">
        <v>31</v>
      </c>
      <c r="E4321" t="s">
        <v>45</v>
      </c>
      <c r="F4321" s="1">
        <v>42506</v>
      </c>
      <c r="G4321" s="1">
        <v>42521</v>
      </c>
      <c r="H4321" t="s">
        <v>41</v>
      </c>
      <c r="I4321">
        <v>15</v>
      </c>
      <c r="J4321" t="s">
        <v>77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1</v>
      </c>
      <c r="Q4321" t="s">
        <v>26</v>
      </c>
      <c r="R4321">
        <v>1</v>
      </c>
    </row>
    <row r="4322" spans="1:18">
      <c r="A4322" s="4">
        <v>65939200000000</v>
      </c>
      <c r="B4322" t="s">
        <v>18</v>
      </c>
      <c r="C4322">
        <v>53</v>
      </c>
      <c r="D4322" t="s">
        <v>35</v>
      </c>
      <c r="E4322" t="s">
        <v>50</v>
      </c>
      <c r="F4322" s="1">
        <v>42506</v>
      </c>
      <c r="G4322" s="1">
        <v>42527</v>
      </c>
      <c r="H4322" t="s">
        <v>30</v>
      </c>
      <c r="I4322">
        <v>21</v>
      </c>
      <c r="J4322" t="s">
        <v>77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1</v>
      </c>
      <c r="Q4322" t="s">
        <v>26</v>
      </c>
      <c r="R4322">
        <v>1</v>
      </c>
    </row>
    <row r="4323" spans="1:18">
      <c r="A4323" s="4">
        <v>33823200000000</v>
      </c>
      <c r="B4323" t="s">
        <v>18</v>
      </c>
      <c r="C4323">
        <v>16</v>
      </c>
      <c r="D4323" t="s">
        <v>60</v>
      </c>
      <c r="E4323" t="s">
        <v>59</v>
      </c>
      <c r="F4323" s="1">
        <v>42506</v>
      </c>
      <c r="G4323" s="1">
        <v>42506</v>
      </c>
      <c r="H4323" t="s">
        <v>30</v>
      </c>
      <c r="I4323">
        <v>0</v>
      </c>
      <c r="J4323" t="s">
        <v>111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23</v>
      </c>
      <c r="R4323">
        <v>0</v>
      </c>
    </row>
    <row r="4324" spans="1:18">
      <c r="A4324" s="4">
        <v>96215700000000</v>
      </c>
      <c r="B4324" t="s">
        <v>18</v>
      </c>
      <c r="C4324">
        <v>49</v>
      </c>
      <c r="D4324" t="s">
        <v>27</v>
      </c>
      <c r="E4324" t="s">
        <v>38</v>
      </c>
      <c r="F4324" s="1">
        <v>42506</v>
      </c>
      <c r="G4324" s="1">
        <v>42508</v>
      </c>
      <c r="H4324" t="s">
        <v>25</v>
      </c>
      <c r="I4324">
        <v>2</v>
      </c>
      <c r="J4324" t="s">
        <v>109</v>
      </c>
      <c r="K4324">
        <v>0</v>
      </c>
      <c r="L4324">
        <v>1</v>
      </c>
      <c r="M4324">
        <v>1</v>
      </c>
      <c r="N4324">
        <v>0</v>
      </c>
      <c r="O4324">
        <v>0</v>
      </c>
      <c r="P4324">
        <v>0</v>
      </c>
      <c r="Q4324" t="s">
        <v>23</v>
      </c>
      <c r="R4324">
        <v>0</v>
      </c>
    </row>
    <row r="4325" spans="1:18">
      <c r="A4325" s="4">
        <v>3135196176</v>
      </c>
      <c r="B4325" t="s">
        <v>18</v>
      </c>
      <c r="C4325">
        <v>2</v>
      </c>
      <c r="D4325" t="s">
        <v>31</v>
      </c>
      <c r="E4325" t="s">
        <v>73</v>
      </c>
      <c r="F4325" s="1">
        <v>42506</v>
      </c>
      <c r="G4325" s="1">
        <v>42506</v>
      </c>
      <c r="H4325" t="s">
        <v>30</v>
      </c>
      <c r="I4325">
        <v>0</v>
      </c>
      <c r="J4325" t="s">
        <v>111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23</v>
      </c>
      <c r="R4325">
        <v>0</v>
      </c>
    </row>
    <row r="4326" spans="1:18">
      <c r="A4326" s="4">
        <v>123919000000000</v>
      </c>
      <c r="B4326" t="s">
        <v>28</v>
      </c>
      <c r="C4326">
        <v>19</v>
      </c>
      <c r="D4326" t="s">
        <v>37</v>
      </c>
      <c r="E4326" t="s">
        <v>93</v>
      </c>
      <c r="F4326" s="1">
        <v>42506</v>
      </c>
      <c r="G4326" s="1">
        <v>42528</v>
      </c>
      <c r="H4326" t="s">
        <v>41</v>
      </c>
      <c r="I4326">
        <v>22</v>
      </c>
      <c r="J4326" t="s">
        <v>77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26</v>
      </c>
      <c r="R4326">
        <v>1</v>
      </c>
    </row>
    <row r="4327" spans="1:18">
      <c r="A4327" s="4">
        <v>94786400000000</v>
      </c>
      <c r="B4327" t="s">
        <v>28</v>
      </c>
      <c r="C4327">
        <v>87</v>
      </c>
      <c r="D4327" t="s">
        <v>19</v>
      </c>
      <c r="E4327" t="s">
        <v>54</v>
      </c>
      <c r="F4327" s="1">
        <v>42506</v>
      </c>
      <c r="G4327" s="1">
        <v>42528</v>
      </c>
      <c r="H4327" t="s">
        <v>41</v>
      </c>
      <c r="I4327">
        <v>22</v>
      </c>
      <c r="J4327" t="s">
        <v>77</v>
      </c>
      <c r="K4327">
        <v>0</v>
      </c>
      <c r="L4327">
        <v>1</v>
      </c>
      <c r="M4327">
        <v>1</v>
      </c>
      <c r="N4327">
        <v>0</v>
      </c>
      <c r="O4327">
        <v>0</v>
      </c>
      <c r="P4327">
        <v>1</v>
      </c>
      <c r="Q4327" t="s">
        <v>26</v>
      </c>
      <c r="R4327">
        <v>1</v>
      </c>
    </row>
    <row r="4328" spans="1:18">
      <c r="A4328" s="4">
        <v>18935300000000</v>
      </c>
      <c r="B4328" t="s">
        <v>18</v>
      </c>
      <c r="C4328">
        <v>41</v>
      </c>
      <c r="D4328" t="s">
        <v>27</v>
      </c>
      <c r="E4328" t="s">
        <v>61</v>
      </c>
      <c r="F4328" s="1">
        <v>42506</v>
      </c>
      <c r="G4328" s="1">
        <v>42507</v>
      </c>
      <c r="H4328" t="s">
        <v>41</v>
      </c>
      <c r="I4328">
        <v>1</v>
      </c>
      <c r="J4328" t="s">
        <v>109</v>
      </c>
      <c r="K4328">
        <v>1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23</v>
      </c>
      <c r="R4328">
        <v>0</v>
      </c>
    </row>
    <row r="4329" spans="1:18">
      <c r="A4329" s="4">
        <v>23192500000000</v>
      </c>
      <c r="B4329" t="s">
        <v>28</v>
      </c>
      <c r="C4329">
        <v>58</v>
      </c>
      <c r="D4329" t="s">
        <v>35</v>
      </c>
      <c r="E4329" t="s">
        <v>58</v>
      </c>
      <c r="F4329" s="1">
        <v>42506</v>
      </c>
      <c r="G4329" s="1">
        <v>42529</v>
      </c>
      <c r="H4329" t="s">
        <v>25</v>
      </c>
      <c r="I4329">
        <v>23</v>
      </c>
      <c r="J4329" t="s">
        <v>77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26</v>
      </c>
      <c r="R4329">
        <v>1</v>
      </c>
    </row>
    <row r="4330" spans="1:18">
      <c r="A4330" s="4">
        <v>7178280000000</v>
      </c>
      <c r="B4330" t="s">
        <v>28</v>
      </c>
      <c r="C4330">
        <v>5</v>
      </c>
      <c r="D4330" t="s">
        <v>31</v>
      </c>
      <c r="E4330" t="s">
        <v>38</v>
      </c>
      <c r="F4330" s="1">
        <v>42506</v>
      </c>
      <c r="G4330" s="1">
        <v>42506</v>
      </c>
      <c r="H4330" t="s">
        <v>30</v>
      </c>
      <c r="I4330">
        <v>0</v>
      </c>
      <c r="J4330" t="s">
        <v>111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23</v>
      </c>
      <c r="R4330">
        <v>0</v>
      </c>
    </row>
    <row r="4331" spans="1:18">
      <c r="A4331" s="4">
        <v>6235570000000</v>
      </c>
      <c r="B4331" t="s">
        <v>28</v>
      </c>
      <c r="C4331">
        <v>13</v>
      </c>
      <c r="D4331" t="s">
        <v>60</v>
      </c>
      <c r="E4331" t="s">
        <v>32</v>
      </c>
      <c r="F4331" s="1">
        <v>42506</v>
      </c>
      <c r="G4331" s="1">
        <v>42508</v>
      </c>
      <c r="H4331" t="s">
        <v>25</v>
      </c>
      <c r="I4331">
        <v>2</v>
      </c>
      <c r="J4331" t="s">
        <v>109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26</v>
      </c>
      <c r="R4331">
        <v>1</v>
      </c>
    </row>
    <row r="4332" spans="1:18">
      <c r="A4332" s="4">
        <v>3115330000000</v>
      </c>
      <c r="B4332" t="s">
        <v>28</v>
      </c>
      <c r="C4332">
        <v>22</v>
      </c>
      <c r="D4332" t="s">
        <v>37</v>
      </c>
      <c r="E4332" t="s">
        <v>56</v>
      </c>
      <c r="F4332" s="1">
        <v>42506</v>
      </c>
      <c r="G4332" s="1">
        <v>42506</v>
      </c>
      <c r="H4332" t="s">
        <v>30</v>
      </c>
      <c r="I4332">
        <v>0</v>
      </c>
      <c r="J4332" t="s">
        <v>111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26</v>
      </c>
      <c r="R4332">
        <v>1</v>
      </c>
    </row>
    <row r="4333" spans="1:18">
      <c r="A4333" s="4">
        <v>735917000000000</v>
      </c>
      <c r="B4333" t="s">
        <v>28</v>
      </c>
      <c r="C4333">
        <v>84</v>
      </c>
      <c r="D4333" t="s">
        <v>19</v>
      </c>
      <c r="E4333" t="s">
        <v>36</v>
      </c>
      <c r="F4333" s="1">
        <v>42506</v>
      </c>
      <c r="G4333" s="1">
        <v>42506</v>
      </c>
      <c r="H4333" t="s">
        <v>30</v>
      </c>
      <c r="I4333">
        <v>0</v>
      </c>
      <c r="J4333" t="s">
        <v>111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23</v>
      </c>
      <c r="R4333">
        <v>0</v>
      </c>
    </row>
    <row r="4334" spans="1:18">
      <c r="A4334" s="4">
        <v>762655000000000</v>
      </c>
      <c r="B4334" t="s">
        <v>18</v>
      </c>
      <c r="C4334">
        <v>17</v>
      </c>
      <c r="D4334" t="s">
        <v>60</v>
      </c>
      <c r="E4334" t="s">
        <v>100</v>
      </c>
      <c r="F4334" s="1">
        <v>42506</v>
      </c>
      <c r="G4334" s="1">
        <v>42506</v>
      </c>
      <c r="H4334" t="s">
        <v>30</v>
      </c>
      <c r="I4334">
        <v>0</v>
      </c>
      <c r="J4334" t="s">
        <v>111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23</v>
      </c>
      <c r="R4334">
        <v>0</v>
      </c>
    </row>
    <row r="4335" spans="1:18">
      <c r="A4335" s="4">
        <v>587752000000000</v>
      </c>
      <c r="B4335" t="s">
        <v>28</v>
      </c>
      <c r="C4335">
        <v>62</v>
      </c>
      <c r="D4335" t="s">
        <v>35</v>
      </c>
      <c r="E4335" t="s">
        <v>47</v>
      </c>
      <c r="F4335" s="1">
        <v>42506</v>
      </c>
      <c r="G4335" s="1">
        <v>42523</v>
      </c>
      <c r="H4335" t="s">
        <v>33</v>
      </c>
      <c r="I4335">
        <v>17</v>
      </c>
      <c r="J4335" t="s">
        <v>77</v>
      </c>
      <c r="K4335">
        <v>0</v>
      </c>
      <c r="L4335">
        <v>1</v>
      </c>
      <c r="M4335">
        <v>1</v>
      </c>
      <c r="N4335">
        <v>1</v>
      </c>
      <c r="O4335">
        <v>0</v>
      </c>
      <c r="P4335">
        <v>1</v>
      </c>
      <c r="Q4335" t="s">
        <v>23</v>
      </c>
      <c r="R4335">
        <v>0</v>
      </c>
    </row>
    <row r="4336" spans="1:18">
      <c r="A4336" s="4">
        <v>988762000000000</v>
      </c>
      <c r="B4336" t="s">
        <v>28</v>
      </c>
      <c r="C4336">
        <v>27</v>
      </c>
      <c r="D4336" t="s">
        <v>37</v>
      </c>
      <c r="E4336" t="s">
        <v>105</v>
      </c>
      <c r="F4336" s="1">
        <v>42506</v>
      </c>
      <c r="G4336" s="1">
        <v>42506</v>
      </c>
      <c r="H4336" t="s">
        <v>30</v>
      </c>
      <c r="I4336">
        <v>0</v>
      </c>
      <c r="J4336" t="s">
        <v>111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23</v>
      </c>
      <c r="R4336">
        <v>0</v>
      </c>
    </row>
    <row r="4337" spans="1:18">
      <c r="A4337" s="4">
        <v>86877300000000</v>
      </c>
      <c r="B4337" t="s">
        <v>18</v>
      </c>
      <c r="C4337">
        <v>57</v>
      </c>
      <c r="D4337" t="s">
        <v>35</v>
      </c>
      <c r="E4337" t="s">
        <v>75</v>
      </c>
      <c r="F4337" s="1">
        <v>42506</v>
      </c>
      <c r="G4337" s="1">
        <v>42506</v>
      </c>
      <c r="H4337" t="s">
        <v>30</v>
      </c>
      <c r="I4337">
        <v>0</v>
      </c>
      <c r="J4337" t="s">
        <v>111</v>
      </c>
      <c r="K4337">
        <v>0</v>
      </c>
      <c r="L4337">
        <v>1</v>
      </c>
      <c r="M4337">
        <v>1</v>
      </c>
      <c r="N4337">
        <v>1</v>
      </c>
      <c r="O4337">
        <v>0</v>
      </c>
      <c r="P4337">
        <v>0</v>
      </c>
      <c r="Q4337" t="s">
        <v>23</v>
      </c>
      <c r="R4337">
        <v>0</v>
      </c>
    </row>
    <row r="4338" spans="1:18">
      <c r="A4338" s="4">
        <v>33756900000000</v>
      </c>
      <c r="B4338" t="s">
        <v>18</v>
      </c>
      <c r="C4338">
        <v>39</v>
      </c>
      <c r="D4338" t="s">
        <v>27</v>
      </c>
      <c r="E4338" t="s">
        <v>45</v>
      </c>
      <c r="F4338" s="1">
        <v>42506</v>
      </c>
      <c r="G4338" s="1">
        <v>42529</v>
      </c>
      <c r="H4338" t="s">
        <v>25</v>
      </c>
      <c r="I4338">
        <v>23</v>
      </c>
      <c r="J4338" t="s">
        <v>77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26</v>
      </c>
      <c r="R4338">
        <v>1</v>
      </c>
    </row>
    <row r="4339" spans="1:18">
      <c r="A4339" s="4">
        <v>332265000000000</v>
      </c>
      <c r="B4339" t="s">
        <v>18</v>
      </c>
      <c r="C4339">
        <v>59</v>
      </c>
      <c r="D4339" t="s">
        <v>35</v>
      </c>
      <c r="E4339" t="s">
        <v>47</v>
      </c>
      <c r="F4339" s="1">
        <v>42506</v>
      </c>
      <c r="G4339" s="1">
        <v>42506</v>
      </c>
      <c r="H4339" t="s">
        <v>30</v>
      </c>
      <c r="I4339">
        <v>0</v>
      </c>
      <c r="J4339" t="s">
        <v>111</v>
      </c>
      <c r="K4339">
        <v>0</v>
      </c>
      <c r="L4339">
        <v>1</v>
      </c>
      <c r="M4339">
        <v>0</v>
      </c>
      <c r="N4339">
        <v>0</v>
      </c>
      <c r="O4339">
        <v>0</v>
      </c>
      <c r="P4339">
        <v>0</v>
      </c>
      <c r="Q4339" t="s">
        <v>23</v>
      </c>
      <c r="R4339">
        <v>0</v>
      </c>
    </row>
    <row r="4340" spans="1:18">
      <c r="A4340" s="4">
        <v>875920000000000</v>
      </c>
      <c r="B4340" t="s">
        <v>28</v>
      </c>
      <c r="C4340">
        <v>0</v>
      </c>
      <c r="D4340" t="s">
        <v>31</v>
      </c>
      <c r="E4340" t="s">
        <v>66</v>
      </c>
      <c r="F4340" s="1">
        <v>42506</v>
      </c>
      <c r="G4340" s="1">
        <v>42506</v>
      </c>
      <c r="H4340" t="s">
        <v>30</v>
      </c>
      <c r="I4340">
        <v>0</v>
      </c>
      <c r="J4340" t="s">
        <v>111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23</v>
      </c>
      <c r="R4340">
        <v>0</v>
      </c>
    </row>
    <row r="4341" spans="1:18">
      <c r="A4341" s="4">
        <v>566355000000000</v>
      </c>
      <c r="B4341" t="s">
        <v>28</v>
      </c>
      <c r="C4341">
        <v>0</v>
      </c>
      <c r="D4341" t="s">
        <v>31</v>
      </c>
      <c r="E4341" t="s">
        <v>20</v>
      </c>
      <c r="F4341" s="1">
        <v>42506</v>
      </c>
      <c r="G4341" s="1">
        <v>42506</v>
      </c>
      <c r="H4341" t="s">
        <v>30</v>
      </c>
      <c r="I4341">
        <v>0</v>
      </c>
      <c r="J4341" t="s">
        <v>111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23</v>
      </c>
      <c r="R4341">
        <v>0</v>
      </c>
    </row>
    <row r="4342" spans="1:18">
      <c r="A4342" s="4">
        <v>168736000000</v>
      </c>
      <c r="B4342" t="s">
        <v>18</v>
      </c>
      <c r="C4342">
        <v>30</v>
      </c>
      <c r="D4342" t="s">
        <v>37</v>
      </c>
      <c r="E4342" t="s">
        <v>63</v>
      </c>
      <c r="F4342" s="1">
        <v>42506</v>
      </c>
      <c r="G4342" s="1">
        <v>42524</v>
      </c>
      <c r="H4342" t="s">
        <v>21</v>
      </c>
      <c r="I4342">
        <v>18</v>
      </c>
      <c r="J4342" t="s">
        <v>77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1</v>
      </c>
      <c r="Q4342" t="s">
        <v>23</v>
      </c>
      <c r="R4342">
        <v>0</v>
      </c>
    </row>
    <row r="4343" spans="1:18">
      <c r="A4343" s="4">
        <v>158463000000000</v>
      </c>
      <c r="B4343" t="s">
        <v>18</v>
      </c>
      <c r="C4343">
        <v>30</v>
      </c>
      <c r="D4343" t="s">
        <v>37</v>
      </c>
      <c r="E4343" t="s">
        <v>47</v>
      </c>
      <c r="F4343" s="1">
        <v>42506</v>
      </c>
      <c r="G4343" s="1">
        <v>42529</v>
      </c>
      <c r="H4343" t="s">
        <v>25</v>
      </c>
      <c r="I4343">
        <v>23</v>
      </c>
      <c r="J4343" t="s">
        <v>77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1</v>
      </c>
      <c r="Q4343" t="s">
        <v>23</v>
      </c>
      <c r="R4343">
        <v>0</v>
      </c>
    </row>
    <row r="4344" spans="1:18">
      <c r="A4344" s="4">
        <v>49547000000000</v>
      </c>
      <c r="B4344" t="s">
        <v>18</v>
      </c>
      <c r="C4344">
        <v>5</v>
      </c>
      <c r="D4344" t="s">
        <v>31</v>
      </c>
      <c r="E4344" t="s">
        <v>45</v>
      </c>
      <c r="F4344" s="1">
        <v>42506</v>
      </c>
      <c r="G4344" s="1">
        <v>42506</v>
      </c>
      <c r="H4344" t="s">
        <v>30</v>
      </c>
      <c r="I4344">
        <v>0</v>
      </c>
      <c r="J4344" t="s">
        <v>111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 t="s">
        <v>23</v>
      </c>
      <c r="R4344">
        <v>0</v>
      </c>
    </row>
    <row r="4345" spans="1:18">
      <c r="A4345" s="4">
        <v>757262000000000</v>
      </c>
      <c r="B4345" t="s">
        <v>28</v>
      </c>
      <c r="C4345">
        <v>85</v>
      </c>
      <c r="D4345" t="s">
        <v>19</v>
      </c>
      <c r="E4345" t="s">
        <v>56</v>
      </c>
      <c r="F4345" s="1">
        <v>42506</v>
      </c>
      <c r="G4345" s="1">
        <v>42509</v>
      </c>
      <c r="H4345" t="s">
        <v>33</v>
      </c>
      <c r="I4345">
        <v>3</v>
      </c>
      <c r="J4345" t="s">
        <v>109</v>
      </c>
      <c r="K4345">
        <v>0</v>
      </c>
      <c r="L4345">
        <v>1</v>
      </c>
      <c r="M4345">
        <v>0</v>
      </c>
      <c r="N4345">
        <v>0</v>
      </c>
      <c r="O4345">
        <v>0</v>
      </c>
      <c r="P4345">
        <v>0</v>
      </c>
      <c r="Q4345" t="s">
        <v>23</v>
      </c>
      <c r="R4345">
        <v>0</v>
      </c>
    </row>
    <row r="4346" spans="1:18">
      <c r="A4346" s="4">
        <v>113573000000000</v>
      </c>
      <c r="B4346" t="s">
        <v>28</v>
      </c>
      <c r="C4346">
        <v>28</v>
      </c>
      <c r="D4346" t="s">
        <v>37</v>
      </c>
      <c r="E4346" t="s">
        <v>32</v>
      </c>
      <c r="F4346" s="1">
        <v>42506</v>
      </c>
      <c r="G4346" s="1">
        <v>42507</v>
      </c>
      <c r="H4346" t="s">
        <v>41</v>
      </c>
      <c r="I4346">
        <v>1</v>
      </c>
      <c r="J4346" t="s">
        <v>109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23</v>
      </c>
      <c r="R4346">
        <v>0</v>
      </c>
    </row>
    <row r="4347" spans="1:18">
      <c r="A4347" s="4">
        <v>8524560000000</v>
      </c>
      <c r="B4347" t="s">
        <v>28</v>
      </c>
      <c r="C4347">
        <v>13</v>
      </c>
      <c r="D4347" t="s">
        <v>60</v>
      </c>
      <c r="E4347" t="s">
        <v>90</v>
      </c>
      <c r="F4347" s="1">
        <v>42506</v>
      </c>
      <c r="G4347" s="1">
        <v>42527</v>
      </c>
      <c r="H4347" t="s">
        <v>30</v>
      </c>
      <c r="I4347">
        <v>21</v>
      </c>
      <c r="J4347" t="s">
        <v>77</v>
      </c>
      <c r="K4347">
        <v>1</v>
      </c>
      <c r="L4347">
        <v>0</v>
      </c>
      <c r="M4347">
        <v>0</v>
      </c>
      <c r="N4347">
        <v>0</v>
      </c>
      <c r="O4347">
        <v>0</v>
      </c>
      <c r="P4347">
        <v>1</v>
      </c>
      <c r="Q4347" t="s">
        <v>26</v>
      </c>
      <c r="R4347">
        <v>1</v>
      </c>
    </row>
    <row r="4348" spans="1:18">
      <c r="A4348" s="4">
        <v>5537540000000</v>
      </c>
      <c r="B4348" t="s">
        <v>28</v>
      </c>
      <c r="C4348">
        <v>24</v>
      </c>
      <c r="D4348" t="s">
        <v>37</v>
      </c>
      <c r="E4348" t="s">
        <v>55</v>
      </c>
      <c r="F4348" s="1">
        <v>42506</v>
      </c>
      <c r="G4348" s="1">
        <v>42524</v>
      </c>
      <c r="H4348" t="s">
        <v>21</v>
      </c>
      <c r="I4348">
        <v>18</v>
      </c>
      <c r="J4348" t="s">
        <v>77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1</v>
      </c>
      <c r="Q4348" t="s">
        <v>23</v>
      </c>
      <c r="R4348">
        <v>0</v>
      </c>
    </row>
    <row r="4349" spans="1:18">
      <c r="A4349" s="4">
        <v>992786000000000</v>
      </c>
      <c r="B4349" t="s">
        <v>18</v>
      </c>
      <c r="C4349">
        <v>22</v>
      </c>
      <c r="D4349" t="s">
        <v>37</v>
      </c>
      <c r="E4349" t="s">
        <v>75</v>
      </c>
      <c r="F4349" s="1">
        <v>42506</v>
      </c>
      <c r="G4349" s="1">
        <v>42506</v>
      </c>
      <c r="H4349" t="s">
        <v>30</v>
      </c>
      <c r="I4349">
        <v>0</v>
      </c>
      <c r="J4349" t="s">
        <v>111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23</v>
      </c>
      <c r="R4349">
        <v>0</v>
      </c>
    </row>
    <row r="4350" spans="1:18">
      <c r="A4350" s="4">
        <v>2336130000000</v>
      </c>
      <c r="B4350" t="s">
        <v>28</v>
      </c>
      <c r="C4350">
        <v>16</v>
      </c>
      <c r="D4350" t="s">
        <v>60</v>
      </c>
      <c r="E4350" t="s">
        <v>50</v>
      </c>
      <c r="F4350" s="1">
        <v>42506</v>
      </c>
      <c r="G4350" s="1">
        <v>42524</v>
      </c>
      <c r="H4350" t="s">
        <v>21</v>
      </c>
      <c r="I4350">
        <v>18</v>
      </c>
      <c r="J4350" t="s">
        <v>77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23</v>
      </c>
      <c r="R4350">
        <v>0</v>
      </c>
    </row>
    <row r="4351" spans="1:18">
      <c r="A4351" s="4">
        <v>997555000000000</v>
      </c>
      <c r="B4351" t="s">
        <v>18</v>
      </c>
      <c r="C4351">
        <v>0</v>
      </c>
      <c r="D4351" t="s">
        <v>31</v>
      </c>
      <c r="E4351" t="s">
        <v>54</v>
      </c>
      <c r="F4351" s="1">
        <v>42506</v>
      </c>
      <c r="G4351" s="1">
        <v>42506</v>
      </c>
      <c r="H4351" t="s">
        <v>30</v>
      </c>
      <c r="I4351">
        <v>0</v>
      </c>
      <c r="J4351" t="s">
        <v>111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23</v>
      </c>
      <c r="R4351">
        <v>0</v>
      </c>
    </row>
    <row r="4352" spans="1:18">
      <c r="A4352" s="4">
        <v>71741400000000</v>
      </c>
      <c r="B4352" t="s">
        <v>18</v>
      </c>
      <c r="C4352">
        <v>86</v>
      </c>
      <c r="D4352" t="s">
        <v>19</v>
      </c>
      <c r="E4352" t="s">
        <v>67</v>
      </c>
      <c r="F4352" s="1">
        <v>42506</v>
      </c>
      <c r="G4352" s="1">
        <v>42506</v>
      </c>
      <c r="H4352" t="s">
        <v>30</v>
      </c>
      <c r="I4352">
        <v>0</v>
      </c>
      <c r="J4352" t="s">
        <v>111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23</v>
      </c>
      <c r="R4352">
        <v>0</v>
      </c>
    </row>
    <row r="4353" spans="1:18">
      <c r="A4353" s="4">
        <v>219588000000000</v>
      </c>
      <c r="B4353" t="s">
        <v>18</v>
      </c>
      <c r="C4353">
        <v>48</v>
      </c>
      <c r="D4353" t="s">
        <v>27</v>
      </c>
      <c r="E4353" t="s">
        <v>66</v>
      </c>
      <c r="F4353" s="1">
        <v>42506</v>
      </c>
      <c r="G4353" s="1">
        <v>42506</v>
      </c>
      <c r="H4353" t="s">
        <v>30</v>
      </c>
      <c r="I4353">
        <v>0</v>
      </c>
      <c r="J4353" t="s">
        <v>111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23</v>
      </c>
      <c r="R4353">
        <v>0</v>
      </c>
    </row>
    <row r="4354" spans="1:18">
      <c r="A4354" s="4">
        <v>6846650000000</v>
      </c>
      <c r="B4354" t="s">
        <v>28</v>
      </c>
      <c r="C4354">
        <v>51</v>
      </c>
      <c r="D4354" t="s">
        <v>35</v>
      </c>
      <c r="E4354" t="s">
        <v>32</v>
      </c>
      <c r="F4354" s="1">
        <v>42506</v>
      </c>
      <c r="G4354" s="1">
        <v>42506</v>
      </c>
      <c r="H4354" t="s">
        <v>30</v>
      </c>
      <c r="I4354">
        <v>0</v>
      </c>
      <c r="J4354" t="s">
        <v>111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23</v>
      </c>
      <c r="R4354">
        <v>0</v>
      </c>
    </row>
    <row r="4355" spans="1:18">
      <c r="A4355" s="4">
        <v>865471000000</v>
      </c>
      <c r="B4355" t="s">
        <v>28</v>
      </c>
      <c r="C4355">
        <v>61</v>
      </c>
      <c r="D4355" t="s">
        <v>35</v>
      </c>
      <c r="E4355" t="s">
        <v>58</v>
      </c>
      <c r="F4355" s="1">
        <v>42506</v>
      </c>
      <c r="G4355" s="1">
        <v>42527</v>
      </c>
      <c r="H4355" t="s">
        <v>30</v>
      </c>
      <c r="I4355">
        <v>21</v>
      </c>
      <c r="J4355" t="s">
        <v>77</v>
      </c>
      <c r="K4355">
        <v>0</v>
      </c>
      <c r="L4355">
        <v>1</v>
      </c>
      <c r="M4355">
        <v>0</v>
      </c>
      <c r="N4355">
        <v>0</v>
      </c>
      <c r="O4355">
        <v>0</v>
      </c>
      <c r="P4355">
        <v>1</v>
      </c>
      <c r="Q4355" t="s">
        <v>23</v>
      </c>
      <c r="R4355">
        <v>0</v>
      </c>
    </row>
    <row r="4356" spans="1:18">
      <c r="A4356" s="4">
        <v>39227500000000</v>
      </c>
      <c r="B4356" t="s">
        <v>28</v>
      </c>
      <c r="C4356">
        <v>64</v>
      </c>
      <c r="D4356" t="s">
        <v>35</v>
      </c>
      <c r="E4356" t="s">
        <v>61</v>
      </c>
      <c r="F4356" s="1">
        <v>42506</v>
      </c>
      <c r="G4356" s="1">
        <v>42527</v>
      </c>
      <c r="H4356" t="s">
        <v>30</v>
      </c>
      <c r="I4356">
        <v>21</v>
      </c>
      <c r="J4356" t="s">
        <v>77</v>
      </c>
      <c r="K4356">
        <v>0</v>
      </c>
      <c r="L4356">
        <v>1</v>
      </c>
      <c r="M4356">
        <v>0</v>
      </c>
      <c r="N4356">
        <v>0</v>
      </c>
      <c r="O4356">
        <v>0</v>
      </c>
      <c r="P4356">
        <v>1</v>
      </c>
      <c r="Q4356" t="s">
        <v>23</v>
      </c>
      <c r="R4356">
        <v>0</v>
      </c>
    </row>
    <row r="4357" spans="1:18">
      <c r="A4357" s="4">
        <v>77998900000000</v>
      </c>
      <c r="B4357" t="s">
        <v>18</v>
      </c>
      <c r="C4357">
        <v>35</v>
      </c>
      <c r="D4357" t="s">
        <v>37</v>
      </c>
      <c r="E4357" t="s">
        <v>112</v>
      </c>
      <c r="F4357" s="1">
        <v>42506</v>
      </c>
      <c r="G4357" s="1">
        <v>42506</v>
      </c>
      <c r="H4357" t="s">
        <v>30</v>
      </c>
      <c r="I4357">
        <v>0</v>
      </c>
      <c r="J4357" t="s">
        <v>111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23</v>
      </c>
      <c r="R4357">
        <v>0</v>
      </c>
    </row>
    <row r="4358" spans="1:18">
      <c r="A4358" s="4">
        <v>6423380000000</v>
      </c>
      <c r="B4358" t="s">
        <v>18</v>
      </c>
      <c r="C4358">
        <v>63</v>
      </c>
      <c r="D4358" t="s">
        <v>35</v>
      </c>
      <c r="E4358" t="s">
        <v>38</v>
      </c>
      <c r="F4358" s="1">
        <v>42506</v>
      </c>
      <c r="G4358" s="1">
        <v>42509</v>
      </c>
      <c r="H4358" t="s">
        <v>33</v>
      </c>
      <c r="I4358">
        <v>3</v>
      </c>
      <c r="J4358" t="s">
        <v>109</v>
      </c>
      <c r="K4358">
        <v>0</v>
      </c>
      <c r="L4358">
        <v>1</v>
      </c>
      <c r="M4358">
        <v>0</v>
      </c>
      <c r="N4358">
        <v>0</v>
      </c>
      <c r="O4358">
        <v>1</v>
      </c>
      <c r="P4358">
        <v>0</v>
      </c>
      <c r="Q4358" t="s">
        <v>23</v>
      </c>
      <c r="R4358">
        <v>0</v>
      </c>
    </row>
    <row r="4359" spans="1:18">
      <c r="A4359" s="4">
        <v>33285200000000</v>
      </c>
      <c r="B4359" t="s">
        <v>18</v>
      </c>
      <c r="C4359">
        <v>44</v>
      </c>
      <c r="D4359" t="s">
        <v>27</v>
      </c>
      <c r="E4359" t="s">
        <v>55</v>
      </c>
      <c r="F4359" s="1">
        <v>42506</v>
      </c>
      <c r="G4359" s="1">
        <v>42523</v>
      </c>
      <c r="H4359" t="s">
        <v>33</v>
      </c>
      <c r="I4359">
        <v>17</v>
      </c>
      <c r="J4359" t="s">
        <v>77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1</v>
      </c>
      <c r="Q4359" t="s">
        <v>26</v>
      </c>
      <c r="R4359">
        <v>1</v>
      </c>
    </row>
    <row r="4360" spans="1:18">
      <c r="A4360" s="4">
        <v>9817270000000</v>
      </c>
      <c r="B4360" t="s">
        <v>28</v>
      </c>
      <c r="C4360">
        <v>2</v>
      </c>
      <c r="D4360" t="s">
        <v>31</v>
      </c>
      <c r="E4360" t="s">
        <v>55</v>
      </c>
      <c r="F4360" s="1">
        <v>42506</v>
      </c>
      <c r="G4360" s="1">
        <v>42506</v>
      </c>
      <c r="H4360" t="s">
        <v>30</v>
      </c>
      <c r="I4360">
        <v>0</v>
      </c>
      <c r="J4360" t="s">
        <v>111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23</v>
      </c>
      <c r="R4360">
        <v>0</v>
      </c>
    </row>
    <row r="4361" spans="1:18">
      <c r="A4361" s="4">
        <v>8232600000000</v>
      </c>
      <c r="B4361" t="s">
        <v>28</v>
      </c>
      <c r="C4361">
        <v>6</v>
      </c>
      <c r="D4361" t="s">
        <v>31</v>
      </c>
      <c r="E4361" t="s">
        <v>84</v>
      </c>
      <c r="F4361" s="1">
        <v>42506</v>
      </c>
      <c r="G4361" s="1">
        <v>42514</v>
      </c>
      <c r="H4361" t="s">
        <v>41</v>
      </c>
      <c r="I4361">
        <v>8</v>
      </c>
      <c r="J4361" t="s">
        <v>92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1</v>
      </c>
      <c r="Q4361" t="s">
        <v>23</v>
      </c>
      <c r="R4361">
        <v>0</v>
      </c>
    </row>
    <row r="4362" spans="1:18">
      <c r="A4362" s="4">
        <v>95279500000000</v>
      </c>
      <c r="B4362" t="s">
        <v>28</v>
      </c>
      <c r="C4362">
        <v>36</v>
      </c>
      <c r="D4362" t="s">
        <v>27</v>
      </c>
      <c r="E4362" t="s">
        <v>61</v>
      </c>
      <c r="F4362" s="1">
        <v>42506</v>
      </c>
      <c r="G4362" s="1">
        <v>42528</v>
      </c>
      <c r="H4362" t="s">
        <v>41</v>
      </c>
      <c r="I4362">
        <v>22</v>
      </c>
      <c r="J4362" t="s">
        <v>77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1</v>
      </c>
      <c r="Q4362" t="s">
        <v>23</v>
      </c>
      <c r="R4362">
        <v>0</v>
      </c>
    </row>
    <row r="4363" spans="1:18">
      <c r="A4363" s="4">
        <v>178374000000</v>
      </c>
      <c r="B4363" t="s">
        <v>18</v>
      </c>
      <c r="C4363">
        <v>58</v>
      </c>
      <c r="D4363" t="s">
        <v>35</v>
      </c>
      <c r="E4363" t="s">
        <v>75</v>
      </c>
      <c r="F4363" s="1">
        <v>42506</v>
      </c>
      <c r="G4363" s="1">
        <v>42524</v>
      </c>
      <c r="H4363" t="s">
        <v>21</v>
      </c>
      <c r="I4363">
        <v>18</v>
      </c>
      <c r="J4363" t="s">
        <v>77</v>
      </c>
      <c r="K4363">
        <v>0</v>
      </c>
      <c r="L4363">
        <v>0</v>
      </c>
      <c r="M4363">
        <v>0</v>
      </c>
      <c r="N4363">
        <v>0</v>
      </c>
      <c r="O4363">
        <v>1</v>
      </c>
      <c r="P4363">
        <v>0</v>
      </c>
      <c r="Q4363" t="s">
        <v>23</v>
      </c>
      <c r="R4363">
        <v>0</v>
      </c>
    </row>
    <row r="4364" spans="1:18">
      <c r="A4364" s="4">
        <v>9198830000000</v>
      </c>
      <c r="B4364" t="s">
        <v>18</v>
      </c>
      <c r="C4364">
        <v>15</v>
      </c>
      <c r="D4364" t="s">
        <v>60</v>
      </c>
      <c r="E4364" t="s">
        <v>45</v>
      </c>
      <c r="F4364" s="1">
        <v>42506</v>
      </c>
      <c r="G4364" s="1">
        <v>42506</v>
      </c>
      <c r="H4364" t="s">
        <v>30</v>
      </c>
      <c r="I4364">
        <v>0</v>
      </c>
      <c r="J4364" t="s">
        <v>111</v>
      </c>
      <c r="K4364">
        <v>0</v>
      </c>
      <c r="L4364">
        <v>0</v>
      </c>
      <c r="M4364">
        <v>0</v>
      </c>
      <c r="N4364">
        <v>0</v>
      </c>
      <c r="O4364">
        <v>1</v>
      </c>
      <c r="P4364">
        <v>0</v>
      </c>
      <c r="Q4364" t="s">
        <v>23</v>
      </c>
      <c r="R4364">
        <v>0</v>
      </c>
    </row>
    <row r="4365" spans="1:18">
      <c r="A4365" s="4">
        <v>9156220000000</v>
      </c>
      <c r="B4365" t="s">
        <v>28</v>
      </c>
      <c r="C4365">
        <v>53</v>
      </c>
      <c r="D4365" t="s">
        <v>35</v>
      </c>
      <c r="E4365" t="s">
        <v>75</v>
      </c>
      <c r="F4365" s="1">
        <v>42506</v>
      </c>
      <c r="G4365" s="1">
        <v>42506</v>
      </c>
      <c r="H4365" t="s">
        <v>30</v>
      </c>
      <c r="I4365">
        <v>0</v>
      </c>
      <c r="J4365" t="s">
        <v>111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23</v>
      </c>
      <c r="R4365">
        <v>0</v>
      </c>
    </row>
    <row r="4366" spans="1:18">
      <c r="A4366" s="4">
        <v>38482800000000</v>
      </c>
      <c r="B4366" t="s">
        <v>18</v>
      </c>
      <c r="C4366">
        <v>46</v>
      </c>
      <c r="D4366" t="s">
        <v>27</v>
      </c>
      <c r="E4366" t="s">
        <v>45</v>
      </c>
      <c r="F4366" s="1">
        <v>42506</v>
      </c>
      <c r="G4366" s="1">
        <v>42506</v>
      </c>
      <c r="H4366" t="s">
        <v>30</v>
      </c>
      <c r="I4366">
        <v>0</v>
      </c>
      <c r="J4366" t="s">
        <v>111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23</v>
      </c>
      <c r="R4366">
        <v>0</v>
      </c>
    </row>
    <row r="4367" spans="1:18">
      <c r="A4367" s="4">
        <v>156291000000000</v>
      </c>
      <c r="B4367" t="s">
        <v>18</v>
      </c>
      <c r="C4367">
        <v>1</v>
      </c>
      <c r="D4367" t="s">
        <v>31</v>
      </c>
      <c r="E4367" t="s">
        <v>61</v>
      </c>
      <c r="F4367" s="1">
        <v>42506</v>
      </c>
      <c r="G4367" s="1">
        <v>42506</v>
      </c>
      <c r="H4367" t="s">
        <v>30</v>
      </c>
      <c r="I4367">
        <v>0</v>
      </c>
      <c r="J4367" t="s">
        <v>111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23</v>
      </c>
      <c r="R4367">
        <v>0</v>
      </c>
    </row>
    <row r="4368" spans="1:18">
      <c r="A4368" s="4">
        <v>21613200000000</v>
      </c>
      <c r="B4368" t="s">
        <v>28</v>
      </c>
      <c r="C4368">
        <v>53</v>
      </c>
      <c r="D4368" t="s">
        <v>35</v>
      </c>
      <c r="E4368" t="s">
        <v>47</v>
      </c>
      <c r="F4368" s="1">
        <v>42506</v>
      </c>
      <c r="G4368" s="1">
        <v>42527</v>
      </c>
      <c r="H4368" t="s">
        <v>30</v>
      </c>
      <c r="I4368">
        <v>21</v>
      </c>
      <c r="J4368" t="s">
        <v>77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1</v>
      </c>
      <c r="Q4368" t="s">
        <v>23</v>
      </c>
      <c r="R4368">
        <v>0</v>
      </c>
    </row>
    <row r="4369" spans="1:18">
      <c r="A4369" s="4">
        <v>51385592162</v>
      </c>
      <c r="B4369" t="s">
        <v>18</v>
      </c>
      <c r="C4369">
        <v>69</v>
      </c>
      <c r="D4369" t="s">
        <v>19</v>
      </c>
      <c r="E4369" t="s">
        <v>45</v>
      </c>
      <c r="F4369" s="1">
        <v>42506</v>
      </c>
      <c r="G4369" s="1">
        <v>42520</v>
      </c>
      <c r="H4369" t="s">
        <v>30</v>
      </c>
      <c r="I4369">
        <v>14</v>
      </c>
      <c r="J4369" t="s">
        <v>92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1</v>
      </c>
      <c r="Q4369" t="s">
        <v>23</v>
      </c>
      <c r="R4369">
        <v>0</v>
      </c>
    </row>
    <row r="4370" spans="1:18">
      <c r="A4370" s="4">
        <v>6621851225</v>
      </c>
      <c r="B4370" t="s">
        <v>28</v>
      </c>
      <c r="C4370">
        <v>67</v>
      </c>
      <c r="D4370" t="s">
        <v>19</v>
      </c>
      <c r="E4370" t="s">
        <v>47</v>
      </c>
      <c r="F4370" s="1">
        <v>42506</v>
      </c>
      <c r="G4370" s="1">
        <v>42527</v>
      </c>
      <c r="H4370" t="s">
        <v>30</v>
      </c>
      <c r="I4370">
        <v>21</v>
      </c>
      <c r="J4370" t="s">
        <v>77</v>
      </c>
      <c r="K4370">
        <v>0</v>
      </c>
      <c r="L4370">
        <v>1</v>
      </c>
      <c r="M4370">
        <v>1</v>
      </c>
      <c r="N4370">
        <v>0</v>
      </c>
      <c r="O4370">
        <v>0</v>
      </c>
      <c r="P4370">
        <v>1</v>
      </c>
      <c r="Q4370" t="s">
        <v>23</v>
      </c>
      <c r="R4370">
        <v>0</v>
      </c>
    </row>
    <row r="4371" spans="1:18">
      <c r="A4371" s="4">
        <v>4812990000000</v>
      </c>
      <c r="B4371" t="s">
        <v>18</v>
      </c>
      <c r="C4371">
        <v>5</v>
      </c>
      <c r="D4371" t="s">
        <v>31</v>
      </c>
      <c r="E4371" t="s">
        <v>47</v>
      </c>
      <c r="F4371" s="1">
        <v>42506</v>
      </c>
      <c r="G4371" s="1">
        <v>42528</v>
      </c>
      <c r="H4371" t="s">
        <v>41</v>
      </c>
      <c r="I4371">
        <v>22</v>
      </c>
      <c r="J4371" t="s">
        <v>77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 t="s">
        <v>23</v>
      </c>
      <c r="R4371">
        <v>0</v>
      </c>
    </row>
    <row r="4372" spans="1:18">
      <c r="A4372" s="4">
        <v>954565000000000</v>
      </c>
      <c r="B4372" t="s">
        <v>18</v>
      </c>
      <c r="C4372">
        <v>46</v>
      </c>
      <c r="D4372" t="s">
        <v>27</v>
      </c>
      <c r="E4372" t="s">
        <v>40</v>
      </c>
      <c r="F4372" s="1">
        <v>42506</v>
      </c>
      <c r="G4372" s="1">
        <v>42527</v>
      </c>
      <c r="H4372" t="s">
        <v>30</v>
      </c>
      <c r="I4372">
        <v>21</v>
      </c>
      <c r="J4372" t="s">
        <v>77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1</v>
      </c>
      <c r="Q4372" t="s">
        <v>26</v>
      </c>
      <c r="R4372">
        <v>1</v>
      </c>
    </row>
    <row r="4373" spans="1:18">
      <c r="A4373" s="4">
        <v>35783500000000</v>
      </c>
      <c r="B4373" t="s">
        <v>28</v>
      </c>
      <c r="C4373">
        <v>37</v>
      </c>
      <c r="D4373" t="s">
        <v>27</v>
      </c>
      <c r="E4373" t="s">
        <v>42</v>
      </c>
      <c r="F4373" s="1">
        <v>42506</v>
      </c>
      <c r="G4373" s="1">
        <v>42524</v>
      </c>
      <c r="H4373" t="s">
        <v>21</v>
      </c>
      <c r="I4373">
        <v>18</v>
      </c>
      <c r="J4373" t="s">
        <v>77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1</v>
      </c>
      <c r="Q4373" t="s">
        <v>26</v>
      </c>
      <c r="R4373">
        <v>1</v>
      </c>
    </row>
    <row r="4374" spans="1:18">
      <c r="A4374" s="4">
        <v>871375000000000</v>
      </c>
      <c r="B4374" t="s">
        <v>28</v>
      </c>
      <c r="C4374">
        <v>63</v>
      </c>
      <c r="D4374" t="s">
        <v>35</v>
      </c>
      <c r="E4374" t="s">
        <v>54</v>
      </c>
      <c r="F4374" s="1">
        <v>42506</v>
      </c>
      <c r="G4374" s="1">
        <v>42506</v>
      </c>
      <c r="H4374" t="s">
        <v>30</v>
      </c>
      <c r="I4374">
        <v>0</v>
      </c>
      <c r="J4374" t="s">
        <v>111</v>
      </c>
      <c r="K4374">
        <v>0</v>
      </c>
      <c r="L4374">
        <v>0</v>
      </c>
      <c r="M4374">
        <v>0</v>
      </c>
      <c r="N4374">
        <v>1</v>
      </c>
      <c r="O4374">
        <v>0</v>
      </c>
      <c r="P4374">
        <v>0</v>
      </c>
      <c r="Q4374" t="s">
        <v>23</v>
      </c>
      <c r="R4374">
        <v>0</v>
      </c>
    </row>
    <row r="4375" spans="1:18">
      <c r="A4375" s="4">
        <v>74527000000000</v>
      </c>
      <c r="B4375" t="s">
        <v>28</v>
      </c>
      <c r="C4375">
        <v>75</v>
      </c>
      <c r="D4375" t="s">
        <v>19</v>
      </c>
      <c r="E4375" t="s">
        <v>58</v>
      </c>
      <c r="F4375" s="1">
        <v>42506</v>
      </c>
      <c r="G4375" s="1">
        <v>42527</v>
      </c>
      <c r="H4375" t="s">
        <v>30</v>
      </c>
      <c r="I4375">
        <v>21</v>
      </c>
      <c r="J4375" t="s">
        <v>77</v>
      </c>
      <c r="K4375">
        <v>0</v>
      </c>
      <c r="L4375">
        <v>1</v>
      </c>
      <c r="M4375">
        <v>0</v>
      </c>
      <c r="N4375">
        <v>0</v>
      </c>
      <c r="O4375">
        <v>0</v>
      </c>
      <c r="P4375">
        <v>1</v>
      </c>
      <c r="Q4375" t="s">
        <v>23</v>
      </c>
      <c r="R4375">
        <v>0</v>
      </c>
    </row>
    <row r="4376" spans="1:18">
      <c r="A4376" s="4">
        <v>9496200000000</v>
      </c>
      <c r="B4376" t="s">
        <v>28</v>
      </c>
      <c r="C4376">
        <v>35</v>
      </c>
      <c r="D4376" t="s">
        <v>37</v>
      </c>
      <c r="E4376" t="s">
        <v>40</v>
      </c>
      <c r="F4376" s="1">
        <v>42506</v>
      </c>
      <c r="G4376" s="1">
        <v>42506</v>
      </c>
      <c r="H4376" t="s">
        <v>30</v>
      </c>
      <c r="I4376">
        <v>0</v>
      </c>
      <c r="J4376" t="s">
        <v>111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 t="s">
        <v>23</v>
      </c>
      <c r="R4376">
        <v>0</v>
      </c>
    </row>
    <row r="4377" spans="1:18">
      <c r="A4377" s="4">
        <v>118178000000000</v>
      </c>
      <c r="B4377" t="s">
        <v>28</v>
      </c>
      <c r="C4377">
        <v>0</v>
      </c>
      <c r="D4377" t="s">
        <v>31</v>
      </c>
      <c r="E4377" t="s">
        <v>96</v>
      </c>
      <c r="F4377" s="1">
        <v>42506</v>
      </c>
      <c r="G4377" s="1">
        <v>42506</v>
      </c>
      <c r="H4377" t="s">
        <v>30</v>
      </c>
      <c r="I4377">
        <v>0</v>
      </c>
      <c r="J4377" t="s">
        <v>111</v>
      </c>
      <c r="K4377">
        <v>1</v>
      </c>
      <c r="L4377">
        <v>0</v>
      </c>
      <c r="M4377">
        <v>0</v>
      </c>
      <c r="N4377">
        <v>0</v>
      </c>
      <c r="O4377">
        <v>0</v>
      </c>
      <c r="P4377">
        <v>0</v>
      </c>
      <c r="Q4377" t="s">
        <v>23</v>
      </c>
      <c r="R4377">
        <v>0</v>
      </c>
    </row>
    <row r="4378" spans="1:18">
      <c r="A4378" s="4">
        <v>3952840000000</v>
      </c>
      <c r="B4378" t="s">
        <v>28</v>
      </c>
      <c r="C4378">
        <v>61</v>
      </c>
      <c r="D4378" t="s">
        <v>35</v>
      </c>
      <c r="E4378" t="s">
        <v>80</v>
      </c>
      <c r="F4378" s="1">
        <v>42506</v>
      </c>
      <c r="G4378" s="1">
        <v>42508</v>
      </c>
      <c r="H4378" t="s">
        <v>25</v>
      </c>
      <c r="I4378">
        <v>2</v>
      </c>
      <c r="J4378" t="s">
        <v>109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23</v>
      </c>
      <c r="R4378">
        <v>0</v>
      </c>
    </row>
    <row r="4379" spans="1:18">
      <c r="A4379" s="4">
        <v>897529000000</v>
      </c>
      <c r="B4379" t="s">
        <v>18</v>
      </c>
      <c r="C4379">
        <v>43</v>
      </c>
      <c r="D4379" t="s">
        <v>27</v>
      </c>
      <c r="E4379" t="s">
        <v>96</v>
      </c>
      <c r="F4379" s="1">
        <v>42506</v>
      </c>
      <c r="G4379" s="1">
        <v>42520</v>
      </c>
      <c r="H4379" t="s">
        <v>30</v>
      </c>
      <c r="I4379">
        <v>14</v>
      </c>
      <c r="J4379" t="s">
        <v>92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1</v>
      </c>
      <c r="Q4379" t="s">
        <v>23</v>
      </c>
      <c r="R4379">
        <v>0</v>
      </c>
    </row>
    <row r="4380" spans="1:18">
      <c r="A4380" s="4">
        <v>1317360000000</v>
      </c>
      <c r="B4380" t="s">
        <v>18</v>
      </c>
      <c r="C4380">
        <v>40</v>
      </c>
      <c r="D4380" t="s">
        <v>27</v>
      </c>
      <c r="E4380" t="s">
        <v>49</v>
      </c>
      <c r="F4380" s="1">
        <v>42506</v>
      </c>
      <c r="G4380" s="1">
        <v>42524</v>
      </c>
      <c r="H4380" t="s">
        <v>21</v>
      </c>
      <c r="I4380">
        <v>18</v>
      </c>
      <c r="J4380" t="s">
        <v>77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1</v>
      </c>
      <c r="Q4380" t="s">
        <v>23</v>
      </c>
      <c r="R4380">
        <v>0</v>
      </c>
    </row>
    <row r="4381" spans="1:18">
      <c r="A4381" s="4">
        <v>5794950000000</v>
      </c>
      <c r="B4381" t="s">
        <v>28</v>
      </c>
      <c r="C4381">
        <v>1</v>
      </c>
      <c r="D4381" t="s">
        <v>31</v>
      </c>
      <c r="E4381" t="s">
        <v>50</v>
      </c>
      <c r="F4381" s="1">
        <v>42506</v>
      </c>
      <c r="G4381" s="1">
        <v>42523</v>
      </c>
      <c r="H4381" t="s">
        <v>33</v>
      </c>
      <c r="I4381">
        <v>17</v>
      </c>
      <c r="J4381" t="s">
        <v>77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1</v>
      </c>
      <c r="Q4381" t="s">
        <v>23</v>
      </c>
      <c r="R4381">
        <v>0</v>
      </c>
    </row>
    <row r="4382" spans="1:18">
      <c r="A4382" s="4">
        <v>933790000000000</v>
      </c>
      <c r="B4382" t="s">
        <v>18</v>
      </c>
      <c r="C4382">
        <v>31</v>
      </c>
      <c r="D4382" t="s">
        <v>37</v>
      </c>
      <c r="E4382" t="s">
        <v>32</v>
      </c>
      <c r="F4382" s="1">
        <v>42506</v>
      </c>
      <c r="G4382" s="1">
        <v>42514</v>
      </c>
      <c r="H4382" t="s">
        <v>41</v>
      </c>
      <c r="I4382">
        <v>8</v>
      </c>
      <c r="J4382" t="s">
        <v>92</v>
      </c>
      <c r="K4382">
        <v>0</v>
      </c>
      <c r="L4382">
        <v>0</v>
      </c>
      <c r="M4382">
        <v>0</v>
      </c>
      <c r="N4382">
        <v>0</v>
      </c>
      <c r="O4382">
        <v>1</v>
      </c>
      <c r="P4382">
        <v>1</v>
      </c>
      <c r="Q4382" t="s">
        <v>23</v>
      </c>
      <c r="R4382">
        <v>0</v>
      </c>
    </row>
    <row r="4383" spans="1:18">
      <c r="A4383" s="4">
        <v>54136156922</v>
      </c>
      <c r="B4383" t="s">
        <v>18</v>
      </c>
      <c r="C4383">
        <v>1</v>
      </c>
      <c r="D4383" t="s">
        <v>31</v>
      </c>
      <c r="E4383" t="s">
        <v>45</v>
      </c>
      <c r="F4383" s="1">
        <v>42506</v>
      </c>
      <c r="G4383" s="1">
        <v>42506</v>
      </c>
      <c r="H4383" t="s">
        <v>30</v>
      </c>
      <c r="I4383">
        <v>0</v>
      </c>
      <c r="J4383" t="s">
        <v>111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23</v>
      </c>
      <c r="R4383">
        <v>0</v>
      </c>
    </row>
    <row r="4384" spans="1:18">
      <c r="A4384" s="4">
        <v>421367000000000</v>
      </c>
      <c r="B4384" t="s">
        <v>18</v>
      </c>
      <c r="C4384">
        <v>2</v>
      </c>
      <c r="D4384" t="s">
        <v>31</v>
      </c>
      <c r="E4384" t="s">
        <v>47</v>
      </c>
      <c r="F4384" s="1">
        <v>42506</v>
      </c>
      <c r="G4384" s="1">
        <v>42528</v>
      </c>
      <c r="H4384" t="s">
        <v>41</v>
      </c>
      <c r="I4384">
        <v>22</v>
      </c>
      <c r="J4384" t="s">
        <v>77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23</v>
      </c>
      <c r="R4384">
        <v>0</v>
      </c>
    </row>
    <row r="4385" spans="1:18">
      <c r="A4385" s="4">
        <v>617752000000000</v>
      </c>
      <c r="B4385" t="s">
        <v>18</v>
      </c>
      <c r="C4385">
        <v>58</v>
      </c>
      <c r="D4385" t="s">
        <v>35</v>
      </c>
      <c r="E4385" t="s">
        <v>34</v>
      </c>
      <c r="F4385" s="1">
        <v>42506</v>
      </c>
      <c r="G4385" s="1">
        <v>42506</v>
      </c>
      <c r="H4385" t="s">
        <v>30</v>
      </c>
      <c r="I4385">
        <v>0</v>
      </c>
      <c r="J4385" t="s">
        <v>111</v>
      </c>
      <c r="K4385">
        <v>0</v>
      </c>
      <c r="L4385">
        <v>1</v>
      </c>
      <c r="M4385">
        <v>0</v>
      </c>
      <c r="N4385">
        <v>0</v>
      </c>
      <c r="O4385">
        <v>0</v>
      </c>
      <c r="P4385">
        <v>0</v>
      </c>
      <c r="Q4385" t="s">
        <v>23</v>
      </c>
      <c r="R4385">
        <v>0</v>
      </c>
    </row>
    <row r="4386" spans="1:18">
      <c r="A4386" s="4">
        <v>33585800000000</v>
      </c>
      <c r="B4386" t="s">
        <v>28</v>
      </c>
      <c r="C4386">
        <v>7</v>
      </c>
      <c r="D4386" t="s">
        <v>31</v>
      </c>
      <c r="E4386" t="s">
        <v>50</v>
      </c>
      <c r="F4386" s="1">
        <v>42506</v>
      </c>
      <c r="G4386" s="1">
        <v>42529</v>
      </c>
      <c r="H4386" t="s">
        <v>25</v>
      </c>
      <c r="I4386">
        <v>23</v>
      </c>
      <c r="J4386" t="s">
        <v>77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1</v>
      </c>
      <c r="Q4386" t="s">
        <v>23</v>
      </c>
      <c r="R4386">
        <v>0</v>
      </c>
    </row>
    <row r="4387" spans="1:18">
      <c r="A4387" s="4">
        <v>55567100000000</v>
      </c>
      <c r="B4387" t="s">
        <v>28</v>
      </c>
      <c r="C4387">
        <v>27</v>
      </c>
      <c r="D4387" t="s">
        <v>37</v>
      </c>
      <c r="E4387" t="s">
        <v>78</v>
      </c>
      <c r="F4387" s="1">
        <v>42506</v>
      </c>
      <c r="G4387" s="1">
        <v>42520</v>
      </c>
      <c r="H4387" t="s">
        <v>30</v>
      </c>
      <c r="I4387">
        <v>14</v>
      </c>
      <c r="J4387" t="s">
        <v>92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1</v>
      </c>
      <c r="Q4387" t="s">
        <v>23</v>
      </c>
      <c r="R4387">
        <v>0</v>
      </c>
    </row>
    <row r="4388" spans="1:18">
      <c r="A4388" s="4">
        <v>816272000000</v>
      </c>
      <c r="B4388" t="s">
        <v>28</v>
      </c>
      <c r="C4388">
        <v>66</v>
      </c>
      <c r="D4388" t="s">
        <v>19</v>
      </c>
      <c r="E4388" t="s">
        <v>75</v>
      </c>
      <c r="F4388" s="1">
        <v>42506</v>
      </c>
      <c r="G4388" s="1">
        <v>42506</v>
      </c>
      <c r="H4388" t="s">
        <v>30</v>
      </c>
      <c r="I4388">
        <v>0</v>
      </c>
      <c r="J4388" t="s">
        <v>111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23</v>
      </c>
      <c r="R4388">
        <v>0</v>
      </c>
    </row>
    <row r="4389" spans="1:18">
      <c r="A4389" s="4">
        <v>1495370000000</v>
      </c>
      <c r="B4389" t="s">
        <v>18</v>
      </c>
      <c r="C4389">
        <v>28</v>
      </c>
      <c r="D4389" t="s">
        <v>37</v>
      </c>
      <c r="E4389" t="s">
        <v>50</v>
      </c>
      <c r="F4389" s="1">
        <v>42506</v>
      </c>
      <c r="G4389" s="1">
        <v>42506</v>
      </c>
      <c r="H4389" t="s">
        <v>30</v>
      </c>
      <c r="I4389">
        <v>0</v>
      </c>
      <c r="J4389" t="s">
        <v>111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23</v>
      </c>
      <c r="R4389">
        <v>0</v>
      </c>
    </row>
    <row r="4390" spans="1:18">
      <c r="A4390" s="4">
        <v>641923000000000</v>
      </c>
      <c r="B4390" t="s">
        <v>18</v>
      </c>
      <c r="C4390">
        <v>26</v>
      </c>
      <c r="D4390" t="s">
        <v>37</v>
      </c>
      <c r="E4390" t="s">
        <v>32</v>
      </c>
      <c r="F4390" s="1">
        <v>42506</v>
      </c>
      <c r="G4390" s="1">
        <v>42506</v>
      </c>
      <c r="H4390" t="s">
        <v>30</v>
      </c>
      <c r="I4390">
        <v>0</v>
      </c>
      <c r="J4390" t="s">
        <v>111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23</v>
      </c>
      <c r="R4390">
        <v>0</v>
      </c>
    </row>
    <row r="4391" spans="1:18">
      <c r="A4391" s="4">
        <v>6911280000000</v>
      </c>
      <c r="B4391" t="s">
        <v>18</v>
      </c>
      <c r="C4391">
        <v>89</v>
      </c>
      <c r="D4391" t="s">
        <v>19</v>
      </c>
      <c r="E4391" t="s">
        <v>47</v>
      </c>
      <c r="F4391" s="1">
        <v>42506</v>
      </c>
      <c r="G4391" s="1">
        <v>42522</v>
      </c>
      <c r="H4391" t="s">
        <v>25</v>
      </c>
      <c r="I4391">
        <v>16</v>
      </c>
      <c r="J4391" t="s">
        <v>77</v>
      </c>
      <c r="K4391">
        <v>0</v>
      </c>
      <c r="L4391">
        <v>1</v>
      </c>
      <c r="M4391">
        <v>1</v>
      </c>
      <c r="N4391">
        <v>0</v>
      </c>
      <c r="O4391">
        <v>0</v>
      </c>
      <c r="P4391">
        <v>1</v>
      </c>
      <c r="Q4391" t="s">
        <v>23</v>
      </c>
      <c r="R4391">
        <v>0</v>
      </c>
    </row>
    <row r="4392" spans="1:18">
      <c r="A4392" s="4">
        <v>55857500000000</v>
      </c>
      <c r="B4392" t="s">
        <v>18</v>
      </c>
      <c r="C4392">
        <v>64</v>
      </c>
      <c r="D4392" t="s">
        <v>35</v>
      </c>
      <c r="E4392" t="s">
        <v>79</v>
      </c>
      <c r="F4392" s="1">
        <v>42506</v>
      </c>
      <c r="G4392" s="1">
        <v>42507</v>
      </c>
      <c r="H4392" t="s">
        <v>41</v>
      </c>
      <c r="I4392">
        <v>1</v>
      </c>
      <c r="J4392" t="s">
        <v>109</v>
      </c>
      <c r="K4392">
        <v>0</v>
      </c>
      <c r="L4392">
        <v>1</v>
      </c>
      <c r="M4392">
        <v>1</v>
      </c>
      <c r="N4392">
        <v>0</v>
      </c>
      <c r="O4392">
        <v>0</v>
      </c>
      <c r="P4392">
        <v>0</v>
      </c>
      <c r="Q4392" t="s">
        <v>23</v>
      </c>
      <c r="R4392">
        <v>0</v>
      </c>
    </row>
    <row r="4393" spans="1:18">
      <c r="A4393" s="4">
        <v>9861220000000</v>
      </c>
      <c r="B4393" t="s">
        <v>18</v>
      </c>
      <c r="C4393">
        <v>49</v>
      </c>
      <c r="D4393" t="s">
        <v>27</v>
      </c>
      <c r="E4393" t="s">
        <v>47</v>
      </c>
      <c r="F4393" s="1">
        <v>42506</v>
      </c>
      <c r="G4393" s="1">
        <v>42510</v>
      </c>
      <c r="H4393" t="s">
        <v>21</v>
      </c>
      <c r="I4393">
        <v>4</v>
      </c>
      <c r="J4393" t="s">
        <v>107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23</v>
      </c>
      <c r="R4393">
        <v>0</v>
      </c>
    </row>
    <row r="4394" spans="1:18">
      <c r="A4394" s="4">
        <v>96985400000000</v>
      </c>
      <c r="B4394" t="s">
        <v>28</v>
      </c>
      <c r="C4394">
        <v>66</v>
      </c>
      <c r="D4394" t="s">
        <v>19</v>
      </c>
      <c r="E4394" t="s">
        <v>84</v>
      </c>
      <c r="F4394" s="1">
        <v>42506</v>
      </c>
      <c r="G4394" s="1">
        <v>42506</v>
      </c>
      <c r="H4394" t="s">
        <v>30</v>
      </c>
      <c r="I4394">
        <v>0</v>
      </c>
      <c r="J4394" t="s">
        <v>111</v>
      </c>
      <c r="K4394">
        <v>0</v>
      </c>
      <c r="L4394">
        <v>1</v>
      </c>
      <c r="M4394">
        <v>1</v>
      </c>
      <c r="N4394">
        <v>1</v>
      </c>
      <c r="O4394">
        <v>0</v>
      </c>
      <c r="P4394">
        <v>0</v>
      </c>
      <c r="Q4394" t="s">
        <v>26</v>
      </c>
      <c r="R4394">
        <v>1</v>
      </c>
    </row>
    <row r="4395" spans="1:18">
      <c r="A4395" s="4">
        <v>6264200000000</v>
      </c>
      <c r="B4395" t="s">
        <v>28</v>
      </c>
      <c r="C4395">
        <v>59</v>
      </c>
      <c r="D4395" t="s">
        <v>35</v>
      </c>
      <c r="E4395" t="s">
        <v>45</v>
      </c>
      <c r="F4395" s="1">
        <v>42506</v>
      </c>
      <c r="G4395" s="1">
        <v>42506</v>
      </c>
      <c r="H4395" t="s">
        <v>30</v>
      </c>
      <c r="I4395">
        <v>0</v>
      </c>
      <c r="J4395" t="s">
        <v>111</v>
      </c>
      <c r="K4395">
        <v>1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23</v>
      </c>
      <c r="R4395">
        <v>0</v>
      </c>
    </row>
    <row r="4396" spans="1:18">
      <c r="A4396" s="4">
        <v>6973540000000</v>
      </c>
      <c r="B4396" t="s">
        <v>18</v>
      </c>
      <c r="C4396">
        <v>24</v>
      </c>
      <c r="D4396" t="s">
        <v>37</v>
      </c>
      <c r="E4396" t="s">
        <v>40</v>
      </c>
      <c r="F4396" s="1">
        <v>42506</v>
      </c>
      <c r="G4396" s="1">
        <v>42527</v>
      </c>
      <c r="H4396" t="s">
        <v>30</v>
      </c>
      <c r="I4396">
        <v>21</v>
      </c>
      <c r="J4396" t="s">
        <v>77</v>
      </c>
      <c r="K4396">
        <v>1</v>
      </c>
      <c r="L4396">
        <v>0</v>
      </c>
      <c r="M4396">
        <v>0</v>
      </c>
      <c r="N4396">
        <v>0</v>
      </c>
      <c r="O4396">
        <v>0</v>
      </c>
      <c r="P4396">
        <v>1</v>
      </c>
      <c r="Q4396" t="s">
        <v>23</v>
      </c>
      <c r="R4396">
        <v>0</v>
      </c>
    </row>
    <row r="4397" spans="1:18">
      <c r="A4397" s="4">
        <v>3956980000000</v>
      </c>
      <c r="B4397" t="s">
        <v>18</v>
      </c>
      <c r="C4397">
        <v>63</v>
      </c>
      <c r="D4397" t="s">
        <v>35</v>
      </c>
      <c r="E4397" t="s">
        <v>57</v>
      </c>
      <c r="F4397" s="1">
        <v>42506</v>
      </c>
      <c r="G4397" s="1">
        <v>42506</v>
      </c>
      <c r="H4397" t="s">
        <v>30</v>
      </c>
      <c r="I4397">
        <v>0</v>
      </c>
      <c r="J4397" t="s">
        <v>111</v>
      </c>
      <c r="K4397">
        <v>0</v>
      </c>
      <c r="L4397">
        <v>1</v>
      </c>
      <c r="M4397">
        <v>0</v>
      </c>
      <c r="N4397">
        <v>0</v>
      </c>
      <c r="O4397">
        <v>0</v>
      </c>
      <c r="P4397">
        <v>0</v>
      </c>
      <c r="Q4397" t="s">
        <v>23</v>
      </c>
      <c r="R4397">
        <v>0</v>
      </c>
    </row>
    <row r="4398" spans="1:18">
      <c r="A4398" s="4">
        <v>69322200000000</v>
      </c>
      <c r="B4398" t="s">
        <v>28</v>
      </c>
      <c r="C4398">
        <v>33</v>
      </c>
      <c r="D4398" t="s">
        <v>37</v>
      </c>
      <c r="E4398" t="s">
        <v>79</v>
      </c>
      <c r="F4398" s="1">
        <v>42506</v>
      </c>
      <c r="G4398" s="1">
        <v>42506</v>
      </c>
      <c r="H4398" t="s">
        <v>30</v>
      </c>
      <c r="I4398">
        <v>0</v>
      </c>
      <c r="J4398" t="s">
        <v>111</v>
      </c>
      <c r="K4398">
        <v>0</v>
      </c>
      <c r="L4398">
        <v>0</v>
      </c>
      <c r="M4398">
        <v>0</v>
      </c>
      <c r="N4398">
        <v>1</v>
      </c>
      <c r="O4398">
        <v>0</v>
      </c>
      <c r="P4398">
        <v>0</v>
      </c>
      <c r="Q4398" t="s">
        <v>23</v>
      </c>
      <c r="R4398">
        <v>0</v>
      </c>
    </row>
    <row r="4399" spans="1:18">
      <c r="A4399" s="4">
        <v>594948000000</v>
      </c>
      <c r="B4399" t="s">
        <v>18</v>
      </c>
      <c r="C4399">
        <v>31</v>
      </c>
      <c r="D4399" t="s">
        <v>37</v>
      </c>
      <c r="E4399" t="s">
        <v>45</v>
      </c>
      <c r="F4399" s="1">
        <v>42506</v>
      </c>
      <c r="G4399" s="1">
        <v>42506</v>
      </c>
      <c r="H4399" t="s">
        <v>30</v>
      </c>
      <c r="I4399">
        <v>0</v>
      </c>
      <c r="J4399" t="s">
        <v>111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23</v>
      </c>
      <c r="R4399">
        <v>0</v>
      </c>
    </row>
    <row r="4400" spans="1:18">
      <c r="A4400" s="4">
        <v>746758000000000</v>
      </c>
      <c r="B4400" t="s">
        <v>18</v>
      </c>
      <c r="C4400">
        <v>78</v>
      </c>
      <c r="D4400" t="s">
        <v>19</v>
      </c>
      <c r="E4400" t="s">
        <v>71</v>
      </c>
      <c r="F4400" s="1">
        <v>42506</v>
      </c>
      <c r="G4400" s="1">
        <v>42507</v>
      </c>
      <c r="H4400" t="s">
        <v>41</v>
      </c>
      <c r="I4400">
        <v>1</v>
      </c>
      <c r="J4400" t="s">
        <v>109</v>
      </c>
      <c r="K4400">
        <v>0</v>
      </c>
      <c r="L4400">
        <v>1</v>
      </c>
      <c r="M4400">
        <v>0</v>
      </c>
      <c r="N4400">
        <v>0</v>
      </c>
      <c r="O4400">
        <v>0</v>
      </c>
      <c r="P4400">
        <v>0</v>
      </c>
      <c r="Q4400" t="s">
        <v>23</v>
      </c>
      <c r="R4400">
        <v>0</v>
      </c>
    </row>
    <row r="4401" spans="1:18">
      <c r="A4401" s="4">
        <v>591848000000</v>
      </c>
      <c r="B4401" t="s">
        <v>18</v>
      </c>
      <c r="C4401">
        <v>63</v>
      </c>
      <c r="D4401" t="s">
        <v>35</v>
      </c>
      <c r="E4401" t="s">
        <v>47</v>
      </c>
      <c r="F4401" s="1">
        <v>42506</v>
      </c>
      <c r="G4401" s="1">
        <v>42523</v>
      </c>
      <c r="H4401" t="s">
        <v>33</v>
      </c>
      <c r="I4401">
        <v>17</v>
      </c>
      <c r="J4401" t="s">
        <v>77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1</v>
      </c>
      <c r="Q4401" t="s">
        <v>26</v>
      </c>
      <c r="R4401">
        <v>1</v>
      </c>
    </row>
    <row r="4402" spans="1:18">
      <c r="A4402" s="4">
        <v>228690000000000</v>
      </c>
      <c r="B4402" t="s">
        <v>18</v>
      </c>
      <c r="C4402">
        <v>14</v>
      </c>
      <c r="D4402" t="s">
        <v>60</v>
      </c>
      <c r="E4402" t="s">
        <v>82</v>
      </c>
      <c r="F4402" s="1">
        <v>42506</v>
      </c>
      <c r="G4402" s="1">
        <v>42506</v>
      </c>
      <c r="H4402" t="s">
        <v>30</v>
      </c>
      <c r="I4402">
        <v>0</v>
      </c>
      <c r="J4402" t="s">
        <v>111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23</v>
      </c>
      <c r="R4402">
        <v>0</v>
      </c>
    </row>
    <row r="4403" spans="1:18">
      <c r="A4403" s="4">
        <v>928548000000</v>
      </c>
      <c r="B4403" t="s">
        <v>18</v>
      </c>
      <c r="C4403">
        <v>62</v>
      </c>
      <c r="D4403" t="s">
        <v>35</v>
      </c>
      <c r="E4403" t="s">
        <v>70</v>
      </c>
      <c r="F4403" s="1">
        <v>42506</v>
      </c>
      <c r="G4403" s="1">
        <v>42509</v>
      </c>
      <c r="H4403" t="s">
        <v>33</v>
      </c>
      <c r="I4403">
        <v>3</v>
      </c>
      <c r="J4403" t="s">
        <v>109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23</v>
      </c>
      <c r="R4403">
        <v>0</v>
      </c>
    </row>
    <row r="4404" spans="1:18">
      <c r="A4404" s="4">
        <v>1637470000000</v>
      </c>
      <c r="B4404" t="s">
        <v>18</v>
      </c>
      <c r="C4404">
        <v>23</v>
      </c>
      <c r="D4404" t="s">
        <v>37</v>
      </c>
      <c r="E4404" t="s">
        <v>47</v>
      </c>
      <c r="F4404" s="1">
        <v>42506</v>
      </c>
      <c r="G4404" s="1">
        <v>42506</v>
      </c>
      <c r="H4404" t="s">
        <v>30</v>
      </c>
      <c r="I4404">
        <v>0</v>
      </c>
      <c r="J4404" t="s">
        <v>111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23</v>
      </c>
      <c r="R4404">
        <v>0</v>
      </c>
    </row>
    <row r="4405" spans="1:18">
      <c r="A4405" s="4">
        <v>76442600000000</v>
      </c>
      <c r="B4405" t="s">
        <v>18</v>
      </c>
      <c r="C4405">
        <v>22</v>
      </c>
      <c r="D4405" t="s">
        <v>37</v>
      </c>
      <c r="E4405" t="s">
        <v>101</v>
      </c>
      <c r="F4405" s="1">
        <v>42506</v>
      </c>
      <c r="G4405" s="1">
        <v>42506</v>
      </c>
      <c r="H4405" t="s">
        <v>30</v>
      </c>
      <c r="I4405">
        <v>0</v>
      </c>
      <c r="J4405" t="s">
        <v>111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23</v>
      </c>
      <c r="R4405">
        <v>0</v>
      </c>
    </row>
    <row r="4406" spans="1:18">
      <c r="A4406" s="4">
        <v>38613600000000</v>
      </c>
      <c r="B4406" t="s">
        <v>18</v>
      </c>
      <c r="C4406">
        <v>71</v>
      </c>
      <c r="D4406" t="s">
        <v>19</v>
      </c>
      <c r="E4406" t="s">
        <v>36</v>
      </c>
      <c r="F4406" s="1">
        <v>42506</v>
      </c>
      <c r="G4406" s="1">
        <v>42529</v>
      </c>
      <c r="H4406" t="s">
        <v>25</v>
      </c>
      <c r="I4406">
        <v>23</v>
      </c>
      <c r="J4406" t="s">
        <v>77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1</v>
      </c>
      <c r="Q4406" t="s">
        <v>26</v>
      </c>
      <c r="R4406">
        <v>1</v>
      </c>
    </row>
    <row r="4407" spans="1:18">
      <c r="A4407" s="4">
        <v>6756340000000</v>
      </c>
      <c r="B4407" t="s">
        <v>28</v>
      </c>
      <c r="C4407">
        <v>14</v>
      </c>
      <c r="D4407" t="s">
        <v>60</v>
      </c>
      <c r="E4407" t="s">
        <v>48</v>
      </c>
      <c r="F4407" s="1">
        <v>42506</v>
      </c>
      <c r="G4407" s="1">
        <v>42507</v>
      </c>
      <c r="H4407" t="s">
        <v>41</v>
      </c>
      <c r="I4407">
        <v>1</v>
      </c>
      <c r="J4407" t="s">
        <v>109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23</v>
      </c>
      <c r="R4407">
        <v>0</v>
      </c>
    </row>
    <row r="4408" spans="1:18">
      <c r="A4408" s="4">
        <v>62929800000000</v>
      </c>
      <c r="B4408" t="s">
        <v>18</v>
      </c>
      <c r="C4408">
        <v>71</v>
      </c>
      <c r="D4408" t="s">
        <v>19</v>
      </c>
      <c r="E4408" t="s">
        <v>47</v>
      </c>
      <c r="F4408" s="1">
        <v>42506</v>
      </c>
      <c r="G4408" s="1">
        <v>42529</v>
      </c>
      <c r="H4408" t="s">
        <v>25</v>
      </c>
      <c r="I4408">
        <v>23</v>
      </c>
      <c r="J4408" t="s">
        <v>77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1</v>
      </c>
      <c r="Q4408" t="s">
        <v>23</v>
      </c>
      <c r="R4408">
        <v>0</v>
      </c>
    </row>
    <row r="4409" spans="1:18">
      <c r="A4409" s="4">
        <v>2888980000000</v>
      </c>
      <c r="B4409" t="s">
        <v>28</v>
      </c>
      <c r="C4409">
        <v>1</v>
      </c>
      <c r="D4409" t="s">
        <v>31</v>
      </c>
      <c r="E4409" t="s">
        <v>39</v>
      </c>
      <c r="F4409" s="1">
        <v>42506</v>
      </c>
      <c r="G4409" s="1">
        <v>42506</v>
      </c>
      <c r="H4409" t="s">
        <v>30</v>
      </c>
      <c r="I4409">
        <v>0</v>
      </c>
      <c r="J4409" t="s">
        <v>111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23</v>
      </c>
      <c r="R4409">
        <v>0</v>
      </c>
    </row>
    <row r="4410" spans="1:18">
      <c r="A4410" s="4">
        <v>9943720000000</v>
      </c>
      <c r="B4410" t="s">
        <v>28</v>
      </c>
      <c r="C4410">
        <v>40</v>
      </c>
      <c r="D4410" t="s">
        <v>27</v>
      </c>
      <c r="E4410" t="s">
        <v>20</v>
      </c>
      <c r="F4410" s="1">
        <v>42506</v>
      </c>
      <c r="G4410" s="1">
        <v>42506</v>
      </c>
      <c r="H4410" t="s">
        <v>30</v>
      </c>
      <c r="I4410">
        <v>0</v>
      </c>
      <c r="J4410" t="s">
        <v>111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23</v>
      </c>
      <c r="R4410">
        <v>0</v>
      </c>
    </row>
    <row r="4411" spans="1:18">
      <c r="A4411" s="4">
        <v>63618800000000</v>
      </c>
      <c r="B4411" t="s">
        <v>18</v>
      </c>
      <c r="C4411">
        <v>27</v>
      </c>
      <c r="D4411" t="s">
        <v>37</v>
      </c>
      <c r="E4411" t="s">
        <v>58</v>
      </c>
      <c r="F4411" s="1">
        <v>42506</v>
      </c>
      <c r="G4411" s="1">
        <v>42522</v>
      </c>
      <c r="H4411" t="s">
        <v>25</v>
      </c>
      <c r="I4411">
        <v>16</v>
      </c>
      <c r="J4411" t="s">
        <v>77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1</v>
      </c>
      <c r="Q4411" t="s">
        <v>26</v>
      </c>
      <c r="R4411">
        <v>1</v>
      </c>
    </row>
    <row r="4412" spans="1:18">
      <c r="A4412" s="4">
        <v>829459000000</v>
      </c>
      <c r="B4412" t="s">
        <v>18</v>
      </c>
      <c r="C4412">
        <v>45</v>
      </c>
      <c r="D4412" t="s">
        <v>27</v>
      </c>
      <c r="E4412" t="s">
        <v>91</v>
      </c>
      <c r="F4412" s="1">
        <v>42506</v>
      </c>
      <c r="G4412" s="1">
        <v>42522</v>
      </c>
      <c r="H4412" t="s">
        <v>25</v>
      </c>
      <c r="I4412">
        <v>16</v>
      </c>
      <c r="J4412" t="s">
        <v>77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1</v>
      </c>
      <c r="Q4412" t="s">
        <v>23</v>
      </c>
      <c r="R4412">
        <v>0</v>
      </c>
    </row>
    <row r="4413" spans="1:18">
      <c r="A4413" s="4">
        <v>62843100000000</v>
      </c>
      <c r="B4413" t="s">
        <v>18</v>
      </c>
      <c r="C4413">
        <v>1</v>
      </c>
      <c r="D4413" t="s">
        <v>31</v>
      </c>
      <c r="E4413" t="s">
        <v>83</v>
      </c>
      <c r="F4413" s="1">
        <v>42506</v>
      </c>
      <c r="G4413" s="1">
        <v>42507</v>
      </c>
      <c r="H4413" t="s">
        <v>41</v>
      </c>
      <c r="I4413">
        <v>1</v>
      </c>
      <c r="J4413" t="s">
        <v>109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23</v>
      </c>
      <c r="R4413">
        <v>0</v>
      </c>
    </row>
    <row r="4414" spans="1:18">
      <c r="A4414" s="4">
        <v>54852600000000</v>
      </c>
      <c r="B4414" t="s">
        <v>18</v>
      </c>
      <c r="C4414">
        <v>32</v>
      </c>
      <c r="D4414" t="s">
        <v>37</v>
      </c>
      <c r="E4414" t="s">
        <v>65</v>
      </c>
      <c r="F4414" s="1">
        <v>42506</v>
      </c>
      <c r="G4414" s="1">
        <v>42506</v>
      </c>
      <c r="H4414" t="s">
        <v>30</v>
      </c>
      <c r="I4414">
        <v>0</v>
      </c>
      <c r="J4414" t="s">
        <v>111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23</v>
      </c>
      <c r="R4414">
        <v>0</v>
      </c>
    </row>
    <row r="4415" spans="1:18">
      <c r="A4415" s="4">
        <v>58135649772</v>
      </c>
      <c r="B4415" t="s">
        <v>28</v>
      </c>
      <c r="C4415">
        <v>3</v>
      </c>
      <c r="D4415" t="s">
        <v>31</v>
      </c>
      <c r="E4415" t="s">
        <v>32</v>
      </c>
      <c r="F4415" s="1">
        <v>42506</v>
      </c>
      <c r="G4415" s="1">
        <v>42506</v>
      </c>
      <c r="H4415" t="s">
        <v>30</v>
      </c>
      <c r="I4415">
        <v>0</v>
      </c>
      <c r="J4415" t="s">
        <v>111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23</v>
      </c>
      <c r="R4415">
        <v>0</v>
      </c>
    </row>
    <row r="4416" spans="1:18">
      <c r="A4416" s="4">
        <v>8425860000000</v>
      </c>
      <c r="B4416" t="s">
        <v>28</v>
      </c>
      <c r="C4416">
        <v>11</v>
      </c>
      <c r="D4416" t="s">
        <v>31</v>
      </c>
      <c r="E4416" t="s">
        <v>67</v>
      </c>
      <c r="F4416" s="1">
        <v>42506</v>
      </c>
      <c r="G4416" s="1">
        <v>42527</v>
      </c>
      <c r="H4416" t="s">
        <v>30</v>
      </c>
      <c r="I4416">
        <v>21</v>
      </c>
      <c r="J4416" t="s">
        <v>77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1</v>
      </c>
      <c r="Q4416" t="s">
        <v>23</v>
      </c>
      <c r="R4416">
        <v>0</v>
      </c>
    </row>
    <row r="4417" spans="1:18">
      <c r="A4417" s="4">
        <v>3135196176</v>
      </c>
      <c r="B4417" t="s">
        <v>18</v>
      </c>
      <c r="C4417">
        <v>2</v>
      </c>
      <c r="D4417" t="s">
        <v>31</v>
      </c>
      <c r="E4417" t="s">
        <v>73</v>
      </c>
      <c r="F4417" s="1">
        <v>42506</v>
      </c>
      <c r="G4417" s="1">
        <v>42506</v>
      </c>
      <c r="H4417" t="s">
        <v>30</v>
      </c>
      <c r="I4417">
        <v>0</v>
      </c>
      <c r="J4417" t="s">
        <v>111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23</v>
      </c>
      <c r="R4417">
        <v>0</v>
      </c>
    </row>
    <row r="4418" spans="1:18">
      <c r="A4418" s="4">
        <v>4424180000000</v>
      </c>
      <c r="B4418" t="s">
        <v>18</v>
      </c>
      <c r="C4418">
        <v>75</v>
      </c>
      <c r="D4418" t="s">
        <v>19</v>
      </c>
      <c r="E4418" t="s">
        <v>47</v>
      </c>
      <c r="F4418" s="1">
        <v>42506</v>
      </c>
      <c r="G4418" s="1">
        <v>42528</v>
      </c>
      <c r="H4418" t="s">
        <v>41</v>
      </c>
      <c r="I4418">
        <v>22</v>
      </c>
      <c r="J4418" t="s">
        <v>77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23</v>
      </c>
      <c r="R4418">
        <v>0</v>
      </c>
    </row>
    <row r="4419" spans="1:18">
      <c r="A4419" s="4">
        <v>1543750000000</v>
      </c>
      <c r="B4419" t="s">
        <v>28</v>
      </c>
      <c r="C4419">
        <v>52</v>
      </c>
      <c r="D4419" t="s">
        <v>35</v>
      </c>
      <c r="E4419" t="s">
        <v>29</v>
      </c>
      <c r="F4419" s="1">
        <v>42506</v>
      </c>
      <c r="G4419" s="1">
        <v>42506</v>
      </c>
      <c r="H4419" t="s">
        <v>30</v>
      </c>
      <c r="I4419">
        <v>0</v>
      </c>
      <c r="J4419" t="s">
        <v>111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 t="s">
        <v>23</v>
      </c>
      <c r="R4419">
        <v>0</v>
      </c>
    </row>
    <row r="4420" spans="1:18">
      <c r="A4420" s="4">
        <v>533577000000000</v>
      </c>
      <c r="B4420" t="s">
        <v>28</v>
      </c>
      <c r="C4420">
        <v>29</v>
      </c>
      <c r="D4420" t="s">
        <v>37</v>
      </c>
      <c r="E4420" t="s">
        <v>97</v>
      </c>
      <c r="F4420" s="1">
        <v>42506</v>
      </c>
      <c r="G4420" s="1">
        <v>42506</v>
      </c>
      <c r="H4420" t="s">
        <v>30</v>
      </c>
      <c r="I4420">
        <v>0</v>
      </c>
      <c r="J4420" t="s">
        <v>111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23</v>
      </c>
      <c r="R4420">
        <v>0</v>
      </c>
    </row>
    <row r="4421" spans="1:18">
      <c r="A4421" s="4">
        <v>38864000000000</v>
      </c>
      <c r="B4421" t="s">
        <v>28</v>
      </c>
      <c r="C4421">
        <v>66</v>
      </c>
      <c r="D4421" t="s">
        <v>19</v>
      </c>
      <c r="E4421" t="s">
        <v>90</v>
      </c>
      <c r="F4421" s="1">
        <v>42506</v>
      </c>
      <c r="G4421" s="1">
        <v>42506</v>
      </c>
      <c r="H4421" t="s">
        <v>30</v>
      </c>
      <c r="I4421">
        <v>0</v>
      </c>
      <c r="J4421" t="s">
        <v>111</v>
      </c>
      <c r="K4421">
        <v>0</v>
      </c>
      <c r="L4421">
        <v>1</v>
      </c>
      <c r="M4421">
        <v>1</v>
      </c>
      <c r="N4421">
        <v>0</v>
      </c>
      <c r="O4421">
        <v>0</v>
      </c>
      <c r="P4421">
        <v>0</v>
      </c>
      <c r="Q4421" t="s">
        <v>23</v>
      </c>
      <c r="R4421">
        <v>0</v>
      </c>
    </row>
    <row r="4422" spans="1:18">
      <c r="A4422" s="4">
        <v>1366450000000</v>
      </c>
      <c r="B4422" t="s">
        <v>18</v>
      </c>
      <c r="C4422">
        <v>82</v>
      </c>
      <c r="D4422" t="s">
        <v>19</v>
      </c>
      <c r="E4422" t="s">
        <v>94</v>
      </c>
      <c r="F4422" s="1">
        <v>42506</v>
      </c>
      <c r="G4422" s="1">
        <v>42522</v>
      </c>
      <c r="H4422" t="s">
        <v>25</v>
      </c>
      <c r="I4422">
        <v>16</v>
      </c>
      <c r="J4422" t="s">
        <v>77</v>
      </c>
      <c r="K4422">
        <v>0</v>
      </c>
      <c r="L4422">
        <v>1</v>
      </c>
      <c r="M4422">
        <v>0</v>
      </c>
      <c r="N4422">
        <v>0</v>
      </c>
      <c r="O4422">
        <v>0</v>
      </c>
      <c r="P4422">
        <v>1</v>
      </c>
      <c r="Q4422" t="s">
        <v>26</v>
      </c>
      <c r="R4422">
        <v>1</v>
      </c>
    </row>
    <row r="4423" spans="1:18">
      <c r="A4423" s="4">
        <v>23286800000000</v>
      </c>
      <c r="B4423" t="s">
        <v>28</v>
      </c>
      <c r="C4423">
        <v>55</v>
      </c>
      <c r="D4423" t="s">
        <v>35</v>
      </c>
      <c r="E4423" t="s">
        <v>50</v>
      </c>
      <c r="F4423" s="1">
        <v>42506</v>
      </c>
      <c r="G4423" s="1">
        <v>42528</v>
      </c>
      <c r="H4423" t="s">
        <v>41</v>
      </c>
      <c r="I4423">
        <v>22</v>
      </c>
      <c r="J4423" t="s">
        <v>77</v>
      </c>
      <c r="K4423">
        <v>0</v>
      </c>
      <c r="L4423">
        <v>1</v>
      </c>
      <c r="M4423">
        <v>0</v>
      </c>
      <c r="N4423">
        <v>0</v>
      </c>
      <c r="O4423">
        <v>0</v>
      </c>
      <c r="P4423">
        <v>1</v>
      </c>
      <c r="Q4423" t="s">
        <v>23</v>
      </c>
      <c r="R4423">
        <v>0</v>
      </c>
    </row>
    <row r="4424" spans="1:18">
      <c r="A4424" s="4">
        <v>13162800000000</v>
      </c>
      <c r="B4424" t="s">
        <v>18</v>
      </c>
      <c r="C4424">
        <v>34</v>
      </c>
      <c r="D4424" t="s">
        <v>37</v>
      </c>
      <c r="E4424" t="s">
        <v>75</v>
      </c>
      <c r="F4424" s="1">
        <v>42506</v>
      </c>
      <c r="G4424" s="1">
        <v>42508</v>
      </c>
      <c r="H4424" t="s">
        <v>25</v>
      </c>
      <c r="I4424">
        <v>2</v>
      </c>
      <c r="J4424" t="s">
        <v>109</v>
      </c>
      <c r="K4424">
        <v>1</v>
      </c>
      <c r="L4424">
        <v>1</v>
      </c>
      <c r="M4424">
        <v>0</v>
      </c>
      <c r="N4424">
        <v>0</v>
      </c>
      <c r="O4424">
        <v>0</v>
      </c>
      <c r="P4424">
        <v>0</v>
      </c>
      <c r="Q4424" t="s">
        <v>23</v>
      </c>
      <c r="R4424">
        <v>0</v>
      </c>
    </row>
    <row r="4425" spans="1:18">
      <c r="A4425" s="4">
        <v>2384640000000</v>
      </c>
      <c r="B4425" t="s">
        <v>18</v>
      </c>
      <c r="C4425">
        <v>57</v>
      </c>
      <c r="D4425" t="s">
        <v>35</v>
      </c>
      <c r="E4425" t="s">
        <v>85</v>
      </c>
      <c r="F4425" s="1">
        <v>42506</v>
      </c>
      <c r="G4425" s="1">
        <v>42508</v>
      </c>
      <c r="H4425" t="s">
        <v>25</v>
      </c>
      <c r="I4425">
        <v>2</v>
      </c>
      <c r="J4425" t="s">
        <v>109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26</v>
      </c>
      <c r="R4425">
        <v>1</v>
      </c>
    </row>
    <row r="4426" spans="1:18">
      <c r="A4426" s="4">
        <v>46999500000000</v>
      </c>
      <c r="B4426" t="s">
        <v>18</v>
      </c>
      <c r="C4426">
        <v>58</v>
      </c>
      <c r="D4426" t="s">
        <v>35</v>
      </c>
      <c r="E4426" t="s">
        <v>20</v>
      </c>
      <c r="F4426" s="1">
        <v>42506</v>
      </c>
      <c r="G4426" s="1">
        <v>42507</v>
      </c>
      <c r="H4426" t="s">
        <v>41</v>
      </c>
      <c r="I4426">
        <v>1</v>
      </c>
      <c r="J4426" t="s">
        <v>109</v>
      </c>
      <c r="K4426">
        <v>0</v>
      </c>
      <c r="L4426">
        <v>1</v>
      </c>
      <c r="M4426">
        <v>0</v>
      </c>
      <c r="N4426">
        <v>0</v>
      </c>
      <c r="O4426">
        <v>0</v>
      </c>
      <c r="P4426">
        <v>0</v>
      </c>
      <c r="Q4426" t="s">
        <v>26</v>
      </c>
      <c r="R4426">
        <v>1</v>
      </c>
    </row>
    <row r="4427" spans="1:18">
      <c r="A4427" s="4">
        <v>46947000000000</v>
      </c>
      <c r="B4427" t="s">
        <v>18</v>
      </c>
      <c r="C4427">
        <v>23</v>
      </c>
      <c r="D4427" t="s">
        <v>37</v>
      </c>
      <c r="E4427" t="s">
        <v>78</v>
      </c>
      <c r="F4427" s="1">
        <v>42506</v>
      </c>
      <c r="G4427" s="1">
        <v>42527</v>
      </c>
      <c r="H4427" t="s">
        <v>30</v>
      </c>
      <c r="I4427">
        <v>21</v>
      </c>
      <c r="J4427" t="s">
        <v>77</v>
      </c>
      <c r="K4427">
        <v>1</v>
      </c>
      <c r="L4427">
        <v>0</v>
      </c>
      <c r="M4427">
        <v>0</v>
      </c>
      <c r="N4427">
        <v>0</v>
      </c>
      <c r="O4427">
        <v>0</v>
      </c>
      <c r="P4427">
        <v>1</v>
      </c>
      <c r="Q4427" t="s">
        <v>23</v>
      </c>
      <c r="R4427">
        <v>0</v>
      </c>
    </row>
    <row r="4428" spans="1:18">
      <c r="A4428" s="4">
        <v>7751920000000</v>
      </c>
      <c r="B4428" t="s">
        <v>28</v>
      </c>
      <c r="C4428">
        <v>77</v>
      </c>
      <c r="D4428" t="s">
        <v>19</v>
      </c>
      <c r="E4428" t="s">
        <v>72</v>
      </c>
      <c r="F4428" s="1">
        <v>42506</v>
      </c>
      <c r="G4428" s="1">
        <v>42508</v>
      </c>
      <c r="H4428" t="s">
        <v>25</v>
      </c>
      <c r="I4428">
        <v>2</v>
      </c>
      <c r="J4428" t="s">
        <v>109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26</v>
      </c>
      <c r="R4428">
        <v>1</v>
      </c>
    </row>
    <row r="4429" spans="1:18">
      <c r="A4429" s="4">
        <v>48796900000000</v>
      </c>
      <c r="B4429" t="s">
        <v>18</v>
      </c>
      <c r="C4429">
        <v>63</v>
      </c>
      <c r="D4429" t="s">
        <v>35</v>
      </c>
      <c r="E4429" t="s">
        <v>47</v>
      </c>
      <c r="F4429" s="1">
        <v>42506</v>
      </c>
      <c r="G4429" s="1">
        <v>42529</v>
      </c>
      <c r="H4429" t="s">
        <v>25</v>
      </c>
      <c r="I4429">
        <v>23</v>
      </c>
      <c r="J4429" t="s">
        <v>77</v>
      </c>
      <c r="K4429">
        <v>0</v>
      </c>
      <c r="L4429">
        <v>1</v>
      </c>
      <c r="M4429">
        <v>1</v>
      </c>
      <c r="N4429">
        <v>0</v>
      </c>
      <c r="O4429">
        <v>0</v>
      </c>
      <c r="P4429">
        <v>1</v>
      </c>
      <c r="Q4429" t="s">
        <v>23</v>
      </c>
      <c r="R4429">
        <v>0</v>
      </c>
    </row>
    <row r="4430" spans="1:18">
      <c r="A4430" s="4">
        <v>58869500000000</v>
      </c>
      <c r="B4430" t="s">
        <v>18</v>
      </c>
      <c r="C4430">
        <v>63</v>
      </c>
      <c r="D4430" t="s">
        <v>35</v>
      </c>
      <c r="E4430" t="s">
        <v>39</v>
      </c>
      <c r="F4430" s="1">
        <v>42506</v>
      </c>
      <c r="G4430" s="1">
        <v>42509</v>
      </c>
      <c r="H4430" t="s">
        <v>33</v>
      </c>
      <c r="I4430">
        <v>3</v>
      </c>
      <c r="J4430" t="s">
        <v>109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 t="s">
        <v>23</v>
      </c>
      <c r="R4430">
        <v>0</v>
      </c>
    </row>
    <row r="4431" spans="1:18">
      <c r="A4431" s="4">
        <v>9452750000000</v>
      </c>
      <c r="B4431" t="s">
        <v>28</v>
      </c>
      <c r="C4431">
        <v>59</v>
      </c>
      <c r="D4431" t="s">
        <v>35</v>
      </c>
      <c r="E4431" t="s">
        <v>62</v>
      </c>
      <c r="F4431" s="1">
        <v>42506</v>
      </c>
      <c r="G4431" s="1">
        <v>42506</v>
      </c>
      <c r="H4431" t="s">
        <v>30</v>
      </c>
      <c r="I4431">
        <v>0</v>
      </c>
      <c r="J4431" t="s">
        <v>111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23</v>
      </c>
      <c r="R4431">
        <v>0</v>
      </c>
    </row>
    <row r="4432" spans="1:18">
      <c r="A4432" s="4">
        <v>68954500000000</v>
      </c>
      <c r="B4432" t="s">
        <v>18</v>
      </c>
      <c r="C4432">
        <v>42</v>
      </c>
      <c r="D4432" t="s">
        <v>27</v>
      </c>
      <c r="E4432" t="s">
        <v>61</v>
      </c>
      <c r="F4432" s="1">
        <v>42506</v>
      </c>
      <c r="G4432" s="1">
        <v>42508</v>
      </c>
      <c r="H4432" t="s">
        <v>25</v>
      </c>
      <c r="I4432">
        <v>2</v>
      </c>
      <c r="J4432" t="s">
        <v>109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23</v>
      </c>
      <c r="R4432">
        <v>0</v>
      </c>
    </row>
    <row r="4433" spans="1:18">
      <c r="A4433" s="4">
        <v>924918000000000</v>
      </c>
      <c r="B4433" t="s">
        <v>18</v>
      </c>
      <c r="C4433">
        <v>58</v>
      </c>
      <c r="D4433" t="s">
        <v>35</v>
      </c>
      <c r="E4433" t="s">
        <v>50</v>
      </c>
      <c r="F4433" s="1">
        <v>42506</v>
      </c>
      <c r="G4433" s="1">
        <v>42528</v>
      </c>
      <c r="H4433" t="s">
        <v>41</v>
      </c>
      <c r="I4433">
        <v>22</v>
      </c>
      <c r="J4433" t="s">
        <v>77</v>
      </c>
      <c r="K4433">
        <v>1</v>
      </c>
      <c r="L4433">
        <v>0</v>
      </c>
      <c r="M4433">
        <v>0</v>
      </c>
      <c r="N4433">
        <v>0</v>
      </c>
      <c r="O4433">
        <v>0</v>
      </c>
      <c r="P4433">
        <v>1</v>
      </c>
      <c r="Q4433" t="s">
        <v>26</v>
      </c>
      <c r="R4433">
        <v>1</v>
      </c>
    </row>
    <row r="4434" spans="1:18">
      <c r="A4434" s="4">
        <v>68121325459</v>
      </c>
      <c r="B4434" t="s">
        <v>18</v>
      </c>
      <c r="C4434">
        <v>7</v>
      </c>
      <c r="D4434" t="s">
        <v>31</v>
      </c>
      <c r="E4434" t="s">
        <v>43</v>
      </c>
      <c r="F4434" s="1">
        <v>42506</v>
      </c>
      <c r="G4434" s="1">
        <v>42508</v>
      </c>
      <c r="H4434" t="s">
        <v>25</v>
      </c>
      <c r="I4434">
        <v>2</v>
      </c>
      <c r="J4434" t="s">
        <v>109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23</v>
      </c>
      <c r="R4434">
        <v>0</v>
      </c>
    </row>
    <row r="4435" spans="1:18">
      <c r="A4435" s="4">
        <v>52749900000000</v>
      </c>
      <c r="B4435" t="s">
        <v>18</v>
      </c>
      <c r="C4435">
        <v>9</v>
      </c>
      <c r="D4435" t="s">
        <v>31</v>
      </c>
      <c r="E4435" t="s">
        <v>72</v>
      </c>
      <c r="F4435" s="1">
        <v>42506</v>
      </c>
      <c r="G4435" s="1">
        <v>42506</v>
      </c>
      <c r="H4435" t="s">
        <v>30</v>
      </c>
      <c r="I4435">
        <v>0</v>
      </c>
      <c r="J4435" t="s">
        <v>111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23</v>
      </c>
      <c r="R4435">
        <v>0</v>
      </c>
    </row>
    <row r="4436" spans="1:18">
      <c r="A4436" s="4">
        <v>2214170000000</v>
      </c>
      <c r="B4436" t="s">
        <v>18</v>
      </c>
      <c r="C4436">
        <v>77</v>
      </c>
      <c r="D4436" t="s">
        <v>19</v>
      </c>
      <c r="E4436" t="s">
        <v>94</v>
      </c>
      <c r="F4436" s="1">
        <v>42506</v>
      </c>
      <c r="G4436" s="1">
        <v>42514</v>
      </c>
      <c r="H4436" t="s">
        <v>41</v>
      </c>
      <c r="I4436">
        <v>8</v>
      </c>
      <c r="J4436" t="s">
        <v>92</v>
      </c>
      <c r="K4436">
        <v>0</v>
      </c>
      <c r="L4436">
        <v>1</v>
      </c>
      <c r="M4436">
        <v>0</v>
      </c>
      <c r="N4436">
        <v>0</v>
      </c>
      <c r="O4436">
        <v>0</v>
      </c>
      <c r="P4436">
        <v>0</v>
      </c>
      <c r="Q4436" t="s">
        <v>23</v>
      </c>
      <c r="R4436">
        <v>0</v>
      </c>
    </row>
    <row r="4437" spans="1:18">
      <c r="A4437" s="4">
        <v>4345670000000</v>
      </c>
      <c r="B4437" t="s">
        <v>28</v>
      </c>
      <c r="C4437">
        <v>52</v>
      </c>
      <c r="D4437" t="s">
        <v>35</v>
      </c>
      <c r="E4437" t="s">
        <v>50</v>
      </c>
      <c r="F4437" s="1">
        <v>42506</v>
      </c>
      <c r="G4437" s="1">
        <v>42527</v>
      </c>
      <c r="H4437" t="s">
        <v>30</v>
      </c>
      <c r="I4437">
        <v>21</v>
      </c>
      <c r="J4437" t="s">
        <v>77</v>
      </c>
      <c r="K4437">
        <v>0</v>
      </c>
      <c r="L4437">
        <v>1</v>
      </c>
      <c r="M4437">
        <v>0</v>
      </c>
      <c r="N4437">
        <v>1</v>
      </c>
      <c r="O4437">
        <v>0</v>
      </c>
      <c r="P4437">
        <v>1</v>
      </c>
      <c r="Q4437" t="s">
        <v>23</v>
      </c>
      <c r="R4437">
        <v>0</v>
      </c>
    </row>
    <row r="4438" spans="1:18">
      <c r="A4438" s="4">
        <v>39885900000000</v>
      </c>
      <c r="B4438" t="s">
        <v>18</v>
      </c>
      <c r="C4438">
        <v>29</v>
      </c>
      <c r="D4438" t="s">
        <v>37</v>
      </c>
      <c r="E4438" t="s">
        <v>72</v>
      </c>
      <c r="F4438" s="1">
        <v>42506</v>
      </c>
      <c r="G4438" s="1">
        <v>42529</v>
      </c>
      <c r="H4438" t="s">
        <v>25</v>
      </c>
      <c r="I4438">
        <v>23</v>
      </c>
      <c r="J4438" t="s">
        <v>77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1</v>
      </c>
      <c r="Q4438" t="s">
        <v>26</v>
      </c>
      <c r="R4438">
        <v>1</v>
      </c>
    </row>
    <row r="4439" spans="1:18">
      <c r="A4439" s="4">
        <v>853440000000000</v>
      </c>
      <c r="B4439" t="s">
        <v>18</v>
      </c>
      <c r="C4439">
        <v>37</v>
      </c>
      <c r="D4439" t="s">
        <v>27</v>
      </c>
      <c r="E4439" t="s">
        <v>43</v>
      </c>
      <c r="F4439" s="1">
        <v>42506</v>
      </c>
      <c r="G4439" s="1">
        <v>42506</v>
      </c>
      <c r="H4439" t="s">
        <v>30</v>
      </c>
      <c r="I4439">
        <v>0</v>
      </c>
      <c r="J4439" t="s">
        <v>111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23</v>
      </c>
      <c r="R4439">
        <v>0</v>
      </c>
    </row>
    <row r="4440" spans="1:18">
      <c r="A4440" s="4">
        <v>7478370000000</v>
      </c>
      <c r="B4440" t="s">
        <v>18</v>
      </c>
      <c r="C4440">
        <v>3</v>
      </c>
      <c r="D4440" t="s">
        <v>31</v>
      </c>
      <c r="E4440" t="s">
        <v>65</v>
      </c>
      <c r="F4440" s="1">
        <v>42506</v>
      </c>
      <c r="G4440" s="1">
        <v>42522</v>
      </c>
      <c r="H4440" t="s">
        <v>25</v>
      </c>
      <c r="I4440">
        <v>16</v>
      </c>
      <c r="J4440" t="s">
        <v>77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1</v>
      </c>
      <c r="Q4440" t="s">
        <v>23</v>
      </c>
      <c r="R4440">
        <v>0</v>
      </c>
    </row>
    <row r="4441" spans="1:18">
      <c r="A4441" s="4">
        <v>186839000000000</v>
      </c>
      <c r="B4441" t="s">
        <v>18</v>
      </c>
      <c r="C4441">
        <v>41</v>
      </c>
      <c r="D4441" t="s">
        <v>27</v>
      </c>
      <c r="E4441" t="s">
        <v>49</v>
      </c>
      <c r="F4441" s="1">
        <v>42506</v>
      </c>
      <c r="G4441" s="1">
        <v>42520</v>
      </c>
      <c r="H4441" t="s">
        <v>30</v>
      </c>
      <c r="I4441">
        <v>14</v>
      </c>
      <c r="J4441" t="s">
        <v>92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1</v>
      </c>
      <c r="Q4441" t="s">
        <v>23</v>
      </c>
      <c r="R4441">
        <v>0</v>
      </c>
    </row>
    <row r="4442" spans="1:18">
      <c r="A4442" s="4">
        <v>7673990000000</v>
      </c>
      <c r="B4442" t="s">
        <v>18</v>
      </c>
      <c r="C4442">
        <v>24</v>
      </c>
      <c r="D4442" t="s">
        <v>37</v>
      </c>
      <c r="E4442" t="s">
        <v>72</v>
      </c>
      <c r="F4442" s="1">
        <v>42506</v>
      </c>
      <c r="G4442" s="1">
        <v>42506</v>
      </c>
      <c r="H4442" t="s">
        <v>30</v>
      </c>
      <c r="I4442">
        <v>0</v>
      </c>
      <c r="J4442" t="s">
        <v>111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23</v>
      </c>
      <c r="R4442">
        <v>0</v>
      </c>
    </row>
    <row r="4443" spans="1:18">
      <c r="A4443" s="4">
        <v>476249000000000</v>
      </c>
      <c r="B4443" t="s">
        <v>18</v>
      </c>
      <c r="C4443">
        <v>55</v>
      </c>
      <c r="D4443" t="s">
        <v>35</v>
      </c>
      <c r="E4443" t="s">
        <v>80</v>
      </c>
      <c r="F4443" s="1">
        <v>42506</v>
      </c>
      <c r="G4443" s="1">
        <v>42509</v>
      </c>
      <c r="H4443" t="s">
        <v>33</v>
      </c>
      <c r="I4443">
        <v>3</v>
      </c>
      <c r="J4443" t="s">
        <v>109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 t="s">
        <v>26</v>
      </c>
      <c r="R4443">
        <v>1</v>
      </c>
    </row>
    <row r="4444" spans="1:18">
      <c r="A4444" s="4">
        <v>94864200000000</v>
      </c>
      <c r="B4444" t="s">
        <v>18</v>
      </c>
      <c r="C4444">
        <v>14</v>
      </c>
      <c r="D4444" t="s">
        <v>60</v>
      </c>
      <c r="E4444" t="s">
        <v>20</v>
      </c>
      <c r="F4444" s="1">
        <v>42506</v>
      </c>
      <c r="G4444" s="1">
        <v>42521</v>
      </c>
      <c r="H4444" t="s">
        <v>41</v>
      </c>
      <c r="I4444">
        <v>15</v>
      </c>
      <c r="J4444" t="s">
        <v>77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23</v>
      </c>
      <c r="R4444">
        <v>0</v>
      </c>
    </row>
    <row r="4445" spans="1:18">
      <c r="A4445" s="4">
        <v>54171516151</v>
      </c>
      <c r="B4445" t="s">
        <v>18</v>
      </c>
      <c r="C4445">
        <v>71</v>
      </c>
      <c r="D4445" t="s">
        <v>19</v>
      </c>
      <c r="E4445" t="s">
        <v>47</v>
      </c>
      <c r="F4445" s="1">
        <v>42506</v>
      </c>
      <c r="G4445" s="1">
        <v>42528</v>
      </c>
      <c r="H4445" t="s">
        <v>41</v>
      </c>
      <c r="I4445">
        <v>22</v>
      </c>
      <c r="J4445" t="s">
        <v>77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26</v>
      </c>
      <c r="R4445">
        <v>1</v>
      </c>
    </row>
    <row r="4446" spans="1:18">
      <c r="A4446" s="4">
        <v>2125170000000</v>
      </c>
      <c r="B4446" t="s">
        <v>28</v>
      </c>
      <c r="C4446">
        <v>57</v>
      </c>
      <c r="D4446" t="s">
        <v>35</v>
      </c>
      <c r="E4446" t="s">
        <v>29</v>
      </c>
      <c r="F4446" s="1">
        <v>42506</v>
      </c>
      <c r="G4446" s="1">
        <v>42506</v>
      </c>
      <c r="H4446" t="s">
        <v>30</v>
      </c>
      <c r="I4446">
        <v>0</v>
      </c>
      <c r="J4446" t="s">
        <v>111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23</v>
      </c>
      <c r="R4446">
        <v>0</v>
      </c>
    </row>
    <row r="4447" spans="1:18">
      <c r="A4447" s="4">
        <v>112912000000</v>
      </c>
      <c r="B4447" t="s">
        <v>28</v>
      </c>
      <c r="C4447">
        <v>37</v>
      </c>
      <c r="D4447" t="s">
        <v>27</v>
      </c>
      <c r="E4447" t="s">
        <v>47</v>
      </c>
      <c r="F4447" s="1">
        <v>42506</v>
      </c>
      <c r="G4447" s="1">
        <v>42529</v>
      </c>
      <c r="H4447" t="s">
        <v>25</v>
      </c>
      <c r="I4447">
        <v>23</v>
      </c>
      <c r="J4447" t="s">
        <v>77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1</v>
      </c>
      <c r="Q4447" t="s">
        <v>23</v>
      </c>
      <c r="R4447">
        <v>0</v>
      </c>
    </row>
    <row r="4448" spans="1:18">
      <c r="A4448" s="4">
        <v>8487940000000</v>
      </c>
      <c r="B4448" t="s">
        <v>28</v>
      </c>
      <c r="C4448">
        <v>74</v>
      </c>
      <c r="D4448" t="s">
        <v>19</v>
      </c>
      <c r="E4448" t="s">
        <v>50</v>
      </c>
      <c r="F4448" s="1">
        <v>42506</v>
      </c>
      <c r="G4448" s="1">
        <v>42524</v>
      </c>
      <c r="H4448" t="s">
        <v>21</v>
      </c>
      <c r="I4448">
        <v>18</v>
      </c>
      <c r="J4448" t="s">
        <v>77</v>
      </c>
      <c r="K4448">
        <v>0</v>
      </c>
      <c r="L4448">
        <v>1</v>
      </c>
      <c r="M4448">
        <v>0</v>
      </c>
      <c r="N4448">
        <v>0</v>
      </c>
      <c r="O4448">
        <v>1</v>
      </c>
      <c r="P4448">
        <v>1</v>
      </c>
      <c r="Q4448" t="s">
        <v>26</v>
      </c>
      <c r="R4448">
        <v>1</v>
      </c>
    </row>
    <row r="4449" spans="1:18">
      <c r="A4449" s="4">
        <v>413856000000</v>
      </c>
      <c r="B4449" t="s">
        <v>18</v>
      </c>
      <c r="C4449">
        <v>37</v>
      </c>
      <c r="D4449" t="s">
        <v>27</v>
      </c>
      <c r="E4449" t="s">
        <v>67</v>
      </c>
      <c r="F4449" s="1">
        <v>42506</v>
      </c>
      <c r="G4449" s="1">
        <v>42506</v>
      </c>
      <c r="H4449" t="s">
        <v>30</v>
      </c>
      <c r="I4449">
        <v>0</v>
      </c>
      <c r="J4449" t="s">
        <v>111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 t="s">
        <v>23</v>
      </c>
      <c r="R4449">
        <v>0</v>
      </c>
    </row>
    <row r="4450" spans="1:18">
      <c r="A4450" s="4">
        <v>7788420000000</v>
      </c>
      <c r="B4450" t="s">
        <v>18</v>
      </c>
      <c r="C4450">
        <v>13</v>
      </c>
      <c r="D4450" t="s">
        <v>60</v>
      </c>
      <c r="E4450" t="s">
        <v>105</v>
      </c>
      <c r="F4450" s="1">
        <v>42506</v>
      </c>
      <c r="G4450" s="1">
        <v>42510</v>
      </c>
      <c r="H4450" t="s">
        <v>21</v>
      </c>
      <c r="I4450">
        <v>4</v>
      </c>
      <c r="J4450" t="s">
        <v>107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23</v>
      </c>
      <c r="R4450">
        <v>0</v>
      </c>
    </row>
    <row r="4451" spans="1:18">
      <c r="A4451" s="4">
        <v>78794700000000</v>
      </c>
      <c r="B4451" t="s">
        <v>18</v>
      </c>
      <c r="C4451">
        <v>33</v>
      </c>
      <c r="D4451" t="s">
        <v>37</v>
      </c>
      <c r="E4451" t="s">
        <v>58</v>
      </c>
      <c r="F4451" s="1">
        <v>42506</v>
      </c>
      <c r="G4451" s="1">
        <v>42520</v>
      </c>
      <c r="H4451" t="s">
        <v>30</v>
      </c>
      <c r="I4451">
        <v>14</v>
      </c>
      <c r="J4451" t="s">
        <v>92</v>
      </c>
      <c r="K4451">
        <v>1</v>
      </c>
      <c r="L4451">
        <v>0</v>
      </c>
      <c r="M4451">
        <v>0</v>
      </c>
      <c r="N4451">
        <v>0</v>
      </c>
      <c r="O4451">
        <v>0</v>
      </c>
      <c r="P4451">
        <v>1</v>
      </c>
      <c r="Q4451" t="s">
        <v>26</v>
      </c>
      <c r="R4451">
        <v>1</v>
      </c>
    </row>
    <row r="4452" spans="1:18">
      <c r="A4452" s="4">
        <v>435892000000000</v>
      </c>
      <c r="B4452" t="s">
        <v>18</v>
      </c>
      <c r="C4452">
        <v>51</v>
      </c>
      <c r="D4452" t="s">
        <v>35</v>
      </c>
      <c r="E4452" t="s">
        <v>69</v>
      </c>
      <c r="F4452" s="1">
        <v>42506</v>
      </c>
      <c r="G4452" s="1">
        <v>42520</v>
      </c>
      <c r="H4452" t="s">
        <v>30</v>
      </c>
      <c r="I4452">
        <v>14</v>
      </c>
      <c r="J4452" t="s">
        <v>92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26</v>
      </c>
      <c r="R4452">
        <v>1</v>
      </c>
    </row>
    <row r="4453" spans="1:18">
      <c r="A4453" s="4">
        <v>9578710000000</v>
      </c>
      <c r="B4453" t="s">
        <v>28</v>
      </c>
      <c r="C4453">
        <v>5</v>
      </c>
      <c r="D4453" t="s">
        <v>31</v>
      </c>
      <c r="E4453" t="s">
        <v>38</v>
      </c>
      <c r="F4453" s="1">
        <v>42506</v>
      </c>
      <c r="G4453" s="1">
        <v>42520</v>
      </c>
      <c r="H4453" t="s">
        <v>30</v>
      </c>
      <c r="I4453">
        <v>14</v>
      </c>
      <c r="J4453" t="s">
        <v>92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 t="s">
        <v>23</v>
      </c>
      <c r="R4453">
        <v>0</v>
      </c>
    </row>
    <row r="4454" spans="1:18">
      <c r="A4454" s="4">
        <v>23939400000000</v>
      </c>
      <c r="B4454" t="s">
        <v>18</v>
      </c>
      <c r="C4454">
        <v>21</v>
      </c>
      <c r="D4454" t="s">
        <v>37</v>
      </c>
      <c r="E4454" t="s">
        <v>39</v>
      </c>
      <c r="F4454" s="1">
        <v>42506</v>
      </c>
      <c r="G4454" s="1">
        <v>42509</v>
      </c>
      <c r="H4454" t="s">
        <v>33</v>
      </c>
      <c r="I4454">
        <v>3</v>
      </c>
      <c r="J4454" t="s">
        <v>109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 t="s">
        <v>23</v>
      </c>
      <c r="R4454">
        <v>0</v>
      </c>
    </row>
    <row r="4455" spans="1:18">
      <c r="A4455" s="4">
        <v>3639420000000</v>
      </c>
      <c r="B4455" t="s">
        <v>28</v>
      </c>
      <c r="C4455">
        <v>5</v>
      </c>
      <c r="D4455" t="s">
        <v>31</v>
      </c>
      <c r="E4455" t="s">
        <v>50</v>
      </c>
      <c r="F4455" s="1">
        <v>42506</v>
      </c>
      <c r="G4455" s="1">
        <v>42515</v>
      </c>
      <c r="H4455" t="s">
        <v>25</v>
      </c>
      <c r="I4455">
        <v>9</v>
      </c>
      <c r="J4455" t="s">
        <v>92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1</v>
      </c>
      <c r="Q4455" t="s">
        <v>23</v>
      </c>
      <c r="R4455">
        <v>0</v>
      </c>
    </row>
    <row r="4456" spans="1:18">
      <c r="A4456" s="4">
        <v>1345270000000</v>
      </c>
      <c r="B4456" t="s">
        <v>18</v>
      </c>
      <c r="C4456">
        <v>30</v>
      </c>
      <c r="D4456" t="s">
        <v>37</v>
      </c>
      <c r="E4456" t="s">
        <v>48</v>
      </c>
      <c r="F4456" s="1">
        <v>42506</v>
      </c>
      <c r="G4456" s="1">
        <v>42506</v>
      </c>
      <c r="H4456" t="s">
        <v>30</v>
      </c>
      <c r="I4456">
        <v>0</v>
      </c>
      <c r="J4456" t="s">
        <v>111</v>
      </c>
      <c r="K4456">
        <v>1</v>
      </c>
      <c r="L4456">
        <v>1</v>
      </c>
      <c r="M4456">
        <v>0</v>
      </c>
      <c r="N4456">
        <v>0</v>
      </c>
      <c r="O4456">
        <v>0</v>
      </c>
      <c r="P4456">
        <v>0</v>
      </c>
      <c r="Q4456" t="s">
        <v>23</v>
      </c>
      <c r="R4456">
        <v>0</v>
      </c>
    </row>
    <row r="4457" spans="1:18">
      <c r="A4457" s="4">
        <v>863918000000</v>
      </c>
      <c r="B4457" t="s">
        <v>18</v>
      </c>
      <c r="C4457">
        <v>33</v>
      </c>
      <c r="D4457" t="s">
        <v>37</v>
      </c>
      <c r="E4457" t="s">
        <v>50</v>
      </c>
      <c r="F4457" s="1">
        <v>42506</v>
      </c>
      <c r="G4457" s="1">
        <v>42520</v>
      </c>
      <c r="H4457" t="s">
        <v>30</v>
      </c>
      <c r="I4457">
        <v>14</v>
      </c>
      <c r="J4457" t="s">
        <v>92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1</v>
      </c>
      <c r="Q4457" t="s">
        <v>23</v>
      </c>
      <c r="R4457">
        <v>0</v>
      </c>
    </row>
    <row r="4458" spans="1:18">
      <c r="A4458" s="4">
        <v>5635460000000</v>
      </c>
      <c r="B4458" t="s">
        <v>18</v>
      </c>
      <c r="C4458">
        <v>54</v>
      </c>
      <c r="D4458" t="s">
        <v>35</v>
      </c>
      <c r="E4458" t="s">
        <v>47</v>
      </c>
      <c r="F4458" s="1">
        <v>42506</v>
      </c>
      <c r="G4458" s="1">
        <v>42527</v>
      </c>
      <c r="H4458" t="s">
        <v>30</v>
      </c>
      <c r="I4458">
        <v>21</v>
      </c>
      <c r="J4458" t="s">
        <v>77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1</v>
      </c>
      <c r="Q4458" t="s">
        <v>26</v>
      </c>
      <c r="R4458">
        <v>1</v>
      </c>
    </row>
    <row r="4459" spans="1:18">
      <c r="A4459" s="4">
        <v>9591270000000</v>
      </c>
      <c r="B4459" t="s">
        <v>18</v>
      </c>
      <c r="C4459">
        <v>77</v>
      </c>
      <c r="D4459" t="s">
        <v>19</v>
      </c>
      <c r="E4459" t="s">
        <v>74</v>
      </c>
      <c r="F4459" s="1">
        <v>42506</v>
      </c>
      <c r="G4459" s="1">
        <v>42506</v>
      </c>
      <c r="H4459" t="s">
        <v>30</v>
      </c>
      <c r="I4459">
        <v>0</v>
      </c>
      <c r="J4459" t="s">
        <v>111</v>
      </c>
      <c r="K4459">
        <v>0</v>
      </c>
      <c r="L4459">
        <v>1</v>
      </c>
      <c r="M4459">
        <v>1</v>
      </c>
      <c r="N4459">
        <v>0</v>
      </c>
      <c r="O4459">
        <v>0</v>
      </c>
      <c r="P4459">
        <v>0</v>
      </c>
      <c r="Q4459" t="s">
        <v>23</v>
      </c>
      <c r="R4459">
        <v>0</v>
      </c>
    </row>
    <row r="4460" spans="1:18">
      <c r="A4460" s="4">
        <v>97787700000000</v>
      </c>
      <c r="B4460" t="s">
        <v>28</v>
      </c>
      <c r="C4460">
        <v>63</v>
      </c>
      <c r="D4460" t="s">
        <v>35</v>
      </c>
      <c r="E4460" t="s">
        <v>80</v>
      </c>
      <c r="F4460" s="1">
        <v>42506</v>
      </c>
      <c r="G4460" s="1">
        <v>42506</v>
      </c>
      <c r="H4460" t="s">
        <v>30</v>
      </c>
      <c r="I4460">
        <v>0</v>
      </c>
      <c r="J4460" t="s">
        <v>111</v>
      </c>
      <c r="K4460">
        <v>1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23</v>
      </c>
      <c r="R4460">
        <v>0</v>
      </c>
    </row>
    <row r="4461" spans="1:18">
      <c r="A4461" s="4">
        <v>412878000000</v>
      </c>
      <c r="B4461" t="s">
        <v>28</v>
      </c>
      <c r="C4461">
        <v>58</v>
      </c>
      <c r="D4461" t="s">
        <v>35</v>
      </c>
      <c r="E4461" t="s">
        <v>63</v>
      </c>
      <c r="F4461" s="1">
        <v>42506</v>
      </c>
      <c r="G4461" s="1">
        <v>42509</v>
      </c>
      <c r="H4461" t="s">
        <v>33</v>
      </c>
      <c r="I4461">
        <v>3</v>
      </c>
      <c r="J4461" t="s">
        <v>109</v>
      </c>
      <c r="K4461">
        <v>0</v>
      </c>
      <c r="L4461">
        <v>1</v>
      </c>
      <c r="M4461">
        <v>0</v>
      </c>
      <c r="N4461">
        <v>0</v>
      </c>
      <c r="O4461">
        <v>0</v>
      </c>
      <c r="P4461">
        <v>0</v>
      </c>
      <c r="Q4461" t="s">
        <v>26</v>
      </c>
      <c r="R4461">
        <v>1</v>
      </c>
    </row>
    <row r="4462" spans="1:18">
      <c r="A4462" s="4">
        <v>4386710000000</v>
      </c>
      <c r="B4462" t="s">
        <v>18</v>
      </c>
      <c r="C4462">
        <v>86</v>
      </c>
      <c r="D4462" t="s">
        <v>19</v>
      </c>
      <c r="E4462" t="s">
        <v>56</v>
      </c>
      <c r="F4462" s="1">
        <v>42506</v>
      </c>
      <c r="G4462" s="1">
        <v>42508</v>
      </c>
      <c r="H4462" t="s">
        <v>25</v>
      </c>
      <c r="I4462">
        <v>2</v>
      </c>
      <c r="J4462" t="s">
        <v>109</v>
      </c>
      <c r="K4462">
        <v>0</v>
      </c>
      <c r="L4462">
        <v>1</v>
      </c>
      <c r="M4462">
        <v>0</v>
      </c>
      <c r="N4462">
        <v>0</v>
      </c>
      <c r="O4462">
        <v>0</v>
      </c>
      <c r="P4462">
        <v>0</v>
      </c>
      <c r="Q4462" t="s">
        <v>23</v>
      </c>
      <c r="R4462">
        <v>0</v>
      </c>
    </row>
    <row r="4463" spans="1:18">
      <c r="A4463" s="4">
        <v>8822860000000</v>
      </c>
      <c r="B4463" t="s">
        <v>28</v>
      </c>
      <c r="C4463">
        <v>5</v>
      </c>
      <c r="D4463" t="s">
        <v>31</v>
      </c>
      <c r="E4463" t="s">
        <v>58</v>
      </c>
      <c r="F4463" s="1">
        <v>42506</v>
      </c>
      <c r="G4463" s="1">
        <v>42506</v>
      </c>
      <c r="H4463" t="s">
        <v>30</v>
      </c>
      <c r="I4463">
        <v>0</v>
      </c>
      <c r="J4463" t="s">
        <v>111</v>
      </c>
      <c r="K4463">
        <v>1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23</v>
      </c>
      <c r="R4463">
        <v>0</v>
      </c>
    </row>
    <row r="4464" spans="1:18">
      <c r="A4464" s="4">
        <v>1278590000000</v>
      </c>
      <c r="B4464" t="s">
        <v>18</v>
      </c>
      <c r="C4464">
        <v>52</v>
      </c>
      <c r="D4464" t="s">
        <v>35</v>
      </c>
      <c r="E4464" t="s">
        <v>63</v>
      </c>
      <c r="F4464" s="1">
        <v>42506</v>
      </c>
      <c r="G4464" s="1">
        <v>42509</v>
      </c>
      <c r="H4464" t="s">
        <v>33</v>
      </c>
      <c r="I4464">
        <v>3</v>
      </c>
      <c r="J4464" t="s">
        <v>109</v>
      </c>
      <c r="K4464">
        <v>1</v>
      </c>
      <c r="L4464">
        <v>1</v>
      </c>
      <c r="M4464">
        <v>0</v>
      </c>
      <c r="N4464">
        <v>0</v>
      </c>
      <c r="O4464">
        <v>0</v>
      </c>
      <c r="P4464">
        <v>0</v>
      </c>
      <c r="Q4464" t="s">
        <v>23</v>
      </c>
      <c r="R4464">
        <v>0</v>
      </c>
    </row>
    <row r="4465" spans="1:18">
      <c r="A4465" s="4">
        <v>86351900000000</v>
      </c>
      <c r="B4465" t="s">
        <v>18</v>
      </c>
      <c r="C4465">
        <v>64</v>
      </c>
      <c r="D4465" t="s">
        <v>35</v>
      </c>
      <c r="E4465" t="s">
        <v>29</v>
      </c>
      <c r="F4465" s="1">
        <v>42506</v>
      </c>
      <c r="G4465" s="1">
        <v>42508</v>
      </c>
      <c r="H4465" t="s">
        <v>25</v>
      </c>
      <c r="I4465">
        <v>2</v>
      </c>
      <c r="J4465" t="s">
        <v>109</v>
      </c>
      <c r="K4465">
        <v>0</v>
      </c>
      <c r="L4465">
        <v>1</v>
      </c>
      <c r="M4465">
        <v>1</v>
      </c>
      <c r="N4465">
        <v>0</v>
      </c>
      <c r="O4465">
        <v>0</v>
      </c>
      <c r="P4465">
        <v>0</v>
      </c>
      <c r="Q4465" t="s">
        <v>23</v>
      </c>
      <c r="R4465">
        <v>0</v>
      </c>
    </row>
    <row r="4466" spans="1:18">
      <c r="A4466" s="4">
        <v>69994400000000</v>
      </c>
      <c r="B4466" t="s">
        <v>18</v>
      </c>
      <c r="C4466">
        <v>56</v>
      </c>
      <c r="D4466" t="s">
        <v>35</v>
      </c>
      <c r="E4466" t="s">
        <v>39</v>
      </c>
      <c r="F4466" s="1">
        <v>42506</v>
      </c>
      <c r="G4466" s="1">
        <v>42509</v>
      </c>
      <c r="H4466" t="s">
        <v>33</v>
      </c>
      <c r="I4466">
        <v>3</v>
      </c>
      <c r="J4466" t="s">
        <v>109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23</v>
      </c>
      <c r="R4466">
        <v>0</v>
      </c>
    </row>
    <row r="4467" spans="1:18">
      <c r="A4467" s="4">
        <v>4172460000000</v>
      </c>
      <c r="B4467" t="s">
        <v>18</v>
      </c>
      <c r="C4467">
        <v>54</v>
      </c>
      <c r="D4467" t="s">
        <v>35</v>
      </c>
      <c r="E4467" t="s">
        <v>39</v>
      </c>
      <c r="F4467" s="1">
        <v>42506</v>
      </c>
      <c r="G4467" s="1">
        <v>42508</v>
      </c>
      <c r="H4467" t="s">
        <v>25</v>
      </c>
      <c r="I4467">
        <v>2</v>
      </c>
      <c r="J4467" t="s">
        <v>109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26</v>
      </c>
      <c r="R4467">
        <v>1</v>
      </c>
    </row>
    <row r="4468" spans="1:18">
      <c r="A4468" s="4">
        <v>8734500000000</v>
      </c>
      <c r="B4468" t="s">
        <v>18</v>
      </c>
      <c r="C4468">
        <v>29</v>
      </c>
      <c r="D4468" t="s">
        <v>37</v>
      </c>
      <c r="E4468" t="s">
        <v>72</v>
      </c>
      <c r="F4468" s="1">
        <v>42506</v>
      </c>
      <c r="G4468" s="1">
        <v>42521</v>
      </c>
      <c r="H4468" t="s">
        <v>41</v>
      </c>
      <c r="I4468">
        <v>15</v>
      </c>
      <c r="J4468" t="s">
        <v>77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26</v>
      </c>
      <c r="R4468">
        <v>1</v>
      </c>
    </row>
    <row r="4469" spans="1:18">
      <c r="A4469" s="4">
        <v>8634160000000</v>
      </c>
      <c r="B4469" t="s">
        <v>28</v>
      </c>
      <c r="C4469">
        <v>40</v>
      </c>
      <c r="D4469" t="s">
        <v>27</v>
      </c>
      <c r="E4469" t="s">
        <v>62</v>
      </c>
      <c r="F4469" s="1">
        <v>42506</v>
      </c>
      <c r="G4469" s="1">
        <v>42506</v>
      </c>
      <c r="H4469" t="s">
        <v>30</v>
      </c>
      <c r="I4469">
        <v>0</v>
      </c>
      <c r="J4469" t="s">
        <v>111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23</v>
      </c>
      <c r="R4469">
        <v>0</v>
      </c>
    </row>
    <row r="4470" spans="1:18">
      <c r="A4470" s="4">
        <v>118893000000</v>
      </c>
      <c r="B4470" t="s">
        <v>18</v>
      </c>
      <c r="C4470">
        <v>65</v>
      </c>
      <c r="D4470" t="s">
        <v>35</v>
      </c>
      <c r="E4470" t="s">
        <v>74</v>
      </c>
      <c r="F4470" s="1">
        <v>42506</v>
      </c>
      <c r="G4470" s="1">
        <v>42506</v>
      </c>
      <c r="H4470" t="s">
        <v>30</v>
      </c>
      <c r="I4470">
        <v>0</v>
      </c>
      <c r="J4470" t="s">
        <v>111</v>
      </c>
      <c r="K4470">
        <v>0</v>
      </c>
      <c r="L4470">
        <v>1</v>
      </c>
      <c r="M4470">
        <v>0</v>
      </c>
      <c r="N4470">
        <v>0</v>
      </c>
      <c r="O4470">
        <v>1</v>
      </c>
      <c r="P4470">
        <v>0</v>
      </c>
      <c r="Q4470" t="s">
        <v>23</v>
      </c>
      <c r="R4470">
        <v>0</v>
      </c>
    </row>
    <row r="4471" spans="1:18">
      <c r="A4471" s="4">
        <v>71724500000000</v>
      </c>
      <c r="B4471" t="s">
        <v>18</v>
      </c>
      <c r="C4471">
        <v>44</v>
      </c>
      <c r="D4471" t="s">
        <v>27</v>
      </c>
      <c r="E4471" t="s">
        <v>24</v>
      </c>
      <c r="F4471" s="1">
        <v>42506</v>
      </c>
      <c r="G4471" s="1">
        <v>42506</v>
      </c>
      <c r="H4471" t="s">
        <v>30</v>
      </c>
      <c r="I4471">
        <v>0</v>
      </c>
      <c r="J4471" t="s">
        <v>111</v>
      </c>
      <c r="K4471">
        <v>0</v>
      </c>
      <c r="L4471">
        <v>1</v>
      </c>
      <c r="M4471">
        <v>0</v>
      </c>
      <c r="N4471">
        <v>0</v>
      </c>
      <c r="O4471">
        <v>0</v>
      </c>
      <c r="P4471">
        <v>0</v>
      </c>
      <c r="Q4471" t="s">
        <v>23</v>
      </c>
      <c r="R4471">
        <v>0</v>
      </c>
    </row>
    <row r="4472" spans="1:18">
      <c r="A4472" s="4">
        <v>54874300000000</v>
      </c>
      <c r="B4472" t="s">
        <v>28</v>
      </c>
      <c r="C4472">
        <v>57</v>
      </c>
      <c r="D4472" t="s">
        <v>35</v>
      </c>
      <c r="E4472" t="s">
        <v>40</v>
      </c>
      <c r="F4472" s="1">
        <v>42506</v>
      </c>
      <c r="G4472" s="1">
        <v>42508</v>
      </c>
      <c r="H4472" t="s">
        <v>25</v>
      </c>
      <c r="I4472">
        <v>2</v>
      </c>
      <c r="J4472" t="s">
        <v>109</v>
      </c>
      <c r="K4472">
        <v>0</v>
      </c>
      <c r="L4472">
        <v>1</v>
      </c>
      <c r="M4472">
        <v>0</v>
      </c>
      <c r="N4472">
        <v>0</v>
      </c>
      <c r="O4472">
        <v>0</v>
      </c>
      <c r="P4472">
        <v>0</v>
      </c>
      <c r="Q4472" t="s">
        <v>23</v>
      </c>
      <c r="R4472">
        <v>0</v>
      </c>
    </row>
    <row r="4473" spans="1:18">
      <c r="A4473" s="4">
        <v>46555200000000</v>
      </c>
      <c r="B4473" t="s">
        <v>28</v>
      </c>
      <c r="C4473">
        <v>31</v>
      </c>
      <c r="D4473" t="s">
        <v>37</v>
      </c>
      <c r="E4473" t="s">
        <v>47</v>
      </c>
      <c r="F4473" s="1">
        <v>42506</v>
      </c>
      <c r="G4473" s="1">
        <v>42529</v>
      </c>
      <c r="H4473" t="s">
        <v>25</v>
      </c>
      <c r="I4473">
        <v>23</v>
      </c>
      <c r="J4473" t="s">
        <v>77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1</v>
      </c>
      <c r="Q4473" t="s">
        <v>26</v>
      </c>
      <c r="R4473">
        <v>1</v>
      </c>
    </row>
    <row r="4474" spans="1:18">
      <c r="A4474" s="4">
        <v>419432000000</v>
      </c>
      <c r="B4474" t="s">
        <v>18</v>
      </c>
      <c r="C4474">
        <v>9</v>
      </c>
      <c r="D4474" t="s">
        <v>31</v>
      </c>
      <c r="E4474" t="s">
        <v>40</v>
      </c>
      <c r="F4474" s="1">
        <v>42506</v>
      </c>
      <c r="G4474" s="1">
        <v>42523</v>
      </c>
      <c r="H4474" t="s">
        <v>33</v>
      </c>
      <c r="I4474">
        <v>17</v>
      </c>
      <c r="J4474" t="s">
        <v>77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26</v>
      </c>
      <c r="R4474">
        <v>1</v>
      </c>
    </row>
    <row r="4475" spans="1:18">
      <c r="A4475" s="4">
        <v>63964659235</v>
      </c>
      <c r="B4475" t="s">
        <v>28</v>
      </c>
      <c r="C4475">
        <v>25</v>
      </c>
      <c r="D4475" t="s">
        <v>37</v>
      </c>
      <c r="E4475" t="s">
        <v>36</v>
      </c>
      <c r="F4475" s="1">
        <v>42506</v>
      </c>
      <c r="G4475" s="1">
        <v>42506</v>
      </c>
      <c r="H4475" t="s">
        <v>30</v>
      </c>
      <c r="I4475">
        <v>0</v>
      </c>
      <c r="J4475" t="s">
        <v>111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 t="s">
        <v>23</v>
      </c>
      <c r="R4475">
        <v>0</v>
      </c>
    </row>
    <row r="4476" spans="1:18">
      <c r="A4476" s="4">
        <v>4168390000000</v>
      </c>
      <c r="B4476" t="s">
        <v>28</v>
      </c>
      <c r="C4476">
        <v>65</v>
      </c>
      <c r="D4476" t="s">
        <v>35</v>
      </c>
      <c r="E4476" t="s">
        <v>36</v>
      </c>
      <c r="F4476" s="1">
        <v>42506</v>
      </c>
      <c r="G4476" s="1">
        <v>42506</v>
      </c>
      <c r="H4476" t="s">
        <v>30</v>
      </c>
      <c r="I4476">
        <v>0</v>
      </c>
      <c r="J4476" t="s">
        <v>111</v>
      </c>
      <c r="K4476">
        <v>0</v>
      </c>
      <c r="L4476">
        <v>1</v>
      </c>
      <c r="M4476">
        <v>0</v>
      </c>
      <c r="N4476">
        <v>0</v>
      </c>
      <c r="O4476">
        <v>0</v>
      </c>
      <c r="P4476">
        <v>0</v>
      </c>
      <c r="Q4476" t="s">
        <v>23</v>
      </c>
      <c r="R4476">
        <v>0</v>
      </c>
    </row>
    <row r="4477" spans="1:18">
      <c r="A4477" s="4">
        <v>569963000000</v>
      </c>
      <c r="B4477" t="s">
        <v>18</v>
      </c>
      <c r="C4477">
        <v>19</v>
      </c>
      <c r="D4477" t="s">
        <v>37</v>
      </c>
      <c r="E4477" t="s">
        <v>39</v>
      </c>
      <c r="F4477" s="1">
        <v>42506</v>
      </c>
      <c r="G4477" s="1">
        <v>42506</v>
      </c>
      <c r="H4477" t="s">
        <v>30</v>
      </c>
      <c r="I4477">
        <v>0</v>
      </c>
      <c r="J4477" t="s">
        <v>111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23</v>
      </c>
      <c r="R4477">
        <v>0</v>
      </c>
    </row>
    <row r="4478" spans="1:18">
      <c r="A4478" s="4">
        <v>8384570000000</v>
      </c>
      <c r="B4478" t="s">
        <v>18</v>
      </c>
      <c r="C4478">
        <v>36</v>
      </c>
      <c r="D4478" t="s">
        <v>27</v>
      </c>
      <c r="E4478" t="s">
        <v>72</v>
      </c>
      <c r="F4478" s="1">
        <v>42506</v>
      </c>
      <c r="G4478" s="1">
        <v>42508</v>
      </c>
      <c r="H4478" t="s">
        <v>25</v>
      </c>
      <c r="I4478">
        <v>2</v>
      </c>
      <c r="J4478" t="s">
        <v>109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26</v>
      </c>
      <c r="R4478">
        <v>1</v>
      </c>
    </row>
    <row r="4479" spans="1:18">
      <c r="A4479" s="4">
        <v>7612920000000</v>
      </c>
      <c r="B4479" t="s">
        <v>28</v>
      </c>
      <c r="C4479">
        <v>27</v>
      </c>
      <c r="D4479" t="s">
        <v>37</v>
      </c>
      <c r="E4479" t="s">
        <v>40</v>
      </c>
      <c r="F4479" s="1">
        <v>42506</v>
      </c>
      <c r="G4479" s="1">
        <v>42524</v>
      </c>
      <c r="H4479" t="s">
        <v>21</v>
      </c>
      <c r="I4479">
        <v>18</v>
      </c>
      <c r="J4479" t="s">
        <v>77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1</v>
      </c>
      <c r="Q4479" t="s">
        <v>23</v>
      </c>
      <c r="R4479">
        <v>0</v>
      </c>
    </row>
    <row r="4480" spans="1:18">
      <c r="A4480" s="4">
        <v>281768000000</v>
      </c>
      <c r="B4480" t="s">
        <v>18</v>
      </c>
      <c r="C4480">
        <v>58</v>
      </c>
      <c r="D4480" t="s">
        <v>35</v>
      </c>
      <c r="E4480" t="s">
        <v>39</v>
      </c>
      <c r="F4480" s="1">
        <v>42506</v>
      </c>
      <c r="G4480" s="1">
        <v>42508</v>
      </c>
      <c r="H4480" t="s">
        <v>25</v>
      </c>
      <c r="I4480">
        <v>2</v>
      </c>
      <c r="J4480" t="s">
        <v>109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23</v>
      </c>
      <c r="R4480">
        <v>0</v>
      </c>
    </row>
    <row r="4481" spans="1:18">
      <c r="A4481" s="4">
        <v>1816960000000</v>
      </c>
      <c r="B4481" t="s">
        <v>18</v>
      </c>
      <c r="C4481">
        <v>3</v>
      </c>
      <c r="D4481" t="s">
        <v>31</v>
      </c>
      <c r="E4481" t="s">
        <v>66</v>
      </c>
      <c r="F4481" s="1">
        <v>42506</v>
      </c>
      <c r="G4481" s="1">
        <v>42509</v>
      </c>
      <c r="H4481" t="s">
        <v>33</v>
      </c>
      <c r="I4481">
        <v>3</v>
      </c>
      <c r="J4481" t="s">
        <v>109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23</v>
      </c>
      <c r="R4481">
        <v>0</v>
      </c>
    </row>
    <row r="4482" spans="1:18">
      <c r="A4482" s="4">
        <v>89693600000000</v>
      </c>
      <c r="B4482" t="s">
        <v>18</v>
      </c>
      <c r="C4482">
        <v>53</v>
      </c>
      <c r="D4482" t="s">
        <v>35</v>
      </c>
      <c r="E4482" t="s">
        <v>32</v>
      </c>
      <c r="F4482" s="1">
        <v>42506</v>
      </c>
      <c r="G4482" s="1">
        <v>42508</v>
      </c>
      <c r="H4482" t="s">
        <v>25</v>
      </c>
      <c r="I4482">
        <v>2</v>
      </c>
      <c r="J4482" t="s">
        <v>109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23</v>
      </c>
      <c r="R4482">
        <v>0</v>
      </c>
    </row>
    <row r="4483" spans="1:18">
      <c r="A4483" s="4">
        <v>933972000000000</v>
      </c>
      <c r="B4483" t="s">
        <v>28</v>
      </c>
      <c r="C4483">
        <v>87</v>
      </c>
      <c r="D4483" t="s">
        <v>19</v>
      </c>
      <c r="E4483" t="s">
        <v>38</v>
      </c>
      <c r="F4483" s="1">
        <v>42506</v>
      </c>
      <c r="G4483" s="1">
        <v>42508</v>
      </c>
      <c r="H4483" t="s">
        <v>25</v>
      </c>
      <c r="I4483">
        <v>2</v>
      </c>
      <c r="J4483" t="s">
        <v>109</v>
      </c>
      <c r="K4483">
        <v>0</v>
      </c>
      <c r="L4483">
        <v>1</v>
      </c>
      <c r="M4483">
        <v>0</v>
      </c>
      <c r="N4483">
        <v>0</v>
      </c>
      <c r="O4483">
        <v>0</v>
      </c>
      <c r="P4483">
        <v>0</v>
      </c>
      <c r="Q4483" t="s">
        <v>23</v>
      </c>
      <c r="R4483">
        <v>0</v>
      </c>
    </row>
    <row r="4484" spans="1:18">
      <c r="A4484" s="4">
        <v>7671370000000</v>
      </c>
      <c r="B4484" t="s">
        <v>28</v>
      </c>
      <c r="C4484">
        <v>8</v>
      </c>
      <c r="D4484" t="s">
        <v>31</v>
      </c>
      <c r="E4484" t="s">
        <v>96</v>
      </c>
      <c r="F4484" s="1">
        <v>42506</v>
      </c>
      <c r="G4484" s="1">
        <v>42523</v>
      </c>
      <c r="H4484" t="s">
        <v>33</v>
      </c>
      <c r="I4484">
        <v>17</v>
      </c>
      <c r="J4484" t="s">
        <v>77</v>
      </c>
      <c r="K4484">
        <v>1</v>
      </c>
      <c r="L4484">
        <v>0</v>
      </c>
      <c r="M4484">
        <v>0</v>
      </c>
      <c r="N4484">
        <v>0</v>
      </c>
      <c r="O4484">
        <v>0</v>
      </c>
      <c r="P4484">
        <v>1</v>
      </c>
      <c r="Q4484" t="s">
        <v>23</v>
      </c>
      <c r="R4484">
        <v>0</v>
      </c>
    </row>
    <row r="4485" spans="1:18">
      <c r="A4485" s="4">
        <v>9558280000000</v>
      </c>
      <c r="B4485" t="s">
        <v>28</v>
      </c>
      <c r="C4485">
        <v>58</v>
      </c>
      <c r="D4485" t="s">
        <v>35</v>
      </c>
      <c r="E4485" t="s">
        <v>39</v>
      </c>
      <c r="F4485" s="1">
        <v>42506</v>
      </c>
      <c r="G4485" s="1">
        <v>42508</v>
      </c>
      <c r="H4485" t="s">
        <v>25</v>
      </c>
      <c r="I4485">
        <v>2</v>
      </c>
      <c r="J4485" t="s">
        <v>109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23</v>
      </c>
      <c r="R4485">
        <v>0</v>
      </c>
    </row>
    <row r="4486" spans="1:18">
      <c r="A4486" s="4">
        <v>548857000000</v>
      </c>
      <c r="B4486" t="s">
        <v>28</v>
      </c>
      <c r="C4486">
        <v>36</v>
      </c>
      <c r="D4486" t="s">
        <v>27</v>
      </c>
      <c r="E4486" t="s">
        <v>66</v>
      </c>
      <c r="F4486" s="1">
        <v>42506</v>
      </c>
      <c r="G4486" s="1">
        <v>42510</v>
      </c>
      <c r="H4486" t="s">
        <v>21</v>
      </c>
      <c r="I4486">
        <v>4</v>
      </c>
      <c r="J4486" t="s">
        <v>107</v>
      </c>
      <c r="K4486">
        <v>1</v>
      </c>
      <c r="L4486">
        <v>0</v>
      </c>
      <c r="M4486">
        <v>0</v>
      </c>
      <c r="N4486">
        <v>0</v>
      </c>
      <c r="O4486">
        <v>0</v>
      </c>
      <c r="P4486">
        <v>0</v>
      </c>
      <c r="Q4486" t="s">
        <v>23</v>
      </c>
      <c r="R4486">
        <v>0</v>
      </c>
    </row>
    <row r="4487" spans="1:18">
      <c r="A4487" s="4">
        <v>724641000000000</v>
      </c>
      <c r="B4487" t="s">
        <v>18</v>
      </c>
      <c r="C4487">
        <v>38</v>
      </c>
      <c r="D4487" t="s">
        <v>27</v>
      </c>
      <c r="E4487" t="s">
        <v>81</v>
      </c>
      <c r="F4487" s="1">
        <v>42506</v>
      </c>
      <c r="G4487" s="1">
        <v>42527</v>
      </c>
      <c r="H4487" t="s">
        <v>30</v>
      </c>
      <c r="I4487">
        <v>21</v>
      </c>
      <c r="J4487" t="s">
        <v>77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1</v>
      </c>
      <c r="Q4487" t="s">
        <v>23</v>
      </c>
      <c r="R4487">
        <v>0</v>
      </c>
    </row>
    <row r="4488" spans="1:18">
      <c r="A4488" s="4">
        <v>551833000000</v>
      </c>
      <c r="B4488" t="s">
        <v>18</v>
      </c>
      <c r="C4488">
        <v>63</v>
      </c>
      <c r="D4488" t="s">
        <v>35</v>
      </c>
      <c r="E4488" t="s">
        <v>29</v>
      </c>
      <c r="F4488" s="1">
        <v>42506</v>
      </c>
      <c r="G4488" s="1">
        <v>42508</v>
      </c>
      <c r="H4488" t="s">
        <v>25</v>
      </c>
      <c r="I4488">
        <v>2</v>
      </c>
      <c r="J4488" t="s">
        <v>109</v>
      </c>
      <c r="K4488">
        <v>0</v>
      </c>
      <c r="L4488">
        <v>1</v>
      </c>
      <c r="M4488">
        <v>0</v>
      </c>
      <c r="N4488">
        <v>0</v>
      </c>
      <c r="O4488">
        <v>0</v>
      </c>
      <c r="P4488">
        <v>0</v>
      </c>
      <c r="Q4488" t="s">
        <v>23</v>
      </c>
      <c r="R4488">
        <v>0</v>
      </c>
    </row>
    <row r="4489" spans="1:18">
      <c r="A4489" s="4">
        <v>82687200000000</v>
      </c>
      <c r="B4489" t="s">
        <v>28</v>
      </c>
      <c r="C4489">
        <v>46</v>
      </c>
      <c r="D4489" t="s">
        <v>27</v>
      </c>
      <c r="E4489" t="s">
        <v>43</v>
      </c>
      <c r="F4489" s="1">
        <v>42506</v>
      </c>
      <c r="G4489" s="1">
        <v>42508</v>
      </c>
      <c r="H4489" t="s">
        <v>25</v>
      </c>
      <c r="I4489">
        <v>2</v>
      </c>
      <c r="J4489" t="s">
        <v>109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23</v>
      </c>
      <c r="R4489">
        <v>0</v>
      </c>
    </row>
    <row r="4490" spans="1:18">
      <c r="A4490" s="4">
        <v>866919000000</v>
      </c>
      <c r="B4490" t="s">
        <v>18</v>
      </c>
      <c r="C4490">
        <v>78</v>
      </c>
      <c r="D4490" t="s">
        <v>19</v>
      </c>
      <c r="E4490" t="s">
        <v>99</v>
      </c>
      <c r="F4490" s="1">
        <v>42506</v>
      </c>
      <c r="G4490" s="1">
        <v>42507</v>
      </c>
      <c r="H4490" t="s">
        <v>41</v>
      </c>
      <c r="I4490">
        <v>1</v>
      </c>
      <c r="J4490" t="s">
        <v>109</v>
      </c>
      <c r="K4490">
        <v>0</v>
      </c>
      <c r="L4490">
        <v>1</v>
      </c>
      <c r="M4490">
        <v>0</v>
      </c>
      <c r="N4490">
        <v>0</v>
      </c>
      <c r="O4490">
        <v>1</v>
      </c>
      <c r="P4490">
        <v>0</v>
      </c>
      <c r="Q4490" t="s">
        <v>23</v>
      </c>
      <c r="R4490">
        <v>0</v>
      </c>
    </row>
    <row r="4491" spans="1:18">
      <c r="A4491" s="4">
        <v>6655800000000</v>
      </c>
      <c r="B4491" t="s">
        <v>18</v>
      </c>
      <c r="C4491">
        <v>50</v>
      </c>
      <c r="D4491" t="s">
        <v>27</v>
      </c>
      <c r="E4491" t="s">
        <v>81</v>
      </c>
      <c r="F4491" s="1">
        <v>42506</v>
      </c>
      <c r="G4491" s="1">
        <v>42506</v>
      </c>
      <c r="H4491" t="s">
        <v>30</v>
      </c>
      <c r="I4491">
        <v>0</v>
      </c>
      <c r="J4491" t="s">
        <v>111</v>
      </c>
      <c r="K4491">
        <v>0</v>
      </c>
      <c r="L4491">
        <v>1</v>
      </c>
      <c r="M4491">
        <v>1</v>
      </c>
      <c r="N4491">
        <v>0</v>
      </c>
      <c r="O4491">
        <v>0</v>
      </c>
      <c r="P4491">
        <v>0</v>
      </c>
      <c r="Q4491" t="s">
        <v>23</v>
      </c>
      <c r="R4491">
        <v>0</v>
      </c>
    </row>
    <row r="4492" spans="1:18">
      <c r="A4492" s="4">
        <v>28278600000000</v>
      </c>
      <c r="B4492" t="s">
        <v>28</v>
      </c>
      <c r="C4492">
        <v>73</v>
      </c>
      <c r="D4492" t="s">
        <v>19</v>
      </c>
      <c r="E4492" t="s">
        <v>59</v>
      </c>
      <c r="F4492" s="1">
        <v>42506</v>
      </c>
      <c r="G4492" s="1">
        <v>42514</v>
      </c>
      <c r="H4492" t="s">
        <v>41</v>
      </c>
      <c r="I4492">
        <v>8</v>
      </c>
      <c r="J4492" t="s">
        <v>92</v>
      </c>
      <c r="K4492">
        <v>0</v>
      </c>
      <c r="L4492">
        <v>1</v>
      </c>
      <c r="M4492">
        <v>1</v>
      </c>
      <c r="N4492">
        <v>0</v>
      </c>
      <c r="O4492">
        <v>0</v>
      </c>
      <c r="P4492">
        <v>0</v>
      </c>
      <c r="Q4492" t="s">
        <v>26</v>
      </c>
      <c r="R4492">
        <v>1</v>
      </c>
    </row>
    <row r="4493" spans="1:18">
      <c r="A4493" s="4">
        <v>3132160000000</v>
      </c>
      <c r="B4493" t="s">
        <v>28</v>
      </c>
      <c r="C4493">
        <v>65</v>
      </c>
      <c r="D4493" t="s">
        <v>35</v>
      </c>
      <c r="E4493" t="s">
        <v>29</v>
      </c>
      <c r="F4493" s="1">
        <v>42506</v>
      </c>
      <c r="G4493" s="1">
        <v>42506</v>
      </c>
      <c r="H4493" t="s">
        <v>30</v>
      </c>
      <c r="I4493">
        <v>0</v>
      </c>
      <c r="J4493" t="s">
        <v>111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23</v>
      </c>
      <c r="R4493">
        <v>0</v>
      </c>
    </row>
    <row r="4494" spans="1:18">
      <c r="A4494" s="4">
        <v>24388900000000</v>
      </c>
      <c r="B4494" t="s">
        <v>18</v>
      </c>
      <c r="C4494">
        <v>45</v>
      </c>
      <c r="D4494" t="s">
        <v>27</v>
      </c>
      <c r="E4494" t="s">
        <v>66</v>
      </c>
      <c r="F4494" s="1">
        <v>42506</v>
      </c>
      <c r="G4494" s="1">
        <v>42507</v>
      </c>
      <c r="H4494" t="s">
        <v>41</v>
      </c>
      <c r="I4494">
        <v>1</v>
      </c>
      <c r="J4494" t="s">
        <v>109</v>
      </c>
      <c r="K4494">
        <v>0</v>
      </c>
      <c r="L4494">
        <v>1</v>
      </c>
      <c r="M4494">
        <v>1</v>
      </c>
      <c r="N4494">
        <v>0</v>
      </c>
      <c r="O4494">
        <v>0</v>
      </c>
      <c r="P4494">
        <v>0</v>
      </c>
      <c r="Q4494" t="s">
        <v>23</v>
      </c>
      <c r="R4494">
        <v>0</v>
      </c>
    </row>
    <row r="4495" spans="1:18">
      <c r="A4495" s="4">
        <v>2963430000000</v>
      </c>
      <c r="B4495" t="s">
        <v>18</v>
      </c>
      <c r="C4495">
        <v>60</v>
      </c>
      <c r="D4495" t="s">
        <v>35</v>
      </c>
      <c r="E4495" t="s">
        <v>40</v>
      </c>
      <c r="F4495" s="1">
        <v>42506</v>
      </c>
      <c r="G4495" s="1">
        <v>42529</v>
      </c>
      <c r="H4495" t="s">
        <v>25</v>
      </c>
      <c r="I4495">
        <v>23</v>
      </c>
      <c r="J4495" t="s">
        <v>77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1</v>
      </c>
      <c r="Q4495" t="s">
        <v>23</v>
      </c>
      <c r="R4495">
        <v>0</v>
      </c>
    </row>
    <row r="4496" spans="1:18">
      <c r="A4496" s="4">
        <v>5416390000000</v>
      </c>
      <c r="B4496" t="s">
        <v>18</v>
      </c>
      <c r="C4496">
        <v>57</v>
      </c>
      <c r="D4496" t="s">
        <v>35</v>
      </c>
      <c r="E4496" t="s">
        <v>47</v>
      </c>
      <c r="F4496" s="1">
        <v>42506</v>
      </c>
      <c r="G4496" s="1">
        <v>42523</v>
      </c>
      <c r="H4496" t="s">
        <v>33</v>
      </c>
      <c r="I4496">
        <v>17</v>
      </c>
      <c r="J4496" t="s">
        <v>77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1</v>
      </c>
      <c r="Q4496" t="s">
        <v>23</v>
      </c>
      <c r="R4496">
        <v>0</v>
      </c>
    </row>
    <row r="4497" spans="1:18">
      <c r="A4497" s="4">
        <v>64918100000000</v>
      </c>
      <c r="B4497" t="s">
        <v>28</v>
      </c>
      <c r="C4497">
        <v>0</v>
      </c>
      <c r="D4497" t="s">
        <v>31</v>
      </c>
      <c r="E4497" t="s">
        <v>105</v>
      </c>
      <c r="F4497" s="1">
        <v>42506</v>
      </c>
      <c r="G4497" s="1">
        <v>42506</v>
      </c>
      <c r="H4497" t="s">
        <v>30</v>
      </c>
      <c r="I4497">
        <v>0</v>
      </c>
      <c r="J4497" t="s">
        <v>111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 t="s">
        <v>23</v>
      </c>
      <c r="R4497">
        <v>0</v>
      </c>
    </row>
    <row r="4498" spans="1:18">
      <c r="A4498" s="4">
        <v>16344800000000</v>
      </c>
      <c r="B4498" t="s">
        <v>18</v>
      </c>
      <c r="C4498">
        <v>52</v>
      </c>
      <c r="D4498" t="s">
        <v>35</v>
      </c>
      <c r="E4498" t="s">
        <v>42</v>
      </c>
      <c r="F4498" s="1">
        <v>42506</v>
      </c>
      <c r="G4498" s="1">
        <v>42506</v>
      </c>
      <c r="H4498" t="s">
        <v>30</v>
      </c>
      <c r="I4498">
        <v>0</v>
      </c>
      <c r="J4498" t="s">
        <v>111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 t="s">
        <v>26</v>
      </c>
      <c r="R4498">
        <v>1</v>
      </c>
    </row>
    <row r="4499" spans="1:18">
      <c r="A4499" s="4">
        <v>757629000000000</v>
      </c>
      <c r="B4499" t="s">
        <v>28</v>
      </c>
      <c r="C4499">
        <v>55</v>
      </c>
      <c r="D4499" t="s">
        <v>35</v>
      </c>
      <c r="E4499" t="s">
        <v>50</v>
      </c>
      <c r="F4499" s="1">
        <v>42506</v>
      </c>
      <c r="G4499" s="1">
        <v>42506</v>
      </c>
      <c r="H4499" t="s">
        <v>30</v>
      </c>
      <c r="I4499">
        <v>0</v>
      </c>
      <c r="J4499" t="s">
        <v>111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23</v>
      </c>
      <c r="R4499">
        <v>0</v>
      </c>
    </row>
    <row r="4500" spans="1:18">
      <c r="A4500" s="4">
        <v>361792000000</v>
      </c>
      <c r="B4500" t="s">
        <v>18</v>
      </c>
      <c r="C4500">
        <v>37</v>
      </c>
      <c r="D4500" t="s">
        <v>27</v>
      </c>
      <c r="E4500" t="s">
        <v>75</v>
      </c>
      <c r="F4500" s="1">
        <v>42506</v>
      </c>
      <c r="G4500" s="1">
        <v>42506</v>
      </c>
      <c r="H4500" t="s">
        <v>30</v>
      </c>
      <c r="I4500">
        <v>0</v>
      </c>
      <c r="J4500" t="s">
        <v>111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23</v>
      </c>
      <c r="R4500">
        <v>0</v>
      </c>
    </row>
    <row r="4501" spans="1:18">
      <c r="A4501" s="4">
        <v>9756760000000</v>
      </c>
      <c r="B4501" t="s">
        <v>18</v>
      </c>
      <c r="C4501">
        <v>22</v>
      </c>
      <c r="D4501" t="s">
        <v>37</v>
      </c>
      <c r="E4501" t="s">
        <v>50</v>
      </c>
      <c r="F4501" s="1">
        <v>42506</v>
      </c>
      <c r="G4501" s="1">
        <v>42507</v>
      </c>
      <c r="H4501" t="s">
        <v>41</v>
      </c>
      <c r="I4501">
        <v>1</v>
      </c>
      <c r="J4501" t="s">
        <v>109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 t="s">
        <v>23</v>
      </c>
      <c r="R4501">
        <v>0</v>
      </c>
    </row>
    <row r="4502" spans="1:18">
      <c r="A4502" s="4">
        <v>333972000000</v>
      </c>
      <c r="B4502" t="s">
        <v>18</v>
      </c>
      <c r="C4502">
        <v>52</v>
      </c>
      <c r="D4502" t="s">
        <v>35</v>
      </c>
      <c r="E4502" t="s">
        <v>39</v>
      </c>
      <c r="F4502" s="1">
        <v>42506</v>
      </c>
      <c r="G4502" s="1">
        <v>42507</v>
      </c>
      <c r="H4502" t="s">
        <v>41</v>
      </c>
      <c r="I4502">
        <v>1</v>
      </c>
      <c r="J4502" t="s">
        <v>109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23</v>
      </c>
      <c r="R4502">
        <v>0</v>
      </c>
    </row>
    <row r="4503" spans="1:18">
      <c r="A4503" s="4">
        <v>6552460000000</v>
      </c>
      <c r="B4503" t="s">
        <v>18</v>
      </c>
      <c r="C4503">
        <v>29</v>
      </c>
      <c r="D4503" t="s">
        <v>37</v>
      </c>
      <c r="E4503" t="s">
        <v>40</v>
      </c>
      <c r="F4503" s="1">
        <v>42506</v>
      </c>
      <c r="G4503" s="1">
        <v>42515</v>
      </c>
      <c r="H4503" t="s">
        <v>25</v>
      </c>
      <c r="I4503">
        <v>9</v>
      </c>
      <c r="J4503" t="s">
        <v>92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1</v>
      </c>
      <c r="Q4503" t="s">
        <v>26</v>
      </c>
      <c r="R4503">
        <v>1</v>
      </c>
    </row>
    <row r="4504" spans="1:18">
      <c r="A4504" s="4">
        <v>774937000000</v>
      </c>
      <c r="B4504" t="s">
        <v>28</v>
      </c>
      <c r="C4504">
        <v>6</v>
      </c>
      <c r="D4504" t="s">
        <v>31</v>
      </c>
      <c r="E4504" t="s">
        <v>105</v>
      </c>
      <c r="F4504" s="1">
        <v>42506</v>
      </c>
      <c r="G4504" s="1">
        <v>42528</v>
      </c>
      <c r="H4504" t="s">
        <v>41</v>
      </c>
      <c r="I4504">
        <v>22</v>
      </c>
      <c r="J4504" t="s">
        <v>77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1</v>
      </c>
      <c r="Q4504" t="s">
        <v>23</v>
      </c>
      <c r="R4504">
        <v>0</v>
      </c>
    </row>
    <row r="4505" spans="1:18">
      <c r="A4505" s="4">
        <v>28827700000000</v>
      </c>
      <c r="B4505" t="s">
        <v>18</v>
      </c>
      <c r="C4505">
        <v>38</v>
      </c>
      <c r="D4505" t="s">
        <v>27</v>
      </c>
      <c r="E4505" t="s">
        <v>32</v>
      </c>
      <c r="F4505" s="1">
        <v>42506</v>
      </c>
      <c r="G4505" s="1">
        <v>42506</v>
      </c>
      <c r="H4505" t="s">
        <v>30</v>
      </c>
      <c r="I4505">
        <v>0</v>
      </c>
      <c r="J4505" t="s">
        <v>111</v>
      </c>
      <c r="K4505">
        <v>1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23</v>
      </c>
      <c r="R4505">
        <v>0</v>
      </c>
    </row>
    <row r="4506" spans="1:18">
      <c r="A4506" s="4">
        <v>44639000000000</v>
      </c>
      <c r="B4506" t="s">
        <v>18</v>
      </c>
      <c r="C4506">
        <v>31</v>
      </c>
      <c r="D4506" t="s">
        <v>37</v>
      </c>
      <c r="E4506" t="s">
        <v>20</v>
      </c>
      <c r="F4506" s="1">
        <v>42506</v>
      </c>
      <c r="G4506" s="1">
        <v>42514</v>
      </c>
      <c r="H4506" t="s">
        <v>41</v>
      </c>
      <c r="I4506">
        <v>8</v>
      </c>
      <c r="J4506" t="s">
        <v>92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1</v>
      </c>
      <c r="Q4506" t="s">
        <v>26</v>
      </c>
      <c r="R4506">
        <v>1</v>
      </c>
    </row>
    <row r="4507" spans="1:18">
      <c r="A4507" s="4">
        <v>27758800000000</v>
      </c>
      <c r="B4507" t="s">
        <v>28</v>
      </c>
      <c r="C4507">
        <v>3</v>
      </c>
      <c r="D4507" t="s">
        <v>31</v>
      </c>
      <c r="E4507" t="s">
        <v>34</v>
      </c>
      <c r="F4507" s="1">
        <v>42506</v>
      </c>
      <c r="G4507" s="1">
        <v>42507</v>
      </c>
      <c r="H4507" t="s">
        <v>41</v>
      </c>
      <c r="I4507">
        <v>1</v>
      </c>
      <c r="J4507" t="s">
        <v>109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23</v>
      </c>
      <c r="R4507">
        <v>0</v>
      </c>
    </row>
    <row r="4508" spans="1:18">
      <c r="A4508" s="4">
        <v>871335000000000</v>
      </c>
      <c r="B4508" t="s">
        <v>18</v>
      </c>
      <c r="C4508">
        <v>59</v>
      </c>
      <c r="D4508" t="s">
        <v>35</v>
      </c>
      <c r="E4508" t="s">
        <v>51</v>
      </c>
      <c r="F4508" s="1">
        <v>42506</v>
      </c>
      <c r="G4508" s="1">
        <v>42508</v>
      </c>
      <c r="H4508" t="s">
        <v>25</v>
      </c>
      <c r="I4508">
        <v>2</v>
      </c>
      <c r="J4508" t="s">
        <v>109</v>
      </c>
      <c r="K4508">
        <v>1</v>
      </c>
      <c r="L4508">
        <v>1</v>
      </c>
      <c r="M4508">
        <v>0</v>
      </c>
      <c r="N4508">
        <v>0</v>
      </c>
      <c r="O4508">
        <v>0</v>
      </c>
      <c r="P4508">
        <v>0</v>
      </c>
      <c r="Q4508" t="s">
        <v>23</v>
      </c>
      <c r="R4508">
        <v>0</v>
      </c>
    </row>
    <row r="4509" spans="1:18">
      <c r="A4509" s="4">
        <v>513852000000000</v>
      </c>
      <c r="B4509" t="s">
        <v>28</v>
      </c>
      <c r="C4509">
        <v>78</v>
      </c>
      <c r="D4509" t="s">
        <v>19</v>
      </c>
      <c r="E4509" t="s">
        <v>84</v>
      </c>
      <c r="F4509" s="1">
        <v>42506</v>
      </c>
      <c r="G4509" s="1">
        <v>42514</v>
      </c>
      <c r="H4509" t="s">
        <v>41</v>
      </c>
      <c r="I4509">
        <v>8</v>
      </c>
      <c r="J4509" t="s">
        <v>92</v>
      </c>
      <c r="K4509">
        <v>0</v>
      </c>
      <c r="L4509">
        <v>1</v>
      </c>
      <c r="M4509">
        <v>0</v>
      </c>
      <c r="N4509">
        <v>0</v>
      </c>
      <c r="O4509">
        <v>0</v>
      </c>
      <c r="P4509">
        <v>1</v>
      </c>
      <c r="Q4509" t="s">
        <v>26</v>
      </c>
      <c r="R4509">
        <v>1</v>
      </c>
    </row>
    <row r="4510" spans="1:18">
      <c r="A4510" s="4">
        <v>9151520000000</v>
      </c>
      <c r="B4510" t="s">
        <v>18</v>
      </c>
      <c r="C4510">
        <v>7</v>
      </c>
      <c r="D4510" t="s">
        <v>31</v>
      </c>
      <c r="E4510" t="s">
        <v>50</v>
      </c>
      <c r="F4510" s="1">
        <v>42506</v>
      </c>
      <c r="G4510" s="1">
        <v>42507</v>
      </c>
      <c r="H4510" t="s">
        <v>41</v>
      </c>
      <c r="I4510">
        <v>1</v>
      </c>
      <c r="J4510" t="s">
        <v>109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26</v>
      </c>
      <c r="R4510">
        <v>1</v>
      </c>
    </row>
    <row r="4511" spans="1:18">
      <c r="A4511" s="4">
        <v>6261250000000</v>
      </c>
      <c r="B4511" t="s">
        <v>28</v>
      </c>
      <c r="C4511">
        <v>32</v>
      </c>
      <c r="D4511" t="s">
        <v>37</v>
      </c>
      <c r="E4511" t="s">
        <v>66</v>
      </c>
      <c r="F4511" s="1">
        <v>42506</v>
      </c>
      <c r="G4511" s="1">
        <v>42506</v>
      </c>
      <c r="H4511" t="s">
        <v>30</v>
      </c>
      <c r="I4511">
        <v>0</v>
      </c>
      <c r="J4511" t="s">
        <v>111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23</v>
      </c>
      <c r="R4511">
        <v>0</v>
      </c>
    </row>
    <row r="4512" spans="1:18">
      <c r="A4512" s="4">
        <v>75731900000000</v>
      </c>
      <c r="B4512" t="s">
        <v>18</v>
      </c>
      <c r="C4512">
        <v>1</v>
      </c>
      <c r="D4512" t="s">
        <v>31</v>
      </c>
      <c r="E4512" t="s">
        <v>39</v>
      </c>
      <c r="F4512" s="1">
        <v>42506</v>
      </c>
      <c r="G4512" s="1">
        <v>42508</v>
      </c>
      <c r="H4512" t="s">
        <v>25</v>
      </c>
      <c r="I4512">
        <v>2</v>
      </c>
      <c r="J4512" t="s">
        <v>109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 t="s">
        <v>26</v>
      </c>
      <c r="R4512">
        <v>1</v>
      </c>
    </row>
    <row r="4513" spans="1:18">
      <c r="A4513" s="4">
        <v>395447000000000</v>
      </c>
      <c r="B4513" t="s">
        <v>28</v>
      </c>
      <c r="C4513">
        <v>0</v>
      </c>
      <c r="D4513" t="s">
        <v>31</v>
      </c>
      <c r="E4513" t="s">
        <v>72</v>
      </c>
      <c r="F4513" s="1">
        <v>42506</v>
      </c>
      <c r="G4513" s="1">
        <v>42506</v>
      </c>
      <c r="H4513" t="s">
        <v>30</v>
      </c>
      <c r="I4513">
        <v>0</v>
      </c>
      <c r="J4513" t="s">
        <v>111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23</v>
      </c>
      <c r="R4513">
        <v>0</v>
      </c>
    </row>
    <row r="4514" spans="1:18">
      <c r="A4514" s="4">
        <v>55522568873</v>
      </c>
      <c r="B4514" t="s">
        <v>18</v>
      </c>
      <c r="C4514">
        <v>28</v>
      </c>
      <c r="D4514" t="s">
        <v>37</v>
      </c>
      <c r="E4514" t="s">
        <v>75</v>
      </c>
      <c r="F4514" s="1">
        <v>42506</v>
      </c>
      <c r="G4514" s="1">
        <v>42527</v>
      </c>
      <c r="H4514" t="s">
        <v>30</v>
      </c>
      <c r="I4514">
        <v>21</v>
      </c>
      <c r="J4514" t="s">
        <v>77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1</v>
      </c>
      <c r="Q4514" t="s">
        <v>23</v>
      </c>
      <c r="R4514">
        <v>0</v>
      </c>
    </row>
    <row r="4515" spans="1:18">
      <c r="A4515" s="4">
        <v>421915000000000</v>
      </c>
      <c r="B4515" t="s">
        <v>18</v>
      </c>
      <c r="C4515">
        <v>18</v>
      </c>
      <c r="D4515" t="s">
        <v>37</v>
      </c>
      <c r="E4515" t="s">
        <v>90</v>
      </c>
      <c r="F4515" s="1">
        <v>42506</v>
      </c>
      <c r="G4515" s="1">
        <v>42515</v>
      </c>
      <c r="H4515" t="s">
        <v>25</v>
      </c>
      <c r="I4515">
        <v>9</v>
      </c>
      <c r="J4515" t="s">
        <v>92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1</v>
      </c>
      <c r="Q4515" t="s">
        <v>26</v>
      </c>
      <c r="R4515">
        <v>1</v>
      </c>
    </row>
    <row r="4516" spans="1:18">
      <c r="A4516" s="4">
        <v>915269000000000</v>
      </c>
      <c r="B4516" t="s">
        <v>28</v>
      </c>
      <c r="C4516">
        <v>1</v>
      </c>
      <c r="D4516" t="s">
        <v>31</v>
      </c>
      <c r="E4516" t="s">
        <v>32</v>
      </c>
      <c r="F4516" s="1">
        <v>42506</v>
      </c>
      <c r="G4516" s="1">
        <v>42506</v>
      </c>
      <c r="H4516" t="s">
        <v>30</v>
      </c>
      <c r="I4516">
        <v>0</v>
      </c>
      <c r="J4516" t="s">
        <v>111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23</v>
      </c>
      <c r="R4516">
        <v>0</v>
      </c>
    </row>
    <row r="4517" spans="1:18">
      <c r="A4517" s="4">
        <v>42785500000000</v>
      </c>
      <c r="B4517" t="s">
        <v>18</v>
      </c>
      <c r="C4517">
        <v>59</v>
      </c>
      <c r="D4517" t="s">
        <v>35</v>
      </c>
      <c r="E4517" t="s">
        <v>87</v>
      </c>
      <c r="F4517" s="1">
        <v>42506</v>
      </c>
      <c r="G4517" s="1">
        <v>42507</v>
      </c>
      <c r="H4517" t="s">
        <v>41</v>
      </c>
      <c r="I4517">
        <v>1</v>
      </c>
      <c r="J4517" t="s">
        <v>109</v>
      </c>
      <c r="K4517">
        <v>0</v>
      </c>
      <c r="L4517">
        <v>1</v>
      </c>
      <c r="M4517">
        <v>0</v>
      </c>
      <c r="N4517">
        <v>0</v>
      </c>
      <c r="O4517">
        <v>0</v>
      </c>
      <c r="P4517">
        <v>0</v>
      </c>
      <c r="Q4517" t="s">
        <v>26</v>
      </c>
      <c r="R4517">
        <v>1</v>
      </c>
    </row>
    <row r="4518" spans="1:18">
      <c r="A4518" s="4">
        <v>1276510000000</v>
      </c>
      <c r="B4518" t="s">
        <v>18</v>
      </c>
      <c r="C4518">
        <v>31</v>
      </c>
      <c r="D4518" t="s">
        <v>37</v>
      </c>
      <c r="E4518" t="s">
        <v>38</v>
      </c>
      <c r="F4518" s="1">
        <v>42506</v>
      </c>
      <c r="G4518" s="1">
        <v>42524</v>
      </c>
      <c r="H4518" t="s">
        <v>21</v>
      </c>
      <c r="I4518">
        <v>18</v>
      </c>
      <c r="J4518" t="s">
        <v>77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 t="s">
        <v>26</v>
      </c>
      <c r="R4518">
        <v>1</v>
      </c>
    </row>
    <row r="4519" spans="1:18">
      <c r="A4519" s="4">
        <v>291459000000000</v>
      </c>
      <c r="B4519" t="s">
        <v>18</v>
      </c>
      <c r="C4519">
        <v>53</v>
      </c>
      <c r="D4519" t="s">
        <v>35</v>
      </c>
      <c r="E4519" t="s">
        <v>72</v>
      </c>
      <c r="F4519" s="1">
        <v>42506</v>
      </c>
      <c r="G4519" s="1">
        <v>42521</v>
      </c>
      <c r="H4519" t="s">
        <v>41</v>
      </c>
      <c r="I4519">
        <v>15</v>
      </c>
      <c r="J4519" t="s">
        <v>77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1</v>
      </c>
      <c r="Q4519" t="s">
        <v>26</v>
      </c>
      <c r="R4519">
        <v>1</v>
      </c>
    </row>
    <row r="4520" spans="1:18">
      <c r="A4520" s="4">
        <v>473974000000</v>
      </c>
      <c r="B4520" t="s">
        <v>28</v>
      </c>
      <c r="C4520">
        <v>44</v>
      </c>
      <c r="D4520" t="s">
        <v>27</v>
      </c>
      <c r="E4520" t="s">
        <v>66</v>
      </c>
      <c r="F4520" s="1">
        <v>42506</v>
      </c>
      <c r="G4520" s="1">
        <v>42507</v>
      </c>
      <c r="H4520" t="s">
        <v>41</v>
      </c>
      <c r="I4520">
        <v>1</v>
      </c>
      <c r="J4520" t="s">
        <v>109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 t="s">
        <v>23</v>
      </c>
      <c r="R4520">
        <v>0</v>
      </c>
    </row>
    <row r="4521" spans="1:18">
      <c r="A4521" s="4">
        <v>4637240000000</v>
      </c>
      <c r="B4521" t="s">
        <v>18</v>
      </c>
      <c r="C4521">
        <v>20</v>
      </c>
      <c r="D4521" t="s">
        <v>37</v>
      </c>
      <c r="E4521" t="s">
        <v>50</v>
      </c>
      <c r="F4521" s="1">
        <v>42506</v>
      </c>
      <c r="G4521" s="1">
        <v>42506</v>
      </c>
      <c r="H4521" t="s">
        <v>30</v>
      </c>
      <c r="I4521">
        <v>0</v>
      </c>
      <c r="J4521" t="s">
        <v>111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23</v>
      </c>
      <c r="R4521">
        <v>0</v>
      </c>
    </row>
    <row r="4522" spans="1:18">
      <c r="A4522" s="4">
        <v>221465000000000</v>
      </c>
      <c r="B4522" t="s">
        <v>28</v>
      </c>
      <c r="C4522">
        <v>1</v>
      </c>
      <c r="D4522" t="s">
        <v>31</v>
      </c>
      <c r="E4522" t="s">
        <v>57</v>
      </c>
      <c r="F4522" s="1">
        <v>42506</v>
      </c>
      <c r="G4522" s="1">
        <v>42506</v>
      </c>
      <c r="H4522" t="s">
        <v>30</v>
      </c>
      <c r="I4522">
        <v>0</v>
      </c>
      <c r="J4522" t="s">
        <v>111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23</v>
      </c>
      <c r="R4522">
        <v>0</v>
      </c>
    </row>
    <row r="4523" spans="1:18">
      <c r="A4523" s="4">
        <v>88138500000000</v>
      </c>
      <c r="B4523" t="s">
        <v>28</v>
      </c>
      <c r="C4523">
        <v>62</v>
      </c>
      <c r="D4523" t="s">
        <v>35</v>
      </c>
      <c r="E4523" t="s">
        <v>47</v>
      </c>
      <c r="F4523" s="1">
        <v>42506</v>
      </c>
      <c r="G4523" s="1">
        <v>42510</v>
      </c>
      <c r="H4523" t="s">
        <v>21</v>
      </c>
      <c r="I4523">
        <v>4</v>
      </c>
      <c r="J4523" t="s">
        <v>107</v>
      </c>
      <c r="K4523">
        <v>0</v>
      </c>
      <c r="L4523">
        <v>1</v>
      </c>
      <c r="M4523">
        <v>0</v>
      </c>
      <c r="N4523">
        <v>0</v>
      </c>
      <c r="O4523">
        <v>0</v>
      </c>
      <c r="P4523">
        <v>0</v>
      </c>
      <c r="Q4523" t="s">
        <v>26</v>
      </c>
      <c r="R4523">
        <v>1</v>
      </c>
    </row>
    <row r="4524" spans="1:18">
      <c r="A4524" s="4">
        <v>93558600000000</v>
      </c>
      <c r="B4524" t="s">
        <v>28</v>
      </c>
      <c r="C4524">
        <v>71</v>
      </c>
      <c r="D4524" t="s">
        <v>19</v>
      </c>
      <c r="E4524" t="s">
        <v>32</v>
      </c>
      <c r="F4524" s="1">
        <v>42506</v>
      </c>
      <c r="G4524" s="1">
        <v>42524</v>
      </c>
      <c r="H4524" t="s">
        <v>21</v>
      </c>
      <c r="I4524">
        <v>18</v>
      </c>
      <c r="J4524" t="s">
        <v>77</v>
      </c>
      <c r="K4524">
        <v>0</v>
      </c>
      <c r="L4524">
        <v>0</v>
      </c>
      <c r="M4524">
        <v>0</v>
      </c>
      <c r="N4524">
        <v>1</v>
      </c>
      <c r="O4524">
        <v>0</v>
      </c>
      <c r="P4524">
        <v>1</v>
      </c>
      <c r="Q4524" t="s">
        <v>26</v>
      </c>
      <c r="R4524">
        <v>1</v>
      </c>
    </row>
    <row r="4525" spans="1:18">
      <c r="A4525" s="4">
        <v>1774170000000</v>
      </c>
      <c r="B4525" t="s">
        <v>28</v>
      </c>
      <c r="C4525">
        <v>68</v>
      </c>
      <c r="D4525" t="s">
        <v>19</v>
      </c>
      <c r="E4525" t="s">
        <v>48</v>
      </c>
      <c r="F4525" s="1">
        <v>42506</v>
      </c>
      <c r="G4525" s="1">
        <v>42507</v>
      </c>
      <c r="H4525" t="s">
        <v>41</v>
      </c>
      <c r="I4525">
        <v>1</v>
      </c>
      <c r="J4525" t="s">
        <v>109</v>
      </c>
      <c r="K4525">
        <v>0</v>
      </c>
      <c r="L4525">
        <v>1</v>
      </c>
      <c r="M4525">
        <v>1</v>
      </c>
      <c r="N4525">
        <v>0</v>
      </c>
      <c r="O4525">
        <v>0</v>
      </c>
      <c r="P4525">
        <v>0</v>
      </c>
      <c r="Q4525" t="s">
        <v>23</v>
      </c>
      <c r="R4525">
        <v>0</v>
      </c>
    </row>
    <row r="4526" spans="1:18">
      <c r="A4526" s="4">
        <v>838942000000000</v>
      </c>
      <c r="B4526" t="s">
        <v>18</v>
      </c>
      <c r="C4526">
        <v>16</v>
      </c>
      <c r="D4526" t="s">
        <v>60</v>
      </c>
      <c r="E4526" t="s">
        <v>34</v>
      </c>
      <c r="F4526" s="1">
        <v>42506</v>
      </c>
      <c r="G4526" s="1">
        <v>42515</v>
      </c>
      <c r="H4526" t="s">
        <v>25</v>
      </c>
      <c r="I4526">
        <v>9</v>
      </c>
      <c r="J4526" t="s">
        <v>92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 t="s">
        <v>26</v>
      </c>
      <c r="R4526">
        <v>1</v>
      </c>
    </row>
    <row r="4527" spans="1:18">
      <c r="A4527" s="4">
        <v>531698000000000</v>
      </c>
      <c r="B4527" t="s">
        <v>28</v>
      </c>
      <c r="C4527">
        <v>26</v>
      </c>
      <c r="D4527" t="s">
        <v>37</v>
      </c>
      <c r="E4527" t="s">
        <v>40</v>
      </c>
      <c r="F4527" s="1">
        <v>42506</v>
      </c>
      <c r="G4527" s="1">
        <v>42520</v>
      </c>
      <c r="H4527" t="s">
        <v>30</v>
      </c>
      <c r="I4527">
        <v>14</v>
      </c>
      <c r="J4527" t="s">
        <v>92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1</v>
      </c>
      <c r="Q4527" t="s">
        <v>23</v>
      </c>
      <c r="R4527">
        <v>0</v>
      </c>
    </row>
    <row r="4528" spans="1:18">
      <c r="A4528" s="4">
        <v>237569000000000</v>
      </c>
      <c r="B4528" t="s">
        <v>18</v>
      </c>
      <c r="C4528">
        <v>38</v>
      </c>
      <c r="D4528" t="s">
        <v>27</v>
      </c>
      <c r="E4528" t="s">
        <v>98</v>
      </c>
      <c r="F4528" s="1">
        <v>42506</v>
      </c>
      <c r="G4528" s="1">
        <v>42523</v>
      </c>
      <c r="H4528" t="s">
        <v>33</v>
      </c>
      <c r="I4528">
        <v>17</v>
      </c>
      <c r="J4528" t="s">
        <v>77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1</v>
      </c>
      <c r="Q4528" t="s">
        <v>26</v>
      </c>
      <c r="R4528">
        <v>1</v>
      </c>
    </row>
    <row r="4529" spans="1:18">
      <c r="A4529" s="4">
        <v>184946000000</v>
      </c>
      <c r="B4529" t="s">
        <v>18</v>
      </c>
      <c r="C4529">
        <v>39</v>
      </c>
      <c r="D4529" t="s">
        <v>27</v>
      </c>
      <c r="E4529" t="s">
        <v>100</v>
      </c>
      <c r="F4529" s="1">
        <v>42506</v>
      </c>
      <c r="G4529" s="1">
        <v>42507</v>
      </c>
      <c r="H4529" t="s">
        <v>41</v>
      </c>
      <c r="I4529">
        <v>1</v>
      </c>
      <c r="J4529" t="s">
        <v>109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23</v>
      </c>
      <c r="R4529">
        <v>0</v>
      </c>
    </row>
    <row r="4530" spans="1:18">
      <c r="A4530" s="4">
        <v>3723380000000</v>
      </c>
      <c r="B4530" t="s">
        <v>18</v>
      </c>
      <c r="C4530">
        <v>45</v>
      </c>
      <c r="D4530" t="s">
        <v>27</v>
      </c>
      <c r="E4530" t="s">
        <v>68</v>
      </c>
      <c r="F4530" s="1">
        <v>42506</v>
      </c>
      <c r="G4530" s="1">
        <v>42514</v>
      </c>
      <c r="H4530" t="s">
        <v>41</v>
      </c>
      <c r="I4530">
        <v>8</v>
      </c>
      <c r="J4530" t="s">
        <v>92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1</v>
      </c>
      <c r="Q4530" t="s">
        <v>26</v>
      </c>
      <c r="R4530">
        <v>1</v>
      </c>
    </row>
    <row r="4531" spans="1:18">
      <c r="A4531" s="4">
        <v>85963700000000</v>
      </c>
      <c r="B4531" t="s">
        <v>28</v>
      </c>
      <c r="C4531">
        <v>42</v>
      </c>
      <c r="D4531" t="s">
        <v>27</v>
      </c>
      <c r="E4531" t="s">
        <v>24</v>
      </c>
      <c r="F4531" s="1">
        <v>42506</v>
      </c>
      <c r="G4531" s="1">
        <v>42515</v>
      </c>
      <c r="H4531" t="s">
        <v>25</v>
      </c>
      <c r="I4531">
        <v>9</v>
      </c>
      <c r="J4531" t="s">
        <v>92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1</v>
      </c>
      <c r="Q4531" t="s">
        <v>26</v>
      </c>
      <c r="R4531">
        <v>1</v>
      </c>
    </row>
    <row r="4532" spans="1:18">
      <c r="A4532" s="4">
        <v>5122520000000</v>
      </c>
      <c r="B4532" t="s">
        <v>18</v>
      </c>
      <c r="C4532">
        <v>26</v>
      </c>
      <c r="D4532" t="s">
        <v>37</v>
      </c>
      <c r="E4532" t="s">
        <v>50</v>
      </c>
      <c r="F4532" s="1">
        <v>42506</v>
      </c>
      <c r="G4532" s="1">
        <v>42507</v>
      </c>
      <c r="H4532" t="s">
        <v>41</v>
      </c>
      <c r="I4532">
        <v>1</v>
      </c>
      <c r="J4532" t="s">
        <v>109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23</v>
      </c>
      <c r="R4532">
        <v>0</v>
      </c>
    </row>
    <row r="4533" spans="1:18">
      <c r="A4533" s="4">
        <v>765973000000000</v>
      </c>
      <c r="B4533" t="s">
        <v>28</v>
      </c>
      <c r="C4533">
        <v>55</v>
      </c>
      <c r="D4533" t="s">
        <v>35</v>
      </c>
      <c r="E4533" t="s">
        <v>24</v>
      </c>
      <c r="F4533" s="1">
        <v>42506</v>
      </c>
      <c r="G4533" s="1">
        <v>42506</v>
      </c>
      <c r="H4533" t="s">
        <v>30</v>
      </c>
      <c r="I4533">
        <v>0</v>
      </c>
      <c r="J4533" t="s">
        <v>111</v>
      </c>
      <c r="K4533">
        <v>0</v>
      </c>
      <c r="L4533">
        <v>1</v>
      </c>
      <c r="M4533">
        <v>1</v>
      </c>
      <c r="N4533">
        <v>0</v>
      </c>
      <c r="O4533">
        <v>0</v>
      </c>
      <c r="P4533">
        <v>0</v>
      </c>
      <c r="Q4533" t="s">
        <v>26</v>
      </c>
      <c r="R4533">
        <v>1</v>
      </c>
    </row>
    <row r="4534" spans="1:18">
      <c r="A4534" s="4">
        <v>131152000000000</v>
      </c>
      <c r="B4534" t="s">
        <v>28</v>
      </c>
      <c r="C4534">
        <v>68</v>
      </c>
      <c r="D4534" t="s">
        <v>19</v>
      </c>
      <c r="E4534" t="s">
        <v>47</v>
      </c>
      <c r="F4534" s="1">
        <v>42506</v>
      </c>
      <c r="G4534" s="1">
        <v>42514</v>
      </c>
      <c r="H4534" t="s">
        <v>41</v>
      </c>
      <c r="I4534">
        <v>8</v>
      </c>
      <c r="J4534" t="s">
        <v>92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1</v>
      </c>
      <c r="Q4534" t="s">
        <v>23</v>
      </c>
      <c r="R4534">
        <v>0</v>
      </c>
    </row>
    <row r="4535" spans="1:18">
      <c r="A4535" s="4">
        <v>847139000000</v>
      </c>
      <c r="B4535" t="s">
        <v>18</v>
      </c>
      <c r="C4535">
        <v>66</v>
      </c>
      <c r="D4535" t="s">
        <v>19</v>
      </c>
      <c r="E4535" t="s">
        <v>29</v>
      </c>
      <c r="F4535" s="1">
        <v>42506</v>
      </c>
      <c r="G4535" s="1">
        <v>42529</v>
      </c>
      <c r="H4535" t="s">
        <v>25</v>
      </c>
      <c r="I4535">
        <v>23</v>
      </c>
      <c r="J4535" t="s">
        <v>77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1</v>
      </c>
      <c r="Q4535" t="s">
        <v>23</v>
      </c>
      <c r="R4535">
        <v>0</v>
      </c>
    </row>
    <row r="4536" spans="1:18">
      <c r="A4536" s="4">
        <v>569765000000000</v>
      </c>
      <c r="B4536" t="s">
        <v>18</v>
      </c>
      <c r="C4536">
        <v>57</v>
      </c>
      <c r="D4536" t="s">
        <v>35</v>
      </c>
      <c r="E4536" t="s">
        <v>81</v>
      </c>
      <c r="F4536" s="1">
        <v>42506</v>
      </c>
      <c r="G4536" s="1">
        <v>42509</v>
      </c>
      <c r="H4536" t="s">
        <v>33</v>
      </c>
      <c r="I4536">
        <v>3</v>
      </c>
      <c r="J4536" t="s">
        <v>109</v>
      </c>
      <c r="K4536">
        <v>0</v>
      </c>
      <c r="L4536">
        <v>1</v>
      </c>
      <c r="M4536">
        <v>0</v>
      </c>
      <c r="N4536">
        <v>0</v>
      </c>
      <c r="O4536">
        <v>0</v>
      </c>
      <c r="P4536">
        <v>0</v>
      </c>
      <c r="Q4536" t="s">
        <v>23</v>
      </c>
      <c r="R4536">
        <v>0</v>
      </c>
    </row>
    <row r="4537" spans="1:18">
      <c r="A4537" s="4">
        <v>17979800000000</v>
      </c>
      <c r="B4537" t="s">
        <v>18</v>
      </c>
      <c r="C4537">
        <v>41</v>
      </c>
      <c r="D4537" t="s">
        <v>27</v>
      </c>
      <c r="E4537" t="s">
        <v>91</v>
      </c>
      <c r="F4537" s="1">
        <v>42506</v>
      </c>
      <c r="G4537" s="1">
        <v>42520</v>
      </c>
      <c r="H4537" t="s">
        <v>30</v>
      </c>
      <c r="I4537">
        <v>14</v>
      </c>
      <c r="J4537" t="s">
        <v>92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1</v>
      </c>
      <c r="Q4537" t="s">
        <v>23</v>
      </c>
      <c r="R4537">
        <v>0</v>
      </c>
    </row>
    <row r="4538" spans="1:18">
      <c r="A4538" s="4">
        <v>65445100000000</v>
      </c>
      <c r="B4538" t="s">
        <v>18</v>
      </c>
      <c r="C4538">
        <v>58</v>
      </c>
      <c r="D4538" t="s">
        <v>35</v>
      </c>
      <c r="E4538" t="s">
        <v>39</v>
      </c>
      <c r="F4538" s="1">
        <v>42506</v>
      </c>
      <c r="G4538" s="1">
        <v>42510</v>
      </c>
      <c r="H4538" t="s">
        <v>21</v>
      </c>
      <c r="I4538">
        <v>4</v>
      </c>
      <c r="J4538" t="s">
        <v>107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23</v>
      </c>
      <c r="R4538">
        <v>0</v>
      </c>
    </row>
    <row r="4539" spans="1:18">
      <c r="A4539" s="4">
        <v>68953300000000</v>
      </c>
      <c r="B4539" t="s">
        <v>18</v>
      </c>
      <c r="C4539">
        <v>66</v>
      </c>
      <c r="D4539" t="s">
        <v>19</v>
      </c>
      <c r="E4539" t="s">
        <v>40</v>
      </c>
      <c r="F4539" s="1">
        <v>42506</v>
      </c>
      <c r="G4539" s="1">
        <v>42506</v>
      </c>
      <c r="H4539" t="s">
        <v>30</v>
      </c>
      <c r="I4539">
        <v>0</v>
      </c>
      <c r="J4539" t="s">
        <v>111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23</v>
      </c>
      <c r="R4539">
        <v>0</v>
      </c>
    </row>
    <row r="4540" spans="1:18">
      <c r="A4540" s="4">
        <v>52526600000000</v>
      </c>
      <c r="B4540" t="s">
        <v>28</v>
      </c>
      <c r="C4540">
        <v>22</v>
      </c>
      <c r="D4540" t="s">
        <v>37</v>
      </c>
      <c r="E4540" t="s">
        <v>20</v>
      </c>
      <c r="F4540" s="1">
        <v>42506</v>
      </c>
      <c r="G4540" s="1">
        <v>42514</v>
      </c>
      <c r="H4540" t="s">
        <v>41</v>
      </c>
      <c r="I4540">
        <v>8</v>
      </c>
      <c r="J4540" t="s">
        <v>92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26</v>
      </c>
      <c r="R4540">
        <v>1</v>
      </c>
    </row>
    <row r="4541" spans="1:18">
      <c r="A4541" s="4">
        <v>419523000000</v>
      </c>
      <c r="B4541" t="s">
        <v>28</v>
      </c>
      <c r="C4541">
        <v>54</v>
      </c>
      <c r="D4541" t="s">
        <v>35</v>
      </c>
      <c r="E4541" t="s">
        <v>105</v>
      </c>
      <c r="F4541" s="1">
        <v>42506</v>
      </c>
      <c r="G4541" s="1">
        <v>42521</v>
      </c>
      <c r="H4541" t="s">
        <v>41</v>
      </c>
      <c r="I4541">
        <v>15</v>
      </c>
      <c r="J4541" t="s">
        <v>77</v>
      </c>
      <c r="K4541">
        <v>1</v>
      </c>
      <c r="L4541">
        <v>1</v>
      </c>
      <c r="M4541">
        <v>1</v>
      </c>
      <c r="N4541">
        <v>0</v>
      </c>
      <c r="O4541">
        <v>0</v>
      </c>
      <c r="P4541">
        <v>1</v>
      </c>
      <c r="Q4541" t="s">
        <v>23</v>
      </c>
      <c r="R4541">
        <v>0</v>
      </c>
    </row>
    <row r="4542" spans="1:18">
      <c r="A4542" s="4">
        <v>48372400000000</v>
      </c>
      <c r="B4542" t="s">
        <v>18</v>
      </c>
      <c r="C4542">
        <v>54</v>
      </c>
      <c r="D4542" t="s">
        <v>35</v>
      </c>
      <c r="E4542" t="s">
        <v>43</v>
      </c>
      <c r="F4542" s="1">
        <v>42506</v>
      </c>
      <c r="G4542" s="1">
        <v>42506</v>
      </c>
      <c r="H4542" t="s">
        <v>30</v>
      </c>
      <c r="I4542">
        <v>0</v>
      </c>
      <c r="J4542" t="s">
        <v>111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23</v>
      </c>
      <c r="R4542">
        <v>0</v>
      </c>
    </row>
    <row r="4543" spans="1:18">
      <c r="A4543" s="4">
        <v>24852900000000</v>
      </c>
      <c r="B4543" t="s">
        <v>18</v>
      </c>
      <c r="C4543">
        <v>18</v>
      </c>
      <c r="D4543" t="s">
        <v>37</v>
      </c>
      <c r="E4543" t="s">
        <v>65</v>
      </c>
      <c r="F4543" s="1">
        <v>42506</v>
      </c>
      <c r="G4543" s="1">
        <v>42523</v>
      </c>
      <c r="H4543" t="s">
        <v>33</v>
      </c>
      <c r="I4543">
        <v>17</v>
      </c>
      <c r="J4543" t="s">
        <v>77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26</v>
      </c>
      <c r="R4543">
        <v>1</v>
      </c>
    </row>
    <row r="4544" spans="1:18">
      <c r="A4544" s="4">
        <v>536635000000000</v>
      </c>
      <c r="B4544" t="s">
        <v>18</v>
      </c>
      <c r="C4544">
        <v>40</v>
      </c>
      <c r="D4544" t="s">
        <v>27</v>
      </c>
      <c r="E4544" t="s">
        <v>20</v>
      </c>
      <c r="F4544" s="1">
        <v>42506</v>
      </c>
      <c r="G4544" s="1">
        <v>42509</v>
      </c>
      <c r="H4544" t="s">
        <v>33</v>
      </c>
      <c r="I4544">
        <v>3</v>
      </c>
      <c r="J4544" t="s">
        <v>109</v>
      </c>
      <c r="K4544">
        <v>1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23</v>
      </c>
      <c r="R4544">
        <v>0</v>
      </c>
    </row>
    <row r="4545" spans="1:18">
      <c r="A4545" s="4">
        <v>891337000000000</v>
      </c>
      <c r="B4545" t="s">
        <v>18</v>
      </c>
      <c r="C4545">
        <v>53</v>
      </c>
      <c r="D4545" t="s">
        <v>35</v>
      </c>
      <c r="E4545" t="s">
        <v>64</v>
      </c>
      <c r="F4545" s="1">
        <v>42506</v>
      </c>
      <c r="G4545" s="1">
        <v>42527</v>
      </c>
      <c r="H4545" t="s">
        <v>30</v>
      </c>
      <c r="I4545">
        <v>21</v>
      </c>
      <c r="J4545" t="s">
        <v>77</v>
      </c>
      <c r="K4545">
        <v>0</v>
      </c>
      <c r="L4545">
        <v>1</v>
      </c>
      <c r="M4545">
        <v>0</v>
      </c>
      <c r="N4545">
        <v>0</v>
      </c>
      <c r="O4545">
        <v>0</v>
      </c>
      <c r="P4545">
        <v>1</v>
      </c>
      <c r="Q4545" t="s">
        <v>23</v>
      </c>
      <c r="R4545">
        <v>0</v>
      </c>
    </row>
    <row r="4546" spans="1:18">
      <c r="A4546" s="4">
        <v>99347400000000</v>
      </c>
      <c r="B4546" t="s">
        <v>18</v>
      </c>
      <c r="C4546">
        <v>15</v>
      </c>
      <c r="D4546" t="s">
        <v>60</v>
      </c>
      <c r="E4546" t="s">
        <v>76</v>
      </c>
      <c r="F4546" s="1">
        <v>42506</v>
      </c>
      <c r="G4546" s="1">
        <v>42506</v>
      </c>
      <c r="H4546" t="s">
        <v>30</v>
      </c>
      <c r="I4546">
        <v>0</v>
      </c>
      <c r="J4546" t="s">
        <v>111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23</v>
      </c>
      <c r="R4546">
        <v>0</v>
      </c>
    </row>
    <row r="4547" spans="1:18">
      <c r="A4547" s="4">
        <v>8156300000000</v>
      </c>
      <c r="B4547" t="s">
        <v>28</v>
      </c>
      <c r="C4547">
        <v>56</v>
      </c>
      <c r="D4547" t="s">
        <v>35</v>
      </c>
      <c r="E4547" t="s">
        <v>39</v>
      </c>
      <c r="F4547" s="1">
        <v>42506</v>
      </c>
      <c r="G4547" s="1">
        <v>42509</v>
      </c>
      <c r="H4547" t="s">
        <v>33</v>
      </c>
      <c r="I4547">
        <v>3</v>
      </c>
      <c r="J4547" t="s">
        <v>109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23</v>
      </c>
      <c r="R4547">
        <v>0</v>
      </c>
    </row>
    <row r="4548" spans="1:18">
      <c r="A4548" s="4">
        <v>6382270000000</v>
      </c>
      <c r="B4548" t="s">
        <v>18</v>
      </c>
      <c r="C4548">
        <v>59</v>
      </c>
      <c r="D4548" t="s">
        <v>35</v>
      </c>
      <c r="E4548" t="s">
        <v>39</v>
      </c>
      <c r="F4548" s="1">
        <v>42506</v>
      </c>
      <c r="G4548" s="1">
        <v>42509</v>
      </c>
      <c r="H4548" t="s">
        <v>33</v>
      </c>
      <c r="I4548">
        <v>3</v>
      </c>
      <c r="J4548" t="s">
        <v>109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 t="s">
        <v>23</v>
      </c>
      <c r="R4548">
        <v>0</v>
      </c>
    </row>
    <row r="4549" spans="1:18">
      <c r="A4549" s="4">
        <v>76899900000000</v>
      </c>
      <c r="B4549" t="s">
        <v>28</v>
      </c>
      <c r="C4549">
        <v>54</v>
      </c>
      <c r="D4549" t="s">
        <v>35</v>
      </c>
      <c r="E4549" t="s">
        <v>61</v>
      </c>
      <c r="F4549" s="1">
        <v>42507</v>
      </c>
      <c r="G4549" s="1">
        <v>42509</v>
      </c>
      <c r="H4549" t="s">
        <v>33</v>
      </c>
      <c r="I4549">
        <v>2</v>
      </c>
      <c r="J4549" t="s">
        <v>109</v>
      </c>
      <c r="K4549">
        <v>0</v>
      </c>
      <c r="L4549">
        <v>1</v>
      </c>
      <c r="M4549">
        <v>1</v>
      </c>
      <c r="N4549">
        <v>0</v>
      </c>
      <c r="O4549">
        <v>0</v>
      </c>
      <c r="P4549">
        <v>0</v>
      </c>
      <c r="Q4549" t="s">
        <v>23</v>
      </c>
      <c r="R4549">
        <v>0</v>
      </c>
    </row>
    <row r="4550" spans="1:18">
      <c r="A4550" s="4">
        <v>471684000000000</v>
      </c>
      <c r="B4550" t="s">
        <v>18</v>
      </c>
      <c r="C4550">
        <v>7</v>
      </c>
      <c r="D4550" t="s">
        <v>31</v>
      </c>
      <c r="E4550" t="s">
        <v>36</v>
      </c>
      <c r="F4550" s="1">
        <v>42507</v>
      </c>
      <c r="G4550" s="1">
        <v>42507</v>
      </c>
      <c r="H4550" t="s">
        <v>41</v>
      </c>
      <c r="I4550">
        <v>0</v>
      </c>
      <c r="J4550" t="s">
        <v>111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 t="s">
        <v>23</v>
      </c>
      <c r="R4550">
        <v>0</v>
      </c>
    </row>
    <row r="4551" spans="1:18">
      <c r="A4551" s="4">
        <v>951614000000000</v>
      </c>
      <c r="B4551" t="s">
        <v>18</v>
      </c>
      <c r="C4551">
        <v>19</v>
      </c>
      <c r="D4551" t="s">
        <v>37</v>
      </c>
      <c r="E4551" t="s">
        <v>29</v>
      </c>
      <c r="F4551" s="1">
        <v>42507</v>
      </c>
      <c r="G4551" s="1">
        <v>42507</v>
      </c>
      <c r="H4551" t="s">
        <v>41</v>
      </c>
      <c r="I4551">
        <v>0</v>
      </c>
      <c r="J4551" t="s">
        <v>111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23</v>
      </c>
      <c r="R4551">
        <v>0</v>
      </c>
    </row>
    <row r="4552" spans="1:18">
      <c r="A4552" s="4">
        <v>693376000000000</v>
      </c>
      <c r="B4552" t="s">
        <v>18</v>
      </c>
      <c r="C4552">
        <v>23</v>
      </c>
      <c r="D4552" t="s">
        <v>37</v>
      </c>
      <c r="E4552" t="s">
        <v>45</v>
      </c>
      <c r="F4552" s="1">
        <v>42507</v>
      </c>
      <c r="G4552" s="1">
        <v>42508</v>
      </c>
      <c r="H4552" t="s">
        <v>25</v>
      </c>
      <c r="I4552">
        <v>1</v>
      </c>
      <c r="J4552" t="s">
        <v>109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23</v>
      </c>
      <c r="R4552">
        <v>0</v>
      </c>
    </row>
    <row r="4553" spans="1:18">
      <c r="A4553" s="4">
        <v>98955600000000</v>
      </c>
      <c r="B4553" t="s">
        <v>28</v>
      </c>
      <c r="C4553">
        <v>28</v>
      </c>
      <c r="D4553" t="s">
        <v>37</v>
      </c>
      <c r="E4553" t="s">
        <v>69</v>
      </c>
      <c r="F4553" s="1">
        <v>42507</v>
      </c>
      <c r="G4553" s="1">
        <v>42507</v>
      </c>
      <c r="H4553" t="s">
        <v>41</v>
      </c>
      <c r="I4553">
        <v>0</v>
      </c>
      <c r="J4553" t="s">
        <v>111</v>
      </c>
      <c r="K4553">
        <v>0</v>
      </c>
      <c r="L4553">
        <v>0</v>
      </c>
      <c r="M4553">
        <v>0</v>
      </c>
      <c r="N4553">
        <v>1</v>
      </c>
      <c r="O4553">
        <v>0</v>
      </c>
      <c r="P4553">
        <v>0</v>
      </c>
      <c r="Q4553" t="s">
        <v>23</v>
      </c>
      <c r="R4553">
        <v>0</v>
      </c>
    </row>
    <row r="4554" spans="1:18">
      <c r="A4554" s="4">
        <v>693742000000000</v>
      </c>
      <c r="B4554" t="s">
        <v>28</v>
      </c>
      <c r="C4554">
        <v>29</v>
      </c>
      <c r="D4554" t="s">
        <v>37</v>
      </c>
      <c r="E4554" t="s">
        <v>42</v>
      </c>
      <c r="F4554" s="1">
        <v>42507</v>
      </c>
      <c r="G4554" s="1">
        <v>42507</v>
      </c>
      <c r="H4554" t="s">
        <v>41</v>
      </c>
      <c r="I4554">
        <v>0</v>
      </c>
      <c r="J4554" t="s">
        <v>111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23</v>
      </c>
      <c r="R4554">
        <v>0</v>
      </c>
    </row>
    <row r="4555" spans="1:18">
      <c r="A4555" s="4">
        <v>381923000000000</v>
      </c>
      <c r="B4555" t="s">
        <v>28</v>
      </c>
      <c r="C4555">
        <v>35</v>
      </c>
      <c r="D4555" t="s">
        <v>37</v>
      </c>
      <c r="E4555" t="s">
        <v>50</v>
      </c>
      <c r="F4555" s="1">
        <v>42507</v>
      </c>
      <c r="G4555" s="1">
        <v>42509</v>
      </c>
      <c r="H4555" t="s">
        <v>33</v>
      </c>
      <c r="I4555">
        <v>2</v>
      </c>
      <c r="J4555" t="s">
        <v>109</v>
      </c>
      <c r="K4555">
        <v>0</v>
      </c>
      <c r="L4555">
        <v>1</v>
      </c>
      <c r="M4555">
        <v>0</v>
      </c>
      <c r="N4555">
        <v>0</v>
      </c>
      <c r="O4555">
        <v>0</v>
      </c>
      <c r="P4555">
        <v>0</v>
      </c>
      <c r="Q4555" t="s">
        <v>26</v>
      </c>
      <c r="R4555">
        <v>1</v>
      </c>
    </row>
    <row r="4556" spans="1:18">
      <c r="A4556" s="4">
        <v>5457890000000</v>
      </c>
      <c r="B4556" t="s">
        <v>18</v>
      </c>
      <c r="C4556">
        <v>46</v>
      </c>
      <c r="D4556" t="s">
        <v>27</v>
      </c>
      <c r="E4556" t="s">
        <v>72</v>
      </c>
      <c r="F4556" s="1">
        <v>42507</v>
      </c>
      <c r="G4556" s="1">
        <v>42507</v>
      </c>
      <c r="H4556" t="s">
        <v>41</v>
      </c>
      <c r="I4556">
        <v>0</v>
      </c>
      <c r="J4556" t="s">
        <v>111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 t="s">
        <v>23</v>
      </c>
      <c r="R4556">
        <v>0</v>
      </c>
    </row>
    <row r="4557" spans="1:18">
      <c r="A4557" s="4">
        <v>2754420000000</v>
      </c>
      <c r="B4557" t="s">
        <v>18</v>
      </c>
      <c r="C4557">
        <v>60</v>
      </c>
      <c r="D4557" t="s">
        <v>35</v>
      </c>
      <c r="E4557" t="s">
        <v>51</v>
      </c>
      <c r="F4557" s="1">
        <v>42507</v>
      </c>
      <c r="G4557" s="1">
        <v>42507</v>
      </c>
      <c r="H4557" t="s">
        <v>41</v>
      </c>
      <c r="I4557">
        <v>0</v>
      </c>
      <c r="J4557" t="s">
        <v>111</v>
      </c>
      <c r="K4557">
        <v>0</v>
      </c>
      <c r="L4557">
        <v>1</v>
      </c>
      <c r="M4557">
        <v>0</v>
      </c>
      <c r="N4557">
        <v>0</v>
      </c>
      <c r="O4557">
        <v>0</v>
      </c>
      <c r="P4557">
        <v>0</v>
      </c>
      <c r="Q4557" t="s">
        <v>23</v>
      </c>
      <c r="R4557">
        <v>0</v>
      </c>
    </row>
    <row r="4558" spans="1:18">
      <c r="A4558" s="4">
        <v>7859990000000</v>
      </c>
      <c r="B4558" t="s">
        <v>18</v>
      </c>
      <c r="C4558">
        <v>79</v>
      </c>
      <c r="D4558" t="s">
        <v>19</v>
      </c>
      <c r="E4558" t="s">
        <v>59</v>
      </c>
      <c r="F4558" s="1">
        <v>42507</v>
      </c>
      <c r="G4558" s="1">
        <v>42507</v>
      </c>
      <c r="H4558" t="s">
        <v>41</v>
      </c>
      <c r="I4558">
        <v>0</v>
      </c>
      <c r="J4558" t="s">
        <v>111</v>
      </c>
      <c r="K4558">
        <v>0</v>
      </c>
      <c r="L4558">
        <v>1</v>
      </c>
      <c r="M4558">
        <v>1</v>
      </c>
      <c r="N4558">
        <v>0</v>
      </c>
      <c r="O4558">
        <v>0</v>
      </c>
      <c r="P4558">
        <v>0</v>
      </c>
      <c r="Q4558" t="s">
        <v>23</v>
      </c>
      <c r="R4558">
        <v>0</v>
      </c>
    </row>
    <row r="4559" spans="1:18">
      <c r="A4559" s="4">
        <v>949392000000</v>
      </c>
      <c r="B4559" t="s">
        <v>28</v>
      </c>
      <c r="C4559">
        <v>2</v>
      </c>
      <c r="D4559" t="s">
        <v>31</v>
      </c>
      <c r="E4559" t="s">
        <v>69</v>
      </c>
      <c r="F4559" s="1">
        <v>42507</v>
      </c>
      <c r="G4559" s="1">
        <v>42527</v>
      </c>
      <c r="H4559" t="s">
        <v>30</v>
      </c>
      <c r="I4559">
        <v>20</v>
      </c>
      <c r="J4559" t="s">
        <v>77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1</v>
      </c>
      <c r="Q4559" t="s">
        <v>23</v>
      </c>
      <c r="R4559">
        <v>0</v>
      </c>
    </row>
    <row r="4560" spans="1:18">
      <c r="A4560" s="4">
        <v>6775860000000</v>
      </c>
      <c r="B4560" t="s">
        <v>18</v>
      </c>
      <c r="C4560">
        <v>0</v>
      </c>
      <c r="D4560" t="s">
        <v>31</v>
      </c>
      <c r="E4560" t="s">
        <v>63</v>
      </c>
      <c r="F4560" s="1">
        <v>42507</v>
      </c>
      <c r="G4560" s="1">
        <v>42527</v>
      </c>
      <c r="H4560" t="s">
        <v>30</v>
      </c>
      <c r="I4560">
        <v>20</v>
      </c>
      <c r="J4560" t="s">
        <v>77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1</v>
      </c>
      <c r="Q4560" t="s">
        <v>23</v>
      </c>
      <c r="R4560">
        <v>0</v>
      </c>
    </row>
    <row r="4561" spans="1:18">
      <c r="A4561" s="4">
        <v>7550000000000</v>
      </c>
      <c r="B4561" t="s">
        <v>18</v>
      </c>
      <c r="C4561">
        <v>52</v>
      </c>
      <c r="D4561" t="s">
        <v>35</v>
      </c>
      <c r="E4561" t="s">
        <v>48</v>
      </c>
      <c r="F4561" s="1">
        <v>42507</v>
      </c>
      <c r="G4561" s="1">
        <v>42508</v>
      </c>
      <c r="H4561" t="s">
        <v>25</v>
      </c>
      <c r="I4561">
        <v>1</v>
      </c>
      <c r="J4561" t="s">
        <v>109</v>
      </c>
      <c r="K4561">
        <v>0</v>
      </c>
      <c r="L4561">
        <v>0</v>
      </c>
      <c r="M4561">
        <v>1</v>
      </c>
      <c r="N4561">
        <v>0</v>
      </c>
      <c r="O4561">
        <v>0</v>
      </c>
      <c r="P4561">
        <v>0</v>
      </c>
      <c r="Q4561" t="s">
        <v>23</v>
      </c>
      <c r="R4561">
        <v>0</v>
      </c>
    </row>
    <row r="4562" spans="1:18">
      <c r="A4562" s="4">
        <v>4223190000000</v>
      </c>
      <c r="B4562" t="s">
        <v>28</v>
      </c>
      <c r="C4562">
        <v>51</v>
      </c>
      <c r="D4562" t="s">
        <v>35</v>
      </c>
      <c r="E4562" t="s">
        <v>32</v>
      </c>
      <c r="F4562" s="1">
        <v>42507</v>
      </c>
      <c r="G4562" s="1">
        <v>42507</v>
      </c>
      <c r="H4562" t="s">
        <v>41</v>
      </c>
      <c r="I4562">
        <v>0</v>
      </c>
      <c r="J4562" t="s">
        <v>111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 t="s">
        <v>23</v>
      </c>
      <c r="R4562">
        <v>0</v>
      </c>
    </row>
    <row r="4563" spans="1:18">
      <c r="A4563" s="4">
        <v>1424770000000</v>
      </c>
      <c r="B4563" t="s">
        <v>28</v>
      </c>
      <c r="C4563">
        <v>0</v>
      </c>
      <c r="D4563" t="s">
        <v>31</v>
      </c>
      <c r="E4563" t="s">
        <v>69</v>
      </c>
      <c r="F4563" s="1">
        <v>42507</v>
      </c>
      <c r="G4563" s="1">
        <v>42527</v>
      </c>
      <c r="H4563" t="s">
        <v>30</v>
      </c>
      <c r="I4563">
        <v>20</v>
      </c>
      <c r="J4563" t="s">
        <v>77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26</v>
      </c>
      <c r="R4563">
        <v>1</v>
      </c>
    </row>
    <row r="4564" spans="1:18">
      <c r="A4564" s="4">
        <v>66662700000000</v>
      </c>
      <c r="B4564" t="s">
        <v>18</v>
      </c>
      <c r="C4564">
        <v>39</v>
      </c>
      <c r="D4564" t="s">
        <v>27</v>
      </c>
      <c r="E4564" t="s">
        <v>69</v>
      </c>
      <c r="F4564" s="1">
        <v>42507</v>
      </c>
      <c r="G4564" s="1">
        <v>42507</v>
      </c>
      <c r="H4564" t="s">
        <v>41</v>
      </c>
      <c r="I4564">
        <v>0</v>
      </c>
      <c r="J4564" t="s">
        <v>111</v>
      </c>
      <c r="K4564">
        <v>1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23</v>
      </c>
      <c r="R4564">
        <v>0</v>
      </c>
    </row>
    <row r="4565" spans="1:18">
      <c r="A4565" s="4">
        <v>7145930000000</v>
      </c>
      <c r="B4565" t="s">
        <v>18</v>
      </c>
      <c r="C4565">
        <v>54</v>
      </c>
      <c r="D4565" t="s">
        <v>35</v>
      </c>
      <c r="E4565" t="s">
        <v>48</v>
      </c>
      <c r="F4565" s="1">
        <v>42507</v>
      </c>
      <c r="G4565" s="1">
        <v>42509</v>
      </c>
      <c r="H4565" t="s">
        <v>33</v>
      </c>
      <c r="I4565">
        <v>2</v>
      </c>
      <c r="J4565" t="s">
        <v>109</v>
      </c>
      <c r="K4565">
        <v>0</v>
      </c>
      <c r="L4565">
        <v>1</v>
      </c>
      <c r="M4565">
        <v>0</v>
      </c>
      <c r="N4565">
        <v>0</v>
      </c>
      <c r="O4565">
        <v>0</v>
      </c>
      <c r="P4565">
        <v>0</v>
      </c>
      <c r="Q4565" t="s">
        <v>23</v>
      </c>
      <c r="R4565">
        <v>0</v>
      </c>
    </row>
    <row r="4566" spans="1:18">
      <c r="A4566" s="4">
        <v>1529440000000</v>
      </c>
      <c r="B4566" t="s">
        <v>28</v>
      </c>
      <c r="C4566">
        <v>1</v>
      </c>
      <c r="D4566" t="s">
        <v>31</v>
      </c>
      <c r="E4566" t="s">
        <v>105</v>
      </c>
      <c r="F4566" s="1">
        <v>42507</v>
      </c>
      <c r="G4566" s="1">
        <v>42507</v>
      </c>
      <c r="H4566" t="s">
        <v>41</v>
      </c>
      <c r="I4566">
        <v>0</v>
      </c>
      <c r="J4566" t="s">
        <v>111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23</v>
      </c>
      <c r="R4566">
        <v>0</v>
      </c>
    </row>
    <row r="4567" spans="1:18">
      <c r="A4567" s="4">
        <v>64491100000000</v>
      </c>
      <c r="B4567" t="s">
        <v>18</v>
      </c>
      <c r="C4567">
        <v>34</v>
      </c>
      <c r="D4567" t="s">
        <v>37</v>
      </c>
      <c r="E4567" t="s">
        <v>72</v>
      </c>
      <c r="F4567" s="1">
        <v>42507</v>
      </c>
      <c r="G4567" s="1">
        <v>42507</v>
      </c>
      <c r="H4567" t="s">
        <v>41</v>
      </c>
      <c r="I4567">
        <v>0</v>
      </c>
      <c r="J4567" t="s">
        <v>111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23</v>
      </c>
      <c r="R4567">
        <v>0</v>
      </c>
    </row>
    <row r="4568" spans="1:18">
      <c r="A4568" s="4">
        <v>956397000000000</v>
      </c>
      <c r="B4568" t="s">
        <v>18</v>
      </c>
      <c r="C4568">
        <v>10</v>
      </c>
      <c r="D4568" t="s">
        <v>31</v>
      </c>
      <c r="E4568" t="s">
        <v>57</v>
      </c>
      <c r="F4568" s="1">
        <v>42507</v>
      </c>
      <c r="G4568" s="1">
        <v>42507</v>
      </c>
      <c r="H4568" t="s">
        <v>41</v>
      </c>
      <c r="I4568">
        <v>0</v>
      </c>
      <c r="J4568" t="s">
        <v>111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 t="s">
        <v>23</v>
      </c>
      <c r="R4568">
        <v>0</v>
      </c>
    </row>
    <row r="4569" spans="1:18">
      <c r="A4569" s="4">
        <v>48436200000000</v>
      </c>
      <c r="B4569" t="s">
        <v>18</v>
      </c>
      <c r="C4569">
        <v>40</v>
      </c>
      <c r="D4569" t="s">
        <v>27</v>
      </c>
      <c r="E4569" t="s">
        <v>71</v>
      </c>
      <c r="F4569" s="1">
        <v>42507</v>
      </c>
      <c r="G4569" s="1">
        <v>42521</v>
      </c>
      <c r="H4569" t="s">
        <v>41</v>
      </c>
      <c r="I4569">
        <v>14</v>
      </c>
      <c r="J4569" t="s">
        <v>92</v>
      </c>
      <c r="K4569">
        <v>1</v>
      </c>
      <c r="L4569">
        <v>0</v>
      </c>
      <c r="M4569">
        <v>0</v>
      </c>
      <c r="N4569">
        <v>0</v>
      </c>
      <c r="O4569">
        <v>0</v>
      </c>
      <c r="P4569">
        <v>1</v>
      </c>
      <c r="Q4569" t="s">
        <v>26</v>
      </c>
      <c r="R4569">
        <v>1</v>
      </c>
    </row>
    <row r="4570" spans="1:18">
      <c r="A4570" s="4">
        <v>219363000000</v>
      </c>
      <c r="B4570" t="s">
        <v>18</v>
      </c>
      <c r="C4570">
        <v>15</v>
      </c>
      <c r="D4570" t="s">
        <v>60</v>
      </c>
      <c r="E4570" t="s">
        <v>72</v>
      </c>
      <c r="F4570" s="1">
        <v>42507</v>
      </c>
      <c r="G4570" s="1">
        <v>42507</v>
      </c>
      <c r="H4570" t="s">
        <v>41</v>
      </c>
      <c r="I4570">
        <v>0</v>
      </c>
      <c r="J4570" t="s">
        <v>111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23</v>
      </c>
      <c r="R4570">
        <v>0</v>
      </c>
    </row>
    <row r="4571" spans="1:18">
      <c r="A4571" s="4">
        <v>38537182146</v>
      </c>
      <c r="B4571" t="s">
        <v>18</v>
      </c>
      <c r="C4571">
        <v>58</v>
      </c>
      <c r="D4571" t="s">
        <v>35</v>
      </c>
      <c r="E4571" t="s">
        <v>44</v>
      </c>
      <c r="F4571" s="1">
        <v>42507</v>
      </c>
      <c r="G4571" s="1">
        <v>42507</v>
      </c>
      <c r="H4571" t="s">
        <v>41</v>
      </c>
      <c r="I4571">
        <v>0</v>
      </c>
      <c r="J4571" t="s">
        <v>111</v>
      </c>
      <c r="K4571">
        <v>0</v>
      </c>
      <c r="L4571">
        <v>1</v>
      </c>
      <c r="M4571">
        <v>1</v>
      </c>
      <c r="N4571">
        <v>0</v>
      </c>
      <c r="O4571">
        <v>1</v>
      </c>
      <c r="P4571">
        <v>0</v>
      </c>
      <c r="Q4571" t="s">
        <v>23</v>
      </c>
      <c r="R4571">
        <v>0</v>
      </c>
    </row>
    <row r="4572" spans="1:18">
      <c r="A4572" s="4">
        <v>29368500000000</v>
      </c>
      <c r="B4572" t="s">
        <v>18</v>
      </c>
      <c r="C4572">
        <v>62</v>
      </c>
      <c r="D4572" t="s">
        <v>35</v>
      </c>
      <c r="E4572" t="s">
        <v>43</v>
      </c>
      <c r="F4572" s="1">
        <v>42507</v>
      </c>
      <c r="G4572" s="1">
        <v>42509</v>
      </c>
      <c r="H4572" t="s">
        <v>33</v>
      </c>
      <c r="I4572">
        <v>2</v>
      </c>
      <c r="J4572" t="s">
        <v>109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26</v>
      </c>
      <c r="R4572">
        <v>1</v>
      </c>
    </row>
    <row r="4573" spans="1:18">
      <c r="A4573" s="4">
        <v>94536800000000</v>
      </c>
      <c r="B4573" t="s">
        <v>28</v>
      </c>
      <c r="C4573">
        <v>42</v>
      </c>
      <c r="D4573" t="s">
        <v>27</v>
      </c>
      <c r="E4573" t="s">
        <v>74</v>
      </c>
      <c r="F4573" s="1">
        <v>42507</v>
      </c>
      <c r="G4573" s="1">
        <v>42508</v>
      </c>
      <c r="H4573" t="s">
        <v>25</v>
      </c>
      <c r="I4573">
        <v>1</v>
      </c>
      <c r="J4573" t="s">
        <v>109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23</v>
      </c>
      <c r="R4573">
        <v>0</v>
      </c>
    </row>
    <row r="4574" spans="1:18">
      <c r="A4574" s="4">
        <v>63449500000000</v>
      </c>
      <c r="B4574" t="s">
        <v>28</v>
      </c>
      <c r="C4574">
        <v>42</v>
      </c>
      <c r="D4574" t="s">
        <v>27</v>
      </c>
      <c r="E4574" t="s">
        <v>78</v>
      </c>
      <c r="F4574" s="1">
        <v>42507</v>
      </c>
      <c r="G4574" s="1">
        <v>42509</v>
      </c>
      <c r="H4574" t="s">
        <v>33</v>
      </c>
      <c r="I4574">
        <v>2</v>
      </c>
      <c r="J4574" t="s">
        <v>109</v>
      </c>
      <c r="K4574">
        <v>0</v>
      </c>
      <c r="L4574">
        <v>1</v>
      </c>
      <c r="M4574">
        <v>0</v>
      </c>
      <c r="N4574">
        <v>0</v>
      </c>
      <c r="O4574">
        <v>0</v>
      </c>
      <c r="P4574">
        <v>0</v>
      </c>
      <c r="Q4574" t="s">
        <v>23</v>
      </c>
      <c r="R4574">
        <v>0</v>
      </c>
    </row>
    <row r="4575" spans="1:18">
      <c r="A4575" s="4">
        <v>5959720000000</v>
      </c>
      <c r="B4575" t="s">
        <v>18</v>
      </c>
      <c r="C4575">
        <v>14</v>
      </c>
      <c r="D4575" t="s">
        <v>60</v>
      </c>
      <c r="E4575" t="s">
        <v>45</v>
      </c>
      <c r="F4575" s="1">
        <v>42507</v>
      </c>
      <c r="G4575" s="1">
        <v>42507</v>
      </c>
      <c r="H4575" t="s">
        <v>41</v>
      </c>
      <c r="I4575">
        <v>0</v>
      </c>
      <c r="J4575" t="s">
        <v>111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23</v>
      </c>
      <c r="R4575">
        <v>0</v>
      </c>
    </row>
    <row r="4576" spans="1:18">
      <c r="A4576" s="4">
        <v>423144000000000</v>
      </c>
      <c r="B4576" t="s">
        <v>18</v>
      </c>
      <c r="C4576">
        <v>24</v>
      </c>
      <c r="D4576" t="s">
        <v>37</v>
      </c>
      <c r="E4576" t="s">
        <v>88</v>
      </c>
      <c r="F4576" s="1">
        <v>42507</v>
      </c>
      <c r="G4576" s="1">
        <v>42507</v>
      </c>
      <c r="H4576" t="s">
        <v>41</v>
      </c>
      <c r="I4576">
        <v>0</v>
      </c>
      <c r="J4576" t="s">
        <v>111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23</v>
      </c>
      <c r="R4576">
        <v>0</v>
      </c>
    </row>
    <row r="4577" spans="1:18">
      <c r="A4577" s="4">
        <v>516579000000000</v>
      </c>
      <c r="B4577" t="s">
        <v>18</v>
      </c>
      <c r="C4577">
        <v>49</v>
      </c>
      <c r="D4577" t="s">
        <v>27</v>
      </c>
      <c r="E4577" t="s">
        <v>66</v>
      </c>
      <c r="F4577" s="1">
        <v>42507</v>
      </c>
      <c r="G4577" s="1">
        <v>42507</v>
      </c>
      <c r="H4577" t="s">
        <v>41</v>
      </c>
      <c r="I4577">
        <v>0</v>
      </c>
      <c r="J4577" t="s">
        <v>111</v>
      </c>
      <c r="K4577">
        <v>0</v>
      </c>
      <c r="L4577">
        <v>1</v>
      </c>
      <c r="M4577">
        <v>0</v>
      </c>
      <c r="N4577">
        <v>0</v>
      </c>
      <c r="O4577">
        <v>0</v>
      </c>
      <c r="P4577">
        <v>0</v>
      </c>
      <c r="Q4577" t="s">
        <v>23</v>
      </c>
      <c r="R4577">
        <v>0</v>
      </c>
    </row>
    <row r="4578" spans="1:18">
      <c r="A4578" s="4">
        <v>56721900000000</v>
      </c>
      <c r="B4578" t="s">
        <v>28</v>
      </c>
      <c r="C4578">
        <v>50</v>
      </c>
      <c r="D4578" t="s">
        <v>27</v>
      </c>
      <c r="E4578" t="s">
        <v>32</v>
      </c>
      <c r="F4578" s="1">
        <v>42507</v>
      </c>
      <c r="G4578" s="1">
        <v>42507</v>
      </c>
      <c r="H4578" t="s">
        <v>41</v>
      </c>
      <c r="I4578">
        <v>0</v>
      </c>
      <c r="J4578" t="s">
        <v>111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 t="s">
        <v>23</v>
      </c>
      <c r="R4578">
        <v>0</v>
      </c>
    </row>
    <row r="4579" spans="1:18">
      <c r="A4579" s="4">
        <v>51162700000000</v>
      </c>
      <c r="B4579" t="s">
        <v>18</v>
      </c>
      <c r="C4579">
        <v>0</v>
      </c>
      <c r="D4579" t="s">
        <v>31</v>
      </c>
      <c r="E4579" t="s">
        <v>51</v>
      </c>
      <c r="F4579" s="1">
        <v>42507</v>
      </c>
      <c r="G4579" s="1">
        <v>42507</v>
      </c>
      <c r="H4579" t="s">
        <v>41</v>
      </c>
      <c r="I4579">
        <v>0</v>
      </c>
      <c r="J4579" t="s">
        <v>111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23</v>
      </c>
      <c r="R4579">
        <v>0</v>
      </c>
    </row>
    <row r="4580" spans="1:18">
      <c r="A4580" s="4">
        <v>19536600000000</v>
      </c>
      <c r="B4580" t="s">
        <v>18</v>
      </c>
      <c r="C4580">
        <v>0</v>
      </c>
      <c r="D4580" t="s">
        <v>31</v>
      </c>
      <c r="E4580" t="s">
        <v>39</v>
      </c>
      <c r="F4580" s="1">
        <v>42507</v>
      </c>
      <c r="G4580" s="1">
        <v>42507</v>
      </c>
      <c r="H4580" t="s">
        <v>41</v>
      </c>
      <c r="I4580">
        <v>0</v>
      </c>
      <c r="J4580" t="s">
        <v>111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23</v>
      </c>
      <c r="R4580">
        <v>0</v>
      </c>
    </row>
    <row r="4581" spans="1:18">
      <c r="A4581" s="4">
        <v>9329820000000</v>
      </c>
      <c r="B4581" t="s">
        <v>28</v>
      </c>
      <c r="C4581">
        <v>61</v>
      </c>
      <c r="D4581" t="s">
        <v>35</v>
      </c>
      <c r="E4581" t="s">
        <v>44</v>
      </c>
      <c r="F4581" s="1">
        <v>42507</v>
      </c>
      <c r="G4581" s="1">
        <v>42507</v>
      </c>
      <c r="H4581" t="s">
        <v>41</v>
      </c>
      <c r="I4581">
        <v>0</v>
      </c>
      <c r="J4581" t="s">
        <v>111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0</v>
      </c>
      <c r="Q4581" t="s">
        <v>23</v>
      </c>
      <c r="R4581">
        <v>0</v>
      </c>
    </row>
    <row r="4582" spans="1:18">
      <c r="A4582" s="4">
        <v>693872000000000</v>
      </c>
      <c r="B4582" t="s">
        <v>28</v>
      </c>
      <c r="C4582">
        <v>0</v>
      </c>
      <c r="D4582" t="s">
        <v>31</v>
      </c>
      <c r="E4582" t="s">
        <v>99</v>
      </c>
      <c r="F4582" s="1">
        <v>42507</v>
      </c>
      <c r="G4582" s="1">
        <v>42507</v>
      </c>
      <c r="H4582" t="s">
        <v>41</v>
      </c>
      <c r="I4582">
        <v>0</v>
      </c>
      <c r="J4582" t="s">
        <v>111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23</v>
      </c>
      <c r="R4582">
        <v>0</v>
      </c>
    </row>
    <row r="4583" spans="1:18">
      <c r="A4583" s="4">
        <v>3268370000000</v>
      </c>
      <c r="B4583" t="s">
        <v>28</v>
      </c>
      <c r="C4583">
        <v>9</v>
      </c>
      <c r="D4583" t="s">
        <v>31</v>
      </c>
      <c r="E4583" t="s">
        <v>69</v>
      </c>
      <c r="F4583" s="1">
        <v>42507</v>
      </c>
      <c r="G4583" s="1">
        <v>42527</v>
      </c>
      <c r="H4583" t="s">
        <v>30</v>
      </c>
      <c r="I4583">
        <v>20</v>
      </c>
      <c r="J4583" t="s">
        <v>77</v>
      </c>
      <c r="K4583">
        <v>1</v>
      </c>
      <c r="L4583">
        <v>0</v>
      </c>
      <c r="M4583">
        <v>0</v>
      </c>
      <c r="N4583">
        <v>0</v>
      </c>
      <c r="O4583">
        <v>0</v>
      </c>
      <c r="P4583">
        <v>1</v>
      </c>
      <c r="Q4583" t="s">
        <v>23</v>
      </c>
      <c r="R4583">
        <v>0</v>
      </c>
    </row>
    <row r="4584" spans="1:18">
      <c r="A4584" s="4">
        <v>59445133189</v>
      </c>
      <c r="B4584" t="s">
        <v>18</v>
      </c>
      <c r="C4584">
        <v>0</v>
      </c>
      <c r="D4584" t="s">
        <v>31</v>
      </c>
      <c r="E4584" t="s">
        <v>32</v>
      </c>
      <c r="F4584" s="1">
        <v>42507</v>
      </c>
      <c r="G4584" s="1">
        <v>42507</v>
      </c>
      <c r="H4584" t="s">
        <v>41</v>
      </c>
      <c r="I4584">
        <v>0</v>
      </c>
      <c r="J4584" t="s">
        <v>111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23</v>
      </c>
      <c r="R4584">
        <v>0</v>
      </c>
    </row>
    <row r="4585" spans="1:18">
      <c r="A4585" s="4">
        <v>6455870000000</v>
      </c>
      <c r="B4585" t="s">
        <v>18</v>
      </c>
      <c r="C4585">
        <v>4</v>
      </c>
      <c r="D4585" t="s">
        <v>31</v>
      </c>
      <c r="E4585" t="s">
        <v>78</v>
      </c>
      <c r="F4585" s="1">
        <v>42507</v>
      </c>
      <c r="G4585" s="1">
        <v>42507</v>
      </c>
      <c r="H4585" t="s">
        <v>41</v>
      </c>
      <c r="I4585">
        <v>0</v>
      </c>
      <c r="J4585" t="s">
        <v>111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23</v>
      </c>
      <c r="R4585">
        <v>0</v>
      </c>
    </row>
    <row r="4586" spans="1:18">
      <c r="A4586" s="4">
        <v>575529000000000</v>
      </c>
      <c r="B4586" t="s">
        <v>28</v>
      </c>
      <c r="C4586">
        <v>30</v>
      </c>
      <c r="D4586" t="s">
        <v>37</v>
      </c>
      <c r="E4586" t="s">
        <v>84</v>
      </c>
      <c r="F4586" s="1">
        <v>42507</v>
      </c>
      <c r="G4586" s="1">
        <v>42507</v>
      </c>
      <c r="H4586" t="s">
        <v>41</v>
      </c>
      <c r="I4586">
        <v>0</v>
      </c>
      <c r="J4586" t="s">
        <v>111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23</v>
      </c>
      <c r="R4586">
        <v>0</v>
      </c>
    </row>
    <row r="4587" spans="1:18">
      <c r="A4587" s="4">
        <v>9195410000000</v>
      </c>
      <c r="B4587" t="s">
        <v>28</v>
      </c>
      <c r="C4587">
        <v>7</v>
      </c>
      <c r="D4587" t="s">
        <v>31</v>
      </c>
      <c r="E4587" t="s">
        <v>43</v>
      </c>
      <c r="F4587" s="1">
        <v>42507</v>
      </c>
      <c r="G4587" s="1">
        <v>42507</v>
      </c>
      <c r="H4587" t="s">
        <v>41</v>
      </c>
      <c r="I4587">
        <v>0</v>
      </c>
      <c r="J4587" t="s">
        <v>111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23</v>
      </c>
      <c r="R4587">
        <v>0</v>
      </c>
    </row>
    <row r="4588" spans="1:18">
      <c r="A4588" s="4">
        <v>69314800000000</v>
      </c>
      <c r="B4588" t="s">
        <v>18</v>
      </c>
      <c r="C4588">
        <v>50</v>
      </c>
      <c r="D4588" t="s">
        <v>27</v>
      </c>
      <c r="E4588" t="s">
        <v>69</v>
      </c>
      <c r="F4588" s="1">
        <v>42507</v>
      </c>
      <c r="G4588" s="1">
        <v>42520</v>
      </c>
      <c r="H4588" t="s">
        <v>30</v>
      </c>
      <c r="I4588">
        <v>13</v>
      </c>
      <c r="J4588" t="s">
        <v>92</v>
      </c>
      <c r="K4588">
        <v>0</v>
      </c>
      <c r="L4588">
        <v>1</v>
      </c>
      <c r="M4588">
        <v>0</v>
      </c>
      <c r="N4588">
        <v>0</v>
      </c>
      <c r="O4588">
        <v>1</v>
      </c>
      <c r="P4588">
        <v>1</v>
      </c>
      <c r="Q4588" t="s">
        <v>23</v>
      </c>
      <c r="R4588">
        <v>0</v>
      </c>
    </row>
    <row r="4589" spans="1:18">
      <c r="A4589" s="4">
        <v>848187000000</v>
      </c>
      <c r="B4589" t="s">
        <v>18</v>
      </c>
      <c r="C4589">
        <v>59</v>
      </c>
      <c r="D4589" t="s">
        <v>35</v>
      </c>
      <c r="E4589" t="s">
        <v>40</v>
      </c>
      <c r="F4589" s="1">
        <v>42507</v>
      </c>
      <c r="G4589" s="1">
        <v>42507</v>
      </c>
      <c r="H4589" t="s">
        <v>41</v>
      </c>
      <c r="I4589">
        <v>0</v>
      </c>
      <c r="J4589" t="s">
        <v>111</v>
      </c>
      <c r="K4589">
        <v>0</v>
      </c>
      <c r="L4589">
        <v>1</v>
      </c>
      <c r="M4589">
        <v>0</v>
      </c>
      <c r="N4589">
        <v>0</v>
      </c>
      <c r="O4589">
        <v>0</v>
      </c>
      <c r="P4589">
        <v>0</v>
      </c>
      <c r="Q4589" t="s">
        <v>23</v>
      </c>
      <c r="R4589">
        <v>0</v>
      </c>
    </row>
    <row r="4590" spans="1:18">
      <c r="A4590" s="4">
        <v>8751170000000</v>
      </c>
      <c r="B4590" t="s">
        <v>18</v>
      </c>
      <c r="C4590">
        <v>42</v>
      </c>
      <c r="D4590" t="s">
        <v>27</v>
      </c>
      <c r="E4590" t="s">
        <v>58</v>
      </c>
      <c r="F4590" s="1">
        <v>42507</v>
      </c>
      <c r="G4590" s="1">
        <v>42508</v>
      </c>
      <c r="H4590" t="s">
        <v>25</v>
      </c>
      <c r="I4590">
        <v>1</v>
      </c>
      <c r="J4590" t="s">
        <v>109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23</v>
      </c>
      <c r="R4590">
        <v>0</v>
      </c>
    </row>
    <row r="4591" spans="1:18">
      <c r="A4591" s="4">
        <v>74756500000000</v>
      </c>
      <c r="B4591" t="s">
        <v>28</v>
      </c>
      <c r="C4591">
        <v>61</v>
      </c>
      <c r="D4591" t="s">
        <v>35</v>
      </c>
      <c r="E4591" t="s">
        <v>57</v>
      </c>
      <c r="F4591" s="1">
        <v>42507</v>
      </c>
      <c r="G4591" s="1">
        <v>42507</v>
      </c>
      <c r="H4591" t="s">
        <v>41</v>
      </c>
      <c r="I4591">
        <v>0</v>
      </c>
      <c r="J4591" t="s">
        <v>111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23</v>
      </c>
      <c r="R4591">
        <v>0</v>
      </c>
    </row>
    <row r="4592" spans="1:18">
      <c r="A4592" s="4">
        <v>386287000000000</v>
      </c>
      <c r="B4592" t="s">
        <v>28</v>
      </c>
      <c r="C4592">
        <v>2</v>
      </c>
      <c r="D4592" t="s">
        <v>31</v>
      </c>
      <c r="E4592" t="s">
        <v>56</v>
      </c>
      <c r="F4592" s="1">
        <v>42507</v>
      </c>
      <c r="G4592" s="1">
        <v>42507</v>
      </c>
      <c r="H4592" t="s">
        <v>41</v>
      </c>
      <c r="I4592">
        <v>0</v>
      </c>
      <c r="J4592" t="s">
        <v>111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23</v>
      </c>
      <c r="R4592">
        <v>0</v>
      </c>
    </row>
    <row r="4593" spans="1:18">
      <c r="A4593" s="4">
        <v>541830000000</v>
      </c>
      <c r="B4593" t="s">
        <v>28</v>
      </c>
      <c r="C4593">
        <v>37</v>
      </c>
      <c r="D4593" t="s">
        <v>27</v>
      </c>
      <c r="E4593" t="s">
        <v>97</v>
      </c>
      <c r="F4593" s="1">
        <v>42507</v>
      </c>
      <c r="G4593" s="1">
        <v>42507</v>
      </c>
      <c r="H4593" t="s">
        <v>41</v>
      </c>
      <c r="I4593">
        <v>0</v>
      </c>
      <c r="J4593" t="s">
        <v>111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23</v>
      </c>
      <c r="R4593">
        <v>0</v>
      </c>
    </row>
    <row r="4594" spans="1:18">
      <c r="A4594" s="4">
        <v>467375000000000</v>
      </c>
      <c r="B4594" t="s">
        <v>18</v>
      </c>
      <c r="C4594">
        <v>82</v>
      </c>
      <c r="D4594" t="s">
        <v>19</v>
      </c>
      <c r="E4594" t="s">
        <v>24</v>
      </c>
      <c r="F4594" s="1">
        <v>42507</v>
      </c>
      <c r="G4594" s="1">
        <v>42509</v>
      </c>
      <c r="H4594" t="s">
        <v>33</v>
      </c>
      <c r="I4594">
        <v>2</v>
      </c>
      <c r="J4594" t="s">
        <v>109</v>
      </c>
      <c r="K4594">
        <v>0</v>
      </c>
      <c r="L4594">
        <v>1</v>
      </c>
      <c r="M4594">
        <v>0</v>
      </c>
      <c r="N4594">
        <v>0</v>
      </c>
      <c r="O4594">
        <v>0</v>
      </c>
      <c r="P4594">
        <v>0</v>
      </c>
      <c r="Q4594" t="s">
        <v>23</v>
      </c>
      <c r="R4594">
        <v>0</v>
      </c>
    </row>
    <row r="4595" spans="1:18">
      <c r="A4595" s="4">
        <v>265797000000</v>
      </c>
      <c r="B4595" t="s">
        <v>28</v>
      </c>
      <c r="C4595">
        <v>14</v>
      </c>
      <c r="D4595" t="s">
        <v>60</v>
      </c>
      <c r="E4595" t="s">
        <v>65</v>
      </c>
      <c r="F4595" s="1">
        <v>42507</v>
      </c>
      <c r="G4595" s="1">
        <v>42515</v>
      </c>
      <c r="H4595" t="s">
        <v>25</v>
      </c>
      <c r="I4595">
        <v>8</v>
      </c>
      <c r="J4595" t="s">
        <v>92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1</v>
      </c>
      <c r="Q4595" t="s">
        <v>26</v>
      </c>
      <c r="R4595">
        <v>1</v>
      </c>
    </row>
    <row r="4596" spans="1:18">
      <c r="A4596" s="4">
        <v>99676396336</v>
      </c>
      <c r="B4596" t="s">
        <v>28</v>
      </c>
      <c r="C4596">
        <v>0</v>
      </c>
      <c r="D4596" t="s">
        <v>31</v>
      </c>
      <c r="E4596" t="s">
        <v>39</v>
      </c>
      <c r="F4596" s="1">
        <v>42507</v>
      </c>
      <c r="G4596" s="1">
        <v>42507</v>
      </c>
      <c r="H4596" t="s">
        <v>41</v>
      </c>
      <c r="I4596">
        <v>0</v>
      </c>
      <c r="J4596" t="s">
        <v>111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23</v>
      </c>
      <c r="R4596">
        <v>0</v>
      </c>
    </row>
    <row r="4597" spans="1:18">
      <c r="A4597" s="4">
        <v>1835850000000</v>
      </c>
      <c r="B4597" t="s">
        <v>18</v>
      </c>
      <c r="C4597">
        <v>8</v>
      </c>
      <c r="D4597" t="s">
        <v>31</v>
      </c>
      <c r="E4597" t="s">
        <v>48</v>
      </c>
      <c r="F4597" s="1">
        <v>42507</v>
      </c>
      <c r="G4597" s="1">
        <v>42507</v>
      </c>
      <c r="H4597" t="s">
        <v>41</v>
      </c>
      <c r="I4597">
        <v>0</v>
      </c>
      <c r="J4597" t="s">
        <v>111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23</v>
      </c>
      <c r="R4597">
        <v>0</v>
      </c>
    </row>
    <row r="4598" spans="1:18">
      <c r="A4598" s="4">
        <v>795317000000000</v>
      </c>
      <c r="B4598" t="s">
        <v>18</v>
      </c>
      <c r="C4598">
        <v>22</v>
      </c>
      <c r="D4598" t="s">
        <v>37</v>
      </c>
      <c r="E4598" t="s">
        <v>96</v>
      </c>
      <c r="F4598" s="1">
        <v>42507</v>
      </c>
      <c r="G4598" s="1">
        <v>42522</v>
      </c>
      <c r="H4598" t="s">
        <v>25</v>
      </c>
      <c r="I4598">
        <v>15</v>
      </c>
      <c r="J4598" t="s">
        <v>77</v>
      </c>
      <c r="K4598">
        <v>1</v>
      </c>
      <c r="L4598">
        <v>0</v>
      </c>
      <c r="M4598">
        <v>0</v>
      </c>
      <c r="N4598">
        <v>0</v>
      </c>
      <c r="O4598">
        <v>0</v>
      </c>
      <c r="P4598">
        <v>1</v>
      </c>
      <c r="Q4598" t="s">
        <v>26</v>
      </c>
      <c r="R4598">
        <v>1</v>
      </c>
    </row>
    <row r="4599" spans="1:18">
      <c r="A4599" s="4">
        <v>36299200000000</v>
      </c>
      <c r="B4599" t="s">
        <v>18</v>
      </c>
      <c r="C4599">
        <v>25</v>
      </c>
      <c r="D4599" t="s">
        <v>37</v>
      </c>
      <c r="E4599" t="s">
        <v>65</v>
      </c>
      <c r="F4599" s="1">
        <v>42507</v>
      </c>
      <c r="G4599" s="1">
        <v>42522</v>
      </c>
      <c r="H4599" t="s">
        <v>25</v>
      </c>
      <c r="I4599">
        <v>15</v>
      </c>
      <c r="J4599" t="s">
        <v>77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23</v>
      </c>
      <c r="R4599">
        <v>0</v>
      </c>
    </row>
    <row r="4600" spans="1:18">
      <c r="A4600" s="4">
        <v>6375610000000</v>
      </c>
      <c r="B4600" t="s">
        <v>18</v>
      </c>
      <c r="C4600">
        <v>18</v>
      </c>
      <c r="D4600" t="s">
        <v>37</v>
      </c>
      <c r="E4600" t="s">
        <v>71</v>
      </c>
      <c r="F4600" s="1">
        <v>42507</v>
      </c>
      <c r="G4600" s="1">
        <v>42507</v>
      </c>
      <c r="H4600" t="s">
        <v>41</v>
      </c>
      <c r="I4600">
        <v>0</v>
      </c>
      <c r="J4600" t="s">
        <v>111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23</v>
      </c>
      <c r="R4600">
        <v>0</v>
      </c>
    </row>
    <row r="4601" spans="1:18">
      <c r="A4601" s="4">
        <v>859456000000</v>
      </c>
      <c r="B4601" t="s">
        <v>28</v>
      </c>
      <c r="C4601">
        <v>86</v>
      </c>
      <c r="D4601" t="s">
        <v>19</v>
      </c>
      <c r="E4601" t="s">
        <v>55</v>
      </c>
      <c r="F4601" s="1">
        <v>42507</v>
      </c>
      <c r="G4601" s="1">
        <v>42507</v>
      </c>
      <c r="H4601" t="s">
        <v>41</v>
      </c>
      <c r="I4601">
        <v>0</v>
      </c>
      <c r="J4601" t="s">
        <v>111</v>
      </c>
      <c r="K4601">
        <v>0</v>
      </c>
      <c r="L4601">
        <v>0</v>
      </c>
      <c r="M4601">
        <v>1</v>
      </c>
      <c r="N4601">
        <v>0</v>
      </c>
      <c r="O4601">
        <v>0</v>
      </c>
      <c r="P4601">
        <v>0</v>
      </c>
      <c r="Q4601" t="s">
        <v>23</v>
      </c>
      <c r="R4601">
        <v>0</v>
      </c>
    </row>
    <row r="4602" spans="1:18">
      <c r="A4602" s="4">
        <v>419743000000000</v>
      </c>
      <c r="B4602" t="s">
        <v>18</v>
      </c>
      <c r="C4602">
        <v>35</v>
      </c>
      <c r="D4602" t="s">
        <v>37</v>
      </c>
      <c r="E4602" t="s">
        <v>61</v>
      </c>
      <c r="F4602" s="1">
        <v>42507</v>
      </c>
      <c r="G4602" s="1">
        <v>42522</v>
      </c>
      <c r="H4602" t="s">
        <v>25</v>
      </c>
      <c r="I4602">
        <v>15</v>
      </c>
      <c r="J4602" t="s">
        <v>77</v>
      </c>
      <c r="K4602">
        <v>1</v>
      </c>
      <c r="L4602">
        <v>0</v>
      </c>
      <c r="M4602">
        <v>0</v>
      </c>
      <c r="N4602">
        <v>0</v>
      </c>
      <c r="O4602">
        <v>0</v>
      </c>
      <c r="P4602">
        <v>1</v>
      </c>
      <c r="Q4602" t="s">
        <v>26</v>
      </c>
      <c r="R4602">
        <v>1</v>
      </c>
    </row>
    <row r="4603" spans="1:18">
      <c r="A4603" s="4">
        <v>85766400000000</v>
      </c>
      <c r="B4603" t="s">
        <v>18</v>
      </c>
      <c r="C4603">
        <v>23</v>
      </c>
      <c r="D4603" t="s">
        <v>37</v>
      </c>
      <c r="E4603" t="s">
        <v>71</v>
      </c>
      <c r="F4603" s="1">
        <v>42507</v>
      </c>
      <c r="G4603" s="1">
        <v>42507</v>
      </c>
      <c r="H4603" t="s">
        <v>41</v>
      </c>
      <c r="I4603">
        <v>0</v>
      </c>
      <c r="J4603" t="s">
        <v>111</v>
      </c>
      <c r="K4603">
        <v>1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26</v>
      </c>
      <c r="R4603">
        <v>1</v>
      </c>
    </row>
    <row r="4604" spans="1:18">
      <c r="A4604" s="4">
        <v>83263800000000</v>
      </c>
      <c r="B4604" t="s">
        <v>18</v>
      </c>
      <c r="C4604">
        <v>16</v>
      </c>
      <c r="D4604" t="s">
        <v>60</v>
      </c>
      <c r="E4604" t="s">
        <v>61</v>
      </c>
      <c r="F4604" s="1">
        <v>42507</v>
      </c>
      <c r="G4604" s="1">
        <v>42507</v>
      </c>
      <c r="H4604" t="s">
        <v>41</v>
      </c>
      <c r="I4604">
        <v>0</v>
      </c>
      <c r="J4604" t="s">
        <v>111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23</v>
      </c>
      <c r="R4604">
        <v>0</v>
      </c>
    </row>
    <row r="4605" spans="1:18">
      <c r="A4605" s="4">
        <v>8253350000000</v>
      </c>
      <c r="B4605" t="s">
        <v>18</v>
      </c>
      <c r="C4605">
        <v>41</v>
      </c>
      <c r="D4605" t="s">
        <v>27</v>
      </c>
      <c r="E4605" t="s">
        <v>51</v>
      </c>
      <c r="F4605" s="1">
        <v>42507</v>
      </c>
      <c r="G4605" s="1">
        <v>42507</v>
      </c>
      <c r="H4605" t="s">
        <v>41</v>
      </c>
      <c r="I4605">
        <v>0</v>
      </c>
      <c r="J4605" t="s">
        <v>111</v>
      </c>
      <c r="K4605">
        <v>0</v>
      </c>
      <c r="L4605">
        <v>1</v>
      </c>
      <c r="M4605">
        <v>0</v>
      </c>
      <c r="N4605">
        <v>0</v>
      </c>
      <c r="O4605">
        <v>0</v>
      </c>
      <c r="P4605">
        <v>0</v>
      </c>
      <c r="Q4605" t="s">
        <v>23</v>
      </c>
      <c r="R4605">
        <v>0</v>
      </c>
    </row>
    <row r="4606" spans="1:18">
      <c r="A4606" s="4">
        <v>14189800000000</v>
      </c>
      <c r="B4606" t="s">
        <v>18</v>
      </c>
      <c r="C4606">
        <v>62</v>
      </c>
      <c r="D4606" t="s">
        <v>35</v>
      </c>
      <c r="E4606" t="s">
        <v>63</v>
      </c>
      <c r="F4606" s="1">
        <v>42507</v>
      </c>
      <c r="G4606" s="1">
        <v>42507</v>
      </c>
      <c r="H4606" t="s">
        <v>41</v>
      </c>
      <c r="I4606">
        <v>0</v>
      </c>
      <c r="J4606" t="s">
        <v>111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23</v>
      </c>
      <c r="R4606">
        <v>0</v>
      </c>
    </row>
    <row r="4607" spans="1:18">
      <c r="A4607" s="4">
        <v>1196790000000</v>
      </c>
      <c r="B4607" t="s">
        <v>18</v>
      </c>
      <c r="C4607">
        <v>66</v>
      </c>
      <c r="D4607" t="s">
        <v>19</v>
      </c>
      <c r="E4607" t="s">
        <v>64</v>
      </c>
      <c r="F4607" s="1">
        <v>42507</v>
      </c>
      <c r="G4607" s="1">
        <v>42507</v>
      </c>
      <c r="H4607" t="s">
        <v>41</v>
      </c>
      <c r="I4607">
        <v>0</v>
      </c>
      <c r="J4607" t="s">
        <v>111</v>
      </c>
      <c r="K4607">
        <v>0</v>
      </c>
      <c r="L4607">
        <v>1</v>
      </c>
      <c r="M4607">
        <v>0</v>
      </c>
      <c r="N4607">
        <v>0</v>
      </c>
      <c r="O4607">
        <v>0</v>
      </c>
      <c r="P4607">
        <v>0</v>
      </c>
      <c r="Q4607" t="s">
        <v>23</v>
      </c>
      <c r="R4607">
        <v>0</v>
      </c>
    </row>
    <row r="4608" spans="1:18">
      <c r="A4608" s="4">
        <v>554588000000</v>
      </c>
      <c r="B4608" t="s">
        <v>18</v>
      </c>
      <c r="C4608">
        <v>16</v>
      </c>
      <c r="D4608" t="s">
        <v>60</v>
      </c>
      <c r="E4608" t="s">
        <v>86</v>
      </c>
      <c r="F4608" s="1">
        <v>42507</v>
      </c>
      <c r="G4608" s="1">
        <v>42520</v>
      </c>
      <c r="H4608" t="s">
        <v>30</v>
      </c>
      <c r="I4608">
        <v>13</v>
      </c>
      <c r="J4608" t="s">
        <v>92</v>
      </c>
      <c r="K4608">
        <v>1</v>
      </c>
      <c r="L4608">
        <v>0</v>
      </c>
      <c r="M4608">
        <v>0</v>
      </c>
      <c r="N4608">
        <v>0</v>
      </c>
      <c r="O4608">
        <v>0</v>
      </c>
      <c r="P4608">
        <v>1</v>
      </c>
      <c r="Q4608" t="s">
        <v>23</v>
      </c>
      <c r="R4608">
        <v>0</v>
      </c>
    </row>
    <row r="4609" spans="1:18">
      <c r="A4609" s="4">
        <v>357574000000</v>
      </c>
      <c r="B4609" t="s">
        <v>18</v>
      </c>
      <c r="C4609">
        <v>46</v>
      </c>
      <c r="D4609" t="s">
        <v>27</v>
      </c>
      <c r="E4609" t="s">
        <v>61</v>
      </c>
      <c r="F4609" s="1">
        <v>42507</v>
      </c>
      <c r="G4609" s="1">
        <v>42520</v>
      </c>
      <c r="H4609" t="s">
        <v>30</v>
      </c>
      <c r="I4609">
        <v>13</v>
      </c>
      <c r="J4609" t="s">
        <v>92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1</v>
      </c>
      <c r="Q4609" t="s">
        <v>26</v>
      </c>
      <c r="R4609">
        <v>1</v>
      </c>
    </row>
    <row r="4610" spans="1:18">
      <c r="A4610" s="4">
        <v>33837700000000</v>
      </c>
      <c r="B4610" t="s">
        <v>28</v>
      </c>
      <c r="C4610">
        <v>78</v>
      </c>
      <c r="D4610" t="s">
        <v>19</v>
      </c>
      <c r="E4610" t="s">
        <v>50</v>
      </c>
      <c r="F4610" s="1">
        <v>42507</v>
      </c>
      <c r="G4610" s="1">
        <v>42521</v>
      </c>
      <c r="H4610" t="s">
        <v>41</v>
      </c>
      <c r="I4610">
        <v>14</v>
      </c>
      <c r="J4610" t="s">
        <v>92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1</v>
      </c>
      <c r="Q4610" t="s">
        <v>23</v>
      </c>
      <c r="R4610">
        <v>0</v>
      </c>
    </row>
    <row r="4611" spans="1:18">
      <c r="A4611" s="4">
        <v>188915000000</v>
      </c>
      <c r="B4611" t="s">
        <v>28</v>
      </c>
      <c r="C4611">
        <v>11</v>
      </c>
      <c r="D4611" t="s">
        <v>31</v>
      </c>
      <c r="E4611" t="s">
        <v>47</v>
      </c>
      <c r="F4611" s="1">
        <v>42507</v>
      </c>
      <c r="G4611" s="1">
        <v>42508</v>
      </c>
      <c r="H4611" t="s">
        <v>25</v>
      </c>
      <c r="I4611">
        <v>1</v>
      </c>
      <c r="J4611" t="s">
        <v>109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23</v>
      </c>
      <c r="R4611">
        <v>0</v>
      </c>
    </row>
    <row r="4612" spans="1:18">
      <c r="A4612" s="4">
        <v>94484800000000</v>
      </c>
      <c r="B4612" t="s">
        <v>18</v>
      </c>
      <c r="C4612">
        <v>69</v>
      </c>
      <c r="D4612" t="s">
        <v>19</v>
      </c>
      <c r="E4612" t="s">
        <v>57</v>
      </c>
      <c r="F4612" s="1">
        <v>42507</v>
      </c>
      <c r="G4612" s="1">
        <v>42507</v>
      </c>
      <c r="H4612" t="s">
        <v>41</v>
      </c>
      <c r="I4612">
        <v>0</v>
      </c>
      <c r="J4612" t="s">
        <v>111</v>
      </c>
      <c r="K4612">
        <v>0</v>
      </c>
      <c r="L4612">
        <v>1</v>
      </c>
      <c r="M4612">
        <v>0</v>
      </c>
      <c r="N4612">
        <v>0</v>
      </c>
      <c r="O4612">
        <v>0</v>
      </c>
      <c r="P4612">
        <v>0</v>
      </c>
      <c r="Q4612" t="s">
        <v>23</v>
      </c>
      <c r="R4612">
        <v>0</v>
      </c>
    </row>
    <row r="4613" spans="1:18">
      <c r="A4613" s="4">
        <v>53634100000000</v>
      </c>
      <c r="B4613" t="s">
        <v>18</v>
      </c>
      <c r="C4613">
        <v>29</v>
      </c>
      <c r="D4613" t="s">
        <v>37</v>
      </c>
      <c r="E4613" t="s">
        <v>71</v>
      </c>
      <c r="F4613" s="1">
        <v>42507</v>
      </c>
      <c r="G4613" s="1">
        <v>42528</v>
      </c>
      <c r="H4613" t="s">
        <v>41</v>
      </c>
      <c r="I4613">
        <v>21</v>
      </c>
      <c r="J4613" t="s">
        <v>77</v>
      </c>
      <c r="K4613">
        <v>1</v>
      </c>
      <c r="L4613">
        <v>0</v>
      </c>
      <c r="M4613">
        <v>0</v>
      </c>
      <c r="N4613">
        <v>0</v>
      </c>
      <c r="O4613">
        <v>0</v>
      </c>
      <c r="P4613">
        <v>1</v>
      </c>
      <c r="Q4613" t="s">
        <v>26</v>
      </c>
      <c r="R4613">
        <v>1</v>
      </c>
    </row>
    <row r="4614" spans="1:18">
      <c r="A4614" s="4">
        <v>285957000000</v>
      </c>
      <c r="B4614" t="s">
        <v>18</v>
      </c>
      <c r="C4614">
        <v>23</v>
      </c>
      <c r="D4614" t="s">
        <v>37</v>
      </c>
      <c r="E4614" t="s">
        <v>58</v>
      </c>
      <c r="F4614" s="1">
        <v>42507</v>
      </c>
      <c r="G4614" s="1">
        <v>42508</v>
      </c>
      <c r="H4614" t="s">
        <v>25</v>
      </c>
      <c r="I4614">
        <v>1</v>
      </c>
      <c r="J4614" t="s">
        <v>109</v>
      </c>
      <c r="K4614">
        <v>0</v>
      </c>
      <c r="L4614">
        <v>0</v>
      </c>
      <c r="M4614">
        <v>1</v>
      </c>
      <c r="N4614">
        <v>0</v>
      </c>
      <c r="O4614">
        <v>0</v>
      </c>
      <c r="P4614">
        <v>0</v>
      </c>
      <c r="Q4614" t="s">
        <v>23</v>
      </c>
      <c r="R4614">
        <v>0</v>
      </c>
    </row>
    <row r="4615" spans="1:18">
      <c r="A4615" s="4">
        <v>442894000000000</v>
      </c>
      <c r="B4615" t="s">
        <v>18</v>
      </c>
      <c r="C4615">
        <v>59</v>
      </c>
      <c r="D4615" t="s">
        <v>35</v>
      </c>
      <c r="E4615" t="s">
        <v>54</v>
      </c>
      <c r="F4615" s="1">
        <v>42507</v>
      </c>
      <c r="G4615" s="1">
        <v>42520</v>
      </c>
      <c r="H4615" t="s">
        <v>30</v>
      </c>
      <c r="I4615">
        <v>13</v>
      </c>
      <c r="J4615" t="s">
        <v>92</v>
      </c>
      <c r="K4615">
        <v>0</v>
      </c>
      <c r="L4615">
        <v>1</v>
      </c>
      <c r="M4615">
        <v>1</v>
      </c>
      <c r="N4615">
        <v>0</v>
      </c>
      <c r="O4615">
        <v>0</v>
      </c>
      <c r="P4615">
        <v>1</v>
      </c>
      <c r="Q4615" t="s">
        <v>23</v>
      </c>
      <c r="R4615">
        <v>0</v>
      </c>
    </row>
    <row r="4616" spans="1:18">
      <c r="A4616" s="4">
        <v>696194000000000</v>
      </c>
      <c r="B4616" t="s">
        <v>18</v>
      </c>
      <c r="C4616">
        <v>58</v>
      </c>
      <c r="D4616" t="s">
        <v>35</v>
      </c>
      <c r="E4616" t="s">
        <v>29</v>
      </c>
      <c r="F4616" s="1">
        <v>42507</v>
      </c>
      <c r="G4616" s="1">
        <v>42508</v>
      </c>
      <c r="H4616" t="s">
        <v>25</v>
      </c>
      <c r="I4616">
        <v>1</v>
      </c>
      <c r="J4616" t="s">
        <v>109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 t="s">
        <v>23</v>
      </c>
      <c r="R4616">
        <v>0</v>
      </c>
    </row>
    <row r="4617" spans="1:18">
      <c r="A4617" s="4">
        <v>725619000000</v>
      </c>
      <c r="B4617" t="s">
        <v>18</v>
      </c>
      <c r="C4617">
        <v>35</v>
      </c>
      <c r="D4617" t="s">
        <v>37</v>
      </c>
      <c r="E4617" t="s">
        <v>66</v>
      </c>
      <c r="F4617" s="1">
        <v>42507</v>
      </c>
      <c r="G4617" s="1">
        <v>42515</v>
      </c>
      <c r="H4617" t="s">
        <v>25</v>
      </c>
      <c r="I4617">
        <v>8</v>
      </c>
      <c r="J4617" t="s">
        <v>92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1</v>
      </c>
      <c r="Q4617" t="s">
        <v>23</v>
      </c>
      <c r="R4617">
        <v>0</v>
      </c>
    </row>
    <row r="4618" spans="1:18">
      <c r="A4618" s="4">
        <v>879773000000000</v>
      </c>
      <c r="B4618" t="s">
        <v>28</v>
      </c>
      <c r="C4618">
        <v>81</v>
      </c>
      <c r="D4618" t="s">
        <v>19</v>
      </c>
      <c r="E4618" t="s">
        <v>49</v>
      </c>
      <c r="F4618" s="1">
        <v>42507</v>
      </c>
      <c r="G4618" s="1">
        <v>42515</v>
      </c>
      <c r="H4618" t="s">
        <v>25</v>
      </c>
      <c r="I4618">
        <v>8</v>
      </c>
      <c r="J4618" t="s">
        <v>92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26</v>
      </c>
      <c r="R4618">
        <v>1</v>
      </c>
    </row>
    <row r="4619" spans="1:18">
      <c r="A4619" s="4">
        <v>8325140000000</v>
      </c>
      <c r="B4619" t="s">
        <v>18</v>
      </c>
      <c r="C4619">
        <v>70</v>
      </c>
      <c r="D4619" t="s">
        <v>19</v>
      </c>
      <c r="E4619" t="s">
        <v>62</v>
      </c>
      <c r="F4619" s="1">
        <v>42507</v>
      </c>
      <c r="G4619" s="1">
        <v>42507</v>
      </c>
      <c r="H4619" t="s">
        <v>41</v>
      </c>
      <c r="I4619">
        <v>0</v>
      </c>
      <c r="J4619" t="s">
        <v>111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23</v>
      </c>
      <c r="R4619">
        <v>0</v>
      </c>
    </row>
    <row r="4620" spans="1:18">
      <c r="A4620" s="4">
        <v>52152900000000</v>
      </c>
      <c r="B4620" t="s">
        <v>18</v>
      </c>
      <c r="C4620">
        <v>0</v>
      </c>
      <c r="D4620" t="s">
        <v>31</v>
      </c>
      <c r="E4620" t="s">
        <v>93</v>
      </c>
      <c r="F4620" s="1">
        <v>42507</v>
      </c>
      <c r="G4620" s="1">
        <v>42508</v>
      </c>
      <c r="H4620" t="s">
        <v>25</v>
      </c>
      <c r="I4620">
        <v>1</v>
      </c>
      <c r="J4620" t="s">
        <v>109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23</v>
      </c>
      <c r="R4620">
        <v>0</v>
      </c>
    </row>
    <row r="4621" spans="1:18">
      <c r="A4621" s="4">
        <v>273875000000</v>
      </c>
      <c r="B4621" t="s">
        <v>28</v>
      </c>
      <c r="C4621">
        <v>84</v>
      </c>
      <c r="D4621" t="s">
        <v>19</v>
      </c>
      <c r="E4621" t="s">
        <v>32</v>
      </c>
      <c r="F4621" s="1">
        <v>42507</v>
      </c>
      <c r="G4621" s="1">
        <v>42507</v>
      </c>
      <c r="H4621" t="s">
        <v>41</v>
      </c>
      <c r="I4621">
        <v>0</v>
      </c>
      <c r="J4621" t="s">
        <v>111</v>
      </c>
      <c r="K4621">
        <v>0</v>
      </c>
      <c r="L4621">
        <v>1</v>
      </c>
      <c r="M4621">
        <v>0</v>
      </c>
      <c r="N4621">
        <v>0</v>
      </c>
      <c r="O4621">
        <v>1</v>
      </c>
      <c r="P4621">
        <v>0</v>
      </c>
      <c r="Q4621" t="s">
        <v>23</v>
      </c>
      <c r="R4621">
        <v>0</v>
      </c>
    </row>
    <row r="4622" spans="1:18">
      <c r="A4622" s="4">
        <v>99294400000000</v>
      </c>
      <c r="B4622" t="s">
        <v>28</v>
      </c>
      <c r="C4622">
        <v>71</v>
      </c>
      <c r="D4622" t="s">
        <v>19</v>
      </c>
      <c r="E4622" t="s">
        <v>61</v>
      </c>
      <c r="F4622" s="1">
        <v>42507</v>
      </c>
      <c r="G4622" s="1">
        <v>42514</v>
      </c>
      <c r="H4622" t="s">
        <v>41</v>
      </c>
      <c r="I4622">
        <v>7</v>
      </c>
      <c r="J4622" t="s">
        <v>107</v>
      </c>
      <c r="K4622">
        <v>0</v>
      </c>
      <c r="L4622">
        <v>1</v>
      </c>
      <c r="M4622">
        <v>1</v>
      </c>
      <c r="N4622">
        <v>0</v>
      </c>
      <c r="O4622">
        <v>0</v>
      </c>
      <c r="P4622">
        <v>1</v>
      </c>
      <c r="Q4622" t="s">
        <v>23</v>
      </c>
      <c r="R4622">
        <v>0</v>
      </c>
    </row>
    <row r="4623" spans="1:18">
      <c r="A4623" s="4">
        <v>94574900000000</v>
      </c>
      <c r="B4623" t="s">
        <v>28</v>
      </c>
      <c r="C4623">
        <v>1</v>
      </c>
      <c r="D4623" t="s">
        <v>31</v>
      </c>
      <c r="E4623" t="s">
        <v>39</v>
      </c>
      <c r="F4623" s="1">
        <v>42507</v>
      </c>
      <c r="G4623" s="1">
        <v>42507</v>
      </c>
      <c r="H4623" t="s">
        <v>41</v>
      </c>
      <c r="I4623">
        <v>0</v>
      </c>
      <c r="J4623" t="s">
        <v>111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23</v>
      </c>
      <c r="R4623">
        <v>0</v>
      </c>
    </row>
    <row r="4624" spans="1:18">
      <c r="A4624" s="4">
        <v>31977200000000</v>
      </c>
      <c r="B4624" t="s">
        <v>18</v>
      </c>
      <c r="C4624">
        <v>43</v>
      </c>
      <c r="D4624" t="s">
        <v>27</v>
      </c>
      <c r="E4624" t="s">
        <v>39</v>
      </c>
      <c r="F4624" s="1">
        <v>42507</v>
      </c>
      <c r="G4624" s="1">
        <v>42507</v>
      </c>
      <c r="H4624" t="s">
        <v>41</v>
      </c>
      <c r="I4624">
        <v>0</v>
      </c>
      <c r="J4624" t="s">
        <v>111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23</v>
      </c>
      <c r="R4624">
        <v>0</v>
      </c>
    </row>
    <row r="4625" spans="1:18">
      <c r="A4625" s="4">
        <v>38133500000000</v>
      </c>
      <c r="B4625" t="s">
        <v>28</v>
      </c>
      <c r="C4625">
        <v>4</v>
      </c>
      <c r="D4625" t="s">
        <v>31</v>
      </c>
      <c r="E4625" t="s">
        <v>48</v>
      </c>
      <c r="F4625" s="1">
        <v>42507</v>
      </c>
      <c r="G4625" s="1">
        <v>42521</v>
      </c>
      <c r="H4625" t="s">
        <v>41</v>
      </c>
      <c r="I4625">
        <v>14</v>
      </c>
      <c r="J4625" t="s">
        <v>92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1</v>
      </c>
      <c r="Q4625" t="s">
        <v>23</v>
      </c>
      <c r="R4625">
        <v>0</v>
      </c>
    </row>
    <row r="4626" spans="1:18">
      <c r="A4626" s="4">
        <v>313412000000</v>
      </c>
      <c r="B4626" t="s">
        <v>18</v>
      </c>
      <c r="C4626">
        <v>7</v>
      </c>
      <c r="D4626" t="s">
        <v>31</v>
      </c>
      <c r="E4626" t="s">
        <v>55</v>
      </c>
      <c r="F4626" s="1">
        <v>42507</v>
      </c>
      <c r="G4626" s="1">
        <v>42514</v>
      </c>
      <c r="H4626" t="s">
        <v>41</v>
      </c>
      <c r="I4626">
        <v>7</v>
      </c>
      <c r="J4626" t="s">
        <v>107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23</v>
      </c>
      <c r="R4626">
        <v>0</v>
      </c>
    </row>
    <row r="4627" spans="1:18">
      <c r="A4627" s="4">
        <v>28662700000000</v>
      </c>
      <c r="B4627" t="s">
        <v>18</v>
      </c>
      <c r="C4627">
        <v>46</v>
      </c>
      <c r="D4627" t="s">
        <v>27</v>
      </c>
      <c r="E4627" t="s">
        <v>29</v>
      </c>
      <c r="F4627" s="1">
        <v>42507</v>
      </c>
      <c r="G4627" s="1">
        <v>42528</v>
      </c>
      <c r="H4627" t="s">
        <v>41</v>
      </c>
      <c r="I4627">
        <v>21</v>
      </c>
      <c r="J4627" t="s">
        <v>77</v>
      </c>
      <c r="K4627">
        <v>0</v>
      </c>
      <c r="L4627">
        <v>1</v>
      </c>
      <c r="M4627">
        <v>0</v>
      </c>
      <c r="N4627">
        <v>0</v>
      </c>
      <c r="O4627">
        <v>0</v>
      </c>
      <c r="P4627">
        <v>1</v>
      </c>
      <c r="Q4627" t="s">
        <v>23</v>
      </c>
      <c r="R4627">
        <v>0</v>
      </c>
    </row>
    <row r="4628" spans="1:18">
      <c r="A4628" s="4">
        <v>348771000000000</v>
      </c>
      <c r="B4628" t="s">
        <v>18</v>
      </c>
      <c r="C4628">
        <v>51</v>
      </c>
      <c r="D4628" t="s">
        <v>35</v>
      </c>
      <c r="E4628" t="s">
        <v>56</v>
      </c>
      <c r="F4628" s="1">
        <v>42507</v>
      </c>
      <c r="G4628" s="1">
        <v>42528</v>
      </c>
      <c r="H4628" t="s">
        <v>41</v>
      </c>
      <c r="I4628">
        <v>21</v>
      </c>
      <c r="J4628" t="s">
        <v>77</v>
      </c>
      <c r="K4628">
        <v>0</v>
      </c>
      <c r="L4628">
        <v>1</v>
      </c>
      <c r="M4628">
        <v>0</v>
      </c>
      <c r="N4628">
        <v>0</v>
      </c>
      <c r="O4628">
        <v>0</v>
      </c>
      <c r="P4628">
        <v>0</v>
      </c>
      <c r="Q4628" t="s">
        <v>23</v>
      </c>
      <c r="R4628">
        <v>0</v>
      </c>
    </row>
    <row r="4629" spans="1:18">
      <c r="A4629" s="4">
        <v>87187200000000</v>
      </c>
      <c r="B4629" t="s">
        <v>18</v>
      </c>
      <c r="C4629">
        <v>43</v>
      </c>
      <c r="D4629" t="s">
        <v>27</v>
      </c>
      <c r="E4629" t="s">
        <v>72</v>
      </c>
      <c r="F4629" s="1">
        <v>42507</v>
      </c>
      <c r="G4629" s="1">
        <v>42507</v>
      </c>
      <c r="H4629" t="s">
        <v>41</v>
      </c>
      <c r="I4629">
        <v>0</v>
      </c>
      <c r="J4629" t="s">
        <v>111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23</v>
      </c>
      <c r="R4629">
        <v>0</v>
      </c>
    </row>
    <row r="4630" spans="1:18">
      <c r="A4630" s="4">
        <v>4123290000000</v>
      </c>
      <c r="B4630" t="s">
        <v>18</v>
      </c>
      <c r="C4630">
        <v>29</v>
      </c>
      <c r="D4630" t="s">
        <v>37</v>
      </c>
      <c r="E4630" t="s">
        <v>84</v>
      </c>
      <c r="F4630" s="1">
        <v>42507</v>
      </c>
      <c r="G4630" s="1">
        <v>42508</v>
      </c>
      <c r="H4630" t="s">
        <v>25</v>
      </c>
      <c r="I4630">
        <v>1</v>
      </c>
      <c r="J4630" t="s">
        <v>109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26</v>
      </c>
      <c r="R4630">
        <v>1</v>
      </c>
    </row>
    <row r="4631" spans="1:18">
      <c r="A4631" s="4">
        <v>754623000000</v>
      </c>
      <c r="B4631" t="s">
        <v>28</v>
      </c>
      <c r="C4631">
        <v>35</v>
      </c>
      <c r="D4631" t="s">
        <v>37</v>
      </c>
      <c r="E4631" t="s">
        <v>84</v>
      </c>
      <c r="F4631" s="1">
        <v>42507</v>
      </c>
      <c r="G4631" s="1">
        <v>42508</v>
      </c>
      <c r="H4631" t="s">
        <v>25</v>
      </c>
      <c r="I4631">
        <v>1</v>
      </c>
      <c r="J4631" t="s">
        <v>109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23</v>
      </c>
      <c r="R4631">
        <v>0</v>
      </c>
    </row>
    <row r="4632" spans="1:18">
      <c r="A4632" s="4">
        <v>7464190000000</v>
      </c>
      <c r="B4632" t="s">
        <v>18</v>
      </c>
      <c r="C4632">
        <v>69</v>
      </c>
      <c r="D4632" t="s">
        <v>19</v>
      </c>
      <c r="E4632" t="s">
        <v>20</v>
      </c>
      <c r="F4632" s="1">
        <v>42507</v>
      </c>
      <c r="G4632" s="1">
        <v>42510</v>
      </c>
      <c r="H4632" t="s">
        <v>21</v>
      </c>
      <c r="I4632">
        <v>3</v>
      </c>
      <c r="J4632" t="s">
        <v>109</v>
      </c>
      <c r="K4632">
        <v>0</v>
      </c>
      <c r="L4632">
        <v>1</v>
      </c>
      <c r="M4632">
        <v>0</v>
      </c>
      <c r="N4632">
        <v>0</v>
      </c>
      <c r="O4632">
        <v>1</v>
      </c>
      <c r="P4632">
        <v>0</v>
      </c>
      <c r="Q4632" t="s">
        <v>23</v>
      </c>
      <c r="R4632">
        <v>0</v>
      </c>
    </row>
    <row r="4633" spans="1:18">
      <c r="A4633" s="4">
        <v>56882200000000</v>
      </c>
      <c r="B4633" t="s">
        <v>28</v>
      </c>
      <c r="C4633">
        <v>49</v>
      </c>
      <c r="D4633" t="s">
        <v>27</v>
      </c>
      <c r="E4633" t="s">
        <v>69</v>
      </c>
      <c r="F4633" s="1">
        <v>42507</v>
      </c>
      <c r="G4633" s="1">
        <v>42510</v>
      </c>
      <c r="H4633" t="s">
        <v>21</v>
      </c>
      <c r="I4633">
        <v>3</v>
      </c>
      <c r="J4633" t="s">
        <v>109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23</v>
      </c>
      <c r="R4633">
        <v>0</v>
      </c>
    </row>
    <row r="4634" spans="1:18">
      <c r="A4634" s="4">
        <v>895275000000000</v>
      </c>
      <c r="B4634" t="s">
        <v>18</v>
      </c>
      <c r="C4634">
        <v>13</v>
      </c>
      <c r="D4634" t="s">
        <v>60</v>
      </c>
      <c r="E4634" t="s">
        <v>91</v>
      </c>
      <c r="F4634" s="1">
        <v>42507</v>
      </c>
      <c r="G4634" s="1">
        <v>42528</v>
      </c>
      <c r="H4634" t="s">
        <v>41</v>
      </c>
      <c r="I4634">
        <v>21</v>
      </c>
      <c r="J4634" t="s">
        <v>77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23</v>
      </c>
      <c r="R4634">
        <v>0</v>
      </c>
    </row>
    <row r="4635" spans="1:18">
      <c r="A4635" s="4">
        <v>211513000000000</v>
      </c>
      <c r="B4635" t="s">
        <v>18</v>
      </c>
      <c r="C4635">
        <v>0</v>
      </c>
      <c r="D4635" t="s">
        <v>31</v>
      </c>
      <c r="E4635" t="s">
        <v>39</v>
      </c>
      <c r="F4635" s="1">
        <v>42507</v>
      </c>
      <c r="G4635" s="1">
        <v>42507</v>
      </c>
      <c r="H4635" t="s">
        <v>41</v>
      </c>
      <c r="I4635">
        <v>0</v>
      </c>
      <c r="J4635" t="s">
        <v>111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23</v>
      </c>
      <c r="R4635">
        <v>0</v>
      </c>
    </row>
    <row r="4636" spans="1:18">
      <c r="A4636" s="4">
        <v>51884400000000</v>
      </c>
      <c r="B4636" t="s">
        <v>18</v>
      </c>
      <c r="C4636">
        <v>35</v>
      </c>
      <c r="D4636" t="s">
        <v>37</v>
      </c>
      <c r="E4636" t="s">
        <v>69</v>
      </c>
      <c r="F4636" s="1">
        <v>42507</v>
      </c>
      <c r="G4636" s="1">
        <v>42528</v>
      </c>
      <c r="H4636" t="s">
        <v>41</v>
      </c>
      <c r="I4636">
        <v>21</v>
      </c>
      <c r="J4636" t="s">
        <v>77</v>
      </c>
      <c r="K4636">
        <v>1</v>
      </c>
      <c r="L4636">
        <v>0</v>
      </c>
      <c r="M4636">
        <v>0</v>
      </c>
      <c r="N4636">
        <v>0</v>
      </c>
      <c r="O4636">
        <v>0</v>
      </c>
      <c r="P4636">
        <v>1</v>
      </c>
      <c r="Q4636" t="s">
        <v>26</v>
      </c>
      <c r="R4636">
        <v>1</v>
      </c>
    </row>
    <row r="4637" spans="1:18">
      <c r="A4637" s="4">
        <v>26428000000000</v>
      </c>
      <c r="B4637" t="s">
        <v>18</v>
      </c>
      <c r="C4637">
        <v>59</v>
      </c>
      <c r="D4637" t="s">
        <v>35</v>
      </c>
      <c r="E4637" t="s">
        <v>53</v>
      </c>
      <c r="F4637" s="1">
        <v>42507</v>
      </c>
      <c r="G4637" s="1">
        <v>42507</v>
      </c>
      <c r="H4637" t="s">
        <v>41</v>
      </c>
      <c r="I4637">
        <v>0</v>
      </c>
      <c r="J4637" t="s">
        <v>111</v>
      </c>
      <c r="K4637">
        <v>0</v>
      </c>
      <c r="L4637">
        <v>1</v>
      </c>
      <c r="M4637">
        <v>0</v>
      </c>
      <c r="N4637">
        <v>0</v>
      </c>
      <c r="O4637">
        <v>0</v>
      </c>
      <c r="P4637">
        <v>0</v>
      </c>
      <c r="Q4637" t="s">
        <v>23</v>
      </c>
      <c r="R4637">
        <v>0</v>
      </c>
    </row>
    <row r="4638" spans="1:18">
      <c r="A4638" s="4">
        <v>81871300000000</v>
      </c>
      <c r="B4638" t="s">
        <v>18</v>
      </c>
      <c r="C4638">
        <v>34</v>
      </c>
      <c r="D4638" t="s">
        <v>37</v>
      </c>
      <c r="E4638" t="s">
        <v>66</v>
      </c>
      <c r="F4638" s="1">
        <v>42507</v>
      </c>
      <c r="G4638" s="1">
        <v>42521</v>
      </c>
      <c r="H4638" t="s">
        <v>41</v>
      </c>
      <c r="I4638">
        <v>14</v>
      </c>
      <c r="J4638" t="s">
        <v>92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23</v>
      </c>
      <c r="R4638">
        <v>0</v>
      </c>
    </row>
    <row r="4639" spans="1:18">
      <c r="A4639" s="4">
        <v>14844900000000</v>
      </c>
      <c r="B4639" t="s">
        <v>18</v>
      </c>
      <c r="C4639">
        <v>78</v>
      </c>
      <c r="D4639" t="s">
        <v>19</v>
      </c>
      <c r="E4639" t="s">
        <v>82</v>
      </c>
      <c r="F4639" s="1">
        <v>42507</v>
      </c>
      <c r="G4639" s="1">
        <v>42507</v>
      </c>
      <c r="H4639" t="s">
        <v>41</v>
      </c>
      <c r="I4639">
        <v>0</v>
      </c>
      <c r="J4639" t="s">
        <v>111</v>
      </c>
      <c r="K4639">
        <v>0</v>
      </c>
      <c r="L4639">
        <v>1</v>
      </c>
      <c r="M4639">
        <v>0</v>
      </c>
      <c r="N4639">
        <v>0</v>
      </c>
      <c r="O4639">
        <v>0</v>
      </c>
      <c r="P4639">
        <v>0</v>
      </c>
      <c r="Q4639" t="s">
        <v>23</v>
      </c>
      <c r="R4639">
        <v>0</v>
      </c>
    </row>
    <row r="4640" spans="1:18">
      <c r="A4640" s="4">
        <v>256396000000000</v>
      </c>
      <c r="B4640" t="s">
        <v>18</v>
      </c>
      <c r="C4640">
        <v>33</v>
      </c>
      <c r="D4640" t="s">
        <v>37</v>
      </c>
      <c r="E4640" t="s">
        <v>29</v>
      </c>
      <c r="F4640" s="1">
        <v>42507</v>
      </c>
      <c r="G4640" s="1">
        <v>42507</v>
      </c>
      <c r="H4640" t="s">
        <v>41</v>
      </c>
      <c r="I4640">
        <v>0</v>
      </c>
      <c r="J4640" t="s">
        <v>111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 t="s">
        <v>23</v>
      </c>
      <c r="R4640">
        <v>0</v>
      </c>
    </row>
    <row r="4641" spans="1:18">
      <c r="A4641" s="4">
        <v>4845320000000</v>
      </c>
      <c r="B4641" t="s">
        <v>18</v>
      </c>
      <c r="C4641">
        <v>21</v>
      </c>
      <c r="D4641" t="s">
        <v>37</v>
      </c>
      <c r="E4641" t="s">
        <v>39</v>
      </c>
      <c r="F4641" s="1">
        <v>42507</v>
      </c>
      <c r="G4641" s="1">
        <v>42507</v>
      </c>
      <c r="H4641" t="s">
        <v>41</v>
      </c>
      <c r="I4641">
        <v>0</v>
      </c>
      <c r="J4641" t="s">
        <v>111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26</v>
      </c>
      <c r="R4641">
        <v>1</v>
      </c>
    </row>
    <row r="4642" spans="1:18">
      <c r="A4642" s="4">
        <v>586920000000000</v>
      </c>
      <c r="B4642" t="s">
        <v>18</v>
      </c>
      <c r="C4642">
        <v>3</v>
      </c>
      <c r="D4642" t="s">
        <v>31</v>
      </c>
      <c r="E4642" t="s">
        <v>44</v>
      </c>
      <c r="F4642" s="1">
        <v>42507</v>
      </c>
      <c r="G4642" s="1">
        <v>42507</v>
      </c>
      <c r="H4642" t="s">
        <v>41</v>
      </c>
      <c r="I4642">
        <v>0</v>
      </c>
      <c r="J4642" t="s">
        <v>111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23</v>
      </c>
      <c r="R4642">
        <v>0</v>
      </c>
    </row>
    <row r="4643" spans="1:18">
      <c r="A4643" s="4">
        <v>979973000000</v>
      </c>
      <c r="B4643" t="s">
        <v>28</v>
      </c>
      <c r="C4643">
        <v>3</v>
      </c>
      <c r="D4643" t="s">
        <v>31</v>
      </c>
      <c r="E4643" t="s">
        <v>88</v>
      </c>
      <c r="F4643" s="1">
        <v>42507</v>
      </c>
      <c r="G4643" s="1">
        <v>42507</v>
      </c>
      <c r="H4643" t="s">
        <v>41</v>
      </c>
      <c r="I4643">
        <v>0</v>
      </c>
      <c r="J4643" t="s">
        <v>111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23</v>
      </c>
      <c r="R4643">
        <v>0</v>
      </c>
    </row>
    <row r="4644" spans="1:18">
      <c r="A4644" s="4">
        <v>8397940000000</v>
      </c>
      <c r="B4644" t="s">
        <v>28</v>
      </c>
      <c r="C4644">
        <v>44</v>
      </c>
      <c r="D4644" t="s">
        <v>27</v>
      </c>
      <c r="E4644" t="s">
        <v>68</v>
      </c>
      <c r="F4644" s="1">
        <v>42507</v>
      </c>
      <c r="G4644" s="1">
        <v>42507</v>
      </c>
      <c r="H4644" t="s">
        <v>41</v>
      </c>
      <c r="I4644">
        <v>0</v>
      </c>
      <c r="J4644" t="s">
        <v>111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 t="s">
        <v>23</v>
      </c>
      <c r="R4644">
        <v>0</v>
      </c>
    </row>
    <row r="4645" spans="1:18">
      <c r="A4645" s="4">
        <v>49973900000000</v>
      </c>
      <c r="B4645" t="s">
        <v>18</v>
      </c>
      <c r="C4645">
        <v>9</v>
      </c>
      <c r="D4645" t="s">
        <v>31</v>
      </c>
      <c r="E4645" t="s">
        <v>68</v>
      </c>
      <c r="F4645" s="1">
        <v>42507</v>
      </c>
      <c r="G4645" s="1">
        <v>42507</v>
      </c>
      <c r="H4645" t="s">
        <v>41</v>
      </c>
      <c r="I4645">
        <v>0</v>
      </c>
      <c r="J4645" t="s">
        <v>111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23</v>
      </c>
      <c r="R4645">
        <v>0</v>
      </c>
    </row>
    <row r="4646" spans="1:18">
      <c r="A4646" s="4">
        <v>58646300000000</v>
      </c>
      <c r="B4646" t="s">
        <v>18</v>
      </c>
      <c r="C4646">
        <v>17</v>
      </c>
      <c r="D4646" t="s">
        <v>60</v>
      </c>
      <c r="E4646" t="s">
        <v>47</v>
      </c>
      <c r="F4646" s="1">
        <v>42507</v>
      </c>
      <c r="G4646" s="1">
        <v>42507</v>
      </c>
      <c r="H4646" t="s">
        <v>41</v>
      </c>
      <c r="I4646">
        <v>0</v>
      </c>
      <c r="J4646" t="s">
        <v>111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26</v>
      </c>
      <c r="R4646">
        <v>1</v>
      </c>
    </row>
    <row r="4647" spans="1:18">
      <c r="A4647" s="4">
        <v>32112000000000</v>
      </c>
      <c r="B4647" t="s">
        <v>18</v>
      </c>
      <c r="C4647">
        <v>10</v>
      </c>
      <c r="D4647" t="s">
        <v>31</v>
      </c>
      <c r="E4647" t="s">
        <v>38</v>
      </c>
      <c r="F4647" s="1">
        <v>42507</v>
      </c>
      <c r="G4647" s="1">
        <v>42507</v>
      </c>
      <c r="H4647" t="s">
        <v>41</v>
      </c>
      <c r="I4647">
        <v>0</v>
      </c>
      <c r="J4647" t="s">
        <v>111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23</v>
      </c>
      <c r="R4647">
        <v>0</v>
      </c>
    </row>
    <row r="4648" spans="1:18">
      <c r="A4648" s="4">
        <v>282554000000</v>
      </c>
      <c r="B4648" t="s">
        <v>18</v>
      </c>
      <c r="C4648">
        <v>28</v>
      </c>
      <c r="D4648" t="s">
        <v>37</v>
      </c>
      <c r="E4648" t="s">
        <v>73</v>
      </c>
      <c r="F4648" s="1">
        <v>42507</v>
      </c>
      <c r="G4648" s="1">
        <v>42524</v>
      </c>
      <c r="H4648" t="s">
        <v>21</v>
      </c>
      <c r="I4648">
        <v>17</v>
      </c>
      <c r="J4648" t="s">
        <v>77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1</v>
      </c>
      <c r="Q4648" t="s">
        <v>26</v>
      </c>
      <c r="R4648">
        <v>1</v>
      </c>
    </row>
    <row r="4649" spans="1:18">
      <c r="A4649" s="4">
        <v>8259920000000</v>
      </c>
      <c r="B4649" t="s">
        <v>18</v>
      </c>
      <c r="C4649">
        <v>31</v>
      </c>
      <c r="D4649" t="s">
        <v>37</v>
      </c>
      <c r="E4649" t="s">
        <v>50</v>
      </c>
      <c r="F4649" s="1">
        <v>42507</v>
      </c>
      <c r="G4649" s="1">
        <v>42507</v>
      </c>
      <c r="H4649" t="s">
        <v>41</v>
      </c>
      <c r="I4649">
        <v>0</v>
      </c>
      <c r="J4649" t="s">
        <v>111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23</v>
      </c>
      <c r="R4649">
        <v>0</v>
      </c>
    </row>
    <row r="4650" spans="1:18">
      <c r="A4650" s="4">
        <v>93964700000000</v>
      </c>
      <c r="B4650" t="s">
        <v>18</v>
      </c>
      <c r="C4650">
        <v>54</v>
      </c>
      <c r="D4650" t="s">
        <v>35</v>
      </c>
      <c r="E4650" t="s">
        <v>61</v>
      </c>
      <c r="F4650" s="1">
        <v>42507</v>
      </c>
      <c r="G4650" s="1">
        <v>42520</v>
      </c>
      <c r="H4650" t="s">
        <v>30</v>
      </c>
      <c r="I4650">
        <v>13</v>
      </c>
      <c r="J4650" t="s">
        <v>92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1</v>
      </c>
      <c r="Q4650" t="s">
        <v>26</v>
      </c>
      <c r="R4650">
        <v>1</v>
      </c>
    </row>
    <row r="4651" spans="1:18">
      <c r="A4651" s="4">
        <v>4992620000000</v>
      </c>
      <c r="B4651" t="s">
        <v>18</v>
      </c>
      <c r="C4651">
        <v>47</v>
      </c>
      <c r="D4651" t="s">
        <v>27</v>
      </c>
      <c r="E4651" t="s">
        <v>44</v>
      </c>
      <c r="F4651" s="1">
        <v>42507</v>
      </c>
      <c r="G4651" s="1">
        <v>42521</v>
      </c>
      <c r="H4651" t="s">
        <v>41</v>
      </c>
      <c r="I4651">
        <v>14</v>
      </c>
      <c r="J4651" t="s">
        <v>92</v>
      </c>
      <c r="K4651">
        <v>0</v>
      </c>
      <c r="L4651">
        <v>0</v>
      </c>
      <c r="M4651">
        <v>0</v>
      </c>
      <c r="N4651">
        <v>0</v>
      </c>
      <c r="O4651">
        <v>1</v>
      </c>
      <c r="P4651">
        <v>1</v>
      </c>
      <c r="Q4651" t="s">
        <v>23</v>
      </c>
      <c r="R4651">
        <v>0</v>
      </c>
    </row>
    <row r="4652" spans="1:18">
      <c r="A4652" s="4">
        <v>987928000000000</v>
      </c>
      <c r="B4652" t="s">
        <v>18</v>
      </c>
      <c r="C4652">
        <v>63</v>
      </c>
      <c r="D4652" t="s">
        <v>35</v>
      </c>
      <c r="E4652" t="s">
        <v>72</v>
      </c>
      <c r="F4652" s="1">
        <v>42507</v>
      </c>
      <c r="G4652" s="1">
        <v>42507</v>
      </c>
      <c r="H4652" t="s">
        <v>41</v>
      </c>
      <c r="I4652">
        <v>0</v>
      </c>
      <c r="J4652" t="s">
        <v>111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 t="s">
        <v>23</v>
      </c>
      <c r="R4652">
        <v>0</v>
      </c>
    </row>
    <row r="4653" spans="1:18">
      <c r="A4653" s="4">
        <v>68726200000000</v>
      </c>
      <c r="B4653" t="s">
        <v>28</v>
      </c>
      <c r="C4653">
        <v>66</v>
      </c>
      <c r="D4653" t="s">
        <v>19</v>
      </c>
      <c r="E4653" t="s">
        <v>66</v>
      </c>
      <c r="F4653" s="1">
        <v>42507</v>
      </c>
      <c r="G4653" s="1">
        <v>42507</v>
      </c>
      <c r="H4653" t="s">
        <v>41</v>
      </c>
      <c r="I4653">
        <v>0</v>
      </c>
      <c r="J4653" t="s">
        <v>111</v>
      </c>
      <c r="K4653">
        <v>0</v>
      </c>
      <c r="L4653">
        <v>1</v>
      </c>
      <c r="M4653">
        <v>0</v>
      </c>
      <c r="N4653">
        <v>0</v>
      </c>
      <c r="O4653">
        <v>0</v>
      </c>
      <c r="P4653">
        <v>0</v>
      </c>
      <c r="Q4653" t="s">
        <v>23</v>
      </c>
      <c r="R4653">
        <v>0</v>
      </c>
    </row>
    <row r="4654" spans="1:18">
      <c r="A4654" s="4">
        <v>635667000000</v>
      </c>
      <c r="B4654" t="s">
        <v>18</v>
      </c>
      <c r="C4654">
        <v>53</v>
      </c>
      <c r="D4654" t="s">
        <v>35</v>
      </c>
      <c r="E4654" t="s">
        <v>65</v>
      </c>
      <c r="F4654" s="1">
        <v>42507</v>
      </c>
      <c r="G4654" s="1">
        <v>42508</v>
      </c>
      <c r="H4654" t="s">
        <v>25</v>
      </c>
      <c r="I4654">
        <v>1</v>
      </c>
      <c r="J4654" t="s">
        <v>109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23</v>
      </c>
      <c r="R4654">
        <v>0</v>
      </c>
    </row>
    <row r="4655" spans="1:18">
      <c r="A4655" s="4">
        <v>99836300000000</v>
      </c>
      <c r="B4655" t="s">
        <v>18</v>
      </c>
      <c r="C4655">
        <v>27</v>
      </c>
      <c r="D4655" t="s">
        <v>37</v>
      </c>
      <c r="E4655" t="s">
        <v>57</v>
      </c>
      <c r="F4655" s="1">
        <v>42507</v>
      </c>
      <c r="G4655" s="1">
        <v>42507</v>
      </c>
      <c r="H4655" t="s">
        <v>41</v>
      </c>
      <c r="I4655">
        <v>0</v>
      </c>
      <c r="J4655" t="s">
        <v>111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23</v>
      </c>
      <c r="R4655">
        <v>0</v>
      </c>
    </row>
    <row r="4656" spans="1:18">
      <c r="A4656" s="4">
        <v>48577200000000</v>
      </c>
      <c r="B4656" t="s">
        <v>18</v>
      </c>
      <c r="C4656">
        <v>72</v>
      </c>
      <c r="D4656" t="s">
        <v>19</v>
      </c>
      <c r="E4656" t="s">
        <v>94</v>
      </c>
      <c r="F4656" s="1">
        <v>42507</v>
      </c>
      <c r="G4656" s="1">
        <v>42507</v>
      </c>
      <c r="H4656" t="s">
        <v>41</v>
      </c>
      <c r="I4656">
        <v>0</v>
      </c>
      <c r="J4656" t="s">
        <v>111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23</v>
      </c>
      <c r="R4656">
        <v>0</v>
      </c>
    </row>
    <row r="4657" spans="1:18">
      <c r="A4657" s="4">
        <v>79557300000000</v>
      </c>
      <c r="B4657" t="s">
        <v>28</v>
      </c>
      <c r="C4657">
        <v>59</v>
      </c>
      <c r="D4657" t="s">
        <v>35</v>
      </c>
      <c r="E4657" t="s">
        <v>44</v>
      </c>
      <c r="F4657" s="1">
        <v>42507</v>
      </c>
      <c r="G4657" s="1">
        <v>42507</v>
      </c>
      <c r="H4657" t="s">
        <v>41</v>
      </c>
      <c r="I4657">
        <v>0</v>
      </c>
      <c r="J4657" t="s">
        <v>111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23</v>
      </c>
      <c r="R4657">
        <v>0</v>
      </c>
    </row>
    <row r="4658" spans="1:18">
      <c r="A4658" s="4">
        <v>643943000000000</v>
      </c>
      <c r="B4658" t="s">
        <v>18</v>
      </c>
      <c r="C4658">
        <v>38</v>
      </c>
      <c r="D4658" t="s">
        <v>27</v>
      </c>
      <c r="E4658" t="s">
        <v>32</v>
      </c>
      <c r="F4658" s="1">
        <v>42507</v>
      </c>
      <c r="G4658" s="1">
        <v>42508</v>
      </c>
      <c r="H4658" t="s">
        <v>25</v>
      </c>
      <c r="I4658">
        <v>1</v>
      </c>
      <c r="J4658" t="s">
        <v>109</v>
      </c>
      <c r="K4658">
        <v>1</v>
      </c>
      <c r="L4658">
        <v>0</v>
      </c>
      <c r="M4658">
        <v>0</v>
      </c>
      <c r="N4658">
        <v>0</v>
      </c>
      <c r="O4658">
        <v>0</v>
      </c>
      <c r="P4658">
        <v>0</v>
      </c>
      <c r="Q4658" t="s">
        <v>23</v>
      </c>
      <c r="R4658">
        <v>0</v>
      </c>
    </row>
    <row r="4659" spans="1:18">
      <c r="A4659" s="4">
        <v>88421400000000</v>
      </c>
      <c r="B4659" t="s">
        <v>18</v>
      </c>
      <c r="C4659">
        <v>31</v>
      </c>
      <c r="D4659" t="s">
        <v>37</v>
      </c>
      <c r="E4659" t="s">
        <v>57</v>
      </c>
      <c r="F4659" s="1">
        <v>42507</v>
      </c>
      <c r="G4659" s="1">
        <v>42524</v>
      </c>
      <c r="H4659" t="s">
        <v>21</v>
      </c>
      <c r="I4659">
        <v>17</v>
      </c>
      <c r="J4659" t="s">
        <v>77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23</v>
      </c>
      <c r="R4659">
        <v>0</v>
      </c>
    </row>
    <row r="4660" spans="1:18">
      <c r="A4660" s="4">
        <v>36181100000000</v>
      </c>
      <c r="B4660" t="s">
        <v>18</v>
      </c>
      <c r="C4660">
        <v>9</v>
      </c>
      <c r="D4660" t="s">
        <v>31</v>
      </c>
      <c r="E4660" t="s">
        <v>50</v>
      </c>
      <c r="F4660" s="1">
        <v>42507</v>
      </c>
      <c r="G4660" s="1">
        <v>42507</v>
      </c>
      <c r="H4660" t="s">
        <v>41</v>
      </c>
      <c r="I4660">
        <v>0</v>
      </c>
      <c r="J4660" t="s">
        <v>111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23</v>
      </c>
      <c r="R4660">
        <v>0</v>
      </c>
    </row>
    <row r="4661" spans="1:18">
      <c r="A4661" s="4">
        <v>353668000000</v>
      </c>
      <c r="B4661" t="s">
        <v>18</v>
      </c>
      <c r="C4661">
        <v>59</v>
      </c>
      <c r="D4661" t="s">
        <v>35</v>
      </c>
      <c r="E4661" t="s">
        <v>43</v>
      </c>
      <c r="F4661" s="1">
        <v>42507</v>
      </c>
      <c r="G4661" s="1">
        <v>42509</v>
      </c>
      <c r="H4661" t="s">
        <v>33</v>
      </c>
      <c r="I4661">
        <v>2</v>
      </c>
      <c r="J4661" t="s">
        <v>109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26</v>
      </c>
      <c r="R4661">
        <v>1</v>
      </c>
    </row>
    <row r="4662" spans="1:18">
      <c r="A4662" s="4">
        <v>753249000000000</v>
      </c>
      <c r="B4662" t="s">
        <v>18</v>
      </c>
      <c r="C4662">
        <v>64</v>
      </c>
      <c r="D4662" t="s">
        <v>35</v>
      </c>
      <c r="E4662" t="s">
        <v>61</v>
      </c>
      <c r="F4662" s="1">
        <v>42507</v>
      </c>
      <c r="G4662" s="1">
        <v>42509</v>
      </c>
      <c r="H4662" t="s">
        <v>33</v>
      </c>
      <c r="I4662">
        <v>2</v>
      </c>
      <c r="J4662" t="s">
        <v>109</v>
      </c>
      <c r="K4662">
        <v>0</v>
      </c>
      <c r="L4662">
        <v>1</v>
      </c>
      <c r="M4662">
        <v>0</v>
      </c>
      <c r="N4662">
        <v>0</v>
      </c>
      <c r="O4662">
        <v>0</v>
      </c>
      <c r="P4662">
        <v>0</v>
      </c>
      <c r="Q4662" t="s">
        <v>26</v>
      </c>
      <c r="R4662">
        <v>1</v>
      </c>
    </row>
    <row r="4663" spans="1:18">
      <c r="A4663" s="4">
        <v>26767500000000</v>
      </c>
      <c r="B4663" t="s">
        <v>18</v>
      </c>
      <c r="C4663">
        <v>62</v>
      </c>
      <c r="D4663" t="s">
        <v>35</v>
      </c>
      <c r="E4663" t="s">
        <v>39</v>
      </c>
      <c r="F4663" s="1">
        <v>42507</v>
      </c>
      <c r="G4663" s="1">
        <v>42509</v>
      </c>
      <c r="H4663" t="s">
        <v>33</v>
      </c>
      <c r="I4663">
        <v>2</v>
      </c>
      <c r="J4663" t="s">
        <v>109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26</v>
      </c>
      <c r="R4663">
        <v>1</v>
      </c>
    </row>
    <row r="4664" spans="1:18">
      <c r="A4664" s="4">
        <v>1324180000000</v>
      </c>
      <c r="B4664" t="s">
        <v>18</v>
      </c>
      <c r="C4664">
        <v>51</v>
      </c>
      <c r="D4664" t="s">
        <v>35</v>
      </c>
      <c r="E4664" t="s">
        <v>29</v>
      </c>
      <c r="F4664" s="1">
        <v>42507</v>
      </c>
      <c r="G4664" s="1">
        <v>42520</v>
      </c>
      <c r="H4664" t="s">
        <v>30</v>
      </c>
      <c r="I4664">
        <v>13</v>
      </c>
      <c r="J4664" t="s">
        <v>92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1</v>
      </c>
      <c r="Q4664" t="s">
        <v>23</v>
      </c>
      <c r="R4664">
        <v>0</v>
      </c>
    </row>
    <row r="4665" spans="1:18">
      <c r="A4665" s="4">
        <v>88826600000000</v>
      </c>
      <c r="B4665" t="s">
        <v>18</v>
      </c>
      <c r="C4665">
        <v>34</v>
      </c>
      <c r="D4665" t="s">
        <v>37</v>
      </c>
      <c r="E4665" t="s">
        <v>32</v>
      </c>
      <c r="F4665" s="1">
        <v>42507</v>
      </c>
      <c r="G4665" s="1">
        <v>42507</v>
      </c>
      <c r="H4665" t="s">
        <v>41</v>
      </c>
      <c r="I4665">
        <v>0</v>
      </c>
      <c r="J4665" t="s">
        <v>111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23</v>
      </c>
      <c r="R4665">
        <v>0</v>
      </c>
    </row>
    <row r="4666" spans="1:18">
      <c r="A4666" s="4">
        <v>19645400000000</v>
      </c>
      <c r="B4666" t="s">
        <v>18</v>
      </c>
      <c r="C4666">
        <v>44</v>
      </c>
      <c r="D4666" t="s">
        <v>27</v>
      </c>
      <c r="E4666" t="s">
        <v>69</v>
      </c>
      <c r="F4666" s="1">
        <v>42507</v>
      </c>
      <c r="G4666" s="1">
        <v>42509</v>
      </c>
      <c r="H4666" t="s">
        <v>33</v>
      </c>
      <c r="I4666">
        <v>2</v>
      </c>
      <c r="J4666" t="s">
        <v>109</v>
      </c>
      <c r="K4666">
        <v>0</v>
      </c>
      <c r="L4666">
        <v>1</v>
      </c>
      <c r="M4666">
        <v>0</v>
      </c>
      <c r="N4666">
        <v>0</v>
      </c>
      <c r="O4666">
        <v>0</v>
      </c>
      <c r="P4666">
        <v>0</v>
      </c>
      <c r="Q4666" t="s">
        <v>23</v>
      </c>
      <c r="R4666">
        <v>0</v>
      </c>
    </row>
    <row r="4667" spans="1:18">
      <c r="A4667" s="4">
        <v>71636300000000</v>
      </c>
      <c r="B4667" t="s">
        <v>18</v>
      </c>
      <c r="C4667">
        <v>62</v>
      </c>
      <c r="D4667" t="s">
        <v>35</v>
      </c>
      <c r="E4667" t="s">
        <v>36</v>
      </c>
      <c r="F4667" s="1">
        <v>42507</v>
      </c>
      <c r="G4667" s="1">
        <v>42509</v>
      </c>
      <c r="H4667" t="s">
        <v>33</v>
      </c>
      <c r="I4667">
        <v>2</v>
      </c>
      <c r="J4667" t="s">
        <v>109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 t="s">
        <v>26</v>
      </c>
      <c r="R4667">
        <v>1</v>
      </c>
    </row>
    <row r="4668" spans="1:18">
      <c r="A4668" s="4">
        <v>28985500000000</v>
      </c>
      <c r="B4668" t="s">
        <v>18</v>
      </c>
      <c r="C4668">
        <v>58</v>
      </c>
      <c r="D4668" t="s">
        <v>35</v>
      </c>
      <c r="E4668" t="s">
        <v>45</v>
      </c>
      <c r="F4668" s="1">
        <v>42507</v>
      </c>
      <c r="G4668" s="1">
        <v>42509</v>
      </c>
      <c r="H4668" t="s">
        <v>33</v>
      </c>
      <c r="I4668">
        <v>2</v>
      </c>
      <c r="J4668" t="s">
        <v>109</v>
      </c>
      <c r="K4668">
        <v>1</v>
      </c>
      <c r="L4668">
        <v>1</v>
      </c>
      <c r="M4668">
        <v>0</v>
      </c>
      <c r="N4668">
        <v>0</v>
      </c>
      <c r="O4668">
        <v>0</v>
      </c>
      <c r="P4668">
        <v>0</v>
      </c>
      <c r="Q4668" t="s">
        <v>23</v>
      </c>
      <c r="R4668">
        <v>0</v>
      </c>
    </row>
    <row r="4669" spans="1:18">
      <c r="A4669" s="4">
        <v>443168000000000</v>
      </c>
      <c r="B4669" t="s">
        <v>28</v>
      </c>
      <c r="C4669">
        <v>75</v>
      </c>
      <c r="D4669" t="s">
        <v>19</v>
      </c>
      <c r="E4669" t="s">
        <v>75</v>
      </c>
      <c r="F4669" s="1">
        <v>42507</v>
      </c>
      <c r="G4669" s="1">
        <v>42509</v>
      </c>
      <c r="H4669" t="s">
        <v>33</v>
      </c>
      <c r="I4669">
        <v>2</v>
      </c>
      <c r="J4669" t="s">
        <v>109</v>
      </c>
      <c r="K4669">
        <v>0</v>
      </c>
      <c r="L4669">
        <v>1</v>
      </c>
      <c r="M4669">
        <v>1</v>
      </c>
      <c r="N4669">
        <v>1</v>
      </c>
      <c r="O4669">
        <v>0</v>
      </c>
      <c r="P4669">
        <v>0</v>
      </c>
      <c r="Q4669" t="s">
        <v>23</v>
      </c>
      <c r="R4669">
        <v>0</v>
      </c>
    </row>
    <row r="4670" spans="1:18">
      <c r="A4670" s="4">
        <v>517568000000</v>
      </c>
      <c r="B4670" t="s">
        <v>18</v>
      </c>
      <c r="C4670">
        <v>17</v>
      </c>
      <c r="D4670" t="s">
        <v>60</v>
      </c>
      <c r="E4670" t="s">
        <v>47</v>
      </c>
      <c r="F4670" s="1">
        <v>42507</v>
      </c>
      <c r="G4670" s="1">
        <v>42509</v>
      </c>
      <c r="H4670" t="s">
        <v>33</v>
      </c>
      <c r="I4670">
        <v>2</v>
      </c>
      <c r="J4670" t="s">
        <v>109</v>
      </c>
      <c r="K4670">
        <v>0</v>
      </c>
      <c r="L4670">
        <v>0</v>
      </c>
      <c r="M4670">
        <v>0</v>
      </c>
      <c r="N4670">
        <v>0</v>
      </c>
      <c r="O4670">
        <v>1</v>
      </c>
      <c r="P4670">
        <v>0</v>
      </c>
      <c r="Q4670" t="s">
        <v>23</v>
      </c>
      <c r="R4670">
        <v>0</v>
      </c>
    </row>
    <row r="4671" spans="1:18">
      <c r="A4671" s="4">
        <v>1199850000000</v>
      </c>
      <c r="B4671" t="s">
        <v>18</v>
      </c>
      <c r="C4671">
        <v>4</v>
      </c>
      <c r="D4671" t="s">
        <v>31</v>
      </c>
      <c r="E4671" t="s">
        <v>84</v>
      </c>
      <c r="F4671" s="1">
        <v>42507</v>
      </c>
      <c r="G4671" s="1">
        <v>42509</v>
      </c>
      <c r="H4671" t="s">
        <v>33</v>
      </c>
      <c r="I4671">
        <v>2</v>
      </c>
      <c r="J4671" t="s">
        <v>109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23</v>
      </c>
      <c r="R4671">
        <v>0</v>
      </c>
    </row>
    <row r="4672" spans="1:18">
      <c r="A4672" s="4">
        <v>27783100000000</v>
      </c>
      <c r="B4672" t="s">
        <v>28</v>
      </c>
      <c r="C4672">
        <v>35</v>
      </c>
      <c r="D4672" t="s">
        <v>37</v>
      </c>
      <c r="E4672" t="s">
        <v>50</v>
      </c>
      <c r="F4672" s="1">
        <v>42507</v>
      </c>
      <c r="G4672" s="1">
        <v>42507</v>
      </c>
      <c r="H4672" t="s">
        <v>41</v>
      </c>
      <c r="I4672">
        <v>0</v>
      </c>
      <c r="J4672" t="s">
        <v>111</v>
      </c>
      <c r="K4672">
        <v>0</v>
      </c>
      <c r="L4672">
        <v>0</v>
      </c>
      <c r="M4672">
        <v>1</v>
      </c>
      <c r="N4672">
        <v>0</v>
      </c>
      <c r="O4672">
        <v>0</v>
      </c>
      <c r="P4672">
        <v>0</v>
      </c>
      <c r="Q4672" t="s">
        <v>23</v>
      </c>
      <c r="R4672">
        <v>0</v>
      </c>
    </row>
    <row r="4673" spans="1:18">
      <c r="A4673" s="4">
        <v>7325650000000</v>
      </c>
      <c r="B4673" t="s">
        <v>18</v>
      </c>
      <c r="C4673">
        <v>38</v>
      </c>
      <c r="D4673" t="s">
        <v>27</v>
      </c>
      <c r="E4673" t="s">
        <v>39</v>
      </c>
      <c r="F4673" s="1">
        <v>42507</v>
      </c>
      <c r="G4673" s="1">
        <v>42509</v>
      </c>
      <c r="H4673" t="s">
        <v>33</v>
      </c>
      <c r="I4673">
        <v>2</v>
      </c>
      <c r="J4673" t="s">
        <v>109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23</v>
      </c>
      <c r="R4673">
        <v>0</v>
      </c>
    </row>
    <row r="4674" spans="1:18">
      <c r="A4674" s="4">
        <v>37662100000000</v>
      </c>
      <c r="B4674" t="s">
        <v>28</v>
      </c>
      <c r="C4674">
        <v>22</v>
      </c>
      <c r="D4674" t="s">
        <v>37</v>
      </c>
      <c r="E4674" t="s">
        <v>55</v>
      </c>
      <c r="F4674" s="1">
        <v>42507</v>
      </c>
      <c r="G4674" s="1">
        <v>42507</v>
      </c>
      <c r="H4674" t="s">
        <v>41</v>
      </c>
      <c r="I4674">
        <v>0</v>
      </c>
      <c r="J4674" t="s">
        <v>111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 t="s">
        <v>23</v>
      </c>
      <c r="R4674">
        <v>0</v>
      </c>
    </row>
    <row r="4675" spans="1:18">
      <c r="A4675" s="4">
        <v>32442400000000</v>
      </c>
      <c r="B4675" t="s">
        <v>28</v>
      </c>
      <c r="C4675">
        <v>59</v>
      </c>
      <c r="D4675" t="s">
        <v>35</v>
      </c>
      <c r="E4675" t="s">
        <v>29</v>
      </c>
      <c r="F4675" s="1">
        <v>42507</v>
      </c>
      <c r="G4675" s="1">
        <v>42507</v>
      </c>
      <c r="H4675" t="s">
        <v>41</v>
      </c>
      <c r="I4675">
        <v>0</v>
      </c>
      <c r="J4675" t="s">
        <v>111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 t="s">
        <v>23</v>
      </c>
      <c r="R4675">
        <v>0</v>
      </c>
    </row>
    <row r="4676" spans="1:18">
      <c r="A4676" s="4">
        <v>19913900000000</v>
      </c>
      <c r="B4676" t="s">
        <v>18</v>
      </c>
      <c r="C4676">
        <v>26</v>
      </c>
      <c r="D4676" t="s">
        <v>37</v>
      </c>
      <c r="E4676" t="s">
        <v>72</v>
      </c>
      <c r="F4676" s="1">
        <v>42507</v>
      </c>
      <c r="G4676" s="1">
        <v>42507</v>
      </c>
      <c r="H4676" t="s">
        <v>41</v>
      </c>
      <c r="I4676">
        <v>0</v>
      </c>
      <c r="J4676" t="s">
        <v>111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23</v>
      </c>
      <c r="R4676">
        <v>0</v>
      </c>
    </row>
    <row r="4677" spans="1:18">
      <c r="A4677" s="4">
        <v>85922100000000</v>
      </c>
      <c r="B4677" t="s">
        <v>28</v>
      </c>
      <c r="C4677">
        <v>39</v>
      </c>
      <c r="D4677" t="s">
        <v>27</v>
      </c>
      <c r="E4677" t="s">
        <v>48</v>
      </c>
      <c r="F4677" s="1">
        <v>42507</v>
      </c>
      <c r="G4677" s="1">
        <v>42510</v>
      </c>
      <c r="H4677" t="s">
        <v>21</v>
      </c>
      <c r="I4677">
        <v>3</v>
      </c>
      <c r="J4677" t="s">
        <v>109</v>
      </c>
      <c r="K4677">
        <v>1</v>
      </c>
      <c r="L4677">
        <v>0</v>
      </c>
      <c r="M4677">
        <v>0</v>
      </c>
      <c r="N4677">
        <v>0</v>
      </c>
      <c r="O4677">
        <v>0</v>
      </c>
      <c r="P4677">
        <v>0</v>
      </c>
      <c r="Q4677" t="s">
        <v>23</v>
      </c>
      <c r="R4677">
        <v>0</v>
      </c>
    </row>
    <row r="4678" spans="1:18">
      <c r="A4678" s="4">
        <v>753236000000</v>
      </c>
      <c r="B4678" t="s">
        <v>28</v>
      </c>
      <c r="C4678">
        <v>66</v>
      </c>
      <c r="D4678" t="s">
        <v>19</v>
      </c>
      <c r="E4678" t="s">
        <v>48</v>
      </c>
      <c r="F4678" s="1">
        <v>42507</v>
      </c>
      <c r="G4678" s="1">
        <v>42509</v>
      </c>
      <c r="H4678" t="s">
        <v>33</v>
      </c>
      <c r="I4678">
        <v>2</v>
      </c>
      <c r="J4678" t="s">
        <v>109</v>
      </c>
      <c r="K4678">
        <v>0</v>
      </c>
      <c r="L4678">
        <v>1</v>
      </c>
      <c r="M4678">
        <v>0</v>
      </c>
      <c r="N4678">
        <v>0</v>
      </c>
      <c r="O4678">
        <v>0</v>
      </c>
      <c r="P4678">
        <v>0</v>
      </c>
      <c r="Q4678" t="s">
        <v>26</v>
      </c>
      <c r="R4678">
        <v>1</v>
      </c>
    </row>
    <row r="4679" spans="1:18">
      <c r="A4679" s="4">
        <v>24266500000000</v>
      </c>
      <c r="B4679" t="s">
        <v>28</v>
      </c>
      <c r="C4679">
        <v>21</v>
      </c>
      <c r="D4679" t="s">
        <v>37</v>
      </c>
      <c r="E4679" t="s">
        <v>44</v>
      </c>
      <c r="F4679" s="1">
        <v>42507</v>
      </c>
      <c r="G4679" s="1">
        <v>42507</v>
      </c>
      <c r="H4679" t="s">
        <v>41</v>
      </c>
      <c r="I4679">
        <v>0</v>
      </c>
      <c r="J4679" t="s">
        <v>111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26</v>
      </c>
      <c r="R4679">
        <v>1</v>
      </c>
    </row>
    <row r="4680" spans="1:18">
      <c r="A4680" s="4">
        <v>2321530000000</v>
      </c>
      <c r="B4680" t="s">
        <v>28</v>
      </c>
      <c r="C4680">
        <v>23</v>
      </c>
      <c r="D4680" t="s">
        <v>37</v>
      </c>
      <c r="E4680" t="s">
        <v>53</v>
      </c>
      <c r="F4680" s="1">
        <v>42507</v>
      </c>
      <c r="G4680" s="1">
        <v>42509</v>
      </c>
      <c r="H4680" t="s">
        <v>33</v>
      </c>
      <c r="I4680">
        <v>2</v>
      </c>
      <c r="J4680" t="s">
        <v>109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26</v>
      </c>
      <c r="R4680">
        <v>1</v>
      </c>
    </row>
    <row r="4681" spans="1:18">
      <c r="A4681" s="4">
        <v>36573400000000</v>
      </c>
      <c r="B4681" t="s">
        <v>18</v>
      </c>
      <c r="C4681">
        <v>56</v>
      </c>
      <c r="D4681" t="s">
        <v>35</v>
      </c>
      <c r="E4681" t="s">
        <v>32</v>
      </c>
      <c r="F4681" s="1">
        <v>42507</v>
      </c>
      <c r="G4681" s="1">
        <v>42509</v>
      </c>
      <c r="H4681" t="s">
        <v>33</v>
      </c>
      <c r="I4681">
        <v>2</v>
      </c>
      <c r="J4681" t="s">
        <v>109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23</v>
      </c>
      <c r="R4681">
        <v>0</v>
      </c>
    </row>
    <row r="4682" spans="1:18">
      <c r="A4682" s="4">
        <v>197567000000</v>
      </c>
      <c r="B4682" t="s">
        <v>18</v>
      </c>
      <c r="C4682">
        <v>32</v>
      </c>
      <c r="D4682" t="s">
        <v>37</v>
      </c>
      <c r="E4682" t="s">
        <v>38</v>
      </c>
      <c r="F4682" s="1">
        <v>42507</v>
      </c>
      <c r="G4682" s="1">
        <v>42509</v>
      </c>
      <c r="H4682" t="s">
        <v>33</v>
      </c>
      <c r="I4682">
        <v>2</v>
      </c>
      <c r="J4682" t="s">
        <v>109</v>
      </c>
      <c r="K4682">
        <v>1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23</v>
      </c>
      <c r="R4682">
        <v>0</v>
      </c>
    </row>
    <row r="4683" spans="1:18">
      <c r="A4683" s="4">
        <v>135149000000000</v>
      </c>
      <c r="B4683" t="s">
        <v>28</v>
      </c>
      <c r="C4683">
        <v>45</v>
      </c>
      <c r="D4683" t="s">
        <v>27</v>
      </c>
      <c r="E4683" t="s">
        <v>69</v>
      </c>
      <c r="F4683" s="1">
        <v>42507</v>
      </c>
      <c r="G4683" s="1">
        <v>42509</v>
      </c>
      <c r="H4683" t="s">
        <v>33</v>
      </c>
      <c r="I4683">
        <v>2</v>
      </c>
      <c r="J4683" t="s">
        <v>109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23</v>
      </c>
      <c r="R4683">
        <v>0</v>
      </c>
    </row>
    <row r="4684" spans="1:18">
      <c r="A4684" s="4">
        <v>73948100000000</v>
      </c>
      <c r="B4684" t="s">
        <v>28</v>
      </c>
      <c r="C4684">
        <v>71</v>
      </c>
      <c r="D4684" t="s">
        <v>19</v>
      </c>
      <c r="E4684" t="s">
        <v>68</v>
      </c>
      <c r="F4684" s="1">
        <v>42507</v>
      </c>
      <c r="G4684" s="1">
        <v>42509</v>
      </c>
      <c r="H4684" t="s">
        <v>33</v>
      </c>
      <c r="I4684">
        <v>2</v>
      </c>
      <c r="J4684" t="s">
        <v>109</v>
      </c>
      <c r="K4684">
        <v>0</v>
      </c>
      <c r="L4684">
        <v>1</v>
      </c>
      <c r="M4684">
        <v>0</v>
      </c>
      <c r="N4684">
        <v>0</v>
      </c>
      <c r="O4684">
        <v>0</v>
      </c>
      <c r="P4684">
        <v>0</v>
      </c>
      <c r="Q4684" t="s">
        <v>23</v>
      </c>
      <c r="R4684">
        <v>0</v>
      </c>
    </row>
    <row r="4685" spans="1:18">
      <c r="A4685" s="4">
        <v>57436200000000</v>
      </c>
      <c r="B4685" t="s">
        <v>28</v>
      </c>
      <c r="C4685">
        <v>51</v>
      </c>
      <c r="D4685" t="s">
        <v>35</v>
      </c>
      <c r="E4685" t="s">
        <v>81</v>
      </c>
      <c r="F4685" s="1">
        <v>42507</v>
      </c>
      <c r="G4685" s="1">
        <v>42520</v>
      </c>
      <c r="H4685" t="s">
        <v>30</v>
      </c>
      <c r="I4685">
        <v>13</v>
      </c>
      <c r="J4685" t="s">
        <v>92</v>
      </c>
      <c r="K4685">
        <v>0</v>
      </c>
      <c r="L4685">
        <v>1</v>
      </c>
      <c r="M4685">
        <v>1</v>
      </c>
      <c r="N4685">
        <v>0</v>
      </c>
      <c r="O4685">
        <v>0</v>
      </c>
      <c r="P4685">
        <v>1</v>
      </c>
      <c r="Q4685" t="s">
        <v>23</v>
      </c>
      <c r="R4685">
        <v>0</v>
      </c>
    </row>
    <row r="4686" spans="1:18">
      <c r="A4686" s="4">
        <v>6926690000000</v>
      </c>
      <c r="B4686" t="s">
        <v>18</v>
      </c>
      <c r="C4686">
        <v>85</v>
      </c>
      <c r="D4686" t="s">
        <v>19</v>
      </c>
      <c r="E4686" t="s">
        <v>29</v>
      </c>
      <c r="F4686" s="1">
        <v>42507</v>
      </c>
      <c r="G4686" s="1">
        <v>42514</v>
      </c>
      <c r="H4686" t="s">
        <v>41</v>
      </c>
      <c r="I4686">
        <v>7</v>
      </c>
      <c r="J4686" t="s">
        <v>107</v>
      </c>
      <c r="K4686">
        <v>0</v>
      </c>
      <c r="L4686">
        <v>1</v>
      </c>
      <c r="M4686">
        <v>0</v>
      </c>
      <c r="N4686">
        <v>0</v>
      </c>
      <c r="O4686">
        <v>0</v>
      </c>
      <c r="P4686">
        <v>1</v>
      </c>
      <c r="Q4686" t="s">
        <v>23</v>
      </c>
      <c r="R4686">
        <v>0</v>
      </c>
    </row>
    <row r="4687" spans="1:18">
      <c r="A4687" s="4">
        <v>339699000000000</v>
      </c>
      <c r="B4687" t="s">
        <v>18</v>
      </c>
      <c r="C4687">
        <v>34</v>
      </c>
      <c r="D4687" t="s">
        <v>37</v>
      </c>
      <c r="E4687" t="s">
        <v>94</v>
      </c>
      <c r="F4687" s="1">
        <v>42507</v>
      </c>
      <c r="G4687" s="1">
        <v>42520</v>
      </c>
      <c r="H4687" t="s">
        <v>30</v>
      </c>
      <c r="I4687">
        <v>13</v>
      </c>
      <c r="J4687" t="s">
        <v>92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1</v>
      </c>
      <c r="Q4687" t="s">
        <v>26</v>
      </c>
      <c r="R4687">
        <v>1</v>
      </c>
    </row>
    <row r="4688" spans="1:18">
      <c r="A4688" s="4">
        <v>752458000000</v>
      </c>
      <c r="B4688" t="s">
        <v>18</v>
      </c>
      <c r="C4688">
        <v>20</v>
      </c>
      <c r="D4688" t="s">
        <v>37</v>
      </c>
      <c r="E4688" t="s">
        <v>51</v>
      </c>
      <c r="F4688" s="1">
        <v>42507</v>
      </c>
      <c r="G4688" s="1">
        <v>42509</v>
      </c>
      <c r="H4688" t="s">
        <v>33</v>
      </c>
      <c r="I4688">
        <v>2</v>
      </c>
      <c r="J4688" t="s">
        <v>109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 t="s">
        <v>23</v>
      </c>
      <c r="R4688">
        <v>0</v>
      </c>
    </row>
    <row r="4689" spans="1:18">
      <c r="A4689" s="4">
        <v>62494300000000</v>
      </c>
      <c r="B4689" t="s">
        <v>28</v>
      </c>
      <c r="C4689">
        <v>29</v>
      </c>
      <c r="D4689" t="s">
        <v>37</v>
      </c>
      <c r="E4689" t="s">
        <v>32</v>
      </c>
      <c r="F4689" s="1">
        <v>42507</v>
      </c>
      <c r="G4689" s="1">
        <v>42528</v>
      </c>
      <c r="H4689" t="s">
        <v>41</v>
      </c>
      <c r="I4689">
        <v>21</v>
      </c>
      <c r="J4689" t="s">
        <v>77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1</v>
      </c>
      <c r="Q4689" t="s">
        <v>23</v>
      </c>
      <c r="R4689">
        <v>0</v>
      </c>
    </row>
    <row r="4690" spans="1:18">
      <c r="A4690" s="4">
        <v>35957400000000</v>
      </c>
      <c r="B4690" t="s">
        <v>18</v>
      </c>
      <c r="C4690">
        <v>14</v>
      </c>
      <c r="D4690" t="s">
        <v>60</v>
      </c>
      <c r="E4690" t="s">
        <v>96</v>
      </c>
      <c r="F4690" s="1">
        <v>42507</v>
      </c>
      <c r="G4690" s="1">
        <v>42522</v>
      </c>
      <c r="H4690" t="s">
        <v>25</v>
      </c>
      <c r="I4690">
        <v>15</v>
      </c>
      <c r="J4690" t="s">
        <v>77</v>
      </c>
      <c r="K4690">
        <v>1</v>
      </c>
      <c r="L4690">
        <v>0</v>
      </c>
      <c r="M4690">
        <v>0</v>
      </c>
      <c r="N4690">
        <v>0</v>
      </c>
      <c r="O4690">
        <v>0</v>
      </c>
      <c r="P4690">
        <v>1</v>
      </c>
      <c r="Q4690" t="s">
        <v>23</v>
      </c>
      <c r="R4690">
        <v>0</v>
      </c>
    </row>
    <row r="4691" spans="1:18">
      <c r="A4691" s="4">
        <v>639215000000000</v>
      </c>
      <c r="B4691" t="s">
        <v>28</v>
      </c>
      <c r="C4691">
        <v>59</v>
      </c>
      <c r="D4691" t="s">
        <v>35</v>
      </c>
      <c r="E4691" t="s">
        <v>36</v>
      </c>
      <c r="F4691" s="1">
        <v>42507</v>
      </c>
      <c r="G4691" s="1">
        <v>42509</v>
      </c>
      <c r="H4691" t="s">
        <v>33</v>
      </c>
      <c r="I4691">
        <v>2</v>
      </c>
      <c r="J4691" t="s">
        <v>109</v>
      </c>
      <c r="K4691">
        <v>0</v>
      </c>
      <c r="L4691">
        <v>1</v>
      </c>
      <c r="M4691">
        <v>0</v>
      </c>
      <c r="N4691">
        <v>0</v>
      </c>
      <c r="O4691">
        <v>1</v>
      </c>
      <c r="P4691">
        <v>0</v>
      </c>
      <c r="Q4691" t="s">
        <v>23</v>
      </c>
      <c r="R4691">
        <v>0</v>
      </c>
    </row>
    <row r="4692" spans="1:18">
      <c r="A4692" s="4">
        <v>453937000000000</v>
      </c>
      <c r="B4692" t="s">
        <v>28</v>
      </c>
      <c r="C4692">
        <v>31</v>
      </c>
      <c r="D4692" t="s">
        <v>37</v>
      </c>
      <c r="E4692" t="s">
        <v>34</v>
      </c>
      <c r="F4692" s="1">
        <v>42507</v>
      </c>
      <c r="G4692" s="1">
        <v>42507</v>
      </c>
      <c r="H4692" t="s">
        <v>41</v>
      </c>
      <c r="I4692">
        <v>0</v>
      </c>
      <c r="J4692" t="s">
        <v>111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23</v>
      </c>
      <c r="R4692">
        <v>0</v>
      </c>
    </row>
    <row r="4693" spans="1:18">
      <c r="A4693" s="4">
        <v>8919490000000</v>
      </c>
      <c r="B4693" t="s">
        <v>18</v>
      </c>
      <c r="C4693">
        <v>72</v>
      </c>
      <c r="D4693" t="s">
        <v>19</v>
      </c>
      <c r="E4693" t="s">
        <v>103</v>
      </c>
      <c r="F4693" s="1">
        <v>42507</v>
      </c>
      <c r="G4693" s="1">
        <v>42507</v>
      </c>
      <c r="H4693" t="s">
        <v>41</v>
      </c>
      <c r="I4693">
        <v>0</v>
      </c>
      <c r="J4693" t="s">
        <v>111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23</v>
      </c>
      <c r="R4693">
        <v>0</v>
      </c>
    </row>
    <row r="4694" spans="1:18">
      <c r="A4694" s="4">
        <v>96516800000000</v>
      </c>
      <c r="B4694" t="s">
        <v>18</v>
      </c>
      <c r="C4694">
        <v>18</v>
      </c>
      <c r="D4694" t="s">
        <v>37</v>
      </c>
      <c r="E4694" t="s">
        <v>29</v>
      </c>
      <c r="F4694" s="1">
        <v>42507</v>
      </c>
      <c r="G4694" s="1">
        <v>42507</v>
      </c>
      <c r="H4694" t="s">
        <v>41</v>
      </c>
      <c r="I4694">
        <v>0</v>
      </c>
      <c r="J4694" t="s">
        <v>111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23</v>
      </c>
      <c r="R4694">
        <v>0</v>
      </c>
    </row>
    <row r="4695" spans="1:18">
      <c r="A4695" s="4">
        <v>285636000000</v>
      </c>
      <c r="B4695" t="s">
        <v>18</v>
      </c>
      <c r="C4695">
        <v>18</v>
      </c>
      <c r="D4695" t="s">
        <v>37</v>
      </c>
      <c r="E4695" t="s">
        <v>72</v>
      </c>
      <c r="F4695" s="1">
        <v>42507</v>
      </c>
      <c r="G4695" s="1">
        <v>42507</v>
      </c>
      <c r="H4695" t="s">
        <v>41</v>
      </c>
      <c r="I4695">
        <v>0</v>
      </c>
      <c r="J4695" t="s">
        <v>111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23</v>
      </c>
      <c r="R4695">
        <v>0</v>
      </c>
    </row>
    <row r="4696" spans="1:18">
      <c r="A4696" s="4">
        <v>1856000000000</v>
      </c>
      <c r="B4696" t="s">
        <v>18</v>
      </c>
      <c r="C4696">
        <v>34</v>
      </c>
      <c r="D4696" t="s">
        <v>37</v>
      </c>
      <c r="E4696" t="s">
        <v>94</v>
      </c>
      <c r="F4696" s="1">
        <v>42507</v>
      </c>
      <c r="G4696" s="1">
        <v>42510</v>
      </c>
      <c r="H4696" t="s">
        <v>21</v>
      </c>
      <c r="I4696">
        <v>3</v>
      </c>
      <c r="J4696" t="s">
        <v>109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23</v>
      </c>
      <c r="R4696">
        <v>0</v>
      </c>
    </row>
    <row r="4697" spans="1:18">
      <c r="A4697" s="4">
        <v>953375000000000</v>
      </c>
      <c r="B4697" t="s">
        <v>18</v>
      </c>
      <c r="C4697">
        <v>45</v>
      </c>
      <c r="D4697" t="s">
        <v>27</v>
      </c>
      <c r="E4697" t="s">
        <v>72</v>
      </c>
      <c r="F4697" s="1">
        <v>42507</v>
      </c>
      <c r="G4697" s="1">
        <v>42510</v>
      </c>
      <c r="H4697" t="s">
        <v>21</v>
      </c>
      <c r="I4697">
        <v>3</v>
      </c>
      <c r="J4697" t="s">
        <v>109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23</v>
      </c>
      <c r="R4697">
        <v>0</v>
      </c>
    </row>
    <row r="4698" spans="1:18">
      <c r="A4698" s="4">
        <v>75232700000000</v>
      </c>
      <c r="B4698" t="s">
        <v>18</v>
      </c>
      <c r="C4698">
        <v>5</v>
      </c>
      <c r="D4698" t="s">
        <v>31</v>
      </c>
      <c r="E4698" t="s">
        <v>74</v>
      </c>
      <c r="F4698" s="1">
        <v>42507</v>
      </c>
      <c r="G4698" s="1">
        <v>42521</v>
      </c>
      <c r="H4698" t="s">
        <v>41</v>
      </c>
      <c r="I4698">
        <v>14</v>
      </c>
      <c r="J4698" t="s">
        <v>92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1</v>
      </c>
      <c r="Q4698" t="s">
        <v>23</v>
      </c>
      <c r="R4698">
        <v>0</v>
      </c>
    </row>
    <row r="4699" spans="1:18">
      <c r="A4699" s="4">
        <v>398172000000</v>
      </c>
      <c r="B4699" t="s">
        <v>18</v>
      </c>
      <c r="C4699">
        <v>21</v>
      </c>
      <c r="D4699" t="s">
        <v>37</v>
      </c>
      <c r="E4699" t="s">
        <v>34</v>
      </c>
      <c r="F4699" s="1">
        <v>42507</v>
      </c>
      <c r="G4699" s="1">
        <v>42510</v>
      </c>
      <c r="H4699" t="s">
        <v>21</v>
      </c>
      <c r="I4699">
        <v>3</v>
      </c>
      <c r="J4699" t="s">
        <v>109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23</v>
      </c>
      <c r="R4699">
        <v>0</v>
      </c>
    </row>
    <row r="4700" spans="1:18">
      <c r="A4700" s="4">
        <v>5723180000000</v>
      </c>
      <c r="B4700" t="s">
        <v>18</v>
      </c>
      <c r="C4700">
        <v>18</v>
      </c>
      <c r="D4700" t="s">
        <v>37</v>
      </c>
      <c r="E4700" t="s">
        <v>32</v>
      </c>
      <c r="F4700" s="1">
        <v>42507</v>
      </c>
      <c r="G4700" s="1">
        <v>42507</v>
      </c>
      <c r="H4700" t="s">
        <v>41</v>
      </c>
      <c r="I4700">
        <v>0</v>
      </c>
      <c r="J4700" t="s">
        <v>111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23</v>
      </c>
      <c r="R4700">
        <v>0</v>
      </c>
    </row>
    <row r="4701" spans="1:18">
      <c r="A4701" s="4">
        <v>49486500000000</v>
      </c>
      <c r="B4701" t="s">
        <v>18</v>
      </c>
      <c r="C4701">
        <v>35</v>
      </c>
      <c r="D4701" t="s">
        <v>37</v>
      </c>
      <c r="E4701" t="s">
        <v>39</v>
      </c>
      <c r="F4701" s="1">
        <v>42507</v>
      </c>
      <c r="G4701" s="1">
        <v>42509</v>
      </c>
      <c r="H4701" t="s">
        <v>33</v>
      </c>
      <c r="I4701">
        <v>2</v>
      </c>
      <c r="J4701" t="s">
        <v>109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23</v>
      </c>
      <c r="R4701">
        <v>0</v>
      </c>
    </row>
    <row r="4702" spans="1:18">
      <c r="A4702" s="4">
        <v>6727690000000</v>
      </c>
      <c r="B4702" t="s">
        <v>18</v>
      </c>
      <c r="C4702">
        <v>12</v>
      </c>
      <c r="D4702" t="s">
        <v>31</v>
      </c>
      <c r="E4702" t="s">
        <v>20</v>
      </c>
      <c r="F4702" s="1">
        <v>42507</v>
      </c>
      <c r="G4702" s="1">
        <v>42507</v>
      </c>
      <c r="H4702" t="s">
        <v>41</v>
      </c>
      <c r="I4702">
        <v>0</v>
      </c>
      <c r="J4702" t="s">
        <v>111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23</v>
      </c>
      <c r="R4702">
        <v>0</v>
      </c>
    </row>
    <row r="4703" spans="1:18">
      <c r="A4703" s="4">
        <v>8431380000000</v>
      </c>
      <c r="B4703" t="s">
        <v>18</v>
      </c>
      <c r="C4703">
        <v>53</v>
      </c>
      <c r="D4703" t="s">
        <v>35</v>
      </c>
      <c r="E4703" t="s">
        <v>58</v>
      </c>
      <c r="F4703" s="1">
        <v>42507</v>
      </c>
      <c r="G4703" s="1">
        <v>42510</v>
      </c>
      <c r="H4703" t="s">
        <v>21</v>
      </c>
      <c r="I4703">
        <v>3</v>
      </c>
      <c r="J4703" t="s">
        <v>109</v>
      </c>
      <c r="K4703">
        <v>0</v>
      </c>
      <c r="L4703">
        <v>1</v>
      </c>
      <c r="M4703">
        <v>0</v>
      </c>
      <c r="N4703">
        <v>0</v>
      </c>
      <c r="O4703">
        <v>0</v>
      </c>
      <c r="P4703">
        <v>0</v>
      </c>
      <c r="Q4703" t="s">
        <v>23</v>
      </c>
      <c r="R4703">
        <v>0</v>
      </c>
    </row>
    <row r="4704" spans="1:18">
      <c r="A4704" s="4">
        <v>9853380000000</v>
      </c>
      <c r="B4704" t="s">
        <v>18</v>
      </c>
      <c r="C4704">
        <v>38</v>
      </c>
      <c r="D4704" t="s">
        <v>27</v>
      </c>
      <c r="E4704" t="s">
        <v>50</v>
      </c>
      <c r="F4704" s="1">
        <v>42507</v>
      </c>
      <c r="G4704" s="1">
        <v>42507</v>
      </c>
      <c r="H4704" t="s">
        <v>41</v>
      </c>
      <c r="I4704">
        <v>0</v>
      </c>
      <c r="J4704" t="s">
        <v>111</v>
      </c>
      <c r="K4704">
        <v>1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23</v>
      </c>
      <c r="R4704">
        <v>0</v>
      </c>
    </row>
    <row r="4705" spans="1:18">
      <c r="A4705" s="4">
        <v>453630000000000</v>
      </c>
      <c r="B4705" t="s">
        <v>18</v>
      </c>
      <c r="C4705">
        <v>72</v>
      </c>
      <c r="D4705" t="s">
        <v>19</v>
      </c>
      <c r="E4705" t="s">
        <v>56</v>
      </c>
      <c r="F4705" s="1">
        <v>42507</v>
      </c>
      <c r="G4705" s="1">
        <v>42509</v>
      </c>
      <c r="H4705" t="s">
        <v>33</v>
      </c>
      <c r="I4705">
        <v>2</v>
      </c>
      <c r="J4705" t="s">
        <v>109</v>
      </c>
      <c r="K4705">
        <v>0</v>
      </c>
      <c r="L4705">
        <v>1</v>
      </c>
      <c r="M4705">
        <v>0</v>
      </c>
      <c r="N4705">
        <v>0</v>
      </c>
      <c r="O4705">
        <v>0</v>
      </c>
      <c r="P4705">
        <v>0</v>
      </c>
      <c r="Q4705" t="s">
        <v>23</v>
      </c>
      <c r="R4705">
        <v>0</v>
      </c>
    </row>
    <row r="4706" spans="1:18">
      <c r="A4706" s="4">
        <v>61247600000000</v>
      </c>
      <c r="B4706" t="s">
        <v>18</v>
      </c>
      <c r="C4706">
        <v>41</v>
      </c>
      <c r="D4706" t="s">
        <v>27</v>
      </c>
      <c r="E4706" t="s">
        <v>56</v>
      </c>
      <c r="F4706" s="1">
        <v>42507</v>
      </c>
      <c r="G4706" s="1">
        <v>42515</v>
      </c>
      <c r="H4706" t="s">
        <v>25</v>
      </c>
      <c r="I4706">
        <v>8</v>
      </c>
      <c r="J4706" t="s">
        <v>92</v>
      </c>
      <c r="K4706">
        <v>0</v>
      </c>
      <c r="L4706">
        <v>1</v>
      </c>
      <c r="M4706">
        <v>1</v>
      </c>
      <c r="N4706">
        <v>0</v>
      </c>
      <c r="O4706">
        <v>0</v>
      </c>
      <c r="P4706">
        <v>0</v>
      </c>
      <c r="Q4706" t="s">
        <v>23</v>
      </c>
      <c r="R4706">
        <v>0</v>
      </c>
    </row>
    <row r="4707" spans="1:18">
      <c r="A4707" s="4">
        <v>22579400000000</v>
      </c>
      <c r="B4707" t="s">
        <v>28</v>
      </c>
      <c r="C4707">
        <v>25</v>
      </c>
      <c r="D4707" t="s">
        <v>37</v>
      </c>
      <c r="E4707" t="s">
        <v>51</v>
      </c>
      <c r="F4707" s="1">
        <v>42507</v>
      </c>
      <c r="G4707" s="1">
        <v>42507</v>
      </c>
      <c r="H4707" t="s">
        <v>41</v>
      </c>
      <c r="I4707">
        <v>0</v>
      </c>
      <c r="J4707" t="s">
        <v>111</v>
      </c>
      <c r="K4707">
        <v>1</v>
      </c>
      <c r="L4707">
        <v>0</v>
      </c>
      <c r="M4707">
        <v>0</v>
      </c>
      <c r="N4707">
        <v>0</v>
      </c>
      <c r="O4707">
        <v>1</v>
      </c>
      <c r="P4707">
        <v>0</v>
      </c>
      <c r="Q4707" t="s">
        <v>23</v>
      </c>
      <c r="R4707">
        <v>0</v>
      </c>
    </row>
    <row r="4708" spans="1:18">
      <c r="A4708" s="4">
        <v>44144000000000</v>
      </c>
      <c r="B4708" t="s">
        <v>28</v>
      </c>
      <c r="C4708">
        <v>22</v>
      </c>
      <c r="D4708" t="s">
        <v>37</v>
      </c>
      <c r="E4708" t="s">
        <v>38</v>
      </c>
      <c r="F4708" s="1">
        <v>42507</v>
      </c>
      <c r="G4708" s="1">
        <v>42507</v>
      </c>
      <c r="H4708" t="s">
        <v>41</v>
      </c>
      <c r="I4708">
        <v>0</v>
      </c>
      <c r="J4708" t="s">
        <v>111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23</v>
      </c>
      <c r="R4708">
        <v>0</v>
      </c>
    </row>
    <row r="4709" spans="1:18">
      <c r="A4709" s="4">
        <v>55572100000000</v>
      </c>
      <c r="B4709" t="s">
        <v>28</v>
      </c>
      <c r="C4709">
        <v>60</v>
      </c>
      <c r="D4709" t="s">
        <v>35</v>
      </c>
      <c r="E4709" t="s">
        <v>48</v>
      </c>
      <c r="F4709" s="1">
        <v>42507</v>
      </c>
      <c r="G4709" s="1">
        <v>42521</v>
      </c>
      <c r="H4709" t="s">
        <v>41</v>
      </c>
      <c r="I4709">
        <v>14</v>
      </c>
      <c r="J4709" t="s">
        <v>92</v>
      </c>
      <c r="K4709">
        <v>0</v>
      </c>
      <c r="L4709">
        <v>1</v>
      </c>
      <c r="M4709">
        <v>1</v>
      </c>
      <c r="N4709">
        <v>0</v>
      </c>
      <c r="O4709">
        <v>0</v>
      </c>
      <c r="P4709">
        <v>1</v>
      </c>
      <c r="Q4709" t="s">
        <v>23</v>
      </c>
      <c r="R4709">
        <v>0</v>
      </c>
    </row>
    <row r="4710" spans="1:18">
      <c r="A4710" s="4">
        <v>539542000000</v>
      </c>
      <c r="B4710" t="s">
        <v>18</v>
      </c>
      <c r="C4710">
        <v>42</v>
      </c>
      <c r="D4710" t="s">
        <v>27</v>
      </c>
      <c r="E4710" t="s">
        <v>54</v>
      </c>
      <c r="F4710" s="1">
        <v>42507</v>
      </c>
      <c r="G4710" s="1">
        <v>42515</v>
      </c>
      <c r="H4710" t="s">
        <v>25</v>
      </c>
      <c r="I4710">
        <v>8</v>
      </c>
      <c r="J4710" t="s">
        <v>92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1</v>
      </c>
      <c r="Q4710" t="s">
        <v>23</v>
      </c>
      <c r="R4710">
        <v>0</v>
      </c>
    </row>
    <row r="4711" spans="1:18">
      <c r="A4711" s="4">
        <v>13244900000000</v>
      </c>
      <c r="B4711" t="s">
        <v>18</v>
      </c>
      <c r="C4711">
        <v>50</v>
      </c>
      <c r="D4711" t="s">
        <v>27</v>
      </c>
      <c r="E4711" t="s">
        <v>61</v>
      </c>
      <c r="F4711" s="1">
        <v>42507</v>
      </c>
      <c r="G4711" s="1">
        <v>42515</v>
      </c>
      <c r="H4711" t="s">
        <v>25</v>
      </c>
      <c r="I4711">
        <v>8</v>
      </c>
      <c r="J4711" t="s">
        <v>92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1</v>
      </c>
      <c r="Q4711" t="s">
        <v>23</v>
      </c>
      <c r="R4711">
        <v>0</v>
      </c>
    </row>
    <row r="4712" spans="1:18">
      <c r="A4712" s="4">
        <v>81221900000000</v>
      </c>
      <c r="B4712" t="s">
        <v>18</v>
      </c>
      <c r="C4712">
        <v>34</v>
      </c>
      <c r="D4712" t="s">
        <v>37</v>
      </c>
      <c r="E4712" t="s">
        <v>29</v>
      </c>
      <c r="F4712" s="1">
        <v>42507</v>
      </c>
      <c r="G4712" s="1">
        <v>42507</v>
      </c>
      <c r="H4712" t="s">
        <v>41</v>
      </c>
      <c r="I4712">
        <v>0</v>
      </c>
      <c r="J4712" t="s">
        <v>111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23</v>
      </c>
      <c r="R4712">
        <v>0</v>
      </c>
    </row>
    <row r="4713" spans="1:18">
      <c r="A4713" s="4">
        <v>7616820000000</v>
      </c>
      <c r="B4713" t="s">
        <v>18</v>
      </c>
      <c r="C4713">
        <v>31</v>
      </c>
      <c r="D4713" t="s">
        <v>37</v>
      </c>
      <c r="E4713" t="s">
        <v>50</v>
      </c>
      <c r="F4713" s="1">
        <v>42507</v>
      </c>
      <c r="G4713" s="1">
        <v>42515</v>
      </c>
      <c r="H4713" t="s">
        <v>25</v>
      </c>
      <c r="I4713">
        <v>8</v>
      </c>
      <c r="J4713" t="s">
        <v>92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1</v>
      </c>
      <c r="Q4713" t="s">
        <v>23</v>
      </c>
      <c r="R4713">
        <v>0</v>
      </c>
    </row>
    <row r="4714" spans="1:18">
      <c r="A4714" s="4">
        <v>739412000000000</v>
      </c>
      <c r="B4714" t="s">
        <v>18</v>
      </c>
      <c r="C4714">
        <v>44</v>
      </c>
      <c r="D4714" t="s">
        <v>27</v>
      </c>
      <c r="E4714" t="s">
        <v>43</v>
      </c>
      <c r="F4714" s="1">
        <v>42507</v>
      </c>
      <c r="G4714" s="1">
        <v>42507</v>
      </c>
      <c r="H4714" t="s">
        <v>41</v>
      </c>
      <c r="I4714">
        <v>0</v>
      </c>
      <c r="J4714" t="s">
        <v>111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 t="s">
        <v>23</v>
      </c>
      <c r="R4714">
        <v>0</v>
      </c>
    </row>
    <row r="4715" spans="1:18">
      <c r="A4715" s="4">
        <v>13377800000000</v>
      </c>
      <c r="B4715" t="s">
        <v>18</v>
      </c>
      <c r="C4715">
        <v>10</v>
      </c>
      <c r="D4715" t="s">
        <v>31</v>
      </c>
      <c r="E4715" t="s">
        <v>68</v>
      </c>
      <c r="F4715" s="1">
        <v>42507</v>
      </c>
      <c r="G4715" s="1">
        <v>42529</v>
      </c>
      <c r="H4715" t="s">
        <v>25</v>
      </c>
      <c r="I4715">
        <v>22</v>
      </c>
      <c r="J4715" t="s">
        <v>77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1</v>
      </c>
      <c r="Q4715" t="s">
        <v>26</v>
      </c>
      <c r="R4715">
        <v>1</v>
      </c>
    </row>
    <row r="4716" spans="1:18">
      <c r="A4716" s="4">
        <v>2891920000000</v>
      </c>
      <c r="B4716" t="s">
        <v>18</v>
      </c>
      <c r="C4716">
        <v>62</v>
      </c>
      <c r="D4716" t="s">
        <v>35</v>
      </c>
      <c r="E4716" t="s">
        <v>39</v>
      </c>
      <c r="F4716" s="1">
        <v>42507</v>
      </c>
      <c r="G4716" s="1">
        <v>42522</v>
      </c>
      <c r="H4716" t="s">
        <v>25</v>
      </c>
      <c r="I4716">
        <v>15</v>
      </c>
      <c r="J4716" t="s">
        <v>77</v>
      </c>
      <c r="K4716">
        <v>0</v>
      </c>
      <c r="L4716">
        <v>0</v>
      </c>
      <c r="M4716">
        <v>1</v>
      </c>
      <c r="N4716">
        <v>0</v>
      </c>
      <c r="O4716">
        <v>0</v>
      </c>
      <c r="P4716">
        <v>1</v>
      </c>
      <c r="Q4716" t="s">
        <v>23</v>
      </c>
      <c r="R4716">
        <v>0</v>
      </c>
    </row>
    <row r="4717" spans="1:18">
      <c r="A4717" s="4">
        <v>465714000000000</v>
      </c>
      <c r="B4717" t="s">
        <v>28</v>
      </c>
      <c r="C4717">
        <v>38</v>
      </c>
      <c r="D4717" t="s">
        <v>27</v>
      </c>
      <c r="E4717" t="s">
        <v>32</v>
      </c>
      <c r="F4717" s="1">
        <v>42507</v>
      </c>
      <c r="G4717" s="1">
        <v>42522</v>
      </c>
      <c r="H4717" t="s">
        <v>25</v>
      </c>
      <c r="I4717">
        <v>15</v>
      </c>
      <c r="J4717" t="s">
        <v>77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26</v>
      </c>
      <c r="R4717">
        <v>1</v>
      </c>
    </row>
    <row r="4718" spans="1:18">
      <c r="A4718" s="4">
        <v>847151000000000</v>
      </c>
      <c r="B4718" t="s">
        <v>18</v>
      </c>
      <c r="C4718">
        <v>0</v>
      </c>
      <c r="D4718" t="s">
        <v>31</v>
      </c>
      <c r="E4718" t="s">
        <v>64</v>
      </c>
      <c r="F4718" s="1">
        <v>42507</v>
      </c>
      <c r="G4718" s="1">
        <v>42508</v>
      </c>
      <c r="H4718" t="s">
        <v>25</v>
      </c>
      <c r="I4718">
        <v>1</v>
      </c>
      <c r="J4718" t="s">
        <v>109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23</v>
      </c>
      <c r="R4718">
        <v>0</v>
      </c>
    </row>
    <row r="4719" spans="1:18">
      <c r="A4719" s="4">
        <v>133826000000</v>
      </c>
      <c r="B4719" t="s">
        <v>18</v>
      </c>
      <c r="C4719">
        <v>20</v>
      </c>
      <c r="D4719" t="s">
        <v>37</v>
      </c>
      <c r="E4719" t="s">
        <v>70</v>
      </c>
      <c r="F4719" s="1">
        <v>42507</v>
      </c>
      <c r="G4719" s="1">
        <v>42508</v>
      </c>
      <c r="H4719" t="s">
        <v>25</v>
      </c>
      <c r="I4719">
        <v>1</v>
      </c>
      <c r="J4719" t="s">
        <v>109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23</v>
      </c>
      <c r="R4719">
        <v>0</v>
      </c>
    </row>
    <row r="4720" spans="1:18">
      <c r="A4720" s="4">
        <v>53634300000000</v>
      </c>
      <c r="B4720" t="s">
        <v>18</v>
      </c>
      <c r="C4720">
        <v>78</v>
      </c>
      <c r="D4720" t="s">
        <v>19</v>
      </c>
      <c r="E4720" t="s">
        <v>54</v>
      </c>
      <c r="F4720" s="1">
        <v>42507</v>
      </c>
      <c r="G4720" s="1">
        <v>42509</v>
      </c>
      <c r="H4720" t="s">
        <v>33</v>
      </c>
      <c r="I4720">
        <v>2</v>
      </c>
      <c r="J4720" t="s">
        <v>109</v>
      </c>
      <c r="K4720">
        <v>0</v>
      </c>
      <c r="L4720">
        <v>1</v>
      </c>
      <c r="M4720">
        <v>0</v>
      </c>
      <c r="N4720">
        <v>0</v>
      </c>
      <c r="O4720">
        <v>0</v>
      </c>
      <c r="P4720">
        <v>0</v>
      </c>
      <c r="Q4720" t="s">
        <v>23</v>
      </c>
      <c r="R4720">
        <v>0</v>
      </c>
    </row>
    <row r="4721" spans="1:18">
      <c r="A4721" s="4">
        <v>6756980000000</v>
      </c>
      <c r="B4721" t="s">
        <v>18</v>
      </c>
      <c r="C4721">
        <v>32</v>
      </c>
      <c r="D4721" t="s">
        <v>37</v>
      </c>
      <c r="E4721" t="s">
        <v>104</v>
      </c>
      <c r="F4721" s="1">
        <v>42507</v>
      </c>
      <c r="G4721" s="1">
        <v>42508</v>
      </c>
      <c r="H4721" t="s">
        <v>25</v>
      </c>
      <c r="I4721">
        <v>1</v>
      </c>
      <c r="J4721" t="s">
        <v>109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23</v>
      </c>
      <c r="R4721">
        <v>0</v>
      </c>
    </row>
    <row r="4722" spans="1:18">
      <c r="A4722" s="4">
        <v>7841630000000</v>
      </c>
      <c r="B4722" t="s">
        <v>28</v>
      </c>
      <c r="C4722">
        <v>20</v>
      </c>
      <c r="D4722" t="s">
        <v>37</v>
      </c>
      <c r="E4722" t="s">
        <v>54</v>
      </c>
      <c r="F4722" s="1">
        <v>42507</v>
      </c>
      <c r="G4722" s="1">
        <v>42507</v>
      </c>
      <c r="H4722" t="s">
        <v>41</v>
      </c>
      <c r="I4722">
        <v>0</v>
      </c>
      <c r="J4722" t="s">
        <v>111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23</v>
      </c>
      <c r="R4722">
        <v>0</v>
      </c>
    </row>
    <row r="4723" spans="1:18">
      <c r="A4723" s="4">
        <v>87317100000000</v>
      </c>
      <c r="B4723" t="s">
        <v>28</v>
      </c>
      <c r="C4723">
        <v>34</v>
      </c>
      <c r="D4723" t="s">
        <v>37</v>
      </c>
      <c r="E4723" t="s">
        <v>71</v>
      </c>
      <c r="F4723" s="1">
        <v>42507</v>
      </c>
      <c r="G4723" s="1">
        <v>42508</v>
      </c>
      <c r="H4723" t="s">
        <v>25</v>
      </c>
      <c r="I4723">
        <v>1</v>
      </c>
      <c r="J4723" t="s">
        <v>109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23</v>
      </c>
      <c r="R4723">
        <v>0</v>
      </c>
    </row>
    <row r="4724" spans="1:18">
      <c r="A4724" s="4">
        <v>6383700000000</v>
      </c>
      <c r="B4724" t="s">
        <v>28</v>
      </c>
      <c r="C4724">
        <v>9</v>
      </c>
      <c r="D4724" t="s">
        <v>31</v>
      </c>
      <c r="E4724" t="s">
        <v>69</v>
      </c>
      <c r="F4724" s="1">
        <v>42507</v>
      </c>
      <c r="G4724" s="1">
        <v>42507</v>
      </c>
      <c r="H4724" t="s">
        <v>41</v>
      </c>
      <c r="I4724">
        <v>0</v>
      </c>
      <c r="J4724" t="s">
        <v>111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23</v>
      </c>
      <c r="R4724">
        <v>0</v>
      </c>
    </row>
    <row r="4725" spans="1:18">
      <c r="A4725" s="4">
        <v>98439600000000</v>
      </c>
      <c r="B4725" t="s">
        <v>28</v>
      </c>
      <c r="C4725">
        <v>1</v>
      </c>
      <c r="D4725" t="s">
        <v>31</v>
      </c>
      <c r="E4725" t="s">
        <v>67</v>
      </c>
      <c r="F4725" s="1">
        <v>42507</v>
      </c>
      <c r="G4725" s="1">
        <v>42507</v>
      </c>
      <c r="H4725" t="s">
        <v>41</v>
      </c>
      <c r="I4725">
        <v>0</v>
      </c>
      <c r="J4725" t="s">
        <v>111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23</v>
      </c>
      <c r="R4725">
        <v>0</v>
      </c>
    </row>
    <row r="4726" spans="1:18">
      <c r="A4726" s="4">
        <v>75625800000000</v>
      </c>
      <c r="B4726" t="s">
        <v>28</v>
      </c>
      <c r="C4726">
        <v>56</v>
      </c>
      <c r="D4726" t="s">
        <v>35</v>
      </c>
      <c r="E4726" t="s">
        <v>67</v>
      </c>
      <c r="F4726" s="1">
        <v>42507</v>
      </c>
      <c r="G4726" s="1">
        <v>42507</v>
      </c>
      <c r="H4726" t="s">
        <v>41</v>
      </c>
      <c r="I4726">
        <v>0</v>
      </c>
      <c r="J4726" t="s">
        <v>111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 t="s">
        <v>23</v>
      </c>
      <c r="R4726">
        <v>0</v>
      </c>
    </row>
    <row r="4727" spans="1:18">
      <c r="A4727" s="4">
        <v>318149000000</v>
      </c>
      <c r="B4727" t="s">
        <v>28</v>
      </c>
      <c r="C4727">
        <v>37</v>
      </c>
      <c r="D4727" t="s">
        <v>27</v>
      </c>
      <c r="E4727" t="s">
        <v>56</v>
      </c>
      <c r="F4727" s="1">
        <v>42507</v>
      </c>
      <c r="G4727" s="1">
        <v>42507</v>
      </c>
      <c r="H4727" t="s">
        <v>41</v>
      </c>
      <c r="I4727">
        <v>0</v>
      </c>
      <c r="J4727" t="s">
        <v>111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 t="s">
        <v>23</v>
      </c>
      <c r="R4727">
        <v>0</v>
      </c>
    </row>
    <row r="4728" spans="1:18">
      <c r="A4728" s="4">
        <v>97529900000000</v>
      </c>
      <c r="B4728" t="s">
        <v>18</v>
      </c>
      <c r="C4728">
        <v>31</v>
      </c>
      <c r="D4728" t="s">
        <v>37</v>
      </c>
      <c r="E4728" t="s">
        <v>65</v>
      </c>
      <c r="F4728" s="1">
        <v>42507</v>
      </c>
      <c r="G4728" s="1">
        <v>42507</v>
      </c>
      <c r="H4728" t="s">
        <v>41</v>
      </c>
      <c r="I4728">
        <v>0</v>
      </c>
      <c r="J4728" t="s">
        <v>111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23</v>
      </c>
      <c r="R4728">
        <v>0</v>
      </c>
    </row>
    <row r="4729" spans="1:18">
      <c r="A4729" s="4">
        <v>371570000000</v>
      </c>
      <c r="B4729" t="s">
        <v>28</v>
      </c>
      <c r="C4729">
        <v>73</v>
      </c>
      <c r="D4729" t="s">
        <v>19</v>
      </c>
      <c r="E4729" t="s">
        <v>40</v>
      </c>
      <c r="F4729" s="1">
        <v>42507</v>
      </c>
      <c r="G4729" s="1">
        <v>42510</v>
      </c>
      <c r="H4729" t="s">
        <v>21</v>
      </c>
      <c r="I4729">
        <v>3</v>
      </c>
      <c r="J4729" t="s">
        <v>109</v>
      </c>
      <c r="K4729">
        <v>0</v>
      </c>
      <c r="L4729">
        <v>1</v>
      </c>
      <c r="M4729">
        <v>1</v>
      </c>
      <c r="N4729">
        <v>0</v>
      </c>
      <c r="O4729">
        <v>0</v>
      </c>
      <c r="P4729">
        <v>0</v>
      </c>
      <c r="Q4729" t="s">
        <v>23</v>
      </c>
      <c r="R4729">
        <v>0</v>
      </c>
    </row>
    <row r="4730" spans="1:18">
      <c r="A4730" s="4">
        <v>65148300000000</v>
      </c>
      <c r="B4730" t="s">
        <v>18</v>
      </c>
      <c r="C4730">
        <v>59</v>
      </c>
      <c r="D4730" t="s">
        <v>35</v>
      </c>
      <c r="E4730" t="s">
        <v>58</v>
      </c>
      <c r="F4730" s="1">
        <v>42507</v>
      </c>
      <c r="G4730" s="1">
        <v>42508</v>
      </c>
      <c r="H4730" t="s">
        <v>25</v>
      </c>
      <c r="I4730">
        <v>1</v>
      </c>
      <c r="J4730" t="s">
        <v>109</v>
      </c>
      <c r="K4730">
        <v>0</v>
      </c>
      <c r="L4730">
        <v>1</v>
      </c>
      <c r="M4730">
        <v>0</v>
      </c>
      <c r="N4730">
        <v>0</v>
      </c>
      <c r="O4730">
        <v>0</v>
      </c>
      <c r="P4730">
        <v>0</v>
      </c>
      <c r="Q4730" t="s">
        <v>23</v>
      </c>
      <c r="R4730">
        <v>0</v>
      </c>
    </row>
    <row r="4731" spans="1:18">
      <c r="A4731" s="4">
        <v>956236000000</v>
      </c>
      <c r="B4731" t="s">
        <v>18</v>
      </c>
      <c r="C4731">
        <v>18</v>
      </c>
      <c r="D4731" t="s">
        <v>37</v>
      </c>
      <c r="E4731" t="s">
        <v>47</v>
      </c>
      <c r="F4731" s="1">
        <v>42507</v>
      </c>
      <c r="G4731" s="1">
        <v>42508</v>
      </c>
      <c r="H4731" t="s">
        <v>25</v>
      </c>
      <c r="I4731">
        <v>1</v>
      </c>
      <c r="J4731" t="s">
        <v>109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 t="s">
        <v>26</v>
      </c>
      <c r="R4731">
        <v>1</v>
      </c>
    </row>
    <row r="4732" spans="1:18">
      <c r="A4732" s="4">
        <v>8492550000000</v>
      </c>
      <c r="B4732" t="s">
        <v>18</v>
      </c>
      <c r="C4732">
        <v>8</v>
      </c>
      <c r="D4732" t="s">
        <v>31</v>
      </c>
      <c r="E4732" t="s">
        <v>81</v>
      </c>
      <c r="F4732" s="1">
        <v>42507</v>
      </c>
      <c r="G4732" s="1">
        <v>42508</v>
      </c>
      <c r="H4732" t="s">
        <v>25</v>
      </c>
      <c r="I4732">
        <v>1</v>
      </c>
      <c r="J4732" t="s">
        <v>109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23</v>
      </c>
      <c r="R4732">
        <v>0</v>
      </c>
    </row>
    <row r="4733" spans="1:18">
      <c r="A4733" s="4">
        <v>62551400000000</v>
      </c>
      <c r="B4733" t="s">
        <v>28</v>
      </c>
      <c r="C4733">
        <v>66</v>
      </c>
      <c r="D4733" t="s">
        <v>19</v>
      </c>
      <c r="E4733" t="s">
        <v>61</v>
      </c>
      <c r="F4733" s="1">
        <v>42507</v>
      </c>
      <c r="G4733" s="1">
        <v>42508</v>
      </c>
      <c r="H4733" t="s">
        <v>25</v>
      </c>
      <c r="I4733">
        <v>1</v>
      </c>
      <c r="J4733" t="s">
        <v>109</v>
      </c>
      <c r="K4733">
        <v>0</v>
      </c>
      <c r="L4733">
        <v>1</v>
      </c>
      <c r="M4733">
        <v>1</v>
      </c>
      <c r="N4733">
        <v>0</v>
      </c>
      <c r="O4733">
        <v>0</v>
      </c>
      <c r="P4733">
        <v>0</v>
      </c>
      <c r="Q4733" t="s">
        <v>23</v>
      </c>
      <c r="R4733">
        <v>0</v>
      </c>
    </row>
    <row r="4734" spans="1:18">
      <c r="A4734" s="4">
        <v>9264570000000</v>
      </c>
      <c r="B4734" t="s">
        <v>28</v>
      </c>
      <c r="C4734">
        <v>21</v>
      </c>
      <c r="D4734" t="s">
        <v>37</v>
      </c>
      <c r="E4734" t="s">
        <v>61</v>
      </c>
      <c r="F4734" s="1">
        <v>42507</v>
      </c>
      <c r="G4734" s="1">
        <v>42507</v>
      </c>
      <c r="H4734" t="s">
        <v>41</v>
      </c>
      <c r="I4734">
        <v>0</v>
      </c>
      <c r="J4734" t="s">
        <v>111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23</v>
      </c>
      <c r="R4734">
        <v>0</v>
      </c>
    </row>
    <row r="4735" spans="1:18">
      <c r="A4735" s="4">
        <v>945758000000</v>
      </c>
      <c r="B4735" t="s">
        <v>18</v>
      </c>
      <c r="C4735">
        <v>43</v>
      </c>
      <c r="D4735" t="s">
        <v>27</v>
      </c>
      <c r="E4735" t="s">
        <v>75</v>
      </c>
      <c r="F4735" s="1">
        <v>42507</v>
      </c>
      <c r="G4735" s="1">
        <v>42509</v>
      </c>
      <c r="H4735" t="s">
        <v>33</v>
      </c>
      <c r="I4735">
        <v>2</v>
      </c>
      <c r="J4735" t="s">
        <v>109</v>
      </c>
      <c r="K4735">
        <v>0</v>
      </c>
      <c r="L4735">
        <v>1</v>
      </c>
      <c r="M4735">
        <v>0</v>
      </c>
      <c r="N4735">
        <v>0</v>
      </c>
      <c r="O4735">
        <v>0</v>
      </c>
      <c r="P4735">
        <v>0</v>
      </c>
      <c r="Q4735" t="s">
        <v>23</v>
      </c>
      <c r="R4735">
        <v>0</v>
      </c>
    </row>
    <row r="4736" spans="1:18">
      <c r="A4736" s="4">
        <v>213285000000000</v>
      </c>
      <c r="B4736" t="s">
        <v>18</v>
      </c>
      <c r="C4736">
        <v>50</v>
      </c>
      <c r="D4736" t="s">
        <v>27</v>
      </c>
      <c r="E4736" t="s">
        <v>75</v>
      </c>
      <c r="F4736" s="1">
        <v>42507</v>
      </c>
      <c r="G4736" s="1">
        <v>42509</v>
      </c>
      <c r="H4736" t="s">
        <v>33</v>
      </c>
      <c r="I4736">
        <v>2</v>
      </c>
      <c r="J4736" t="s">
        <v>109</v>
      </c>
      <c r="K4736">
        <v>1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26</v>
      </c>
      <c r="R4736">
        <v>1</v>
      </c>
    </row>
    <row r="4737" spans="1:18">
      <c r="A4737" s="4">
        <v>6216770000000</v>
      </c>
      <c r="B4737" t="s">
        <v>18</v>
      </c>
      <c r="C4737">
        <v>41</v>
      </c>
      <c r="D4737" t="s">
        <v>27</v>
      </c>
      <c r="E4737" t="s">
        <v>104</v>
      </c>
      <c r="F4737" s="1">
        <v>42507</v>
      </c>
      <c r="G4737" s="1">
        <v>42507</v>
      </c>
      <c r="H4737" t="s">
        <v>41</v>
      </c>
      <c r="I4737">
        <v>0</v>
      </c>
      <c r="J4737" t="s">
        <v>111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 t="s">
        <v>23</v>
      </c>
      <c r="R4737">
        <v>0</v>
      </c>
    </row>
    <row r="4738" spans="1:18">
      <c r="A4738" s="4">
        <v>36961700000000</v>
      </c>
      <c r="B4738" t="s">
        <v>18</v>
      </c>
      <c r="C4738">
        <v>30</v>
      </c>
      <c r="D4738" t="s">
        <v>37</v>
      </c>
      <c r="E4738" t="s">
        <v>79</v>
      </c>
      <c r="F4738" s="1">
        <v>42507</v>
      </c>
      <c r="G4738" s="1">
        <v>42514</v>
      </c>
      <c r="H4738" t="s">
        <v>41</v>
      </c>
      <c r="I4738">
        <v>7</v>
      </c>
      <c r="J4738" t="s">
        <v>107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 t="s">
        <v>23</v>
      </c>
      <c r="R4738">
        <v>0</v>
      </c>
    </row>
    <row r="4739" spans="1:18">
      <c r="A4739" s="4">
        <v>381997000000000</v>
      </c>
      <c r="B4739" t="s">
        <v>18</v>
      </c>
      <c r="C4739">
        <v>16</v>
      </c>
      <c r="D4739" t="s">
        <v>60</v>
      </c>
      <c r="E4739" t="s">
        <v>29</v>
      </c>
      <c r="F4739" s="1">
        <v>42507</v>
      </c>
      <c r="G4739" s="1">
        <v>42507</v>
      </c>
      <c r="H4739" t="s">
        <v>41</v>
      </c>
      <c r="I4739">
        <v>0</v>
      </c>
      <c r="J4739" t="s">
        <v>111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23</v>
      </c>
      <c r="R4739">
        <v>0</v>
      </c>
    </row>
    <row r="4740" spans="1:18">
      <c r="A4740" s="4">
        <v>574885000000000</v>
      </c>
      <c r="B4740" t="s">
        <v>18</v>
      </c>
      <c r="C4740">
        <v>20</v>
      </c>
      <c r="D4740" t="s">
        <v>37</v>
      </c>
      <c r="E4740" t="s">
        <v>81</v>
      </c>
      <c r="F4740" s="1">
        <v>42507</v>
      </c>
      <c r="G4740" s="1">
        <v>42515</v>
      </c>
      <c r="H4740" t="s">
        <v>25</v>
      </c>
      <c r="I4740">
        <v>8</v>
      </c>
      <c r="J4740" t="s">
        <v>92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1</v>
      </c>
      <c r="Q4740" t="s">
        <v>23</v>
      </c>
      <c r="R4740">
        <v>0</v>
      </c>
    </row>
    <row r="4741" spans="1:18">
      <c r="A4741" s="4">
        <v>1227760000000</v>
      </c>
      <c r="B4741" t="s">
        <v>28</v>
      </c>
      <c r="C4741">
        <v>64</v>
      </c>
      <c r="D4741" t="s">
        <v>35</v>
      </c>
      <c r="E4741" t="s">
        <v>50</v>
      </c>
      <c r="F4741" s="1">
        <v>42507</v>
      </c>
      <c r="G4741" s="1">
        <v>42514</v>
      </c>
      <c r="H4741" t="s">
        <v>41</v>
      </c>
      <c r="I4741">
        <v>7</v>
      </c>
      <c r="J4741" t="s">
        <v>107</v>
      </c>
      <c r="K4741">
        <v>0</v>
      </c>
      <c r="L4741">
        <v>1</v>
      </c>
      <c r="M4741">
        <v>1</v>
      </c>
      <c r="N4741">
        <v>0</v>
      </c>
      <c r="O4741">
        <v>0</v>
      </c>
      <c r="P4741">
        <v>1</v>
      </c>
      <c r="Q4741" t="s">
        <v>23</v>
      </c>
      <c r="R4741">
        <v>0</v>
      </c>
    </row>
    <row r="4742" spans="1:18">
      <c r="A4742" s="4">
        <v>3554220000000</v>
      </c>
      <c r="B4742" t="s">
        <v>28</v>
      </c>
      <c r="C4742">
        <v>34</v>
      </c>
      <c r="D4742" t="s">
        <v>37</v>
      </c>
      <c r="E4742" t="s">
        <v>43</v>
      </c>
      <c r="F4742" s="1">
        <v>42507</v>
      </c>
      <c r="G4742" s="1">
        <v>42520</v>
      </c>
      <c r="H4742" t="s">
        <v>30</v>
      </c>
      <c r="I4742">
        <v>13</v>
      </c>
      <c r="J4742" t="s">
        <v>92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1</v>
      </c>
      <c r="Q4742" t="s">
        <v>23</v>
      </c>
      <c r="R4742">
        <v>0</v>
      </c>
    </row>
    <row r="4743" spans="1:18">
      <c r="A4743" s="4">
        <v>256168000000</v>
      </c>
      <c r="B4743" t="s">
        <v>28</v>
      </c>
      <c r="C4743">
        <v>47</v>
      </c>
      <c r="D4743" t="s">
        <v>27</v>
      </c>
      <c r="E4743" t="s">
        <v>40</v>
      </c>
      <c r="F4743" s="1">
        <v>42507</v>
      </c>
      <c r="G4743" s="1">
        <v>42508</v>
      </c>
      <c r="H4743" t="s">
        <v>25</v>
      </c>
      <c r="I4743">
        <v>1</v>
      </c>
      <c r="J4743" t="s">
        <v>109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23</v>
      </c>
      <c r="R4743">
        <v>0</v>
      </c>
    </row>
    <row r="4744" spans="1:18">
      <c r="A4744" s="4">
        <v>138499000000000</v>
      </c>
      <c r="B4744" t="s">
        <v>28</v>
      </c>
      <c r="C4744">
        <v>57</v>
      </c>
      <c r="D4744" t="s">
        <v>35</v>
      </c>
      <c r="E4744" t="s">
        <v>96</v>
      </c>
      <c r="F4744" s="1">
        <v>42507</v>
      </c>
      <c r="G4744" s="1">
        <v>42507</v>
      </c>
      <c r="H4744" t="s">
        <v>41</v>
      </c>
      <c r="I4744">
        <v>0</v>
      </c>
      <c r="J4744" t="s">
        <v>111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 t="s">
        <v>23</v>
      </c>
      <c r="R4744">
        <v>0</v>
      </c>
    </row>
    <row r="4745" spans="1:18">
      <c r="A4745" s="4">
        <v>9896820000000</v>
      </c>
      <c r="B4745" t="s">
        <v>28</v>
      </c>
      <c r="C4745">
        <v>26</v>
      </c>
      <c r="D4745" t="s">
        <v>37</v>
      </c>
      <c r="E4745" t="s">
        <v>29</v>
      </c>
      <c r="F4745" s="1">
        <v>42507</v>
      </c>
      <c r="G4745" s="1">
        <v>42507</v>
      </c>
      <c r="H4745" t="s">
        <v>41</v>
      </c>
      <c r="I4745">
        <v>0</v>
      </c>
      <c r="J4745" t="s">
        <v>111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 t="s">
        <v>23</v>
      </c>
      <c r="R4745">
        <v>0</v>
      </c>
    </row>
    <row r="4746" spans="1:18">
      <c r="A4746" s="4">
        <v>37973900000000</v>
      </c>
      <c r="B4746" t="s">
        <v>18</v>
      </c>
      <c r="C4746">
        <v>49</v>
      </c>
      <c r="D4746" t="s">
        <v>27</v>
      </c>
      <c r="E4746" t="s">
        <v>98</v>
      </c>
      <c r="F4746" s="1">
        <v>42507</v>
      </c>
      <c r="G4746" s="1">
        <v>42507</v>
      </c>
      <c r="H4746" t="s">
        <v>41</v>
      </c>
      <c r="I4746">
        <v>0</v>
      </c>
      <c r="J4746" t="s">
        <v>111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23</v>
      </c>
      <c r="R4746">
        <v>0</v>
      </c>
    </row>
    <row r="4747" spans="1:18">
      <c r="A4747" s="4">
        <v>4512870000000</v>
      </c>
      <c r="B4747" t="s">
        <v>18</v>
      </c>
      <c r="C4747">
        <v>44</v>
      </c>
      <c r="D4747" t="s">
        <v>27</v>
      </c>
      <c r="E4747" t="s">
        <v>38</v>
      </c>
      <c r="F4747" s="1">
        <v>42507</v>
      </c>
      <c r="G4747" s="1">
        <v>42508</v>
      </c>
      <c r="H4747" t="s">
        <v>25</v>
      </c>
      <c r="I4747">
        <v>1</v>
      </c>
      <c r="J4747" t="s">
        <v>109</v>
      </c>
      <c r="K4747">
        <v>0</v>
      </c>
      <c r="L4747">
        <v>1</v>
      </c>
      <c r="M4747">
        <v>0</v>
      </c>
      <c r="N4747">
        <v>0</v>
      </c>
      <c r="O4747">
        <v>0</v>
      </c>
      <c r="P4747">
        <v>0</v>
      </c>
      <c r="Q4747" t="s">
        <v>23</v>
      </c>
      <c r="R4747">
        <v>0</v>
      </c>
    </row>
    <row r="4748" spans="1:18">
      <c r="A4748" s="4">
        <v>16211800000000</v>
      </c>
      <c r="B4748" t="s">
        <v>18</v>
      </c>
      <c r="C4748">
        <v>51</v>
      </c>
      <c r="D4748" t="s">
        <v>35</v>
      </c>
      <c r="E4748" t="s">
        <v>32</v>
      </c>
      <c r="F4748" s="1">
        <v>42507</v>
      </c>
      <c r="G4748" s="1">
        <v>42521</v>
      </c>
      <c r="H4748" t="s">
        <v>41</v>
      </c>
      <c r="I4748">
        <v>14</v>
      </c>
      <c r="J4748" t="s">
        <v>92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1</v>
      </c>
      <c r="Q4748" t="s">
        <v>23</v>
      </c>
      <c r="R4748">
        <v>0</v>
      </c>
    </row>
    <row r="4749" spans="1:18">
      <c r="A4749" s="4">
        <v>162265000000000</v>
      </c>
      <c r="B4749" t="s">
        <v>18</v>
      </c>
      <c r="C4749">
        <v>15</v>
      </c>
      <c r="D4749" t="s">
        <v>60</v>
      </c>
      <c r="E4749" t="s">
        <v>44</v>
      </c>
      <c r="F4749" s="1">
        <v>42507</v>
      </c>
      <c r="G4749" s="1">
        <v>42509</v>
      </c>
      <c r="H4749" t="s">
        <v>33</v>
      </c>
      <c r="I4749">
        <v>2</v>
      </c>
      <c r="J4749" t="s">
        <v>109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 t="s">
        <v>26</v>
      </c>
      <c r="R4749">
        <v>1</v>
      </c>
    </row>
    <row r="4750" spans="1:18">
      <c r="A4750" s="4">
        <v>99637671331</v>
      </c>
      <c r="B4750" t="s">
        <v>28</v>
      </c>
      <c r="C4750">
        <v>46</v>
      </c>
      <c r="D4750" t="s">
        <v>27</v>
      </c>
      <c r="E4750" t="s">
        <v>67</v>
      </c>
      <c r="F4750" s="1">
        <v>42507</v>
      </c>
      <c r="G4750" s="1">
        <v>42507</v>
      </c>
      <c r="H4750" t="s">
        <v>41</v>
      </c>
      <c r="I4750">
        <v>0</v>
      </c>
      <c r="J4750" t="s">
        <v>111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23</v>
      </c>
      <c r="R4750">
        <v>0</v>
      </c>
    </row>
    <row r="4751" spans="1:18">
      <c r="A4751" s="4">
        <v>188697000000000</v>
      </c>
      <c r="B4751" t="s">
        <v>28</v>
      </c>
      <c r="C4751">
        <v>42</v>
      </c>
      <c r="D4751" t="s">
        <v>27</v>
      </c>
      <c r="E4751" t="s">
        <v>39</v>
      </c>
      <c r="F4751" s="1">
        <v>42507</v>
      </c>
      <c r="G4751" s="1">
        <v>42524</v>
      </c>
      <c r="H4751" t="s">
        <v>21</v>
      </c>
      <c r="I4751">
        <v>17</v>
      </c>
      <c r="J4751" t="s">
        <v>77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 t="s">
        <v>26</v>
      </c>
      <c r="R4751">
        <v>1</v>
      </c>
    </row>
    <row r="4752" spans="1:18">
      <c r="A4752" s="4">
        <v>863615000000000</v>
      </c>
      <c r="B4752" t="s">
        <v>28</v>
      </c>
      <c r="C4752">
        <v>45</v>
      </c>
      <c r="D4752" t="s">
        <v>27</v>
      </c>
      <c r="E4752" t="s">
        <v>39</v>
      </c>
      <c r="F4752" s="1">
        <v>42507</v>
      </c>
      <c r="G4752" s="1">
        <v>42524</v>
      </c>
      <c r="H4752" t="s">
        <v>21</v>
      </c>
      <c r="I4752">
        <v>17</v>
      </c>
      <c r="J4752" t="s">
        <v>77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23</v>
      </c>
      <c r="R4752">
        <v>0</v>
      </c>
    </row>
    <row r="4753" spans="1:18">
      <c r="A4753" s="4">
        <v>7569550000000</v>
      </c>
      <c r="B4753" t="s">
        <v>28</v>
      </c>
      <c r="C4753">
        <v>35</v>
      </c>
      <c r="D4753" t="s">
        <v>37</v>
      </c>
      <c r="E4753" t="s">
        <v>89</v>
      </c>
      <c r="F4753" s="1">
        <v>42507</v>
      </c>
      <c r="G4753" s="1">
        <v>42509</v>
      </c>
      <c r="H4753" t="s">
        <v>33</v>
      </c>
      <c r="I4753">
        <v>2</v>
      </c>
      <c r="J4753" t="s">
        <v>109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26</v>
      </c>
      <c r="R4753">
        <v>1</v>
      </c>
    </row>
    <row r="4754" spans="1:18">
      <c r="A4754" s="4">
        <v>27196900000000</v>
      </c>
      <c r="B4754" t="s">
        <v>18</v>
      </c>
      <c r="C4754">
        <v>55</v>
      </c>
      <c r="D4754" t="s">
        <v>35</v>
      </c>
      <c r="E4754" t="s">
        <v>81</v>
      </c>
      <c r="F4754" s="1">
        <v>42508</v>
      </c>
      <c r="G4754" s="1">
        <v>42510</v>
      </c>
      <c r="H4754" t="s">
        <v>21</v>
      </c>
      <c r="I4754">
        <v>2</v>
      </c>
      <c r="J4754" t="s">
        <v>109</v>
      </c>
      <c r="K4754">
        <v>1</v>
      </c>
      <c r="L4754">
        <v>1</v>
      </c>
      <c r="M4754">
        <v>0</v>
      </c>
      <c r="N4754">
        <v>0</v>
      </c>
      <c r="O4754">
        <v>0</v>
      </c>
      <c r="P4754">
        <v>0</v>
      </c>
      <c r="Q4754" t="s">
        <v>23</v>
      </c>
      <c r="R4754">
        <v>0</v>
      </c>
    </row>
    <row r="4755" spans="1:18">
      <c r="A4755" s="4">
        <v>4454220000000</v>
      </c>
      <c r="B4755" t="s">
        <v>18</v>
      </c>
      <c r="C4755">
        <v>39</v>
      </c>
      <c r="D4755" t="s">
        <v>27</v>
      </c>
      <c r="E4755" t="s">
        <v>87</v>
      </c>
      <c r="F4755" s="1">
        <v>42508</v>
      </c>
      <c r="G4755" s="1">
        <v>42510</v>
      </c>
      <c r="H4755" t="s">
        <v>21</v>
      </c>
      <c r="I4755">
        <v>2</v>
      </c>
      <c r="J4755" t="s">
        <v>109</v>
      </c>
      <c r="K4755">
        <v>1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23</v>
      </c>
      <c r="R4755">
        <v>0</v>
      </c>
    </row>
    <row r="4756" spans="1:18">
      <c r="A4756" s="4">
        <v>817662677</v>
      </c>
      <c r="B4756" t="s">
        <v>18</v>
      </c>
      <c r="C4756">
        <v>16</v>
      </c>
      <c r="D4756" t="s">
        <v>60</v>
      </c>
      <c r="E4756" t="s">
        <v>71</v>
      </c>
      <c r="F4756" s="1">
        <v>42508</v>
      </c>
      <c r="G4756" s="1">
        <v>42520</v>
      </c>
      <c r="H4756" t="s">
        <v>30</v>
      </c>
      <c r="I4756">
        <v>12</v>
      </c>
      <c r="J4756" t="s">
        <v>92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23</v>
      </c>
      <c r="R4756">
        <v>0</v>
      </c>
    </row>
    <row r="4757" spans="1:18">
      <c r="A4757" s="4">
        <v>1519420000000</v>
      </c>
      <c r="B4757" t="s">
        <v>18</v>
      </c>
      <c r="C4757">
        <v>53</v>
      </c>
      <c r="D4757" t="s">
        <v>35</v>
      </c>
      <c r="E4757" t="s">
        <v>40</v>
      </c>
      <c r="F4757" s="1">
        <v>42508</v>
      </c>
      <c r="G4757" s="1">
        <v>42508</v>
      </c>
      <c r="H4757" t="s">
        <v>25</v>
      </c>
      <c r="I4757">
        <v>0</v>
      </c>
      <c r="J4757" t="s">
        <v>111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23</v>
      </c>
      <c r="R4757">
        <v>0</v>
      </c>
    </row>
    <row r="4758" spans="1:18">
      <c r="A4758" s="4">
        <v>832256000000000</v>
      </c>
      <c r="B4758" t="s">
        <v>18</v>
      </c>
      <c r="C4758">
        <v>51</v>
      </c>
      <c r="D4758" t="s">
        <v>35</v>
      </c>
      <c r="E4758" t="s">
        <v>32</v>
      </c>
      <c r="F4758" s="1">
        <v>42508</v>
      </c>
      <c r="G4758" s="1">
        <v>42508</v>
      </c>
      <c r="H4758" t="s">
        <v>25</v>
      </c>
      <c r="I4758">
        <v>0</v>
      </c>
      <c r="J4758" t="s">
        <v>111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23</v>
      </c>
      <c r="R4758">
        <v>0</v>
      </c>
    </row>
    <row r="4759" spans="1:18">
      <c r="A4759" s="4">
        <v>732260000000</v>
      </c>
      <c r="B4759" t="s">
        <v>18</v>
      </c>
      <c r="C4759">
        <v>6</v>
      </c>
      <c r="D4759" t="s">
        <v>31</v>
      </c>
      <c r="E4759" t="s">
        <v>71</v>
      </c>
      <c r="F4759" s="1">
        <v>42508</v>
      </c>
      <c r="G4759" s="1">
        <v>42523</v>
      </c>
      <c r="H4759" t="s">
        <v>33</v>
      </c>
      <c r="I4759">
        <v>15</v>
      </c>
      <c r="J4759" t="s">
        <v>77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1</v>
      </c>
      <c r="Q4759" t="s">
        <v>23</v>
      </c>
      <c r="R4759">
        <v>0</v>
      </c>
    </row>
    <row r="4760" spans="1:18">
      <c r="A4760" s="4">
        <v>298453000000</v>
      </c>
      <c r="B4760" t="s">
        <v>28</v>
      </c>
      <c r="C4760">
        <v>29</v>
      </c>
      <c r="D4760" t="s">
        <v>37</v>
      </c>
      <c r="E4760" t="s">
        <v>69</v>
      </c>
      <c r="F4760" s="1">
        <v>42508</v>
      </c>
      <c r="G4760" s="1">
        <v>42508</v>
      </c>
      <c r="H4760" t="s">
        <v>25</v>
      </c>
      <c r="I4760">
        <v>0</v>
      </c>
      <c r="J4760" t="s">
        <v>111</v>
      </c>
      <c r="K4760">
        <v>0</v>
      </c>
      <c r="L4760">
        <v>0</v>
      </c>
      <c r="M4760">
        <v>0</v>
      </c>
      <c r="N4760">
        <v>0</v>
      </c>
      <c r="O4760">
        <v>1</v>
      </c>
      <c r="P4760">
        <v>0</v>
      </c>
      <c r="Q4760" t="s">
        <v>23</v>
      </c>
      <c r="R4760">
        <v>0</v>
      </c>
    </row>
    <row r="4761" spans="1:18">
      <c r="A4761" s="4">
        <v>3319880000000</v>
      </c>
      <c r="B4761" t="s">
        <v>18</v>
      </c>
      <c r="C4761">
        <v>8</v>
      </c>
      <c r="D4761" t="s">
        <v>31</v>
      </c>
      <c r="E4761" t="s">
        <v>32</v>
      </c>
      <c r="F4761" s="1">
        <v>42508</v>
      </c>
      <c r="G4761" s="1">
        <v>42508</v>
      </c>
      <c r="H4761" t="s">
        <v>25</v>
      </c>
      <c r="I4761">
        <v>0</v>
      </c>
      <c r="J4761" t="s">
        <v>111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23</v>
      </c>
      <c r="R4761">
        <v>0</v>
      </c>
    </row>
    <row r="4762" spans="1:18">
      <c r="A4762" s="4">
        <v>33713473292</v>
      </c>
      <c r="B4762" t="s">
        <v>18</v>
      </c>
      <c r="C4762">
        <v>45</v>
      </c>
      <c r="D4762" t="s">
        <v>27</v>
      </c>
      <c r="E4762" t="s">
        <v>34</v>
      </c>
      <c r="F4762" s="1">
        <v>42508</v>
      </c>
      <c r="G4762" s="1">
        <v>42509</v>
      </c>
      <c r="H4762" t="s">
        <v>33</v>
      </c>
      <c r="I4762">
        <v>1</v>
      </c>
      <c r="J4762" t="s">
        <v>109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23</v>
      </c>
      <c r="R4762">
        <v>0</v>
      </c>
    </row>
    <row r="4763" spans="1:18">
      <c r="A4763" s="4">
        <v>664461000000000</v>
      </c>
      <c r="B4763" t="s">
        <v>18</v>
      </c>
      <c r="C4763">
        <v>42</v>
      </c>
      <c r="D4763" t="s">
        <v>27</v>
      </c>
      <c r="E4763" t="s">
        <v>54</v>
      </c>
      <c r="F4763" s="1">
        <v>42508</v>
      </c>
      <c r="G4763" s="1">
        <v>42523</v>
      </c>
      <c r="H4763" t="s">
        <v>33</v>
      </c>
      <c r="I4763">
        <v>15</v>
      </c>
      <c r="J4763" t="s">
        <v>77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1</v>
      </c>
      <c r="Q4763" t="s">
        <v>26</v>
      </c>
      <c r="R4763">
        <v>1</v>
      </c>
    </row>
    <row r="4764" spans="1:18">
      <c r="A4764" s="4">
        <v>765432000000000</v>
      </c>
      <c r="B4764" t="s">
        <v>28</v>
      </c>
      <c r="C4764">
        <v>52</v>
      </c>
      <c r="D4764" t="s">
        <v>35</v>
      </c>
      <c r="E4764" t="s">
        <v>64</v>
      </c>
      <c r="F4764" s="1">
        <v>42508</v>
      </c>
      <c r="G4764" s="1">
        <v>42523</v>
      </c>
      <c r="H4764" t="s">
        <v>33</v>
      </c>
      <c r="I4764">
        <v>15</v>
      </c>
      <c r="J4764" t="s">
        <v>77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23</v>
      </c>
      <c r="R4764">
        <v>0</v>
      </c>
    </row>
    <row r="4765" spans="1:18">
      <c r="A4765" s="4">
        <v>52983200000000</v>
      </c>
      <c r="B4765" t="s">
        <v>18</v>
      </c>
      <c r="C4765">
        <v>78</v>
      </c>
      <c r="D4765" t="s">
        <v>19</v>
      </c>
      <c r="E4765" t="s">
        <v>29</v>
      </c>
      <c r="F4765" s="1">
        <v>42508</v>
      </c>
      <c r="G4765" s="1">
        <v>42510</v>
      </c>
      <c r="H4765" t="s">
        <v>21</v>
      </c>
      <c r="I4765">
        <v>2</v>
      </c>
      <c r="J4765" t="s">
        <v>109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23</v>
      </c>
      <c r="R4765">
        <v>0</v>
      </c>
    </row>
    <row r="4766" spans="1:18">
      <c r="A4766" s="4">
        <v>54859300000000</v>
      </c>
      <c r="B4766" t="s">
        <v>18</v>
      </c>
      <c r="C4766">
        <v>89</v>
      </c>
      <c r="D4766" t="s">
        <v>19</v>
      </c>
      <c r="E4766" t="s">
        <v>34</v>
      </c>
      <c r="F4766" s="1">
        <v>42508</v>
      </c>
      <c r="G4766" s="1">
        <v>42514</v>
      </c>
      <c r="H4766" t="s">
        <v>41</v>
      </c>
      <c r="I4766">
        <v>6</v>
      </c>
      <c r="J4766" t="s">
        <v>107</v>
      </c>
      <c r="K4766">
        <v>0</v>
      </c>
      <c r="L4766">
        <v>1</v>
      </c>
      <c r="M4766">
        <v>1</v>
      </c>
      <c r="N4766">
        <v>0</v>
      </c>
      <c r="O4766">
        <v>0</v>
      </c>
      <c r="P4766">
        <v>1</v>
      </c>
      <c r="Q4766" t="s">
        <v>23</v>
      </c>
      <c r="R4766">
        <v>0</v>
      </c>
    </row>
    <row r="4767" spans="1:18">
      <c r="A4767" s="4">
        <v>98298923136</v>
      </c>
      <c r="B4767" t="s">
        <v>28</v>
      </c>
      <c r="C4767">
        <v>42</v>
      </c>
      <c r="D4767" t="s">
        <v>27</v>
      </c>
      <c r="E4767" t="s">
        <v>106</v>
      </c>
      <c r="F4767" s="1">
        <v>42508</v>
      </c>
      <c r="G4767" s="1">
        <v>42508</v>
      </c>
      <c r="H4767" t="s">
        <v>25</v>
      </c>
      <c r="I4767">
        <v>0</v>
      </c>
      <c r="J4767" t="s">
        <v>111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23</v>
      </c>
      <c r="R4767">
        <v>0</v>
      </c>
    </row>
    <row r="4768" spans="1:18">
      <c r="A4768" s="4">
        <v>2752980000000</v>
      </c>
      <c r="B4768" t="s">
        <v>18</v>
      </c>
      <c r="C4768">
        <v>7</v>
      </c>
      <c r="D4768" t="s">
        <v>31</v>
      </c>
      <c r="E4768" t="s">
        <v>32</v>
      </c>
      <c r="F4768" s="1">
        <v>42508</v>
      </c>
      <c r="G4768" s="1">
        <v>42508</v>
      </c>
      <c r="H4768" t="s">
        <v>25</v>
      </c>
      <c r="I4768">
        <v>0</v>
      </c>
      <c r="J4768" t="s">
        <v>111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 t="s">
        <v>23</v>
      </c>
      <c r="R4768">
        <v>0</v>
      </c>
    </row>
    <row r="4769" spans="1:18">
      <c r="A4769" s="4">
        <v>5747740000000</v>
      </c>
      <c r="B4769" t="s">
        <v>18</v>
      </c>
      <c r="C4769">
        <v>52</v>
      </c>
      <c r="D4769" t="s">
        <v>35</v>
      </c>
      <c r="E4769" t="s">
        <v>54</v>
      </c>
      <c r="F4769" s="1">
        <v>42508</v>
      </c>
      <c r="G4769" s="1">
        <v>42508</v>
      </c>
      <c r="H4769" t="s">
        <v>25</v>
      </c>
      <c r="I4769">
        <v>0</v>
      </c>
      <c r="J4769" t="s">
        <v>111</v>
      </c>
      <c r="K4769">
        <v>0</v>
      </c>
      <c r="L4769">
        <v>1</v>
      </c>
      <c r="M4769">
        <v>0</v>
      </c>
      <c r="N4769">
        <v>0</v>
      </c>
      <c r="O4769">
        <v>0</v>
      </c>
      <c r="P4769">
        <v>0</v>
      </c>
      <c r="Q4769" t="s">
        <v>26</v>
      </c>
      <c r="R4769">
        <v>1</v>
      </c>
    </row>
    <row r="4770" spans="1:18">
      <c r="A4770" s="4">
        <v>14199600000000</v>
      </c>
      <c r="B4770" t="s">
        <v>18</v>
      </c>
      <c r="C4770">
        <v>50</v>
      </c>
      <c r="D4770" t="s">
        <v>27</v>
      </c>
      <c r="E4770" t="s">
        <v>68</v>
      </c>
      <c r="F4770" s="1">
        <v>42508</v>
      </c>
      <c r="G4770" s="1">
        <v>42508</v>
      </c>
      <c r="H4770" t="s">
        <v>25</v>
      </c>
      <c r="I4770">
        <v>0</v>
      </c>
      <c r="J4770" t="s">
        <v>111</v>
      </c>
      <c r="K4770">
        <v>1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23</v>
      </c>
      <c r="R4770">
        <v>0</v>
      </c>
    </row>
    <row r="4771" spans="1:18">
      <c r="A4771" s="4">
        <v>1515690000000</v>
      </c>
      <c r="B4771" t="s">
        <v>18</v>
      </c>
      <c r="C4771">
        <v>40</v>
      </c>
      <c r="D4771" t="s">
        <v>27</v>
      </c>
      <c r="E4771" t="s">
        <v>29</v>
      </c>
      <c r="F4771" s="1">
        <v>42508</v>
      </c>
      <c r="G4771" s="1">
        <v>42508</v>
      </c>
      <c r="H4771" t="s">
        <v>25</v>
      </c>
      <c r="I4771">
        <v>0</v>
      </c>
      <c r="J4771" t="s">
        <v>111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 t="s">
        <v>23</v>
      </c>
      <c r="R4771">
        <v>0</v>
      </c>
    </row>
    <row r="4772" spans="1:18">
      <c r="A4772" s="4">
        <v>24274319532</v>
      </c>
      <c r="B4772" t="s">
        <v>18</v>
      </c>
      <c r="C4772">
        <v>17</v>
      </c>
      <c r="D4772" t="s">
        <v>60</v>
      </c>
      <c r="E4772" t="s">
        <v>66</v>
      </c>
      <c r="F4772" s="1">
        <v>42508</v>
      </c>
      <c r="G4772" s="1">
        <v>42510</v>
      </c>
      <c r="H4772" t="s">
        <v>21</v>
      </c>
      <c r="I4772">
        <v>2</v>
      </c>
      <c r="J4772" t="s">
        <v>109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26</v>
      </c>
      <c r="R4772">
        <v>1</v>
      </c>
    </row>
    <row r="4773" spans="1:18">
      <c r="A4773" s="4">
        <v>36685400000000</v>
      </c>
      <c r="B4773" t="s">
        <v>28</v>
      </c>
      <c r="C4773">
        <v>50</v>
      </c>
      <c r="D4773" t="s">
        <v>27</v>
      </c>
      <c r="E4773" t="s">
        <v>39</v>
      </c>
      <c r="F4773" s="1">
        <v>42508</v>
      </c>
      <c r="G4773" s="1">
        <v>42510</v>
      </c>
      <c r="H4773" t="s">
        <v>21</v>
      </c>
      <c r="I4773">
        <v>2</v>
      </c>
      <c r="J4773" t="s">
        <v>109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26</v>
      </c>
      <c r="R4773">
        <v>1</v>
      </c>
    </row>
    <row r="4774" spans="1:18">
      <c r="A4774" s="4">
        <v>39814500000000</v>
      </c>
      <c r="B4774" t="s">
        <v>18</v>
      </c>
      <c r="C4774">
        <v>19</v>
      </c>
      <c r="D4774" t="s">
        <v>37</v>
      </c>
      <c r="E4774" t="s">
        <v>34</v>
      </c>
      <c r="F4774" s="1">
        <v>42508</v>
      </c>
      <c r="G4774" s="1">
        <v>42521</v>
      </c>
      <c r="H4774" t="s">
        <v>41</v>
      </c>
      <c r="I4774">
        <v>13</v>
      </c>
      <c r="J4774" t="s">
        <v>92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 t="s">
        <v>23</v>
      </c>
      <c r="R4774">
        <v>0</v>
      </c>
    </row>
    <row r="4775" spans="1:18">
      <c r="A4775" s="4">
        <v>496379000000000</v>
      </c>
      <c r="B4775" t="s">
        <v>18</v>
      </c>
      <c r="C4775">
        <v>23</v>
      </c>
      <c r="D4775" t="s">
        <v>37</v>
      </c>
      <c r="E4775" t="s">
        <v>59</v>
      </c>
      <c r="F4775" s="1">
        <v>42508</v>
      </c>
      <c r="G4775" s="1">
        <v>42508</v>
      </c>
      <c r="H4775" t="s">
        <v>25</v>
      </c>
      <c r="I4775">
        <v>0</v>
      </c>
      <c r="J4775" t="s">
        <v>111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23</v>
      </c>
      <c r="R4775">
        <v>0</v>
      </c>
    </row>
    <row r="4776" spans="1:18">
      <c r="A4776" s="4">
        <v>48282436883</v>
      </c>
      <c r="B4776" t="s">
        <v>18</v>
      </c>
      <c r="C4776">
        <v>46</v>
      </c>
      <c r="D4776" t="s">
        <v>27</v>
      </c>
      <c r="E4776" t="s">
        <v>44</v>
      </c>
      <c r="F4776" s="1">
        <v>42508</v>
      </c>
      <c r="G4776" s="1">
        <v>42508</v>
      </c>
      <c r="H4776" t="s">
        <v>25</v>
      </c>
      <c r="I4776">
        <v>0</v>
      </c>
      <c r="J4776" t="s">
        <v>111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23</v>
      </c>
      <c r="R4776">
        <v>0</v>
      </c>
    </row>
    <row r="4777" spans="1:18">
      <c r="A4777" s="4">
        <v>742256000000000</v>
      </c>
      <c r="B4777" t="s">
        <v>18</v>
      </c>
      <c r="C4777">
        <v>11</v>
      </c>
      <c r="D4777" t="s">
        <v>31</v>
      </c>
      <c r="E4777" t="s">
        <v>59</v>
      </c>
      <c r="F4777" s="1">
        <v>42508</v>
      </c>
      <c r="G4777" s="1">
        <v>42508</v>
      </c>
      <c r="H4777" t="s">
        <v>25</v>
      </c>
      <c r="I4777">
        <v>0</v>
      </c>
      <c r="J4777" t="s">
        <v>111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23</v>
      </c>
      <c r="R4777">
        <v>0</v>
      </c>
    </row>
    <row r="4778" spans="1:18">
      <c r="A4778" s="4">
        <v>4934710000000</v>
      </c>
      <c r="B4778" t="s">
        <v>18</v>
      </c>
      <c r="C4778">
        <v>74</v>
      </c>
      <c r="D4778" t="s">
        <v>19</v>
      </c>
      <c r="E4778" t="s">
        <v>43</v>
      </c>
      <c r="F4778" s="1">
        <v>42508</v>
      </c>
      <c r="G4778" s="1">
        <v>42508</v>
      </c>
      <c r="H4778" t="s">
        <v>25</v>
      </c>
      <c r="I4778">
        <v>0</v>
      </c>
      <c r="J4778" t="s">
        <v>111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 t="s">
        <v>23</v>
      </c>
      <c r="R4778">
        <v>0</v>
      </c>
    </row>
    <row r="4779" spans="1:18">
      <c r="A4779" s="4">
        <v>95572000000000</v>
      </c>
      <c r="B4779" t="s">
        <v>28</v>
      </c>
      <c r="C4779">
        <v>35</v>
      </c>
      <c r="D4779" t="s">
        <v>37</v>
      </c>
      <c r="E4779" t="s">
        <v>105</v>
      </c>
      <c r="F4779" s="1">
        <v>42508</v>
      </c>
      <c r="G4779" s="1">
        <v>42508</v>
      </c>
      <c r="H4779" t="s">
        <v>25</v>
      </c>
      <c r="I4779">
        <v>0</v>
      </c>
      <c r="J4779" t="s">
        <v>111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 t="s">
        <v>23</v>
      </c>
      <c r="R4779">
        <v>0</v>
      </c>
    </row>
    <row r="4780" spans="1:18">
      <c r="A4780" s="4">
        <v>925216000000000</v>
      </c>
      <c r="B4780" t="s">
        <v>28</v>
      </c>
      <c r="C4780">
        <v>28</v>
      </c>
      <c r="D4780" t="s">
        <v>37</v>
      </c>
      <c r="E4780" t="s">
        <v>72</v>
      </c>
      <c r="F4780" s="1">
        <v>42508</v>
      </c>
      <c r="G4780" s="1">
        <v>42520</v>
      </c>
      <c r="H4780" t="s">
        <v>30</v>
      </c>
      <c r="I4780">
        <v>12</v>
      </c>
      <c r="J4780" t="s">
        <v>92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1</v>
      </c>
      <c r="Q4780" t="s">
        <v>23</v>
      </c>
      <c r="R4780">
        <v>0</v>
      </c>
    </row>
    <row r="4781" spans="1:18">
      <c r="A4781" s="4">
        <v>691569000000000</v>
      </c>
      <c r="B4781" t="s">
        <v>18</v>
      </c>
      <c r="C4781">
        <v>21</v>
      </c>
      <c r="D4781" t="s">
        <v>37</v>
      </c>
      <c r="E4781" t="s">
        <v>69</v>
      </c>
      <c r="F4781" s="1">
        <v>42508</v>
      </c>
      <c r="G4781" s="1">
        <v>42508</v>
      </c>
      <c r="H4781" t="s">
        <v>25</v>
      </c>
      <c r="I4781">
        <v>0</v>
      </c>
      <c r="J4781" t="s">
        <v>111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 t="s">
        <v>23</v>
      </c>
      <c r="R4781">
        <v>0</v>
      </c>
    </row>
    <row r="4782" spans="1:18">
      <c r="A4782" s="4">
        <v>82371300000000</v>
      </c>
      <c r="B4782" t="s">
        <v>28</v>
      </c>
      <c r="C4782">
        <v>80</v>
      </c>
      <c r="D4782" t="s">
        <v>19</v>
      </c>
      <c r="E4782" t="s">
        <v>67</v>
      </c>
      <c r="F4782" s="1">
        <v>42508</v>
      </c>
      <c r="G4782" s="1">
        <v>42508</v>
      </c>
      <c r="H4782" t="s">
        <v>25</v>
      </c>
      <c r="I4782">
        <v>0</v>
      </c>
      <c r="J4782" t="s">
        <v>111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 t="s">
        <v>23</v>
      </c>
      <c r="R4782">
        <v>0</v>
      </c>
    </row>
    <row r="4783" spans="1:18">
      <c r="A4783" s="4">
        <v>36879700000000</v>
      </c>
      <c r="B4783" t="s">
        <v>18</v>
      </c>
      <c r="C4783">
        <v>19</v>
      </c>
      <c r="D4783" t="s">
        <v>37</v>
      </c>
      <c r="E4783" t="s">
        <v>61</v>
      </c>
      <c r="F4783" s="1">
        <v>42508</v>
      </c>
      <c r="G4783" s="1">
        <v>42524</v>
      </c>
      <c r="H4783" t="s">
        <v>21</v>
      </c>
      <c r="I4783">
        <v>16</v>
      </c>
      <c r="J4783" t="s">
        <v>77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1</v>
      </c>
      <c r="Q4783" t="s">
        <v>26</v>
      </c>
      <c r="R4783">
        <v>1</v>
      </c>
    </row>
    <row r="4784" spans="1:18">
      <c r="A4784" s="4">
        <v>827879000000</v>
      </c>
      <c r="B4784" t="s">
        <v>18</v>
      </c>
      <c r="C4784">
        <v>31</v>
      </c>
      <c r="D4784" t="s">
        <v>37</v>
      </c>
      <c r="E4784" t="s">
        <v>54</v>
      </c>
      <c r="F4784" s="1">
        <v>42508</v>
      </c>
      <c r="G4784" s="1">
        <v>42521</v>
      </c>
      <c r="H4784" t="s">
        <v>41</v>
      </c>
      <c r="I4784">
        <v>13</v>
      </c>
      <c r="J4784" t="s">
        <v>92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23</v>
      </c>
      <c r="R4784">
        <v>0</v>
      </c>
    </row>
    <row r="4785" spans="1:18">
      <c r="A4785" s="4">
        <v>697458000000000</v>
      </c>
      <c r="B4785" t="s">
        <v>28</v>
      </c>
      <c r="C4785">
        <v>13</v>
      </c>
      <c r="D4785" t="s">
        <v>60</v>
      </c>
      <c r="E4785" t="s">
        <v>54</v>
      </c>
      <c r="F4785" s="1">
        <v>42508</v>
      </c>
      <c r="G4785" s="1">
        <v>42508</v>
      </c>
      <c r="H4785" t="s">
        <v>25</v>
      </c>
      <c r="I4785">
        <v>0</v>
      </c>
      <c r="J4785" t="s">
        <v>111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 t="s">
        <v>23</v>
      </c>
      <c r="R4785">
        <v>0</v>
      </c>
    </row>
    <row r="4786" spans="1:18">
      <c r="A4786" s="4">
        <v>9874120000000</v>
      </c>
      <c r="B4786" t="s">
        <v>18</v>
      </c>
      <c r="C4786">
        <v>23</v>
      </c>
      <c r="D4786" t="s">
        <v>37</v>
      </c>
      <c r="E4786" t="s">
        <v>54</v>
      </c>
      <c r="F4786" s="1">
        <v>42508</v>
      </c>
      <c r="G4786" s="1">
        <v>42508</v>
      </c>
      <c r="H4786" t="s">
        <v>25</v>
      </c>
      <c r="I4786">
        <v>0</v>
      </c>
      <c r="J4786" t="s">
        <v>111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23</v>
      </c>
      <c r="R4786">
        <v>0</v>
      </c>
    </row>
    <row r="4787" spans="1:18">
      <c r="A4787" s="4">
        <v>817764000000000</v>
      </c>
      <c r="B4787" t="s">
        <v>18</v>
      </c>
      <c r="C4787">
        <v>11</v>
      </c>
      <c r="D4787" t="s">
        <v>31</v>
      </c>
      <c r="E4787" t="s">
        <v>78</v>
      </c>
      <c r="F4787" s="1">
        <v>42508</v>
      </c>
      <c r="G4787" s="1">
        <v>42514</v>
      </c>
      <c r="H4787" t="s">
        <v>41</v>
      </c>
      <c r="I4787">
        <v>6</v>
      </c>
      <c r="J4787" t="s">
        <v>107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1</v>
      </c>
      <c r="Q4787" t="s">
        <v>23</v>
      </c>
      <c r="R4787">
        <v>0</v>
      </c>
    </row>
    <row r="4788" spans="1:18">
      <c r="A4788" s="4">
        <v>596173000000000</v>
      </c>
      <c r="B4788" t="s">
        <v>28</v>
      </c>
      <c r="C4788">
        <v>58</v>
      </c>
      <c r="D4788" t="s">
        <v>35</v>
      </c>
      <c r="E4788" t="s">
        <v>101</v>
      </c>
      <c r="F4788" s="1">
        <v>42508</v>
      </c>
      <c r="G4788" s="1">
        <v>42508</v>
      </c>
      <c r="H4788" t="s">
        <v>25</v>
      </c>
      <c r="I4788">
        <v>0</v>
      </c>
      <c r="J4788" t="s">
        <v>111</v>
      </c>
      <c r="K4788">
        <v>0</v>
      </c>
      <c r="L4788">
        <v>1</v>
      </c>
      <c r="M4788">
        <v>0</v>
      </c>
      <c r="N4788">
        <v>0</v>
      </c>
      <c r="O4788">
        <v>0</v>
      </c>
      <c r="P4788">
        <v>0</v>
      </c>
      <c r="Q4788" t="s">
        <v>23</v>
      </c>
      <c r="R4788">
        <v>0</v>
      </c>
    </row>
    <row r="4789" spans="1:18">
      <c r="A4789" s="4">
        <v>188232000000000</v>
      </c>
      <c r="B4789" t="s">
        <v>28</v>
      </c>
      <c r="C4789">
        <v>45</v>
      </c>
      <c r="D4789" t="s">
        <v>27</v>
      </c>
      <c r="E4789" t="s">
        <v>67</v>
      </c>
      <c r="F4789" s="1">
        <v>42508</v>
      </c>
      <c r="G4789" s="1">
        <v>42508</v>
      </c>
      <c r="H4789" t="s">
        <v>25</v>
      </c>
      <c r="I4789">
        <v>0</v>
      </c>
      <c r="J4789" t="s">
        <v>111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23</v>
      </c>
      <c r="R4789">
        <v>0</v>
      </c>
    </row>
    <row r="4790" spans="1:18">
      <c r="A4790" s="4">
        <v>2271580000000</v>
      </c>
      <c r="B4790" t="s">
        <v>28</v>
      </c>
      <c r="C4790">
        <v>57</v>
      </c>
      <c r="D4790" t="s">
        <v>35</v>
      </c>
      <c r="E4790" t="s">
        <v>43</v>
      </c>
      <c r="F4790" s="1">
        <v>42508</v>
      </c>
      <c r="G4790" s="1">
        <v>42508</v>
      </c>
      <c r="H4790" t="s">
        <v>25</v>
      </c>
      <c r="I4790">
        <v>0</v>
      </c>
      <c r="J4790" t="s">
        <v>111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 t="s">
        <v>23</v>
      </c>
      <c r="R4790">
        <v>0</v>
      </c>
    </row>
    <row r="4791" spans="1:18">
      <c r="A4791" s="4">
        <v>431875000000000</v>
      </c>
      <c r="B4791" t="s">
        <v>28</v>
      </c>
      <c r="C4791">
        <v>0</v>
      </c>
      <c r="D4791" t="s">
        <v>31</v>
      </c>
      <c r="E4791" t="s">
        <v>32</v>
      </c>
      <c r="F4791" s="1">
        <v>42508</v>
      </c>
      <c r="G4791" s="1">
        <v>42508</v>
      </c>
      <c r="H4791" t="s">
        <v>25</v>
      </c>
      <c r="I4791">
        <v>0</v>
      </c>
      <c r="J4791" t="s">
        <v>111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 t="s">
        <v>23</v>
      </c>
      <c r="R4791">
        <v>0</v>
      </c>
    </row>
    <row r="4792" spans="1:18">
      <c r="A4792" s="4">
        <v>826713000000</v>
      </c>
      <c r="B4792" t="s">
        <v>18</v>
      </c>
      <c r="C4792">
        <v>51</v>
      </c>
      <c r="D4792" t="s">
        <v>35</v>
      </c>
      <c r="E4792" t="s">
        <v>57</v>
      </c>
      <c r="F4792" s="1">
        <v>42508</v>
      </c>
      <c r="G4792" s="1">
        <v>42522</v>
      </c>
      <c r="H4792" t="s">
        <v>25</v>
      </c>
      <c r="I4792">
        <v>14</v>
      </c>
      <c r="J4792" t="s">
        <v>92</v>
      </c>
      <c r="K4792">
        <v>0</v>
      </c>
      <c r="L4792">
        <v>1</v>
      </c>
      <c r="M4792">
        <v>0</v>
      </c>
      <c r="N4792">
        <v>1</v>
      </c>
      <c r="O4792">
        <v>0</v>
      </c>
      <c r="P4792">
        <v>1</v>
      </c>
      <c r="Q4792" t="s">
        <v>23</v>
      </c>
      <c r="R4792">
        <v>0</v>
      </c>
    </row>
    <row r="4793" spans="1:18">
      <c r="A4793" s="4">
        <v>68337600000000</v>
      </c>
      <c r="B4793" t="s">
        <v>18</v>
      </c>
      <c r="C4793">
        <v>33</v>
      </c>
      <c r="D4793" t="s">
        <v>37</v>
      </c>
      <c r="E4793" t="s">
        <v>58</v>
      </c>
      <c r="F4793" s="1">
        <v>42508</v>
      </c>
      <c r="G4793" s="1">
        <v>42508</v>
      </c>
      <c r="H4793" t="s">
        <v>25</v>
      </c>
      <c r="I4793">
        <v>0</v>
      </c>
      <c r="J4793" t="s">
        <v>111</v>
      </c>
      <c r="K4793">
        <v>1</v>
      </c>
      <c r="L4793">
        <v>1</v>
      </c>
      <c r="M4793">
        <v>0</v>
      </c>
      <c r="N4793">
        <v>0</v>
      </c>
      <c r="O4793">
        <v>0</v>
      </c>
      <c r="P4793">
        <v>0</v>
      </c>
      <c r="Q4793" t="s">
        <v>23</v>
      </c>
      <c r="R4793">
        <v>0</v>
      </c>
    </row>
    <row r="4794" spans="1:18">
      <c r="A4794" s="4">
        <v>7327440000000</v>
      </c>
      <c r="B4794" t="s">
        <v>18</v>
      </c>
      <c r="C4794">
        <v>1</v>
      </c>
      <c r="D4794" t="s">
        <v>31</v>
      </c>
      <c r="E4794" t="s">
        <v>105</v>
      </c>
      <c r="F4794" s="1">
        <v>42508</v>
      </c>
      <c r="G4794" s="1">
        <v>42508</v>
      </c>
      <c r="H4794" t="s">
        <v>25</v>
      </c>
      <c r="I4794">
        <v>0</v>
      </c>
      <c r="J4794" t="s">
        <v>111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 t="s">
        <v>23</v>
      </c>
      <c r="R4794">
        <v>0</v>
      </c>
    </row>
    <row r="4795" spans="1:18">
      <c r="A4795" s="4">
        <v>287650000000</v>
      </c>
      <c r="B4795" t="s">
        <v>18</v>
      </c>
      <c r="C4795">
        <v>31</v>
      </c>
      <c r="D4795" t="s">
        <v>37</v>
      </c>
      <c r="E4795" t="s">
        <v>94</v>
      </c>
      <c r="F4795" s="1">
        <v>42508</v>
      </c>
      <c r="G4795" s="1">
        <v>42508</v>
      </c>
      <c r="H4795" t="s">
        <v>25</v>
      </c>
      <c r="I4795">
        <v>0</v>
      </c>
      <c r="J4795" t="s">
        <v>111</v>
      </c>
      <c r="K4795">
        <v>1</v>
      </c>
      <c r="L4795">
        <v>0</v>
      </c>
      <c r="M4795">
        <v>0</v>
      </c>
      <c r="N4795">
        <v>0</v>
      </c>
      <c r="O4795">
        <v>0</v>
      </c>
      <c r="P4795">
        <v>0</v>
      </c>
      <c r="Q4795" t="s">
        <v>23</v>
      </c>
      <c r="R4795">
        <v>0</v>
      </c>
    </row>
    <row r="4796" spans="1:18">
      <c r="A4796" s="4">
        <v>91314100000000</v>
      </c>
      <c r="B4796" t="s">
        <v>18</v>
      </c>
      <c r="C4796">
        <v>14</v>
      </c>
      <c r="D4796" t="s">
        <v>60</v>
      </c>
      <c r="E4796" t="s">
        <v>61</v>
      </c>
      <c r="F4796" s="1">
        <v>42508</v>
      </c>
      <c r="G4796" s="1">
        <v>42514</v>
      </c>
      <c r="H4796" t="s">
        <v>41</v>
      </c>
      <c r="I4796">
        <v>6</v>
      </c>
      <c r="J4796" t="s">
        <v>107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1</v>
      </c>
      <c r="Q4796" t="s">
        <v>26</v>
      </c>
      <c r="R4796">
        <v>1</v>
      </c>
    </row>
    <row r="4797" spans="1:18">
      <c r="A4797" s="4">
        <v>836593000000000</v>
      </c>
      <c r="B4797" t="s">
        <v>18</v>
      </c>
      <c r="C4797">
        <v>61</v>
      </c>
      <c r="D4797" t="s">
        <v>35</v>
      </c>
      <c r="E4797" t="s">
        <v>32</v>
      </c>
      <c r="F4797" s="1">
        <v>42508</v>
      </c>
      <c r="G4797" s="1">
        <v>42521</v>
      </c>
      <c r="H4797" t="s">
        <v>41</v>
      </c>
      <c r="I4797">
        <v>13</v>
      </c>
      <c r="J4797" t="s">
        <v>92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23</v>
      </c>
      <c r="R4797">
        <v>0</v>
      </c>
    </row>
    <row r="4798" spans="1:18">
      <c r="A4798" s="4">
        <v>878328000000</v>
      </c>
      <c r="B4798" t="s">
        <v>28</v>
      </c>
      <c r="C4798">
        <v>10</v>
      </c>
      <c r="D4798" t="s">
        <v>31</v>
      </c>
      <c r="E4798" t="s">
        <v>43</v>
      </c>
      <c r="F4798" s="1">
        <v>42508</v>
      </c>
      <c r="G4798" s="1">
        <v>42521</v>
      </c>
      <c r="H4798" t="s">
        <v>41</v>
      </c>
      <c r="I4798">
        <v>13</v>
      </c>
      <c r="J4798" t="s">
        <v>92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1</v>
      </c>
      <c r="Q4798" t="s">
        <v>23</v>
      </c>
      <c r="R4798">
        <v>0</v>
      </c>
    </row>
    <row r="4799" spans="1:18">
      <c r="A4799" s="4">
        <v>155783000000</v>
      </c>
      <c r="B4799" t="s">
        <v>18</v>
      </c>
      <c r="C4799">
        <v>38</v>
      </c>
      <c r="D4799" t="s">
        <v>27</v>
      </c>
      <c r="E4799" t="s">
        <v>52</v>
      </c>
      <c r="F4799" s="1">
        <v>42508</v>
      </c>
      <c r="G4799" s="1">
        <v>42509</v>
      </c>
      <c r="H4799" t="s">
        <v>33</v>
      </c>
      <c r="I4799">
        <v>1</v>
      </c>
      <c r="J4799" t="s">
        <v>109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23</v>
      </c>
      <c r="R4799">
        <v>0</v>
      </c>
    </row>
    <row r="4800" spans="1:18">
      <c r="A4800" s="4">
        <v>32145200000000</v>
      </c>
      <c r="B4800" t="s">
        <v>18</v>
      </c>
      <c r="C4800">
        <v>3</v>
      </c>
      <c r="D4800" t="s">
        <v>31</v>
      </c>
      <c r="E4800" t="s">
        <v>50</v>
      </c>
      <c r="F4800" s="1">
        <v>42508</v>
      </c>
      <c r="G4800" s="1">
        <v>42508</v>
      </c>
      <c r="H4800" t="s">
        <v>25</v>
      </c>
      <c r="I4800">
        <v>0</v>
      </c>
      <c r="J4800" t="s">
        <v>111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23</v>
      </c>
      <c r="R4800">
        <v>0</v>
      </c>
    </row>
    <row r="4801" spans="1:18">
      <c r="A4801" s="4">
        <v>443328000000</v>
      </c>
      <c r="B4801" t="s">
        <v>28</v>
      </c>
      <c r="C4801">
        <v>8</v>
      </c>
      <c r="D4801" t="s">
        <v>31</v>
      </c>
      <c r="E4801" t="s">
        <v>20</v>
      </c>
      <c r="F4801" s="1">
        <v>42508</v>
      </c>
      <c r="G4801" s="1">
        <v>42509</v>
      </c>
      <c r="H4801" t="s">
        <v>33</v>
      </c>
      <c r="I4801">
        <v>1</v>
      </c>
      <c r="J4801" t="s">
        <v>109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23</v>
      </c>
      <c r="R4801">
        <v>0</v>
      </c>
    </row>
    <row r="4802" spans="1:18">
      <c r="A4802" s="4">
        <v>33726400000000</v>
      </c>
      <c r="B4802" t="s">
        <v>18</v>
      </c>
      <c r="C4802">
        <v>40</v>
      </c>
      <c r="D4802" t="s">
        <v>27</v>
      </c>
      <c r="E4802" t="s">
        <v>66</v>
      </c>
      <c r="F4802" s="1">
        <v>42508</v>
      </c>
      <c r="G4802" s="1">
        <v>42509</v>
      </c>
      <c r="H4802" t="s">
        <v>33</v>
      </c>
      <c r="I4802">
        <v>1</v>
      </c>
      <c r="J4802" t="s">
        <v>109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23</v>
      </c>
      <c r="R4802">
        <v>0</v>
      </c>
    </row>
    <row r="4803" spans="1:18">
      <c r="A4803" s="4">
        <v>948566000000</v>
      </c>
      <c r="B4803" t="s">
        <v>18</v>
      </c>
      <c r="C4803">
        <v>52</v>
      </c>
      <c r="D4803" t="s">
        <v>35</v>
      </c>
      <c r="E4803" t="s">
        <v>39</v>
      </c>
      <c r="F4803" s="1">
        <v>42508</v>
      </c>
      <c r="G4803" s="1">
        <v>42509</v>
      </c>
      <c r="H4803" t="s">
        <v>33</v>
      </c>
      <c r="I4803">
        <v>1</v>
      </c>
      <c r="J4803" t="s">
        <v>109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23</v>
      </c>
      <c r="R4803">
        <v>0</v>
      </c>
    </row>
    <row r="4804" spans="1:18">
      <c r="A4804" s="4">
        <v>9326400000000</v>
      </c>
      <c r="B4804" t="s">
        <v>28</v>
      </c>
      <c r="C4804">
        <v>27</v>
      </c>
      <c r="D4804" t="s">
        <v>37</v>
      </c>
      <c r="E4804" t="s">
        <v>67</v>
      </c>
      <c r="F4804" s="1">
        <v>42508</v>
      </c>
      <c r="G4804" s="1">
        <v>42508</v>
      </c>
      <c r="H4804" t="s">
        <v>25</v>
      </c>
      <c r="I4804">
        <v>0</v>
      </c>
      <c r="J4804" t="s">
        <v>111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23</v>
      </c>
      <c r="R4804">
        <v>0</v>
      </c>
    </row>
    <row r="4805" spans="1:18">
      <c r="A4805" s="4">
        <v>29462300000000</v>
      </c>
      <c r="B4805" t="s">
        <v>28</v>
      </c>
      <c r="C4805">
        <v>7</v>
      </c>
      <c r="D4805" t="s">
        <v>31</v>
      </c>
      <c r="E4805" t="s">
        <v>63</v>
      </c>
      <c r="F4805" s="1">
        <v>42508</v>
      </c>
      <c r="G4805" s="1">
        <v>42508</v>
      </c>
      <c r="H4805" t="s">
        <v>25</v>
      </c>
      <c r="I4805">
        <v>0</v>
      </c>
      <c r="J4805" t="s">
        <v>111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23</v>
      </c>
      <c r="R4805">
        <v>0</v>
      </c>
    </row>
    <row r="4806" spans="1:18">
      <c r="A4806" s="4">
        <v>19844700000000</v>
      </c>
      <c r="B4806" t="s">
        <v>18</v>
      </c>
      <c r="C4806">
        <v>28</v>
      </c>
      <c r="D4806" t="s">
        <v>37</v>
      </c>
      <c r="E4806" t="s">
        <v>50</v>
      </c>
      <c r="F4806" s="1">
        <v>42508</v>
      </c>
      <c r="G4806" s="1">
        <v>42508</v>
      </c>
      <c r="H4806" t="s">
        <v>25</v>
      </c>
      <c r="I4806">
        <v>0</v>
      </c>
      <c r="J4806" t="s">
        <v>111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23</v>
      </c>
      <c r="R4806">
        <v>0</v>
      </c>
    </row>
    <row r="4807" spans="1:18">
      <c r="A4807" s="4">
        <v>3815330000000</v>
      </c>
      <c r="B4807" t="s">
        <v>18</v>
      </c>
      <c r="C4807">
        <v>15</v>
      </c>
      <c r="D4807" t="s">
        <v>60</v>
      </c>
      <c r="E4807" t="s">
        <v>71</v>
      </c>
      <c r="F4807" s="1">
        <v>42508</v>
      </c>
      <c r="G4807" s="1">
        <v>42508</v>
      </c>
      <c r="H4807" t="s">
        <v>25</v>
      </c>
      <c r="I4807">
        <v>0</v>
      </c>
      <c r="J4807" t="s">
        <v>111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23</v>
      </c>
      <c r="R4807">
        <v>0</v>
      </c>
    </row>
    <row r="4808" spans="1:18">
      <c r="A4808" s="4">
        <v>249386000000000</v>
      </c>
      <c r="B4808" t="s">
        <v>28</v>
      </c>
      <c r="C4808">
        <v>3</v>
      </c>
      <c r="D4808" t="s">
        <v>31</v>
      </c>
      <c r="E4808" t="s">
        <v>94</v>
      </c>
      <c r="F4808" s="1">
        <v>42508</v>
      </c>
      <c r="G4808" s="1">
        <v>42515</v>
      </c>
      <c r="H4808" t="s">
        <v>25</v>
      </c>
      <c r="I4808">
        <v>7</v>
      </c>
      <c r="J4808" t="s">
        <v>107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1</v>
      </c>
      <c r="Q4808" t="s">
        <v>26</v>
      </c>
      <c r="R4808">
        <v>1</v>
      </c>
    </row>
    <row r="4809" spans="1:18">
      <c r="A4809" s="4">
        <v>794918000000000</v>
      </c>
      <c r="B4809" t="s">
        <v>28</v>
      </c>
      <c r="C4809">
        <v>46</v>
      </c>
      <c r="D4809" t="s">
        <v>27</v>
      </c>
      <c r="E4809" t="s">
        <v>29</v>
      </c>
      <c r="F4809" s="1">
        <v>42508</v>
      </c>
      <c r="G4809" s="1">
        <v>42508</v>
      </c>
      <c r="H4809" t="s">
        <v>25</v>
      </c>
      <c r="I4809">
        <v>0</v>
      </c>
      <c r="J4809" t="s">
        <v>111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 t="s">
        <v>23</v>
      </c>
      <c r="R4809">
        <v>0</v>
      </c>
    </row>
    <row r="4810" spans="1:18">
      <c r="A4810" s="4">
        <v>3341130000000</v>
      </c>
      <c r="B4810" t="s">
        <v>18</v>
      </c>
      <c r="C4810">
        <v>27</v>
      </c>
      <c r="D4810" t="s">
        <v>37</v>
      </c>
      <c r="E4810" t="s">
        <v>45</v>
      </c>
      <c r="F4810" s="1">
        <v>42508</v>
      </c>
      <c r="G4810" s="1">
        <v>42509</v>
      </c>
      <c r="H4810" t="s">
        <v>33</v>
      </c>
      <c r="I4810">
        <v>1</v>
      </c>
      <c r="J4810" t="s">
        <v>109</v>
      </c>
      <c r="K4810">
        <v>0</v>
      </c>
      <c r="L4810">
        <v>1</v>
      </c>
      <c r="M4810">
        <v>0</v>
      </c>
      <c r="N4810">
        <v>0</v>
      </c>
      <c r="O4810">
        <v>0</v>
      </c>
      <c r="P4810">
        <v>0</v>
      </c>
      <c r="Q4810" t="s">
        <v>23</v>
      </c>
      <c r="R4810">
        <v>0</v>
      </c>
    </row>
    <row r="4811" spans="1:18">
      <c r="A4811" s="4">
        <v>6183944955</v>
      </c>
      <c r="B4811" t="s">
        <v>18</v>
      </c>
      <c r="C4811">
        <v>35</v>
      </c>
      <c r="D4811" t="s">
        <v>37</v>
      </c>
      <c r="E4811" t="s">
        <v>32</v>
      </c>
      <c r="F4811" s="1">
        <v>42508</v>
      </c>
      <c r="G4811" s="1">
        <v>42508</v>
      </c>
      <c r="H4811" t="s">
        <v>25</v>
      </c>
      <c r="I4811">
        <v>0</v>
      </c>
      <c r="J4811" t="s">
        <v>111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23</v>
      </c>
      <c r="R4811">
        <v>0</v>
      </c>
    </row>
    <row r="4812" spans="1:18">
      <c r="A4812" s="4">
        <v>32263300000000</v>
      </c>
      <c r="B4812" t="s">
        <v>28</v>
      </c>
      <c r="C4812">
        <v>72</v>
      </c>
      <c r="D4812" t="s">
        <v>19</v>
      </c>
      <c r="E4812" t="s">
        <v>50</v>
      </c>
      <c r="F4812" s="1">
        <v>42508</v>
      </c>
      <c r="G4812" s="1">
        <v>42508</v>
      </c>
      <c r="H4812" t="s">
        <v>25</v>
      </c>
      <c r="I4812">
        <v>0</v>
      </c>
      <c r="J4812" t="s">
        <v>111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23</v>
      </c>
      <c r="R4812">
        <v>0</v>
      </c>
    </row>
    <row r="4813" spans="1:18">
      <c r="A4813" s="4">
        <v>522618000000000</v>
      </c>
      <c r="B4813" t="s">
        <v>18</v>
      </c>
      <c r="C4813">
        <v>18</v>
      </c>
      <c r="D4813" t="s">
        <v>37</v>
      </c>
      <c r="E4813" t="s">
        <v>48</v>
      </c>
      <c r="F4813" s="1">
        <v>42508</v>
      </c>
      <c r="G4813" s="1">
        <v>42515</v>
      </c>
      <c r="H4813" t="s">
        <v>25</v>
      </c>
      <c r="I4813">
        <v>7</v>
      </c>
      <c r="J4813" t="s">
        <v>107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1</v>
      </c>
      <c r="Q4813" t="s">
        <v>23</v>
      </c>
      <c r="R4813">
        <v>0</v>
      </c>
    </row>
    <row r="4814" spans="1:18">
      <c r="A4814" s="4">
        <v>6361470000000</v>
      </c>
      <c r="B4814" t="s">
        <v>28</v>
      </c>
      <c r="C4814">
        <v>72</v>
      </c>
      <c r="D4814" t="s">
        <v>19</v>
      </c>
      <c r="E4814" t="s">
        <v>91</v>
      </c>
      <c r="F4814" s="1">
        <v>42508</v>
      </c>
      <c r="G4814" s="1">
        <v>42508</v>
      </c>
      <c r="H4814" t="s">
        <v>25</v>
      </c>
      <c r="I4814">
        <v>0</v>
      </c>
      <c r="J4814" t="s">
        <v>111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23</v>
      </c>
      <c r="R4814">
        <v>0</v>
      </c>
    </row>
    <row r="4815" spans="1:18">
      <c r="A4815" s="4">
        <v>3773160000000</v>
      </c>
      <c r="B4815" t="s">
        <v>18</v>
      </c>
      <c r="C4815">
        <v>20</v>
      </c>
      <c r="D4815" t="s">
        <v>37</v>
      </c>
      <c r="E4815" t="s">
        <v>56</v>
      </c>
      <c r="F4815" s="1">
        <v>42508</v>
      </c>
      <c r="G4815" s="1">
        <v>42527</v>
      </c>
      <c r="H4815" t="s">
        <v>30</v>
      </c>
      <c r="I4815">
        <v>19</v>
      </c>
      <c r="J4815" t="s">
        <v>77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1</v>
      </c>
      <c r="Q4815" t="s">
        <v>26</v>
      </c>
      <c r="R4815">
        <v>1</v>
      </c>
    </row>
    <row r="4816" spans="1:18">
      <c r="A4816" s="4">
        <v>775575000000000</v>
      </c>
      <c r="B4816" t="s">
        <v>18</v>
      </c>
      <c r="C4816">
        <v>26</v>
      </c>
      <c r="D4816" t="s">
        <v>37</v>
      </c>
      <c r="E4816" t="s">
        <v>64</v>
      </c>
      <c r="F4816" s="1">
        <v>42508</v>
      </c>
      <c r="G4816" s="1">
        <v>42508</v>
      </c>
      <c r="H4816" t="s">
        <v>25</v>
      </c>
      <c r="I4816">
        <v>0</v>
      </c>
      <c r="J4816" t="s">
        <v>111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23</v>
      </c>
      <c r="R4816">
        <v>0</v>
      </c>
    </row>
    <row r="4817" spans="1:18">
      <c r="A4817" s="4">
        <v>229572000000000</v>
      </c>
      <c r="B4817" t="s">
        <v>18</v>
      </c>
      <c r="C4817">
        <v>72</v>
      </c>
      <c r="D4817" t="s">
        <v>19</v>
      </c>
      <c r="E4817" t="s">
        <v>72</v>
      </c>
      <c r="F4817" s="1">
        <v>42508</v>
      </c>
      <c r="G4817" s="1">
        <v>42508</v>
      </c>
      <c r="H4817" t="s">
        <v>25</v>
      </c>
      <c r="I4817">
        <v>0</v>
      </c>
      <c r="J4817" t="s">
        <v>111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 t="s">
        <v>23</v>
      </c>
      <c r="R4817">
        <v>0</v>
      </c>
    </row>
    <row r="4818" spans="1:18">
      <c r="A4818" s="4">
        <v>6643580000000</v>
      </c>
      <c r="B4818" t="s">
        <v>18</v>
      </c>
      <c r="C4818">
        <v>56</v>
      </c>
      <c r="D4818" t="s">
        <v>35</v>
      </c>
      <c r="E4818" t="s">
        <v>47</v>
      </c>
      <c r="F4818" s="1">
        <v>42508</v>
      </c>
      <c r="G4818" s="1">
        <v>42508</v>
      </c>
      <c r="H4818" t="s">
        <v>25</v>
      </c>
      <c r="I4818">
        <v>0</v>
      </c>
      <c r="J4818" t="s">
        <v>111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23</v>
      </c>
      <c r="R4818">
        <v>0</v>
      </c>
    </row>
    <row r="4819" spans="1:18">
      <c r="A4819" s="4">
        <v>329732000000</v>
      </c>
      <c r="B4819" t="s">
        <v>18</v>
      </c>
      <c r="C4819">
        <v>50</v>
      </c>
      <c r="D4819" t="s">
        <v>27</v>
      </c>
      <c r="E4819" t="s">
        <v>72</v>
      </c>
      <c r="F4819" s="1">
        <v>42508</v>
      </c>
      <c r="G4819" s="1">
        <v>42510</v>
      </c>
      <c r="H4819" t="s">
        <v>21</v>
      </c>
      <c r="I4819">
        <v>2</v>
      </c>
      <c r="J4819" t="s">
        <v>109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23</v>
      </c>
      <c r="R4819">
        <v>0</v>
      </c>
    </row>
    <row r="4820" spans="1:18">
      <c r="A4820" s="4">
        <v>193182000000000</v>
      </c>
      <c r="B4820" t="s">
        <v>18</v>
      </c>
      <c r="C4820">
        <v>65</v>
      </c>
      <c r="D4820" t="s">
        <v>35</v>
      </c>
      <c r="E4820" t="s">
        <v>62</v>
      </c>
      <c r="F4820" s="1">
        <v>42508</v>
      </c>
      <c r="G4820" s="1">
        <v>42510</v>
      </c>
      <c r="H4820" t="s">
        <v>21</v>
      </c>
      <c r="I4820">
        <v>2</v>
      </c>
      <c r="J4820" t="s">
        <v>109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23</v>
      </c>
      <c r="R4820">
        <v>0</v>
      </c>
    </row>
    <row r="4821" spans="1:18">
      <c r="A4821" s="4">
        <v>376996000000000</v>
      </c>
      <c r="B4821" t="s">
        <v>28</v>
      </c>
      <c r="C4821">
        <v>13</v>
      </c>
      <c r="D4821" t="s">
        <v>60</v>
      </c>
      <c r="E4821" t="s">
        <v>79</v>
      </c>
      <c r="F4821" s="1">
        <v>42508</v>
      </c>
      <c r="G4821" s="1">
        <v>42514</v>
      </c>
      <c r="H4821" t="s">
        <v>41</v>
      </c>
      <c r="I4821">
        <v>6</v>
      </c>
      <c r="J4821" t="s">
        <v>107</v>
      </c>
      <c r="K4821">
        <v>1</v>
      </c>
      <c r="L4821">
        <v>0</v>
      </c>
      <c r="M4821">
        <v>0</v>
      </c>
      <c r="N4821">
        <v>0</v>
      </c>
      <c r="O4821">
        <v>0</v>
      </c>
      <c r="P4821">
        <v>1</v>
      </c>
      <c r="Q4821" t="s">
        <v>23</v>
      </c>
      <c r="R4821">
        <v>0</v>
      </c>
    </row>
    <row r="4822" spans="1:18">
      <c r="A4822" s="4">
        <v>936463000000000</v>
      </c>
      <c r="B4822" t="s">
        <v>18</v>
      </c>
      <c r="C4822">
        <v>70</v>
      </c>
      <c r="D4822" t="s">
        <v>19</v>
      </c>
      <c r="E4822" t="s">
        <v>43</v>
      </c>
      <c r="F4822" s="1">
        <v>42508</v>
      </c>
      <c r="G4822" s="1">
        <v>42514</v>
      </c>
      <c r="H4822" t="s">
        <v>41</v>
      </c>
      <c r="I4822">
        <v>6</v>
      </c>
      <c r="J4822" t="s">
        <v>107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1</v>
      </c>
      <c r="Q4822" t="s">
        <v>23</v>
      </c>
      <c r="R4822">
        <v>0</v>
      </c>
    </row>
    <row r="4823" spans="1:18">
      <c r="A4823" s="4">
        <v>789612000000000</v>
      </c>
      <c r="B4823" t="s">
        <v>28</v>
      </c>
      <c r="C4823">
        <v>22</v>
      </c>
      <c r="D4823" t="s">
        <v>37</v>
      </c>
      <c r="E4823" t="s">
        <v>66</v>
      </c>
      <c r="F4823" s="1">
        <v>42508</v>
      </c>
      <c r="G4823" s="1">
        <v>42508</v>
      </c>
      <c r="H4823" t="s">
        <v>25</v>
      </c>
      <c r="I4823">
        <v>0</v>
      </c>
      <c r="J4823" t="s">
        <v>111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23</v>
      </c>
      <c r="R4823">
        <v>0</v>
      </c>
    </row>
    <row r="4824" spans="1:18">
      <c r="A4824" s="4">
        <v>93721900000000</v>
      </c>
      <c r="B4824" t="s">
        <v>18</v>
      </c>
      <c r="C4824">
        <v>69</v>
      </c>
      <c r="D4824" t="s">
        <v>19</v>
      </c>
      <c r="E4824" t="s">
        <v>29</v>
      </c>
      <c r="F4824" s="1">
        <v>42508</v>
      </c>
      <c r="G4824" s="1">
        <v>42514</v>
      </c>
      <c r="H4824" t="s">
        <v>41</v>
      </c>
      <c r="I4824">
        <v>6</v>
      </c>
      <c r="J4824" t="s">
        <v>107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1</v>
      </c>
      <c r="Q4824" t="s">
        <v>23</v>
      </c>
      <c r="R4824">
        <v>0</v>
      </c>
    </row>
    <row r="4825" spans="1:18">
      <c r="A4825" s="4">
        <v>678326000000000</v>
      </c>
      <c r="B4825" t="s">
        <v>18</v>
      </c>
      <c r="C4825">
        <v>14</v>
      </c>
      <c r="D4825" t="s">
        <v>60</v>
      </c>
      <c r="E4825" t="s">
        <v>76</v>
      </c>
      <c r="F4825" s="1">
        <v>42508</v>
      </c>
      <c r="G4825" s="1">
        <v>42508</v>
      </c>
      <c r="H4825" t="s">
        <v>25</v>
      </c>
      <c r="I4825">
        <v>0</v>
      </c>
      <c r="J4825" t="s">
        <v>111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23</v>
      </c>
      <c r="R4825">
        <v>0</v>
      </c>
    </row>
    <row r="4826" spans="1:18">
      <c r="A4826" s="4">
        <v>665999000000000</v>
      </c>
      <c r="B4826" t="s">
        <v>18</v>
      </c>
      <c r="C4826">
        <v>59</v>
      </c>
      <c r="D4826" t="s">
        <v>35</v>
      </c>
      <c r="E4826" t="s">
        <v>96</v>
      </c>
      <c r="F4826" s="1">
        <v>42508</v>
      </c>
      <c r="G4826" s="1">
        <v>42523</v>
      </c>
      <c r="H4826" t="s">
        <v>33</v>
      </c>
      <c r="I4826">
        <v>15</v>
      </c>
      <c r="J4826" t="s">
        <v>77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1</v>
      </c>
      <c r="Q4826" t="s">
        <v>23</v>
      </c>
      <c r="R4826">
        <v>0</v>
      </c>
    </row>
    <row r="4827" spans="1:18">
      <c r="A4827" s="4">
        <v>89693600000000</v>
      </c>
      <c r="B4827" t="s">
        <v>18</v>
      </c>
      <c r="C4827">
        <v>53</v>
      </c>
      <c r="D4827" t="s">
        <v>35</v>
      </c>
      <c r="E4827" t="s">
        <v>32</v>
      </c>
      <c r="F4827" s="1">
        <v>42508</v>
      </c>
      <c r="G4827" s="1">
        <v>42514</v>
      </c>
      <c r="H4827" t="s">
        <v>41</v>
      </c>
      <c r="I4827">
        <v>6</v>
      </c>
      <c r="J4827" t="s">
        <v>107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1</v>
      </c>
      <c r="Q4827" t="s">
        <v>23</v>
      </c>
      <c r="R4827">
        <v>0</v>
      </c>
    </row>
    <row r="4828" spans="1:18">
      <c r="A4828" s="4">
        <v>964471000000</v>
      </c>
      <c r="B4828" t="s">
        <v>18</v>
      </c>
      <c r="C4828">
        <v>70</v>
      </c>
      <c r="D4828" t="s">
        <v>19</v>
      </c>
      <c r="E4828" t="s">
        <v>75</v>
      </c>
      <c r="F4828" s="1">
        <v>42508</v>
      </c>
      <c r="G4828" s="1">
        <v>42527</v>
      </c>
      <c r="H4828" t="s">
        <v>30</v>
      </c>
      <c r="I4828">
        <v>19</v>
      </c>
      <c r="J4828" t="s">
        <v>77</v>
      </c>
      <c r="K4828">
        <v>0</v>
      </c>
      <c r="L4828">
        <v>1</v>
      </c>
      <c r="M4828">
        <v>1</v>
      </c>
      <c r="N4828">
        <v>0</v>
      </c>
      <c r="O4828">
        <v>0</v>
      </c>
      <c r="P4828">
        <v>1</v>
      </c>
      <c r="Q4828" t="s">
        <v>23</v>
      </c>
      <c r="R4828">
        <v>0</v>
      </c>
    </row>
    <row r="4829" spans="1:18">
      <c r="A4829" s="4">
        <v>315916000000000</v>
      </c>
      <c r="B4829" t="s">
        <v>18</v>
      </c>
      <c r="C4829">
        <v>56</v>
      </c>
      <c r="D4829" t="s">
        <v>35</v>
      </c>
      <c r="E4829" t="s">
        <v>61</v>
      </c>
      <c r="F4829" s="1">
        <v>42508</v>
      </c>
      <c r="G4829" s="1">
        <v>42520</v>
      </c>
      <c r="H4829" t="s">
        <v>30</v>
      </c>
      <c r="I4829">
        <v>12</v>
      </c>
      <c r="J4829" t="s">
        <v>92</v>
      </c>
      <c r="K4829">
        <v>0</v>
      </c>
      <c r="L4829">
        <v>1</v>
      </c>
      <c r="M4829">
        <v>1</v>
      </c>
      <c r="N4829">
        <v>0</v>
      </c>
      <c r="O4829">
        <v>0</v>
      </c>
      <c r="P4829">
        <v>1</v>
      </c>
      <c r="Q4829" t="s">
        <v>26</v>
      </c>
      <c r="R4829">
        <v>1</v>
      </c>
    </row>
    <row r="4830" spans="1:18">
      <c r="A4830" s="4">
        <v>249171000000000</v>
      </c>
      <c r="B4830" t="s">
        <v>18</v>
      </c>
      <c r="C4830">
        <v>58</v>
      </c>
      <c r="D4830" t="s">
        <v>35</v>
      </c>
      <c r="E4830" t="s">
        <v>57</v>
      </c>
      <c r="F4830" s="1">
        <v>42508</v>
      </c>
      <c r="G4830" s="1">
        <v>42514</v>
      </c>
      <c r="H4830" t="s">
        <v>41</v>
      </c>
      <c r="I4830">
        <v>6</v>
      </c>
      <c r="J4830" t="s">
        <v>107</v>
      </c>
      <c r="K4830">
        <v>0</v>
      </c>
      <c r="L4830">
        <v>1</v>
      </c>
      <c r="M4830">
        <v>0</v>
      </c>
      <c r="N4830">
        <v>1</v>
      </c>
      <c r="O4830">
        <v>0</v>
      </c>
      <c r="P4830">
        <v>1</v>
      </c>
      <c r="Q4830" t="s">
        <v>26</v>
      </c>
      <c r="R4830">
        <v>1</v>
      </c>
    </row>
    <row r="4831" spans="1:18">
      <c r="A4831" s="4">
        <v>17851900000000</v>
      </c>
      <c r="B4831" t="s">
        <v>18</v>
      </c>
      <c r="C4831">
        <v>37</v>
      </c>
      <c r="D4831" t="s">
        <v>27</v>
      </c>
      <c r="E4831" t="s">
        <v>44</v>
      </c>
      <c r="F4831" s="1">
        <v>42508</v>
      </c>
      <c r="G4831" s="1">
        <v>42510</v>
      </c>
      <c r="H4831" t="s">
        <v>21</v>
      </c>
      <c r="I4831">
        <v>2</v>
      </c>
      <c r="J4831" t="s">
        <v>109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23</v>
      </c>
      <c r="R4831">
        <v>0</v>
      </c>
    </row>
    <row r="4832" spans="1:18">
      <c r="A4832" s="4">
        <v>78344200000000</v>
      </c>
      <c r="B4832" t="s">
        <v>28</v>
      </c>
      <c r="C4832">
        <v>25</v>
      </c>
      <c r="D4832" t="s">
        <v>37</v>
      </c>
      <c r="E4832" t="s">
        <v>47</v>
      </c>
      <c r="F4832" s="1">
        <v>42508</v>
      </c>
      <c r="G4832" s="1">
        <v>42528</v>
      </c>
      <c r="H4832" t="s">
        <v>41</v>
      </c>
      <c r="I4832">
        <v>20</v>
      </c>
      <c r="J4832" t="s">
        <v>77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23</v>
      </c>
      <c r="R4832">
        <v>0</v>
      </c>
    </row>
    <row r="4833" spans="1:18">
      <c r="A4833" s="4">
        <v>521748000000</v>
      </c>
      <c r="B4833" t="s">
        <v>18</v>
      </c>
      <c r="C4833">
        <v>46</v>
      </c>
      <c r="D4833" t="s">
        <v>27</v>
      </c>
      <c r="E4833" t="s">
        <v>29</v>
      </c>
      <c r="F4833" s="1">
        <v>42508</v>
      </c>
      <c r="G4833" s="1">
        <v>42508</v>
      </c>
      <c r="H4833" t="s">
        <v>25</v>
      </c>
      <c r="I4833">
        <v>0</v>
      </c>
      <c r="J4833" t="s">
        <v>111</v>
      </c>
      <c r="K4833">
        <v>0</v>
      </c>
      <c r="L4833">
        <v>1</v>
      </c>
      <c r="M4833">
        <v>0</v>
      </c>
      <c r="N4833">
        <v>0</v>
      </c>
      <c r="O4833">
        <v>0</v>
      </c>
      <c r="P4833">
        <v>0</v>
      </c>
      <c r="Q4833" t="s">
        <v>23</v>
      </c>
      <c r="R4833">
        <v>0</v>
      </c>
    </row>
    <row r="4834" spans="1:18">
      <c r="A4834" s="4">
        <v>9232460000000</v>
      </c>
      <c r="B4834" t="s">
        <v>18</v>
      </c>
      <c r="C4834">
        <v>58</v>
      </c>
      <c r="D4834" t="s">
        <v>35</v>
      </c>
      <c r="E4834" t="s">
        <v>73</v>
      </c>
      <c r="F4834" s="1">
        <v>42508</v>
      </c>
      <c r="G4834" s="1">
        <v>42521</v>
      </c>
      <c r="H4834" t="s">
        <v>41</v>
      </c>
      <c r="I4834">
        <v>13</v>
      </c>
      <c r="J4834" t="s">
        <v>92</v>
      </c>
      <c r="K4834">
        <v>0</v>
      </c>
      <c r="L4834">
        <v>1</v>
      </c>
      <c r="M4834">
        <v>0</v>
      </c>
      <c r="N4834">
        <v>0</v>
      </c>
      <c r="O4834">
        <v>0</v>
      </c>
      <c r="P4834">
        <v>1</v>
      </c>
      <c r="Q4834" t="s">
        <v>26</v>
      </c>
      <c r="R4834">
        <v>1</v>
      </c>
    </row>
    <row r="4835" spans="1:18">
      <c r="A4835" s="4">
        <v>4365450000000</v>
      </c>
      <c r="B4835" t="s">
        <v>18</v>
      </c>
      <c r="C4835">
        <v>0</v>
      </c>
      <c r="D4835" t="s">
        <v>31</v>
      </c>
      <c r="E4835" t="s">
        <v>73</v>
      </c>
      <c r="F4835" s="1">
        <v>42508</v>
      </c>
      <c r="G4835" s="1">
        <v>42514</v>
      </c>
      <c r="H4835" t="s">
        <v>41</v>
      </c>
      <c r="I4835">
        <v>6</v>
      </c>
      <c r="J4835" t="s">
        <v>107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 t="s">
        <v>23</v>
      </c>
      <c r="R4835">
        <v>0</v>
      </c>
    </row>
    <row r="4836" spans="1:18">
      <c r="A4836" s="4">
        <v>227124000000</v>
      </c>
      <c r="B4836" t="s">
        <v>28</v>
      </c>
      <c r="C4836">
        <v>1</v>
      </c>
      <c r="D4836" t="s">
        <v>31</v>
      </c>
      <c r="E4836" t="s">
        <v>44</v>
      </c>
      <c r="F4836" s="1">
        <v>42508</v>
      </c>
      <c r="G4836" s="1">
        <v>42508</v>
      </c>
      <c r="H4836" t="s">
        <v>25</v>
      </c>
      <c r="I4836">
        <v>0</v>
      </c>
      <c r="J4836" t="s">
        <v>111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23</v>
      </c>
      <c r="R4836">
        <v>0</v>
      </c>
    </row>
    <row r="4837" spans="1:18">
      <c r="A4837" s="4">
        <v>56322700000000</v>
      </c>
      <c r="B4837" t="s">
        <v>18</v>
      </c>
      <c r="C4837">
        <v>37</v>
      </c>
      <c r="D4837" t="s">
        <v>27</v>
      </c>
      <c r="E4837" t="s">
        <v>24</v>
      </c>
      <c r="F4837" s="1">
        <v>42508</v>
      </c>
      <c r="G4837" s="1">
        <v>42515</v>
      </c>
      <c r="H4837" t="s">
        <v>25</v>
      </c>
      <c r="I4837">
        <v>7</v>
      </c>
      <c r="J4837" t="s">
        <v>107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1</v>
      </c>
      <c r="Q4837" t="s">
        <v>23</v>
      </c>
      <c r="R4837">
        <v>0</v>
      </c>
    </row>
    <row r="4838" spans="1:18">
      <c r="A4838" s="4">
        <v>768279000000000</v>
      </c>
      <c r="B4838" t="s">
        <v>28</v>
      </c>
      <c r="C4838">
        <v>28</v>
      </c>
      <c r="D4838" t="s">
        <v>37</v>
      </c>
      <c r="E4838" t="s">
        <v>50</v>
      </c>
      <c r="F4838" s="1">
        <v>42508</v>
      </c>
      <c r="G4838" s="1">
        <v>42514</v>
      </c>
      <c r="H4838" t="s">
        <v>41</v>
      </c>
      <c r="I4838">
        <v>6</v>
      </c>
      <c r="J4838" t="s">
        <v>107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1</v>
      </c>
      <c r="Q4838" t="s">
        <v>23</v>
      </c>
      <c r="R4838">
        <v>0</v>
      </c>
    </row>
    <row r="4839" spans="1:18">
      <c r="A4839" s="4">
        <v>85568200000000</v>
      </c>
      <c r="B4839" t="s">
        <v>28</v>
      </c>
      <c r="C4839">
        <v>47</v>
      </c>
      <c r="D4839" t="s">
        <v>27</v>
      </c>
      <c r="E4839" t="s">
        <v>52</v>
      </c>
      <c r="F4839" s="1">
        <v>42508</v>
      </c>
      <c r="G4839" s="1">
        <v>42514</v>
      </c>
      <c r="H4839" t="s">
        <v>41</v>
      </c>
      <c r="I4839">
        <v>6</v>
      </c>
      <c r="J4839" t="s">
        <v>107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1</v>
      </c>
      <c r="Q4839" t="s">
        <v>23</v>
      </c>
      <c r="R4839">
        <v>0</v>
      </c>
    </row>
    <row r="4840" spans="1:18">
      <c r="A4840" s="4">
        <v>8362910000000</v>
      </c>
      <c r="B4840" t="s">
        <v>18</v>
      </c>
      <c r="C4840">
        <v>13</v>
      </c>
      <c r="D4840" t="s">
        <v>60</v>
      </c>
      <c r="E4840" t="s">
        <v>48</v>
      </c>
      <c r="F4840" s="1">
        <v>42508</v>
      </c>
      <c r="G4840" s="1">
        <v>42508</v>
      </c>
      <c r="H4840" t="s">
        <v>25</v>
      </c>
      <c r="I4840">
        <v>0</v>
      </c>
      <c r="J4840" t="s">
        <v>111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 t="s">
        <v>23</v>
      </c>
      <c r="R4840">
        <v>0</v>
      </c>
    </row>
    <row r="4841" spans="1:18">
      <c r="A4841" s="4">
        <v>4476643187</v>
      </c>
      <c r="B4841" t="s">
        <v>18</v>
      </c>
      <c r="C4841">
        <v>59</v>
      </c>
      <c r="D4841" t="s">
        <v>35</v>
      </c>
      <c r="E4841" t="s">
        <v>40</v>
      </c>
      <c r="F4841" s="1">
        <v>42508</v>
      </c>
      <c r="G4841" s="1">
        <v>42514</v>
      </c>
      <c r="H4841" t="s">
        <v>41</v>
      </c>
      <c r="I4841">
        <v>6</v>
      </c>
      <c r="J4841" t="s">
        <v>107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1</v>
      </c>
      <c r="Q4841" t="s">
        <v>23</v>
      </c>
      <c r="R4841">
        <v>0</v>
      </c>
    </row>
    <row r="4842" spans="1:18">
      <c r="A4842" s="4">
        <v>664268000000000</v>
      </c>
      <c r="B4842" t="s">
        <v>18</v>
      </c>
      <c r="C4842">
        <v>61</v>
      </c>
      <c r="D4842" t="s">
        <v>35</v>
      </c>
      <c r="E4842" t="s">
        <v>32</v>
      </c>
      <c r="F4842" s="1">
        <v>42508</v>
      </c>
      <c r="G4842" s="1">
        <v>42514</v>
      </c>
      <c r="H4842" t="s">
        <v>41</v>
      </c>
      <c r="I4842">
        <v>6</v>
      </c>
      <c r="J4842" t="s">
        <v>107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1</v>
      </c>
      <c r="Q4842" t="s">
        <v>23</v>
      </c>
      <c r="R4842">
        <v>0</v>
      </c>
    </row>
    <row r="4843" spans="1:18">
      <c r="A4843" s="4">
        <v>36125900000000</v>
      </c>
      <c r="B4843" t="s">
        <v>18</v>
      </c>
      <c r="C4843">
        <v>60</v>
      </c>
      <c r="D4843" t="s">
        <v>35</v>
      </c>
      <c r="E4843" t="s">
        <v>54</v>
      </c>
      <c r="F4843" s="1">
        <v>42508</v>
      </c>
      <c r="G4843" s="1">
        <v>42510</v>
      </c>
      <c r="H4843" t="s">
        <v>21</v>
      </c>
      <c r="I4843">
        <v>2</v>
      </c>
      <c r="J4843" t="s">
        <v>109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 t="s">
        <v>23</v>
      </c>
      <c r="R4843">
        <v>0</v>
      </c>
    </row>
    <row r="4844" spans="1:18">
      <c r="A4844" s="4">
        <v>8211840000000</v>
      </c>
      <c r="B4844" t="s">
        <v>18</v>
      </c>
      <c r="C4844">
        <v>32</v>
      </c>
      <c r="D4844" t="s">
        <v>37</v>
      </c>
      <c r="E4844" t="s">
        <v>59</v>
      </c>
      <c r="F4844" s="1">
        <v>42508</v>
      </c>
      <c r="G4844" s="1">
        <v>42508</v>
      </c>
      <c r="H4844" t="s">
        <v>25</v>
      </c>
      <c r="I4844">
        <v>0</v>
      </c>
      <c r="J4844" t="s">
        <v>111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 t="s">
        <v>23</v>
      </c>
      <c r="R4844">
        <v>0</v>
      </c>
    </row>
    <row r="4845" spans="1:18">
      <c r="A4845" s="4">
        <v>164733000000</v>
      </c>
      <c r="B4845" t="s">
        <v>28</v>
      </c>
      <c r="C4845">
        <v>13</v>
      </c>
      <c r="D4845" t="s">
        <v>60</v>
      </c>
      <c r="E4845" t="s">
        <v>82</v>
      </c>
      <c r="F4845" s="1">
        <v>42508</v>
      </c>
      <c r="G4845" s="1">
        <v>42522</v>
      </c>
      <c r="H4845" t="s">
        <v>25</v>
      </c>
      <c r="I4845">
        <v>14</v>
      </c>
      <c r="J4845" t="s">
        <v>92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1</v>
      </c>
      <c r="Q4845" t="s">
        <v>23</v>
      </c>
      <c r="R4845">
        <v>0</v>
      </c>
    </row>
    <row r="4846" spans="1:18">
      <c r="A4846" s="4">
        <v>45776600000000</v>
      </c>
      <c r="B4846" t="s">
        <v>18</v>
      </c>
      <c r="C4846">
        <v>64</v>
      </c>
      <c r="D4846" t="s">
        <v>35</v>
      </c>
      <c r="E4846" t="s">
        <v>96</v>
      </c>
      <c r="F4846" s="1">
        <v>42508</v>
      </c>
      <c r="G4846" s="1">
        <v>42523</v>
      </c>
      <c r="H4846" t="s">
        <v>33</v>
      </c>
      <c r="I4846">
        <v>15</v>
      </c>
      <c r="J4846" t="s">
        <v>77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1</v>
      </c>
      <c r="Q4846" t="s">
        <v>23</v>
      </c>
      <c r="R4846">
        <v>0</v>
      </c>
    </row>
    <row r="4847" spans="1:18">
      <c r="A4847" s="4">
        <v>55842268592</v>
      </c>
      <c r="B4847" t="s">
        <v>18</v>
      </c>
      <c r="C4847">
        <v>73</v>
      </c>
      <c r="D4847" t="s">
        <v>19</v>
      </c>
      <c r="E4847" t="s">
        <v>39</v>
      </c>
      <c r="F4847" s="1">
        <v>42508</v>
      </c>
      <c r="G4847" s="1">
        <v>42510</v>
      </c>
      <c r="H4847" t="s">
        <v>21</v>
      </c>
      <c r="I4847">
        <v>2</v>
      </c>
      <c r="J4847" t="s">
        <v>109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 t="s">
        <v>26</v>
      </c>
      <c r="R4847">
        <v>1</v>
      </c>
    </row>
    <row r="4848" spans="1:18">
      <c r="A4848" s="4">
        <v>245856000000000</v>
      </c>
      <c r="B4848" t="s">
        <v>28</v>
      </c>
      <c r="C4848">
        <v>2</v>
      </c>
      <c r="D4848" t="s">
        <v>31</v>
      </c>
      <c r="E4848" t="s">
        <v>58</v>
      </c>
      <c r="F4848" s="1">
        <v>42508</v>
      </c>
      <c r="G4848" s="1">
        <v>42508</v>
      </c>
      <c r="H4848" t="s">
        <v>25</v>
      </c>
      <c r="I4848">
        <v>0</v>
      </c>
      <c r="J4848" t="s">
        <v>111</v>
      </c>
      <c r="K4848">
        <v>1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23</v>
      </c>
      <c r="R4848">
        <v>0</v>
      </c>
    </row>
    <row r="4849" spans="1:18">
      <c r="A4849" s="4">
        <v>58621700000000</v>
      </c>
      <c r="B4849" t="s">
        <v>28</v>
      </c>
      <c r="C4849">
        <v>16</v>
      </c>
      <c r="D4849" t="s">
        <v>60</v>
      </c>
      <c r="E4849" t="s">
        <v>39</v>
      </c>
      <c r="F4849" s="1">
        <v>42508</v>
      </c>
      <c r="G4849" s="1">
        <v>42510</v>
      </c>
      <c r="H4849" t="s">
        <v>21</v>
      </c>
      <c r="I4849">
        <v>2</v>
      </c>
      <c r="J4849" t="s">
        <v>109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23</v>
      </c>
      <c r="R4849">
        <v>0</v>
      </c>
    </row>
    <row r="4850" spans="1:18">
      <c r="A4850" s="4">
        <v>46986582965</v>
      </c>
      <c r="B4850" t="s">
        <v>28</v>
      </c>
      <c r="C4850">
        <v>7</v>
      </c>
      <c r="D4850" t="s">
        <v>31</v>
      </c>
      <c r="E4850" t="s">
        <v>75</v>
      </c>
      <c r="F4850" s="1">
        <v>42508</v>
      </c>
      <c r="G4850" s="1">
        <v>42524</v>
      </c>
      <c r="H4850" t="s">
        <v>21</v>
      </c>
      <c r="I4850">
        <v>16</v>
      </c>
      <c r="J4850" t="s">
        <v>77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1</v>
      </c>
      <c r="Q4850" t="s">
        <v>23</v>
      </c>
      <c r="R4850">
        <v>0</v>
      </c>
    </row>
    <row r="4851" spans="1:18">
      <c r="A4851" s="4">
        <v>87399300000000</v>
      </c>
      <c r="B4851" t="s">
        <v>18</v>
      </c>
      <c r="C4851">
        <v>62</v>
      </c>
      <c r="D4851" t="s">
        <v>35</v>
      </c>
      <c r="E4851" t="s">
        <v>39</v>
      </c>
      <c r="F4851" s="1">
        <v>42508</v>
      </c>
      <c r="G4851" s="1">
        <v>42522</v>
      </c>
      <c r="H4851" t="s">
        <v>25</v>
      </c>
      <c r="I4851">
        <v>14</v>
      </c>
      <c r="J4851" t="s">
        <v>92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1</v>
      </c>
      <c r="Q4851" t="s">
        <v>23</v>
      </c>
      <c r="R4851">
        <v>0</v>
      </c>
    </row>
    <row r="4852" spans="1:18">
      <c r="A4852" s="4">
        <v>57396600000000</v>
      </c>
      <c r="B4852" t="s">
        <v>18</v>
      </c>
      <c r="C4852">
        <v>16</v>
      </c>
      <c r="D4852" t="s">
        <v>60</v>
      </c>
      <c r="E4852" t="s">
        <v>73</v>
      </c>
      <c r="F4852" s="1">
        <v>42508</v>
      </c>
      <c r="G4852" s="1">
        <v>42514</v>
      </c>
      <c r="H4852" t="s">
        <v>41</v>
      </c>
      <c r="I4852">
        <v>6</v>
      </c>
      <c r="J4852" t="s">
        <v>107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1</v>
      </c>
      <c r="Q4852" t="s">
        <v>23</v>
      </c>
      <c r="R4852">
        <v>0</v>
      </c>
    </row>
    <row r="4853" spans="1:18">
      <c r="A4853" s="4">
        <v>294843000000000</v>
      </c>
      <c r="B4853" t="s">
        <v>18</v>
      </c>
      <c r="C4853">
        <v>50</v>
      </c>
      <c r="D4853" t="s">
        <v>27</v>
      </c>
      <c r="E4853" t="s">
        <v>39</v>
      </c>
      <c r="F4853" s="1">
        <v>42508</v>
      </c>
      <c r="G4853" s="1">
        <v>42521</v>
      </c>
      <c r="H4853" t="s">
        <v>41</v>
      </c>
      <c r="I4853">
        <v>13</v>
      </c>
      <c r="J4853" t="s">
        <v>92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1</v>
      </c>
      <c r="Q4853" t="s">
        <v>23</v>
      </c>
      <c r="R4853">
        <v>0</v>
      </c>
    </row>
    <row r="4854" spans="1:18">
      <c r="A4854" s="4">
        <v>38279800000000</v>
      </c>
      <c r="B4854" t="s">
        <v>18</v>
      </c>
      <c r="C4854">
        <v>58</v>
      </c>
      <c r="D4854" t="s">
        <v>35</v>
      </c>
      <c r="E4854" t="s">
        <v>59</v>
      </c>
      <c r="F4854" s="1">
        <v>42508</v>
      </c>
      <c r="G4854" s="1">
        <v>42508</v>
      </c>
      <c r="H4854" t="s">
        <v>25</v>
      </c>
      <c r="I4854">
        <v>0</v>
      </c>
      <c r="J4854" t="s">
        <v>111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23</v>
      </c>
      <c r="R4854">
        <v>0</v>
      </c>
    </row>
    <row r="4855" spans="1:18">
      <c r="A4855" s="4">
        <v>6633470000000</v>
      </c>
      <c r="B4855" t="s">
        <v>28</v>
      </c>
      <c r="C4855">
        <v>16</v>
      </c>
      <c r="D4855" t="s">
        <v>60</v>
      </c>
      <c r="E4855" t="s">
        <v>68</v>
      </c>
      <c r="F4855" s="1">
        <v>42508</v>
      </c>
      <c r="G4855" s="1">
        <v>42508</v>
      </c>
      <c r="H4855" t="s">
        <v>25</v>
      </c>
      <c r="I4855">
        <v>0</v>
      </c>
      <c r="J4855" t="s">
        <v>111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 t="s">
        <v>23</v>
      </c>
      <c r="R4855">
        <v>0</v>
      </c>
    </row>
    <row r="4856" spans="1:18">
      <c r="A4856" s="4">
        <v>368217000000</v>
      </c>
      <c r="B4856" t="s">
        <v>28</v>
      </c>
      <c r="C4856">
        <v>21</v>
      </c>
      <c r="D4856" t="s">
        <v>37</v>
      </c>
      <c r="E4856" t="s">
        <v>24</v>
      </c>
      <c r="F4856" s="1">
        <v>42508</v>
      </c>
      <c r="G4856" s="1">
        <v>42509</v>
      </c>
      <c r="H4856" t="s">
        <v>33</v>
      </c>
      <c r="I4856">
        <v>1</v>
      </c>
      <c r="J4856" t="s">
        <v>109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23</v>
      </c>
      <c r="R4856">
        <v>0</v>
      </c>
    </row>
    <row r="4857" spans="1:18">
      <c r="A4857" s="4">
        <v>94561700000000</v>
      </c>
      <c r="B4857" t="s">
        <v>18</v>
      </c>
      <c r="C4857">
        <v>10</v>
      </c>
      <c r="D4857" t="s">
        <v>31</v>
      </c>
      <c r="E4857" t="s">
        <v>72</v>
      </c>
      <c r="F4857" s="1">
        <v>42508</v>
      </c>
      <c r="G4857" s="1">
        <v>42508</v>
      </c>
      <c r="H4857" t="s">
        <v>25</v>
      </c>
      <c r="I4857">
        <v>0</v>
      </c>
      <c r="J4857" t="s">
        <v>111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 t="s">
        <v>23</v>
      </c>
      <c r="R4857">
        <v>0</v>
      </c>
    </row>
    <row r="4858" spans="1:18">
      <c r="A4858" s="4">
        <v>7472160000000</v>
      </c>
      <c r="B4858" t="s">
        <v>28</v>
      </c>
      <c r="C4858">
        <v>2</v>
      </c>
      <c r="D4858" t="s">
        <v>31</v>
      </c>
      <c r="E4858" t="s">
        <v>29</v>
      </c>
      <c r="F4858" s="1">
        <v>42508</v>
      </c>
      <c r="G4858" s="1">
        <v>42508</v>
      </c>
      <c r="H4858" t="s">
        <v>25</v>
      </c>
      <c r="I4858">
        <v>0</v>
      </c>
      <c r="J4858" t="s">
        <v>111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 t="s">
        <v>23</v>
      </c>
      <c r="R4858">
        <v>0</v>
      </c>
    </row>
    <row r="4859" spans="1:18">
      <c r="A4859" s="4">
        <v>3536780000000</v>
      </c>
      <c r="B4859" t="s">
        <v>18</v>
      </c>
      <c r="C4859">
        <v>23</v>
      </c>
      <c r="D4859" t="s">
        <v>37</v>
      </c>
      <c r="E4859" t="s">
        <v>75</v>
      </c>
      <c r="F4859" s="1">
        <v>42508</v>
      </c>
      <c r="G4859" s="1">
        <v>42508</v>
      </c>
      <c r="H4859" t="s">
        <v>25</v>
      </c>
      <c r="I4859">
        <v>0</v>
      </c>
      <c r="J4859" t="s">
        <v>111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23</v>
      </c>
      <c r="R4859">
        <v>0</v>
      </c>
    </row>
    <row r="4860" spans="1:18">
      <c r="A4860" s="4">
        <v>47316100000000</v>
      </c>
      <c r="B4860" t="s">
        <v>18</v>
      </c>
      <c r="C4860">
        <v>54</v>
      </c>
      <c r="D4860" t="s">
        <v>35</v>
      </c>
      <c r="E4860" t="s">
        <v>32</v>
      </c>
      <c r="F4860" s="1">
        <v>42508</v>
      </c>
      <c r="G4860" s="1">
        <v>42510</v>
      </c>
      <c r="H4860" t="s">
        <v>21</v>
      </c>
      <c r="I4860">
        <v>2</v>
      </c>
      <c r="J4860" t="s">
        <v>109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23</v>
      </c>
      <c r="R4860">
        <v>0</v>
      </c>
    </row>
    <row r="4861" spans="1:18">
      <c r="A4861" s="4">
        <v>834798000000</v>
      </c>
      <c r="B4861" t="s">
        <v>28</v>
      </c>
      <c r="C4861">
        <v>49</v>
      </c>
      <c r="D4861" t="s">
        <v>27</v>
      </c>
      <c r="E4861" t="s">
        <v>80</v>
      </c>
      <c r="F4861" s="1">
        <v>42508</v>
      </c>
      <c r="G4861" s="1">
        <v>42510</v>
      </c>
      <c r="H4861" t="s">
        <v>21</v>
      </c>
      <c r="I4861">
        <v>2</v>
      </c>
      <c r="J4861" t="s">
        <v>109</v>
      </c>
      <c r="K4861">
        <v>0</v>
      </c>
      <c r="L4861">
        <v>1</v>
      </c>
      <c r="M4861">
        <v>0</v>
      </c>
      <c r="N4861">
        <v>0</v>
      </c>
      <c r="O4861">
        <v>0</v>
      </c>
      <c r="P4861">
        <v>0</v>
      </c>
      <c r="Q4861" t="s">
        <v>23</v>
      </c>
      <c r="R4861">
        <v>0</v>
      </c>
    </row>
    <row r="4862" spans="1:18">
      <c r="A4862" s="4">
        <v>68954500000000</v>
      </c>
      <c r="B4862" t="s">
        <v>18</v>
      </c>
      <c r="C4862">
        <v>42</v>
      </c>
      <c r="D4862" t="s">
        <v>27</v>
      </c>
      <c r="E4862" t="s">
        <v>61</v>
      </c>
      <c r="F4862" s="1">
        <v>42508</v>
      </c>
      <c r="G4862" s="1">
        <v>42510</v>
      </c>
      <c r="H4862" t="s">
        <v>21</v>
      </c>
      <c r="I4862">
        <v>2</v>
      </c>
      <c r="J4862" t="s">
        <v>109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23</v>
      </c>
      <c r="R4862">
        <v>0</v>
      </c>
    </row>
    <row r="4863" spans="1:18">
      <c r="A4863" s="4">
        <v>462119000000000</v>
      </c>
      <c r="B4863" t="s">
        <v>18</v>
      </c>
      <c r="C4863">
        <v>50</v>
      </c>
      <c r="D4863" t="s">
        <v>27</v>
      </c>
      <c r="E4863" t="s">
        <v>82</v>
      </c>
      <c r="F4863" s="1">
        <v>42508</v>
      </c>
      <c r="G4863" s="1">
        <v>42522</v>
      </c>
      <c r="H4863" t="s">
        <v>25</v>
      </c>
      <c r="I4863">
        <v>14</v>
      </c>
      <c r="J4863" t="s">
        <v>92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1</v>
      </c>
      <c r="Q4863" t="s">
        <v>23</v>
      </c>
      <c r="R4863">
        <v>0</v>
      </c>
    </row>
    <row r="4864" spans="1:18">
      <c r="A4864" s="4">
        <v>4526800000000</v>
      </c>
      <c r="B4864" t="s">
        <v>28</v>
      </c>
      <c r="C4864">
        <v>32</v>
      </c>
      <c r="D4864" t="s">
        <v>37</v>
      </c>
      <c r="E4864" t="s">
        <v>39</v>
      </c>
      <c r="F4864" s="1">
        <v>42508</v>
      </c>
      <c r="G4864" s="1">
        <v>42508</v>
      </c>
      <c r="H4864" t="s">
        <v>25</v>
      </c>
      <c r="I4864">
        <v>0</v>
      </c>
      <c r="J4864" t="s">
        <v>111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23</v>
      </c>
      <c r="R4864">
        <v>0</v>
      </c>
    </row>
    <row r="4865" spans="1:18">
      <c r="A4865" s="4">
        <v>581529000000000</v>
      </c>
      <c r="B4865" t="s">
        <v>18</v>
      </c>
      <c r="C4865">
        <v>39</v>
      </c>
      <c r="D4865" t="s">
        <v>27</v>
      </c>
      <c r="E4865" t="s">
        <v>59</v>
      </c>
      <c r="F4865" s="1">
        <v>42508</v>
      </c>
      <c r="G4865" s="1">
        <v>42527</v>
      </c>
      <c r="H4865" t="s">
        <v>30</v>
      </c>
      <c r="I4865">
        <v>19</v>
      </c>
      <c r="J4865" t="s">
        <v>77</v>
      </c>
      <c r="K4865">
        <v>0</v>
      </c>
      <c r="L4865">
        <v>1</v>
      </c>
      <c r="M4865">
        <v>0</v>
      </c>
      <c r="N4865">
        <v>0</v>
      </c>
      <c r="O4865">
        <v>0</v>
      </c>
      <c r="P4865">
        <v>1</v>
      </c>
      <c r="Q4865" t="s">
        <v>23</v>
      </c>
      <c r="R4865">
        <v>0</v>
      </c>
    </row>
    <row r="4866" spans="1:18">
      <c r="A4866" s="4">
        <v>1638880000000</v>
      </c>
      <c r="B4866" t="s">
        <v>18</v>
      </c>
      <c r="C4866">
        <v>49</v>
      </c>
      <c r="D4866" t="s">
        <v>27</v>
      </c>
      <c r="E4866" t="s">
        <v>66</v>
      </c>
      <c r="F4866" s="1">
        <v>42508</v>
      </c>
      <c r="G4866" s="1">
        <v>42508</v>
      </c>
      <c r="H4866" t="s">
        <v>25</v>
      </c>
      <c r="I4866">
        <v>0</v>
      </c>
      <c r="J4866" t="s">
        <v>111</v>
      </c>
      <c r="K4866">
        <v>0</v>
      </c>
      <c r="L4866">
        <v>1</v>
      </c>
      <c r="M4866">
        <v>0</v>
      </c>
      <c r="N4866">
        <v>0</v>
      </c>
      <c r="O4866">
        <v>0</v>
      </c>
      <c r="P4866">
        <v>0</v>
      </c>
      <c r="Q4866" t="s">
        <v>23</v>
      </c>
      <c r="R4866">
        <v>0</v>
      </c>
    </row>
    <row r="4867" spans="1:18">
      <c r="A4867" s="4">
        <v>853440000000000</v>
      </c>
      <c r="B4867" t="s">
        <v>18</v>
      </c>
      <c r="C4867">
        <v>37</v>
      </c>
      <c r="D4867" t="s">
        <v>27</v>
      </c>
      <c r="E4867" t="s">
        <v>43</v>
      </c>
      <c r="F4867" s="1">
        <v>42508</v>
      </c>
      <c r="G4867" s="1">
        <v>42508</v>
      </c>
      <c r="H4867" t="s">
        <v>25</v>
      </c>
      <c r="I4867">
        <v>0</v>
      </c>
      <c r="J4867" t="s">
        <v>111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23</v>
      </c>
      <c r="R4867">
        <v>0</v>
      </c>
    </row>
    <row r="4868" spans="1:18">
      <c r="A4868" s="4">
        <v>964396000000</v>
      </c>
      <c r="B4868" t="s">
        <v>18</v>
      </c>
      <c r="C4868">
        <v>37</v>
      </c>
      <c r="D4868" t="s">
        <v>27</v>
      </c>
      <c r="E4868" t="s">
        <v>78</v>
      </c>
      <c r="F4868" s="1">
        <v>42508</v>
      </c>
      <c r="G4868" s="1">
        <v>42527</v>
      </c>
      <c r="H4868" t="s">
        <v>30</v>
      </c>
      <c r="I4868">
        <v>19</v>
      </c>
      <c r="J4868" t="s">
        <v>77</v>
      </c>
      <c r="K4868">
        <v>1</v>
      </c>
      <c r="L4868">
        <v>1</v>
      </c>
      <c r="M4868">
        <v>1</v>
      </c>
      <c r="N4868">
        <v>0</v>
      </c>
      <c r="O4868">
        <v>0</v>
      </c>
      <c r="P4868">
        <v>1</v>
      </c>
      <c r="Q4868" t="s">
        <v>23</v>
      </c>
      <c r="R4868">
        <v>0</v>
      </c>
    </row>
    <row r="4869" spans="1:18">
      <c r="A4869" s="4">
        <v>69322200000000</v>
      </c>
      <c r="B4869" t="s">
        <v>28</v>
      </c>
      <c r="C4869">
        <v>33</v>
      </c>
      <c r="D4869" t="s">
        <v>37</v>
      </c>
      <c r="E4869" t="s">
        <v>79</v>
      </c>
      <c r="F4869" s="1">
        <v>42508</v>
      </c>
      <c r="G4869" s="1">
        <v>42508</v>
      </c>
      <c r="H4869" t="s">
        <v>25</v>
      </c>
      <c r="I4869">
        <v>0</v>
      </c>
      <c r="J4869" t="s">
        <v>111</v>
      </c>
      <c r="K4869">
        <v>0</v>
      </c>
      <c r="L4869">
        <v>0</v>
      </c>
      <c r="M4869">
        <v>0</v>
      </c>
      <c r="N4869">
        <v>1</v>
      </c>
      <c r="O4869">
        <v>0</v>
      </c>
      <c r="P4869">
        <v>0</v>
      </c>
      <c r="Q4869" t="s">
        <v>23</v>
      </c>
      <c r="R4869">
        <v>0</v>
      </c>
    </row>
    <row r="4870" spans="1:18">
      <c r="A4870" s="4">
        <v>615441000000000</v>
      </c>
      <c r="B4870" t="s">
        <v>18</v>
      </c>
      <c r="C4870">
        <v>40</v>
      </c>
      <c r="D4870" t="s">
        <v>27</v>
      </c>
      <c r="E4870" t="s">
        <v>39</v>
      </c>
      <c r="F4870" s="1">
        <v>42508</v>
      </c>
      <c r="G4870" s="1">
        <v>42524</v>
      </c>
      <c r="H4870" t="s">
        <v>21</v>
      </c>
      <c r="I4870">
        <v>16</v>
      </c>
      <c r="J4870" t="s">
        <v>77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1</v>
      </c>
      <c r="Q4870" t="s">
        <v>23</v>
      </c>
      <c r="R4870">
        <v>0</v>
      </c>
    </row>
    <row r="4871" spans="1:18">
      <c r="A4871" s="4">
        <v>14133900000000</v>
      </c>
      <c r="B4871" t="s">
        <v>18</v>
      </c>
      <c r="C4871">
        <v>16</v>
      </c>
      <c r="D4871" t="s">
        <v>60</v>
      </c>
      <c r="E4871" t="s">
        <v>65</v>
      </c>
      <c r="F4871" s="1">
        <v>42508</v>
      </c>
      <c r="G4871" s="1">
        <v>42523</v>
      </c>
      <c r="H4871" t="s">
        <v>33</v>
      </c>
      <c r="I4871">
        <v>15</v>
      </c>
      <c r="J4871" t="s">
        <v>77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26</v>
      </c>
      <c r="R4871">
        <v>1</v>
      </c>
    </row>
    <row r="4872" spans="1:18">
      <c r="A4872" s="4">
        <v>71199800000000</v>
      </c>
      <c r="B4872" t="s">
        <v>18</v>
      </c>
      <c r="C4872">
        <v>0</v>
      </c>
      <c r="D4872" t="s">
        <v>31</v>
      </c>
      <c r="E4872" t="s">
        <v>45</v>
      </c>
      <c r="F4872" s="1">
        <v>42508</v>
      </c>
      <c r="G4872" s="1">
        <v>42509</v>
      </c>
      <c r="H4872" t="s">
        <v>33</v>
      </c>
      <c r="I4872">
        <v>1</v>
      </c>
      <c r="J4872" t="s">
        <v>109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23</v>
      </c>
      <c r="R4872">
        <v>0</v>
      </c>
    </row>
    <row r="4873" spans="1:18">
      <c r="A4873" s="4">
        <v>424885000000000</v>
      </c>
      <c r="B4873" t="s">
        <v>18</v>
      </c>
      <c r="C4873">
        <v>20</v>
      </c>
      <c r="D4873" t="s">
        <v>37</v>
      </c>
      <c r="E4873" t="s">
        <v>32</v>
      </c>
      <c r="F4873" s="1">
        <v>42508</v>
      </c>
      <c r="G4873" s="1">
        <v>42528</v>
      </c>
      <c r="H4873" t="s">
        <v>41</v>
      </c>
      <c r="I4873">
        <v>20</v>
      </c>
      <c r="J4873" t="s">
        <v>77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1</v>
      </c>
      <c r="Q4873" t="s">
        <v>26</v>
      </c>
      <c r="R4873">
        <v>1</v>
      </c>
    </row>
    <row r="4874" spans="1:18">
      <c r="A4874" s="4">
        <v>65365400000000</v>
      </c>
      <c r="B4874" t="s">
        <v>18</v>
      </c>
      <c r="C4874">
        <v>3</v>
      </c>
      <c r="D4874" t="s">
        <v>31</v>
      </c>
      <c r="E4874" t="s">
        <v>50</v>
      </c>
      <c r="F4874" s="1">
        <v>42508</v>
      </c>
      <c r="G4874" s="1">
        <v>42514</v>
      </c>
      <c r="H4874" t="s">
        <v>41</v>
      </c>
      <c r="I4874">
        <v>6</v>
      </c>
      <c r="J4874" t="s">
        <v>107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 t="s">
        <v>23</v>
      </c>
      <c r="R4874">
        <v>0</v>
      </c>
    </row>
    <row r="4875" spans="1:18">
      <c r="A4875" s="4">
        <v>41833500000000</v>
      </c>
      <c r="B4875" t="s">
        <v>28</v>
      </c>
      <c r="C4875">
        <v>1</v>
      </c>
      <c r="D4875" t="s">
        <v>31</v>
      </c>
      <c r="E4875" t="s">
        <v>72</v>
      </c>
      <c r="F4875" s="1">
        <v>42508</v>
      </c>
      <c r="G4875" s="1">
        <v>42508</v>
      </c>
      <c r="H4875" t="s">
        <v>25</v>
      </c>
      <c r="I4875">
        <v>0</v>
      </c>
      <c r="J4875" t="s">
        <v>111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 t="s">
        <v>23</v>
      </c>
      <c r="R4875">
        <v>0</v>
      </c>
    </row>
    <row r="4876" spans="1:18">
      <c r="A4876" s="4">
        <v>818217000000000</v>
      </c>
      <c r="B4876" t="s">
        <v>18</v>
      </c>
      <c r="C4876">
        <v>53</v>
      </c>
      <c r="D4876" t="s">
        <v>35</v>
      </c>
      <c r="E4876" t="s">
        <v>20</v>
      </c>
      <c r="F4876" s="1">
        <v>42508</v>
      </c>
      <c r="G4876" s="1">
        <v>42508</v>
      </c>
      <c r="H4876" t="s">
        <v>25</v>
      </c>
      <c r="I4876">
        <v>0</v>
      </c>
      <c r="J4876" t="s">
        <v>111</v>
      </c>
      <c r="K4876">
        <v>0</v>
      </c>
      <c r="L4876">
        <v>0</v>
      </c>
      <c r="M4876">
        <v>1</v>
      </c>
      <c r="N4876">
        <v>0</v>
      </c>
      <c r="O4876">
        <v>0</v>
      </c>
      <c r="P4876">
        <v>0</v>
      </c>
      <c r="Q4876" t="s">
        <v>23</v>
      </c>
      <c r="R4876">
        <v>0</v>
      </c>
    </row>
    <row r="4877" spans="1:18">
      <c r="A4877" s="4">
        <v>1513670000000</v>
      </c>
      <c r="B4877" t="s">
        <v>18</v>
      </c>
      <c r="C4877">
        <v>48</v>
      </c>
      <c r="D4877" t="s">
        <v>27</v>
      </c>
      <c r="E4877" t="s">
        <v>56</v>
      </c>
      <c r="F4877" s="1">
        <v>42508</v>
      </c>
      <c r="G4877" s="1">
        <v>42509</v>
      </c>
      <c r="H4877" t="s">
        <v>33</v>
      </c>
      <c r="I4877">
        <v>1</v>
      </c>
      <c r="J4877" t="s">
        <v>109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0</v>
      </c>
      <c r="Q4877" t="s">
        <v>23</v>
      </c>
      <c r="R4877">
        <v>0</v>
      </c>
    </row>
    <row r="4878" spans="1:18">
      <c r="A4878" s="4">
        <v>51554700000000</v>
      </c>
      <c r="B4878" t="s">
        <v>18</v>
      </c>
      <c r="C4878">
        <v>58</v>
      </c>
      <c r="D4878" t="s">
        <v>35</v>
      </c>
      <c r="E4878" t="s">
        <v>58</v>
      </c>
      <c r="F4878" s="1">
        <v>42508</v>
      </c>
      <c r="G4878" s="1">
        <v>42509</v>
      </c>
      <c r="H4878" t="s">
        <v>33</v>
      </c>
      <c r="I4878">
        <v>1</v>
      </c>
      <c r="J4878" t="s">
        <v>109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 t="s">
        <v>23</v>
      </c>
      <c r="R4878">
        <v>0</v>
      </c>
    </row>
    <row r="4879" spans="1:18">
      <c r="A4879" s="4">
        <v>469890000000</v>
      </c>
      <c r="B4879" t="s">
        <v>28</v>
      </c>
      <c r="C4879">
        <v>15</v>
      </c>
      <c r="D4879" t="s">
        <v>60</v>
      </c>
      <c r="E4879" t="s">
        <v>43</v>
      </c>
      <c r="F4879" s="1">
        <v>42508</v>
      </c>
      <c r="G4879" s="1">
        <v>42508</v>
      </c>
      <c r="H4879" t="s">
        <v>25</v>
      </c>
      <c r="I4879">
        <v>0</v>
      </c>
      <c r="J4879" t="s">
        <v>111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23</v>
      </c>
      <c r="R4879">
        <v>0</v>
      </c>
    </row>
    <row r="4880" spans="1:18">
      <c r="A4880" s="4">
        <v>3368940000000</v>
      </c>
      <c r="B4880" t="s">
        <v>18</v>
      </c>
      <c r="C4880">
        <v>12</v>
      </c>
      <c r="D4880" t="s">
        <v>31</v>
      </c>
      <c r="E4880" t="s">
        <v>47</v>
      </c>
      <c r="F4880" s="1">
        <v>42508</v>
      </c>
      <c r="G4880" s="1">
        <v>42509</v>
      </c>
      <c r="H4880" t="s">
        <v>33</v>
      </c>
      <c r="I4880">
        <v>1</v>
      </c>
      <c r="J4880" t="s">
        <v>109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23</v>
      </c>
      <c r="R4880">
        <v>0</v>
      </c>
    </row>
    <row r="4881" spans="1:18">
      <c r="A4881" s="4">
        <v>2944920000000</v>
      </c>
      <c r="B4881" t="s">
        <v>28</v>
      </c>
      <c r="C4881">
        <v>8</v>
      </c>
      <c r="D4881" t="s">
        <v>31</v>
      </c>
      <c r="E4881" t="s">
        <v>44</v>
      </c>
      <c r="F4881" s="1">
        <v>42508</v>
      </c>
      <c r="G4881" s="1">
        <v>42515</v>
      </c>
      <c r="H4881" t="s">
        <v>25</v>
      </c>
      <c r="I4881">
        <v>7</v>
      </c>
      <c r="J4881" t="s">
        <v>107</v>
      </c>
      <c r="K4881">
        <v>1</v>
      </c>
      <c r="L4881">
        <v>0</v>
      </c>
      <c r="M4881">
        <v>0</v>
      </c>
      <c r="N4881">
        <v>0</v>
      </c>
      <c r="O4881">
        <v>0</v>
      </c>
      <c r="P4881">
        <v>1</v>
      </c>
      <c r="Q4881" t="s">
        <v>23</v>
      </c>
      <c r="R4881">
        <v>0</v>
      </c>
    </row>
    <row r="4882" spans="1:18">
      <c r="A4882" s="4">
        <v>1577980000000</v>
      </c>
      <c r="B4882" t="s">
        <v>18</v>
      </c>
      <c r="C4882">
        <v>23</v>
      </c>
      <c r="D4882" t="s">
        <v>37</v>
      </c>
      <c r="E4882" t="s">
        <v>29</v>
      </c>
      <c r="F4882" s="1">
        <v>42508</v>
      </c>
      <c r="G4882" s="1">
        <v>42527</v>
      </c>
      <c r="H4882" t="s">
        <v>30</v>
      </c>
      <c r="I4882">
        <v>19</v>
      </c>
      <c r="J4882" t="s">
        <v>77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1</v>
      </c>
      <c r="Q4882" t="s">
        <v>23</v>
      </c>
      <c r="R4882">
        <v>0</v>
      </c>
    </row>
    <row r="4883" spans="1:18">
      <c r="A4883" s="4">
        <v>121238000000</v>
      </c>
      <c r="B4883" t="s">
        <v>28</v>
      </c>
      <c r="C4883">
        <v>26</v>
      </c>
      <c r="D4883" t="s">
        <v>37</v>
      </c>
      <c r="E4883" t="s">
        <v>32</v>
      </c>
      <c r="F4883" s="1">
        <v>42508</v>
      </c>
      <c r="G4883" s="1">
        <v>42520</v>
      </c>
      <c r="H4883" t="s">
        <v>30</v>
      </c>
      <c r="I4883">
        <v>12</v>
      </c>
      <c r="J4883" t="s">
        <v>92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1</v>
      </c>
      <c r="Q4883" t="s">
        <v>23</v>
      </c>
      <c r="R4883">
        <v>0</v>
      </c>
    </row>
    <row r="4884" spans="1:18">
      <c r="A4884" s="4">
        <v>5743120000000</v>
      </c>
      <c r="B4884" t="s">
        <v>18</v>
      </c>
      <c r="C4884">
        <v>14</v>
      </c>
      <c r="D4884" t="s">
        <v>60</v>
      </c>
      <c r="E4884" t="s">
        <v>47</v>
      </c>
      <c r="F4884" s="1">
        <v>42508</v>
      </c>
      <c r="G4884" s="1">
        <v>42509</v>
      </c>
      <c r="H4884" t="s">
        <v>33</v>
      </c>
      <c r="I4884">
        <v>1</v>
      </c>
      <c r="J4884" t="s">
        <v>109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23</v>
      </c>
      <c r="R4884">
        <v>0</v>
      </c>
    </row>
    <row r="4885" spans="1:18">
      <c r="A4885" s="4">
        <v>31183000000000</v>
      </c>
      <c r="B4885" t="s">
        <v>18</v>
      </c>
      <c r="C4885">
        <v>14</v>
      </c>
      <c r="D4885" t="s">
        <v>60</v>
      </c>
      <c r="E4885" t="s">
        <v>32</v>
      </c>
      <c r="F4885" s="1">
        <v>42508</v>
      </c>
      <c r="G4885" s="1">
        <v>42509</v>
      </c>
      <c r="H4885" t="s">
        <v>33</v>
      </c>
      <c r="I4885">
        <v>1</v>
      </c>
      <c r="J4885" t="s">
        <v>109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23</v>
      </c>
      <c r="R4885">
        <v>0</v>
      </c>
    </row>
    <row r="4886" spans="1:18">
      <c r="A4886" s="4">
        <v>1439200000000</v>
      </c>
      <c r="B4886" t="s">
        <v>28</v>
      </c>
      <c r="C4886">
        <v>59</v>
      </c>
      <c r="D4886" t="s">
        <v>35</v>
      </c>
      <c r="E4886" t="s">
        <v>50</v>
      </c>
      <c r="F4886" s="1">
        <v>42508</v>
      </c>
      <c r="G4886" s="1">
        <v>42510</v>
      </c>
      <c r="H4886" t="s">
        <v>21</v>
      </c>
      <c r="I4886">
        <v>2</v>
      </c>
      <c r="J4886" t="s">
        <v>109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23</v>
      </c>
      <c r="R4886">
        <v>0</v>
      </c>
    </row>
    <row r="4887" spans="1:18">
      <c r="A4887" s="4">
        <v>58153400000000</v>
      </c>
      <c r="B4887" t="s">
        <v>28</v>
      </c>
      <c r="C4887">
        <v>45</v>
      </c>
      <c r="D4887" t="s">
        <v>27</v>
      </c>
      <c r="E4887" t="s">
        <v>72</v>
      </c>
      <c r="F4887" s="1">
        <v>42508</v>
      </c>
      <c r="G4887" s="1">
        <v>42508</v>
      </c>
      <c r="H4887" t="s">
        <v>25</v>
      </c>
      <c r="I4887">
        <v>0</v>
      </c>
      <c r="J4887" t="s">
        <v>111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23</v>
      </c>
      <c r="R4887">
        <v>0</v>
      </c>
    </row>
    <row r="4888" spans="1:18">
      <c r="A4888" s="4">
        <v>824333000000</v>
      </c>
      <c r="B4888" t="s">
        <v>28</v>
      </c>
      <c r="C4888">
        <v>52</v>
      </c>
      <c r="D4888" t="s">
        <v>35</v>
      </c>
      <c r="E4888" t="s">
        <v>85</v>
      </c>
      <c r="F4888" s="1">
        <v>42508</v>
      </c>
      <c r="G4888" s="1">
        <v>42524</v>
      </c>
      <c r="H4888" t="s">
        <v>21</v>
      </c>
      <c r="I4888">
        <v>16</v>
      </c>
      <c r="J4888" t="s">
        <v>77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1</v>
      </c>
      <c r="Q4888" t="s">
        <v>26</v>
      </c>
      <c r="R4888">
        <v>1</v>
      </c>
    </row>
    <row r="4889" spans="1:18">
      <c r="A4889" s="4">
        <v>192529000000000</v>
      </c>
      <c r="B4889" t="s">
        <v>18</v>
      </c>
      <c r="C4889">
        <v>29</v>
      </c>
      <c r="D4889" t="s">
        <v>37</v>
      </c>
      <c r="E4889" t="s">
        <v>101</v>
      </c>
      <c r="F4889" s="1">
        <v>42508</v>
      </c>
      <c r="G4889" s="1">
        <v>42508</v>
      </c>
      <c r="H4889" t="s">
        <v>25</v>
      </c>
      <c r="I4889">
        <v>0</v>
      </c>
      <c r="J4889" t="s">
        <v>111</v>
      </c>
      <c r="K4889">
        <v>0</v>
      </c>
      <c r="L4889">
        <v>0</v>
      </c>
      <c r="M4889">
        <v>1</v>
      </c>
      <c r="N4889">
        <v>0</v>
      </c>
      <c r="O4889">
        <v>0</v>
      </c>
      <c r="P4889">
        <v>0</v>
      </c>
      <c r="Q4889" t="s">
        <v>23</v>
      </c>
      <c r="R4889">
        <v>0</v>
      </c>
    </row>
    <row r="4890" spans="1:18">
      <c r="A4890" s="4">
        <v>6332990000000</v>
      </c>
      <c r="B4890" t="s">
        <v>18</v>
      </c>
      <c r="C4890">
        <v>31</v>
      </c>
      <c r="D4890" t="s">
        <v>37</v>
      </c>
      <c r="E4890" t="s">
        <v>57</v>
      </c>
      <c r="F4890" s="1">
        <v>42508</v>
      </c>
      <c r="G4890" s="1">
        <v>42508</v>
      </c>
      <c r="H4890" t="s">
        <v>25</v>
      </c>
      <c r="I4890">
        <v>0</v>
      </c>
      <c r="J4890" t="s">
        <v>111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23</v>
      </c>
      <c r="R4890">
        <v>0</v>
      </c>
    </row>
    <row r="4891" spans="1:18">
      <c r="A4891" s="4">
        <v>123935000000000</v>
      </c>
      <c r="B4891" t="s">
        <v>28</v>
      </c>
      <c r="C4891">
        <v>6</v>
      </c>
      <c r="D4891" t="s">
        <v>31</v>
      </c>
      <c r="E4891" t="s">
        <v>39</v>
      </c>
      <c r="F4891" s="1">
        <v>42508</v>
      </c>
      <c r="G4891" s="1">
        <v>42515</v>
      </c>
      <c r="H4891" t="s">
        <v>25</v>
      </c>
      <c r="I4891">
        <v>7</v>
      </c>
      <c r="J4891" t="s">
        <v>107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1</v>
      </c>
      <c r="Q4891" t="s">
        <v>23</v>
      </c>
      <c r="R4891">
        <v>0</v>
      </c>
    </row>
    <row r="4892" spans="1:18">
      <c r="A4892" s="4">
        <v>184424000000000</v>
      </c>
      <c r="B4892" t="s">
        <v>18</v>
      </c>
      <c r="C4892">
        <v>30</v>
      </c>
      <c r="D4892" t="s">
        <v>37</v>
      </c>
      <c r="E4892" t="s">
        <v>38</v>
      </c>
      <c r="F4892" s="1">
        <v>42508</v>
      </c>
      <c r="G4892" s="1">
        <v>42528</v>
      </c>
      <c r="H4892" t="s">
        <v>41</v>
      </c>
      <c r="I4892">
        <v>20</v>
      </c>
      <c r="J4892" t="s">
        <v>77</v>
      </c>
      <c r="K4892">
        <v>1</v>
      </c>
      <c r="L4892">
        <v>0</v>
      </c>
      <c r="M4892">
        <v>0</v>
      </c>
      <c r="N4892">
        <v>0</v>
      </c>
      <c r="O4892">
        <v>0</v>
      </c>
      <c r="P4892">
        <v>0</v>
      </c>
      <c r="Q4892" t="s">
        <v>26</v>
      </c>
      <c r="R4892">
        <v>1</v>
      </c>
    </row>
    <row r="4893" spans="1:18">
      <c r="A4893" s="4">
        <v>53534200000000</v>
      </c>
      <c r="B4893" t="s">
        <v>18</v>
      </c>
      <c r="C4893">
        <v>51</v>
      </c>
      <c r="D4893" t="s">
        <v>35</v>
      </c>
      <c r="E4893" t="s">
        <v>38</v>
      </c>
      <c r="F4893" s="1">
        <v>42508</v>
      </c>
      <c r="G4893" s="1">
        <v>42521</v>
      </c>
      <c r="H4893" t="s">
        <v>41</v>
      </c>
      <c r="I4893">
        <v>13</v>
      </c>
      <c r="J4893" t="s">
        <v>92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26</v>
      </c>
      <c r="R4893">
        <v>1</v>
      </c>
    </row>
    <row r="4894" spans="1:18">
      <c r="A4894" s="4">
        <v>472248000000000</v>
      </c>
      <c r="B4894" t="s">
        <v>18</v>
      </c>
      <c r="C4894">
        <v>20</v>
      </c>
      <c r="D4894" t="s">
        <v>37</v>
      </c>
      <c r="E4894" t="s">
        <v>43</v>
      </c>
      <c r="F4894" s="1">
        <v>42508</v>
      </c>
      <c r="G4894" s="1">
        <v>42515</v>
      </c>
      <c r="H4894" t="s">
        <v>25</v>
      </c>
      <c r="I4894">
        <v>7</v>
      </c>
      <c r="J4894" t="s">
        <v>107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1</v>
      </c>
      <c r="Q4894" t="s">
        <v>23</v>
      </c>
      <c r="R4894">
        <v>0</v>
      </c>
    </row>
    <row r="4895" spans="1:18">
      <c r="A4895" s="4">
        <v>654535000000000</v>
      </c>
      <c r="B4895" t="s">
        <v>18</v>
      </c>
      <c r="C4895">
        <v>39</v>
      </c>
      <c r="D4895" t="s">
        <v>27</v>
      </c>
      <c r="E4895" t="s">
        <v>36</v>
      </c>
      <c r="F4895" s="1">
        <v>42508</v>
      </c>
      <c r="G4895" s="1">
        <v>42514</v>
      </c>
      <c r="H4895" t="s">
        <v>41</v>
      </c>
      <c r="I4895">
        <v>6</v>
      </c>
      <c r="J4895" t="s">
        <v>107</v>
      </c>
      <c r="K4895">
        <v>0</v>
      </c>
      <c r="L4895">
        <v>1</v>
      </c>
      <c r="M4895">
        <v>0</v>
      </c>
      <c r="N4895">
        <v>0</v>
      </c>
      <c r="O4895">
        <v>0</v>
      </c>
      <c r="P4895">
        <v>1</v>
      </c>
      <c r="Q4895" t="s">
        <v>23</v>
      </c>
      <c r="R4895">
        <v>0</v>
      </c>
    </row>
    <row r="4896" spans="1:18">
      <c r="A4896" s="4">
        <v>76411800000000</v>
      </c>
      <c r="B4896" t="s">
        <v>18</v>
      </c>
      <c r="C4896">
        <v>62</v>
      </c>
      <c r="D4896" t="s">
        <v>35</v>
      </c>
      <c r="E4896" t="s">
        <v>34</v>
      </c>
      <c r="F4896" s="1">
        <v>42508</v>
      </c>
      <c r="G4896" s="1">
        <v>42527</v>
      </c>
      <c r="H4896" t="s">
        <v>30</v>
      </c>
      <c r="I4896">
        <v>19</v>
      </c>
      <c r="J4896" t="s">
        <v>77</v>
      </c>
      <c r="K4896">
        <v>0</v>
      </c>
      <c r="L4896">
        <v>1</v>
      </c>
      <c r="M4896">
        <v>1</v>
      </c>
      <c r="N4896">
        <v>0</v>
      </c>
      <c r="O4896">
        <v>0</v>
      </c>
      <c r="P4896">
        <v>1</v>
      </c>
      <c r="Q4896" t="s">
        <v>23</v>
      </c>
      <c r="R4896">
        <v>0</v>
      </c>
    </row>
    <row r="4897" spans="1:18">
      <c r="A4897" s="4">
        <v>951678000000</v>
      </c>
      <c r="B4897" t="s">
        <v>18</v>
      </c>
      <c r="C4897">
        <v>25</v>
      </c>
      <c r="D4897" t="s">
        <v>37</v>
      </c>
      <c r="E4897" t="s">
        <v>42</v>
      </c>
      <c r="F4897" s="1">
        <v>42508</v>
      </c>
      <c r="G4897" s="1">
        <v>42508</v>
      </c>
      <c r="H4897" t="s">
        <v>25</v>
      </c>
      <c r="I4897">
        <v>0</v>
      </c>
      <c r="J4897" t="s">
        <v>111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 t="s">
        <v>23</v>
      </c>
      <c r="R4897">
        <v>0</v>
      </c>
    </row>
    <row r="4898" spans="1:18">
      <c r="A4898" s="4">
        <v>379796000000</v>
      </c>
      <c r="B4898" t="s">
        <v>18</v>
      </c>
      <c r="C4898">
        <v>1</v>
      </c>
      <c r="D4898" t="s">
        <v>31</v>
      </c>
      <c r="E4898" t="s">
        <v>59</v>
      </c>
      <c r="F4898" s="1">
        <v>42508</v>
      </c>
      <c r="G4898" s="1">
        <v>42508</v>
      </c>
      <c r="H4898" t="s">
        <v>25</v>
      </c>
      <c r="I4898">
        <v>0</v>
      </c>
      <c r="J4898" t="s">
        <v>111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 t="s">
        <v>23</v>
      </c>
      <c r="R4898">
        <v>0</v>
      </c>
    </row>
    <row r="4899" spans="1:18">
      <c r="A4899" s="4">
        <v>45252400000000</v>
      </c>
      <c r="B4899" t="s">
        <v>28</v>
      </c>
      <c r="C4899">
        <v>22</v>
      </c>
      <c r="D4899" t="s">
        <v>37</v>
      </c>
      <c r="E4899" t="s">
        <v>96</v>
      </c>
      <c r="F4899" s="1">
        <v>42508</v>
      </c>
      <c r="G4899" s="1">
        <v>42524</v>
      </c>
      <c r="H4899" t="s">
        <v>21</v>
      </c>
      <c r="I4899">
        <v>16</v>
      </c>
      <c r="J4899" t="s">
        <v>77</v>
      </c>
      <c r="K4899">
        <v>1</v>
      </c>
      <c r="L4899">
        <v>0</v>
      </c>
      <c r="M4899">
        <v>0</v>
      </c>
      <c r="N4899">
        <v>0</v>
      </c>
      <c r="O4899">
        <v>0</v>
      </c>
      <c r="P4899">
        <v>1</v>
      </c>
      <c r="Q4899" t="s">
        <v>26</v>
      </c>
      <c r="R4899">
        <v>1</v>
      </c>
    </row>
    <row r="4900" spans="1:18">
      <c r="A4900" s="4">
        <v>918287000000000</v>
      </c>
      <c r="B4900" t="s">
        <v>18</v>
      </c>
      <c r="C4900">
        <v>39</v>
      </c>
      <c r="D4900" t="s">
        <v>27</v>
      </c>
      <c r="E4900" t="s">
        <v>47</v>
      </c>
      <c r="F4900" s="1">
        <v>42508</v>
      </c>
      <c r="G4900" s="1">
        <v>42508</v>
      </c>
      <c r="H4900" t="s">
        <v>25</v>
      </c>
      <c r="I4900">
        <v>0</v>
      </c>
      <c r="J4900" t="s">
        <v>111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 t="s">
        <v>23</v>
      </c>
      <c r="R4900">
        <v>0</v>
      </c>
    </row>
    <row r="4901" spans="1:18">
      <c r="A4901" s="4">
        <v>58267800000000</v>
      </c>
      <c r="B4901" t="s">
        <v>28</v>
      </c>
      <c r="C4901">
        <v>21</v>
      </c>
      <c r="D4901" t="s">
        <v>37</v>
      </c>
      <c r="E4901" t="s">
        <v>47</v>
      </c>
      <c r="F4901" s="1">
        <v>42508</v>
      </c>
      <c r="G4901" s="1">
        <v>42508</v>
      </c>
      <c r="H4901" t="s">
        <v>25</v>
      </c>
      <c r="I4901">
        <v>0</v>
      </c>
      <c r="J4901" t="s">
        <v>111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 t="s">
        <v>23</v>
      </c>
      <c r="R4901">
        <v>0</v>
      </c>
    </row>
    <row r="4902" spans="1:18">
      <c r="A4902" s="4">
        <v>371517000000000</v>
      </c>
      <c r="B4902" t="s">
        <v>18</v>
      </c>
      <c r="C4902">
        <v>14</v>
      </c>
      <c r="D4902" t="s">
        <v>60</v>
      </c>
      <c r="E4902" t="s">
        <v>34</v>
      </c>
      <c r="F4902" s="1">
        <v>42508</v>
      </c>
      <c r="G4902" s="1">
        <v>42529</v>
      </c>
      <c r="H4902" t="s">
        <v>25</v>
      </c>
      <c r="I4902">
        <v>21</v>
      </c>
      <c r="J4902" t="s">
        <v>77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23</v>
      </c>
      <c r="R4902">
        <v>0</v>
      </c>
    </row>
    <row r="4903" spans="1:18">
      <c r="A4903" s="4">
        <v>765973000000000</v>
      </c>
      <c r="B4903" t="s">
        <v>28</v>
      </c>
      <c r="C4903">
        <v>55</v>
      </c>
      <c r="D4903" t="s">
        <v>35</v>
      </c>
      <c r="E4903" t="s">
        <v>24</v>
      </c>
      <c r="F4903" s="1">
        <v>42508</v>
      </c>
      <c r="G4903" s="1">
        <v>42510</v>
      </c>
      <c r="H4903" t="s">
        <v>21</v>
      </c>
      <c r="I4903">
        <v>2</v>
      </c>
      <c r="J4903" t="s">
        <v>109</v>
      </c>
      <c r="K4903">
        <v>0</v>
      </c>
      <c r="L4903">
        <v>1</v>
      </c>
      <c r="M4903">
        <v>1</v>
      </c>
      <c r="N4903">
        <v>0</v>
      </c>
      <c r="O4903">
        <v>0</v>
      </c>
      <c r="P4903">
        <v>0</v>
      </c>
      <c r="Q4903" t="s">
        <v>23</v>
      </c>
      <c r="R4903">
        <v>0</v>
      </c>
    </row>
    <row r="4904" spans="1:18">
      <c r="A4904" s="4">
        <v>932634000000000</v>
      </c>
      <c r="B4904" t="s">
        <v>18</v>
      </c>
      <c r="C4904">
        <v>51</v>
      </c>
      <c r="D4904" t="s">
        <v>35</v>
      </c>
      <c r="E4904" t="s">
        <v>39</v>
      </c>
      <c r="F4904" s="1">
        <v>42508</v>
      </c>
      <c r="G4904" s="1">
        <v>42514</v>
      </c>
      <c r="H4904" t="s">
        <v>41</v>
      </c>
      <c r="I4904">
        <v>6</v>
      </c>
      <c r="J4904" t="s">
        <v>107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1</v>
      </c>
      <c r="Q4904" t="s">
        <v>26</v>
      </c>
      <c r="R4904">
        <v>1</v>
      </c>
    </row>
    <row r="4905" spans="1:18">
      <c r="A4905" s="4">
        <v>49653500000000</v>
      </c>
      <c r="B4905" t="s">
        <v>28</v>
      </c>
      <c r="C4905">
        <v>60</v>
      </c>
      <c r="D4905" t="s">
        <v>35</v>
      </c>
      <c r="E4905" t="s">
        <v>72</v>
      </c>
      <c r="F4905" s="1">
        <v>42508</v>
      </c>
      <c r="G4905" s="1">
        <v>42508</v>
      </c>
      <c r="H4905" t="s">
        <v>25</v>
      </c>
      <c r="I4905">
        <v>0</v>
      </c>
      <c r="J4905" t="s">
        <v>111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23</v>
      </c>
      <c r="R4905">
        <v>0</v>
      </c>
    </row>
    <row r="4906" spans="1:18">
      <c r="A4906" s="4">
        <v>1243920000000</v>
      </c>
      <c r="B4906" t="s">
        <v>18</v>
      </c>
      <c r="C4906">
        <v>67</v>
      </c>
      <c r="D4906" t="s">
        <v>19</v>
      </c>
      <c r="E4906" t="s">
        <v>81</v>
      </c>
      <c r="F4906" s="1">
        <v>42508</v>
      </c>
      <c r="G4906" s="1">
        <v>42508</v>
      </c>
      <c r="H4906" t="s">
        <v>25</v>
      </c>
      <c r="I4906">
        <v>0</v>
      </c>
      <c r="J4906" t="s">
        <v>111</v>
      </c>
      <c r="K4906">
        <v>0</v>
      </c>
      <c r="L4906">
        <v>1</v>
      </c>
      <c r="M4906">
        <v>0</v>
      </c>
      <c r="N4906">
        <v>0</v>
      </c>
      <c r="O4906">
        <v>0</v>
      </c>
      <c r="P4906">
        <v>0</v>
      </c>
      <c r="Q4906" t="s">
        <v>23</v>
      </c>
      <c r="R4906">
        <v>0</v>
      </c>
    </row>
    <row r="4907" spans="1:18">
      <c r="A4907" s="4">
        <v>7896290000000</v>
      </c>
      <c r="B4907" t="s">
        <v>18</v>
      </c>
      <c r="C4907">
        <v>19</v>
      </c>
      <c r="D4907" t="s">
        <v>37</v>
      </c>
      <c r="E4907" t="s">
        <v>47</v>
      </c>
      <c r="F4907" s="1">
        <v>42508</v>
      </c>
      <c r="G4907" s="1">
        <v>42508</v>
      </c>
      <c r="H4907" t="s">
        <v>25</v>
      </c>
      <c r="I4907">
        <v>0</v>
      </c>
      <c r="J4907" t="s">
        <v>111</v>
      </c>
      <c r="K4907">
        <v>0</v>
      </c>
      <c r="L4907">
        <v>0</v>
      </c>
      <c r="M4907">
        <v>0</v>
      </c>
      <c r="N4907">
        <v>0</v>
      </c>
      <c r="O4907">
        <v>1</v>
      </c>
      <c r="P4907">
        <v>0</v>
      </c>
      <c r="Q4907" t="s">
        <v>23</v>
      </c>
      <c r="R4907">
        <v>0</v>
      </c>
    </row>
    <row r="4908" spans="1:18">
      <c r="A4908" s="4">
        <v>68754000000000</v>
      </c>
      <c r="B4908" t="s">
        <v>18</v>
      </c>
      <c r="C4908">
        <v>26</v>
      </c>
      <c r="D4908" t="s">
        <v>37</v>
      </c>
      <c r="E4908" t="s">
        <v>72</v>
      </c>
      <c r="F4908" s="1">
        <v>42508</v>
      </c>
      <c r="G4908" s="1">
        <v>42508</v>
      </c>
      <c r="H4908" t="s">
        <v>25</v>
      </c>
      <c r="I4908">
        <v>0</v>
      </c>
      <c r="J4908" t="s">
        <v>111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23</v>
      </c>
      <c r="R4908">
        <v>0</v>
      </c>
    </row>
    <row r="4909" spans="1:18">
      <c r="A4909" s="4">
        <v>375476000000000</v>
      </c>
      <c r="B4909" t="s">
        <v>18</v>
      </c>
      <c r="C4909">
        <v>30</v>
      </c>
      <c r="D4909" t="s">
        <v>37</v>
      </c>
      <c r="E4909" t="s">
        <v>29</v>
      </c>
      <c r="F4909" s="1">
        <v>42508</v>
      </c>
      <c r="G4909" s="1">
        <v>42508</v>
      </c>
      <c r="H4909" t="s">
        <v>25</v>
      </c>
      <c r="I4909">
        <v>0</v>
      </c>
      <c r="J4909" t="s">
        <v>111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 t="s">
        <v>23</v>
      </c>
      <c r="R4909">
        <v>0</v>
      </c>
    </row>
    <row r="4910" spans="1:18">
      <c r="A4910" s="4">
        <v>116755000000</v>
      </c>
      <c r="B4910" t="s">
        <v>28</v>
      </c>
      <c r="C4910">
        <v>34</v>
      </c>
      <c r="D4910" t="s">
        <v>37</v>
      </c>
      <c r="E4910" t="s">
        <v>112</v>
      </c>
      <c r="F4910" s="1">
        <v>42508</v>
      </c>
      <c r="G4910" s="1">
        <v>42520</v>
      </c>
      <c r="H4910" t="s">
        <v>30</v>
      </c>
      <c r="I4910">
        <v>12</v>
      </c>
      <c r="J4910" t="s">
        <v>92</v>
      </c>
      <c r="K4910">
        <v>0</v>
      </c>
      <c r="L4910">
        <v>0</v>
      </c>
      <c r="M4910">
        <v>0</v>
      </c>
      <c r="N4910">
        <v>1</v>
      </c>
      <c r="O4910">
        <v>0</v>
      </c>
      <c r="P4910">
        <v>1</v>
      </c>
      <c r="Q4910" t="s">
        <v>26</v>
      </c>
      <c r="R4910">
        <v>1</v>
      </c>
    </row>
    <row r="4911" spans="1:18">
      <c r="A4911" s="4">
        <v>181932000000000</v>
      </c>
      <c r="B4911" t="s">
        <v>18</v>
      </c>
      <c r="C4911">
        <v>60</v>
      </c>
      <c r="D4911" t="s">
        <v>35</v>
      </c>
      <c r="E4911" t="s">
        <v>74</v>
      </c>
      <c r="F4911" s="1">
        <v>42508</v>
      </c>
      <c r="G4911" s="1">
        <v>42508</v>
      </c>
      <c r="H4911" t="s">
        <v>25</v>
      </c>
      <c r="I4911">
        <v>0</v>
      </c>
      <c r="J4911" t="s">
        <v>111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 t="s">
        <v>23</v>
      </c>
      <c r="R4911">
        <v>0</v>
      </c>
    </row>
    <row r="4912" spans="1:18">
      <c r="A4912" s="4">
        <v>249164000000000</v>
      </c>
      <c r="B4912" t="s">
        <v>28</v>
      </c>
      <c r="C4912">
        <v>8</v>
      </c>
      <c r="D4912" t="s">
        <v>31</v>
      </c>
      <c r="E4912" t="s">
        <v>47</v>
      </c>
      <c r="F4912" s="1">
        <v>42508</v>
      </c>
      <c r="G4912" s="1">
        <v>42508</v>
      </c>
      <c r="H4912" t="s">
        <v>25</v>
      </c>
      <c r="I4912">
        <v>0</v>
      </c>
      <c r="J4912" t="s">
        <v>111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23</v>
      </c>
      <c r="R4912">
        <v>0</v>
      </c>
    </row>
    <row r="4913" spans="1:18">
      <c r="A4913" s="4">
        <v>62735800000000</v>
      </c>
      <c r="B4913" t="s">
        <v>18</v>
      </c>
      <c r="C4913">
        <v>3</v>
      </c>
      <c r="D4913" t="s">
        <v>31</v>
      </c>
      <c r="E4913" t="s">
        <v>43</v>
      </c>
      <c r="F4913" s="1">
        <v>42508</v>
      </c>
      <c r="G4913" s="1">
        <v>42509</v>
      </c>
      <c r="H4913" t="s">
        <v>33</v>
      </c>
      <c r="I4913">
        <v>1</v>
      </c>
      <c r="J4913" t="s">
        <v>109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23</v>
      </c>
      <c r="R4913">
        <v>0</v>
      </c>
    </row>
    <row r="4914" spans="1:18">
      <c r="A4914" s="4">
        <v>459779000000</v>
      </c>
      <c r="B4914" t="s">
        <v>28</v>
      </c>
      <c r="C4914">
        <v>5</v>
      </c>
      <c r="D4914" t="s">
        <v>31</v>
      </c>
      <c r="E4914" t="s">
        <v>66</v>
      </c>
      <c r="F4914" s="1">
        <v>42508</v>
      </c>
      <c r="G4914" s="1">
        <v>42508</v>
      </c>
      <c r="H4914" t="s">
        <v>25</v>
      </c>
      <c r="I4914">
        <v>0</v>
      </c>
      <c r="J4914" t="s">
        <v>111</v>
      </c>
      <c r="K4914">
        <v>1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23</v>
      </c>
      <c r="R4914">
        <v>0</v>
      </c>
    </row>
    <row r="4915" spans="1:18">
      <c r="A4915" s="4">
        <v>85796900000000</v>
      </c>
      <c r="B4915" t="s">
        <v>18</v>
      </c>
      <c r="C4915">
        <v>80</v>
      </c>
      <c r="D4915" t="s">
        <v>19</v>
      </c>
      <c r="E4915" t="s">
        <v>58</v>
      </c>
      <c r="F4915" s="1">
        <v>42508</v>
      </c>
      <c r="G4915" s="1">
        <v>42528</v>
      </c>
      <c r="H4915" t="s">
        <v>41</v>
      </c>
      <c r="I4915">
        <v>20</v>
      </c>
      <c r="J4915" t="s">
        <v>77</v>
      </c>
      <c r="K4915">
        <v>0</v>
      </c>
      <c r="L4915">
        <v>1</v>
      </c>
      <c r="M4915">
        <v>1</v>
      </c>
      <c r="N4915">
        <v>0</v>
      </c>
      <c r="O4915">
        <v>0</v>
      </c>
      <c r="P4915">
        <v>0</v>
      </c>
      <c r="Q4915" t="s">
        <v>23</v>
      </c>
      <c r="R4915">
        <v>0</v>
      </c>
    </row>
    <row r="4916" spans="1:18">
      <c r="A4916" s="4">
        <v>273583000000000</v>
      </c>
      <c r="B4916" t="s">
        <v>18</v>
      </c>
      <c r="C4916">
        <v>59</v>
      </c>
      <c r="D4916" t="s">
        <v>35</v>
      </c>
      <c r="E4916" t="s">
        <v>29</v>
      </c>
      <c r="F4916" s="1">
        <v>42508</v>
      </c>
      <c r="G4916" s="1">
        <v>42508</v>
      </c>
      <c r="H4916" t="s">
        <v>25</v>
      </c>
      <c r="I4916">
        <v>0</v>
      </c>
      <c r="J4916" t="s">
        <v>111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23</v>
      </c>
      <c r="R4916">
        <v>0</v>
      </c>
    </row>
    <row r="4917" spans="1:18">
      <c r="A4917" s="4">
        <v>37861100000000</v>
      </c>
      <c r="B4917" t="s">
        <v>28</v>
      </c>
      <c r="C4917">
        <v>39</v>
      </c>
      <c r="D4917" t="s">
        <v>27</v>
      </c>
      <c r="E4917" t="s">
        <v>50</v>
      </c>
      <c r="F4917" s="1">
        <v>42508</v>
      </c>
      <c r="G4917" s="1">
        <v>42514</v>
      </c>
      <c r="H4917" t="s">
        <v>41</v>
      </c>
      <c r="I4917">
        <v>6</v>
      </c>
      <c r="J4917" t="s">
        <v>107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1</v>
      </c>
      <c r="Q4917" t="s">
        <v>23</v>
      </c>
      <c r="R4917">
        <v>0</v>
      </c>
    </row>
    <row r="4918" spans="1:18">
      <c r="A4918" s="4">
        <v>8348380000000</v>
      </c>
      <c r="B4918" t="s">
        <v>18</v>
      </c>
      <c r="C4918">
        <v>6</v>
      </c>
      <c r="D4918" t="s">
        <v>31</v>
      </c>
      <c r="E4918" t="s">
        <v>75</v>
      </c>
      <c r="F4918" s="1">
        <v>42508</v>
      </c>
      <c r="G4918" s="1">
        <v>42524</v>
      </c>
      <c r="H4918" t="s">
        <v>21</v>
      </c>
      <c r="I4918">
        <v>16</v>
      </c>
      <c r="J4918" t="s">
        <v>77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23</v>
      </c>
      <c r="R4918">
        <v>0</v>
      </c>
    </row>
    <row r="4919" spans="1:18">
      <c r="A4919" s="4">
        <v>55215600000000</v>
      </c>
      <c r="B4919" t="s">
        <v>18</v>
      </c>
      <c r="C4919">
        <v>40</v>
      </c>
      <c r="D4919" t="s">
        <v>27</v>
      </c>
      <c r="E4919" t="s">
        <v>64</v>
      </c>
      <c r="F4919" s="1">
        <v>42508</v>
      </c>
      <c r="G4919" s="1">
        <v>42510</v>
      </c>
      <c r="H4919" t="s">
        <v>21</v>
      </c>
      <c r="I4919">
        <v>2</v>
      </c>
      <c r="J4919" t="s">
        <v>109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 t="s">
        <v>23</v>
      </c>
      <c r="R4919">
        <v>0</v>
      </c>
    </row>
    <row r="4920" spans="1:18">
      <c r="A4920" s="4">
        <v>755127000000000</v>
      </c>
      <c r="B4920" t="s">
        <v>18</v>
      </c>
      <c r="C4920">
        <v>44</v>
      </c>
      <c r="D4920" t="s">
        <v>27</v>
      </c>
      <c r="E4920" t="s">
        <v>68</v>
      </c>
      <c r="F4920" s="1">
        <v>42508</v>
      </c>
      <c r="G4920" s="1">
        <v>42510</v>
      </c>
      <c r="H4920" t="s">
        <v>21</v>
      </c>
      <c r="I4920">
        <v>2</v>
      </c>
      <c r="J4920" t="s">
        <v>109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23</v>
      </c>
      <c r="R4920">
        <v>0</v>
      </c>
    </row>
    <row r="4921" spans="1:18">
      <c r="A4921" s="4">
        <v>21724000000000</v>
      </c>
      <c r="B4921" t="s">
        <v>28</v>
      </c>
      <c r="C4921">
        <v>62</v>
      </c>
      <c r="D4921" t="s">
        <v>35</v>
      </c>
      <c r="E4921" t="s">
        <v>50</v>
      </c>
      <c r="F4921" s="1">
        <v>42508</v>
      </c>
      <c r="G4921" s="1">
        <v>42510</v>
      </c>
      <c r="H4921" t="s">
        <v>21</v>
      </c>
      <c r="I4921">
        <v>2</v>
      </c>
      <c r="J4921" t="s">
        <v>109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 t="s">
        <v>23</v>
      </c>
      <c r="R4921">
        <v>0</v>
      </c>
    </row>
    <row r="4922" spans="1:18">
      <c r="A4922" s="4">
        <v>96329500000000</v>
      </c>
      <c r="B4922" t="s">
        <v>28</v>
      </c>
      <c r="C4922">
        <v>54</v>
      </c>
      <c r="D4922" t="s">
        <v>35</v>
      </c>
      <c r="E4922" t="s">
        <v>68</v>
      </c>
      <c r="F4922" s="1">
        <v>42508</v>
      </c>
      <c r="G4922" s="1">
        <v>42522</v>
      </c>
      <c r="H4922" t="s">
        <v>25</v>
      </c>
      <c r="I4922">
        <v>14</v>
      </c>
      <c r="J4922" t="s">
        <v>92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1</v>
      </c>
      <c r="Q4922" t="s">
        <v>23</v>
      </c>
      <c r="R4922">
        <v>0</v>
      </c>
    </row>
    <row r="4923" spans="1:18">
      <c r="A4923" s="4">
        <v>715183000000000</v>
      </c>
      <c r="B4923" t="s">
        <v>18</v>
      </c>
      <c r="C4923">
        <v>67</v>
      </c>
      <c r="D4923" t="s">
        <v>19</v>
      </c>
      <c r="E4923" t="s">
        <v>32</v>
      </c>
      <c r="F4923" s="1">
        <v>42508</v>
      </c>
      <c r="G4923" s="1">
        <v>42510</v>
      </c>
      <c r="H4923" t="s">
        <v>21</v>
      </c>
      <c r="I4923">
        <v>2</v>
      </c>
      <c r="J4923" t="s">
        <v>109</v>
      </c>
      <c r="K4923">
        <v>0</v>
      </c>
      <c r="L4923">
        <v>1</v>
      </c>
      <c r="M4923">
        <v>0</v>
      </c>
      <c r="N4923">
        <v>0</v>
      </c>
      <c r="O4923">
        <v>0</v>
      </c>
      <c r="P4923">
        <v>0</v>
      </c>
      <c r="Q4923" t="s">
        <v>23</v>
      </c>
      <c r="R4923">
        <v>0</v>
      </c>
    </row>
    <row r="4924" spans="1:18">
      <c r="A4924" s="4">
        <v>99779200000000</v>
      </c>
      <c r="B4924" t="s">
        <v>18</v>
      </c>
      <c r="C4924">
        <v>10</v>
      </c>
      <c r="D4924" t="s">
        <v>31</v>
      </c>
      <c r="E4924" t="s">
        <v>67</v>
      </c>
      <c r="F4924" s="1">
        <v>42508</v>
      </c>
      <c r="G4924" s="1">
        <v>42524</v>
      </c>
      <c r="H4924" t="s">
        <v>21</v>
      </c>
      <c r="I4924">
        <v>16</v>
      </c>
      <c r="J4924" t="s">
        <v>77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1</v>
      </c>
      <c r="Q4924" t="s">
        <v>23</v>
      </c>
      <c r="R4924">
        <v>0</v>
      </c>
    </row>
    <row r="4925" spans="1:18">
      <c r="A4925" s="4">
        <v>511790000000000</v>
      </c>
      <c r="B4925" t="s">
        <v>18</v>
      </c>
      <c r="C4925">
        <v>48</v>
      </c>
      <c r="D4925" t="s">
        <v>27</v>
      </c>
      <c r="E4925" t="s">
        <v>72</v>
      </c>
      <c r="F4925" s="1">
        <v>42508</v>
      </c>
      <c r="G4925" s="1">
        <v>42510</v>
      </c>
      <c r="H4925" t="s">
        <v>21</v>
      </c>
      <c r="I4925">
        <v>2</v>
      </c>
      <c r="J4925" t="s">
        <v>109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23</v>
      </c>
      <c r="R4925">
        <v>0</v>
      </c>
    </row>
    <row r="4926" spans="1:18">
      <c r="A4926" s="4">
        <v>6266460000000</v>
      </c>
      <c r="B4926" t="s">
        <v>28</v>
      </c>
      <c r="C4926">
        <v>79</v>
      </c>
      <c r="D4926" t="s">
        <v>19</v>
      </c>
      <c r="E4926" t="s">
        <v>29</v>
      </c>
      <c r="F4926" s="1">
        <v>42508</v>
      </c>
      <c r="G4926" s="1">
        <v>42508</v>
      </c>
      <c r="H4926" t="s">
        <v>25</v>
      </c>
      <c r="I4926">
        <v>0</v>
      </c>
      <c r="J4926" t="s">
        <v>111</v>
      </c>
      <c r="K4926">
        <v>0</v>
      </c>
      <c r="L4926">
        <v>1</v>
      </c>
      <c r="M4926">
        <v>0</v>
      </c>
      <c r="N4926">
        <v>0</v>
      </c>
      <c r="O4926">
        <v>0</v>
      </c>
      <c r="P4926">
        <v>0</v>
      </c>
      <c r="Q4926" t="s">
        <v>23</v>
      </c>
      <c r="R4926">
        <v>0</v>
      </c>
    </row>
    <row r="4927" spans="1:18">
      <c r="A4927" s="4">
        <v>5185670000000</v>
      </c>
      <c r="B4927" t="s">
        <v>18</v>
      </c>
      <c r="C4927">
        <v>24</v>
      </c>
      <c r="D4927" t="s">
        <v>37</v>
      </c>
      <c r="E4927" t="s">
        <v>65</v>
      </c>
      <c r="F4927" s="1">
        <v>42508</v>
      </c>
      <c r="G4927" s="1">
        <v>42514</v>
      </c>
      <c r="H4927" t="s">
        <v>41</v>
      </c>
      <c r="I4927">
        <v>6</v>
      </c>
      <c r="J4927" t="s">
        <v>107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1</v>
      </c>
      <c r="Q4927" t="s">
        <v>23</v>
      </c>
      <c r="R4927">
        <v>0</v>
      </c>
    </row>
    <row r="4928" spans="1:18">
      <c r="A4928" s="4">
        <v>92293900000000</v>
      </c>
      <c r="B4928" t="s">
        <v>18</v>
      </c>
      <c r="C4928">
        <v>73</v>
      </c>
      <c r="D4928" t="s">
        <v>19</v>
      </c>
      <c r="E4928" t="s">
        <v>75</v>
      </c>
      <c r="F4928" s="1">
        <v>42508</v>
      </c>
      <c r="G4928" s="1">
        <v>42510</v>
      </c>
      <c r="H4928" t="s">
        <v>21</v>
      </c>
      <c r="I4928">
        <v>2</v>
      </c>
      <c r="J4928" t="s">
        <v>109</v>
      </c>
      <c r="K4928">
        <v>0</v>
      </c>
      <c r="L4928">
        <v>1</v>
      </c>
      <c r="M4928">
        <v>0</v>
      </c>
      <c r="N4928">
        <v>0</v>
      </c>
      <c r="O4928">
        <v>1</v>
      </c>
      <c r="P4928">
        <v>0</v>
      </c>
      <c r="Q4928" t="s">
        <v>23</v>
      </c>
      <c r="R4928">
        <v>0</v>
      </c>
    </row>
    <row r="4929" spans="1:18">
      <c r="A4929" s="4">
        <v>93245500000000</v>
      </c>
      <c r="B4929" t="s">
        <v>18</v>
      </c>
      <c r="C4929">
        <v>58</v>
      </c>
      <c r="D4929" t="s">
        <v>35</v>
      </c>
      <c r="E4929" t="s">
        <v>42</v>
      </c>
      <c r="F4929" s="1">
        <v>42508</v>
      </c>
      <c r="G4929" s="1">
        <v>42510</v>
      </c>
      <c r="H4929" t="s">
        <v>21</v>
      </c>
      <c r="I4929">
        <v>2</v>
      </c>
      <c r="J4929" t="s">
        <v>109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23</v>
      </c>
      <c r="R4929">
        <v>0</v>
      </c>
    </row>
    <row r="4930" spans="1:18">
      <c r="A4930" s="4">
        <v>1614540000000</v>
      </c>
      <c r="B4930" t="s">
        <v>18</v>
      </c>
      <c r="C4930">
        <v>59</v>
      </c>
      <c r="D4930" t="s">
        <v>35</v>
      </c>
      <c r="E4930" t="s">
        <v>39</v>
      </c>
      <c r="F4930" s="1">
        <v>42508</v>
      </c>
      <c r="G4930" s="1">
        <v>42508</v>
      </c>
      <c r="H4930" t="s">
        <v>25</v>
      </c>
      <c r="I4930">
        <v>0</v>
      </c>
      <c r="J4930" t="s">
        <v>111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23</v>
      </c>
      <c r="R4930">
        <v>0</v>
      </c>
    </row>
    <row r="4931" spans="1:18">
      <c r="A4931" s="4">
        <v>364287000000</v>
      </c>
      <c r="B4931" t="s">
        <v>18</v>
      </c>
      <c r="C4931">
        <v>77</v>
      </c>
      <c r="D4931" t="s">
        <v>19</v>
      </c>
      <c r="E4931" t="s">
        <v>40</v>
      </c>
      <c r="F4931" s="1">
        <v>42508</v>
      </c>
      <c r="G4931" s="1">
        <v>42510</v>
      </c>
      <c r="H4931" t="s">
        <v>21</v>
      </c>
      <c r="I4931">
        <v>2</v>
      </c>
      <c r="J4931" t="s">
        <v>109</v>
      </c>
      <c r="K4931">
        <v>0</v>
      </c>
      <c r="L4931">
        <v>1</v>
      </c>
      <c r="M4931">
        <v>0</v>
      </c>
      <c r="N4931">
        <v>0</v>
      </c>
      <c r="O4931">
        <v>0</v>
      </c>
      <c r="P4931">
        <v>0</v>
      </c>
      <c r="Q4931" t="s">
        <v>23</v>
      </c>
      <c r="R4931">
        <v>0</v>
      </c>
    </row>
    <row r="4932" spans="1:18">
      <c r="A4932" s="4">
        <v>876792000000000</v>
      </c>
      <c r="B4932" t="s">
        <v>18</v>
      </c>
      <c r="C4932">
        <v>12</v>
      </c>
      <c r="D4932" t="s">
        <v>31</v>
      </c>
      <c r="E4932" t="s">
        <v>38</v>
      </c>
      <c r="F4932" s="1">
        <v>42508</v>
      </c>
      <c r="G4932" s="1">
        <v>42508</v>
      </c>
      <c r="H4932" t="s">
        <v>25</v>
      </c>
      <c r="I4932">
        <v>0</v>
      </c>
      <c r="J4932" t="s">
        <v>111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26</v>
      </c>
      <c r="R4932">
        <v>1</v>
      </c>
    </row>
    <row r="4933" spans="1:18">
      <c r="A4933" s="4">
        <v>89572800000000</v>
      </c>
      <c r="B4933" t="s">
        <v>28</v>
      </c>
      <c r="C4933">
        <v>33</v>
      </c>
      <c r="D4933" t="s">
        <v>37</v>
      </c>
      <c r="E4933" t="s">
        <v>65</v>
      </c>
      <c r="F4933" s="1">
        <v>42508</v>
      </c>
      <c r="G4933" s="1">
        <v>42528</v>
      </c>
      <c r="H4933" t="s">
        <v>41</v>
      </c>
      <c r="I4933">
        <v>20</v>
      </c>
      <c r="J4933" t="s">
        <v>77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1</v>
      </c>
      <c r="Q4933" t="s">
        <v>26</v>
      </c>
      <c r="R4933">
        <v>1</v>
      </c>
    </row>
    <row r="4934" spans="1:18">
      <c r="A4934" s="4">
        <v>6124810000000</v>
      </c>
      <c r="B4934" t="s">
        <v>28</v>
      </c>
      <c r="C4934">
        <v>10</v>
      </c>
      <c r="D4934" t="s">
        <v>31</v>
      </c>
      <c r="E4934" t="s">
        <v>47</v>
      </c>
      <c r="F4934" s="1">
        <v>42508</v>
      </c>
      <c r="G4934" s="1">
        <v>42508</v>
      </c>
      <c r="H4934" t="s">
        <v>25</v>
      </c>
      <c r="I4934">
        <v>0</v>
      </c>
      <c r="J4934" t="s">
        <v>111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23</v>
      </c>
      <c r="R4934">
        <v>0</v>
      </c>
    </row>
    <row r="4935" spans="1:18">
      <c r="A4935" s="4">
        <v>6264200000000</v>
      </c>
      <c r="B4935" t="s">
        <v>28</v>
      </c>
      <c r="C4935">
        <v>59</v>
      </c>
      <c r="D4935" t="s">
        <v>35</v>
      </c>
      <c r="E4935" t="s">
        <v>45</v>
      </c>
      <c r="F4935" s="1">
        <v>42508</v>
      </c>
      <c r="G4935" s="1">
        <v>42508</v>
      </c>
      <c r="H4935" t="s">
        <v>25</v>
      </c>
      <c r="I4935">
        <v>0</v>
      </c>
      <c r="J4935" t="s">
        <v>111</v>
      </c>
      <c r="K4935">
        <v>1</v>
      </c>
      <c r="L4935">
        <v>0</v>
      </c>
      <c r="M4935">
        <v>0</v>
      </c>
      <c r="N4935">
        <v>0</v>
      </c>
      <c r="O4935">
        <v>0</v>
      </c>
      <c r="P4935">
        <v>0</v>
      </c>
      <c r="Q4935" t="s">
        <v>23</v>
      </c>
      <c r="R4935">
        <v>0</v>
      </c>
    </row>
    <row r="4936" spans="1:18">
      <c r="A4936" s="4">
        <v>9452750000000</v>
      </c>
      <c r="B4936" t="s">
        <v>28</v>
      </c>
      <c r="C4936">
        <v>59</v>
      </c>
      <c r="D4936" t="s">
        <v>35</v>
      </c>
      <c r="E4936" t="s">
        <v>62</v>
      </c>
      <c r="F4936" s="1">
        <v>42508</v>
      </c>
      <c r="G4936" s="1">
        <v>42508</v>
      </c>
      <c r="H4936" t="s">
        <v>25</v>
      </c>
      <c r="I4936">
        <v>0</v>
      </c>
      <c r="J4936" t="s">
        <v>111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23</v>
      </c>
      <c r="R4936">
        <v>0</v>
      </c>
    </row>
    <row r="4937" spans="1:18">
      <c r="A4937" s="4">
        <v>7735160000000</v>
      </c>
      <c r="B4937" t="s">
        <v>18</v>
      </c>
      <c r="C4937">
        <v>42</v>
      </c>
      <c r="D4937" t="s">
        <v>27</v>
      </c>
      <c r="E4937" t="s">
        <v>39</v>
      </c>
      <c r="F4937" s="1">
        <v>42508</v>
      </c>
      <c r="G4937" s="1">
        <v>42514</v>
      </c>
      <c r="H4937" t="s">
        <v>41</v>
      </c>
      <c r="I4937">
        <v>6</v>
      </c>
      <c r="J4937" t="s">
        <v>107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1</v>
      </c>
      <c r="Q4937" t="s">
        <v>23</v>
      </c>
      <c r="R4937">
        <v>0</v>
      </c>
    </row>
    <row r="4938" spans="1:18">
      <c r="A4938" s="4">
        <v>26614400000000</v>
      </c>
      <c r="B4938" t="s">
        <v>28</v>
      </c>
      <c r="C4938">
        <v>36</v>
      </c>
      <c r="D4938" t="s">
        <v>27</v>
      </c>
      <c r="E4938" t="s">
        <v>98</v>
      </c>
      <c r="F4938" s="1">
        <v>42508</v>
      </c>
      <c r="G4938" s="1">
        <v>42508</v>
      </c>
      <c r="H4938" t="s">
        <v>25</v>
      </c>
      <c r="I4938">
        <v>0</v>
      </c>
      <c r="J4938" t="s">
        <v>111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 t="s">
        <v>23</v>
      </c>
      <c r="R4938">
        <v>0</v>
      </c>
    </row>
    <row r="4939" spans="1:18">
      <c r="A4939" s="4">
        <v>457358000000000</v>
      </c>
      <c r="B4939" t="s">
        <v>18</v>
      </c>
      <c r="C4939">
        <v>23</v>
      </c>
      <c r="D4939" t="s">
        <v>37</v>
      </c>
      <c r="E4939" t="s">
        <v>56</v>
      </c>
      <c r="F4939" s="1">
        <v>42508</v>
      </c>
      <c r="G4939" s="1">
        <v>42529</v>
      </c>
      <c r="H4939" t="s">
        <v>25</v>
      </c>
      <c r="I4939">
        <v>21</v>
      </c>
      <c r="J4939" t="s">
        <v>77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1</v>
      </c>
      <c r="Q4939" t="s">
        <v>26</v>
      </c>
      <c r="R4939">
        <v>1</v>
      </c>
    </row>
    <row r="4940" spans="1:18">
      <c r="A4940" s="4">
        <v>2981490000000</v>
      </c>
      <c r="B4940" t="s">
        <v>28</v>
      </c>
      <c r="C4940">
        <v>8</v>
      </c>
      <c r="D4940" t="s">
        <v>31</v>
      </c>
      <c r="E4940" t="s">
        <v>64</v>
      </c>
      <c r="F4940" s="1">
        <v>42508</v>
      </c>
      <c r="G4940" s="1">
        <v>42529</v>
      </c>
      <c r="H4940" t="s">
        <v>25</v>
      </c>
      <c r="I4940">
        <v>21</v>
      </c>
      <c r="J4940" t="s">
        <v>77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26</v>
      </c>
      <c r="R4940">
        <v>1</v>
      </c>
    </row>
    <row r="4941" spans="1:18">
      <c r="A4941" s="4">
        <v>798478000000</v>
      </c>
      <c r="B4941" t="s">
        <v>28</v>
      </c>
      <c r="C4941">
        <v>23</v>
      </c>
      <c r="D4941" t="s">
        <v>37</v>
      </c>
      <c r="E4941" t="s">
        <v>39</v>
      </c>
      <c r="F4941" s="1">
        <v>42508</v>
      </c>
      <c r="G4941" s="1">
        <v>42509</v>
      </c>
      <c r="H4941" t="s">
        <v>33</v>
      </c>
      <c r="I4941">
        <v>1</v>
      </c>
      <c r="J4941" t="s">
        <v>109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23</v>
      </c>
      <c r="R4941">
        <v>0</v>
      </c>
    </row>
    <row r="4942" spans="1:18">
      <c r="A4942" s="4">
        <v>13867400000000</v>
      </c>
      <c r="B4942" t="s">
        <v>18</v>
      </c>
      <c r="C4942">
        <v>56</v>
      </c>
      <c r="D4942" t="s">
        <v>35</v>
      </c>
      <c r="E4942" t="s">
        <v>39</v>
      </c>
      <c r="F4942" s="1">
        <v>42508</v>
      </c>
      <c r="G4942" s="1">
        <v>42514</v>
      </c>
      <c r="H4942" t="s">
        <v>41</v>
      </c>
      <c r="I4942">
        <v>6</v>
      </c>
      <c r="J4942" t="s">
        <v>107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1</v>
      </c>
      <c r="Q4942" t="s">
        <v>23</v>
      </c>
      <c r="R4942">
        <v>0</v>
      </c>
    </row>
    <row r="4943" spans="1:18">
      <c r="A4943" s="4">
        <v>14342500000000</v>
      </c>
      <c r="B4943" t="s">
        <v>28</v>
      </c>
      <c r="C4943">
        <v>65</v>
      </c>
      <c r="D4943" t="s">
        <v>35</v>
      </c>
      <c r="E4943" t="s">
        <v>84</v>
      </c>
      <c r="F4943" s="1">
        <v>42509</v>
      </c>
      <c r="G4943" s="1">
        <v>42515</v>
      </c>
      <c r="H4943" t="s">
        <v>25</v>
      </c>
      <c r="I4943">
        <v>6</v>
      </c>
      <c r="J4943" t="s">
        <v>107</v>
      </c>
      <c r="K4943">
        <v>0</v>
      </c>
      <c r="L4943">
        <v>1</v>
      </c>
      <c r="M4943">
        <v>1</v>
      </c>
      <c r="N4943">
        <v>0</v>
      </c>
      <c r="O4943">
        <v>0</v>
      </c>
      <c r="P4943">
        <v>0</v>
      </c>
      <c r="Q4943" t="s">
        <v>23</v>
      </c>
      <c r="R4943">
        <v>0</v>
      </c>
    </row>
    <row r="4944" spans="1:18">
      <c r="A4944" s="4">
        <v>743155000000</v>
      </c>
      <c r="B4944" t="s">
        <v>28</v>
      </c>
      <c r="C4944">
        <v>61</v>
      </c>
      <c r="D4944" t="s">
        <v>35</v>
      </c>
      <c r="E4944" t="s">
        <v>84</v>
      </c>
      <c r="F4944" s="1">
        <v>42509</v>
      </c>
      <c r="G4944" s="1">
        <v>42522</v>
      </c>
      <c r="H4944" t="s">
        <v>25</v>
      </c>
      <c r="I4944">
        <v>13</v>
      </c>
      <c r="J4944" t="s">
        <v>92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1</v>
      </c>
      <c r="Q4944" t="s">
        <v>23</v>
      </c>
      <c r="R4944">
        <v>0</v>
      </c>
    </row>
    <row r="4945" spans="1:18">
      <c r="A4945" s="4">
        <v>64469800000000</v>
      </c>
      <c r="B4945" t="s">
        <v>28</v>
      </c>
      <c r="C4945">
        <v>9</v>
      </c>
      <c r="D4945" t="s">
        <v>31</v>
      </c>
      <c r="E4945" t="s">
        <v>39</v>
      </c>
      <c r="F4945" s="1">
        <v>42509</v>
      </c>
      <c r="G4945" s="1">
        <v>42527</v>
      </c>
      <c r="H4945" t="s">
        <v>30</v>
      </c>
      <c r="I4945">
        <v>18</v>
      </c>
      <c r="J4945" t="s">
        <v>77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 t="s">
        <v>23</v>
      </c>
      <c r="R4945">
        <v>0</v>
      </c>
    </row>
    <row r="4946" spans="1:18">
      <c r="A4946" s="4">
        <v>864168000000000</v>
      </c>
      <c r="B4946" t="s">
        <v>28</v>
      </c>
      <c r="C4946">
        <v>83</v>
      </c>
      <c r="D4946" t="s">
        <v>19</v>
      </c>
      <c r="E4946" t="s">
        <v>64</v>
      </c>
      <c r="F4946" s="1">
        <v>42509</v>
      </c>
      <c r="G4946" s="1">
        <v>42522</v>
      </c>
      <c r="H4946" t="s">
        <v>25</v>
      </c>
      <c r="I4946">
        <v>13</v>
      </c>
      <c r="J4946" t="s">
        <v>92</v>
      </c>
      <c r="K4946">
        <v>0</v>
      </c>
      <c r="L4946">
        <v>1</v>
      </c>
      <c r="M4946">
        <v>0</v>
      </c>
      <c r="N4946">
        <v>0</v>
      </c>
      <c r="O4946">
        <v>0</v>
      </c>
      <c r="P4946">
        <v>1</v>
      </c>
      <c r="Q4946" t="s">
        <v>23</v>
      </c>
      <c r="R4946">
        <v>0</v>
      </c>
    </row>
    <row r="4947" spans="1:18">
      <c r="A4947" s="4">
        <v>156578000000000</v>
      </c>
      <c r="B4947" t="s">
        <v>18</v>
      </c>
      <c r="C4947">
        <v>52</v>
      </c>
      <c r="D4947" t="s">
        <v>35</v>
      </c>
      <c r="E4947" t="s">
        <v>38</v>
      </c>
      <c r="F4947" s="1">
        <v>42509</v>
      </c>
      <c r="G4947" s="1">
        <v>42509</v>
      </c>
      <c r="H4947" t="s">
        <v>33</v>
      </c>
      <c r="I4947">
        <v>0</v>
      </c>
      <c r="J4947" t="s">
        <v>111</v>
      </c>
      <c r="K4947">
        <v>0</v>
      </c>
      <c r="L4947">
        <v>1</v>
      </c>
      <c r="M4947">
        <v>0</v>
      </c>
      <c r="N4947">
        <v>0</v>
      </c>
      <c r="O4947">
        <v>0</v>
      </c>
      <c r="P4947">
        <v>0</v>
      </c>
      <c r="Q4947" t="s">
        <v>23</v>
      </c>
      <c r="R4947">
        <v>0</v>
      </c>
    </row>
    <row r="4948" spans="1:18">
      <c r="A4948" s="4">
        <v>59271100000000</v>
      </c>
      <c r="B4948" t="s">
        <v>28</v>
      </c>
      <c r="C4948">
        <v>42</v>
      </c>
      <c r="D4948" t="s">
        <v>27</v>
      </c>
      <c r="E4948" t="s">
        <v>79</v>
      </c>
      <c r="F4948" s="1">
        <v>42509</v>
      </c>
      <c r="G4948" s="1">
        <v>42522</v>
      </c>
      <c r="H4948" t="s">
        <v>25</v>
      </c>
      <c r="I4948">
        <v>13</v>
      </c>
      <c r="J4948" t="s">
        <v>92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1</v>
      </c>
      <c r="Q4948" t="s">
        <v>23</v>
      </c>
      <c r="R4948">
        <v>0</v>
      </c>
    </row>
    <row r="4949" spans="1:18">
      <c r="A4949" s="4">
        <v>6542840000000</v>
      </c>
      <c r="B4949" t="s">
        <v>28</v>
      </c>
      <c r="C4949">
        <v>81</v>
      </c>
      <c r="D4949" t="s">
        <v>19</v>
      </c>
      <c r="E4949" t="s">
        <v>63</v>
      </c>
      <c r="F4949" s="1">
        <v>42509</v>
      </c>
      <c r="G4949" s="1">
        <v>42509</v>
      </c>
      <c r="H4949" t="s">
        <v>33</v>
      </c>
      <c r="I4949">
        <v>0</v>
      </c>
      <c r="J4949" t="s">
        <v>111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23</v>
      </c>
      <c r="R4949">
        <v>0</v>
      </c>
    </row>
    <row r="4950" spans="1:18">
      <c r="A4950" s="4">
        <v>24436100000000</v>
      </c>
      <c r="B4950" t="s">
        <v>18</v>
      </c>
      <c r="C4950">
        <v>56</v>
      </c>
      <c r="D4950" t="s">
        <v>35</v>
      </c>
      <c r="E4950" t="s">
        <v>59</v>
      </c>
      <c r="F4950" s="1">
        <v>42509</v>
      </c>
      <c r="G4950" s="1">
        <v>42509</v>
      </c>
      <c r="H4950" t="s">
        <v>33</v>
      </c>
      <c r="I4950">
        <v>0</v>
      </c>
      <c r="J4950" t="s">
        <v>111</v>
      </c>
      <c r="K4950">
        <v>0</v>
      </c>
      <c r="L4950">
        <v>1</v>
      </c>
      <c r="M4950">
        <v>1</v>
      </c>
      <c r="N4950">
        <v>0</v>
      </c>
      <c r="O4950">
        <v>0</v>
      </c>
      <c r="P4950">
        <v>0</v>
      </c>
      <c r="Q4950" t="s">
        <v>23</v>
      </c>
      <c r="R4950">
        <v>0</v>
      </c>
    </row>
    <row r="4951" spans="1:18">
      <c r="A4951" s="4">
        <v>693278000000</v>
      </c>
      <c r="B4951" t="s">
        <v>18</v>
      </c>
      <c r="C4951">
        <v>59</v>
      </c>
      <c r="D4951" t="s">
        <v>35</v>
      </c>
      <c r="E4951" t="s">
        <v>64</v>
      </c>
      <c r="F4951" s="1">
        <v>42509</v>
      </c>
      <c r="G4951" s="1">
        <v>42524</v>
      </c>
      <c r="H4951" t="s">
        <v>21</v>
      </c>
      <c r="I4951">
        <v>15</v>
      </c>
      <c r="J4951" t="s">
        <v>77</v>
      </c>
      <c r="K4951">
        <v>0</v>
      </c>
      <c r="L4951">
        <v>1</v>
      </c>
      <c r="M4951">
        <v>0</v>
      </c>
      <c r="N4951">
        <v>0</v>
      </c>
      <c r="O4951">
        <v>0</v>
      </c>
      <c r="P4951">
        <v>1</v>
      </c>
      <c r="Q4951" t="s">
        <v>23</v>
      </c>
      <c r="R4951">
        <v>0</v>
      </c>
    </row>
    <row r="4952" spans="1:18">
      <c r="A4952" s="4">
        <v>716650000000000</v>
      </c>
      <c r="B4952" t="s">
        <v>18</v>
      </c>
      <c r="C4952">
        <v>12</v>
      </c>
      <c r="D4952" t="s">
        <v>31</v>
      </c>
      <c r="E4952" t="s">
        <v>45</v>
      </c>
      <c r="F4952" s="1">
        <v>42509</v>
      </c>
      <c r="G4952" s="1">
        <v>42509</v>
      </c>
      <c r="H4952" t="s">
        <v>33</v>
      </c>
      <c r="I4952">
        <v>0</v>
      </c>
      <c r="J4952" t="s">
        <v>111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 t="s">
        <v>23</v>
      </c>
      <c r="R4952">
        <v>0</v>
      </c>
    </row>
    <row r="4953" spans="1:18">
      <c r="A4953" s="4">
        <v>825526000000</v>
      </c>
      <c r="B4953" t="s">
        <v>18</v>
      </c>
      <c r="C4953">
        <v>45</v>
      </c>
      <c r="D4953" t="s">
        <v>27</v>
      </c>
      <c r="E4953" t="s">
        <v>47</v>
      </c>
      <c r="F4953" s="1">
        <v>42509</v>
      </c>
      <c r="G4953" s="1">
        <v>42509</v>
      </c>
      <c r="H4953" t="s">
        <v>33</v>
      </c>
      <c r="I4953">
        <v>0</v>
      </c>
      <c r="J4953" t="s">
        <v>111</v>
      </c>
      <c r="K4953">
        <v>0</v>
      </c>
      <c r="L4953">
        <v>1</v>
      </c>
      <c r="M4953">
        <v>1</v>
      </c>
      <c r="N4953">
        <v>0</v>
      </c>
      <c r="O4953">
        <v>0</v>
      </c>
      <c r="P4953">
        <v>0</v>
      </c>
      <c r="Q4953" t="s">
        <v>23</v>
      </c>
      <c r="R4953">
        <v>0</v>
      </c>
    </row>
    <row r="4954" spans="1:18">
      <c r="A4954" s="4">
        <v>32135500000000</v>
      </c>
      <c r="B4954" t="s">
        <v>18</v>
      </c>
      <c r="C4954">
        <v>31</v>
      </c>
      <c r="D4954" t="s">
        <v>37</v>
      </c>
      <c r="E4954" t="s">
        <v>72</v>
      </c>
      <c r="F4954" s="1">
        <v>42509</v>
      </c>
      <c r="G4954" s="1">
        <v>42509</v>
      </c>
      <c r="H4954" t="s">
        <v>33</v>
      </c>
      <c r="I4954">
        <v>0</v>
      </c>
      <c r="J4954" t="s">
        <v>111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 t="s">
        <v>26</v>
      </c>
      <c r="R4954">
        <v>1</v>
      </c>
    </row>
    <row r="4955" spans="1:18">
      <c r="A4955" s="4">
        <v>414983000000000</v>
      </c>
      <c r="B4955" t="s">
        <v>18</v>
      </c>
      <c r="C4955">
        <v>62</v>
      </c>
      <c r="D4955" t="s">
        <v>35</v>
      </c>
      <c r="E4955" t="s">
        <v>75</v>
      </c>
      <c r="F4955" s="1">
        <v>42509</v>
      </c>
      <c r="G4955" s="1">
        <v>42509</v>
      </c>
      <c r="H4955" t="s">
        <v>33</v>
      </c>
      <c r="I4955">
        <v>0</v>
      </c>
      <c r="J4955" t="s">
        <v>111</v>
      </c>
      <c r="K4955">
        <v>0</v>
      </c>
      <c r="L4955">
        <v>1</v>
      </c>
      <c r="M4955">
        <v>1</v>
      </c>
      <c r="N4955">
        <v>0</v>
      </c>
      <c r="O4955">
        <v>0</v>
      </c>
      <c r="P4955">
        <v>0</v>
      </c>
      <c r="Q4955" t="s">
        <v>23</v>
      </c>
      <c r="R4955">
        <v>0</v>
      </c>
    </row>
    <row r="4956" spans="1:18">
      <c r="A4956" s="4">
        <v>4515660000000</v>
      </c>
      <c r="B4956" t="s">
        <v>28</v>
      </c>
      <c r="C4956">
        <v>52</v>
      </c>
      <c r="D4956" t="s">
        <v>35</v>
      </c>
      <c r="E4956" t="s">
        <v>32</v>
      </c>
      <c r="F4956" s="1">
        <v>42509</v>
      </c>
      <c r="G4956" s="1">
        <v>42515</v>
      </c>
      <c r="H4956" t="s">
        <v>25</v>
      </c>
      <c r="I4956">
        <v>6</v>
      </c>
      <c r="J4956" t="s">
        <v>107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1</v>
      </c>
      <c r="Q4956" t="s">
        <v>23</v>
      </c>
      <c r="R4956">
        <v>0</v>
      </c>
    </row>
    <row r="4957" spans="1:18">
      <c r="A4957" s="4">
        <v>48658700000000</v>
      </c>
      <c r="B4957" t="s">
        <v>28</v>
      </c>
      <c r="C4957">
        <v>32</v>
      </c>
      <c r="D4957" t="s">
        <v>37</v>
      </c>
      <c r="E4957" t="s">
        <v>57</v>
      </c>
      <c r="F4957" s="1">
        <v>42509</v>
      </c>
      <c r="G4957" s="1">
        <v>42509</v>
      </c>
      <c r="H4957" t="s">
        <v>33</v>
      </c>
      <c r="I4957">
        <v>0</v>
      </c>
      <c r="J4957" t="s">
        <v>111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 t="s">
        <v>23</v>
      </c>
      <c r="R4957">
        <v>0</v>
      </c>
    </row>
    <row r="4958" spans="1:18">
      <c r="A4958" s="4">
        <v>495695000000</v>
      </c>
      <c r="B4958" t="s">
        <v>28</v>
      </c>
      <c r="C4958">
        <v>18</v>
      </c>
      <c r="D4958" t="s">
        <v>37</v>
      </c>
      <c r="E4958" t="s">
        <v>66</v>
      </c>
      <c r="F4958" s="1">
        <v>42509</v>
      </c>
      <c r="G4958" s="1">
        <v>42509</v>
      </c>
      <c r="H4958" t="s">
        <v>33</v>
      </c>
      <c r="I4958">
        <v>0</v>
      </c>
      <c r="J4958" t="s">
        <v>111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 t="s">
        <v>23</v>
      </c>
      <c r="R4958">
        <v>0</v>
      </c>
    </row>
    <row r="4959" spans="1:18">
      <c r="A4959" s="4">
        <v>2261750000000</v>
      </c>
      <c r="B4959" t="s">
        <v>18</v>
      </c>
      <c r="C4959">
        <v>0</v>
      </c>
      <c r="D4959" t="s">
        <v>31</v>
      </c>
      <c r="E4959" t="s">
        <v>63</v>
      </c>
      <c r="F4959" s="1">
        <v>42509</v>
      </c>
      <c r="G4959" s="1">
        <v>42509</v>
      </c>
      <c r="H4959" t="s">
        <v>33</v>
      </c>
      <c r="I4959">
        <v>0</v>
      </c>
      <c r="J4959" t="s">
        <v>111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23</v>
      </c>
      <c r="R4959">
        <v>0</v>
      </c>
    </row>
    <row r="4960" spans="1:18">
      <c r="A4960" s="4">
        <v>516798000000000</v>
      </c>
      <c r="B4960" t="s">
        <v>28</v>
      </c>
      <c r="C4960">
        <v>4</v>
      </c>
      <c r="D4960" t="s">
        <v>31</v>
      </c>
      <c r="E4960" t="s">
        <v>99</v>
      </c>
      <c r="F4960" s="1">
        <v>42509</v>
      </c>
      <c r="G4960" s="1">
        <v>42509</v>
      </c>
      <c r="H4960" t="s">
        <v>33</v>
      </c>
      <c r="I4960">
        <v>0</v>
      </c>
      <c r="J4960" t="s">
        <v>111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23</v>
      </c>
      <c r="R4960">
        <v>0</v>
      </c>
    </row>
    <row r="4961" spans="1:18">
      <c r="A4961" s="4">
        <v>5817950000000</v>
      </c>
      <c r="B4961" t="s">
        <v>28</v>
      </c>
      <c r="C4961">
        <v>18</v>
      </c>
      <c r="D4961" t="s">
        <v>37</v>
      </c>
      <c r="E4961" t="s">
        <v>39</v>
      </c>
      <c r="F4961" s="1">
        <v>42509</v>
      </c>
      <c r="G4961" s="1">
        <v>42509</v>
      </c>
      <c r="H4961" t="s">
        <v>33</v>
      </c>
      <c r="I4961">
        <v>0</v>
      </c>
      <c r="J4961" t="s">
        <v>111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 t="s">
        <v>23</v>
      </c>
      <c r="R4961">
        <v>0</v>
      </c>
    </row>
    <row r="4962" spans="1:18">
      <c r="A4962" s="4">
        <v>8588650000000</v>
      </c>
      <c r="B4962" t="s">
        <v>18</v>
      </c>
      <c r="C4962">
        <v>54</v>
      </c>
      <c r="D4962" t="s">
        <v>35</v>
      </c>
      <c r="E4962" t="s">
        <v>45</v>
      </c>
      <c r="F4962" s="1">
        <v>42509</v>
      </c>
      <c r="G4962" s="1">
        <v>42523</v>
      </c>
      <c r="H4962" t="s">
        <v>33</v>
      </c>
      <c r="I4962">
        <v>14</v>
      </c>
      <c r="J4962" t="s">
        <v>92</v>
      </c>
      <c r="K4962">
        <v>0</v>
      </c>
      <c r="L4962">
        <v>1</v>
      </c>
      <c r="M4962">
        <v>1</v>
      </c>
      <c r="N4962">
        <v>1</v>
      </c>
      <c r="O4962">
        <v>1</v>
      </c>
      <c r="P4962">
        <v>1</v>
      </c>
      <c r="Q4962" t="s">
        <v>26</v>
      </c>
      <c r="R4962">
        <v>1</v>
      </c>
    </row>
    <row r="4963" spans="1:18">
      <c r="A4963" s="4">
        <v>818716000000</v>
      </c>
      <c r="B4963" t="s">
        <v>18</v>
      </c>
      <c r="C4963">
        <v>37</v>
      </c>
      <c r="D4963" t="s">
        <v>27</v>
      </c>
      <c r="E4963" t="s">
        <v>78</v>
      </c>
      <c r="F4963" s="1">
        <v>42509</v>
      </c>
      <c r="G4963" s="1">
        <v>42509</v>
      </c>
      <c r="H4963" t="s">
        <v>33</v>
      </c>
      <c r="I4963">
        <v>0</v>
      </c>
      <c r="J4963" t="s">
        <v>111</v>
      </c>
      <c r="K4963">
        <v>0</v>
      </c>
      <c r="L4963">
        <v>1</v>
      </c>
      <c r="M4963">
        <v>0</v>
      </c>
      <c r="N4963">
        <v>0</v>
      </c>
      <c r="O4963">
        <v>0</v>
      </c>
      <c r="P4963">
        <v>0</v>
      </c>
      <c r="Q4963" t="s">
        <v>23</v>
      </c>
      <c r="R4963">
        <v>0</v>
      </c>
    </row>
    <row r="4964" spans="1:18">
      <c r="A4964" s="4">
        <v>173245000000</v>
      </c>
      <c r="B4964" t="s">
        <v>28</v>
      </c>
      <c r="C4964">
        <v>2</v>
      </c>
      <c r="D4964" t="s">
        <v>31</v>
      </c>
      <c r="E4964" t="s">
        <v>84</v>
      </c>
      <c r="F4964" s="1">
        <v>42509</v>
      </c>
      <c r="G4964" s="1">
        <v>42509</v>
      </c>
      <c r="H4964" t="s">
        <v>33</v>
      </c>
      <c r="I4964">
        <v>0</v>
      </c>
      <c r="J4964" t="s">
        <v>111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 t="s">
        <v>23</v>
      </c>
      <c r="R4964">
        <v>0</v>
      </c>
    </row>
    <row r="4965" spans="1:18">
      <c r="A4965" s="4">
        <v>742784000000000</v>
      </c>
      <c r="B4965" t="s">
        <v>28</v>
      </c>
      <c r="C4965">
        <v>20</v>
      </c>
      <c r="D4965" t="s">
        <v>37</v>
      </c>
      <c r="E4965" t="s">
        <v>96</v>
      </c>
      <c r="F4965" s="1">
        <v>42509</v>
      </c>
      <c r="G4965" s="1">
        <v>42528</v>
      </c>
      <c r="H4965" t="s">
        <v>41</v>
      </c>
      <c r="I4965">
        <v>19</v>
      </c>
      <c r="J4965" t="s">
        <v>77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1</v>
      </c>
      <c r="Q4965" t="s">
        <v>23</v>
      </c>
      <c r="R4965">
        <v>0</v>
      </c>
    </row>
    <row r="4966" spans="1:18">
      <c r="A4966" s="4">
        <v>94154900000000</v>
      </c>
      <c r="B4966" t="s">
        <v>28</v>
      </c>
      <c r="C4966">
        <v>3</v>
      </c>
      <c r="D4966" t="s">
        <v>31</v>
      </c>
      <c r="E4966" t="s">
        <v>44</v>
      </c>
      <c r="F4966" s="1">
        <v>42509</v>
      </c>
      <c r="G4966" s="1">
        <v>42510</v>
      </c>
      <c r="H4966" t="s">
        <v>21</v>
      </c>
      <c r="I4966">
        <v>1</v>
      </c>
      <c r="J4966" t="s">
        <v>109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23</v>
      </c>
      <c r="R4966">
        <v>0</v>
      </c>
    </row>
    <row r="4967" spans="1:18">
      <c r="A4967" s="4">
        <v>429953000000000</v>
      </c>
      <c r="B4967" t="s">
        <v>28</v>
      </c>
      <c r="C4967">
        <v>50</v>
      </c>
      <c r="D4967" t="s">
        <v>27</v>
      </c>
      <c r="E4967" t="s">
        <v>57</v>
      </c>
      <c r="F4967" s="1">
        <v>42509</v>
      </c>
      <c r="G4967" s="1">
        <v>42528</v>
      </c>
      <c r="H4967" t="s">
        <v>41</v>
      </c>
      <c r="I4967">
        <v>19</v>
      </c>
      <c r="J4967" t="s">
        <v>77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1</v>
      </c>
      <c r="Q4967" t="s">
        <v>23</v>
      </c>
      <c r="R4967">
        <v>0</v>
      </c>
    </row>
    <row r="4968" spans="1:18">
      <c r="A4968" s="4">
        <v>59573600000000</v>
      </c>
      <c r="B4968" t="s">
        <v>28</v>
      </c>
      <c r="C4968">
        <v>5</v>
      </c>
      <c r="D4968" t="s">
        <v>31</v>
      </c>
      <c r="E4968" t="s">
        <v>104</v>
      </c>
      <c r="F4968" s="1">
        <v>42509</v>
      </c>
      <c r="G4968" s="1">
        <v>42509</v>
      </c>
      <c r="H4968" t="s">
        <v>33</v>
      </c>
      <c r="I4968">
        <v>0</v>
      </c>
      <c r="J4968" t="s">
        <v>111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23</v>
      </c>
      <c r="R4968">
        <v>0</v>
      </c>
    </row>
    <row r="4969" spans="1:18">
      <c r="A4969" s="4">
        <v>15832800000000</v>
      </c>
      <c r="B4969" t="s">
        <v>18</v>
      </c>
      <c r="C4969">
        <v>40</v>
      </c>
      <c r="D4969" t="s">
        <v>27</v>
      </c>
      <c r="E4969" t="s">
        <v>32</v>
      </c>
      <c r="F4969" s="1">
        <v>42509</v>
      </c>
      <c r="G4969" s="1">
        <v>42522</v>
      </c>
      <c r="H4969" t="s">
        <v>25</v>
      </c>
      <c r="I4969">
        <v>13</v>
      </c>
      <c r="J4969" t="s">
        <v>92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1</v>
      </c>
      <c r="Q4969" t="s">
        <v>23</v>
      </c>
      <c r="R4969">
        <v>0</v>
      </c>
    </row>
    <row r="4970" spans="1:18">
      <c r="A4970" s="4">
        <v>499252831</v>
      </c>
      <c r="B4970" t="s">
        <v>18</v>
      </c>
      <c r="C4970">
        <v>31</v>
      </c>
      <c r="D4970" t="s">
        <v>37</v>
      </c>
      <c r="E4970" t="s">
        <v>75</v>
      </c>
      <c r="F4970" s="1">
        <v>42509</v>
      </c>
      <c r="G4970" s="1">
        <v>42509</v>
      </c>
      <c r="H4970" t="s">
        <v>33</v>
      </c>
      <c r="I4970">
        <v>0</v>
      </c>
      <c r="J4970" t="s">
        <v>111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 t="s">
        <v>23</v>
      </c>
      <c r="R4970">
        <v>0</v>
      </c>
    </row>
    <row r="4971" spans="1:18">
      <c r="A4971" s="4">
        <v>59573600000000</v>
      </c>
      <c r="B4971" t="s">
        <v>28</v>
      </c>
      <c r="C4971">
        <v>5</v>
      </c>
      <c r="D4971" t="s">
        <v>31</v>
      </c>
      <c r="E4971" t="s">
        <v>104</v>
      </c>
      <c r="F4971" s="1">
        <v>42509</v>
      </c>
      <c r="G4971" s="1">
        <v>42509</v>
      </c>
      <c r="H4971" t="s">
        <v>33</v>
      </c>
      <c r="I4971">
        <v>0</v>
      </c>
      <c r="J4971" t="s">
        <v>111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23</v>
      </c>
      <c r="R4971">
        <v>0</v>
      </c>
    </row>
    <row r="4972" spans="1:18">
      <c r="A4972" s="4">
        <v>78651400000000</v>
      </c>
      <c r="B4972" t="s">
        <v>28</v>
      </c>
      <c r="C4972">
        <v>65</v>
      </c>
      <c r="D4972" t="s">
        <v>35</v>
      </c>
      <c r="E4972" t="s">
        <v>91</v>
      </c>
      <c r="F4972" s="1">
        <v>42509</v>
      </c>
      <c r="G4972" s="1">
        <v>42509</v>
      </c>
      <c r="H4972" t="s">
        <v>33</v>
      </c>
      <c r="I4972">
        <v>0</v>
      </c>
      <c r="J4972" t="s">
        <v>111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23</v>
      </c>
      <c r="R4972">
        <v>0</v>
      </c>
    </row>
    <row r="4973" spans="1:18">
      <c r="A4973" s="4">
        <v>948926000000000</v>
      </c>
      <c r="B4973" t="s">
        <v>18</v>
      </c>
      <c r="C4973">
        <v>56</v>
      </c>
      <c r="D4973" t="s">
        <v>35</v>
      </c>
      <c r="E4973" t="s">
        <v>36</v>
      </c>
      <c r="F4973" s="1">
        <v>42509</v>
      </c>
      <c r="G4973" s="1">
        <v>42509</v>
      </c>
      <c r="H4973" t="s">
        <v>33</v>
      </c>
      <c r="I4973">
        <v>0</v>
      </c>
      <c r="J4973" t="s">
        <v>111</v>
      </c>
      <c r="K4973">
        <v>0</v>
      </c>
      <c r="L4973">
        <v>1</v>
      </c>
      <c r="M4973">
        <v>0</v>
      </c>
      <c r="N4973">
        <v>0</v>
      </c>
      <c r="O4973">
        <v>0</v>
      </c>
      <c r="P4973">
        <v>0</v>
      </c>
      <c r="Q4973" t="s">
        <v>23</v>
      </c>
      <c r="R4973">
        <v>0</v>
      </c>
    </row>
    <row r="4974" spans="1:18">
      <c r="A4974" s="4">
        <v>24734317154</v>
      </c>
      <c r="B4974" t="s">
        <v>18</v>
      </c>
      <c r="C4974">
        <v>52</v>
      </c>
      <c r="D4974" t="s">
        <v>35</v>
      </c>
      <c r="E4974" t="s">
        <v>67</v>
      </c>
      <c r="F4974" s="1">
        <v>42509</v>
      </c>
      <c r="G4974" s="1">
        <v>42509</v>
      </c>
      <c r="H4974" t="s">
        <v>33</v>
      </c>
      <c r="I4974">
        <v>0</v>
      </c>
      <c r="J4974" t="s">
        <v>111</v>
      </c>
      <c r="K4974">
        <v>0</v>
      </c>
      <c r="L4974">
        <v>1</v>
      </c>
      <c r="M4974">
        <v>0</v>
      </c>
      <c r="N4974">
        <v>0</v>
      </c>
      <c r="O4974">
        <v>0</v>
      </c>
      <c r="P4974">
        <v>0</v>
      </c>
      <c r="Q4974" t="s">
        <v>23</v>
      </c>
      <c r="R4974">
        <v>0</v>
      </c>
    </row>
    <row r="4975" spans="1:18">
      <c r="A4975" s="4">
        <v>781546000000000</v>
      </c>
      <c r="B4975" t="s">
        <v>28</v>
      </c>
      <c r="C4975">
        <v>59</v>
      </c>
      <c r="D4975" t="s">
        <v>35</v>
      </c>
      <c r="E4975" t="s">
        <v>50</v>
      </c>
      <c r="F4975" s="1">
        <v>42509</v>
      </c>
      <c r="G4975" s="1">
        <v>42520</v>
      </c>
      <c r="H4975" t="s">
        <v>30</v>
      </c>
      <c r="I4975">
        <v>11</v>
      </c>
      <c r="J4975" t="s">
        <v>92</v>
      </c>
      <c r="K4975">
        <v>0</v>
      </c>
      <c r="L4975">
        <v>1</v>
      </c>
      <c r="M4975">
        <v>0</v>
      </c>
      <c r="N4975">
        <v>0</v>
      </c>
      <c r="O4975">
        <v>0</v>
      </c>
      <c r="P4975">
        <v>1</v>
      </c>
      <c r="Q4975" t="s">
        <v>23</v>
      </c>
      <c r="R4975">
        <v>0</v>
      </c>
    </row>
    <row r="4976" spans="1:18">
      <c r="A4976" s="4">
        <v>72258800000000</v>
      </c>
      <c r="B4976" t="s">
        <v>28</v>
      </c>
      <c r="C4976">
        <v>6</v>
      </c>
      <c r="D4976" t="s">
        <v>31</v>
      </c>
      <c r="E4976" t="s">
        <v>40</v>
      </c>
      <c r="F4976" s="1">
        <v>42509</v>
      </c>
      <c r="G4976" s="1">
        <v>42527</v>
      </c>
      <c r="H4976" t="s">
        <v>30</v>
      </c>
      <c r="I4976">
        <v>18</v>
      </c>
      <c r="J4976" t="s">
        <v>77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1</v>
      </c>
      <c r="Q4976" t="s">
        <v>23</v>
      </c>
      <c r="R4976">
        <v>0</v>
      </c>
    </row>
    <row r="4977" spans="1:18">
      <c r="A4977" s="4">
        <v>345714000000000</v>
      </c>
      <c r="B4977" t="s">
        <v>18</v>
      </c>
      <c r="C4977">
        <v>3</v>
      </c>
      <c r="D4977" t="s">
        <v>31</v>
      </c>
      <c r="E4977" t="s">
        <v>40</v>
      </c>
      <c r="F4977" s="1">
        <v>42509</v>
      </c>
      <c r="G4977" s="1">
        <v>42509</v>
      </c>
      <c r="H4977" t="s">
        <v>33</v>
      </c>
      <c r="I4977">
        <v>0</v>
      </c>
      <c r="J4977" t="s">
        <v>111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23</v>
      </c>
      <c r="R4977">
        <v>0</v>
      </c>
    </row>
    <row r="4978" spans="1:18">
      <c r="A4978" s="4">
        <v>169875000000</v>
      </c>
      <c r="B4978" t="s">
        <v>18</v>
      </c>
      <c r="C4978">
        <v>4</v>
      </c>
      <c r="D4978" t="s">
        <v>31</v>
      </c>
      <c r="E4978" t="s">
        <v>48</v>
      </c>
      <c r="F4978" s="1">
        <v>42509</v>
      </c>
      <c r="G4978" s="1">
        <v>42509</v>
      </c>
      <c r="H4978" t="s">
        <v>33</v>
      </c>
      <c r="I4978">
        <v>0</v>
      </c>
      <c r="J4978" t="s">
        <v>111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 t="s">
        <v>23</v>
      </c>
      <c r="R4978">
        <v>0</v>
      </c>
    </row>
    <row r="4979" spans="1:18">
      <c r="A4979" s="4">
        <v>48499825945</v>
      </c>
      <c r="B4979" t="s">
        <v>18</v>
      </c>
      <c r="C4979">
        <v>79</v>
      </c>
      <c r="D4979" t="s">
        <v>19</v>
      </c>
      <c r="E4979" t="s">
        <v>81</v>
      </c>
      <c r="F4979" s="1">
        <v>42509</v>
      </c>
      <c r="G4979" s="1">
        <v>42509</v>
      </c>
      <c r="H4979" t="s">
        <v>33</v>
      </c>
      <c r="I4979">
        <v>0</v>
      </c>
      <c r="J4979" t="s">
        <v>111</v>
      </c>
      <c r="K4979">
        <v>0</v>
      </c>
      <c r="L4979">
        <v>1</v>
      </c>
      <c r="M4979">
        <v>1</v>
      </c>
      <c r="N4979">
        <v>0</v>
      </c>
      <c r="O4979">
        <v>0</v>
      </c>
      <c r="P4979">
        <v>0</v>
      </c>
      <c r="Q4979" t="s">
        <v>23</v>
      </c>
      <c r="R4979">
        <v>0</v>
      </c>
    </row>
    <row r="4980" spans="1:18">
      <c r="A4980" s="4">
        <v>317966000000</v>
      </c>
      <c r="B4980" t="s">
        <v>28</v>
      </c>
      <c r="C4980">
        <v>18</v>
      </c>
      <c r="D4980" t="s">
        <v>37</v>
      </c>
      <c r="E4980" t="s">
        <v>95</v>
      </c>
      <c r="F4980" s="1">
        <v>42509</v>
      </c>
      <c r="G4980" s="1">
        <v>42509</v>
      </c>
      <c r="H4980" t="s">
        <v>33</v>
      </c>
      <c r="I4980">
        <v>0</v>
      </c>
      <c r="J4980" t="s">
        <v>111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 t="s">
        <v>23</v>
      </c>
      <c r="R4980">
        <v>0</v>
      </c>
    </row>
    <row r="4981" spans="1:18">
      <c r="A4981" s="4">
        <v>683863000000</v>
      </c>
      <c r="B4981" t="s">
        <v>28</v>
      </c>
      <c r="C4981">
        <v>56</v>
      </c>
      <c r="D4981" t="s">
        <v>35</v>
      </c>
      <c r="E4981" t="s">
        <v>84</v>
      </c>
      <c r="F4981" s="1">
        <v>42509</v>
      </c>
      <c r="G4981" s="1">
        <v>42514</v>
      </c>
      <c r="H4981" t="s">
        <v>41</v>
      </c>
      <c r="I4981">
        <v>5</v>
      </c>
      <c r="J4981" t="s">
        <v>107</v>
      </c>
      <c r="K4981">
        <v>0</v>
      </c>
      <c r="L4981">
        <v>1</v>
      </c>
      <c r="M4981">
        <v>1</v>
      </c>
      <c r="N4981">
        <v>0</v>
      </c>
      <c r="O4981">
        <v>0</v>
      </c>
      <c r="P4981">
        <v>1</v>
      </c>
      <c r="Q4981" t="s">
        <v>23</v>
      </c>
      <c r="R4981">
        <v>0</v>
      </c>
    </row>
    <row r="4982" spans="1:18">
      <c r="A4982" s="4">
        <v>298370000000</v>
      </c>
      <c r="B4982" t="s">
        <v>18</v>
      </c>
      <c r="C4982">
        <v>0</v>
      </c>
      <c r="D4982" t="s">
        <v>31</v>
      </c>
      <c r="E4982" t="s">
        <v>69</v>
      </c>
      <c r="F4982" s="1">
        <v>42509</v>
      </c>
      <c r="G4982" s="1">
        <v>42509</v>
      </c>
      <c r="H4982" t="s">
        <v>33</v>
      </c>
      <c r="I4982">
        <v>0</v>
      </c>
      <c r="J4982" t="s">
        <v>111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 t="s">
        <v>23</v>
      </c>
      <c r="R4982">
        <v>0</v>
      </c>
    </row>
    <row r="4983" spans="1:18">
      <c r="A4983" s="4">
        <v>65452900000000</v>
      </c>
      <c r="B4983" t="s">
        <v>18</v>
      </c>
      <c r="C4983">
        <v>17</v>
      </c>
      <c r="D4983" t="s">
        <v>60</v>
      </c>
      <c r="E4983" t="s">
        <v>45</v>
      </c>
      <c r="F4983" s="1">
        <v>42509</v>
      </c>
      <c r="G4983" s="1">
        <v>42510</v>
      </c>
      <c r="H4983" t="s">
        <v>21</v>
      </c>
      <c r="I4983">
        <v>1</v>
      </c>
      <c r="J4983" t="s">
        <v>109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 t="s">
        <v>23</v>
      </c>
      <c r="R4983">
        <v>0</v>
      </c>
    </row>
    <row r="4984" spans="1:18">
      <c r="A4984" s="4">
        <v>812829000000000</v>
      </c>
      <c r="B4984" t="s">
        <v>18</v>
      </c>
      <c r="C4984">
        <v>74</v>
      </c>
      <c r="D4984" t="s">
        <v>19</v>
      </c>
      <c r="E4984" t="s">
        <v>32</v>
      </c>
      <c r="F4984" s="1">
        <v>42509</v>
      </c>
      <c r="G4984" s="1">
        <v>42523</v>
      </c>
      <c r="H4984" t="s">
        <v>33</v>
      </c>
      <c r="I4984">
        <v>14</v>
      </c>
      <c r="J4984" t="s">
        <v>92</v>
      </c>
      <c r="K4984">
        <v>0</v>
      </c>
      <c r="L4984">
        <v>1</v>
      </c>
      <c r="M4984">
        <v>0</v>
      </c>
      <c r="N4984">
        <v>0</v>
      </c>
      <c r="O4984">
        <v>0</v>
      </c>
      <c r="P4984">
        <v>1</v>
      </c>
      <c r="Q4984" t="s">
        <v>23</v>
      </c>
      <c r="R4984">
        <v>0</v>
      </c>
    </row>
    <row r="4985" spans="1:18">
      <c r="A4985" s="4">
        <v>493764000000</v>
      </c>
      <c r="B4985" t="s">
        <v>28</v>
      </c>
      <c r="C4985">
        <v>62</v>
      </c>
      <c r="D4985" t="s">
        <v>35</v>
      </c>
      <c r="E4985" t="s">
        <v>47</v>
      </c>
      <c r="F4985" s="1">
        <v>42509</v>
      </c>
      <c r="G4985" s="1">
        <v>42510</v>
      </c>
      <c r="H4985" t="s">
        <v>21</v>
      </c>
      <c r="I4985">
        <v>1</v>
      </c>
      <c r="J4985" t="s">
        <v>109</v>
      </c>
      <c r="K4985">
        <v>0</v>
      </c>
      <c r="L4985">
        <v>1</v>
      </c>
      <c r="M4985">
        <v>1</v>
      </c>
      <c r="N4985">
        <v>0</v>
      </c>
      <c r="O4985">
        <v>0</v>
      </c>
      <c r="P4985">
        <v>0</v>
      </c>
      <c r="Q4985" t="s">
        <v>23</v>
      </c>
      <c r="R4985">
        <v>0</v>
      </c>
    </row>
    <row r="4986" spans="1:18">
      <c r="A4986" s="4">
        <v>44153500000000</v>
      </c>
      <c r="B4986" t="s">
        <v>28</v>
      </c>
      <c r="C4986">
        <v>53</v>
      </c>
      <c r="D4986" t="s">
        <v>35</v>
      </c>
      <c r="E4986" t="s">
        <v>96</v>
      </c>
      <c r="F4986" s="1">
        <v>42509</v>
      </c>
      <c r="G4986" s="1">
        <v>42509</v>
      </c>
      <c r="H4986" t="s">
        <v>33</v>
      </c>
      <c r="I4986">
        <v>0</v>
      </c>
      <c r="J4986" t="s">
        <v>111</v>
      </c>
      <c r="K4986">
        <v>0</v>
      </c>
      <c r="L4986">
        <v>0</v>
      </c>
      <c r="M4986">
        <v>0</v>
      </c>
      <c r="N4986">
        <v>1</v>
      </c>
      <c r="O4986">
        <v>0</v>
      </c>
      <c r="P4986">
        <v>0</v>
      </c>
      <c r="Q4986" t="s">
        <v>23</v>
      </c>
      <c r="R4986">
        <v>0</v>
      </c>
    </row>
    <row r="4987" spans="1:18">
      <c r="A4987" s="4">
        <v>934185000000</v>
      </c>
      <c r="B4987" t="s">
        <v>28</v>
      </c>
      <c r="C4987">
        <v>34</v>
      </c>
      <c r="D4987" t="s">
        <v>37</v>
      </c>
      <c r="E4987" t="s">
        <v>47</v>
      </c>
      <c r="F4987" s="1">
        <v>42509</v>
      </c>
      <c r="G4987" s="1">
        <v>42509</v>
      </c>
      <c r="H4987" t="s">
        <v>33</v>
      </c>
      <c r="I4987">
        <v>0</v>
      </c>
      <c r="J4987" t="s">
        <v>111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23</v>
      </c>
      <c r="R4987">
        <v>0</v>
      </c>
    </row>
    <row r="4988" spans="1:18">
      <c r="A4988" s="4">
        <v>788917000000</v>
      </c>
      <c r="B4988" t="s">
        <v>28</v>
      </c>
      <c r="C4988">
        <v>0</v>
      </c>
      <c r="D4988" t="s">
        <v>31</v>
      </c>
      <c r="E4988" t="s">
        <v>50</v>
      </c>
      <c r="F4988" s="1">
        <v>42509</v>
      </c>
      <c r="G4988" s="1">
        <v>42509</v>
      </c>
      <c r="H4988" t="s">
        <v>33</v>
      </c>
      <c r="I4988">
        <v>0</v>
      </c>
      <c r="J4988" t="s">
        <v>111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23</v>
      </c>
      <c r="R4988">
        <v>0</v>
      </c>
    </row>
    <row r="4989" spans="1:18">
      <c r="A4989" s="4">
        <v>17764100000000</v>
      </c>
      <c r="B4989" t="s">
        <v>28</v>
      </c>
      <c r="C4989">
        <v>11</v>
      </c>
      <c r="D4989" t="s">
        <v>31</v>
      </c>
      <c r="E4989" t="s">
        <v>61</v>
      </c>
      <c r="F4989" s="1">
        <v>42509</v>
      </c>
      <c r="G4989" s="1">
        <v>42509</v>
      </c>
      <c r="H4989" t="s">
        <v>33</v>
      </c>
      <c r="I4989">
        <v>0</v>
      </c>
      <c r="J4989" t="s">
        <v>111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 t="s">
        <v>23</v>
      </c>
      <c r="R4989">
        <v>0</v>
      </c>
    </row>
    <row r="4990" spans="1:18">
      <c r="A4990" s="4">
        <v>12675800000000</v>
      </c>
      <c r="B4990" t="s">
        <v>18</v>
      </c>
      <c r="C4990">
        <v>68</v>
      </c>
      <c r="D4990" t="s">
        <v>19</v>
      </c>
      <c r="E4990" t="s">
        <v>39</v>
      </c>
      <c r="F4990" s="1">
        <v>42509</v>
      </c>
      <c r="G4990" s="1">
        <v>42510</v>
      </c>
      <c r="H4990" t="s">
        <v>21</v>
      </c>
      <c r="I4990">
        <v>1</v>
      </c>
      <c r="J4990" t="s">
        <v>109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23</v>
      </c>
      <c r="R4990">
        <v>0</v>
      </c>
    </row>
    <row r="4991" spans="1:18">
      <c r="A4991" s="4">
        <v>97675600000000</v>
      </c>
      <c r="B4991" t="s">
        <v>18</v>
      </c>
      <c r="C4991">
        <v>23</v>
      </c>
      <c r="D4991" t="s">
        <v>37</v>
      </c>
      <c r="E4991" t="s">
        <v>87</v>
      </c>
      <c r="F4991" s="1">
        <v>42509</v>
      </c>
      <c r="G4991" s="1">
        <v>42510</v>
      </c>
      <c r="H4991" t="s">
        <v>21</v>
      </c>
      <c r="I4991">
        <v>1</v>
      </c>
      <c r="J4991" t="s">
        <v>109</v>
      </c>
      <c r="K4991">
        <v>0</v>
      </c>
      <c r="L4991">
        <v>0</v>
      </c>
      <c r="M4991">
        <v>0</v>
      </c>
      <c r="N4991">
        <v>0</v>
      </c>
      <c r="O4991">
        <v>1</v>
      </c>
      <c r="P4991">
        <v>0</v>
      </c>
      <c r="Q4991" t="s">
        <v>23</v>
      </c>
      <c r="R4991">
        <v>0</v>
      </c>
    </row>
    <row r="4992" spans="1:18">
      <c r="A4992" s="4">
        <v>233124000000</v>
      </c>
      <c r="B4992" t="s">
        <v>18</v>
      </c>
      <c r="C4992">
        <v>1</v>
      </c>
      <c r="D4992" t="s">
        <v>31</v>
      </c>
      <c r="E4992" t="s">
        <v>29</v>
      </c>
      <c r="F4992" s="1">
        <v>42509</v>
      </c>
      <c r="G4992" s="1">
        <v>42509</v>
      </c>
      <c r="H4992" t="s">
        <v>33</v>
      </c>
      <c r="I4992">
        <v>0</v>
      </c>
      <c r="J4992" t="s">
        <v>111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23</v>
      </c>
      <c r="R4992">
        <v>0</v>
      </c>
    </row>
    <row r="4993" spans="1:18">
      <c r="A4993" s="4">
        <v>43529200000000</v>
      </c>
      <c r="B4993" t="s">
        <v>18</v>
      </c>
      <c r="C4993">
        <v>52</v>
      </c>
      <c r="D4993" t="s">
        <v>35</v>
      </c>
      <c r="E4993" t="s">
        <v>43</v>
      </c>
      <c r="F4993" s="1">
        <v>42509</v>
      </c>
      <c r="G4993" s="1">
        <v>42510</v>
      </c>
      <c r="H4993" t="s">
        <v>21</v>
      </c>
      <c r="I4993">
        <v>1</v>
      </c>
      <c r="J4993" t="s">
        <v>109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23</v>
      </c>
      <c r="R4993">
        <v>0</v>
      </c>
    </row>
    <row r="4994" spans="1:18">
      <c r="A4994" s="4">
        <v>16286200000000</v>
      </c>
      <c r="B4994" t="s">
        <v>18</v>
      </c>
      <c r="C4994">
        <v>54</v>
      </c>
      <c r="D4994" t="s">
        <v>35</v>
      </c>
      <c r="E4994" t="s">
        <v>91</v>
      </c>
      <c r="F4994" s="1">
        <v>42509</v>
      </c>
      <c r="G4994" s="1">
        <v>42528</v>
      </c>
      <c r="H4994" t="s">
        <v>41</v>
      </c>
      <c r="I4994">
        <v>19</v>
      </c>
      <c r="J4994" t="s">
        <v>77</v>
      </c>
      <c r="K4994">
        <v>0</v>
      </c>
      <c r="L4994">
        <v>1</v>
      </c>
      <c r="M4994">
        <v>0</v>
      </c>
      <c r="N4994">
        <v>0</v>
      </c>
      <c r="O4994">
        <v>0</v>
      </c>
      <c r="P4994">
        <v>0</v>
      </c>
      <c r="Q4994" t="s">
        <v>23</v>
      </c>
      <c r="R4994">
        <v>0</v>
      </c>
    </row>
    <row r="4995" spans="1:18">
      <c r="A4995" s="4">
        <v>9656580000000</v>
      </c>
      <c r="B4995" t="s">
        <v>18</v>
      </c>
      <c r="C4995">
        <v>64</v>
      </c>
      <c r="D4995" t="s">
        <v>35</v>
      </c>
      <c r="E4995" t="s">
        <v>59</v>
      </c>
      <c r="F4995" s="1">
        <v>42509</v>
      </c>
      <c r="G4995" s="1">
        <v>42510</v>
      </c>
      <c r="H4995" t="s">
        <v>21</v>
      </c>
      <c r="I4995">
        <v>1</v>
      </c>
      <c r="J4995" t="s">
        <v>109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 t="s">
        <v>23</v>
      </c>
      <c r="R4995">
        <v>0</v>
      </c>
    </row>
    <row r="4996" spans="1:18">
      <c r="A4996" s="4">
        <v>498386000000</v>
      </c>
      <c r="B4996" t="s">
        <v>18</v>
      </c>
      <c r="C4996">
        <v>64</v>
      </c>
      <c r="D4996" t="s">
        <v>35</v>
      </c>
      <c r="E4996" t="s">
        <v>71</v>
      </c>
      <c r="F4996" s="1">
        <v>42509</v>
      </c>
      <c r="G4996" s="1">
        <v>42515</v>
      </c>
      <c r="H4996" t="s">
        <v>25</v>
      </c>
      <c r="I4996">
        <v>6</v>
      </c>
      <c r="J4996" t="s">
        <v>107</v>
      </c>
      <c r="K4996">
        <v>0</v>
      </c>
      <c r="L4996">
        <v>0</v>
      </c>
      <c r="M4996">
        <v>1</v>
      </c>
      <c r="N4996">
        <v>0</v>
      </c>
      <c r="O4996">
        <v>0</v>
      </c>
      <c r="P4996">
        <v>1</v>
      </c>
      <c r="Q4996" t="s">
        <v>26</v>
      </c>
      <c r="R4996">
        <v>1</v>
      </c>
    </row>
    <row r="4997" spans="1:18">
      <c r="A4997" s="4">
        <v>1729780000000</v>
      </c>
      <c r="B4997" t="s">
        <v>28</v>
      </c>
      <c r="C4997">
        <v>5</v>
      </c>
      <c r="D4997" t="s">
        <v>31</v>
      </c>
      <c r="E4997" t="s">
        <v>96</v>
      </c>
      <c r="F4997" s="1">
        <v>42509</v>
      </c>
      <c r="G4997" s="1">
        <v>42528</v>
      </c>
      <c r="H4997" t="s">
        <v>41</v>
      </c>
      <c r="I4997">
        <v>19</v>
      </c>
      <c r="J4997" t="s">
        <v>77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 t="s">
        <v>23</v>
      </c>
      <c r="R4997">
        <v>0</v>
      </c>
    </row>
    <row r="4998" spans="1:18">
      <c r="A4998" s="4">
        <v>3853280000000</v>
      </c>
      <c r="B4998" t="s">
        <v>18</v>
      </c>
      <c r="C4998">
        <v>53</v>
      </c>
      <c r="D4998" t="s">
        <v>35</v>
      </c>
      <c r="E4998" t="s">
        <v>39</v>
      </c>
      <c r="F4998" s="1">
        <v>42509</v>
      </c>
      <c r="G4998" s="1">
        <v>42509</v>
      </c>
      <c r="H4998" t="s">
        <v>33</v>
      </c>
      <c r="I4998">
        <v>0</v>
      </c>
      <c r="J4998" t="s">
        <v>111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 t="s">
        <v>23</v>
      </c>
      <c r="R4998">
        <v>0</v>
      </c>
    </row>
    <row r="4999" spans="1:18">
      <c r="A4999" s="4">
        <v>236869000000000</v>
      </c>
      <c r="B4999" t="s">
        <v>28</v>
      </c>
      <c r="C4999">
        <v>1</v>
      </c>
      <c r="D4999" t="s">
        <v>31</v>
      </c>
      <c r="E4999" t="s">
        <v>55</v>
      </c>
      <c r="F4999" s="1">
        <v>42509</v>
      </c>
      <c r="G4999" s="1">
        <v>42520</v>
      </c>
      <c r="H4999" t="s">
        <v>30</v>
      </c>
      <c r="I4999">
        <v>11</v>
      </c>
      <c r="J4999" t="s">
        <v>92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1</v>
      </c>
      <c r="Q4999" t="s">
        <v>23</v>
      </c>
      <c r="R4999">
        <v>0</v>
      </c>
    </row>
    <row r="5000" spans="1:18">
      <c r="A5000" s="4">
        <v>973135000000</v>
      </c>
      <c r="B5000" t="s">
        <v>18</v>
      </c>
      <c r="C5000">
        <v>5</v>
      </c>
      <c r="D5000" t="s">
        <v>31</v>
      </c>
      <c r="E5000" t="s">
        <v>53</v>
      </c>
      <c r="F5000" s="1">
        <v>42509</v>
      </c>
      <c r="G5000" s="1">
        <v>42522</v>
      </c>
      <c r="H5000" t="s">
        <v>25</v>
      </c>
      <c r="I5000">
        <v>13</v>
      </c>
      <c r="J5000" t="s">
        <v>92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1</v>
      </c>
      <c r="Q5000" t="s">
        <v>23</v>
      </c>
      <c r="R5000">
        <v>0</v>
      </c>
    </row>
    <row r="5001" spans="1:18">
      <c r="A5001" s="4">
        <v>784534000000000</v>
      </c>
      <c r="B5001" t="s">
        <v>18</v>
      </c>
      <c r="C5001">
        <v>25</v>
      </c>
      <c r="D5001" t="s">
        <v>37</v>
      </c>
      <c r="E5001" t="s">
        <v>99</v>
      </c>
      <c r="F5001" s="1">
        <v>42509</v>
      </c>
      <c r="G5001" s="1">
        <v>42514</v>
      </c>
      <c r="H5001" t="s">
        <v>41</v>
      </c>
      <c r="I5001">
        <v>5</v>
      </c>
      <c r="J5001" t="s">
        <v>107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1</v>
      </c>
      <c r="Q5001" t="s">
        <v>23</v>
      </c>
      <c r="R5001">
        <v>0</v>
      </c>
    </row>
    <row r="5002" spans="1:18">
      <c r="A5002" s="4">
        <v>49898900000000</v>
      </c>
      <c r="B5002" t="s">
        <v>18</v>
      </c>
      <c r="C5002">
        <v>28</v>
      </c>
      <c r="D5002" t="s">
        <v>37</v>
      </c>
      <c r="E5002" t="s">
        <v>72</v>
      </c>
      <c r="F5002" s="1">
        <v>42509</v>
      </c>
      <c r="G5002" s="1">
        <v>42509</v>
      </c>
      <c r="H5002" t="s">
        <v>33</v>
      </c>
      <c r="I5002">
        <v>0</v>
      </c>
      <c r="J5002" t="s">
        <v>111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 t="s">
        <v>23</v>
      </c>
      <c r="R5002">
        <v>0</v>
      </c>
    </row>
    <row r="5003" spans="1:18">
      <c r="A5003" s="4">
        <v>4151410000000</v>
      </c>
      <c r="B5003" t="s">
        <v>18</v>
      </c>
      <c r="C5003">
        <v>41</v>
      </c>
      <c r="D5003" t="s">
        <v>27</v>
      </c>
      <c r="E5003" t="s">
        <v>68</v>
      </c>
      <c r="F5003" s="1">
        <v>42509</v>
      </c>
      <c r="G5003" s="1">
        <v>42509</v>
      </c>
      <c r="H5003" t="s">
        <v>33</v>
      </c>
      <c r="I5003">
        <v>0</v>
      </c>
      <c r="J5003" t="s">
        <v>111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23</v>
      </c>
      <c r="R5003">
        <v>0</v>
      </c>
    </row>
    <row r="5004" spans="1:18">
      <c r="A5004" s="4">
        <v>18225300000000</v>
      </c>
      <c r="B5004" t="s">
        <v>18</v>
      </c>
      <c r="C5004">
        <v>0</v>
      </c>
      <c r="D5004" t="s">
        <v>31</v>
      </c>
      <c r="E5004" t="s">
        <v>38</v>
      </c>
      <c r="F5004" s="1">
        <v>42509</v>
      </c>
      <c r="G5004" s="1">
        <v>42514</v>
      </c>
      <c r="H5004" t="s">
        <v>41</v>
      </c>
      <c r="I5004">
        <v>5</v>
      </c>
      <c r="J5004" t="s">
        <v>107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 t="s">
        <v>26</v>
      </c>
      <c r="R5004">
        <v>1</v>
      </c>
    </row>
    <row r="5005" spans="1:18">
      <c r="A5005" s="4">
        <v>6938640000000</v>
      </c>
      <c r="B5005" t="s">
        <v>18</v>
      </c>
      <c r="C5005">
        <v>5</v>
      </c>
      <c r="D5005" t="s">
        <v>31</v>
      </c>
      <c r="E5005" t="s">
        <v>39</v>
      </c>
      <c r="F5005" s="1">
        <v>42509</v>
      </c>
      <c r="G5005" s="1">
        <v>42509</v>
      </c>
      <c r="H5005" t="s">
        <v>33</v>
      </c>
      <c r="I5005">
        <v>0</v>
      </c>
      <c r="J5005" t="s">
        <v>111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 t="s">
        <v>23</v>
      </c>
      <c r="R5005">
        <v>0</v>
      </c>
    </row>
    <row r="5006" spans="1:18">
      <c r="A5006" s="4">
        <v>53265300000000</v>
      </c>
      <c r="B5006" t="s">
        <v>28</v>
      </c>
      <c r="C5006">
        <v>14</v>
      </c>
      <c r="D5006" t="s">
        <v>60</v>
      </c>
      <c r="E5006" t="s">
        <v>65</v>
      </c>
      <c r="F5006" s="1">
        <v>42509</v>
      </c>
      <c r="G5006" s="1">
        <v>42523</v>
      </c>
      <c r="H5006" t="s">
        <v>33</v>
      </c>
      <c r="I5006">
        <v>14</v>
      </c>
      <c r="J5006" t="s">
        <v>92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1</v>
      </c>
      <c r="Q5006" t="s">
        <v>23</v>
      </c>
      <c r="R5006">
        <v>0</v>
      </c>
    </row>
    <row r="5007" spans="1:18">
      <c r="A5007" s="4">
        <v>412113000000000</v>
      </c>
      <c r="B5007" t="s">
        <v>18</v>
      </c>
      <c r="C5007">
        <v>1</v>
      </c>
      <c r="D5007" t="s">
        <v>31</v>
      </c>
      <c r="E5007" t="s">
        <v>48</v>
      </c>
      <c r="F5007" s="1">
        <v>42509</v>
      </c>
      <c r="G5007" s="1">
        <v>42509</v>
      </c>
      <c r="H5007" t="s">
        <v>33</v>
      </c>
      <c r="I5007">
        <v>0</v>
      </c>
      <c r="J5007" t="s">
        <v>111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 t="s">
        <v>23</v>
      </c>
      <c r="R5007">
        <v>0</v>
      </c>
    </row>
    <row r="5008" spans="1:18">
      <c r="A5008" s="4">
        <v>973316000000</v>
      </c>
      <c r="B5008" t="s">
        <v>28</v>
      </c>
      <c r="C5008">
        <v>64</v>
      </c>
      <c r="D5008" t="s">
        <v>35</v>
      </c>
      <c r="E5008" t="s">
        <v>108</v>
      </c>
      <c r="F5008" s="1">
        <v>42509</v>
      </c>
      <c r="G5008" s="1">
        <v>42509</v>
      </c>
      <c r="H5008" t="s">
        <v>33</v>
      </c>
      <c r="I5008">
        <v>0</v>
      </c>
      <c r="J5008" t="s">
        <v>111</v>
      </c>
      <c r="K5008">
        <v>0</v>
      </c>
      <c r="L5008">
        <v>0</v>
      </c>
      <c r="M5008">
        <v>0</v>
      </c>
      <c r="N5008">
        <v>1</v>
      </c>
      <c r="O5008">
        <v>0</v>
      </c>
      <c r="P5008">
        <v>0</v>
      </c>
      <c r="Q5008" t="s">
        <v>23</v>
      </c>
      <c r="R5008">
        <v>0</v>
      </c>
    </row>
    <row r="5009" spans="1:18">
      <c r="A5009" s="4">
        <v>4812770000000</v>
      </c>
      <c r="B5009" t="s">
        <v>18</v>
      </c>
      <c r="C5009">
        <v>57</v>
      </c>
      <c r="D5009" t="s">
        <v>35</v>
      </c>
      <c r="E5009" t="s">
        <v>34</v>
      </c>
      <c r="F5009" s="1">
        <v>42509</v>
      </c>
      <c r="G5009" s="1">
        <v>42529</v>
      </c>
      <c r="H5009" t="s">
        <v>25</v>
      </c>
      <c r="I5009">
        <v>20</v>
      </c>
      <c r="J5009" t="s">
        <v>77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1</v>
      </c>
      <c r="Q5009" t="s">
        <v>23</v>
      </c>
      <c r="R5009">
        <v>0</v>
      </c>
    </row>
    <row r="5010" spans="1:18">
      <c r="A5010" s="4">
        <v>162629000000000</v>
      </c>
      <c r="B5010" t="s">
        <v>18</v>
      </c>
      <c r="C5010">
        <v>35</v>
      </c>
      <c r="D5010" t="s">
        <v>37</v>
      </c>
      <c r="E5010" t="s">
        <v>39</v>
      </c>
      <c r="F5010" s="1">
        <v>42509</v>
      </c>
      <c r="G5010" s="1">
        <v>42515</v>
      </c>
      <c r="H5010" t="s">
        <v>25</v>
      </c>
      <c r="I5010">
        <v>6</v>
      </c>
      <c r="J5010" t="s">
        <v>107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1</v>
      </c>
      <c r="Q5010" t="s">
        <v>23</v>
      </c>
      <c r="R5010">
        <v>0</v>
      </c>
    </row>
    <row r="5011" spans="1:18">
      <c r="A5011" s="4">
        <v>295543000000</v>
      </c>
      <c r="B5011" t="s">
        <v>18</v>
      </c>
      <c r="C5011">
        <v>8</v>
      </c>
      <c r="D5011" t="s">
        <v>31</v>
      </c>
      <c r="E5011" t="s">
        <v>78</v>
      </c>
      <c r="F5011" s="1">
        <v>42509</v>
      </c>
      <c r="G5011" s="1">
        <v>42521</v>
      </c>
      <c r="H5011" t="s">
        <v>41</v>
      </c>
      <c r="I5011">
        <v>12</v>
      </c>
      <c r="J5011" t="s">
        <v>92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1</v>
      </c>
      <c r="Q5011" t="s">
        <v>23</v>
      </c>
      <c r="R5011">
        <v>0</v>
      </c>
    </row>
    <row r="5012" spans="1:18">
      <c r="A5012" s="4">
        <v>15766300000000</v>
      </c>
      <c r="B5012" t="s">
        <v>18</v>
      </c>
      <c r="C5012">
        <v>57</v>
      </c>
      <c r="D5012" t="s">
        <v>35</v>
      </c>
      <c r="E5012" t="s">
        <v>87</v>
      </c>
      <c r="F5012" s="1">
        <v>42509</v>
      </c>
      <c r="G5012" s="1">
        <v>42515</v>
      </c>
      <c r="H5012" t="s">
        <v>25</v>
      </c>
      <c r="I5012">
        <v>6</v>
      </c>
      <c r="J5012" t="s">
        <v>107</v>
      </c>
      <c r="K5012">
        <v>1</v>
      </c>
      <c r="L5012">
        <v>1</v>
      </c>
      <c r="M5012">
        <v>1</v>
      </c>
      <c r="N5012">
        <v>0</v>
      </c>
      <c r="O5012">
        <v>1</v>
      </c>
      <c r="P5012">
        <v>0</v>
      </c>
      <c r="Q5012" t="s">
        <v>26</v>
      </c>
      <c r="R5012">
        <v>1</v>
      </c>
    </row>
    <row r="5013" spans="1:18">
      <c r="A5013" s="4">
        <v>946763000000</v>
      </c>
      <c r="B5013" t="s">
        <v>18</v>
      </c>
      <c r="C5013">
        <v>87</v>
      </c>
      <c r="D5013" t="s">
        <v>19</v>
      </c>
      <c r="E5013" t="s">
        <v>58</v>
      </c>
      <c r="F5013" s="1">
        <v>42509</v>
      </c>
      <c r="G5013" s="1">
        <v>42523</v>
      </c>
      <c r="H5013" t="s">
        <v>33</v>
      </c>
      <c r="I5013">
        <v>14</v>
      </c>
      <c r="J5013" t="s">
        <v>92</v>
      </c>
      <c r="K5013">
        <v>0</v>
      </c>
      <c r="L5013">
        <v>1</v>
      </c>
      <c r="M5013">
        <v>1</v>
      </c>
      <c r="N5013">
        <v>0</v>
      </c>
      <c r="O5013">
        <v>0</v>
      </c>
      <c r="P5013">
        <v>0</v>
      </c>
      <c r="Q5013" t="s">
        <v>26</v>
      </c>
      <c r="R5013">
        <v>1</v>
      </c>
    </row>
    <row r="5014" spans="1:18">
      <c r="A5014" s="4">
        <v>53536456243</v>
      </c>
      <c r="B5014" t="s">
        <v>28</v>
      </c>
      <c r="C5014">
        <v>9</v>
      </c>
      <c r="D5014" t="s">
        <v>31</v>
      </c>
      <c r="E5014" t="s">
        <v>87</v>
      </c>
      <c r="F5014" s="1">
        <v>42509</v>
      </c>
      <c r="G5014" s="1">
        <v>42514</v>
      </c>
      <c r="H5014" t="s">
        <v>41</v>
      </c>
      <c r="I5014">
        <v>5</v>
      </c>
      <c r="J5014" t="s">
        <v>107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1</v>
      </c>
      <c r="Q5014" t="s">
        <v>26</v>
      </c>
      <c r="R5014">
        <v>1</v>
      </c>
    </row>
    <row r="5015" spans="1:18">
      <c r="A5015" s="4">
        <v>93539200000000</v>
      </c>
      <c r="B5015" t="s">
        <v>18</v>
      </c>
      <c r="C5015">
        <v>37</v>
      </c>
      <c r="D5015" t="s">
        <v>27</v>
      </c>
      <c r="E5015" t="s">
        <v>63</v>
      </c>
      <c r="F5015" s="1">
        <v>42509</v>
      </c>
      <c r="G5015" s="1">
        <v>42509</v>
      </c>
      <c r="H5015" t="s">
        <v>33</v>
      </c>
      <c r="I5015">
        <v>0</v>
      </c>
      <c r="J5015" t="s">
        <v>111</v>
      </c>
      <c r="K5015">
        <v>1</v>
      </c>
      <c r="L5015">
        <v>1</v>
      </c>
      <c r="M5015">
        <v>0</v>
      </c>
      <c r="N5015">
        <v>0</v>
      </c>
      <c r="O5015">
        <v>0</v>
      </c>
      <c r="P5015">
        <v>0</v>
      </c>
      <c r="Q5015" t="s">
        <v>23</v>
      </c>
      <c r="R5015">
        <v>0</v>
      </c>
    </row>
    <row r="5016" spans="1:18">
      <c r="A5016" s="4">
        <v>76436500000000</v>
      </c>
      <c r="B5016" t="s">
        <v>28</v>
      </c>
      <c r="C5016">
        <v>7</v>
      </c>
      <c r="D5016" t="s">
        <v>31</v>
      </c>
      <c r="E5016" t="s">
        <v>75</v>
      </c>
      <c r="F5016" s="1">
        <v>42509</v>
      </c>
      <c r="G5016" s="1">
        <v>42524</v>
      </c>
      <c r="H5016" t="s">
        <v>21</v>
      </c>
      <c r="I5016">
        <v>15</v>
      </c>
      <c r="J5016" t="s">
        <v>77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1</v>
      </c>
      <c r="Q5016" t="s">
        <v>23</v>
      </c>
      <c r="R5016">
        <v>0</v>
      </c>
    </row>
    <row r="5017" spans="1:18">
      <c r="A5017" s="4">
        <v>7145570000000</v>
      </c>
      <c r="B5017" t="s">
        <v>28</v>
      </c>
      <c r="C5017">
        <v>10</v>
      </c>
      <c r="D5017" t="s">
        <v>31</v>
      </c>
      <c r="E5017" t="s">
        <v>47</v>
      </c>
      <c r="F5017" s="1">
        <v>42509</v>
      </c>
      <c r="G5017" s="1">
        <v>42510</v>
      </c>
      <c r="H5017" t="s">
        <v>21</v>
      </c>
      <c r="I5017">
        <v>1</v>
      </c>
      <c r="J5017" t="s">
        <v>109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 t="s">
        <v>23</v>
      </c>
      <c r="R5017">
        <v>0</v>
      </c>
    </row>
    <row r="5018" spans="1:18">
      <c r="A5018" s="4">
        <v>1269120000000</v>
      </c>
      <c r="B5018" t="s">
        <v>18</v>
      </c>
      <c r="C5018">
        <v>61</v>
      </c>
      <c r="D5018" t="s">
        <v>35</v>
      </c>
      <c r="E5018" t="s">
        <v>57</v>
      </c>
      <c r="F5018" s="1">
        <v>42509</v>
      </c>
      <c r="G5018" s="1">
        <v>42509</v>
      </c>
      <c r="H5018" t="s">
        <v>33</v>
      </c>
      <c r="I5018">
        <v>0</v>
      </c>
      <c r="J5018" t="s">
        <v>111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23</v>
      </c>
      <c r="R5018">
        <v>0</v>
      </c>
    </row>
    <row r="5019" spans="1:18">
      <c r="A5019" s="4">
        <v>57464500000000</v>
      </c>
      <c r="B5019" t="s">
        <v>28</v>
      </c>
      <c r="C5019">
        <v>27</v>
      </c>
      <c r="D5019" t="s">
        <v>37</v>
      </c>
      <c r="E5019" t="s">
        <v>103</v>
      </c>
      <c r="F5019" s="1">
        <v>42509</v>
      </c>
      <c r="G5019" s="1">
        <v>42524</v>
      </c>
      <c r="H5019" t="s">
        <v>21</v>
      </c>
      <c r="I5019">
        <v>15</v>
      </c>
      <c r="J5019" t="s">
        <v>77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1</v>
      </c>
      <c r="Q5019" t="s">
        <v>26</v>
      </c>
      <c r="R5019">
        <v>1</v>
      </c>
    </row>
    <row r="5020" spans="1:18">
      <c r="A5020" s="4">
        <v>624462000000000</v>
      </c>
      <c r="B5020" t="s">
        <v>28</v>
      </c>
      <c r="C5020">
        <v>75</v>
      </c>
      <c r="D5020" t="s">
        <v>19</v>
      </c>
      <c r="E5020" t="s">
        <v>29</v>
      </c>
      <c r="F5020" s="1">
        <v>42509</v>
      </c>
      <c r="G5020" s="1">
        <v>42509</v>
      </c>
      <c r="H5020" t="s">
        <v>33</v>
      </c>
      <c r="I5020">
        <v>0</v>
      </c>
      <c r="J5020" t="s">
        <v>111</v>
      </c>
      <c r="K5020">
        <v>0</v>
      </c>
      <c r="L5020">
        <v>1</v>
      </c>
      <c r="M5020">
        <v>0</v>
      </c>
      <c r="N5020">
        <v>0</v>
      </c>
      <c r="O5020">
        <v>0</v>
      </c>
      <c r="P5020">
        <v>0</v>
      </c>
      <c r="Q5020" t="s">
        <v>23</v>
      </c>
      <c r="R5020">
        <v>0</v>
      </c>
    </row>
    <row r="5021" spans="1:18">
      <c r="A5021" s="4">
        <v>67252300000000</v>
      </c>
      <c r="B5021" t="s">
        <v>28</v>
      </c>
      <c r="C5021">
        <v>4</v>
      </c>
      <c r="D5021" t="s">
        <v>31</v>
      </c>
      <c r="E5021" t="s">
        <v>75</v>
      </c>
      <c r="F5021" s="1">
        <v>42509</v>
      </c>
      <c r="G5021" s="1">
        <v>42527</v>
      </c>
      <c r="H5021" t="s">
        <v>30</v>
      </c>
      <c r="I5021">
        <v>18</v>
      </c>
      <c r="J5021" t="s">
        <v>77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23</v>
      </c>
      <c r="R5021">
        <v>0</v>
      </c>
    </row>
    <row r="5022" spans="1:18">
      <c r="A5022" s="4">
        <v>75663400000000</v>
      </c>
      <c r="B5022" t="s">
        <v>18</v>
      </c>
      <c r="C5022">
        <v>32</v>
      </c>
      <c r="D5022" t="s">
        <v>37</v>
      </c>
      <c r="E5022" t="s">
        <v>43</v>
      </c>
      <c r="F5022" s="1">
        <v>42509</v>
      </c>
      <c r="G5022" s="1">
        <v>42522</v>
      </c>
      <c r="H5022" t="s">
        <v>25</v>
      </c>
      <c r="I5022">
        <v>13</v>
      </c>
      <c r="J5022" t="s">
        <v>92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1</v>
      </c>
      <c r="Q5022" t="s">
        <v>23</v>
      </c>
      <c r="R5022">
        <v>0</v>
      </c>
    </row>
    <row r="5023" spans="1:18">
      <c r="A5023" s="4">
        <v>8676450000000</v>
      </c>
      <c r="B5023" t="s">
        <v>28</v>
      </c>
      <c r="C5023">
        <v>57</v>
      </c>
      <c r="D5023" t="s">
        <v>35</v>
      </c>
      <c r="E5023" t="s">
        <v>68</v>
      </c>
      <c r="F5023" s="1">
        <v>42509</v>
      </c>
      <c r="G5023" s="1">
        <v>42509</v>
      </c>
      <c r="H5023" t="s">
        <v>33</v>
      </c>
      <c r="I5023">
        <v>0</v>
      </c>
      <c r="J5023" t="s">
        <v>111</v>
      </c>
      <c r="K5023">
        <v>0</v>
      </c>
      <c r="L5023">
        <v>1</v>
      </c>
      <c r="M5023">
        <v>0</v>
      </c>
      <c r="N5023">
        <v>0</v>
      </c>
      <c r="O5023">
        <v>1</v>
      </c>
      <c r="P5023">
        <v>0</v>
      </c>
      <c r="Q5023" t="s">
        <v>23</v>
      </c>
      <c r="R5023">
        <v>0</v>
      </c>
    </row>
    <row r="5024" spans="1:18">
      <c r="A5024" s="4">
        <v>233694000000000</v>
      </c>
      <c r="B5024" t="s">
        <v>28</v>
      </c>
      <c r="C5024">
        <v>10</v>
      </c>
      <c r="D5024" t="s">
        <v>31</v>
      </c>
      <c r="E5024" t="s">
        <v>108</v>
      </c>
      <c r="F5024" s="1">
        <v>42509</v>
      </c>
      <c r="G5024" s="1">
        <v>42509</v>
      </c>
      <c r="H5024" t="s">
        <v>33</v>
      </c>
      <c r="I5024">
        <v>0</v>
      </c>
      <c r="J5024" t="s">
        <v>111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 t="s">
        <v>23</v>
      </c>
      <c r="R5024">
        <v>0</v>
      </c>
    </row>
    <row r="5025" spans="1:18">
      <c r="A5025" s="4">
        <v>99637671331</v>
      </c>
      <c r="B5025" t="s">
        <v>28</v>
      </c>
      <c r="C5025">
        <v>46</v>
      </c>
      <c r="D5025" t="s">
        <v>27</v>
      </c>
      <c r="E5025" t="s">
        <v>67</v>
      </c>
      <c r="F5025" s="1">
        <v>42509</v>
      </c>
      <c r="G5025" s="1">
        <v>42509</v>
      </c>
      <c r="H5025" t="s">
        <v>33</v>
      </c>
      <c r="I5025">
        <v>0</v>
      </c>
      <c r="J5025" t="s">
        <v>111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23</v>
      </c>
      <c r="R5025">
        <v>0</v>
      </c>
    </row>
    <row r="5026" spans="1:18">
      <c r="A5026" s="4">
        <v>98576500000000</v>
      </c>
      <c r="B5026" t="s">
        <v>18</v>
      </c>
      <c r="C5026">
        <v>19</v>
      </c>
      <c r="D5026" t="s">
        <v>37</v>
      </c>
      <c r="E5026" t="s">
        <v>84</v>
      </c>
      <c r="F5026" s="1">
        <v>42509</v>
      </c>
      <c r="G5026" s="1">
        <v>42509</v>
      </c>
      <c r="H5026" t="s">
        <v>33</v>
      </c>
      <c r="I5026">
        <v>0</v>
      </c>
      <c r="J5026" t="s">
        <v>111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 t="s">
        <v>26</v>
      </c>
      <c r="R5026">
        <v>1</v>
      </c>
    </row>
    <row r="5027" spans="1:18">
      <c r="A5027" s="4">
        <v>712459000000000</v>
      </c>
      <c r="B5027" t="s">
        <v>28</v>
      </c>
      <c r="C5027">
        <v>44</v>
      </c>
      <c r="D5027" t="s">
        <v>27</v>
      </c>
      <c r="E5027" t="s">
        <v>48</v>
      </c>
      <c r="F5027" s="1">
        <v>42509</v>
      </c>
      <c r="G5027" s="1">
        <v>42509</v>
      </c>
      <c r="H5027" t="s">
        <v>33</v>
      </c>
      <c r="I5027">
        <v>0</v>
      </c>
      <c r="J5027" t="s">
        <v>111</v>
      </c>
      <c r="K5027">
        <v>0</v>
      </c>
      <c r="L5027">
        <v>0</v>
      </c>
      <c r="M5027">
        <v>0</v>
      </c>
      <c r="N5027">
        <v>1</v>
      </c>
      <c r="O5027">
        <v>0</v>
      </c>
      <c r="P5027">
        <v>0</v>
      </c>
      <c r="Q5027" t="s">
        <v>23</v>
      </c>
      <c r="R5027">
        <v>0</v>
      </c>
    </row>
    <row r="5028" spans="1:18">
      <c r="A5028" s="4">
        <v>39528000000000</v>
      </c>
      <c r="B5028" t="s">
        <v>28</v>
      </c>
      <c r="C5028">
        <v>6</v>
      </c>
      <c r="D5028" t="s">
        <v>31</v>
      </c>
      <c r="E5028" t="s">
        <v>75</v>
      </c>
      <c r="F5028" s="1">
        <v>42509</v>
      </c>
      <c r="G5028" s="1">
        <v>42528</v>
      </c>
      <c r="H5028" t="s">
        <v>41</v>
      </c>
      <c r="I5028">
        <v>19</v>
      </c>
      <c r="J5028" t="s">
        <v>77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1</v>
      </c>
      <c r="Q5028" t="s">
        <v>23</v>
      </c>
      <c r="R5028">
        <v>0</v>
      </c>
    </row>
    <row r="5029" spans="1:18">
      <c r="A5029" s="4">
        <v>44453200000000</v>
      </c>
      <c r="B5029" t="s">
        <v>18</v>
      </c>
      <c r="C5029">
        <v>0</v>
      </c>
      <c r="D5029" t="s">
        <v>31</v>
      </c>
      <c r="E5029" t="s">
        <v>64</v>
      </c>
      <c r="F5029" s="1">
        <v>42509</v>
      </c>
      <c r="G5029" s="1">
        <v>42514</v>
      </c>
      <c r="H5029" t="s">
        <v>41</v>
      </c>
      <c r="I5029">
        <v>5</v>
      </c>
      <c r="J5029" t="s">
        <v>107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 t="s">
        <v>23</v>
      </c>
      <c r="R5029">
        <v>0</v>
      </c>
    </row>
    <row r="5030" spans="1:18">
      <c r="A5030" s="4">
        <v>3472320000000</v>
      </c>
      <c r="B5030" t="s">
        <v>18</v>
      </c>
      <c r="C5030">
        <v>9</v>
      </c>
      <c r="D5030" t="s">
        <v>31</v>
      </c>
      <c r="E5030" t="s">
        <v>59</v>
      </c>
      <c r="F5030" s="1">
        <v>42509</v>
      </c>
      <c r="G5030" s="1">
        <v>42509</v>
      </c>
      <c r="H5030" t="s">
        <v>33</v>
      </c>
      <c r="I5030">
        <v>0</v>
      </c>
      <c r="J5030" t="s">
        <v>111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 t="s">
        <v>23</v>
      </c>
      <c r="R5030">
        <v>0</v>
      </c>
    </row>
    <row r="5031" spans="1:18">
      <c r="A5031" s="4">
        <v>17835100000000</v>
      </c>
      <c r="B5031" t="s">
        <v>18</v>
      </c>
      <c r="C5031">
        <v>36</v>
      </c>
      <c r="D5031" t="s">
        <v>27</v>
      </c>
      <c r="E5031" t="s">
        <v>20</v>
      </c>
      <c r="F5031" s="1">
        <v>42509</v>
      </c>
      <c r="G5031" s="1">
        <v>42515</v>
      </c>
      <c r="H5031" t="s">
        <v>25</v>
      </c>
      <c r="I5031">
        <v>6</v>
      </c>
      <c r="J5031" t="s">
        <v>107</v>
      </c>
      <c r="K5031">
        <v>1</v>
      </c>
      <c r="L5031">
        <v>0</v>
      </c>
      <c r="M5031">
        <v>0</v>
      </c>
      <c r="N5031">
        <v>0</v>
      </c>
      <c r="O5031">
        <v>0</v>
      </c>
      <c r="P5031">
        <v>1</v>
      </c>
      <c r="Q5031" t="s">
        <v>26</v>
      </c>
      <c r="R5031">
        <v>1</v>
      </c>
    </row>
    <row r="5032" spans="1:18">
      <c r="A5032" s="4">
        <v>8862220000000</v>
      </c>
      <c r="B5032" t="s">
        <v>18</v>
      </c>
      <c r="C5032">
        <v>67</v>
      </c>
      <c r="D5032" t="s">
        <v>19</v>
      </c>
      <c r="E5032" t="s">
        <v>105</v>
      </c>
      <c r="F5032" s="1">
        <v>42509</v>
      </c>
      <c r="G5032" s="1">
        <v>42509</v>
      </c>
      <c r="H5032" t="s">
        <v>33</v>
      </c>
      <c r="I5032">
        <v>0</v>
      </c>
      <c r="J5032" t="s">
        <v>111</v>
      </c>
      <c r="K5032">
        <v>0</v>
      </c>
      <c r="L5032">
        <v>1</v>
      </c>
      <c r="M5032">
        <v>1</v>
      </c>
      <c r="N5032">
        <v>0</v>
      </c>
      <c r="O5032">
        <v>0</v>
      </c>
      <c r="P5032">
        <v>0</v>
      </c>
      <c r="Q5032" t="s">
        <v>23</v>
      </c>
      <c r="R5032">
        <v>0</v>
      </c>
    </row>
    <row r="5033" spans="1:18">
      <c r="A5033" s="4">
        <v>5531893983</v>
      </c>
      <c r="B5033" t="s">
        <v>28</v>
      </c>
      <c r="C5033">
        <v>53</v>
      </c>
      <c r="D5033" t="s">
        <v>35</v>
      </c>
      <c r="E5033" t="s">
        <v>57</v>
      </c>
      <c r="F5033" s="1">
        <v>42509</v>
      </c>
      <c r="G5033" s="1">
        <v>42523</v>
      </c>
      <c r="H5033" t="s">
        <v>33</v>
      </c>
      <c r="I5033">
        <v>14</v>
      </c>
      <c r="J5033" t="s">
        <v>92</v>
      </c>
      <c r="K5033">
        <v>0</v>
      </c>
      <c r="L5033">
        <v>1</v>
      </c>
      <c r="M5033">
        <v>0</v>
      </c>
      <c r="N5033">
        <v>0</v>
      </c>
      <c r="O5033">
        <v>0</v>
      </c>
      <c r="P5033">
        <v>1</v>
      </c>
      <c r="Q5033" t="s">
        <v>23</v>
      </c>
      <c r="R5033">
        <v>0</v>
      </c>
    </row>
    <row r="5034" spans="1:18">
      <c r="A5034" s="4">
        <v>991340000000000</v>
      </c>
      <c r="B5034" t="s">
        <v>18</v>
      </c>
      <c r="C5034">
        <v>40</v>
      </c>
      <c r="D5034" t="s">
        <v>27</v>
      </c>
      <c r="E5034" t="s">
        <v>57</v>
      </c>
      <c r="F5034" s="1">
        <v>42509</v>
      </c>
      <c r="G5034" s="1">
        <v>42509</v>
      </c>
      <c r="H5034" t="s">
        <v>33</v>
      </c>
      <c r="I5034">
        <v>0</v>
      </c>
      <c r="J5034" t="s">
        <v>111</v>
      </c>
      <c r="K5034">
        <v>1</v>
      </c>
      <c r="L5034">
        <v>0</v>
      </c>
      <c r="M5034">
        <v>0</v>
      </c>
      <c r="N5034">
        <v>0</v>
      </c>
      <c r="O5034">
        <v>0</v>
      </c>
      <c r="P5034">
        <v>0</v>
      </c>
      <c r="Q5034" t="s">
        <v>23</v>
      </c>
      <c r="R5034">
        <v>0</v>
      </c>
    </row>
    <row r="5035" spans="1:18">
      <c r="A5035" s="4">
        <v>79299700000000</v>
      </c>
      <c r="B5035" t="s">
        <v>18</v>
      </c>
      <c r="C5035">
        <v>26</v>
      </c>
      <c r="D5035" t="s">
        <v>37</v>
      </c>
      <c r="E5035" t="s">
        <v>108</v>
      </c>
      <c r="F5035" s="1">
        <v>42509</v>
      </c>
      <c r="G5035" s="1">
        <v>42514</v>
      </c>
      <c r="H5035" t="s">
        <v>41</v>
      </c>
      <c r="I5035">
        <v>5</v>
      </c>
      <c r="J5035" t="s">
        <v>107</v>
      </c>
      <c r="K5035">
        <v>1</v>
      </c>
      <c r="L5035">
        <v>0</v>
      </c>
      <c r="M5035">
        <v>0</v>
      </c>
      <c r="N5035">
        <v>0</v>
      </c>
      <c r="O5035">
        <v>0</v>
      </c>
      <c r="P5035">
        <v>1</v>
      </c>
      <c r="Q5035" t="s">
        <v>26</v>
      </c>
      <c r="R5035">
        <v>1</v>
      </c>
    </row>
    <row r="5036" spans="1:18">
      <c r="A5036" s="4">
        <v>421917000000000</v>
      </c>
      <c r="B5036" t="s">
        <v>18</v>
      </c>
      <c r="C5036">
        <v>37</v>
      </c>
      <c r="D5036" t="s">
        <v>27</v>
      </c>
      <c r="E5036" t="s">
        <v>66</v>
      </c>
      <c r="F5036" s="1">
        <v>42509</v>
      </c>
      <c r="G5036" s="1">
        <v>42523</v>
      </c>
      <c r="H5036" t="s">
        <v>33</v>
      </c>
      <c r="I5036">
        <v>14</v>
      </c>
      <c r="J5036" t="s">
        <v>92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1</v>
      </c>
      <c r="Q5036" t="s">
        <v>23</v>
      </c>
      <c r="R5036">
        <v>0</v>
      </c>
    </row>
    <row r="5037" spans="1:18">
      <c r="A5037" s="4">
        <v>462257000000000</v>
      </c>
      <c r="B5037" t="s">
        <v>18</v>
      </c>
      <c r="C5037">
        <v>56</v>
      </c>
      <c r="D5037" t="s">
        <v>35</v>
      </c>
      <c r="E5037" t="s">
        <v>32</v>
      </c>
      <c r="F5037" s="1">
        <v>42509</v>
      </c>
      <c r="G5037" s="1">
        <v>42514</v>
      </c>
      <c r="H5037" t="s">
        <v>41</v>
      </c>
      <c r="I5037">
        <v>5</v>
      </c>
      <c r="J5037" t="s">
        <v>107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1</v>
      </c>
      <c r="Q5037" t="s">
        <v>23</v>
      </c>
      <c r="R5037">
        <v>0</v>
      </c>
    </row>
    <row r="5038" spans="1:18">
      <c r="A5038" s="4">
        <v>51734300000000</v>
      </c>
      <c r="B5038" t="s">
        <v>18</v>
      </c>
      <c r="C5038">
        <v>23</v>
      </c>
      <c r="D5038" t="s">
        <v>37</v>
      </c>
      <c r="E5038" t="s">
        <v>32</v>
      </c>
      <c r="F5038" s="1">
        <v>42509</v>
      </c>
      <c r="G5038" s="1">
        <v>42514</v>
      </c>
      <c r="H5038" t="s">
        <v>41</v>
      </c>
      <c r="I5038">
        <v>5</v>
      </c>
      <c r="J5038" t="s">
        <v>107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1</v>
      </c>
      <c r="Q5038" t="s">
        <v>23</v>
      </c>
      <c r="R5038">
        <v>0</v>
      </c>
    </row>
    <row r="5039" spans="1:18">
      <c r="A5039" s="4">
        <v>411164000000000</v>
      </c>
      <c r="B5039" t="s">
        <v>18</v>
      </c>
      <c r="C5039">
        <v>11</v>
      </c>
      <c r="D5039" t="s">
        <v>31</v>
      </c>
      <c r="E5039" t="s">
        <v>67</v>
      </c>
      <c r="F5039" s="1">
        <v>42509</v>
      </c>
      <c r="G5039" s="1">
        <v>42515</v>
      </c>
      <c r="H5039" t="s">
        <v>25</v>
      </c>
      <c r="I5039">
        <v>6</v>
      </c>
      <c r="J5039" t="s">
        <v>107</v>
      </c>
      <c r="K5039">
        <v>1</v>
      </c>
      <c r="L5039">
        <v>0</v>
      </c>
      <c r="M5039">
        <v>0</v>
      </c>
      <c r="N5039">
        <v>0</v>
      </c>
      <c r="O5039">
        <v>0</v>
      </c>
      <c r="P5039">
        <v>1</v>
      </c>
      <c r="Q5039" t="s">
        <v>23</v>
      </c>
      <c r="R5039">
        <v>0</v>
      </c>
    </row>
    <row r="5040" spans="1:18">
      <c r="A5040" s="4">
        <v>89614500000000</v>
      </c>
      <c r="B5040" t="s">
        <v>18</v>
      </c>
      <c r="C5040">
        <v>82</v>
      </c>
      <c r="D5040" t="s">
        <v>19</v>
      </c>
      <c r="E5040" t="s">
        <v>58</v>
      </c>
      <c r="F5040" s="1">
        <v>42509</v>
      </c>
      <c r="G5040" s="1">
        <v>42515</v>
      </c>
      <c r="H5040" t="s">
        <v>25</v>
      </c>
      <c r="I5040">
        <v>6</v>
      </c>
      <c r="J5040" t="s">
        <v>107</v>
      </c>
      <c r="K5040">
        <v>0</v>
      </c>
      <c r="L5040">
        <v>1</v>
      </c>
      <c r="M5040">
        <v>0</v>
      </c>
      <c r="N5040">
        <v>0</v>
      </c>
      <c r="O5040">
        <v>0</v>
      </c>
      <c r="P5040">
        <v>1</v>
      </c>
      <c r="Q5040" t="s">
        <v>23</v>
      </c>
      <c r="R5040">
        <v>0</v>
      </c>
    </row>
    <row r="5041" spans="1:18">
      <c r="A5041" s="4">
        <v>159271000000000</v>
      </c>
      <c r="B5041" t="s">
        <v>18</v>
      </c>
      <c r="C5041">
        <v>74</v>
      </c>
      <c r="D5041" t="s">
        <v>19</v>
      </c>
      <c r="E5041" t="s">
        <v>91</v>
      </c>
      <c r="F5041" s="1">
        <v>42509</v>
      </c>
      <c r="G5041" s="1">
        <v>42509</v>
      </c>
      <c r="H5041" t="s">
        <v>33</v>
      </c>
      <c r="I5041">
        <v>0</v>
      </c>
      <c r="J5041" t="s">
        <v>111</v>
      </c>
      <c r="K5041">
        <v>0</v>
      </c>
      <c r="L5041">
        <v>1</v>
      </c>
      <c r="M5041">
        <v>0</v>
      </c>
      <c r="N5041">
        <v>0</v>
      </c>
      <c r="O5041">
        <v>0</v>
      </c>
      <c r="P5041">
        <v>0</v>
      </c>
      <c r="Q5041" t="s">
        <v>23</v>
      </c>
      <c r="R5041">
        <v>0</v>
      </c>
    </row>
    <row r="5042" spans="1:18">
      <c r="A5042" s="4">
        <v>1851670000000</v>
      </c>
      <c r="B5042" t="s">
        <v>18</v>
      </c>
      <c r="C5042">
        <v>35</v>
      </c>
      <c r="D5042" t="s">
        <v>37</v>
      </c>
      <c r="E5042" t="s">
        <v>91</v>
      </c>
      <c r="F5042" s="1">
        <v>42509</v>
      </c>
      <c r="G5042" s="1">
        <v>42523</v>
      </c>
      <c r="H5042" t="s">
        <v>33</v>
      </c>
      <c r="I5042">
        <v>14</v>
      </c>
      <c r="J5042" t="s">
        <v>92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1</v>
      </c>
      <c r="Q5042" t="s">
        <v>26</v>
      </c>
      <c r="R5042">
        <v>1</v>
      </c>
    </row>
    <row r="5043" spans="1:18">
      <c r="A5043" s="4">
        <v>7835940000000</v>
      </c>
      <c r="B5043" t="s">
        <v>28</v>
      </c>
      <c r="C5043">
        <v>31</v>
      </c>
      <c r="D5043" t="s">
        <v>37</v>
      </c>
      <c r="E5043" t="s">
        <v>66</v>
      </c>
      <c r="F5043" s="1">
        <v>42509</v>
      </c>
      <c r="G5043" s="1">
        <v>42515</v>
      </c>
      <c r="H5043" t="s">
        <v>25</v>
      </c>
      <c r="I5043">
        <v>6</v>
      </c>
      <c r="J5043" t="s">
        <v>107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1</v>
      </c>
      <c r="Q5043" t="s">
        <v>26</v>
      </c>
      <c r="R5043">
        <v>1</v>
      </c>
    </row>
    <row r="5044" spans="1:18">
      <c r="A5044" s="4">
        <v>93648138958</v>
      </c>
      <c r="B5044" t="s">
        <v>18</v>
      </c>
      <c r="C5044">
        <v>57</v>
      </c>
      <c r="D5044" t="s">
        <v>35</v>
      </c>
      <c r="E5044" t="s">
        <v>34</v>
      </c>
      <c r="F5044" s="1">
        <v>42509</v>
      </c>
      <c r="G5044" s="1">
        <v>42515</v>
      </c>
      <c r="H5044" t="s">
        <v>25</v>
      </c>
      <c r="I5044">
        <v>6</v>
      </c>
      <c r="J5044" t="s">
        <v>107</v>
      </c>
      <c r="K5044">
        <v>1</v>
      </c>
      <c r="L5044">
        <v>0</v>
      </c>
      <c r="M5044">
        <v>0</v>
      </c>
      <c r="N5044">
        <v>0</v>
      </c>
      <c r="O5044">
        <v>0</v>
      </c>
      <c r="P5044">
        <v>1</v>
      </c>
      <c r="Q5044" t="s">
        <v>23</v>
      </c>
      <c r="R5044">
        <v>0</v>
      </c>
    </row>
    <row r="5045" spans="1:18">
      <c r="A5045" s="4">
        <v>845656000000000</v>
      </c>
      <c r="B5045" t="s">
        <v>18</v>
      </c>
      <c r="C5045">
        <v>4</v>
      </c>
      <c r="D5045" t="s">
        <v>31</v>
      </c>
      <c r="E5045" t="s">
        <v>54</v>
      </c>
      <c r="F5045" s="1">
        <v>42509</v>
      </c>
      <c r="G5045" s="1">
        <v>42509</v>
      </c>
      <c r="H5045" t="s">
        <v>33</v>
      </c>
      <c r="I5045">
        <v>0</v>
      </c>
      <c r="J5045" t="s">
        <v>111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 t="s">
        <v>23</v>
      </c>
      <c r="R5045">
        <v>0</v>
      </c>
    </row>
    <row r="5046" spans="1:18">
      <c r="A5046" s="4">
        <v>3864460000000</v>
      </c>
      <c r="B5046" t="s">
        <v>18</v>
      </c>
      <c r="C5046">
        <v>58</v>
      </c>
      <c r="D5046" t="s">
        <v>35</v>
      </c>
      <c r="E5046" t="s">
        <v>57</v>
      </c>
      <c r="F5046" s="1">
        <v>42509</v>
      </c>
      <c r="G5046" s="1">
        <v>42522</v>
      </c>
      <c r="H5046" t="s">
        <v>25</v>
      </c>
      <c r="I5046">
        <v>13</v>
      </c>
      <c r="J5046" t="s">
        <v>92</v>
      </c>
      <c r="K5046">
        <v>0</v>
      </c>
      <c r="L5046">
        <v>1</v>
      </c>
      <c r="M5046">
        <v>0</v>
      </c>
      <c r="N5046">
        <v>0</v>
      </c>
      <c r="O5046">
        <v>0</v>
      </c>
      <c r="P5046">
        <v>1</v>
      </c>
      <c r="Q5046" t="s">
        <v>23</v>
      </c>
      <c r="R5046">
        <v>0</v>
      </c>
    </row>
    <row r="5047" spans="1:18">
      <c r="A5047" s="4">
        <v>81511700000000</v>
      </c>
      <c r="B5047" t="s">
        <v>18</v>
      </c>
      <c r="C5047">
        <v>44</v>
      </c>
      <c r="D5047" t="s">
        <v>27</v>
      </c>
      <c r="E5047" t="s">
        <v>82</v>
      </c>
      <c r="F5047" s="1">
        <v>42509</v>
      </c>
      <c r="G5047" s="1">
        <v>42509</v>
      </c>
      <c r="H5047" t="s">
        <v>33</v>
      </c>
      <c r="I5047">
        <v>0</v>
      </c>
      <c r="J5047" t="s">
        <v>111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23</v>
      </c>
      <c r="R5047">
        <v>0</v>
      </c>
    </row>
    <row r="5048" spans="1:18">
      <c r="A5048" s="4">
        <v>48565700000000</v>
      </c>
      <c r="B5048" t="s">
        <v>18</v>
      </c>
      <c r="C5048">
        <v>56</v>
      </c>
      <c r="D5048" t="s">
        <v>35</v>
      </c>
      <c r="E5048" t="s">
        <v>79</v>
      </c>
      <c r="F5048" s="1">
        <v>42509</v>
      </c>
      <c r="G5048" s="1">
        <v>42514</v>
      </c>
      <c r="H5048" t="s">
        <v>41</v>
      </c>
      <c r="I5048">
        <v>5</v>
      </c>
      <c r="J5048" t="s">
        <v>107</v>
      </c>
      <c r="K5048">
        <v>0</v>
      </c>
      <c r="L5048">
        <v>1</v>
      </c>
      <c r="M5048">
        <v>1</v>
      </c>
      <c r="N5048">
        <v>1</v>
      </c>
      <c r="O5048">
        <v>0</v>
      </c>
      <c r="P5048">
        <v>1</v>
      </c>
      <c r="Q5048" t="s">
        <v>26</v>
      </c>
      <c r="R5048">
        <v>1</v>
      </c>
    </row>
    <row r="5049" spans="1:18">
      <c r="A5049" s="4">
        <v>79587200000000</v>
      </c>
      <c r="B5049" t="s">
        <v>18</v>
      </c>
      <c r="C5049">
        <v>10</v>
      </c>
      <c r="D5049" t="s">
        <v>31</v>
      </c>
      <c r="E5049" t="s">
        <v>67</v>
      </c>
      <c r="F5049" s="1">
        <v>42509</v>
      </c>
      <c r="G5049" s="1">
        <v>42509</v>
      </c>
      <c r="H5049" t="s">
        <v>33</v>
      </c>
      <c r="I5049">
        <v>0</v>
      </c>
      <c r="J5049" t="s">
        <v>111</v>
      </c>
      <c r="K5049">
        <v>1</v>
      </c>
      <c r="L5049">
        <v>0</v>
      </c>
      <c r="M5049">
        <v>0</v>
      </c>
      <c r="N5049">
        <v>0</v>
      </c>
      <c r="O5049">
        <v>0</v>
      </c>
      <c r="P5049">
        <v>0</v>
      </c>
      <c r="Q5049" t="s">
        <v>23</v>
      </c>
      <c r="R5049">
        <v>0</v>
      </c>
    </row>
    <row r="5050" spans="1:18">
      <c r="A5050" s="4">
        <v>29693700000000</v>
      </c>
      <c r="B5050" t="s">
        <v>18</v>
      </c>
      <c r="C5050">
        <v>54</v>
      </c>
      <c r="D5050" t="s">
        <v>35</v>
      </c>
      <c r="E5050" t="s">
        <v>78</v>
      </c>
      <c r="F5050" s="1">
        <v>42509</v>
      </c>
      <c r="G5050" s="1">
        <v>42515</v>
      </c>
      <c r="H5050" t="s">
        <v>25</v>
      </c>
      <c r="I5050">
        <v>6</v>
      </c>
      <c r="J5050" t="s">
        <v>107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1</v>
      </c>
      <c r="Q5050" t="s">
        <v>26</v>
      </c>
      <c r="R5050">
        <v>1</v>
      </c>
    </row>
    <row r="5051" spans="1:18">
      <c r="A5051" s="4">
        <v>69389000000000</v>
      </c>
      <c r="B5051" t="s">
        <v>18</v>
      </c>
      <c r="C5051">
        <v>32</v>
      </c>
      <c r="D5051" t="s">
        <v>37</v>
      </c>
      <c r="E5051" t="s">
        <v>74</v>
      </c>
      <c r="F5051" s="1">
        <v>42509</v>
      </c>
      <c r="G5051" s="1">
        <v>42509</v>
      </c>
      <c r="H5051" t="s">
        <v>33</v>
      </c>
      <c r="I5051">
        <v>0</v>
      </c>
      <c r="J5051" t="s">
        <v>111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 t="s">
        <v>23</v>
      </c>
      <c r="R5051">
        <v>0</v>
      </c>
    </row>
    <row r="5052" spans="1:18">
      <c r="A5052" s="4">
        <v>1484140000000</v>
      </c>
      <c r="B5052" t="s">
        <v>18</v>
      </c>
      <c r="C5052">
        <v>56</v>
      </c>
      <c r="D5052" t="s">
        <v>35</v>
      </c>
      <c r="E5052" t="s">
        <v>78</v>
      </c>
      <c r="F5052" s="1">
        <v>42509</v>
      </c>
      <c r="G5052" s="1">
        <v>42509</v>
      </c>
      <c r="H5052" t="s">
        <v>33</v>
      </c>
      <c r="I5052">
        <v>0</v>
      </c>
      <c r="J5052" t="s">
        <v>111</v>
      </c>
      <c r="K5052">
        <v>0</v>
      </c>
      <c r="L5052">
        <v>1</v>
      </c>
      <c r="M5052">
        <v>0</v>
      </c>
      <c r="N5052">
        <v>0</v>
      </c>
      <c r="O5052">
        <v>0</v>
      </c>
      <c r="P5052">
        <v>0</v>
      </c>
      <c r="Q5052" t="s">
        <v>23</v>
      </c>
      <c r="R5052">
        <v>0</v>
      </c>
    </row>
    <row r="5053" spans="1:18">
      <c r="A5053" s="4">
        <v>8722350000000</v>
      </c>
      <c r="B5053" t="s">
        <v>28</v>
      </c>
      <c r="C5053">
        <v>49</v>
      </c>
      <c r="D5053" t="s">
        <v>27</v>
      </c>
      <c r="E5053" t="s">
        <v>45</v>
      </c>
      <c r="F5053" s="1">
        <v>42509</v>
      </c>
      <c r="G5053" s="1">
        <v>42509</v>
      </c>
      <c r="H5053" t="s">
        <v>33</v>
      </c>
      <c r="I5053">
        <v>0</v>
      </c>
      <c r="J5053" t="s">
        <v>111</v>
      </c>
      <c r="K5053">
        <v>0</v>
      </c>
      <c r="L5053">
        <v>1</v>
      </c>
      <c r="M5053">
        <v>0</v>
      </c>
      <c r="N5053">
        <v>0</v>
      </c>
      <c r="O5053">
        <v>0</v>
      </c>
      <c r="P5053">
        <v>0</v>
      </c>
      <c r="Q5053" t="s">
        <v>23</v>
      </c>
      <c r="R5053">
        <v>0</v>
      </c>
    </row>
    <row r="5054" spans="1:18">
      <c r="A5054" s="4">
        <v>91894600000000</v>
      </c>
      <c r="B5054" t="s">
        <v>18</v>
      </c>
      <c r="C5054">
        <v>45</v>
      </c>
      <c r="D5054" t="s">
        <v>27</v>
      </c>
      <c r="E5054" t="s">
        <v>57</v>
      </c>
      <c r="F5054" s="1">
        <v>42509</v>
      </c>
      <c r="G5054" s="1">
        <v>42509</v>
      </c>
      <c r="H5054" t="s">
        <v>33</v>
      </c>
      <c r="I5054">
        <v>0</v>
      </c>
      <c r="J5054" t="s">
        <v>111</v>
      </c>
      <c r="K5054">
        <v>1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23</v>
      </c>
      <c r="R5054">
        <v>0</v>
      </c>
    </row>
    <row r="5055" spans="1:18">
      <c r="A5055" s="4">
        <v>621999000000000</v>
      </c>
      <c r="B5055" t="s">
        <v>18</v>
      </c>
      <c r="C5055">
        <v>47</v>
      </c>
      <c r="D5055" t="s">
        <v>27</v>
      </c>
      <c r="E5055" t="s">
        <v>51</v>
      </c>
      <c r="F5055" s="1">
        <v>42509</v>
      </c>
      <c r="G5055" s="1">
        <v>42509</v>
      </c>
      <c r="H5055" t="s">
        <v>33</v>
      </c>
      <c r="I5055">
        <v>0</v>
      </c>
      <c r="J5055" t="s">
        <v>111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23</v>
      </c>
      <c r="R5055">
        <v>0</v>
      </c>
    </row>
    <row r="5056" spans="1:18">
      <c r="A5056" s="4">
        <v>7846140000000</v>
      </c>
      <c r="B5056" t="s">
        <v>28</v>
      </c>
      <c r="C5056">
        <v>21</v>
      </c>
      <c r="D5056" t="s">
        <v>37</v>
      </c>
      <c r="E5056" t="s">
        <v>48</v>
      </c>
      <c r="F5056" s="1">
        <v>42509</v>
      </c>
      <c r="G5056" s="1">
        <v>42510</v>
      </c>
      <c r="H5056" t="s">
        <v>21</v>
      </c>
      <c r="I5056">
        <v>1</v>
      </c>
      <c r="J5056" t="s">
        <v>109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 t="s">
        <v>23</v>
      </c>
      <c r="R5056">
        <v>0</v>
      </c>
    </row>
    <row r="5057" spans="1:18">
      <c r="A5057" s="4">
        <v>42211900000000</v>
      </c>
      <c r="B5057" t="s">
        <v>18</v>
      </c>
      <c r="C5057">
        <v>20</v>
      </c>
      <c r="D5057" t="s">
        <v>37</v>
      </c>
      <c r="E5057" t="s">
        <v>57</v>
      </c>
      <c r="F5057" s="1">
        <v>42509</v>
      </c>
      <c r="G5057" s="1">
        <v>42509</v>
      </c>
      <c r="H5057" t="s">
        <v>33</v>
      </c>
      <c r="I5057">
        <v>0</v>
      </c>
      <c r="J5057" t="s">
        <v>111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 t="s">
        <v>23</v>
      </c>
      <c r="R5057">
        <v>0</v>
      </c>
    </row>
    <row r="5058" spans="1:18">
      <c r="A5058" s="4">
        <v>11919882439</v>
      </c>
      <c r="B5058" t="s">
        <v>18</v>
      </c>
      <c r="C5058">
        <v>0</v>
      </c>
      <c r="D5058" t="s">
        <v>31</v>
      </c>
      <c r="E5058" t="s">
        <v>34</v>
      </c>
      <c r="F5058" s="1">
        <v>42509</v>
      </c>
      <c r="G5058" s="1">
        <v>42528</v>
      </c>
      <c r="H5058" t="s">
        <v>41</v>
      </c>
      <c r="I5058">
        <v>19</v>
      </c>
      <c r="J5058" t="s">
        <v>77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23</v>
      </c>
      <c r="R5058">
        <v>0</v>
      </c>
    </row>
    <row r="5059" spans="1:18">
      <c r="A5059" s="4">
        <v>81587600000000</v>
      </c>
      <c r="B5059" t="s">
        <v>28</v>
      </c>
      <c r="C5059">
        <v>35</v>
      </c>
      <c r="D5059" t="s">
        <v>37</v>
      </c>
      <c r="E5059" t="s">
        <v>24</v>
      </c>
      <c r="F5059" s="1">
        <v>42509</v>
      </c>
      <c r="G5059" s="1">
        <v>42509</v>
      </c>
      <c r="H5059" t="s">
        <v>33</v>
      </c>
      <c r="I5059">
        <v>0</v>
      </c>
      <c r="J5059" t="s">
        <v>111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23</v>
      </c>
      <c r="R5059">
        <v>0</v>
      </c>
    </row>
    <row r="5060" spans="1:18">
      <c r="A5060" s="4">
        <v>975563000000</v>
      </c>
      <c r="B5060" t="s">
        <v>18</v>
      </c>
      <c r="C5060">
        <v>20</v>
      </c>
      <c r="D5060" t="s">
        <v>37</v>
      </c>
      <c r="E5060" t="s">
        <v>96</v>
      </c>
      <c r="F5060" s="1">
        <v>42509</v>
      </c>
      <c r="G5060" s="1">
        <v>42509</v>
      </c>
      <c r="H5060" t="s">
        <v>33</v>
      </c>
      <c r="I5060">
        <v>0</v>
      </c>
      <c r="J5060" t="s">
        <v>111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23</v>
      </c>
      <c r="R5060">
        <v>0</v>
      </c>
    </row>
    <row r="5061" spans="1:18">
      <c r="A5061" s="4">
        <v>485179000000000</v>
      </c>
      <c r="B5061" t="s">
        <v>18</v>
      </c>
      <c r="C5061">
        <v>6</v>
      </c>
      <c r="D5061" t="s">
        <v>31</v>
      </c>
      <c r="E5061" t="s">
        <v>106</v>
      </c>
      <c r="F5061" s="1">
        <v>42509</v>
      </c>
      <c r="G5061" s="1">
        <v>42523</v>
      </c>
      <c r="H5061" t="s">
        <v>33</v>
      </c>
      <c r="I5061">
        <v>14</v>
      </c>
      <c r="J5061" t="s">
        <v>92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1</v>
      </c>
      <c r="Q5061" t="s">
        <v>23</v>
      </c>
      <c r="R5061">
        <v>0</v>
      </c>
    </row>
    <row r="5062" spans="1:18">
      <c r="A5062" s="4">
        <v>119834000000000</v>
      </c>
      <c r="B5062" t="s">
        <v>28</v>
      </c>
      <c r="C5062">
        <v>26</v>
      </c>
      <c r="D5062" t="s">
        <v>37</v>
      </c>
      <c r="E5062" t="s">
        <v>80</v>
      </c>
      <c r="F5062" s="1">
        <v>42509</v>
      </c>
      <c r="G5062" s="1">
        <v>42509</v>
      </c>
      <c r="H5062" t="s">
        <v>33</v>
      </c>
      <c r="I5062">
        <v>0</v>
      </c>
      <c r="J5062" t="s">
        <v>111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23</v>
      </c>
      <c r="R5062">
        <v>0</v>
      </c>
    </row>
    <row r="5063" spans="1:18">
      <c r="A5063" s="4">
        <v>822869000000000</v>
      </c>
      <c r="B5063" t="s">
        <v>18</v>
      </c>
      <c r="C5063">
        <v>17</v>
      </c>
      <c r="D5063" t="s">
        <v>60</v>
      </c>
      <c r="E5063" t="s">
        <v>51</v>
      </c>
      <c r="F5063" s="1">
        <v>42509</v>
      </c>
      <c r="G5063" s="1">
        <v>42509</v>
      </c>
      <c r="H5063" t="s">
        <v>33</v>
      </c>
      <c r="I5063">
        <v>0</v>
      </c>
      <c r="J5063" t="s">
        <v>111</v>
      </c>
      <c r="K5063">
        <v>1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23</v>
      </c>
      <c r="R5063">
        <v>0</v>
      </c>
    </row>
    <row r="5064" spans="1:18">
      <c r="A5064" s="4">
        <v>8431380000000</v>
      </c>
      <c r="B5064" t="s">
        <v>18</v>
      </c>
      <c r="C5064">
        <v>53</v>
      </c>
      <c r="D5064" t="s">
        <v>35</v>
      </c>
      <c r="E5064" t="s">
        <v>58</v>
      </c>
      <c r="F5064" s="1">
        <v>42509</v>
      </c>
      <c r="G5064" s="1">
        <v>42514</v>
      </c>
      <c r="H5064" t="s">
        <v>41</v>
      </c>
      <c r="I5064">
        <v>5</v>
      </c>
      <c r="J5064" t="s">
        <v>107</v>
      </c>
      <c r="K5064">
        <v>0</v>
      </c>
      <c r="L5064">
        <v>1</v>
      </c>
      <c r="M5064">
        <v>0</v>
      </c>
      <c r="N5064">
        <v>0</v>
      </c>
      <c r="O5064">
        <v>0</v>
      </c>
      <c r="P5064">
        <v>1</v>
      </c>
      <c r="Q5064" t="s">
        <v>23</v>
      </c>
      <c r="R5064">
        <v>0</v>
      </c>
    </row>
    <row r="5065" spans="1:18">
      <c r="A5065" s="4">
        <v>6423380000000</v>
      </c>
      <c r="B5065" t="s">
        <v>18</v>
      </c>
      <c r="C5065">
        <v>7</v>
      </c>
      <c r="D5065" t="s">
        <v>31</v>
      </c>
      <c r="E5065" t="s">
        <v>79</v>
      </c>
      <c r="F5065" s="1">
        <v>42509</v>
      </c>
      <c r="G5065" s="1">
        <v>42509</v>
      </c>
      <c r="H5065" t="s">
        <v>33</v>
      </c>
      <c r="I5065">
        <v>0</v>
      </c>
      <c r="J5065" t="s">
        <v>111</v>
      </c>
      <c r="K5065">
        <v>1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26</v>
      </c>
      <c r="R5065">
        <v>1</v>
      </c>
    </row>
    <row r="5066" spans="1:18">
      <c r="A5066" s="4">
        <v>573533000000000</v>
      </c>
      <c r="B5066" t="s">
        <v>28</v>
      </c>
      <c r="C5066">
        <v>70</v>
      </c>
      <c r="D5066" t="s">
        <v>19</v>
      </c>
      <c r="E5066" t="s">
        <v>29</v>
      </c>
      <c r="F5066" s="1">
        <v>42509</v>
      </c>
      <c r="G5066" s="1">
        <v>42520</v>
      </c>
      <c r="H5066" t="s">
        <v>30</v>
      </c>
      <c r="I5066">
        <v>11</v>
      </c>
      <c r="J5066" t="s">
        <v>92</v>
      </c>
      <c r="K5066">
        <v>0</v>
      </c>
      <c r="L5066">
        <v>1</v>
      </c>
      <c r="M5066">
        <v>0</v>
      </c>
      <c r="N5066">
        <v>0</v>
      </c>
      <c r="O5066">
        <v>0</v>
      </c>
      <c r="P5066">
        <v>0</v>
      </c>
      <c r="Q5066" t="s">
        <v>23</v>
      </c>
      <c r="R5066">
        <v>0</v>
      </c>
    </row>
    <row r="5067" spans="1:18">
      <c r="A5067" s="4">
        <v>76558500000000</v>
      </c>
      <c r="B5067" t="s">
        <v>18</v>
      </c>
      <c r="C5067">
        <v>12</v>
      </c>
      <c r="D5067" t="s">
        <v>31</v>
      </c>
      <c r="E5067" t="s">
        <v>71</v>
      </c>
      <c r="F5067" s="1">
        <v>42509</v>
      </c>
      <c r="G5067" s="1">
        <v>42509</v>
      </c>
      <c r="H5067" t="s">
        <v>33</v>
      </c>
      <c r="I5067">
        <v>0</v>
      </c>
      <c r="J5067" t="s">
        <v>111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23</v>
      </c>
      <c r="R5067">
        <v>0</v>
      </c>
    </row>
    <row r="5068" spans="1:18">
      <c r="A5068" s="4">
        <v>2775630000000</v>
      </c>
      <c r="B5068" t="s">
        <v>18</v>
      </c>
      <c r="C5068">
        <v>80</v>
      </c>
      <c r="D5068" t="s">
        <v>19</v>
      </c>
      <c r="E5068" t="s">
        <v>91</v>
      </c>
      <c r="F5068" s="1">
        <v>42509</v>
      </c>
      <c r="G5068" s="1">
        <v>42510</v>
      </c>
      <c r="H5068" t="s">
        <v>21</v>
      </c>
      <c r="I5068">
        <v>1</v>
      </c>
      <c r="J5068" t="s">
        <v>109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23</v>
      </c>
      <c r="R5068">
        <v>0</v>
      </c>
    </row>
    <row r="5069" spans="1:18">
      <c r="A5069" s="4">
        <v>685126000000000</v>
      </c>
      <c r="B5069" t="s">
        <v>18</v>
      </c>
      <c r="C5069">
        <v>56</v>
      </c>
      <c r="D5069" t="s">
        <v>35</v>
      </c>
      <c r="E5069" t="s">
        <v>47</v>
      </c>
      <c r="F5069" s="1">
        <v>42509</v>
      </c>
      <c r="G5069" s="1">
        <v>42523</v>
      </c>
      <c r="H5069" t="s">
        <v>33</v>
      </c>
      <c r="I5069">
        <v>14</v>
      </c>
      <c r="J5069" t="s">
        <v>92</v>
      </c>
      <c r="K5069">
        <v>0</v>
      </c>
      <c r="L5069">
        <v>1</v>
      </c>
      <c r="M5069">
        <v>1</v>
      </c>
      <c r="N5069">
        <v>0</v>
      </c>
      <c r="O5069">
        <v>0</v>
      </c>
      <c r="P5069">
        <v>1</v>
      </c>
      <c r="Q5069" t="s">
        <v>23</v>
      </c>
      <c r="R5069">
        <v>0</v>
      </c>
    </row>
    <row r="5070" spans="1:18">
      <c r="A5070" s="4">
        <v>9247170000000</v>
      </c>
      <c r="B5070" t="s">
        <v>18</v>
      </c>
      <c r="C5070">
        <v>32</v>
      </c>
      <c r="D5070" t="s">
        <v>37</v>
      </c>
      <c r="E5070" t="s">
        <v>57</v>
      </c>
      <c r="F5070" s="1">
        <v>42509</v>
      </c>
      <c r="G5070" s="1">
        <v>42509</v>
      </c>
      <c r="H5070" t="s">
        <v>33</v>
      </c>
      <c r="I5070">
        <v>0</v>
      </c>
      <c r="J5070" t="s">
        <v>111</v>
      </c>
      <c r="K5070">
        <v>1</v>
      </c>
      <c r="L5070">
        <v>0</v>
      </c>
      <c r="M5070">
        <v>0</v>
      </c>
      <c r="N5070">
        <v>1</v>
      </c>
      <c r="O5070">
        <v>0</v>
      </c>
      <c r="P5070">
        <v>0</v>
      </c>
      <c r="Q5070" t="s">
        <v>23</v>
      </c>
      <c r="R5070">
        <v>0</v>
      </c>
    </row>
    <row r="5071" spans="1:18">
      <c r="A5071" s="4">
        <v>152599000000000</v>
      </c>
      <c r="B5071" t="s">
        <v>18</v>
      </c>
      <c r="C5071">
        <v>33</v>
      </c>
      <c r="D5071" t="s">
        <v>37</v>
      </c>
      <c r="E5071" t="s">
        <v>69</v>
      </c>
      <c r="F5071" s="1">
        <v>42509</v>
      </c>
      <c r="G5071" s="1">
        <v>42514</v>
      </c>
      <c r="H5071" t="s">
        <v>41</v>
      </c>
      <c r="I5071">
        <v>5</v>
      </c>
      <c r="J5071" t="s">
        <v>107</v>
      </c>
      <c r="K5071">
        <v>1</v>
      </c>
      <c r="L5071">
        <v>0</v>
      </c>
      <c r="M5071">
        <v>0</v>
      </c>
      <c r="N5071">
        <v>0</v>
      </c>
      <c r="O5071">
        <v>0</v>
      </c>
      <c r="P5071">
        <v>1</v>
      </c>
      <c r="Q5071" t="s">
        <v>23</v>
      </c>
      <c r="R5071">
        <v>0</v>
      </c>
    </row>
    <row r="5072" spans="1:18">
      <c r="A5072" s="4">
        <v>72364400000000</v>
      </c>
      <c r="B5072" t="s">
        <v>18</v>
      </c>
      <c r="C5072">
        <v>73</v>
      </c>
      <c r="D5072" t="s">
        <v>19</v>
      </c>
      <c r="E5072" t="s">
        <v>91</v>
      </c>
      <c r="F5072" s="1">
        <v>42509</v>
      </c>
      <c r="G5072" s="1">
        <v>42509</v>
      </c>
      <c r="H5072" t="s">
        <v>33</v>
      </c>
      <c r="I5072">
        <v>0</v>
      </c>
      <c r="J5072" t="s">
        <v>111</v>
      </c>
      <c r="K5072">
        <v>0</v>
      </c>
      <c r="L5072">
        <v>1</v>
      </c>
      <c r="M5072">
        <v>1</v>
      </c>
      <c r="N5072">
        <v>0</v>
      </c>
      <c r="O5072">
        <v>0</v>
      </c>
      <c r="P5072">
        <v>0</v>
      </c>
      <c r="Q5072" t="s">
        <v>26</v>
      </c>
      <c r="R5072">
        <v>1</v>
      </c>
    </row>
    <row r="5073" spans="1:18">
      <c r="A5073" s="4">
        <v>9398870000000</v>
      </c>
      <c r="B5073" t="s">
        <v>28</v>
      </c>
      <c r="C5073">
        <v>71</v>
      </c>
      <c r="D5073" t="s">
        <v>19</v>
      </c>
      <c r="E5073" t="s">
        <v>95</v>
      </c>
      <c r="F5073" s="1">
        <v>42509</v>
      </c>
      <c r="G5073" s="1">
        <v>42509</v>
      </c>
      <c r="H5073" t="s">
        <v>33</v>
      </c>
      <c r="I5073">
        <v>0</v>
      </c>
      <c r="J5073" t="s">
        <v>111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 t="s">
        <v>26</v>
      </c>
      <c r="R5073">
        <v>1</v>
      </c>
    </row>
    <row r="5074" spans="1:18">
      <c r="A5074" s="4">
        <v>33964600000000</v>
      </c>
      <c r="B5074" t="s">
        <v>18</v>
      </c>
      <c r="C5074">
        <v>81</v>
      </c>
      <c r="D5074" t="s">
        <v>19</v>
      </c>
      <c r="E5074" t="s">
        <v>52</v>
      </c>
      <c r="F5074" s="1">
        <v>42509</v>
      </c>
      <c r="G5074" s="1">
        <v>42514</v>
      </c>
      <c r="H5074" t="s">
        <v>41</v>
      </c>
      <c r="I5074">
        <v>5</v>
      </c>
      <c r="J5074" t="s">
        <v>107</v>
      </c>
      <c r="K5074">
        <v>0</v>
      </c>
      <c r="L5074">
        <v>1</v>
      </c>
      <c r="M5074">
        <v>1</v>
      </c>
      <c r="N5074">
        <v>0</v>
      </c>
      <c r="O5074">
        <v>0</v>
      </c>
      <c r="P5074">
        <v>1</v>
      </c>
      <c r="Q5074" t="s">
        <v>26</v>
      </c>
      <c r="R5074">
        <v>1</v>
      </c>
    </row>
    <row r="5075" spans="1:18">
      <c r="A5075" s="4">
        <v>93585900000000</v>
      </c>
      <c r="B5075" t="s">
        <v>18</v>
      </c>
      <c r="C5075">
        <v>58</v>
      </c>
      <c r="D5075" t="s">
        <v>35</v>
      </c>
      <c r="E5075" t="s">
        <v>45</v>
      </c>
      <c r="F5075" s="1">
        <v>42509</v>
      </c>
      <c r="G5075" s="1">
        <v>42514</v>
      </c>
      <c r="H5075" t="s">
        <v>41</v>
      </c>
      <c r="I5075">
        <v>5</v>
      </c>
      <c r="J5075" t="s">
        <v>107</v>
      </c>
      <c r="K5075">
        <v>0</v>
      </c>
      <c r="L5075">
        <v>1</v>
      </c>
      <c r="M5075">
        <v>0</v>
      </c>
      <c r="N5075">
        <v>0</v>
      </c>
      <c r="O5075">
        <v>0</v>
      </c>
      <c r="P5075">
        <v>1</v>
      </c>
      <c r="Q5075" t="s">
        <v>23</v>
      </c>
      <c r="R5075">
        <v>0</v>
      </c>
    </row>
    <row r="5076" spans="1:18">
      <c r="A5076" s="4">
        <v>156384000000000</v>
      </c>
      <c r="B5076" t="s">
        <v>28</v>
      </c>
      <c r="C5076">
        <v>30</v>
      </c>
      <c r="D5076" t="s">
        <v>37</v>
      </c>
      <c r="E5076" t="s">
        <v>47</v>
      </c>
      <c r="F5076" s="1">
        <v>42509</v>
      </c>
      <c r="G5076" s="1">
        <v>42528</v>
      </c>
      <c r="H5076" t="s">
        <v>41</v>
      </c>
      <c r="I5076">
        <v>19</v>
      </c>
      <c r="J5076" t="s">
        <v>77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1</v>
      </c>
      <c r="Q5076" t="s">
        <v>26</v>
      </c>
      <c r="R5076">
        <v>1</v>
      </c>
    </row>
    <row r="5077" spans="1:18">
      <c r="A5077" s="4">
        <v>267297000000000</v>
      </c>
      <c r="B5077" t="s">
        <v>18</v>
      </c>
      <c r="C5077">
        <v>62</v>
      </c>
      <c r="D5077" t="s">
        <v>35</v>
      </c>
      <c r="E5077" t="s">
        <v>96</v>
      </c>
      <c r="F5077" s="1">
        <v>42509</v>
      </c>
      <c r="G5077" s="1">
        <v>42509</v>
      </c>
      <c r="H5077" t="s">
        <v>33</v>
      </c>
      <c r="I5077">
        <v>0</v>
      </c>
      <c r="J5077" t="s">
        <v>111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23</v>
      </c>
      <c r="R5077">
        <v>0</v>
      </c>
    </row>
    <row r="5078" spans="1:18">
      <c r="A5078" s="4">
        <v>98313700000000</v>
      </c>
      <c r="B5078" t="s">
        <v>18</v>
      </c>
      <c r="C5078">
        <v>48</v>
      </c>
      <c r="D5078" t="s">
        <v>27</v>
      </c>
      <c r="E5078" t="s">
        <v>36</v>
      </c>
      <c r="F5078" s="1">
        <v>42509</v>
      </c>
      <c r="G5078" s="1">
        <v>42515</v>
      </c>
      <c r="H5078" t="s">
        <v>25</v>
      </c>
      <c r="I5078">
        <v>6</v>
      </c>
      <c r="J5078" t="s">
        <v>107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1</v>
      </c>
      <c r="Q5078" t="s">
        <v>23</v>
      </c>
      <c r="R5078">
        <v>0</v>
      </c>
    </row>
    <row r="5079" spans="1:18">
      <c r="A5079" s="4">
        <v>86741163962</v>
      </c>
      <c r="B5079" t="s">
        <v>28</v>
      </c>
      <c r="C5079">
        <v>29</v>
      </c>
      <c r="D5079" t="s">
        <v>37</v>
      </c>
      <c r="E5079" t="s">
        <v>51</v>
      </c>
      <c r="F5079" s="1">
        <v>42509</v>
      </c>
      <c r="G5079" s="1">
        <v>42520</v>
      </c>
      <c r="H5079" t="s">
        <v>30</v>
      </c>
      <c r="I5079">
        <v>11</v>
      </c>
      <c r="J5079" t="s">
        <v>92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1</v>
      </c>
      <c r="Q5079" t="s">
        <v>23</v>
      </c>
      <c r="R5079">
        <v>0</v>
      </c>
    </row>
    <row r="5080" spans="1:18">
      <c r="A5080" s="4">
        <v>13889600000000</v>
      </c>
      <c r="B5080" t="s">
        <v>18</v>
      </c>
      <c r="C5080">
        <v>5</v>
      </c>
      <c r="D5080" t="s">
        <v>31</v>
      </c>
      <c r="E5080" t="s">
        <v>71</v>
      </c>
      <c r="F5080" s="1">
        <v>42509</v>
      </c>
      <c r="G5080" s="1">
        <v>42510</v>
      </c>
      <c r="H5080" t="s">
        <v>21</v>
      </c>
      <c r="I5080">
        <v>1</v>
      </c>
      <c r="J5080" t="s">
        <v>109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 t="s">
        <v>26</v>
      </c>
      <c r="R5080">
        <v>1</v>
      </c>
    </row>
    <row r="5081" spans="1:18">
      <c r="A5081" s="4">
        <v>95587800000000</v>
      </c>
      <c r="B5081" t="s">
        <v>28</v>
      </c>
      <c r="C5081">
        <v>10</v>
      </c>
      <c r="D5081" t="s">
        <v>31</v>
      </c>
      <c r="E5081" t="s">
        <v>39</v>
      </c>
      <c r="F5081" s="1">
        <v>42509</v>
      </c>
      <c r="G5081" s="1">
        <v>42510</v>
      </c>
      <c r="H5081" t="s">
        <v>21</v>
      </c>
      <c r="I5081">
        <v>1</v>
      </c>
      <c r="J5081" t="s">
        <v>109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23</v>
      </c>
      <c r="R5081">
        <v>0</v>
      </c>
    </row>
    <row r="5082" spans="1:18">
      <c r="A5082" s="4">
        <v>53515800000000</v>
      </c>
      <c r="B5082" t="s">
        <v>18</v>
      </c>
      <c r="C5082">
        <v>41</v>
      </c>
      <c r="D5082" t="s">
        <v>27</v>
      </c>
      <c r="E5082" t="s">
        <v>75</v>
      </c>
      <c r="F5082" s="1">
        <v>42509</v>
      </c>
      <c r="G5082" s="1">
        <v>42514</v>
      </c>
      <c r="H5082" t="s">
        <v>41</v>
      </c>
      <c r="I5082">
        <v>5</v>
      </c>
      <c r="J5082" t="s">
        <v>107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1</v>
      </c>
      <c r="Q5082" t="s">
        <v>26</v>
      </c>
      <c r="R5082">
        <v>1</v>
      </c>
    </row>
    <row r="5083" spans="1:18">
      <c r="A5083" s="4">
        <v>42654200000000</v>
      </c>
      <c r="B5083" t="s">
        <v>28</v>
      </c>
      <c r="C5083">
        <v>24</v>
      </c>
      <c r="D5083" t="s">
        <v>37</v>
      </c>
      <c r="E5083" t="s">
        <v>63</v>
      </c>
      <c r="F5083" s="1">
        <v>42509</v>
      </c>
      <c r="G5083" s="1">
        <v>42509</v>
      </c>
      <c r="H5083" t="s">
        <v>33</v>
      </c>
      <c r="I5083">
        <v>0</v>
      </c>
      <c r="J5083" t="s">
        <v>111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 t="s">
        <v>23</v>
      </c>
      <c r="R5083">
        <v>0</v>
      </c>
    </row>
    <row r="5084" spans="1:18">
      <c r="A5084" s="4">
        <v>828725000000000</v>
      </c>
      <c r="B5084" t="s">
        <v>18</v>
      </c>
      <c r="C5084">
        <v>19</v>
      </c>
      <c r="D5084" t="s">
        <v>37</v>
      </c>
      <c r="E5084" t="s">
        <v>48</v>
      </c>
      <c r="F5084" s="1">
        <v>42509</v>
      </c>
      <c r="G5084" s="1">
        <v>42515</v>
      </c>
      <c r="H5084" t="s">
        <v>25</v>
      </c>
      <c r="I5084">
        <v>6</v>
      </c>
      <c r="J5084" t="s">
        <v>107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 t="s">
        <v>23</v>
      </c>
      <c r="R5084">
        <v>0</v>
      </c>
    </row>
    <row r="5085" spans="1:18">
      <c r="A5085" s="4">
        <v>64212200000000</v>
      </c>
      <c r="B5085" t="s">
        <v>18</v>
      </c>
      <c r="C5085">
        <v>63</v>
      </c>
      <c r="D5085" t="s">
        <v>35</v>
      </c>
      <c r="E5085" t="s">
        <v>72</v>
      </c>
      <c r="F5085" s="1">
        <v>42509</v>
      </c>
      <c r="G5085" s="1">
        <v>42509</v>
      </c>
      <c r="H5085" t="s">
        <v>33</v>
      </c>
      <c r="I5085">
        <v>0</v>
      </c>
      <c r="J5085" t="s">
        <v>111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 t="s">
        <v>23</v>
      </c>
      <c r="R5085">
        <v>0</v>
      </c>
    </row>
    <row r="5086" spans="1:18">
      <c r="A5086" s="4">
        <v>317831000000000</v>
      </c>
      <c r="B5086" t="s">
        <v>28</v>
      </c>
      <c r="C5086">
        <v>0</v>
      </c>
      <c r="D5086" t="s">
        <v>31</v>
      </c>
      <c r="E5086" t="s">
        <v>55</v>
      </c>
      <c r="F5086" s="1">
        <v>42509</v>
      </c>
      <c r="G5086" s="1">
        <v>42522</v>
      </c>
      <c r="H5086" t="s">
        <v>25</v>
      </c>
      <c r="I5086">
        <v>13</v>
      </c>
      <c r="J5086" t="s">
        <v>92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1</v>
      </c>
      <c r="Q5086" t="s">
        <v>23</v>
      </c>
      <c r="R5086">
        <v>0</v>
      </c>
    </row>
    <row r="5087" spans="1:18">
      <c r="A5087" s="4">
        <v>317831000000000</v>
      </c>
      <c r="B5087" t="s">
        <v>28</v>
      </c>
      <c r="C5087">
        <v>0</v>
      </c>
      <c r="D5087" t="s">
        <v>31</v>
      </c>
      <c r="E5087" t="s">
        <v>55</v>
      </c>
      <c r="F5087" s="1">
        <v>42509</v>
      </c>
      <c r="G5087" s="1">
        <v>42509</v>
      </c>
      <c r="H5087" t="s">
        <v>33</v>
      </c>
      <c r="I5087">
        <v>0</v>
      </c>
      <c r="J5087" t="s">
        <v>111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 t="s">
        <v>23</v>
      </c>
      <c r="R5087">
        <v>0</v>
      </c>
    </row>
    <row r="5088" spans="1:18">
      <c r="A5088" s="4">
        <v>658586000000000</v>
      </c>
      <c r="B5088" t="s">
        <v>18</v>
      </c>
      <c r="C5088">
        <v>92</v>
      </c>
      <c r="D5088" t="s">
        <v>19</v>
      </c>
      <c r="E5088" t="s">
        <v>50</v>
      </c>
      <c r="F5088" s="1">
        <v>42509</v>
      </c>
      <c r="G5088" s="1">
        <v>42514</v>
      </c>
      <c r="H5088" t="s">
        <v>41</v>
      </c>
      <c r="I5088">
        <v>5</v>
      </c>
      <c r="J5088" t="s">
        <v>107</v>
      </c>
      <c r="K5088">
        <v>0</v>
      </c>
      <c r="L5088">
        <v>1</v>
      </c>
      <c r="M5088">
        <v>0</v>
      </c>
      <c r="N5088">
        <v>0</v>
      </c>
      <c r="O5088">
        <v>0</v>
      </c>
      <c r="P5088">
        <v>0</v>
      </c>
      <c r="Q5088" t="s">
        <v>26</v>
      </c>
      <c r="R5088">
        <v>1</v>
      </c>
    </row>
    <row r="5089" spans="1:18">
      <c r="A5089" s="4">
        <v>945627000000000</v>
      </c>
      <c r="B5089" t="s">
        <v>18</v>
      </c>
      <c r="C5089">
        <v>23</v>
      </c>
      <c r="D5089" t="s">
        <v>37</v>
      </c>
      <c r="E5089" t="s">
        <v>51</v>
      </c>
      <c r="F5089" s="1">
        <v>42509</v>
      </c>
      <c r="G5089" s="1">
        <v>42509</v>
      </c>
      <c r="H5089" t="s">
        <v>33</v>
      </c>
      <c r="I5089">
        <v>0</v>
      </c>
      <c r="J5089" t="s">
        <v>111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23</v>
      </c>
      <c r="R5089">
        <v>0</v>
      </c>
    </row>
    <row r="5090" spans="1:18">
      <c r="A5090" s="4">
        <v>61338600000000</v>
      </c>
      <c r="B5090" t="s">
        <v>18</v>
      </c>
      <c r="C5090">
        <v>54</v>
      </c>
      <c r="D5090" t="s">
        <v>35</v>
      </c>
      <c r="E5090" t="s">
        <v>44</v>
      </c>
      <c r="F5090" s="1">
        <v>42509</v>
      </c>
      <c r="G5090" s="1">
        <v>42509</v>
      </c>
      <c r="H5090" t="s">
        <v>33</v>
      </c>
      <c r="I5090">
        <v>0</v>
      </c>
      <c r="J5090" t="s">
        <v>111</v>
      </c>
      <c r="K5090">
        <v>1</v>
      </c>
      <c r="L5090">
        <v>1</v>
      </c>
      <c r="M5090">
        <v>0</v>
      </c>
      <c r="N5090">
        <v>0</v>
      </c>
      <c r="O5090">
        <v>0</v>
      </c>
      <c r="P5090">
        <v>0</v>
      </c>
      <c r="Q5090" t="s">
        <v>23</v>
      </c>
      <c r="R5090">
        <v>0</v>
      </c>
    </row>
    <row r="5091" spans="1:18">
      <c r="A5091" s="4">
        <v>675323000000</v>
      </c>
      <c r="B5091" t="s">
        <v>28</v>
      </c>
      <c r="C5091">
        <v>55</v>
      </c>
      <c r="D5091" t="s">
        <v>35</v>
      </c>
      <c r="E5091" t="s">
        <v>44</v>
      </c>
      <c r="F5091" s="1">
        <v>42509</v>
      </c>
      <c r="G5091" s="1">
        <v>42509</v>
      </c>
      <c r="H5091" t="s">
        <v>33</v>
      </c>
      <c r="I5091">
        <v>0</v>
      </c>
      <c r="J5091" t="s">
        <v>111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 t="s">
        <v>23</v>
      </c>
      <c r="R5091">
        <v>0</v>
      </c>
    </row>
    <row r="5092" spans="1:18">
      <c r="A5092" s="4">
        <v>6516490000000</v>
      </c>
      <c r="B5092" t="s">
        <v>18</v>
      </c>
      <c r="C5092">
        <v>26</v>
      </c>
      <c r="D5092" t="s">
        <v>37</v>
      </c>
      <c r="E5092" t="s">
        <v>57</v>
      </c>
      <c r="F5092" s="1">
        <v>42509</v>
      </c>
      <c r="G5092" s="1">
        <v>42509</v>
      </c>
      <c r="H5092" t="s">
        <v>33</v>
      </c>
      <c r="I5092">
        <v>0</v>
      </c>
      <c r="J5092" t="s">
        <v>111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 t="s">
        <v>23</v>
      </c>
      <c r="R5092">
        <v>0</v>
      </c>
    </row>
    <row r="5093" spans="1:18">
      <c r="A5093" s="4">
        <v>49458800000000</v>
      </c>
      <c r="B5093" t="s">
        <v>28</v>
      </c>
      <c r="C5093">
        <v>18</v>
      </c>
      <c r="D5093" t="s">
        <v>37</v>
      </c>
      <c r="E5093" t="s">
        <v>40</v>
      </c>
      <c r="F5093" s="1">
        <v>42509</v>
      </c>
      <c r="G5093" s="1">
        <v>42509</v>
      </c>
      <c r="H5093" t="s">
        <v>33</v>
      </c>
      <c r="I5093">
        <v>0</v>
      </c>
      <c r="J5093" t="s">
        <v>111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23</v>
      </c>
      <c r="R5093">
        <v>0</v>
      </c>
    </row>
    <row r="5094" spans="1:18">
      <c r="A5094" s="4">
        <v>791882000000000</v>
      </c>
      <c r="B5094" t="s">
        <v>28</v>
      </c>
      <c r="C5094">
        <v>1</v>
      </c>
      <c r="D5094" t="s">
        <v>31</v>
      </c>
      <c r="E5094" t="s">
        <v>65</v>
      </c>
      <c r="F5094" s="1">
        <v>42509</v>
      </c>
      <c r="G5094" s="1">
        <v>42509</v>
      </c>
      <c r="H5094" t="s">
        <v>33</v>
      </c>
      <c r="I5094">
        <v>0</v>
      </c>
      <c r="J5094" t="s">
        <v>111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 t="s">
        <v>23</v>
      </c>
      <c r="R5094">
        <v>0</v>
      </c>
    </row>
    <row r="5095" spans="1:18">
      <c r="A5095" s="4">
        <v>94227800000000</v>
      </c>
      <c r="B5095" t="s">
        <v>18</v>
      </c>
      <c r="C5095">
        <v>71</v>
      </c>
      <c r="D5095" t="s">
        <v>19</v>
      </c>
      <c r="E5095" t="s">
        <v>59</v>
      </c>
      <c r="F5095" s="1">
        <v>42509</v>
      </c>
      <c r="G5095" s="1">
        <v>42509</v>
      </c>
      <c r="H5095" t="s">
        <v>33</v>
      </c>
      <c r="I5095">
        <v>0</v>
      </c>
      <c r="J5095" t="s">
        <v>111</v>
      </c>
      <c r="K5095">
        <v>0</v>
      </c>
      <c r="L5095">
        <v>1</v>
      </c>
      <c r="M5095">
        <v>1</v>
      </c>
      <c r="N5095">
        <v>0</v>
      </c>
      <c r="O5095">
        <v>0</v>
      </c>
      <c r="P5095">
        <v>0</v>
      </c>
      <c r="Q5095" t="s">
        <v>23</v>
      </c>
      <c r="R5095">
        <v>0</v>
      </c>
    </row>
    <row r="5096" spans="1:18">
      <c r="A5096" s="4">
        <v>59796419885</v>
      </c>
      <c r="B5096" t="s">
        <v>28</v>
      </c>
      <c r="C5096">
        <v>9</v>
      </c>
      <c r="D5096" t="s">
        <v>31</v>
      </c>
      <c r="E5096" t="s">
        <v>82</v>
      </c>
      <c r="F5096" s="1">
        <v>42509</v>
      </c>
      <c r="G5096" s="1">
        <v>42509</v>
      </c>
      <c r="H5096" t="s">
        <v>33</v>
      </c>
      <c r="I5096">
        <v>0</v>
      </c>
      <c r="J5096" t="s">
        <v>111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23</v>
      </c>
      <c r="R5096">
        <v>0</v>
      </c>
    </row>
    <row r="5097" spans="1:18">
      <c r="A5097" s="4">
        <v>38115800000000</v>
      </c>
      <c r="B5097" t="s">
        <v>18</v>
      </c>
      <c r="C5097">
        <v>19</v>
      </c>
      <c r="D5097" t="s">
        <v>37</v>
      </c>
      <c r="E5097" t="s">
        <v>43</v>
      </c>
      <c r="F5097" s="1">
        <v>42509</v>
      </c>
      <c r="G5097" s="1">
        <v>42509</v>
      </c>
      <c r="H5097" t="s">
        <v>33</v>
      </c>
      <c r="I5097">
        <v>0</v>
      </c>
      <c r="J5097" t="s">
        <v>111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23</v>
      </c>
      <c r="R5097">
        <v>0</v>
      </c>
    </row>
    <row r="5098" spans="1:18">
      <c r="A5098" s="4">
        <v>73715200000000</v>
      </c>
      <c r="B5098" t="s">
        <v>28</v>
      </c>
      <c r="C5098">
        <v>0</v>
      </c>
      <c r="D5098" t="s">
        <v>31</v>
      </c>
      <c r="E5098" t="s">
        <v>58</v>
      </c>
      <c r="F5098" s="1">
        <v>42509</v>
      </c>
      <c r="G5098" s="1">
        <v>42510</v>
      </c>
      <c r="H5098" t="s">
        <v>21</v>
      </c>
      <c r="I5098">
        <v>1</v>
      </c>
      <c r="J5098" t="s">
        <v>109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 t="s">
        <v>23</v>
      </c>
      <c r="R5098">
        <v>0</v>
      </c>
    </row>
    <row r="5099" spans="1:18">
      <c r="A5099" s="4">
        <v>578523000000000</v>
      </c>
      <c r="B5099" t="s">
        <v>18</v>
      </c>
      <c r="C5099">
        <v>60</v>
      </c>
      <c r="D5099" t="s">
        <v>35</v>
      </c>
      <c r="E5099" t="s">
        <v>74</v>
      </c>
      <c r="F5099" s="1">
        <v>42509</v>
      </c>
      <c r="G5099" s="1">
        <v>42521</v>
      </c>
      <c r="H5099" t="s">
        <v>41</v>
      </c>
      <c r="I5099">
        <v>12</v>
      </c>
      <c r="J5099" t="s">
        <v>92</v>
      </c>
      <c r="K5099">
        <v>0</v>
      </c>
      <c r="L5099">
        <v>1</v>
      </c>
      <c r="M5099">
        <v>0</v>
      </c>
      <c r="N5099">
        <v>0</v>
      </c>
      <c r="O5099">
        <v>0</v>
      </c>
      <c r="P5099">
        <v>1</v>
      </c>
      <c r="Q5099" t="s">
        <v>23</v>
      </c>
      <c r="R5099">
        <v>0</v>
      </c>
    </row>
    <row r="5100" spans="1:18">
      <c r="A5100" s="4">
        <v>936546000000000</v>
      </c>
      <c r="B5100" t="s">
        <v>28</v>
      </c>
      <c r="C5100">
        <v>18</v>
      </c>
      <c r="D5100" t="s">
        <v>37</v>
      </c>
      <c r="E5100" t="s">
        <v>39</v>
      </c>
      <c r="F5100" s="1">
        <v>42509</v>
      </c>
      <c r="G5100" s="1">
        <v>42515</v>
      </c>
      <c r="H5100" t="s">
        <v>25</v>
      </c>
      <c r="I5100">
        <v>6</v>
      </c>
      <c r="J5100" t="s">
        <v>107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1</v>
      </c>
      <c r="Q5100" t="s">
        <v>23</v>
      </c>
      <c r="R5100">
        <v>0</v>
      </c>
    </row>
    <row r="5101" spans="1:18">
      <c r="A5101" s="4">
        <v>6786450000000</v>
      </c>
      <c r="B5101" t="s">
        <v>28</v>
      </c>
      <c r="C5101">
        <v>52</v>
      </c>
      <c r="D5101" t="s">
        <v>35</v>
      </c>
      <c r="E5101" t="s">
        <v>39</v>
      </c>
      <c r="F5101" s="1">
        <v>42509</v>
      </c>
      <c r="G5101" s="1">
        <v>42515</v>
      </c>
      <c r="H5101" t="s">
        <v>25</v>
      </c>
      <c r="I5101">
        <v>6</v>
      </c>
      <c r="J5101" t="s">
        <v>107</v>
      </c>
      <c r="K5101">
        <v>0</v>
      </c>
      <c r="L5101">
        <v>1</v>
      </c>
      <c r="M5101">
        <v>0</v>
      </c>
      <c r="N5101">
        <v>0</v>
      </c>
      <c r="O5101">
        <v>0</v>
      </c>
      <c r="P5101">
        <v>1</v>
      </c>
      <c r="Q5101" t="s">
        <v>23</v>
      </c>
      <c r="R5101">
        <v>0</v>
      </c>
    </row>
    <row r="5102" spans="1:18">
      <c r="A5102" s="4">
        <v>6442170000000</v>
      </c>
      <c r="B5102" t="s">
        <v>18</v>
      </c>
      <c r="C5102">
        <v>11</v>
      </c>
      <c r="D5102" t="s">
        <v>31</v>
      </c>
      <c r="E5102" t="s">
        <v>39</v>
      </c>
      <c r="F5102" s="1">
        <v>42509</v>
      </c>
      <c r="G5102" s="1">
        <v>42527</v>
      </c>
      <c r="H5102" t="s">
        <v>30</v>
      </c>
      <c r="I5102">
        <v>18</v>
      </c>
      <c r="J5102" t="s">
        <v>77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1</v>
      </c>
      <c r="Q5102" t="s">
        <v>23</v>
      </c>
      <c r="R5102">
        <v>0</v>
      </c>
    </row>
    <row r="5103" spans="1:18">
      <c r="A5103" s="4">
        <v>4629580000000</v>
      </c>
      <c r="B5103" t="s">
        <v>28</v>
      </c>
      <c r="C5103">
        <v>10</v>
      </c>
      <c r="D5103" t="s">
        <v>31</v>
      </c>
      <c r="E5103" t="s">
        <v>56</v>
      </c>
      <c r="F5103" s="1">
        <v>42509</v>
      </c>
      <c r="G5103" s="1">
        <v>42509</v>
      </c>
      <c r="H5103" t="s">
        <v>33</v>
      </c>
      <c r="I5103">
        <v>0</v>
      </c>
      <c r="J5103" t="s">
        <v>111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23</v>
      </c>
      <c r="R5103">
        <v>0</v>
      </c>
    </row>
    <row r="5104" spans="1:18">
      <c r="A5104" s="4">
        <v>53696700000000</v>
      </c>
      <c r="B5104" t="s">
        <v>28</v>
      </c>
      <c r="C5104">
        <v>9</v>
      </c>
      <c r="D5104" t="s">
        <v>31</v>
      </c>
      <c r="E5104" t="s">
        <v>50</v>
      </c>
      <c r="F5104" s="1">
        <v>42509</v>
      </c>
      <c r="G5104" s="1">
        <v>42509</v>
      </c>
      <c r="H5104" t="s">
        <v>33</v>
      </c>
      <c r="I5104">
        <v>0</v>
      </c>
      <c r="J5104" t="s">
        <v>111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26</v>
      </c>
      <c r="R5104">
        <v>1</v>
      </c>
    </row>
    <row r="5105" spans="1:18">
      <c r="A5105" s="4">
        <v>1839190000000</v>
      </c>
      <c r="B5105" t="s">
        <v>28</v>
      </c>
      <c r="C5105">
        <v>9</v>
      </c>
      <c r="D5105" t="s">
        <v>31</v>
      </c>
      <c r="E5105" t="s">
        <v>69</v>
      </c>
      <c r="F5105" s="1">
        <v>42509</v>
      </c>
      <c r="G5105" s="1">
        <v>42509</v>
      </c>
      <c r="H5105" t="s">
        <v>33</v>
      </c>
      <c r="I5105">
        <v>0</v>
      </c>
      <c r="J5105" t="s">
        <v>111</v>
      </c>
      <c r="K5105">
        <v>1</v>
      </c>
      <c r="L5105">
        <v>0</v>
      </c>
      <c r="M5105">
        <v>0</v>
      </c>
      <c r="N5105">
        <v>0</v>
      </c>
      <c r="O5105">
        <v>0</v>
      </c>
      <c r="P5105">
        <v>0</v>
      </c>
      <c r="Q5105" t="s">
        <v>26</v>
      </c>
      <c r="R5105">
        <v>1</v>
      </c>
    </row>
    <row r="5106" spans="1:18">
      <c r="A5106" s="4">
        <v>94265100000000</v>
      </c>
      <c r="B5106" t="s">
        <v>18</v>
      </c>
      <c r="C5106">
        <v>59</v>
      </c>
      <c r="D5106" t="s">
        <v>35</v>
      </c>
      <c r="E5106" t="s">
        <v>112</v>
      </c>
      <c r="F5106" s="1">
        <v>42509</v>
      </c>
      <c r="G5106" s="1">
        <v>42509</v>
      </c>
      <c r="H5106" t="s">
        <v>33</v>
      </c>
      <c r="I5106">
        <v>0</v>
      </c>
      <c r="J5106" t="s">
        <v>111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 t="s">
        <v>23</v>
      </c>
      <c r="R5106">
        <v>0</v>
      </c>
    </row>
    <row r="5107" spans="1:18">
      <c r="A5107" s="4">
        <v>9951350000000</v>
      </c>
      <c r="B5107" t="s">
        <v>18</v>
      </c>
      <c r="C5107">
        <v>41</v>
      </c>
      <c r="D5107" t="s">
        <v>27</v>
      </c>
      <c r="E5107" t="s">
        <v>96</v>
      </c>
      <c r="F5107" s="1">
        <v>42509</v>
      </c>
      <c r="G5107" s="1">
        <v>42523</v>
      </c>
      <c r="H5107" t="s">
        <v>33</v>
      </c>
      <c r="I5107">
        <v>14</v>
      </c>
      <c r="J5107" t="s">
        <v>92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1</v>
      </c>
      <c r="Q5107" t="s">
        <v>23</v>
      </c>
      <c r="R5107">
        <v>0</v>
      </c>
    </row>
    <row r="5108" spans="1:18">
      <c r="A5108" s="4">
        <v>8693670000000</v>
      </c>
      <c r="B5108" t="s">
        <v>18</v>
      </c>
      <c r="C5108">
        <v>46</v>
      </c>
      <c r="D5108" t="s">
        <v>27</v>
      </c>
      <c r="E5108" t="s">
        <v>39</v>
      </c>
      <c r="F5108" s="1">
        <v>42509</v>
      </c>
      <c r="G5108" s="1">
        <v>42521</v>
      </c>
      <c r="H5108" t="s">
        <v>41</v>
      </c>
      <c r="I5108">
        <v>12</v>
      </c>
      <c r="J5108" t="s">
        <v>92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1</v>
      </c>
      <c r="Q5108" t="s">
        <v>23</v>
      </c>
      <c r="R5108">
        <v>0</v>
      </c>
    </row>
    <row r="5109" spans="1:18">
      <c r="A5109" s="4">
        <v>6992770000000</v>
      </c>
      <c r="B5109" t="s">
        <v>28</v>
      </c>
      <c r="C5109">
        <v>11</v>
      </c>
      <c r="D5109" t="s">
        <v>31</v>
      </c>
      <c r="E5109" t="s">
        <v>36</v>
      </c>
      <c r="F5109" s="1">
        <v>42509</v>
      </c>
      <c r="G5109" s="1">
        <v>42523</v>
      </c>
      <c r="H5109" t="s">
        <v>33</v>
      </c>
      <c r="I5109">
        <v>14</v>
      </c>
      <c r="J5109" t="s">
        <v>92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1</v>
      </c>
      <c r="Q5109" t="s">
        <v>23</v>
      </c>
      <c r="R5109">
        <v>0</v>
      </c>
    </row>
    <row r="5110" spans="1:18">
      <c r="A5110" s="4">
        <v>692277000000</v>
      </c>
      <c r="B5110" t="s">
        <v>28</v>
      </c>
      <c r="C5110">
        <v>5</v>
      </c>
      <c r="D5110" t="s">
        <v>31</v>
      </c>
      <c r="E5110" t="s">
        <v>96</v>
      </c>
      <c r="F5110" s="1">
        <v>42509</v>
      </c>
      <c r="G5110" s="1">
        <v>42509</v>
      </c>
      <c r="H5110" t="s">
        <v>33</v>
      </c>
      <c r="I5110">
        <v>0</v>
      </c>
      <c r="J5110" t="s">
        <v>111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 t="s">
        <v>23</v>
      </c>
      <c r="R5110">
        <v>0</v>
      </c>
    </row>
    <row r="5111" spans="1:18">
      <c r="A5111" s="4">
        <v>179545000000000</v>
      </c>
      <c r="B5111" t="s">
        <v>18</v>
      </c>
      <c r="C5111">
        <v>51</v>
      </c>
      <c r="D5111" t="s">
        <v>35</v>
      </c>
      <c r="E5111" t="s">
        <v>47</v>
      </c>
      <c r="F5111" s="1">
        <v>42509</v>
      </c>
      <c r="G5111" s="1">
        <v>42509</v>
      </c>
      <c r="H5111" t="s">
        <v>33</v>
      </c>
      <c r="I5111">
        <v>0</v>
      </c>
      <c r="J5111" t="s">
        <v>111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23</v>
      </c>
      <c r="R5111">
        <v>0</v>
      </c>
    </row>
    <row r="5112" spans="1:18">
      <c r="A5112" s="4">
        <v>52671600000000</v>
      </c>
      <c r="B5112" t="s">
        <v>28</v>
      </c>
      <c r="C5112">
        <v>42</v>
      </c>
      <c r="D5112" t="s">
        <v>27</v>
      </c>
      <c r="E5112" t="s">
        <v>63</v>
      </c>
      <c r="F5112" s="1">
        <v>42509</v>
      </c>
      <c r="G5112" s="1">
        <v>42509</v>
      </c>
      <c r="H5112" t="s">
        <v>33</v>
      </c>
      <c r="I5112">
        <v>0</v>
      </c>
      <c r="J5112" t="s">
        <v>111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23</v>
      </c>
      <c r="R5112">
        <v>0</v>
      </c>
    </row>
    <row r="5113" spans="1:18">
      <c r="A5113" s="4">
        <v>65488268945</v>
      </c>
      <c r="B5113" t="s">
        <v>18</v>
      </c>
      <c r="C5113">
        <v>85</v>
      </c>
      <c r="D5113" t="s">
        <v>19</v>
      </c>
      <c r="E5113" t="s">
        <v>40</v>
      </c>
      <c r="F5113" s="1">
        <v>42509</v>
      </c>
      <c r="G5113" s="1">
        <v>42514</v>
      </c>
      <c r="H5113" t="s">
        <v>41</v>
      </c>
      <c r="I5113">
        <v>5</v>
      </c>
      <c r="J5113" t="s">
        <v>107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23</v>
      </c>
      <c r="R5113">
        <v>0</v>
      </c>
    </row>
    <row r="5114" spans="1:18">
      <c r="A5114" s="4">
        <v>623697000000000</v>
      </c>
      <c r="B5114" t="s">
        <v>18</v>
      </c>
      <c r="C5114">
        <v>42</v>
      </c>
      <c r="D5114" t="s">
        <v>27</v>
      </c>
      <c r="E5114" t="s">
        <v>45</v>
      </c>
      <c r="F5114" s="1">
        <v>42509</v>
      </c>
      <c r="G5114" s="1">
        <v>42509</v>
      </c>
      <c r="H5114" t="s">
        <v>33</v>
      </c>
      <c r="I5114">
        <v>0</v>
      </c>
      <c r="J5114" t="s">
        <v>111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23</v>
      </c>
      <c r="R5114">
        <v>0</v>
      </c>
    </row>
    <row r="5115" spans="1:18">
      <c r="A5115" s="4">
        <v>712459000000000</v>
      </c>
      <c r="B5115" t="s">
        <v>28</v>
      </c>
      <c r="C5115">
        <v>44</v>
      </c>
      <c r="D5115" t="s">
        <v>27</v>
      </c>
      <c r="E5115" t="s">
        <v>48</v>
      </c>
      <c r="F5115" s="1">
        <v>42509</v>
      </c>
      <c r="G5115" s="1">
        <v>42509</v>
      </c>
      <c r="H5115" t="s">
        <v>33</v>
      </c>
      <c r="I5115">
        <v>0</v>
      </c>
      <c r="J5115" t="s">
        <v>111</v>
      </c>
      <c r="K5115">
        <v>0</v>
      </c>
      <c r="L5115">
        <v>0</v>
      </c>
      <c r="M5115">
        <v>0</v>
      </c>
      <c r="N5115">
        <v>1</v>
      </c>
      <c r="O5115">
        <v>0</v>
      </c>
      <c r="P5115">
        <v>0</v>
      </c>
      <c r="Q5115" t="s">
        <v>23</v>
      </c>
      <c r="R5115">
        <v>0</v>
      </c>
    </row>
    <row r="5116" spans="1:18">
      <c r="A5116" s="4">
        <v>24494000000000</v>
      </c>
      <c r="B5116" t="s">
        <v>28</v>
      </c>
      <c r="C5116">
        <v>55</v>
      </c>
      <c r="D5116" t="s">
        <v>35</v>
      </c>
      <c r="E5116" t="s">
        <v>39</v>
      </c>
      <c r="F5116" s="1">
        <v>42509</v>
      </c>
      <c r="G5116" s="1">
        <v>42527</v>
      </c>
      <c r="H5116" t="s">
        <v>30</v>
      </c>
      <c r="I5116">
        <v>18</v>
      </c>
      <c r="J5116" t="s">
        <v>77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1</v>
      </c>
      <c r="Q5116" t="s">
        <v>23</v>
      </c>
      <c r="R5116">
        <v>0</v>
      </c>
    </row>
    <row r="5117" spans="1:18">
      <c r="A5117" s="4">
        <v>63964659235</v>
      </c>
      <c r="B5117" t="s">
        <v>28</v>
      </c>
      <c r="C5117">
        <v>25</v>
      </c>
      <c r="D5117" t="s">
        <v>37</v>
      </c>
      <c r="E5117" t="s">
        <v>36</v>
      </c>
      <c r="F5117" s="1">
        <v>42509</v>
      </c>
      <c r="G5117" s="1">
        <v>42509</v>
      </c>
      <c r="H5117" t="s">
        <v>33</v>
      </c>
      <c r="I5117">
        <v>0</v>
      </c>
      <c r="J5117" t="s">
        <v>111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23</v>
      </c>
      <c r="R5117">
        <v>0</v>
      </c>
    </row>
    <row r="5118" spans="1:18">
      <c r="A5118" s="4">
        <v>612166000000000</v>
      </c>
      <c r="B5118" t="s">
        <v>18</v>
      </c>
      <c r="C5118">
        <v>35</v>
      </c>
      <c r="D5118" t="s">
        <v>37</v>
      </c>
      <c r="E5118" t="s">
        <v>57</v>
      </c>
      <c r="F5118" s="1">
        <v>42509</v>
      </c>
      <c r="G5118" s="1">
        <v>42509</v>
      </c>
      <c r="H5118" t="s">
        <v>33</v>
      </c>
      <c r="I5118">
        <v>0</v>
      </c>
      <c r="J5118" t="s">
        <v>111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23</v>
      </c>
      <c r="R5118">
        <v>0</v>
      </c>
    </row>
    <row r="5119" spans="1:18">
      <c r="A5119" s="4">
        <v>51824300000000</v>
      </c>
      <c r="B5119" t="s">
        <v>18</v>
      </c>
      <c r="C5119">
        <v>53</v>
      </c>
      <c r="D5119" t="s">
        <v>35</v>
      </c>
      <c r="E5119" t="s">
        <v>36</v>
      </c>
      <c r="F5119" s="1">
        <v>42509</v>
      </c>
      <c r="G5119" s="1">
        <v>42515</v>
      </c>
      <c r="H5119" t="s">
        <v>25</v>
      </c>
      <c r="I5119">
        <v>6</v>
      </c>
      <c r="J5119" t="s">
        <v>107</v>
      </c>
      <c r="K5119">
        <v>0</v>
      </c>
      <c r="L5119">
        <v>1</v>
      </c>
      <c r="M5119">
        <v>0</v>
      </c>
      <c r="N5119">
        <v>0</v>
      </c>
      <c r="O5119">
        <v>0</v>
      </c>
      <c r="P5119">
        <v>0</v>
      </c>
      <c r="Q5119" t="s">
        <v>23</v>
      </c>
      <c r="R5119">
        <v>0</v>
      </c>
    </row>
    <row r="5120" spans="1:18">
      <c r="A5120" s="4">
        <v>5796960000000</v>
      </c>
      <c r="B5120" t="s">
        <v>28</v>
      </c>
      <c r="C5120">
        <v>49</v>
      </c>
      <c r="D5120" t="s">
        <v>27</v>
      </c>
      <c r="E5120" t="s">
        <v>20</v>
      </c>
      <c r="F5120" s="1">
        <v>42509</v>
      </c>
      <c r="G5120" s="1">
        <v>42524</v>
      </c>
      <c r="H5120" t="s">
        <v>21</v>
      </c>
      <c r="I5120">
        <v>15</v>
      </c>
      <c r="J5120" t="s">
        <v>77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23</v>
      </c>
      <c r="R5120">
        <v>0</v>
      </c>
    </row>
    <row r="5121" spans="1:18">
      <c r="A5121" s="4">
        <v>1914160000000</v>
      </c>
      <c r="B5121" t="s">
        <v>28</v>
      </c>
      <c r="C5121">
        <v>45</v>
      </c>
      <c r="D5121" t="s">
        <v>27</v>
      </c>
      <c r="E5121" t="s">
        <v>56</v>
      </c>
      <c r="F5121" s="1">
        <v>42509</v>
      </c>
      <c r="G5121" s="1">
        <v>42509</v>
      </c>
      <c r="H5121" t="s">
        <v>33</v>
      </c>
      <c r="I5121">
        <v>0</v>
      </c>
      <c r="J5121" t="s">
        <v>111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 t="s">
        <v>26</v>
      </c>
      <c r="R5121">
        <v>1</v>
      </c>
    </row>
    <row r="5122" spans="1:18">
      <c r="A5122" s="4">
        <v>476117000000000</v>
      </c>
      <c r="B5122" t="s">
        <v>18</v>
      </c>
      <c r="C5122">
        <v>40</v>
      </c>
      <c r="D5122" t="s">
        <v>27</v>
      </c>
      <c r="E5122" t="s">
        <v>38</v>
      </c>
      <c r="F5122" s="1">
        <v>42509</v>
      </c>
      <c r="G5122" s="1">
        <v>42510</v>
      </c>
      <c r="H5122" t="s">
        <v>21</v>
      </c>
      <c r="I5122">
        <v>1</v>
      </c>
      <c r="J5122" t="s">
        <v>109</v>
      </c>
      <c r="K5122">
        <v>1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26</v>
      </c>
      <c r="R5122">
        <v>1</v>
      </c>
    </row>
    <row r="5123" spans="1:18">
      <c r="A5123" s="4">
        <v>2758660000000</v>
      </c>
      <c r="B5123" t="s">
        <v>28</v>
      </c>
      <c r="C5123">
        <v>41</v>
      </c>
      <c r="D5123" t="s">
        <v>27</v>
      </c>
      <c r="E5123" t="s">
        <v>62</v>
      </c>
      <c r="F5123" s="1">
        <v>42509</v>
      </c>
      <c r="G5123" s="1">
        <v>42515</v>
      </c>
      <c r="H5123" t="s">
        <v>25</v>
      </c>
      <c r="I5123">
        <v>6</v>
      </c>
      <c r="J5123" t="s">
        <v>107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1</v>
      </c>
      <c r="Q5123" t="s">
        <v>26</v>
      </c>
      <c r="R5123">
        <v>1</v>
      </c>
    </row>
    <row r="5124" spans="1:18">
      <c r="A5124" s="4">
        <v>773286000000</v>
      </c>
      <c r="B5124" t="s">
        <v>18</v>
      </c>
      <c r="C5124">
        <v>51</v>
      </c>
      <c r="D5124" t="s">
        <v>35</v>
      </c>
      <c r="E5124" t="s">
        <v>32</v>
      </c>
      <c r="F5124" s="1">
        <v>42509</v>
      </c>
      <c r="G5124" s="1">
        <v>42515</v>
      </c>
      <c r="H5124" t="s">
        <v>25</v>
      </c>
      <c r="I5124">
        <v>6</v>
      </c>
      <c r="J5124" t="s">
        <v>107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1</v>
      </c>
      <c r="Q5124" t="s">
        <v>23</v>
      </c>
      <c r="R5124">
        <v>0</v>
      </c>
    </row>
    <row r="5125" spans="1:18">
      <c r="A5125" s="4">
        <v>487448000000000</v>
      </c>
      <c r="B5125" t="s">
        <v>28</v>
      </c>
      <c r="C5125">
        <v>34</v>
      </c>
      <c r="D5125" t="s">
        <v>37</v>
      </c>
      <c r="E5125" t="s">
        <v>29</v>
      </c>
      <c r="F5125" s="1">
        <v>42509</v>
      </c>
      <c r="G5125" s="1">
        <v>42515</v>
      </c>
      <c r="H5125" t="s">
        <v>25</v>
      </c>
      <c r="I5125">
        <v>6</v>
      </c>
      <c r="J5125" t="s">
        <v>107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1</v>
      </c>
      <c r="Q5125" t="s">
        <v>23</v>
      </c>
      <c r="R5125">
        <v>0</v>
      </c>
    </row>
    <row r="5126" spans="1:18">
      <c r="A5126" s="4">
        <v>4378820000000</v>
      </c>
      <c r="B5126" t="s">
        <v>18</v>
      </c>
      <c r="C5126">
        <v>44</v>
      </c>
      <c r="D5126" t="s">
        <v>27</v>
      </c>
      <c r="E5126" t="s">
        <v>67</v>
      </c>
      <c r="F5126" s="1">
        <v>42509</v>
      </c>
      <c r="G5126" s="1">
        <v>42515</v>
      </c>
      <c r="H5126" t="s">
        <v>25</v>
      </c>
      <c r="I5126">
        <v>6</v>
      </c>
      <c r="J5126" t="s">
        <v>107</v>
      </c>
      <c r="K5126">
        <v>1</v>
      </c>
      <c r="L5126">
        <v>0</v>
      </c>
      <c r="M5126">
        <v>0</v>
      </c>
      <c r="N5126">
        <v>0</v>
      </c>
      <c r="O5126">
        <v>0</v>
      </c>
      <c r="P5126">
        <v>1</v>
      </c>
      <c r="Q5126" t="s">
        <v>23</v>
      </c>
      <c r="R5126">
        <v>0</v>
      </c>
    </row>
    <row r="5127" spans="1:18">
      <c r="A5127" s="4">
        <v>8646980000000</v>
      </c>
      <c r="B5127" t="s">
        <v>18</v>
      </c>
      <c r="C5127">
        <v>50</v>
      </c>
      <c r="D5127" t="s">
        <v>27</v>
      </c>
      <c r="E5127" t="s">
        <v>32</v>
      </c>
      <c r="F5127" s="1">
        <v>42509</v>
      </c>
      <c r="G5127" s="1">
        <v>42515</v>
      </c>
      <c r="H5127" t="s">
        <v>25</v>
      </c>
      <c r="I5127">
        <v>6</v>
      </c>
      <c r="J5127" t="s">
        <v>107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1</v>
      </c>
      <c r="Q5127" t="s">
        <v>23</v>
      </c>
      <c r="R5127">
        <v>0</v>
      </c>
    </row>
    <row r="5128" spans="1:18">
      <c r="A5128" s="4">
        <v>28636274117</v>
      </c>
      <c r="B5128" t="s">
        <v>28</v>
      </c>
      <c r="C5128">
        <v>62</v>
      </c>
      <c r="D5128" t="s">
        <v>35</v>
      </c>
      <c r="E5128" t="s">
        <v>39</v>
      </c>
      <c r="F5128" s="1">
        <v>42509</v>
      </c>
      <c r="G5128" s="1">
        <v>42514</v>
      </c>
      <c r="H5128" t="s">
        <v>41</v>
      </c>
      <c r="I5128">
        <v>5</v>
      </c>
      <c r="J5128" t="s">
        <v>107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1</v>
      </c>
      <c r="Q5128" t="s">
        <v>23</v>
      </c>
      <c r="R5128">
        <v>0</v>
      </c>
    </row>
    <row r="5129" spans="1:18">
      <c r="A5129" s="4">
        <v>747423000000</v>
      </c>
      <c r="B5129" t="s">
        <v>18</v>
      </c>
      <c r="C5129">
        <v>59</v>
      </c>
      <c r="D5129" t="s">
        <v>35</v>
      </c>
      <c r="E5129" t="s">
        <v>39</v>
      </c>
      <c r="F5129" s="1">
        <v>42509</v>
      </c>
      <c r="G5129" s="1">
        <v>42520</v>
      </c>
      <c r="H5129" t="s">
        <v>30</v>
      </c>
      <c r="I5129">
        <v>11</v>
      </c>
      <c r="J5129" t="s">
        <v>92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1</v>
      </c>
      <c r="Q5129" t="s">
        <v>26</v>
      </c>
      <c r="R5129">
        <v>1</v>
      </c>
    </row>
    <row r="5130" spans="1:18">
      <c r="A5130" s="4">
        <v>6552300000000</v>
      </c>
      <c r="B5130" t="s">
        <v>28</v>
      </c>
      <c r="C5130">
        <v>23</v>
      </c>
      <c r="D5130" t="s">
        <v>37</v>
      </c>
      <c r="E5130" t="s">
        <v>84</v>
      </c>
      <c r="F5130" s="1">
        <v>42509</v>
      </c>
      <c r="G5130" s="1">
        <v>42524</v>
      </c>
      <c r="H5130" t="s">
        <v>21</v>
      </c>
      <c r="I5130">
        <v>15</v>
      </c>
      <c r="J5130" t="s">
        <v>77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1</v>
      </c>
      <c r="Q5130" t="s">
        <v>23</v>
      </c>
      <c r="R5130">
        <v>0</v>
      </c>
    </row>
    <row r="5131" spans="1:18">
      <c r="A5131" s="4">
        <v>992947000000000</v>
      </c>
      <c r="B5131" t="s">
        <v>18</v>
      </c>
      <c r="C5131">
        <v>51</v>
      </c>
      <c r="D5131" t="s">
        <v>35</v>
      </c>
      <c r="E5131" t="s">
        <v>51</v>
      </c>
      <c r="F5131" s="1">
        <v>42509</v>
      </c>
      <c r="G5131" s="1">
        <v>42528</v>
      </c>
      <c r="H5131" t="s">
        <v>41</v>
      </c>
      <c r="I5131">
        <v>19</v>
      </c>
      <c r="J5131" t="s">
        <v>77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 t="s">
        <v>23</v>
      </c>
      <c r="R5131">
        <v>0</v>
      </c>
    </row>
    <row r="5132" spans="1:18">
      <c r="A5132" s="4">
        <v>43327900000000</v>
      </c>
      <c r="B5132" t="s">
        <v>18</v>
      </c>
      <c r="C5132">
        <v>59</v>
      </c>
      <c r="D5132" t="s">
        <v>35</v>
      </c>
      <c r="E5132" t="s">
        <v>47</v>
      </c>
      <c r="F5132" s="1">
        <v>42510</v>
      </c>
      <c r="G5132" s="1">
        <v>42514</v>
      </c>
      <c r="H5132" t="s">
        <v>41</v>
      </c>
      <c r="I5132">
        <v>4</v>
      </c>
      <c r="J5132" t="s">
        <v>107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1</v>
      </c>
      <c r="Q5132" t="s">
        <v>23</v>
      </c>
      <c r="R5132">
        <v>0</v>
      </c>
    </row>
    <row r="5133" spans="1:18">
      <c r="A5133" s="4">
        <v>741274000000</v>
      </c>
      <c r="B5133" t="s">
        <v>18</v>
      </c>
      <c r="C5133">
        <v>52</v>
      </c>
      <c r="D5133" t="s">
        <v>35</v>
      </c>
      <c r="E5133" t="s">
        <v>29</v>
      </c>
      <c r="F5133" s="1">
        <v>42510</v>
      </c>
      <c r="G5133" s="1">
        <v>42515</v>
      </c>
      <c r="H5133" t="s">
        <v>25</v>
      </c>
      <c r="I5133">
        <v>5</v>
      </c>
      <c r="J5133" t="s">
        <v>107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1</v>
      </c>
      <c r="Q5133" t="s">
        <v>23</v>
      </c>
      <c r="R5133">
        <v>0</v>
      </c>
    </row>
    <row r="5134" spans="1:18">
      <c r="A5134" s="4">
        <v>24677300000000</v>
      </c>
      <c r="B5134" t="s">
        <v>18</v>
      </c>
      <c r="C5134">
        <v>56</v>
      </c>
      <c r="D5134" t="s">
        <v>35</v>
      </c>
      <c r="E5134" t="s">
        <v>40</v>
      </c>
      <c r="F5134" s="1">
        <v>42510</v>
      </c>
      <c r="G5134" s="1">
        <v>42522</v>
      </c>
      <c r="H5134" t="s">
        <v>25</v>
      </c>
      <c r="I5134">
        <v>12</v>
      </c>
      <c r="J5134" t="s">
        <v>92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1</v>
      </c>
      <c r="Q5134" t="s">
        <v>23</v>
      </c>
      <c r="R5134">
        <v>0</v>
      </c>
    </row>
    <row r="5135" spans="1:18">
      <c r="A5135" s="4">
        <v>1775390000000</v>
      </c>
      <c r="B5135" t="s">
        <v>18</v>
      </c>
      <c r="C5135">
        <v>58</v>
      </c>
      <c r="D5135" t="s">
        <v>35</v>
      </c>
      <c r="E5135" t="s">
        <v>68</v>
      </c>
      <c r="F5135" s="1">
        <v>42510</v>
      </c>
      <c r="G5135" s="1">
        <v>42514</v>
      </c>
      <c r="H5135" t="s">
        <v>41</v>
      </c>
      <c r="I5135">
        <v>4</v>
      </c>
      <c r="J5135" t="s">
        <v>107</v>
      </c>
      <c r="K5135">
        <v>0</v>
      </c>
      <c r="L5135">
        <v>1</v>
      </c>
      <c r="M5135">
        <v>0</v>
      </c>
      <c r="N5135">
        <v>0</v>
      </c>
      <c r="O5135">
        <v>0</v>
      </c>
      <c r="P5135">
        <v>1</v>
      </c>
      <c r="Q5135" t="s">
        <v>23</v>
      </c>
      <c r="R5135">
        <v>0</v>
      </c>
    </row>
    <row r="5136" spans="1:18">
      <c r="A5136" s="4">
        <v>949255000000</v>
      </c>
      <c r="B5136" t="s">
        <v>28</v>
      </c>
      <c r="C5136">
        <v>49</v>
      </c>
      <c r="D5136" t="s">
        <v>27</v>
      </c>
      <c r="E5136" t="s">
        <v>100</v>
      </c>
      <c r="F5136" s="1">
        <v>42510</v>
      </c>
      <c r="G5136" s="1">
        <v>42515</v>
      </c>
      <c r="H5136" t="s">
        <v>25</v>
      </c>
      <c r="I5136">
        <v>5</v>
      </c>
      <c r="J5136" t="s">
        <v>107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1</v>
      </c>
      <c r="Q5136" t="s">
        <v>23</v>
      </c>
      <c r="R5136">
        <v>0</v>
      </c>
    </row>
    <row r="5137" spans="1:18">
      <c r="A5137" s="4">
        <v>29513841931</v>
      </c>
      <c r="B5137" t="s">
        <v>28</v>
      </c>
      <c r="C5137">
        <v>58</v>
      </c>
      <c r="D5137" t="s">
        <v>35</v>
      </c>
      <c r="E5137" t="s">
        <v>52</v>
      </c>
      <c r="F5137" s="1">
        <v>42510</v>
      </c>
      <c r="G5137" s="1">
        <v>42523</v>
      </c>
      <c r="H5137" t="s">
        <v>33</v>
      </c>
      <c r="I5137">
        <v>13</v>
      </c>
      <c r="J5137" t="s">
        <v>92</v>
      </c>
      <c r="K5137">
        <v>0</v>
      </c>
      <c r="L5137">
        <v>1</v>
      </c>
      <c r="M5137">
        <v>0</v>
      </c>
      <c r="N5137">
        <v>0</v>
      </c>
      <c r="O5137">
        <v>0</v>
      </c>
      <c r="P5137">
        <v>0</v>
      </c>
      <c r="Q5137" t="s">
        <v>23</v>
      </c>
      <c r="R5137">
        <v>0</v>
      </c>
    </row>
    <row r="5138" spans="1:18">
      <c r="A5138" s="4">
        <v>9245200000000</v>
      </c>
      <c r="B5138" t="s">
        <v>28</v>
      </c>
      <c r="C5138">
        <v>41</v>
      </c>
      <c r="D5138" t="s">
        <v>27</v>
      </c>
      <c r="E5138" t="s">
        <v>40</v>
      </c>
      <c r="F5138" s="1">
        <v>42510</v>
      </c>
      <c r="G5138" s="1">
        <v>42522</v>
      </c>
      <c r="H5138" t="s">
        <v>25</v>
      </c>
      <c r="I5138">
        <v>12</v>
      </c>
      <c r="J5138" t="s">
        <v>92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23</v>
      </c>
      <c r="R5138">
        <v>0</v>
      </c>
    </row>
    <row r="5139" spans="1:18">
      <c r="A5139" s="4">
        <v>35284700000000</v>
      </c>
      <c r="B5139" t="s">
        <v>18</v>
      </c>
      <c r="C5139">
        <v>26</v>
      </c>
      <c r="D5139" t="s">
        <v>37</v>
      </c>
      <c r="E5139" t="s">
        <v>39</v>
      </c>
      <c r="F5139" s="1">
        <v>42510</v>
      </c>
      <c r="G5139" s="1">
        <v>42510</v>
      </c>
      <c r="H5139" t="s">
        <v>21</v>
      </c>
      <c r="I5139">
        <v>0</v>
      </c>
      <c r="J5139" t="s">
        <v>111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23</v>
      </c>
      <c r="R5139">
        <v>0</v>
      </c>
    </row>
    <row r="5140" spans="1:18">
      <c r="A5140" s="4">
        <v>18435600000000</v>
      </c>
      <c r="B5140" t="s">
        <v>28</v>
      </c>
      <c r="C5140">
        <v>29</v>
      </c>
      <c r="D5140" t="s">
        <v>37</v>
      </c>
      <c r="E5140" t="s">
        <v>43</v>
      </c>
      <c r="F5140" s="1">
        <v>42510</v>
      </c>
      <c r="G5140" s="1">
        <v>42514</v>
      </c>
      <c r="H5140" t="s">
        <v>41</v>
      </c>
      <c r="I5140">
        <v>4</v>
      </c>
      <c r="J5140" t="s">
        <v>107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1</v>
      </c>
      <c r="Q5140" t="s">
        <v>23</v>
      </c>
      <c r="R5140">
        <v>0</v>
      </c>
    </row>
    <row r="5141" spans="1:18">
      <c r="A5141" s="4">
        <v>5625730000000</v>
      </c>
      <c r="B5141" t="s">
        <v>18</v>
      </c>
      <c r="C5141">
        <v>85</v>
      </c>
      <c r="D5141" t="s">
        <v>19</v>
      </c>
      <c r="E5141" t="s">
        <v>82</v>
      </c>
      <c r="F5141" s="1">
        <v>42510</v>
      </c>
      <c r="G5141" s="1">
        <v>42514</v>
      </c>
      <c r="H5141" t="s">
        <v>41</v>
      </c>
      <c r="I5141">
        <v>4</v>
      </c>
      <c r="J5141" t="s">
        <v>107</v>
      </c>
      <c r="K5141">
        <v>0</v>
      </c>
      <c r="L5141">
        <v>1</v>
      </c>
      <c r="M5141">
        <v>0</v>
      </c>
      <c r="N5141">
        <v>0</v>
      </c>
      <c r="O5141">
        <v>0</v>
      </c>
      <c r="P5141">
        <v>1</v>
      </c>
      <c r="Q5141" t="s">
        <v>23</v>
      </c>
      <c r="R5141">
        <v>0</v>
      </c>
    </row>
    <row r="5142" spans="1:18">
      <c r="A5142" s="4">
        <v>84965500000000</v>
      </c>
      <c r="B5142" t="s">
        <v>28</v>
      </c>
      <c r="C5142">
        <v>46</v>
      </c>
      <c r="D5142" t="s">
        <v>27</v>
      </c>
      <c r="E5142" t="s">
        <v>39</v>
      </c>
      <c r="F5142" s="1">
        <v>42510</v>
      </c>
      <c r="G5142" s="1">
        <v>42514</v>
      </c>
      <c r="H5142" t="s">
        <v>41</v>
      </c>
      <c r="I5142">
        <v>4</v>
      </c>
      <c r="J5142" t="s">
        <v>107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26</v>
      </c>
      <c r="R5142">
        <v>1</v>
      </c>
    </row>
    <row r="5143" spans="1:18">
      <c r="A5143" s="4">
        <v>3586890000000</v>
      </c>
      <c r="B5143" t="s">
        <v>18</v>
      </c>
      <c r="C5143">
        <v>50</v>
      </c>
      <c r="D5143" t="s">
        <v>27</v>
      </c>
      <c r="E5143" t="s">
        <v>39</v>
      </c>
      <c r="F5143" s="1">
        <v>42510</v>
      </c>
      <c r="G5143" s="1">
        <v>42514</v>
      </c>
      <c r="H5143" t="s">
        <v>41</v>
      </c>
      <c r="I5143">
        <v>4</v>
      </c>
      <c r="J5143" t="s">
        <v>107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1</v>
      </c>
      <c r="Q5143" t="s">
        <v>26</v>
      </c>
      <c r="R5143">
        <v>1</v>
      </c>
    </row>
    <row r="5144" spans="1:18">
      <c r="A5144" s="4">
        <v>32965600000000</v>
      </c>
      <c r="B5144" t="s">
        <v>28</v>
      </c>
      <c r="C5144">
        <v>18</v>
      </c>
      <c r="D5144" t="s">
        <v>37</v>
      </c>
      <c r="E5144" t="s">
        <v>51</v>
      </c>
      <c r="F5144" s="1">
        <v>42510</v>
      </c>
      <c r="G5144" s="1">
        <v>42510</v>
      </c>
      <c r="H5144" t="s">
        <v>21</v>
      </c>
      <c r="I5144">
        <v>0</v>
      </c>
      <c r="J5144" t="s">
        <v>111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23</v>
      </c>
      <c r="R5144">
        <v>0</v>
      </c>
    </row>
    <row r="5145" spans="1:18">
      <c r="A5145" s="4">
        <v>269919126</v>
      </c>
      <c r="B5145" t="s">
        <v>18</v>
      </c>
      <c r="C5145">
        <v>0</v>
      </c>
      <c r="D5145" t="s">
        <v>31</v>
      </c>
      <c r="E5145" t="s">
        <v>90</v>
      </c>
      <c r="F5145" s="1">
        <v>42510</v>
      </c>
      <c r="G5145" s="1">
        <v>42510</v>
      </c>
      <c r="H5145" t="s">
        <v>21</v>
      </c>
      <c r="I5145">
        <v>0</v>
      </c>
      <c r="J5145" t="s">
        <v>111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23</v>
      </c>
      <c r="R5145">
        <v>0</v>
      </c>
    </row>
    <row r="5146" spans="1:18">
      <c r="A5146" s="4">
        <v>566327000000000</v>
      </c>
      <c r="B5146" t="s">
        <v>18</v>
      </c>
      <c r="C5146">
        <v>11</v>
      </c>
      <c r="D5146" t="s">
        <v>31</v>
      </c>
      <c r="E5146" t="s">
        <v>47</v>
      </c>
      <c r="F5146" s="1">
        <v>42510</v>
      </c>
      <c r="G5146" s="1">
        <v>42510</v>
      </c>
      <c r="H5146" t="s">
        <v>21</v>
      </c>
      <c r="I5146">
        <v>0</v>
      </c>
      <c r="J5146" t="s">
        <v>111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23</v>
      </c>
      <c r="R5146">
        <v>0</v>
      </c>
    </row>
    <row r="5147" spans="1:18">
      <c r="A5147" s="4">
        <v>544118000000000</v>
      </c>
      <c r="B5147" t="s">
        <v>28</v>
      </c>
      <c r="C5147">
        <v>16</v>
      </c>
      <c r="D5147" t="s">
        <v>60</v>
      </c>
      <c r="E5147" t="s">
        <v>45</v>
      </c>
      <c r="F5147" s="1">
        <v>42510</v>
      </c>
      <c r="G5147" s="1">
        <v>42510</v>
      </c>
      <c r="H5147" t="s">
        <v>21</v>
      </c>
      <c r="I5147">
        <v>0</v>
      </c>
      <c r="J5147" t="s">
        <v>111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23</v>
      </c>
      <c r="R5147">
        <v>0</v>
      </c>
    </row>
    <row r="5148" spans="1:18">
      <c r="A5148" s="4">
        <v>28532500000000</v>
      </c>
      <c r="B5148" t="s">
        <v>18</v>
      </c>
      <c r="C5148">
        <v>62</v>
      </c>
      <c r="D5148" t="s">
        <v>35</v>
      </c>
      <c r="E5148" t="s">
        <v>54</v>
      </c>
      <c r="F5148" s="1">
        <v>42510</v>
      </c>
      <c r="G5148" s="1">
        <v>42515</v>
      </c>
      <c r="H5148" t="s">
        <v>25</v>
      </c>
      <c r="I5148">
        <v>5</v>
      </c>
      <c r="J5148" t="s">
        <v>107</v>
      </c>
      <c r="K5148">
        <v>0</v>
      </c>
      <c r="L5148">
        <v>1</v>
      </c>
      <c r="M5148">
        <v>0</v>
      </c>
      <c r="N5148">
        <v>0</v>
      </c>
      <c r="O5148">
        <v>0</v>
      </c>
      <c r="P5148">
        <v>1</v>
      </c>
      <c r="Q5148" t="s">
        <v>23</v>
      </c>
      <c r="R5148">
        <v>0</v>
      </c>
    </row>
    <row r="5149" spans="1:18">
      <c r="A5149" s="4">
        <v>18184700000000</v>
      </c>
      <c r="B5149" t="s">
        <v>28</v>
      </c>
      <c r="C5149">
        <v>37</v>
      </c>
      <c r="D5149" t="s">
        <v>27</v>
      </c>
      <c r="E5149" t="s">
        <v>40</v>
      </c>
      <c r="F5149" s="1">
        <v>42510</v>
      </c>
      <c r="G5149" s="1">
        <v>42524</v>
      </c>
      <c r="H5149" t="s">
        <v>21</v>
      </c>
      <c r="I5149">
        <v>14</v>
      </c>
      <c r="J5149" t="s">
        <v>92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 t="s">
        <v>23</v>
      </c>
      <c r="R5149">
        <v>0</v>
      </c>
    </row>
    <row r="5150" spans="1:18">
      <c r="A5150" s="4">
        <v>38543400000000</v>
      </c>
      <c r="B5150" t="s">
        <v>28</v>
      </c>
      <c r="C5150">
        <v>29</v>
      </c>
      <c r="D5150" t="s">
        <v>37</v>
      </c>
      <c r="E5150" t="s">
        <v>96</v>
      </c>
      <c r="F5150" s="1">
        <v>42510</v>
      </c>
      <c r="G5150" s="1">
        <v>42520</v>
      </c>
      <c r="H5150" t="s">
        <v>30</v>
      </c>
      <c r="I5150">
        <v>10</v>
      </c>
      <c r="J5150" t="s">
        <v>92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1</v>
      </c>
      <c r="Q5150" t="s">
        <v>26</v>
      </c>
      <c r="R5150">
        <v>1</v>
      </c>
    </row>
    <row r="5151" spans="1:18">
      <c r="A5151" s="4">
        <v>494174000000000</v>
      </c>
      <c r="B5151" t="s">
        <v>18</v>
      </c>
      <c r="C5151">
        <v>0</v>
      </c>
      <c r="D5151" t="s">
        <v>31</v>
      </c>
      <c r="E5151" t="s">
        <v>48</v>
      </c>
      <c r="F5151" s="1">
        <v>42510</v>
      </c>
      <c r="G5151" s="1">
        <v>42514</v>
      </c>
      <c r="H5151" t="s">
        <v>41</v>
      </c>
      <c r="I5151">
        <v>4</v>
      </c>
      <c r="J5151" t="s">
        <v>107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 t="s">
        <v>23</v>
      </c>
      <c r="R5151">
        <v>0</v>
      </c>
    </row>
    <row r="5152" spans="1:18">
      <c r="A5152" s="4">
        <v>986624000000000</v>
      </c>
      <c r="B5152" t="s">
        <v>18</v>
      </c>
      <c r="C5152">
        <v>59</v>
      </c>
      <c r="D5152" t="s">
        <v>35</v>
      </c>
      <c r="E5152" t="s">
        <v>40</v>
      </c>
      <c r="F5152" s="1">
        <v>42510</v>
      </c>
      <c r="G5152" s="1">
        <v>42520</v>
      </c>
      <c r="H5152" t="s">
        <v>30</v>
      </c>
      <c r="I5152">
        <v>10</v>
      </c>
      <c r="J5152" t="s">
        <v>92</v>
      </c>
      <c r="K5152">
        <v>0</v>
      </c>
      <c r="L5152">
        <v>1</v>
      </c>
      <c r="M5152">
        <v>0</v>
      </c>
      <c r="N5152">
        <v>0</v>
      </c>
      <c r="O5152">
        <v>0</v>
      </c>
      <c r="P5152">
        <v>1</v>
      </c>
      <c r="Q5152" t="s">
        <v>23</v>
      </c>
      <c r="R5152">
        <v>0</v>
      </c>
    </row>
    <row r="5153" spans="1:18">
      <c r="A5153" s="4">
        <v>58426000000000</v>
      </c>
      <c r="B5153" t="s">
        <v>18</v>
      </c>
      <c r="C5153">
        <v>9</v>
      </c>
      <c r="D5153" t="s">
        <v>31</v>
      </c>
      <c r="E5153" t="s">
        <v>73</v>
      </c>
      <c r="F5153" s="1">
        <v>42510</v>
      </c>
      <c r="G5153" s="1">
        <v>42515</v>
      </c>
      <c r="H5153" t="s">
        <v>25</v>
      </c>
      <c r="I5153">
        <v>5</v>
      </c>
      <c r="J5153" t="s">
        <v>107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1</v>
      </c>
      <c r="Q5153" t="s">
        <v>23</v>
      </c>
      <c r="R5153">
        <v>0</v>
      </c>
    </row>
    <row r="5154" spans="1:18">
      <c r="A5154" s="4">
        <v>974960000000</v>
      </c>
      <c r="B5154" t="s">
        <v>18</v>
      </c>
      <c r="C5154">
        <v>0</v>
      </c>
      <c r="D5154" t="s">
        <v>31</v>
      </c>
      <c r="E5154" t="s">
        <v>62</v>
      </c>
      <c r="F5154" s="1">
        <v>42510</v>
      </c>
      <c r="G5154" s="1">
        <v>42514</v>
      </c>
      <c r="H5154" t="s">
        <v>41</v>
      </c>
      <c r="I5154">
        <v>4</v>
      </c>
      <c r="J5154" t="s">
        <v>107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1</v>
      </c>
      <c r="Q5154" t="s">
        <v>23</v>
      </c>
      <c r="R5154">
        <v>0</v>
      </c>
    </row>
    <row r="5155" spans="1:18">
      <c r="A5155" s="4">
        <v>973316000000</v>
      </c>
      <c r="B5155" t="s">
        <v>28</v>
      </c>
      <c r="C5155">
        <v>64</v>
      </c>
      <c r="D5155" t="s">
        <v>35</v>
      </c>
      <c r="E5155" t="s">
        <v>108</v>
      </c>
      <c r="F5155" s="1">
        <v>42510</v>
      </c>
      <c r="G5155" s="1">
        <v>42510</v>
      </c>
      <c r="H5155" t="s">
        <v>21</v>
      </c>
      <c r="I5155">
        <v>0</v>
      </c>
      <c r="J5155" t="s">
        <v>111</v>
      </c>
      <c r="K5155">
        <v>0</v>
      </c>
      <c r="L5155">
        <v>0</v>
      </c>
      <c r="M5155">
        <v>0</v>
      </c>
      <c r="N5155">
        <v>1</v>
      </c>
      <c r="O5155">
        <v>0</v>
      </c>
      <c r="P5155">
        <v>0</v>
      </c>
      <c r="Q5155" t="s">
        <v>26</v>
      </c>
      <c r="R5155">
        <v>1</v>
      </c>
    </row>
    <row r="5156" spans="1:18">
      <c r="A5156" s="4">
        <v>6217940000000</v>
      </c>
      <c r="B5156" t="s">
        <v>18</v>
      </c>
      <c r="C5156">
        <v>8</v>
      </c>
      <c r="D5156" t="s">
        <v>31</v>
      </c>
      <c r="E5156" t="s">
        <v>66</v>
      </c>
      <c r="F5156" s="1">
        <v>42510</v>
      </c>
      <c r="G5156" s="1">
        <v>42521</v>
      </c>
      <c r="H5156" t="s">
        <v>41</v>
      </c>
      <c r="I5156">
        <v>11</v>
      </c>
      <c r="J5156" t="s">
        <v>92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1</v>
      </c>
      <c r="Q5156" t="s">
        <v>23</v>
      </c>
      <c r="R5156">
        <v>0</v>
      </c>
    </row>
    <row r="5157" spans="1:18">
      <c r="A5157" s="4">
        <v>447248000000</v>
      </c>
      <c r="B5157" t="s">
        <v>18</v>
      </c>
      <c r="C5157">
        <v>20</v>
      </c>
      <c r="D5157" t="s">
        <v>37</v>
      </c>
      <c r="E5157" t="s">
        <v>52</v>
      </c>
      <c r="F5157" s="1">
        <v>42510</v>
      </c>
      <c r="G5157" s="1">
        <v>42514</v>
      </c>
      <c r="H5157" t="s">
        <v>41</v>
      </c>
      <c r="I5157">
        <v>4</v>
      </c>
      <c r="J5157" t="s">
        <v>107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1</v>
      </c>
      <c r="Q5157" t="s">
        <v>23</v>
      </c>
      <c r="R5157">
        <v>0</v>
      </c>
    </row>
    <row r="5158" spans="1:18">
      <c r="A5158" s="4">
        <v>945639000000000</v>
      </c>
      <c r="B5158" t="s">
        <v>18</v>
      </c>
      <c r="C5158">
        <v>51</v>
      </c>
      <c r="D5158" t="s">
        <v>35</v>
      </c>
      <c r="E5158" t="s">
        <v>24</v>
      </c>
      <c r="F5158" s="1">
        <v>42510</v>
      </c>
      <c r="G5158" s="1">
        <v>42514</v>
      </c>
      <c r="H5158" t="s">
        <v>41</v>
      </c>
      <c r="I5158">
        <v>4</v>
      </c>
      <c r="J5158" t="s">
        <v>107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1</v>
      </c>
      <c r="Q5158" t="s">
        <v>23</v>
      </c>
      <c r="R5158">
        <v>0</v>
      </c>
    </row>
    <row r="5159" spans="1:18">
      <c r="A5159" s="4">
        <v>4297540000000</v>
      </c>
      <c r="B5159" t="s">
        <v>28</v>
      </c>
      <c r="C5159">
        <v>40</v>
      </c>
      <c r="D5159" t="s">
        <v>27</v>
      </c>
      <c r="E5159" t="s">
        <v>64</v>
      </c>
      <c r="F5159" s="1">
        <v>42510</v>
      </c>
      <c r="G5159" s="1">
        <v>42514</v>
      </c>
      <c r="H5159" t="s">
        <v>41</v>
      </c>
      <c r="I5159">
        <v>4</v>
      </c>
      <c r="J5159" t="s">
        <v>107</v>
      </c>
      <c r="K5159">
        <v>0</v>
      </c>
      <c r="L5159">
        <v>0</v>
      </c>
      <c r="M5159">
        <v>0</v>
      </c>
      <c r="N5159">
        <v>1</v>
      </c>
      <c r="O5159">
        <v>0</v>
      </c>
      <c r="P5159">
        <v>1</v>
      </c>
      <c r="Q5159" t="s">
        <v>26</v>
      </c>
      <c r="R5159">
        <v>1</v>
      </c>
    </row>
    <row r="5160" spans="1:18">
      <c r="A5160" s="4">
        <v>45987900000000</v>
      </c>
      <c r="B5160" t="s">
        <v>18</v>
      </c>
      <c r="C5160">
        <v>29</v>
      </c>
      <c r="D5160" t="s">
        <v>37</v>
      </c>
      <c r="E5160" t="s">
        <v>68</v>
      </c>
      <c r="F5160" s="1">
        <v>42510</v>
      </c>
      <c r="G5160" s="1">
        <v>42521</v>
      </c>
      <c r="H5160" t="s">
        <v>41</v>
      </c>
      <c r="I5160">
        <v>11</v>
      </c>
      <c r="J5160" t="s">
        <v>92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1</v>
      </c>
      <c r="Q5160" t="s">
        <v>23</v>
      </c>
      <c r="R5160">
        <v>0</v>
      </c>
    </row>
    <row r="5161" spans="1:18">
      <c r="A5161" s="4">
        <v>72912800000000</v>
      </c>
      <c r="B5161" t="s">
        <v>18</v>
      </c>
      <c r="C5161">
        <v>42</v>
      </c>
      <c r="D5161" t="s">
        <v>27</v>
      </c>
      <c r="E5161" t="s">
        <v>59</v>
      </c>
      <c r="F5161" s="1">
        <v>42510</v>
      </c>
      <c r="G5161" s="1">
        <v>42510</v>
      </c>
      <c r="H5161" t="s">
        <v>21</v>
      </c>
      <c r="I5161">
        <v>0</v>
      </c>
      <c r="J5161" t="s">
        <v>111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 t="s">
        <v>23</v>
      </c>
      <c r="R5161">
        <v>0</v>
      </c>
    </row>
    <row r="5162" spans="1:18">
      <c r="A5162" s="4">
        <v>52986800000000</v>
      </c>
      <c r="B5162" t="s">
        <v>28</v>
      </c>
      <c r="C5162">
        <v>13</v>
      </c>
      <c r="D5162" t="s">
        <v>60</v>
      </c>
      <c r="E5162" t="s">
        <v>48</v>
      </c>
      <c r="F5162" s="1">
        <v>42510</v>
      </c>
      <c r="G5162" s="1">
        <v>42521</v>
      </c>
      <c r="H5162" t="s">
        <v>41</v>
      </c>
      <c r="I5162">
        <v>11</v>
      </c>
      <c r="J5162" t="s">
        <v>92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1</v>
      </c>
      <c r="Q5162" t="s">
        <v>23</v>
      </c>
      <c r="R5162">
        <v>0</v>
      </c>
    </row>
    <row r="5163" spans="1:18">
      <c r="A5163" s="4">
        <v>4761950000000</v>
      </c>
      <c r="B5163" t="s">
        <v>28</v>
      </c>
      <c r="C5163">
        <v>20</v>
      </c>
      <c r="D5163" t="s">
        <v>37</v>
      </c>
      <c r="E5163" t="s">
        <v>71</v>
      </c>
      <c r="F5163" s="1">
        <v>42510</v>
      </c>
      <c r="G5163" s="1">
        <v>42514</v>
      </c>
      <c r="H5163" t="s">
        <v>41</v>
      </c>
      <c r="I5163">
        <v>4</v>
      </c>
      <c r="J5163" t="s">
        <v>107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1</v>
      </c>
      <c r="Q5163" t="s">
        <v>23</v>
      </c>
      <c r="R5163">
        <v>0</v>
      </c>
    </row>
    <row r="5164" spans="1:18">
      <c r="A5164" s="4">
        <v>883943000000</v>
      </c>
      <c r="B5164" t="s">
        <v>18</v>
      </c>
      <c r="C5164">
        <v>16</v>
      </c>
      <c r="D5164" t="s">
        <v>60</v>
      </c>
      <c r="E5164" t="s">
        <v>84</v>
      </c>
      <c r="F5164" s="1">
        <v>42510</v>
      </c>
      <c r="G5164" s="1">
        <v>42515</v>
      </c>
      <c r="H5164" t="s">
        <v>25</v>
      </c>
      <c r="I5164">
        <v>5</v>
      </c>
      <c r="J5164" t="s">
        <v>107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1</v>
      </c>
      <c r="Q5164" t="s">
        <v>23</v>
      </c>
      <c r="R5164">
        <v>0</v>
      </c>
    </row>
    <row r="5165" spans="1:18">
      <c r="A5165" s="4">
        <v>746752000000000</v>
      </c>
      <c r="B5165" t="s">
        <v>18</v>
      </c>
      <c r="C5165">
        <v>37</v>
      </c>
      <c r="D5165" t="s">
        <v>27</v>
      </c>
      <c r="E5165" t="s">
        <v>66</v>
      </c>
      <c r="F5165" s="1">
        <v>42510</v>
      </c>
      <c r="G5165" s="1">
        <v>42522</v>
      </c>
      <c r="H5165" t="s">
        <v>25</v>
      </c>
      <c r="I5165">
        <v>12</v>
      </c>
      <c r="J5165" t="s">
        <v>92</v>
      </c>
      <c r="K5165">
        <v>1</v>
      </c>
      <c r="L5165">
        <v>0</v>
      </c>
      <c r="M5165">
        <v>0</v>
      </c>
      <c r="N5165">
        <v>0</v>
      </c>
      <c r="O5165">
        <v>0</v>
      </c>
      <c r="P5165">
        <v>1</v>
      </c>
      <c r="Q5165" t="s">
        <v>26</v>
      </c>
      <c r="R5165">
        <v>1</v>
      </c>
    </row>
    <row r="5166" spans="1:18">
      <c r="A5166" s="4">
        <v>8852490000000</v>
      </c>
      <c r="B5166" t="s">
        <v>18</v>
      </c>
      <c r="C5166">
        <v>18</v>
      </c>
      <c r="D5166" t="s">
        <v>37</v>
      </c>
      <c r="E5166" t="s">
        <v>84</v>
      </c>
      <c r="F5166" s="1">
        <v>42510</v>
      </c>
      <c r="G5166" s="1">
        <v>42510</v>
      </c>
      <c r="H5166" t="s">
        <v>21</v>
      </c>
      <c r="I5166">
        <v>0</v>
      </c>
      <c r="J5166" t="s">
        <v>111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23</v>
      </c>
      <c r="R5166">
        <v>0</v>
      </c>
    </row>
    <row r="5167" spans="1:18">
      <c r="A5167" s="4">
        <v>556844000000</v>
      </c>
      <c r="B5167" t="s">
        <v>18</v>
      </c>
      <c r="C5167">
        <v>65</v>
      </c>
      <c r="D5167" t="s">
        <v>35</v>
      </c>
      <c r="E5167" t="s">
        <v>47</v>
      </c>
      <c r="F5167" s="1">
        <v>42510</v>
      </c>
      <c r="G5167" s="1">
        <v>42510</v>
      </c>
      <c r="H5167" t="s">
        <v>21</v>
      </c>
      <c r="I5167">
        <v>0</v>
      </c>
      <c r="J5167" t="s">
        <v>111</v>
      </c>
      <c r="K5167">
        <v>0</v>
      </c>
      <c r="L5167">
        <v>1</v>
      </c>
      <c r="M5167">
        <v>1</v>
      </c>
      <c r="N5167">
        <v>0</v>
      </c>
      <c r="O5167">
        <v>0</v>
      </c>
      <c r="P5167">
        <v>0</v>
      </c>
      <c r="Q5167" t="s">
        <v>23</v>
      </c>
      <c r="R5167">
        <v>0</v>
      </c>
    </row>
    <row r="5168" spans="1:18">
      <c r="A5168" s="4">
        <v>4297540000000</v>
      </c>
      <c r="B5168" t="s">
        <v>28</v>
      </c>
      <c r="C5168">
        <v>40</v>
      </c>
      <c r="D5168" t="s">
        <v>27</v>
      </c>
      <c r="E5168" t="s">
        <v>64</v>
      </c>
      <c r="F5168" s="1">
        <v>42510</v>
      </c>
      <c r="G5168" s="1">
        <v>42510</v>
      </c>
      <c r="H5168" t="s">
        <v>21</v>
      </c>
      <c r="I5168">
        <v>0</v>
      </c>
      <c r="J5168" t="s">
        <v>111</v>
      </c>
      <c r="K5168">
        <v>0</v>
      </c>
      <c r="L5168">
        <v>0</v>
      </c>
      <c r="M5168">
        <v>0</v>
      </c>
      <c r="N5168">
        <v>1</v>
      </c>
      <c r="O5168">
        <v>0</v>
      </c>
      <c r="P5168">
        <v>0</v>
      </c>
      <c r="Q5168" t="s">
        <v>23</v>
      </c>
      <c r="R5168">
        <v>0</v>
      </c>
    </row>
    <row r="5169" spans="1:18">
      <c r="A5169" s="4">
        <v>3825860000000</v>
      </c>
      <c r="B5169" t="s">
        <v>28</v>
      </c>
      <c r="C5169">
        <v>3</v>
      </c>
      <c r="D5169" t="s">
        <v>31</v>
      </c>
      <c r="E5169" t="s">
        <v>55</v>
      </c>
      <c r="F5169" s="1">
        <v>42510</v>
      </c>
      <c r="G5169" s="1">
        <v>42510</v>
      </c>
      <c r="H5169" t="s">
        <v>21</v>
      </c>
      <c r="I5169">
        <v>0</v>
      </c>
      <c r="J5169" t="s">
        <v>111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 t="s">
        <v>23</v>
      </c>
      <c r="R5169">
        <v>0</v>
      </c>
    </row>
    <row r="5170" spans="1:18">
      <c r="A5170" s="4">
        <v>76749400000000</v>
      </c>
      <c r="B5170" t="s">
        <v>18</v>
      </c>
      <c r="C5170">
        <v>2</v>
      </c>
      <c r="D5170" t="s">
        <v>31</v>
      </c>
      <c r="E5170" t="s">
        <v>59</v>
      </c>
      <c r="F5170" s="1">
        <v>42510</v>
      </c>
      <c r="G5170" s="1">
        <v>42510</v>
      </c>
      <c r="H5170" t="s">
        <v>21</v>
      </c>
      <c r="I5170">
        <v>0</v>
      </c>
      <c r="J5170" t="s">
        <v>111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23</v>
      </c>
      <c r="R5170">
        <v>0</v>
      </c>
    </row>
    <row r="5171" spans="1:18">
      <c r="A5171" s="4">
        <v>73738500000000</v>
      </c>
      <c r="B5171" t="s">
        <v>18</v>
      </c>
      <c r="C5171">
        <v>24</v>
      </c>
      <c r="D5171" t="s">
        <v>37</v>
      </c>
      <c r="E5171" t="s">
        <v>78</v>
      </c>
      <c r="F5171" s="1">
        <v>42510</v>
      </c>
      <c r="G5171" s="1">
        <v>42510</v>
      </c>
      <c r="H5171" t="s">
        <v>21</v>
      </c>
      <c r="I5171">
        <v>0</v>
      </c>
      <c r="J5171" t="s">
        <v>111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 t="s">
        <v>23</v>
      </c>
      <c r="R5171">
        <v>0</v>
      </c>
    </row>
    <row r="5172" spans="1:18">
      <c r="A5172" s="4">
        <v>32787100000000</v>
      </c>
      <c r="B5172" t="s">
        <v>18</v>
      </c>
      <c r="C5172">
        <v>50</v>
      </c>
      <c r="D5172" t="s">
        <v>27</v>
      </c>
      <c r="E5172" t="s">
        <v>94</v>
      </c>
      <c r="F5172" s="1">
        <v>42510</v>
      </c>
      <c r="G5172" s="1">
        <v>42527</v>
      </c>
      <c r="H5172" t="s">
        <v>30</v>
      </c>
      <c r="I5172">
        <v>17</v>
      </c>
      <c r="J5172" t="s">
        <v>77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26</v>
      </c>
      <c r="R5172">
        <v>1</v>
      </c>
    </row>
    <row r="5173" spans="1:18">
      <c r="A5173" s="4">
        <v>611759000000000</v>
      </c>
      <c r="B5173" t="s">
        <v>18</v>
      </c>
      <c r="C5173">
        <v>47</v>
      </c>
      <c r="D5173" t="s">
        <v>27</v>
      </c>
      <c r="E5173" t="s">
        <v>42</v>
      </c>
      <c r="F5173" s="1">
        <v>42510</v>
      </c>
      <c r="G5173" s="1">
        <v>42527</v>
      </c>
      <c r="H5173" t="s">
        <v>30</v>
      </c>
      <c r="I5173">
        <v>17</v>
      </c>
      <c r="J5173" t="s">
        <v>77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1</v>
      </c>
      <c r="Q5173" t="s">
        <v>23</v>
      </c>
      <c r="R5173">
        <v>0</v>
      </c>
    </row>
    <row r="5174" spans="1:18">
      <c r="A5174" s="4">
        <v>5174760000000</v>
      </c>
      <c r="B5174" t="s">
        <v>18</v>
      </c>
      <c r="C5174">
        <v>0</v>
      </c>
      <c r="D5174" t="s">
        <v>31</v>
      </c>
      <c r="E5174" t="s">
        <v>105</v>
      </c>
      <c r="F5174" s="1">
        <v>42510</v>
      </c>
      <c r="G5174" s="1">
        <v>42514</v>
      </c>
      <c r="H5174" t="s">
        <v>41</v>
      </c>
      <c r="I5174">
        <v>4</v>
      </c>
      <c r="J5174" t="s">
        <v>107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1</v>
      </c>
      <c r="Q5174" t="s">
        <v>26</v>
      </c>
      <c r="R5174">
        <v>1</v>
      </c>
    </row>
    <row r="5175" spans="1:18">
      <c r="A5175" s="4">
        <v>825821000000000</v>
      </c>
      <c r="B5175" t="s">
        <v>28</v>
      </c>
      <c r="C5175">
        <v>7</v>
      </c>
      <c r="D5175" t="s">
        <v>31</v>
      </c>
      <c r="E5175" t="s">
        <v>75</v>
      </c>
      <c r="F5175" s="1">
        <v>42510</v>
      </c>
      <c r="G5175" s="1">
        <v>42510</v>
      </c>
      <c r="H5175" t="s">
        <v>21</v>
      </c>
      <c r="I5175">
        <v>0</v>
      </c>
      <c r="J5175" t="s">
        <v>111</v>
      </c>
      <c r="K5175">
        <v>1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23</v>
      </c>
      <c r="R5175">
        <v>0</v>
      </c>
    </row>
    <row r="5176" spans="1:18">
      <c r="A5176" s="4">
        <v>39371100000000</v>
      </c>
      <c r="B5176" t="s">
        <v>18</v>
      </c>
      <c r="C5176">
        <v>85</v>
      </c>
      <c r="D5176" t="s">
        <v>19</v>
      </c>
      <c r="E5176" t="s">
        <v>39</v>
      </c>
      <c r="F5176" s="1">
        <v>42510</v>
      </c>
      <c r="G5176" s="1">
        <v>42514</v>
      </c>
      <c r="H5176" t="s">
        <v>41</v>
      </c>
      <c r="I5176">
        <v>4</v>
      </c>
      <c r="J5176" t="s">
        <v>107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1</v>
      </c>
      <c r="Q5176" t="s">
        <v>26</v>
      </c>
      <c r="R5176">
        <v>1</v>
      </c>
    </row>
    <row r="5177" spans="1:18">
      <c r="A5177" s="4">
        <v>6361580000000</v>
      </c>
      <c r="B5177" t="s">
        <v>18</v>
      </c>
      <c r="C5177">
        <v>40</v>
      </c>
      <c r="D5177" t="s">
        <v>27</v>
      </c>
      <c r="E5177" t="s">
        <v>78</v>
      </c>
      <c r="F5177" s="1">
        <v>42510</v>
      </c>
      <c r="G5177" s="1">
        <v>42514</v>
      </c>
      <c r="H5177" t="s">
        <v>41</v>
      </c>
      <c r="I5177">
        <v>4</v>
      </c>
      <c r="J5177" t="s">
        <v>107</v>
      </c>
      <c r="K5177">
        <v>0</v>
      </c>
      <c r="L5177">
        <v>0</v>
      </c>
      <c r="M5177">
        <v>0</v>
      </c>
      <c r="N5177">
        <v>0</v>
      </c>
      <c r="O5177">
        <v>1</v>
      </c>
      <c r="P5177">
        <v>1</v>
      </c>
      <c r="Q5177" t="s">
        <v>23</v>
      </c>
      <c r="R5177">
        <v>0</v>
      </c>
    </row>
    <row r="5178" spans="1:18">
      <c r="A5178" s="4">
        <v>2884270000000</v>
      </c>
      <c r="B5178" t="s">
        <v>28</v>
      </c>
      <c r="C5178">
        <v>22</v>
      </c>
      <c r="D5178" t="s">
        <v>37</v>
      </c>
      <c r="E5178" t="s">
        <v>95</v>
      </c>
      <c r="F5178" s="1">
        <v>42510</v>
      </c>
      <c r="G5178" s="1">
        <v>42528</v>
      </c>
      <c r="H5178" t="s">
        <v>41</v>
      </c>
      <c r="I5178">
        <v>18</v>
      </c>
      <c r="J5178" t="s">
        <v>77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26</v>
      </c>
      <c r="R5178">
        <v>1</v>
      </c>
    </row>
    <row r="5179" spans="1:18">
      <c r="A5179" s="4">
        <v>8619450000000</v>
      </c>
      <c r="B5179" t="s">
        <v>18</v>
      </c>
      <c r="C5179">
        <v>36</v>
      </c>
      <c r="D5179" t="s">
        <v>27</v>
      </c>
      <c r="E5179" t="s">
        <v>55</v>
      </c>
      <c r="F5179" s="1">
        <v>42510</v>
      </c>
      <c r="G5179" s="1">
        <v>42510</v>
      </c>
      <c r="H5179" t="s">
        <v>21</v>
      </c>
      <c r="I5179">
        <v>0</v>
      </c>
      <c r="J5179" t="s">
        <v>111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23</v>
      </c>
      <c r="R5179">
        <v>0</v>
      </c>
    </row>
    <row r="5180" spans="1:18">
      <c r="A5180" s="4">
        <v>5472350000000</v>
      </c>
      <c r="B5180" t="s">
        <v>18</v>
      </c>
      <c r="C5180">
        <v>57</v>
      </c>
      <c r="D5180" t="s">
        <v>35</v>
      </c>
      <c r="E5180" t="s">
        <v>95</v>
      </c>
      <c r="F5180" s="1">
        <v>42510</v>
      </c>
      <c r="G5180" s="1">
        <v>42528</v>
      </c>
      <c r="H5180" t="s">
        <v>41</v>
      </c>
      <c r="I5180">
        <v>18</v>
      </c>
      <c r="J5180" t="s">
        <v>77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23</v>
      </c>
      <c r="R5180">
        <v>0</v>
      </c>
    </row>
    <row r="5181" spans="1:18">
      <c r="A5181" s="4">
        <v>2965140000000</v>
      </c>
      <c r="B5181" t="s">
        <v>18</v>
      </c>
      <c r="C5181">
        <v>72</v>
      </c>
      <c r="D5181" t="s">
        <v>19</v>
      </c>
      <c r="E5181" t="s">
        <v>48</v>
      </c>
      <c r="F5181" s="1">
        <v>42510</v>
      </c>
      <c r="G5181" s="1">
        <v>42520</v>
      </c>
      <c r="H5181" t="s">
        <v>30</v>
      </c>
      <c r="I5181">
        <v>10</v>
      </c>
      <c r="J5181" t="s">
        <v>92</v>
      </c>
      <c r="K5181">
        <v>0</v>
      </c>
      <c r="L5181">
        <v>1</v>
      </c>
      <c r="M5181">
        <v>0</v>
      </c>
      <c r="N5181">
        <v>0</v>
      </c>
      <c r="O5181">
        <v>0</v>
      </c>
      <c r="P5181">
        <v>1</v>
      </c>
      <c r="Q5181" t="s">
        <v>23</v>
      </c>
      <c r="R5181">
        <v>0</v>
      </c>
    </row>
    <row r="5182" spans="1:18">
      <c r="A5182" s="4">
        <v>1793450000000</v>
      </c>
      <c r="B5182" t="s">
        <v>18</v>
      </c>
      <c r="C5182">
        <v>49</v>
      </c>
      <c r="D5182" t="s">
        <v>27</v>
      </c>
      <c r="E5182" t="s">
        <v>59</v>
      </c>
      <c r="F5182" s="1">
        <v>42510</v>
      </c>
      <c r="G5182" s="1">
        <v>42510</v>
      </c>
      <c r="H5182" t="s">
        <v>21</v>
      </c>
      <c r="I5182">
        <v>0</v>
      </c>
      <c r="J5182" t="s">
        <v>111</v>
      </c>
      <c r="K5182">
        <v>1</v>
      </c>
      <c r="L5182">
        <v>1</v>
      </c>
      <c r="M5182">
        <v>0</v>
      </c>
      <c r="N5182">
        <v>0</v>
      </c>
      <c r="O5182">
        <v>0</v>
      </c>
      <c r="P5182">
        <v>0</v>
      </c>
      <c r="Q5182" t="s">
        <v>23</v>
      </c>
      <c r="R5182">
        <v>0</v>
      </c>
    </row>
    <row r="5183" spans="1:18">
      <c r="A5183" s="4">
        <v>226149000000</v>
      </c>
      <c r="B5183" t="s">
        <v>28</v>
      </c>
      <c r="C5183">
        <v>34</v>
      </c>
      <c r="D5183" t="s">
        <v>37</v>
      </c>
      <c r="E5183" t="s">
        <v>71</v>
      </c>
      <c r="F5183" s="1">
        <v>42510</v>
      </c>
      <c r="G5183" s="1">
        <v>42510</v>
      </c>
      <c r="H5183" t="s">
        <v>21</v>
      </c>
      <c r="I5183">
        <v>0</v>
      </c>
      <c r="J5183" t="s">
        <v>111</v>
      </c>
      <c r="K5183">
        <v>0</v>
      </c>
      <c r="L5183">
        <v>1</v>
      </c>
      <c r="M5183">
        <v>0</v>
      </c>
      <c r="N5183">
        <v>0</v>
      </c>
      <c r="O5183">
        <v>0</v>
      </c>
      <c r="P5183">
        <v>0</v>
      </c>
      <c r="Q5183" t="s">
        <v>23</v>
      </c>
      <c r="R5183">
        <v>0</v>
      </c>
    </row>
    <row r="5184" spans="1:18">
      <c r="A5184" s="4">
        <v>155498000000</v>
      </c>
      <c r="B5184" t="s">
        <v>28</v>
      </c>
      <c r="C5184">
        <v>6</v>
      </c>
      <c r="D5184" t="s">
        <v>31</v>
      </c>
      <c r="E5184" t="s">
        <v>96</v>
      </c>
      <c r="F5184" s="1">
        <v>42510</v>
      </c>
      <c r="G5184" s="1">
        <v>42510</v>
      </c>
      <c r="H5184" t="s">
        <v>21</v>
      </c>
      <c r="I5184">
        <v>0</v>
      </c>
      <c r="J5184" t="s">
        <v>111</v>
      </c>
      <c r="K5184">
        <v>0</v>
      </c>
      <c r="L5184">
        <v>0</v>
      </c>
      <c r="M5184">
        <v>0</v>
      </c>
      <c r="N5184">
        <v>0</v>
      </c>
      <c r="O5184">
        <v>1</v>
      </c>
      <c r="P5184">
        <v>0</v>
      </c>
      <c r="Q5184" t="s">
        <v>23</v>
      </c>
      <c r="R5184">
        <v>0</v>
      </c>
    </row>
    <row r="5185" spans="1:18">
      <c r="A5185" s="4">
        <v>66756300000000</v>
      </c>
      <c r="B5185" t="s">
        <v>28</v>
      </c>
      <c r="C5185">
        <v>19</v>
      </c>
      <c r="D5185" t="s">
        <v>37</v>
      </c>
      <c r="E5185" t="s">
        <v>20</v>
      </c>
      <c r="F5185" s="1">
        <v>42510</v>
      </c>
      <c r="G5185" s="1">
        <v>42515</v>
      </c>
      <c r="H5185" t="s">
        <v>25</v>
      </c>
      <c r="I5185">
        <v>5</v>
      </c>
      <c r="J5185" t="s">
        <v>107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23</v>
      </c>
      <c r="R5185">
        <v>0</v>
      </c>
    </row>
    <row r="5186" spans="1:18">
      <c r="A5186" s="4">
        <v>74166700000000</v>
      </c>
      <c r="B5186" t="s">
        <v>18</v>
      </c>
      <c r="C5186">
        <v>59</v>
      </c>
      <c r="D5186" t="s">
        <v>35</v>
      </c>
      <c r="E5186" t="s">
        <v>57</v>
      </c>
      <c r="F5186" s="1">
        <v>42510</v>
      </c>
      <c r="G5186" s="1">
        <v>42515</v>
      </c>
      <c r="H5186" t="s">
        <v>25</v>
      </c>
      <c r="I5186">
        <v>5</v>
      </c>
      <c r="J5186" t="s">
        <v>107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23</v>
      </c>
      <c r="R5186">
        <v>0</v>
      </c>
    </row>
    <row r="5187" spans="1:18">
      <c r="A5187" s="4">
        <v>3497330000000</v>
      </c>
      <c r="B5187" t="s">
        <v>18</v>
      </c>
      <c r="C5187">
        <v>19</v>
      </c>
      <c r="D5187" t="s">
        <v>37</v>
      </c>
      <c r="E5187" t="s">
        <v>79</v>
      </c>
      <c r="F5187" s="1">
        <v>42510</v>
      </c>
      <c r="G5187" s="1">
        <v>42529</v>
      </c>
      <c r="H5187" t="s">
        <v>25</v>
      </c>
      <c r="I5187">
        <v>19</v>
      </c>
      <c r="J5187" t="s">
        <v>77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1</v>
      </c>
      <c r="Q5187" t="s">
        <v>23</v>
      </c>
      <c r="R5187">
        <v>0</v>
      </c>
    </row>
    <row r="5188" spans="1:18">
      <c r="A5188" s="4">
        <v>75227300000000</v>
      </c>
      <c r="B5188" t="s">
        <v>28</v>
      </c>
      <c r="C5188">
        <v>4</v>
      </c>
      <c r="D5188" t="s">
        <v>31</v>
      </c>
      <c r="E5188" t="s">
        <v>59</v>
      </c>
      <c r="F5188" s="1">
        <v>42510</v>
      </c>
      <c r="G5188" s="1">
        <v>42521</v>
      </c>
      <c r="H5188" t="s">
        <v>41</v>
      </c>
      <c r="I5188">
        <v>11</v>
      </c>
      <c r="J5188" t="s">
        <v>92</v>
      </c>
      <c r="K5188">
        <v>1</v>
      </c>
      <c r="L5188">
        <v>0</v>
      </c>
      <c r="M5188">
        <v>0</v>
      </c>
      <c r="N5188">
        <v>0</v>
      </c>
      <c r="O5188">
        <v>0</v>
      </c>
      <c r="P5188">
        <v>1</v>
      </c>
      <c r="Q5188" t="s">
        <v>23</v>
      </c>
      <c r="R5188">
        <v>0</v>
      </c>
    </row>
    <row r="5189" spans="1:18">
      <c r="A5189" s="4">
        <v>745896000000000</v>
      </c>
      <c r="B5189" t="s">
        <v>28</v>
      </c>
      <c r="C5189">
        <v>64</v>
      </c>
      <c r="D5189" t="s">
        <v>35</v>
      </c>
      <c r="E5189" t="s">
        <v>76</v>
      </c>
      <c r="F5189" s="1">
        <v>42510</v>
      </c>
      <c r="G5189" s="1">
        <v>42510</v>
      </c>
      <c r="H5189" t="s">
        <v>21</v>
      </c>
      <c r="I5189">
        <v>0</v>
      </c>
      <c r="J5189" t="s">
        <v>111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23</v>
      </c>
      <c r="R5189">
        <v>0</v>
      </c>
    </row>
    <row r="5190" spans="1:18">
      <c r="A5190" s="4">
        <v>2499370000000</v>
      </c>
      <c r="B5190" t="s">
        <v>18</v>
      </c>
      <c r="C5190">
        <v>42</v>
      </c>
      <c r="D5190" t="s">
        <v>27</v>
      </c>
      <c r="E5190" t="s">
        <v>96</v>
      </c>
      <c r="F5190" s="1">
        <v>42510</v>
      </c>
      <c r="G5190" s="1">
        <v>42510</v>
      </c>
      <c r="H5190" t="s">
        <v>21</v>
      </c>
      <c r="I5190">
        <v>0</v>
      </c>
      <c r="J5190" t="s">
        <v>111</v>
      </c>
      <c r="K5190">
        <v>1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23</v>
      </c>
      <c r="R5190">
        <v>0</v>
      </c>
    </row>
    <row r="5191" spans="1:18">
      <c r="A5191" s="4">
        <v>2616570000000</v>
      </c>
      <c r="B5191" t="s">
        <v>18</v>
      </c>
      <c r="C5191">
        <v>35</v>
      </c>
      <c r="D5191" t="s">
        <v>37</v>
      </c>
      <c r="E5191" t="s">
        <v>48</v>
      </c>
      <c r="F5191" s="1">
        <v>42510</v>
      </c>
      <c r="G5191" s="1">
        <v>42523</v>
      </c>
      <c r="H5191" t="s">
        <v>33</v>
      </c>
      <c r="I5191">
        <v>13</v>
      </c>
      <c r="J5191" t="s">
        <v>92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1</v>
      </c>
      <c r="Q5191" t="s">
        <v>23</v>
      </c>
      <c r="R5191">
        <v>0</v>
      </c>
    </row>
    <row r="5192" spans="1:18">
      <c r="A5192" s="4">
        <v>438826000000000</v>
      </c>
      <c r="B5192" t="s">
        <v>28</v>
      </c>
      <c r="C5192">
        <v>53</v>
      </c>
      <c r="D5192" t="s">
        <v>35</v>
      </c>
      <c r="E5192" t="s">
        <v>58</v>
      </c>
      <c r="F5192" s="1">
        <v>42510</v>
      </c>
      <c r="G5192" s="1">
        <v>42515</v>
      </c>
      <c r="H5192" t="s">
        <v>25</v>
      </c>
      <c r="I5192">
        <v>5</v>
      </c>
      <c r="J5192" t="s">
        <v>107</v>
      </c>
      <c r="K5192">
        <v>0</v>
      </c>
      <c r="L5192">
        <v>0</v>
      </c>
      <c r="M5192">
        <v>1</v>
      </c>
      <c r="N5192">
        <v>0</v>
      </c>
      <c r="O5192">
        <v>0</v>
      </c>
      <c r="P5192">
        <v>1</v>
      </c>
      <c r="Q5192" t="s">
        <v>23</v>
      </c>
      <c r="R5192">
        <v>0</v>
      </c>
    </row>
    <row r="5193" spans="1:18">
      <c r="A5193" s="4">
        <v>262296000000</v>
      </c>
      <c r="B5193" t="s">
        <v>18</v>
      </c>
      <c r="C5193">
        <v>22</v>
      </c>
      <c r="D5193" t="s">
        <v>37</v>
      </c>
      <c r="E5193" t="s">
        <v>39</v>
      </c>
      <c r="F5193" s="1">
        <v>42510</v>
      </c>
      <c r="G5193" s="1">
        <v>42520</v>
      </c>
      <c r="H5193" t="s">
        <v>30</v>
      </c>
      <c r="I5193">
        <v>10</v>
      </c>
      <c r="J5193" t="s">
        <v>92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1</v>
      </c>
      <c r="Q5193" t="s">
        <v>23</v>
      </c>
      <c r="R5193">
        <v>0</v>
      </c>
    </row>
    <row r="5194" spans="1:18">
      <c r="A5194" s="4">
        <v>33222557638</v>
      </c>
      <c r="B5194" t="s">
        <v>28</v>
      </c>
      <c r="C5194">
        <v>65</v>
      </c>
      <c r="D5194" t="s">
        <v>35</v>
      </c>
      <c r="E5194" t="s">
        <v>47</v>
      </c>
      <c r="F5194" s="1">
        <v>42510</v>
      </c>
      <c r="G5194" s="1">
        <v>42529</v>
      </c>
      <c r="H5194" t="s">
        <v>25</v>
      </c>
      <c r="I5194">
        <v>19</v>
      </c>
      <c r="J5194" t="s">
        <v>77</v>
      </c>
      <c r="K5194">
        <v>0</v>
      </c>
      <c r="L5194">
        <v>0</v>
      </c>
      <c r="M5194">
        <v>1</v>
      </c>
      <c r="N5194">
        <v>0</v>
      </c>
      <c r="O5194">
        <v>0</v>
      </c>
      <c r="P5194">
        <v>0</v>
      </c>
      <c r="Q5194" t="s">
        <v>23</v>
      </c>
      <c r="R5194">
        <v>0</v>
      </c>
    </row>
    <row r="5195" spans="1:18">
      <c r="A5195" s="4">
        <v>5778430000000</v>
      </c>
      <c r="B5195" t="s">
        <v>18</v>
      </c>
      <c r="C5195">
        <v>45</v>
      </c>
      <c r="D5195" t="s">
        <v>27</v>
      </c>
      <c r="E5195" t="s">
        <v>29</v>
      </c>
      <c r="F5195" s="1">
        <v>42510</v>
      </c>
      <c r="G5195" s="1">
        <v>42527</v>
      </c>
      <c r="H5195" t="s">
        <v>30</v>
      </c>
      <c r="I5195">
        <v>17</v>
      </c>
      <c r="J5195" t="s">
        <v>77</v>
      </c>
      <c r="K5195">
        <v>1</v>
      </c>
      <c r="L5195">
        <v>1</v>
      </c>
      <c r="M5195">
        <v>1</v>
      </c>
      <c r="N5195">
        <v>0</v>
      </c>
      <c r="O5195">
        <v>0</v>
      </c>
      <c r="P5195">
        <v>0</v>
      </c>
      <c r="Q5195" t="s">
        <v>23</v>
      </c>
      <c r="R5195">
        <v>0</v>
      </c>
    </row>
    <row r="5196" spans="1:18">
      <c r="A5196" s="4">
        <v>57744000000000</v>
      </c>
      <c r="B5196" t="s">
        <v>28</v>
      </c>
      <c r="C5196">
        <v>46</v>
      </c>
      <c r="D5196" t="s">
        <v>27</v>
      </c>
      <c r="E5196" t="s">
        <v>66</v>
      </c>
      <c r="F5196" s="1">
        <v>42510</v>
      </c>
      <c r="G5196" s="1">
        <v>42510</v>
      </c>
      <c r="H5196" t="s">
        <v>21</v>
      </c>
      <c r="I5196">
        <v>0</v>
      </c>
      <c r="J5196" t="s">
        <v>111</v>
      </c>
      <c r="K5196">
        <v>0</v>
      </c>
      <c r="L5196">
        <v>1</v>
      </c>
      <c r="M5196">
        <v>0</v>
      </c>
      <c r="N5196">
        <v>1</v>
      </c>
      <c r="O5196">
        <v>0</v>
      </c>
      <c r="P5196">
        <v>0</v>
      </c>
      <c r="Q5196" t="s">
        <v>23</v>
      </c>
      <c r="R5196">
        <v>0</v>
      </c>
    </row>
    <row r="5197" spans="1:18">
      <c r="A5197" s="4">
        <v>89952300000000</v>
      </c>
      <c r="B5197" t="s">
        <v>18</v>
      </c>
      <c r="C5197">
        <v>13</v>
      </c>
      <c r="D5197" t="s">
        <v>60</v>
      </c>
      <c r="E5197" t="s">
        <v>45</v>
      </c>
      <c r="F5197" s="1">
        <v>42510</v>
      </c>
      <c r="G5197" s="1">
        <v>42524</v>
      </c>
      <c r="H5197" t="s">
        <v>21</v>
      </c>
      <c r="I5197">
        <v>14</v>
      </c>
      <c r="J5197" t="s">
        <v>92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 t="s">
        <v>23</v>
      </c>
      <c r="R5197">
        <v>0</v>
      </c>
    </row>
    <row r="5198" spans="1:18">
      <c r="A5198" s="4">
        <v>69542775145</v>
      </c>
      <c r="B5198" t="s">
        <v>18</v>
      </c>
      <c r="C5198">
        <v>22</v>
      </c>
      <c r="D5198" t="s">
        <v>37</v>
      </c>
      <c r="E5198" t="s">
        <v>65</v>
      </c>
      <c r="F5198" s="1">
        <v>42510</v>
      </c>
      <c r="G5198" s="1">
        <v>42514</v>
      </c>
      <c r="H5198" t="s">
        <v>41</v>
      </c>
      <c r="I5198">
        <v>4</v>
      </c>
      <c r="J5198" t="s">
        <v>107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1</v>
      </c>
      <c r="Q5198" t="s">
        <v>26</v>
      </c>
      <c r="R5198">
        <v>1</v>
      </c>
    </row>
    <row r="5199" spans="1:18">
      <c r="A5199" s="4">
        <v>914294000000000</v>
      </c>
      <c r="B5199" t="s">
        <v>18</v>
      </c>
      <c r="C5199">
        <v>21</v>
      </c>
      <c r="D5199" t="s">
        <v>37</v>
      </c>
      <c r="E5199" t="s">
        <v>108</v>
      </c>
      <c r="F5199" s="1">
        <v>42510</v>
      </c>
      <c r="G5199" s="1">
        <v>42528</v>
      </c>
      <c r="H5199" t="s">
        <v>41</v>
      </c>
      <c r="I5199">
        <v>18</v>
      </c>
      <c r="J5199" t="s">
        <v>77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1</v>
      </c>
      <c r="Q5199" t="s">
        <v>26</v>
      </c>
      <c r="R5199">
        <v>1</v>
      </c>
    </row>
    <row r="5200" spans="1:18">
      <c r="A5200" s="4">
        <v>13238621341</v>
      </c>
      <c r="B5200" t="s">
        <v>28</v>
      </c>
      <c r="C5200">
        <v>10</v>
      </c>
      <c r="D5200" t="s">
        <v>31</v>
      </c>
      <c r="E5200" t="s">
        <v>43</v>
      </c>
      <c r="F5200" s="1">
        <v>42510</v>
      </c>
      <c r="G5200" s="1">
        <v>42524</v>
      </c>
      <c r="H5200" t="s">
        <v>21</v>
      </c>
      <c r="I5200">
        <v>14</v>
      </c>
      <c r="J5200" t="s">
        <v>92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1</v>
      </c>
      <c r="Q5200" t="s">
        <v>23</v>
      </c>
      <c r="R5200">
        <v>0</v>
      </c>
    </row>
    <row r="5201" spans="1:18">
      <c r="A5201" s="4">
        <v>81894500000000</v>
      </c>
      <c r="B5201" t="s">
        <v>28</v>
      </c>
      <c r="C5201">
        <v>35</v>
      </c>
      <c r="D5201" t="s">
        <v>37</v>
      </c>
      <c r="E5201" t="s">
        <v>54</v>
      </c>
      <c r="F5201" s="1">
        <v>42510</v>
      </c>
      <c r="G5201" s="1">
        <v>42510</v>
      </c>
      <c r="H5201" t="s">
        <v>21</v>
      </c>
      <c r="I5201">
        <v>0</v>
      </c>
      <c r="J5201" t="s">
        <v>111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 t="s">
        <v>23</v>
      </c>
      <c r="R5201">
        <v>0</v>
      </c>
    </row>
    <row r="5202" spans="1:18">
      <c r="A5202" s="4">
        <v>126357000000000</v>
      </c>
      <c r="B5202" t="s">
        <v>18</v>
      </c>
      <c r="C5202">
        <v>34</v>
      </c>
      <c r="D5202" t="s">
        <v>37</v>
      </c>
      <c r="E5202" t="s">
        <v>54</v>
      </c>
      <c r="F5202" s="1">
        <v>42510</v>
      </c>
      <c r="G5202" s="1">
        <v>42510</v>
      </c>
      <c r="H5202" t="s">
        <v>21</v>
      </c>
      <c r="I5202">
        <v>0</v>
      </c>
      <c r="J5202" t="s">
        <v>111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 t="s">
        <v>23</v>
      </c>
      <c r="R5202">
        <v>0</v>
      </c>
    </row>
    <row r="5203" spans="1:18">
      <c r="A5203" s="4">
        <v>43432700000000</v>
      </c>
      <c r="B5203" t="s">
        <v>18</v>
      </c>
      <c r="C5203">
        <v>23</v>
      </c>
      <c r="D5203" t="s">
        <v>37</v>
      </c>
      <c r="E5203" t="s">
        <v>91</v>
      </c>
      <c r="F5203" s="1">
        <v>42510</v>
      </c>
      <c r="G5203" s="1">
        <v>42528</v>
      </c>
      <c r="H5203" t="s">
        <v>41</v>
      </c>
      <c r="I5203">
        <v>18</v>
      </c>
      <c r="J5203" t="s">
        <v>77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1</v>
      </c>
      <c r="Q5203" t="s">
        <v>23</v>
      </c>
      <c r="R5203">
        <v>0</v>
      </c>
    </row>
    <row r="5204" spans="1:18">
      <c r="A5204" s="4">
        <v>29691447659</v>
      </c>
      <c r="B5204" t="s">
        <v>28</v>
      </c>
      <c r="C5204">
        <v>6</v>
      </c>
      <c r="D5204" t="s">
        <v>31</v>
      </c>
      <c r="E5204" t="s">
        <v>51</v>
      </c>
      <c r="F5204" s="1">
        <v>42510</v>
      </c>
      <c r="G5204" s="1">
        <v>42510</v>
      </c>
      <c r="H5204" t="s">
        <v>21</v>
      </c>
      <c r="I5204">
        <v>0</v>
      </c>
      <c r="J5204" t="s">
        <v>111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 t="s">
        <v>23</v>
      </c>
      <c r="R5204">
        <v>0</v>
      </c>
    </row>
    <row r="5205" spans="1:18">
      <c r="A5205" s="4">
        <v>7597190000000</v>
      </c>
      <c r="B5205" t="s">
        <v>18</v>
      </c>
      <c r="C5205">
        <v>57</v>
      </c>
      <c r="D5205" t="s">
        <v>35</v>
      </c>
      <c r="E5205" t="s">
        <v>86</v>
      </c>
      <c r="F5205" s="1">
        <v>42510</v>
      </c>
      <c r="G5205" s="1">
        <v>42515</v>
      </c>
      <c r="H5205" t="s">
        <v>25</v>
      </c>
      <c r="I5205">
        <v>5</v>
      </c>
      <c r="J5205" t="s">
        <v>107</v>
      </c>
      <c r="K5205">
        <v>0</v>
      </c>
      <c r="L5205">
        <v>1</v>
      </c>
      <c r="M5205">
        <v>0</v>
      </c>
      <c r="N5205">
        <v>0</v>
      </c>
      <c r="O5205">
        <v>0</v>
      </c>
      <c r="P5205">
        <v>1</v>
      </c>
      <c r="Q5205" t="s">
        <v>23</v>
      </c>
      <c r="R5205">
        <v>0</v>
      </c>
    </row>
    <row r="5206" spans="1:18">
      <c r="A5206" s="4">
        <v>182914000000</v>
      </c>
      <c r="B5206" t="s">
        <v>18</v>
      </c>
      <c r="C5206">
        <v>31</v>
      </c>
      <c r="D5206" t="s">
        <v>37</v>
      </c>
      <c r="E5206" t="s">
        <v>32</v>
      </c>
      <c r="F5206" s="1">
        <v>42510</v>
      </c>
      <c r="G5206" s="1">
        <v>42522</v>
      </c>
      <c r="H5206" t="s">
        <v>25</v>
      </c>
      <c r="I5206">
        <v>12</v>
      </c>
      <c r="J5206" t="s">
        <v>92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1</v>
      </c>
      <c r="Q5206" t="s">
        <v>23</v>
      </c>
      <c r="R5206">
        <v>0</v>
      </c>
    </row>
    <row r="5207" spans="1:18">
      <c r="A5207" s="4">
        <v>4342320000000</v>
      </c>
      <c r="B5207" t="s">
        <v>18</v>
      </c>
      <c r="C5207">
        <v>27</v>
      </c>
      <c r="D5207" t="s">
        <v>37</v>
      </c>
      <c r="E5207" t="s">
        <v>54</v>
      </c>
      <c r="F5207" s="1">
        <v>42510</v>
      </c>
      <c r="G5207" s="1">
        <v>42528</v>
      </c>
      <c r="H5207" t="s">
        <v>41</v>
      </c>
      <c r="I5207">
        <v>18</v>
      </c>
      <c r="J5207" t="s">
        <v>77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1</v>
      </c>
      <c r="Q5207" t="s">
        <v>23</v>
      </c>
      <c r="R5207">
        <v>0</v>
      </c>
    </row>
    <row r="5208" spans="1:18">
      <c r="A5208" s="4">
        <v>986163000000000</v>
      </c>
      <c r="B5208" t="s">
        <v>18</v>
      </c>
      <c r="C5208">
        <v>45</v>
      </c>
      <c r="D5208" t="s">
        <v>27</v>
      </c>
      <c r="E5208" t="s">
        <v>57</v>
      </c>
      <c r="F5208" s="1">
        <v>42510</v>
      </c>
      <c r="G5208" s="1">
        <v>42510</v>
      </c>
      <c r="H5208" t="s">
        <v>21</v>
      </c>
      <c r="I5208">
        <v>0</v>
      </c>
      <c r="J5208" t="s">
        <v>111</v>
      </c>
      <c r="K5208">
        <v>0</v>
      </c>
      <c r="L5208">
        <v>0</v>
      </c>
      <c r="M5208">
        <v>0</v>
      </c>
      <c r="N5208">
        <v>1</v>
      </c>
      <c r="O5208">
        <v>0</v>
      </c>
      <c r="P5208">
        <v>0</v>
      </c>
      <c r="Q5208" t="s">
        <v>23</v>
      </c>
      <c r="R5208">
        <v>0</v>
      </c>
    </row>
    <row r="5209" spans="1:18">
      <c r="A5209" s="4">
        <v>1841950000000</v>
      </c>
      <c r="B5209" t="s">
        <v>18</v>
      </c>
      <c r="C5209">
        <v>46</v>
      </c>
      <c r="D5209" t="s">
        <v>27</v>
      </c>
      <c r="E5209" t="s">
        <v>38</v>
      </c>
      <c r="F5209" s="1">
        <v>42510</v>
      </c>
      <c r="G5209" s="1">
        <v>42510</v>
      </c>
      <c r="H5209" t="s">
        <v>21</v>
      </c>
      <c r="I5209">
        <v>0</v>
      </c>
      <c r="J5209" t="s">
        <v>111</v>
      </c>
      <c r="K5209">
        <v>0</v>
      </c>
      <c r="L5209">
        <v>0</v>
      </c>
      <c r="M5209">
        <v>0</v>
      </c>
      <c r="N5209">
        <v>1</v>
      </c>
      <c r="O5209">
        <v>0</v>
      </c>
      <c r="P5209">
        <v>0</v>
      </c>
      <c r="Q5209" t="s">
        <v>23</v>
      </c>
      <c r="R5209">
        <v>0</v>
      </c>
    </row>
    <row r="5210" spans="1:18">
      <c r="A5210" s="4">
        <v>63467400000000</v>
      </c>
      <c r="B5210" t="s">
        <v>18</v>
      </c>
      <c r="C5210">
        <v>87</v>
      </c>
      <c r="D5210" t="s">
        <v>19</v>
      </c>
      <c r="E5210" t="s">
        <v>47</v>
      </c>
      <c r="F5210" s="1">
        <v>42510</v>
      </c>
      <c r="G5210" s="1">
        <v>42510</v>
      </c>
      <c r="H5210" t="s">
        <v>21</v>
      </c>
      <c r="I5210">
        <v>0</v>
      </c>
      <c r="J5210" t="s">
        <v>111</v>
      </c>
      <c r="K5210">
        <v>0</v>
      </c>
      <c r="L5210">
        <v>1</v>
      </c>
      <c r="M5210">
        <v>0</v>
      </c>
      <c r="N5210">
        <v>0</v>
      </c>
      <c r="O5210">
        <v>0</v>
      </c>
      <c r="P5210">
        <v>0</v>
      </c>
      <c r="Q5210" t="s">
        <v>23</v>
      </c>
      <c r="R5210">
        <v>0</v>
      </c>
    </row>
    <row r="5211" spans="1:18">
      <c r="A5211" s="4">
        <v>9478390000000</v>
      </c>
      <c r="B5211" t="s">
        <v>18</v>
      </c>
      <c r="C5211">
        <v>73</v>
      </c>
      <c r="D5211" t="s">
        <v>19</v>
      </c>
      <c r="E5211" t="s">
        <v>59</v>
      </c>
      <c r="F5211" s="1">
        <v>42510</v>
      </c>
      <c r="G5211" s="1">
        <v>42510</v>
      </c>
      <c r="H5211" t="s">
        <v>21</v>
      </c>
      <c r="I5211">
        <v>0</v>
      </c>
      <c r="J5211" t="s">
        <v>111</v>
      </c>
      <c r="K5211">
        <v>0</v>
      </c>
      <c r="L5211">
        <v>1</v>
      </c>
      <c r="M5211">
        <v>1</v>
      </c>
      <c r="N5211">
        <v>0</v>
      </c>
      <c r="O5211">
        <v>0</v>
      </c>
      <c r="P5211">
        <v>0</v>
      </c>
      <c r="Q5211" t="s">
        <v>23</v>
      </c>
      <c r="R5211">
        <v>0</v>
      </c>
    </row>
    <row r="5212" spans="1:18">
      <c r="A5212" s="4">
        <v>51635700000000</v>
      </c>
      <c r="B5212" t="s">
        <v>18</v>
      </c>
      <c r="C5212">
        <v>12</v>
      </c>
      <c r="D5212" t="s">
        <v>31</v>
      </c>
      <c r="E5212" t="s">
        <v>43</v>
      </c>
      <c r="F5212" s="1">
        <v>42510</v>
      </c>
      <c r="G5212" s="1">
        <v>42520</v>
      </c>
      <c r="H5212" t="s">
        <v>30</v>
      </c>
      <c r="I5212">
        <v>10</v>
      </c>
      <c r="J5212" t="s">
        <v>92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 t="s">
        <v>23</v>
      </c>
      <c r="R5212">
        <v>0</v>
      </c>
    </row>
    <row r="5213" spans="1:18">
      <c r="A5213" s="4">
        <v>3678450000000</v>
      </c>
      <c r="B5213" t="s">
        <v>18</v>
      </c>
      <c r="C5213">
        <v>45</v>
      </c>
      <c r="D5213" t="s">
        <v>27</v>
      </c>
      <c r="E5213" t="s">
        <v>48</v>
      </c>
      <c r="F5213" s="1">
        <v>42510</v>
      </c>
      <c r="G5213" s="1">
        <v>42510</v>
      </c>
      <c r="H5213" t="s">
        <v>21</v>
      </c>
      <c r="I5213">
        <v>0</v>
      </c>
      <c r="J5213" t="s">
        <v>111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 t="s">
        <v>26</v>
      </c>
      <c r="R5213">
        <v>1</v>
      </c>
    </row>
    <row r="5214" spans="1:18">
      <c r="A5214" s="4">
        <v>45543400000000</v>
      </c>
      <c r="B5214" t="s">
        <v>18</v>
      </c>
      <c r="C5214">
        <v>7</v>
      </c>
      <c r="D5214" t="s">
        <v>31</v>
      </c>
      <c r="E5214" t="s">
        <v>46</v>
      </c>
      <c r="F5214" s="1">
        <v>42510</v>
      </c>
      <c r="G5214" s="1">
        <v>42515</v>
      </c>
      <c r="H5214" t="s">
        <v>25</v>
      </c>
      <c r="I5214">
        <v>5</v>
      </c>
      <c r="J5214" t="s">
        <v>107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1</v>
      </c>
      <c r="Q5214" t="s">
        <v>23</v>
      </c>
      <c r="R5214">
        <v>0</v>
      </c>
    </row>
    <row r="5215" spans="1:18">
      <c r="A5215" s="4">
        <v>8269380000000</v>
      </c>
      <c r="B5215" t="s">
        <v>18</v>
      </c>
      <c r="C5215">
        <v>17</v>
      </c>
      <c r="D5215" t="s">
        <v>60</v>
      </c>
      <c r="E5215" t="s">
        <v>69</v>
      </c>
      <c r="F5215" s="1">
        <v>42510</v>
      </c>
      <c r="G5215" s="1">
        <v>42521</v>
      </c>
      <c r="H5215" t="s">
        <v>41</v>
      </c>
      <c r="I5215">
        <v>11</v>
      </c>
      <c r="J5215" t="s">
        <v>92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1</v>
      </c>
      <c r="Q5215" t="s">
        <v>23</v>
      </c>
      <c r="R5215">
        <v>0</v>
      </c>
    </row>
    <row r="5216" spans="1:18">
      <c r="A5216" s="4">
        <v>783154000000000</v>
      </c>
      <c r="B5216" t="s">
        <v>18</v>
      </c>
      <c r="C5216">
        <v>39</v>
      </c>
      <c r="D5216" t="s">
        <v>27</v>
      </c>
      <c r="E5216" t="s">
        <v>54</v>
      </c>
      <c r="F5216" s="1">
        <v>42510</v>
      </c>
      <c r="G5216" s="1">
        <v>42523</v>
      </c>
      <c r="H5216" t="s">
        <v>33</v>
      </c>
      <c r="I5216">
        <v>13</v>
      </c>
      <c r="J5216" t="s">
        <v>92</v>
      </c>
      <c r="K5216">
        <v>0</v>
      </c>
      <c r="L5216">
        <v>1</v>
      </c>
      <c r="M5216">
        <v>0</v>
      </c>
      <c r="N5216">
        <v>0</v>
      </c>
      <c r="O5216">
        <v>0</v>
      </c>
      <c r="P5216">
        <v>1</v>
      </c>
      <c r="Q5216" t="s">
        <v>26</v>
      </c>
      <c r="R5216">
        <v>1</v>
      </c>
    </row>
    <row r="5217" spans="1:18">
      <c r="A5217" s="4">
        <v>172898000000000</v>
      </c>
      <c r="B5217" t="s">
        <v>18</v>
      </c>
      <c r="C5217">
        <v>57</v>
      </c>
      <c r="D5217" t="s">
        <v>35</v>
      </c>
      <c r="E5217" t="s">
        <v>64</v>
      </c>
      <c r="F5217" s="1">
        <v>42510</v>
      </c>
      <c r="G5217" s="1">
        <v>42514</v>
      </c>
      <c r="H5217" t="s">
        <v>41</v>
      </c>
      <c r="I5217">
        <v>4</v>
      </c>
      <c r="J5217" t="s">
        <v>107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1</v>
      </c>
      <c r="Q5217" t="s">
        <v>26</v>
      </c>
      <c r="R5217">
        <v>1</v>
      </c>
    </row>
    <row r="5218" spans="1:18">
      <c r="A5218" s="4">
        <v>46687700000000</v>
      </c>
      <c r="B5218" t="s">
        <v>18</v>
      </c>
      <c r="C5218">
        <v>31</v>
      </c>
      <c r="D5218" t="s">
        <v>37</v>
      </c>
      <c r="E5218" t="s">
        <v>59</v>
      </c>
      <c r="F5218" s="1">
        <v>42510</v>
      </c>
      <c r="G5218" s="1">
        <v>42510</v>
      </c>
      <c r="H5218" t="s">
        <v>21</v>
      </c>
      <c r="I5218">
        <v>0</v>
      </c>
      <c r="J5218" t="s">
        <v>111</v>
      </c>
      <c r="K5218">
        <v>1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23</v>
      </c>
      <c r="R5218">
        <v>0</v>
      </c>
    </row>
    <row r="5219" spans="1:18">
      <c r="A5219" s="4">
        <v>24929900000000</v>
      </c>
      <c r="B5219" t="s">
        <v>18</v>
      </c>
      <c r="C5219">
        <v>27</v>
      </c>
      <c r="D5219" t="s">
        <v>37</v>
      </c>
      <c r="E5219" t="s">
        <v>84</v>
      </c>
      <c r="F5219" s="1">
        <v>42510</v>
      </c>
      <c r="G5219" s="1">
        <v>42510</v>
      </c>
      <c r="H5219" t="s">
        <v>21</v>
      </c>
      <c r="I5219">
        <v>0</v>
      </c>
      <c r="J5219" t="s">
        <v>111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23</v>
      </c>
      <c r="R5219">
        <v>0</v>
      </c>
    </row>
    <row r="5220" spans="1:18">
      <c r="A5220" s="4">
        <v>42987400000000</v>
      </c>
      <c r="B5220" t="s">
        <v>18</v>
      </c>
      <c r="C5220">
        <v>49</v>
      </c>
      <c r="D5220" t="s">
        <v>27</v>
      </c>
      <c r="E5220" t="s">
        <v>72</v>
      </c>
      <c r="F5220" s="1">
        <v>42510</v>
      </c>
      <c r="G5220" s="1">
        <v>42510</v>
      </c>
      <c r="H5220" t="s">
        <v>21</v>
      </c>
      <c r="I5220">
        <v>0</v>
      </c>
      <c r="J5220" t="s">
        <v>111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23</v>
      </c>
      <c r="R5220">
        <v>0</v>
      </c>
    </row>
    <row r="5221" spans="1:18">
      <c r="A5221" s="4">
        <v>38299200000000</v>
      </c>
      <c r="B5221" t="s">
        <v>28</v>
      </c>
      <c r="C5221">
        <v>26</v>
      </c>
      <c r="D5221" t="s">
        <v>37</v>
      </c>
      <c r="E5221" t="s">
        <v>34</v>
      </c>
      <c r="F5221" s="1">
        <v>42510</v>
      </c>
      <c r="G5221" s="1">
        <v>42510</v>
      </c>
      <c r="H5221" t="s">
        <v>21</v>
      </c>
      <c r="I5221">
        <v>0</v>
      </c>
      <c r="J5221" t="s">
        <v>111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23</v>
      </c>
      <c r="R5221">
        <v>0</v>
      </c>
    </row>
    <row r="5222" spans="1:18">
      <c r="A5222" s="4">
        <v>4125800000000</v>
      </c>
      <c r="B5222" t="s">
        <v>18</v>
      </c>
      <c r="C5222">
        <v>60</v>
      </c>
      <c r="D5222" t="s">
        <v>35</v>
      </c>
      <c r="E5222" t="s">
        <v>67</v>
      </c>
      <c r="F5222" s="1">
        <v>42510</v>
      </c>
      <c r="G5222" s="1">
        <v>42510</v>
      </c>
      <c r="H5222" t="s">
        <v>21</v>
      </c>
      <c r="I5222">
        <v>0</v>
      </c>
      <c r="J5222" t="s">
        <v>111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23</v>
      </c>
      <c r="R5222">
        <v>0</v>
      </c>
    </row>
    <row r="5223" spans="1:18">
      <c r="A5223" s="4">
        <v>416756000000000</v>
      </c>
      <c r="B5223" t="s">
        <v>28</v>
      </c>
      <c r="C5223">
        <v>33</v>
      </c>
      <c r="D5223" t="s">
        <v>37</v>
      </c>
      <c r="E5223" t="s">
        <v>68</v>
      </c>
      <c r="F5223" s="1">
        <v>42510</v>
      </c>
      <c r="G5223" s="1">
        <v>42510</v>
      </c>
      <c r="H5223" t="s">
        <v>21</v>
      </c>
      <c r="I5223">
        <v>0</v>
      </c>
      <c r="J5223" t="s">
        <v>111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26</v>
      </c>
      <c r="R5223">
        <v>1</v>
      </c>
    </row>
    <row r="5224" spans="1:18">
      <c r="A5224" s="4">
        <v>14455767152</v>
      </c>
      <c r="B5224" t="s">
        <v>18</v>
      </c>
      <c r="C5224">
        <v>21</v>
      </c>
      <c r="D5224" t="s">
        <v>37</v>
      </c>
      <c r="E5224" t="s">
        <v>78</v>
      </c>
      <c r="F5224" s="1">
        <v>42510</v>
      </c>
      <c r="G5224" s="1">
        <v>42510</v>
      </c>
      <c r="H5224" t="s">
        <v>21</v>
      </c>
      <c r="I5224">
        <v>0</v>
      </c>
      <c r="J5224" t="s">
        <v>111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23</v>
      </c>
      <c r="R5224">
        <v>0</v>
      </c>
    </row>
    <row r="5225" spans="1:18">
      <c r="A5225" s="4">
        <v>7785610000000</v>
      </c>
      <c r="B5225" t="s">
        <v>18</v>
      </c>
      <c r="C5225">
        <v>3</v>
      </c>
      <c r="D5225" t="s">
        <v>31</v>
      </c>
      <c r="E5225" t="s">
        <v>54</v>
      </c>
      <c r="F5225" s="1">
        <v>42510</v>
      </c>
      <c r="G5225" s="1">
        <v>42524</v>
      </c>
      <c r="H5225" t="s">
        <v>21</v>
      </c>
      <c r="I5225">
        <v>14</v>
      </c>
      <c r="J5225" t="s">
        <v>92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1</v>
      </c>
      <c r="Q5225" t="s">
        <v>23</v>
      </c>
      <c r="R5225">
        <v>0</v>
      </c>
    </row>
    <row r="5226" spans="1:18">
      <c r="A5226" s="4">
        <v>717823000000000</v>
      </c>
      <c r="B5226" t="s">
        <v>18</v>
      </c>
      <c r="C5226">
        <v>38</v>
      </c>
      <c r="D5226" t="s">
        <v>27</v>
      </c>
      <c r="E5226" t="s">
        <v>55</v>
      </c>
      <c r="F5226" s="1">
        <v>42510</v>
      </c>
      <c r="G5226" s="1">
        <v>42527</v>
      </c>
      <c r="H5226" t="s">
        <v>30</v>
      </c>
      <c r="I5226">
        <v>17</v>
      </c>
      <c r="J5226" t="s">
        <v>77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1</v>
      </c>
      <c r="Q5226" t="s">
        <v>26</v>
      </c>
      <c r="R5226">
        <v>1</v>
      </c>
    </row>
    <row r="5227" spans="1:18">
      <c r="A5227" s="4">
        <v>4776300000000</v>
      </c>
      <c r="B5227" t="s">
        <v>28</v>
      </c>
      <c r="C5227">
        <v>36</v>
      </c>
      <c r="D5227" t="s">
        <v>27</v>
      </c>
      <c r="E5227" t="s">
        <v>45</v>
      </c>
      <c r="F5227" s="1">
        <v>42510</v>
      </c>
      <c r="G5227" s="1">
        <v>42527</v>
      </c>
      <c r="H5227" t="s">
        <v>30</v>
      </c>
      <c r="I5227">
        <v>17</v>
      </c>
      <c r="J5227" t="s">
        <v>77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1</v>
      </c>
      <c r="Q5227" t="s">
        <v>23</v>
      </c>
      <c r="R5227">
        <v>0</v>
      </c>
    </row>
    <row r="5228" spans="1:18">
      <c r="A5228" s="4">
        <v>83826782553</v>
      </c>
      <c r="B5228" t="s">
        <v>18</v>
      </c>
      <c r="C5228">
        <v>10</v>
      </c>
      <c r="D5228" t="s">
        <v>31</v>
      </c>
      <c r="E5228" t="s">
        <v>32</v>
      </c>
      <c r="F5228" s="1">
        <v>42510</v>
      </c>
      <c r="G5228" s="1">
        <v>42520</v>
      </c>
      <c r="H5228" t="s">
        <v>30</v>
      </c>
      <c r="I5228">
        <v>10</v>
      </c>
      <c r="J5228" t="s">
        <v>92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1</v>
      </c>
      <c r="Q5228" t="s">
        <v>26</v>
      </c>
      <c r="R5228">
        <v>1</v>
      </c>
    </row>
    <row r="5229" spans="1:18">
      <c r="A5229" s="4">
        <v>18578300000000</v>
      </c>
      <c r="B5229" t="s">
        <v>18</v>
      </c>
      <c r="C5229">
        <v>86</v>
      </c>
      <c r="D5229" t="s">
        <v>19</v>
      </c>
      <c r="E5229" t="s">
        <v>91</v>
      </c>
      <c r="F5229" s="1">
        <v>42510</v>
      </c>
      <c r="G5229" s="1">
        <v>42510</v>
      </c>
      <c r="H5229" t="s">
        <v>21</v>
      </c>
      <c r="I5229">
        <v>0</v>
      </c>
      <c r="J5229" t="s">
        <v>111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23</v>
      </c>
      <c r="R5229">
        <v>0</v>
      </c>
    </row>
    <row r="5230" spans="1:18">
      <c r="A5230" s="4">
        <v>9832660000000</v>
      </c>
      <c r="B5230" t="s">
        <v>28</v>
      </c>
      <c r="C5230">
        <v>48</v>
      </c>
      <c r="D5230" t="s">
        <v>27</v>
      </c>
      <c r="E5230" t="s">
        <v>97</v>
      </c>
      <c r="F5230" s="1">
        <v>42510</v>
      </c>
      <c r="G5230" s="1">
        <v>42529</v>
      </c>
      <c r="H5230" t="s">
        <v>25</v>
      </c>
      <c r="I5230">
        <v>19</v>
      </c>
      <c r="J5230" t="s">
        <v>77</v>
      </c>
      <c r="K5230">
        <v>0</v>
      </c>
      <c r="L5230">
        <v>1</v>
      </c>
      <c r="M5230">
        <v>0</v>
      </c>
      <c r="N5230">
        <v>0</v>
      </c>
      <c r="O5230">
        <v>0</v>
      </c>
      <c r="P5230">
        <v>1</v>
      </c>
      <c r="Q5230" t="s">
        <v>26</v>
      </c>
      <c r="R5230">
        <v>1</v>
      </c>
    </row>
    <row r="5231" spans="1:18">
      <c r="A5231" s="4">
        <v>8946820000000</v>
      </c>
      <c r="B5231" t="s">
        <v>18</v>
      </c>
      <c r="C5231">
        <v>73</v>
      </c>
      <c r="D5231" t="s">
        <v>19</v>
      </c>
      <c r="E5231" t="s">
        <v>47</v>
      </c>
      <c r="F5231" s="1">
        <v>42510</v>
      </c>
      <c r="G5231" s="1">
        <v>42510</v>
      </c>
      <c r="H5231" t="s">
        <v>21</v>
      </c>
      <c r="I5231">
        <v>0</v>
      </c>
      <c r="J5231" t="s">
        <v>111</v>
      </c>
      <c r="K5231">
        <v>0</v>
      </c>
      <c r="L5231">
        <v>1</v>
      </c>
      <c r="M5231">
        <v>0</v>
      </c>
      <c r="N5231">
        <v>0</v>
      </c>
      <c r="O5231">
        <v>0</v>
      </c>
      <c r="P5231">
        <v>0</v>
      </c>
      <c r="Q5231" t="s">
        <v>23</v>
      </c>
      <c r="R5231">
        <v>0</v>
      </c>
    </row>
    <row r="5232" spans="1:18">
      <c r="A5232" s="4">
        <v>45894600000000</v>
      </c>
      <c r="B5232" t="s">
        <v>18</v>
      </c>
      <c r="C5232">
        <v>22</v>
      </c>
      <c r="D5232" t="s">
        <v>37</v>
      </c>
      <c r="E5232" t="s">
        <v>54</v>
      </c>
      <c r="F5232" s="1">
        <v>42510</v>
      </c>
      <c r="G5232" s="1">
        <v>42524</v>
      </c>
      <c r="H5232" t="s">
        <v>21</v>
      </c>
      <c r="I5232">
        <v>14</v>
      </c>
      <c r="J5232" t="s">
        <v>92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1</v>
      </c>
      <c r="Q5232" t="s">
        <v>26</v>
      </c>
      <c r="R5232">
        <v>1</v>
      </c>
    </row>
    <row r="5233" spans="1:18">
      <c r="A5233" s="4">
        <v>2127620000000</v>
      </c>
      <c r="B5233" t="s">
        <v>28</v>
      </c>
      <c r="C5233">
        <v>58</v>
      </c>
      <c r="D5233" t="s">
        <v>35</v>
      </c>
      <c r="E5233" t="s">
        <v>69</v>
      </c>
      <c r="F5233" s="1">
        <v>42510</v>
      </c>
      <c r="G5233" s="1">
        <v>42510</v>
      </c>
      <c r="H5233" t="s">
        <v>21</v>
      </c>
      <c r="I5233">
        <v>0</v>
      </c>
      <c r="J5233" t="s">
        <v>111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23</v>
      </c>
      <c r="R5233">
        <v>0</v>
      </c>
    </row>
    <row r="5234" spans="1:18">
      <c r="A5234" s="4">
        <v>749699000000000</v>
      </c>
      <c r="B5234" t="s">
        <v>18</v>
      </c>
      <c r="C5234">
        <v>73</v>
      </c>
      <c r="D5234" t="s">
        <v>19</v>
      </c>
      <c r="E5234" t="s">
        <v>68</v>
      </c>
      <c r="F5234" s="1">
        <v>42510</v>
      </c>
      <c r="G5234" s="1">
        <v>42515</v>
      </c>
      <c r="H5234" t="s">
        <v>25</v>
      </c>
      <c r="I5234">
        <v>5</v>
      </c>
      <c r="J5234" t="s">
        <v>107</v>
      </c>
      <c r="K5234">
        <v>0</v>
      </c>
      <c r="L5234">
        <v>1</v>
      </c>
      <c r="M5234">
        <v>0</v>
      </c>
      <c r="N5234">
        <v>0</v>
      </c>
      <c r="O5234">
        <v>0</v>
      </c>
      <c r="P5234">
        <v>1</v>
      </c>
      <c r="Q5234" t="s">
        <v>23</v>
      </c>
      <c r="R5234">
        <v>0</v>
      </c>
    </row>
    <row r="5235" spans="1:18">
      <c r="A5235" s="4">
        <v>476636000000</v>
      </c>
      <c r="B5235" t="s">
        <v>28</v>
      </c>
      <c r="C5235">
        <v>21</v>
      </c>
      <c r="D5235" t="s">
        <v>37</v>
      </c>
      <c r="E5235" t="s">
        <v>87</v>
      </c>
      <c r="F5235" s="1">
        <v>42510</v>
      </c>
      <c r="G5235" s="1">
        <v>42510</v>
      </c>
      <c r="H5235" t="s">
        <v>21</v>
      </c>
      <c r="I5235">
        <v>0</v>
      </c>
      <c r="J5235" t="s">
        <v>111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23</v>
      </c>
      <c r="R5235">
        <v>0</v>
      </c>
    </row>
    <row r="5236" spans="1:18">
      <c r="A5236" s="4">
        <v>2271580000000</v>
      </c>
      <c r="B5236" t="s">
        <v>28</v>
      </c>
      <c r="C5236">
        <v>57</v>
      </c>
      <c r="D5236" t="s">
        <v>35</v>
      </c>
      <c r="E5236" t="s">
        <v>43</v>
      </c>
      <c r="F5236" s="1">
        <v>42510</v>
      </c>
      <c r="G5236" s="1">
        <v>42514</v>
      </c>
      <c r="H5236" t="s">
        <v>41</v>
      </c>
      <c r="I5236">
        <v>4</v>
      </c>
      <c r="J5236" t="s">
        <v>107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26</v>
      </c>
      <c r="R5236">
        <v>1</v>
      </c>
    </row>
    <row r="5237" spans="1:18">
      <c r="A5237" s="4">
        <v>9458650000000</v>
      </c>
      <c r="B5237" t="s">
        <v>18</v>
      </c>
      <c r="C5237">
        <v>59</v>
      </c>
      <c r="D5237" t="s">
        <v>35</v>
      </c>
      <c r="E5237" t="s">
        <v>65</v>
      </c>
      <c r="F5237" s="1">
        <v>42510</v>
      </c>
      <c r="G5237" s="1">
        <v>42514</v>
      </c>
      <c r="H5237" t="s">
        <v>41</v>
      </c>
      <c r="I5237">
        <v>4</v>
      </c>
      <c r="J5237" t="s">
        <v>107</v>
      </c>
      <c r="K5237">
        <v>0</v>
      </c>
      <c r="L5237">
        <v>1</v>
      </c>
      <c r="M5237">
        <v>0</v>
      </c>
      <c r="N5237">
        <v>1</v>
      </c>
      <c r="O5237">
        <v>0</v>
      </c>
      <c r="P5237">
        <v>1</v>
      </c>
      <c r="Q5237" t="s">
        <v>23</v>
      </c>
      <c r="R5237">
        <v>0</v>
      </c>
    </row>
    <row r="5238" spans="1:18">
      <c r="A5238" s="4">
        <v>4399370000000</v>
      </c>
      <c r="B5238" t="s">
        <v>28</v>
      </c>
      <c r="C5238">
        <v>7</v>
      </c>
      <c r="D5238" t="s">
        <v>31</v>
      </c>
      <c r="E5238" t="s">
        <v>32</v>
      </c>
      <c r="F5238" s="1">
        <v>42510</v>
      </c>
      <c r="G5238" s="1">
        <v>42528</v>
      </c>
      <c r="H5238" t="s">
        <v>41</v>
      </c>
      <c r="I5238">
        <v>18</v>
      </c>
      <c r="J5238" t="s">
        <v>77</v>
      </c>
      <c r="K5238">
        <v>1</v>
      </c>
      <c r="L5238">
        <v>0</v>
      </c>
      <c r="M5238">
        <v>0</v>
      </c>
      <c r="N5238">
        <v>0</v>
      </c>
      <c r="O5238">
        <v>0</v>
      </c>
      <c r="P5238">
        <v>1</v>
      </c>
      <c r="Q5238" t="s">
        <v>23</v>
      </c>
      <c r="R5238">
        <v>0</v>
      </c>
    </row>
    <row r="5239" spans="1:18">
      <c r="A5239" s="4">
        <v>319172000000000</v>
      </c>
      <c r="B5239" t="s">
        <v>18</v>
      </c>
      <c r="C5239">
        <v>72</v>
      </c>
      <c r="D5239" t="s">
        <v>19</v>
      </c>
      <c r="E5239" t="s">
        <v>39</v>
      </c>
      <c r="F5239" s="1">
        <v>42510</v>
      </c>
      <c r="G5239" s="1">
        <v>42521</v>
      </c>
      <c r="H5239" t="s">
        <v>41</v>
      </c>
      <c r="I5239">
        <v>11</v>
      </c>
      <c r="J5239" t="s">
        <v>92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1</v>
      </c>
      <c r="Q5239" t="s">
        <v>26</v>
      </c>
      <c r="R5239">
        <v>1</v>
      </c>
    </row>
    <row r="5240" spans="1:18">
      <c r="A5240" s="4">
        <v>45458500000000</v>
      </c>
      <c r="B5240" t="s">
        <v>28</v>
      </c>
      <c r="C5240">
        <v>39</v>
      </c>
      <c r="D5240" t="s">
        <v>27</v>
      </c>
      <c r="E5240" t="s">
        <v>38</v>
      </c>
      <c r="F5240" s="1">
        <v>42510</v>
      </c>
      <c r="G5240" s="1">
        <v>42524</v>
      </c>
      <c r="H5240" t="s">
        <v>21</v>
      </c>
      <c r="I5240">
        <v>14</v>
      </c>
      <c r="J5240" t="s">
        <v>92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23</v>
      </c>
      <c r="R5240">
        <v>0</v>
      </c>
    </row>
    <row r="5241" spans="1:18">
      <c r="A5241" s="4">
        <v>72476900000000</v>
      </c>
      <c r="B5241" t="s">
        <v>18</v>
      </c>
      <c r="C5241">
        <v>83</v>
      </c>
      <c r="D5241" t="s">
        <v>19</v>
      </c>
      <c r="E5241" t="s">
        <v>29</v>
      </c>
      <c r="F5241" s="1">
        <v>42510</v>
      </c>
      <c r="G5241" s="1">
        <v>42528</v>
      </c>
      <c r="H5241" t="s">
        <v>41</v>
      </c>
      <c r="I5241">
        <v>18</v>
      </c>
      <c r="J5241" t="s">
        <v>77</v>
      </c>
      <c r="K5241">
        <v>0</v>
      </c>
      <c r="L5241">
        <v>1</v>
      </c>
      <c r="M5241">
        <v>1</v>
      </c>
      <c r="N5241">
        <v>0</v>
      </c>
      <c r="O5241">
        <v>1</v>
      </c>
      <c r="P5241">
        <v>1</v>
      </c>
      <c r="Q5241" t="s">
        <v>23</v>
      </c>
      <c r="R5241">
        <v>0</v>
      </c>
    </row>
    <row r="5242" spans="1:18">
      <c r="A5242" s="4">
        <v>26687900000000</v>
      </c>
      <c r="B5242" t="s">
        <v>18</v>
      </c>
      <c r="C5242">
        <v>53</v>
      </c>
      <c r="D5242" t="s">
        <v>35</v>
      </c>
      <c r="E5242" t="s">
        <v>63</v>
      </c>
      <c r="F5242" s="1">
        <v>42510</v>
      </c>
      <c r="G5242" s="1">
        <v>42515</v>
      </c>
      <c r="H5242" t="s">
        <v>25</v>
      </c>
      <c r="I5242">
        <v>5</v>
      </c>
      <c r="J5242" t="s">
        <v>107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1</v>
      </c>
      <c r="Q5242" t="s">
        <v>23</v>
      </c>
      <c r="R5242">
        <v>0</v>
      </c>
    </row>
    <row r="5243" spans="1:18">
      <c r="A5243" s="4">
        <v>496154000000</v>
      </c>
      <c r="B5243" t="s">
        <v>18</v>
      </c>
      <c r="C5243">
        <v>61</v>
      </c>
      <c r="D5243" t="s">
        <v>35</v>
      </c>
      <c r="E5243" t="s">
        <v>39</v>
      </c>
      <c r="F5243" s="1">
        <v>42510</v>
      </c>
      <c r="G5243" s="1">
        <v>42510</v>
      </c>
      <c r="H5243" t="s">
        <v>21</v>
      </c>
      <c r="I5243">
        <v>0</v>
      </c>
      <c r="J5243" t="s">
        <v>111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23</v>
      </c>
      <c r="R5243">
        <v>0</v>
      </c>
    </row>
    <row r="5244" spans="1:18">
      <c r="A5244" s="4">
        <v>81362200000000</v>
      </c>
      <c r="B5244" t="s">
        <v>28</v>
      </c>
      <c r="C5244">
        <v>43</v>
      </c>
      <c r="D5244" t="s">
        <v>27</v>
      </c>
      <c r="E5244" t="s">
        <v>38</v>
      </c>
      <c r="F5244" s="1">
        <v>42510</v>
      </c>
      <c r="G5244" s="1">
        <v>42510</v>
      </c>
      <c r="H5244" t="s">
        <v>21</v>
      </c>
      <c r="I5244">
        <v>0</v>
      </c>
      <c r="J5244" t="s">
        <v>111</v>
      </c>
      <c r="K5244">
        <v>0</v>
      </c>
      <c r="L5244">
        <v>1</v>
      </c>
      <c r="M5244">
        <v>1</v>
      </c>
      <c r="N5244">
        <v>0</v>
      </c>
      <c r="O5244">
        <v>0</v>
      </c>
      <c r="P5244">
        <v>0</v>
      </c>
      <c r="Q5244" t="s">
        <v>23</v>
      </c>
      <c r="R5244">
        <v>0</v>
      </c>
    </row>
    <row r="5245" spans="1:18">
      <c r="A5245" s="4">
        <v>6737450000000</v>
      </c>
      <c r="B5245" t="s">
        <v>18</v>
      </c>
      <c r="C5245">
        <v>17</v>
      </c>
      <c r="D5245" t="s">
        <v>60</v>
      </c>
      <c r="E5245" t="s">
        <v>96</v>
      </c>
      <c r="F5245" s="1">
        <v>42510</v>
      </c>
      <c r="G5245" s="1">
        <v>42522</v>
      </c>
      <c r="H5245" t="s">
        <v>25</v>
      </c>
      <c r="I5245">
        <v>12</v>
      </c>
      <c r="J5245" t="s">
        <v>92</v>
      </c>
      <c r="K5245">
        <v>1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23</v>
      </c>
      <c r="R5245">
        <v>0</v>
      </c>
    </row>
    <row r="5246" spans="1:18">
      <c r="A5246" s="4">
        <v>446715000000000</v>
      </c>
      <c r="B5246" t="s">
        <v>18</v>
      </c>
      <c r="C5246">
        <v>35</v>
      </c>
      <c r="D5246" t="s">
        <v>37</v>
      </c>
      <c r="E5246" t="s">
        <v>59</v>
      </c>
      <c r="F5246" s="1">
        <v>42510</v>
      </c>
      <c r="G5246" s="1">
        <v>42515</v>
      </c>
      <c r="H5246" t="s">
        <v>25</v>
      </c>
      <c r="I5246">
        <v>5</v>
      </c>
      <c r="J5246" t="s">
        <v>107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1</v>
      </c>
      <c r="Q5246" t="s">
        <v>23</v>
      </c>
      <c r="R5246">
        <v>0</v>
      </c>
    </row>
    <row r="5247" spans="1:18">
      <c r="A5247" s="4">
        <v>44932124486</v>
      </c>
      <c r="B5247" t="s">
        <v>18</v>
      </c>
      <c r="C5247">
        <v>57</v>
      </c>
      <c r="D5247" t="s">
        <v>35</v>
      </c>
      <c r="E5247" t="s">
        <v>98</v>
      </c>
      <c r="F5247" s="1">
        <v>42510</v>
      </c>
      <c r="G5247" s="1">
        <v>42515</v>
      </c>
      <c r="H5247" t="s">
        <v>25</v>
      </c>
      <c r="I5247">
        <v>5</v>
      </c>
      <c r="J5247" t="s">
        <v>107</v>
      </c>
      <c r="K5247">
        <v>1</v>
      </c>
      <c r="L5247">
        <v>0</v>
      </c>
      <c r="M5247">
        <v>0</v>
      </c>
      <c r="N5247">
        <v>0</v>
      </c>
      <c r="O5247">
        <v>0</v>
      </c>
      <c r="P5247">
        <v>1</v>
      </c>
      <c r="Q5247" t="s">
        <v>23</v>
      </c>
      <c r="R5247">
        <v>0</v>
      </c>
    </row>
    <row r="5248" spans="1:18">
      <c r="A5248" s="4">
        <v>4497415116</v>
      </c>
      <c r="B5248" t="s">
        <v>18</v>
      </c>
      <c r="C5248">
        <v>11</v>
      </c>
      <c r="D5248" t="s">
        <v>31</v>
      </c>
      <c r="E5248" t="s">
        <v>61</v>
      </c>
      <c r="F5248" s="1">
        <v>42510</v>
      </c>
      <c r="G5248" s="1">
        <v>42524</v>
      </c>
      <c r="H5248" t="s">
        <v>21</v>
      </c>
      <c r="I5248">
        <v>14</v>
      </c>
      <c r="J5248" t="s">
        <v>92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 t="s">
        <v>26</v>
      </c>
      <c r="R5248">
        <v>1</v>
      </c>
    </row>
    <row r="5249" spans="1:18">
      <c r="A5249" s="4">
        <v>29888700000000</v>
      </c>
      <c r="B5249" t="s">
        <v>18</v>
      </c>
      <c r="C5249">
        <v>86</v>
      </c>
      <c r="D5249" t="s">
        <v>19</v>
      </c>
      <c r="E5249" t="s">
        <v>20</v>
      </c>
      <c r="F5249" s="1">
        <v>42510</v>
      </c>
      <c r="G5249" s="1">
        <v>42510</v>
      </c>
      <c r="H5249" t="s">
        <v>21</v>
      </c>
      <c r="I5249">
        <v>0</v>
      </c>
      <c r="J5249" t="s">
        <v>111</v>
      </c>
      <c r="K5249">
        <v>0</v>
      </c>
      <c r="L5249">
        <v>1</v>
      </c>
      <c r="M5249">
        <v>0</v>
      </c>
      <c r="N5249">
        <v>0</v>
      </c>
      <c r="O5249">
        <v>0</v>
      </c>
      <c r="P5249">
        <v>0</v>
      </c>
      <c r="Q5249" t="s">
        <v>23</v>
      </c>
      <c r="R5249">
        <v>0</v>
      </c>
    </row>
    <row r="5250" spans="1:18">
      <c r="A5250" s="4">
        <v>825312000000000</v>
      </c>
      <c r="B5250" t="s">
        <v>28</v>
      </c>
      <c r="C5250">
        <v>9</v>
      </c>
      <c r="D5250" t="s">
        <v>31</v>
      </c>
      <c r="E5250" t="s">
        <v>103</v>
      </c>
      <c r="F5250" s="1">
        <v>42510</v>
      </c>
      <c r="G5250" s="1">
        <v>42510</v>
      </c>
      <c r="H5250" t="s">
        <v>21</v>
      </c>
      <c r="I5250">
        <v>0</v>
      </c>
      <c r="J5250" t="s">
        <v>111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 t="s">
        <v>23</v>
      </c>
      <c r="R5250">
        <v>0</v>
      </c>
    </row>
    <row r="5251" spans="1:18">
      <c r="A5251" s="4">
        <v>266762000000000</v>
      </c>
      <c r="B5251" t="s">
        <v>28</v>
      </c>
      <c r="C5251">
        <v>10</v>
      </c>
      <c r="D5251" t="s">
        <v>31</v>
      </c>
      <c r="E5251" t="s">
        <v>72</v>
      </c>
      <c r="F5251" s="1">
        <v>42510</v>
      </c>
      <c r="G5251" s="1">
        <v>42510</v>
      </c>
      <c r="H5251" t="s">
        <v>21</v>
      </c>
      <c r="I5251">
        <v>0</v>
      </c>
      <c r="J5251" t="s">
        <v>111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23</v>
      </c>
      <c r="R5251">
        <v>0</v>
      </c>
    </row>
    <row r="5252" spans="1:18">
      <c r="A5252" s="4">
        <v>726338000000000</v>
      </c>
      <c r="B5252" t="s">
        <v>18</v>
      </c>
      <c r="C5252">
        <v>57</v>
      </c>
      <c r="D5252" t="s">
        <v>35</v>
      </c>
      <c r="E5252" t="s">
        <v>40</v>
      </c>
      <c r="F5252" s="1">
        <v>42510</v>
      </c>
      <c r="G5252" s="1">
        <v>42514</v>
      </c>
      <c r="H5252" t="s">
        <v>41</v>
      </c>
      <c r="I5252">
        <v>4</v>
      </c>
      <c r="J5252" t="s">
        <v>107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23</v>
      </c>
      <c r="R5252">
        <v>0</v>
      </c>
    </row>
    <row r="5253" spans="1:18">
      <c r="A5253" s="4">
        <v>95982400000000</v>
      </c>
      <c r="B5253" t="s">
        <v>18</v>
      </c>
      <c r="C5253">
        <v>50</v>
      </c>
      <c r="D5253" t="s">
        <v>27</v>
      </c>
      <c r="E5253" t="s">
        <v>76</v>
      </c>
      <c r="F5253" s="1">
        <v>42510</v>
      </c>
      <c r="G5253" s="1">
        <v>42510</v>
      </c>
      <c r="H5253" t="s">
        <v>21</v>
      </c>
      <c r="I5253">
        <v>0</v>
      </c>
      <c r="J5253" t="s">
        <v>111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23</v>
      </c>
      <c r="R5253">
        <v>0</v>
      </c>
    </row>
    <row r="5254" spans="1:18">
      <c r="A5254" s="4">
        <v>22579400000000</v>
      </c>
      <c r="B5254" t="s">
        <v>28</v>
      </c>
      <c r="C5254">
        <v>25</v>
      </c>
      <c r="D5254" t="s">
        <v>37</v>
      </c>
      <c r="E5254" t="s">
        <v>51</v>
      </c>
      <c r="F5254" s="1">
        <v>42510</v>
      </c>
      <c r="G5254" s="1">
        <v>42510</v>
      </c>
      <c r="H5254" t="s">
        <v>21</v>
      </c>
      <c r="I5254">
        <v>0</v>
      </c>
      <c r="J5254" t="s">
        <v>111</v>
      </c>
      <c r="K5254">
        <v>1</v>
      </c>
      <c r="L5254">
        <v>0</v>
      </c>
      <c r="M5254">
        <v>0</v>
      </c>
      <c r="N5254">
        <v>0</v>
      </c>
      <c r="O5254">
        <v>1</v>
      </c>
      <c r="P5254">
        <v>0</v>
      </c>
      <c r="Q5254" t="s">
        <v>23</v>
      </c>
      <c r="R5254">
        <v>0</v>
      </c>
    </row>
    <row r="5255" spans="1:18">
      <c r="A5255" s="4">
        <v>7648190000000</v>
      </c>
      <c r="B5255" t="s">
        <v>28</v>
      </c>
      <c r="C5255">
        <v>0</v>
      </c>
      <c r="D5255" t="s">
        <v>31</v>
      </c>
      <c r="E5255" t="s">
        <v>67</v>
      </c>
      <c r="F5255" s="1">
        <v>42510</v>
      </c>
      <c r="G5255" s="1">
        <v>42510</v>
      </c>
      <c r="H5255" t="s">
        <v>21</v>
      </c>
      <c r="I5255">
        <v>0</v>
      </c>
      <c r="J5255" t="s">
        <v>111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23</v>
      </c>
      <c r="R5255">
        <v>0</v>
      </c>
    </row>
    <row r="5256" spans="1:18">
      <c r="A5256" s="4">
        <v>6111120000000</v>
      </c>
      <c r="B5256" t="s">
        <v>18</v>
      </c>
      <c r="C5256">
        <v>43</v>
      </c>
      <c r="D5256" t="s">
        <v>27</v>
      </c>
      <c r="E5256" t="s">
        <v>36</v>
      </c>
      <c r="F5256" s="1">
        <v>42510</v>
      </c>
      <c r="G5256" s="1">
        <v>42524</v>
      </c>
      <c r="H5256" t="s">
        <v>21</v>
      </c>
      <c r="I5256">
        <v>14</v>
      </c>
      <c r="J5256" t="s">
        <v>92</v>
      </c>
      <c r="K5256">
        <v>0</v>
      </c>
      <c r="L5256">
        <v>1</v>
      </c>
      <c r="M5256">
        <v>0</v>
      </c>
      <c r="N5256">
        <v>0</v>
      </c>
      <c r="O5256">
        <v>0</v>
      </c>
      <c r="P5256">
        <v>1</v>
      </c>
      <c r="Q5256" t="s">
        <v>26</v>
      </c>
      <c r="R5256">
        <v>1</v>
      </c>
    </row>
    <row r="5257" spans="1:18">
      <c r="A5257" s="4">
        <v>26886100000000</v>
      </c>
      <c r="B5257" t="s">
        <v>28</v>
      </c>
      <c r="C5257">
        <v>63</v>
      </c>
      <c r="D5257" t="s">
        <v>35</v>
      </c>
      <c r="E5257" t="s">
        <v>57</v>
      </c>
      <c r="F5257" s="1">
        <v>42510</v>
      </c>
      <c r="G5257" s="1">
        <v>42510</v>
      </c>
      <c r="H5257" t="s">
        <v>21</v>
      </c>
      <c r="I5257">
        <v>0</v>
      </c>
      <c r="J5257" t="s">
        <v>111</v>
      </c>
      <c r="K5257">
        <v>0</v>
      </c>
      <c r="L5257">
        <v>0</v>
      </c>
      <c r="M5257">
        <v>0</v>
      </c>
      <c r="N5257">
        <v>1</v>
      </c>
      <c r="O5257">
        <v>0</v>
      </c>
      <c r="P5257">
        <v>0</v>
      </c>
      <c r="Q5257" t="s">
        <v>23</v>
      </c>
      <c r="R5257">
        <v>0</v>
      </c>
    </row>
    <row r="5258" spans="1:18">
      <c r="A5258" s="4">
        <v>47276200000000</v>
      </c>
      <c r="B5258" t="s">
        <v>28</v>
      </c>
      <c r="C5258">
        <v>56</v>
      </c>
      <c r="D5258" t="s">
        <v>35</v>
      </c>
      <c r="E5258" t="s">
        <v>84</v>
      </c>
      <c r="F5258" s="1">
        <v>42510</v>
      </c>
      <c r="G5258" s="1">
        <v>42520</v>
      </c>
      <c r="H5258" t="s">
        <v>30</v>
      </c>
      <c r="I5258">
        <v>10</v>
      </c>
      <c r="J5258" t="s">
        <v>92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1</v>
      </c>
      <c r="Q5258" t="s">
        <v>23</v>
      </c>
      <c r="R5258">
        <v>0</v>
      </c>
    </row>
    <row r="5259" spans="1:18">
      <c r="A5259" s="4">
        <v>45671600000000</v>
      </c>
      <c r="B5259" t="s">
        <v>18</v>
      </c>
      <c r="C5259">
        <v>27</v>
      </c>
      <c r="D5259" t="s">
        <v>37</v>
      </c>
      <c r="E5259" t="s">
        <v>59</v>
      </c>
      <c r="F5259" s="1">
        <v>42510</v>
      </c>
      <c r="G5259" s="1">
        <v>42510</v>
      </c>
      <c r="H5259" t="s">
        <v>21</v>
      </c>
      <c r="I5259">
        <v>0</v>
      </c>
      <c r="J5259" t="s">
        <v>111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23</v>
      </c>
      <c r="R5259">
        <v>0</v>
      </c>
    </row>
    <row r="5260" spans="1:18">
      <c r="A5260" s="4">
        <v>3644480000000</v>
      </c>
      <c r="B5260" t="s">
        <v>18</v>
      </c>
      <c r="C5260">
        <v>21</v>
      </c>
      <c r="D5260" t="s">
        <v>37</v>
      </c>
      <c r="E5260" t="s">
        <v>44</v>
      </c>
      <c r="F5260" s="1">
        <v>42510</v>
      </c>
      <c r="G5260" s="1">
        <v>42521</v>
      </c>
      <c r="H5260" t="s">
        <v>41</v>
      </c>
      <c r="I5260">
        <v>11</v>
      </c>
      <c r="J5260" t="s">
        <v>92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1</v>
      </c>
      <c r="Q5260" t="s">
        <v>23</v>
      </c>
      <c r="R5260">
        <v>0</v>
      </c>
    </row>
    <row r="5261" spans="1:18">
      <c r="A5261" s="4">
        <v>55422500000000</v>
      </c>
      <c r="B5261" t="s">
        <v>18</v>
      </c>
      <c r="C5261">
        <v>57</v>
      </c>
      <c r="D5261" t="s">
        <v>35</v>
      </c>
      <c r="E5261" t="s">
        <v>76</v>
      </c>
      <c r="F5261" s="1">
        <v>42510</v>
      </c>
      <c r="G5261" s="1">
        <v>42510</v>
      </c>
      <c r="H5261" t="s">
        <v>21</v>
      </c>
      <c r="I5261">
        <v>0</v>
      </c>
      <c r="J5261" t="s">
        <v>111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 t="s">
        <v>23</v>
      </c>
      <c r="R5261">
        <v>0</v>
      </c>
    </row>
    <row r="5262" spans="1:18">
      <c r="A5262" s="4">
        <v>532124000000</v>
      </c>
      <c r="B5262" t="s">
        <v>18</v>
      </c>
      <c r="C5262">
        <v>69</v>
      </c>
      <c r="D5262" t="s">
        <v>19</v>
      </c>
      <c r="E5262" t="s">
        <v>32</v>
      </c>
      <c r="F5262" s="1">
        <v>42510</v>
      </c>
      <c r="G5262" s="1">
        <v>42528</v>
      </c>
      <c r="H5262" t="s">
        <v>41</v>
      </c>
      <c r="I5262">
        <v>18</v>
      </c>
      <c r="J5262" t="s">
        <v>77</v>
      </c>
      <c r="K5262">
        <v>0</v>
      </c>
      <c r="L5262">
        <v>1</v>
      </c>
      <c r="M5262">
        <v>0</v>
      </c>
      <c r="N5262">
        <v>0</v>
      </c>
      <c r="O5262">
        <v>0</v>
      </c>
      <c r="P5262">
        <v>1</v>
      </c>
      <c r="Q5262" t="s">
        <v>23</v>
      </c>
      <c r="R5262">
        <v>0</v>
      </c>
    </row>
    <row r="5263" spans="1:18">
      <c r="A5263" s="4">
        <v>3895230000000</v>
      </c>
      <c r="B5263" t="s">
        <v>18</v>
      </c>
      <c r="C5263">
        <v>44</v>
      </c>
      <c r="D5263" t="s">
        <v>27</v>
      </c>
      <c r="E5263" t="s">
        <v>39</v>
      </c>
      <c r="F5263" s="1">
        <v>42510</v>
      </c>
      <c r="G5263" s="1">
        <v>42514</v>
      </c>
      <c r="H5263" t="s">
        <v>41</v>
      </c>
      <c r="I5263">
        <v>4</v>
      </c>
      <c r="J5263" t="s">
        <v>107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1</v>
      </c>
      <c r="Q5263" t="s">
        <v>26</v>
      </c>
      <c r="R5263">
        <v>1</v>
      </c>
    </row>
    <row r="5264" spans="1:18">
      <c r="A5264" s="4">
        <v>61321276427</v>
      </c>
      <c r="B5264" t="s">
        <v>28</v>
      </c>
      <c r="C5264">
        <v>11</v>
      </c>
      <c r="D5264" t="s">
        <v>31</v>
      </c>
      <c r="E5264" t="s">
        <v>87</v>
      </c>
      <c r="F5264" s="1">
        <v>42510</v>
      </c>
      <c r="G5264" s="1">
        <v>42510</v>
      </c>
      <c r="H5264" t="s">
        <v>21</v>
      </c>
      <c r="I5264">
        <v>0</v>
      </c>
      <c r="J5264" t="s">
        <v>111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 t="s">
        <v>23</v>
      </c>
      <c r="R5264">
        <v>0</v>
      </c>
    </row>
    <row r="5265" spans="1:18">
      <c r="A5265" s="4">
        <v>17646700000000</v>
      </c>
      <c r="B5265" t="s">
        <v>18</v>
      </c>
      <c r="C5265">
        <v>74</v>
      </c>
      <c r="D5265" t="s">
        <v>19</v>
      </c>
      <c r="E5265" t="s">
        <v>46</v>
      </c>
      <c r="F5265" s="1">
        <v>42510</v>
      </c>
      <c r="G5265" s="1">
        <v>42523</v>
      </c>
      <c r="H5265" t="s">
        <v>33</v>
      </c>
      <c r="I5265">
        <v>13</v>
      </c>
      <c r="J5265" t="s">
        <v>92</v>
      </c>
      <c r="K5265">
        <v>0</v>
      </c>
      <c r="L5265">
        <v>1</v>
      </c>
      <c r="M5265">
        <v>1</v>
      </c>
      <c r="N5265">
        <v>0</v>
      </c>
      <c r="O5265">
        <v>0</v>
      </c>
      <c r="P5265">
        <v>1</v>
      </c>
      <c r="Q5265" t="s">
        <v>23</v>
      </c>
      <c r="R5265">
        <v>0</v>
      </c>
    </row>
    <row r="5266" spans="1:18">
      <c r="A5266" s="4">
        <v>762754000000000</v>
      </c>
      <c r="B5266" t="s">
        <v>28</v>
      </c>
      <c r="C5266">
        <v>59</v>
      </c>
      <c r="D5266" t="s">
        <v>35</v>
      </c>
      <c r="E5266" t="s">
        <v>39</v>
      </c>
      <c r="F5266" s="1">
        <v>42510</v>
      </c>
      <c r="G5266" s="1">
        <v>42510</v>
      </c>
      <c r="H5266" t="s">
        <v>21</v>
      </c>
      <c r="I5266">
        <v>0</v>
      </c>
      <c r="J5266" t="s">
        <v>111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23</v>
      </c>
      <c r="R5266">
        <v>0</v>
      </c>
    </row>
    <row r="5267" spans="1:18">
      <c r="A5267" s="4">
        <v>537997000000</v>
      </c>
      <c r="B5267" t="s">
        <v>28</v>
      </c>
      <c r="C5267">
        <v>50</v>
      </c>
      <c r="D5267" t="s">
        <v>27</v>
      </c>
      <c r="E5267" t="s">
        <v>38</v>
      </c>
      <c r="F5267" s="1">
        <v>42510</v>
      </c>
      <c r="G5267" s="1">
        <v>42510</v>
      </c>
      <c r="H5267" t="s">
        <v>21</v>
      </c>
      <c r="I5267">
        <v>0</v>
      </c>
      <c r="J5267" t="s">
        <v>111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23</v>
      </c>
      <c r="R5267">
        <v>0</v>
      </c>
    </row>
    <row r="5268" spans="1:18">
      <c r="A5268" s="4">
        <v>426486000000</v>
      </c>
      <c r="B5268" t="s">
        <v>18</v>
      </c>
      <c r="C5268">
        <v>20</v>
      </c>
      <c r="D5268" t="s">
        <v>37</v>
      </c>
      <c r="E5268" t="s">
        <v>50</v>
      </c>
      <c r="F5268" s="1">
        <v>42510</v>
      </c>
      <c r="G5268" s="1">
        <v>42527</v>
      </c>
      <c r="H5268" t="s">
        <v>30</v>
      </c>
      <c r="I5268">
        <v>17</v>
      </c>
      <c r="J5268" t="s">
        <v>77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1</v>
      </c>
      <c r="Q5268" t="s">
        <v>26</v>
      </c>
      <c r="R5268">
        <v>1</v>
      </c>
    </row>
    <row r="5269" spans="1:18">
      <c r="A5269" s="4">
        <v>99637671331</v>
      </c>
      <c r="B5269" t="s">
        <v>28</v>
      </c>
      <c r="C5269">
        <v>46</v>
      </c>
      <c r="D5269" t="s">
        <v>27</v>
      </c>
      <c r="E5269" t="s">
        <v>67</v>
      </c>
      <c r="F5269" s="1">
        <v>42510</v>
      </c>
      <c r="G5269" s="1">
        <v>42510</v>
      </c>
      <c r="H5269" t="s">
        <v>21</v>
      </c>
      <c r="I5269">
        <v>0</v>
      </c>
      <c r="J5269" t="s">
        <v>111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23</v>
      </c>
      <c r="R5269">
        <v>0</v>
      </c>
    </row>
    <row r="5270" spans="1:18">
      <c r="A5270" s="4">
        <v>61824200000000</v>
      </c>
      <c r="B5270" t="s">
        <v>18</v>
      </c>
      <c r="C5270">
        <v>71</v>
      </c>
      <c r="D5270" t="s">
        <v>19</v>
      </c>
      <c r="E5270" t="s">
        <v>49</v>
      </c>
      <c r="F5270" s="1">
        <v>42510</v>
      </c>
      <c r="G5270" s="1">
        <v>42528</v>
      </c>
      <c r="H5270" t="s">
        <v>41</v>
      </c>
      <c r="I5270">
        <v>18</v>
      </c>
      <c r="J5270" t="s">
        <v>77</v>
      </c>
      <c r="K5270">
        <v>0</v>
      </c>
      <c r="L5270">
        <v>1</v>
      </c>
      <c r="M5270">
        <v>0</v>
      </c>
      <c r="N5270">
        <v>0</v>
      </c>
      <c r="O5270">
        <v>0</v>
      </c>
      <c r="P5270">
        <v>1</v>
      </c>
      <c r="Q5270" t="s">
        <v>23</v>
      </c>
      <c r="R5270">
        <v>0</v>
      </c>
    </row>
    <row r="5271" spans="1:18">
      <c r="A5271" s="4">
        <v>97756900000000</v>
      </c>
      <c r="B5271" t="s">
        <v>18</v>
      </c>
      <c r="C5271">
        <v>2</v>
      </c>
      <c r="D5271" t="s">
        <v>31</v>
      </c>
      <c r="E5271" t="s">
        <v>29</v>
      </c>
      <c r="F5271" s="1">
        <v>42510</v>
      </c>
      <c r="G5271" s="1">
        <v>42510</v>
      </c>
      <c r="H5271" t="s">
        <v>21</v>
      </c>
      <c r="I5271">
        <v>0</v>
      </c>
      <c r="J5271" t="s">
        <v>111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 t="s">
        <v>23</v>
      </c>
      <c r="R5271">
        <v>0</v>
      </c>
    </row>
    <row r="5272" spans="1:18">
      <c r="A5272" s="4">
        <v>749653000000000</v>
      </c>
      <c r="B5272" t="s">
        <v>18</v>
      </c>
      <c r="C5272">
        <v>51</v>
      </c>
      <c r="D5272" t="s">
        <v>35</v>
      </c>
      <c r="E5272" t="s">
        <v>56</v>
      </c>
      <c r="F5272" s="1">
        <v>42510</v>
      </c>
      <c r="G5272" s="1">
        <v>42515</v>
      </c>
      <c r="H5272" t="s">
        <v>25</v>
      </c>
      <c r="I5272">
        <v>5</v>
      </c>
      <c r="J5272" t="s">
        <v>107</v>
      </c>
      <c r="K5272">
        <v>0</v>
      </c>
      <c r="L5272">
        <v>1</v>
      </c>
      <c r="M5272">
        <v>0</v>
      </c>
      <c r="N5272">
        <v>0</v>
      </c>
      <c r="O5272">
        <v>0</v>
      </c>
      <c r="P5272">
        <v>0</v>
      </c>
      <c r="Q5272" t="s">
        <v>26</v>
      </c>
      <c r="R5272">
        <v>1</v>
      </c>
    </row>
    <row r="5273" spans="1:18">
      <c r="A5273" s="4">
        <v>7722990000000</v>
      </c>
      <c r="B5273" t="s">
        <v>18</v>
      </c>
      <c r="C5273">
        <v>53</v>
      </c>
      <c r="D5273" t="s">
        <v>35</v>
      </c>
      <c r="E5273" t="s">
        <v>56</v>
      </c>
      <c r="F5273" s="1">
        <v>42510</v>
      </c>
      <c r="G5273" s="1">
        <v>42515</v>
      </c>
      <c r="H5273" t="s">
        <v>25</v>
      </c>
      <c r="I5273">
        <v>5</v>
      </c>
      <c r="J5273" t="s">
        <v>107</v>
      </c>
      <c r="K5273">
        <v>0</v>
      </c>
      <c r="L5273">
        <v>0</v>
      </c>
      <c r="M5273">
        <v>1</v>
      </c>
      <c r="N5273">
        <v>0</v>
      </c>
      <c r="O5273">
        <v>0</v>
      </c>
      <c r="P5273">
        <v>1</v>
      </c>
      <c r="Q5273" t="s">
        <v>26</v>
      </c>
      <c r="R5273">
        <v>1</v>
      </c>
    </row>
    <row r="5274" spans="1:18">
      <c r="A5274" s="4">
        <v>374131000000000</v>
      </c>
      <c r="B5274" t="s">
        <v>18</v>
      </c>
      <c r="C5274">
        <v>77</v>
      </c>
      <c r="D5274" t="s">
        <v>19</v>
      </c>
      <c r="E5274" t="s">
        <v>108</v>
      </c>
      <c r="F5274" s="1">
        <v>42510</v>
      </c>
      <c r="G5274" s="1">
        <v>42523</v>
      </c>
      <c r="H5274" t="s">
        <v>33</v>
      </c>
      <c r="I5274">
        <v>13</v>
      </c>
      <c r="J5274" t="s">
        <v>92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1</v>
      </c>
      <c r="Q5274" t="s">
        <v>23</v>
      </c>
      <c r="R5274">
        <v>0</v>
      </c>
    </row>
    <row r="5275" spans="1:18">
      <c r="A5275" s="4">
        <v>22361900000000</v>
      </c>
      <c r="B5275" t="s">
        <v>18</v>
      </c>
      <c r="C5275">
        <v>52</v>
      </c>
      <c r="D5275" t="s">
        <v>35</v>
      </c>
      <c r="E5275" t="s">
        <v>91</v>
      </c>
      <c r="F5275" s="1">
        <v>42510</v>
      </c>
      <c r="G5275" s="1">
        <v>42510</v>
      </c>
      <c r="H5275" t="s">
        <v>21</v>
      </c>
      <c r="I5275">
        <v>0</v>
      </c>
      <c r="J5275" t="s">
        <v>111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23</v>
      </c>
      <c r="R5275">
        <v>0</v>
      </c>
    </row>
    <row r="5276" spans="1:18">
      <c r="A5276" s="4">
        <v>31225800000000</v>
      </c>
      <c r="B5276" t="s">
        <v>18</v>
      </c>
      <c r="C5276">
        <v>37</v>
      </c>
      <c r="D5276" t="s">
        <v>27</v>
      </c>
      <c r="E5276" t="s">
        <v>66</v>
      </c>
      <c r="F5276" s="1">
        <v>42510</v>
      </c>
      <c r="G5276" s="1">
        <v>42510</v>
      </c>
      <c r="H5276" t="s">
        <v>21</v>
      </c>
      <c r="I5276">
        <v>0</v>
      </c>
      <c r="J5276" t="s">
        <v>111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 t="s">
        <v>23</v>
      </c>
      <c r="R5276">
        <v>0</v>
      </c>
    </row>
    <row r="5277" spans="1:18">
      <c r="A5277" s="4">
        <v>434798000000</v>
      </c>
      <c r="B5277" t="s">
        <v>18</v>
      </c>
      <c r="C5277">
        <v>80</v>
      </c>
      <c r="D5277" t="s">
        <v>19</v>
      </c>
      <c r="E5277" t="s">
        <v>65</v>
      </c>
      <c r="F5277" s="1">
        <v>42510</v>
      </c>
      <c r="G5277" s="1">
        <v>42529</v>
      </c>
      <c r="H5277" t="s">
        <v>25</v>
      </c>
      <c r="I5277">
        <v>19</v>
      </c>
      <c r="J5277" t="s">
        <v>77</v>
      </c>
      <c r="K5277">
        <v>0</v>
      </c>
      <c r="L5277">
        <v>1</v>
      </c>
      <c r="M5277">
        <v>0</v>
      </c>
      <c r="N5277">
        <v>0</v>
      </c>
      <c r="O5277">
        <v>0</v>
      </c>
      <c r="P5277">
        <v>1</v>
      </c>
      <c r="Q5277" t="s">
        <v>23</v>
      </c>
      <c r="R5277">
        <v>0</v>
      </c>
    </row>
    <row r="5278" spans="1:18">
      <c r="A5278" s="4">
        <v>66736600000000</v>
      </c>
      <c r="B5278" t="s">
        <v>18</v>
      </c>
      <c r="C5278">
        <v>47</v>
      </c>
      <c r="D5278" t="s">
        <v>27</v>
      </c>
      <c r="E5278" t="s">
        <v>47</v>
      </c>
      <c r="F5278" s="1">
        <v>42510</v>
      </c>
      <c r="G5278" s="1">
        <v>42510</v>
      </c>
      <c r="H5278" t="s">
        <v>21</v>
      </c>
      <c r="I5278">
        <v>0</v>
      </c>
      <c r="J5278" t="s">
        <v>111</v>
      </c>
      <c r="K5278">
        <v>0</v>
      </c>
      <c r="L5278">
        <v>0</v>
      </c>
      <c r="M5278">
        <v>0</v>
      </c>
      <c r="N5278">
        <v>0</v>
      </c>
      <c r="O5278">
        <v>1</v>
      </c>
      <c r="P5278">
        <v>0</v>
      </c>
      <c r="Q5278" t="s">
        <v>23</v>
      </c>
      <c r="R5278">
        <v>0</v>
      </c>
    </row>
    <row r="5279" spans="1:18">
      <c r="A5279" s="4">
        <v>45756900000000</v>
      </c>
      <c r="B5279" t="s">
        <v>18</v>
      </c>
      <c r="C5279">
        <v>22</v>
      </c>
      <c r="D5279" t="s">
        <v>37</v>
      </c>
      <c r="E5279" t="s">
        <v>72</v>
      </c>
      <c r="F5279" s="1">
        <v>42510</v>
      </c>
      <c r="G5279" s="1">
        <v>42510</v>
      </c>
      <c r="H5279" t="s">
        <v>21</v>
      </c>
      <c r="I5279">
        <v>0</v>
      </c>
      <c r="J5279" t="s">
        <v>111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23</v>
      </c>
      <c r="R5279">
        <v>0</v>
      </c>
    </row>
    <row r="5280" spans="1:18">
      <c r="A5280" s="4">
        <v>31826700000000</v>
      </c>
      <c r="B5280" t="s">
        <v>28</v>
      </c>
      <c r="C5280">
        <v>5</v>
      </c>
      <c r="D5280" t="s">
        <v>31</v>
      </c>
      <c r="E5280" t="s">
        <v>84</v>
      </c>
      <c r="F5280" s="1">
        <v>42510</v>
      </c>
      <c r="G5280" s="1">
        <v>42520</v>
      </c>
      <c r="H5280" t="s">
        <v>30</v>
      </c>
      <c r="I5280">
        <v>10</v>
      </c>
      <c r="J5280" t="s">
        <v>92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 t="s">
        <v>26</v>
      </c>
      <c r="R5280">
        <v>1</v>
      </c>
    </row>
    <row r="5281" spans="1:18">
      <c r="A5281" s="4">
        <v>671585000000000</v>
      </c>
      <c r="B5281" t="s">
        <v>28</v>
      </c>
      <c r="C5281">
        <v>4</v>
      </c>
      <c r="D5281" t="s">
        <v>31</v>
      </c>
      <c r="E5281" t="s">
        <v>38</v>
      </c>
      <c r="F5281" s="1">
        <v>42510</v>
      </c>
      <c r="G5281" s="1">
        <v>42515</v>
      </c>
      <c r="H5281" t="s">
        <v>25</v>
      </c>
      <c r="I5281">
        <v>5</v>
      </c>
      <c r="J5281" t="s">
        <v>107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1</v>
      </c>
      <c r="Q5281" t="s">
        <v>26</v>
      </c>
      <c r="R5281">
        <v>1</v>
      </c>
    </row>
    <row r="5282" spans="1:18">
      <c r="A5282" s="4">
        <v>44945500000000</v>
      </c>
      <c r="B5282" t="s">
        <v>28</v>
      </c>
      <c r="C5282">
        <v>21</v>
      </c>
      <c r="D5282" t="s">
        <v>37</v>
      </c>
      <c r="E5282" t="s">
        <v>106</v>
      </c>
      <c r="F5282" s="1">
        <v>42510</v>
      </c>
      <c r="G5282" s="1">
        <v>42510</v>
      </c>
      <c r="H5282" t="s">
        <v>21</v>
      </c>
      <c r="I5282">
        <v>0</v>
      </c>
      <c r="J5282" t="s">
        <v>111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23</v>
      </c>
      <c r="R5282">
        <v>0</v>
      </c>
    </row>
    <row r="5283" spans="1:18">
      <c r="A5283" s="4">
        <v>62199700000000</v>
      </c>
      <c r="B5283" t="s">
        <v>18</v>
      </c>
      <c r="C5283">
        <v>30</v>
      </c>
      <c r="D5283" t="s">
        <v>37</v>
      </c>
      <c r="E5283" t="s">
        <v>56</v>
      </c>
      <c r="F5283" s="1">
        <v>42510</v>
      </c>
      <c r="G5283" s="1">
        <v>42510</v>
      </c>
      <c r="H5283" t="s">
        <v>21</v>
      </c>
      <c r="I5283">
        <v>0</v>
      </c>
      <c r="J5283" t="s">
        <v>111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23</v>
      </c>
      <c r="R5283">
        <v>0</v>
      </c>
    </row>
    <row r="5284" spans="1:18">
      <c r="A5284" s="4">
        <v>9775690000000</v>
      </c>
      <c r="B5284" t="s">
        <v>18</v>
      </c>
      <c r="C5284">
        <v>49</v>
      </c>
      <c r="D5284" t="s">
        <v>27</v>
      </c>
      <c r="E5284" t="s">
        <v>32</v>
      </c>
      <c r="F5284" s="1">
        <v>42510</v>
      </c>
      <c r="G5284" s="1">
        <v>42522</v>
      </c>
      <c r="H5284" t="s">
        <v>25</v>
      </c>
      <c r="I5284">
        <v>12</v>
      </c>
      <c r="J5284" t="s">
        <v>92</v>
      </c>
      <c r="K5284">
        <v>0</v>
      </c>
      <c r="L5284">
        <v>1</v>
      </c>
      <c r="M5284">
        <v>0</v>
      </c>
      <c r="N5284">
        <v>0</v>
      </c>
      <c r="O5284">
        <v>0</v>
      </c>
      <c r="P5284">
        <v>1</v>
      </c>
      <c r="Q5284" t="s">
        <v>23</v>
      </c>
      <c r="R5284">
        <v>0</v>
      </c>
    </row>
    <row r="5285" spans="1:18">
      <c r="A5285" s="4">
        <v>25114300000000</v>
      </c>
      <c r="B5285" t="s">
        <v>18</v>
      </c>
      <c r="C5285">
        <v>26</v>
      </c>
      <c r="D5285" t="s">
        <v>37</v>
      </c>
      <c r="E5285" t="s">
        <v>74</v>
      </c>
      <c r="F5285" s="1">
        <v>42510</v>
      </c>
      <c r="G5285" s="1">
        <v>42528</v>
      </c>
      <c r="H5285" t="s">
        <v>41</v>
      </c>
      <c r="I5285">
        <v>18</v>
      </c>
      <c r="J5285" t="s">
        <v>77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1</v>
      </c>
      <c r="Q5285" t="s">
        <v>23</v>
      </c>
      <c r="R5285">
        <v>0</v>
      </c>
    </row>
    <row r="5286" spans="1:18">
      <c r="A5286" s="4">
        <v>71324900000000</v>
      </c>
      <c r="B5286" t="s">
        <v>28</v>
      </c>
      <c r="C5286">
        <v>56</v>
      </c>
      <c r="D5286" t="s">
        <v>35</v>
      </c>
      <c r="E5286" t="s">
        <v>94</v>
      </c>
      <c r="F5286" s="1">
        <v>42510</v>
      </c>
      <c r="G5286" s="1">
        <v>42510</v>
      </c>
      <c r="H5286" t="s">
        <v>21</v>
      </c>
      <c r="I5286">
        <v>0</v>
      </c>
      <c r="J5286" t="s">
        <v>111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23</v>
      </c>
      <c r="R5286">
        <v>0</v>
      </c>
    </row>
    <row r="5287" spans="1:18">
      <c r="A5287" s="4">
        <v>1775630000000</v>
      </c>
      <c r="B5287" t="s">
        <v>28</v>
      </c>
      <c r="C5287">
        <v>3</v>
      </c>
      <c r="D5287" t="s">
        <v>31</v>
      </c>
      <c r="E5287" t="s">
        <v>32</v>
      </c>
      <c r="F5287" s="1">
        <v>42510</v>
      </c>
      <c r="G5287" s="1">
        <v>42514</v>
      </c>
      <c r="H5287" t="s">
        <v>41</v>
      </c>
      <c r="I5287">
        <v>4</v>
      </c>
      <c r="J5287" t="s">
        <v>107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1</v>
      </c>
      <c r="Q5287" t="s">
        <v>23</v>
      </c>
      <c r="R5287">
        <v>0</v>
      </c>
    </row>
    <row r="5288" spans="1:18">
      <c r="A5288" s="4">
        <v>6541440000000</v>
      </c>
      <c r="B5288" t="s">
        <v>28</v>
      </c>
      <c r="C5288">
        <v>0</v>
      </c>
      <c r="D5288" t="s">
        <v>31</v>
      </c>
      <c r="E5288" t="s">
        <v>84</v>
      </c>
      <c r="F5288" s="1">
        <v>42510</v>
      </c>
      <c r="G5288" s="1">
        <v>42524</v>
      </c>
      <c r="H5288" t="s">
        <v>21</v>
      </c>
      <c r="I5288">
        <v>14</v>
      </c>
      <c r="J5288" t="s">
        <v>92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 t="s">
        <v>23</v>
      </c>
      <c r="R5288">
        <v>0</v>
      </c>
    </row>
    <row r="5289" spans="1:18">
      <c r="A5289" s="4">
        <v>73416500000000</v>
      </c>
      <c r="B5289" t="s">
        <v>18</v>
      </c>
      <c r="C5289">
        <v>68</v>
      </c>
      <c r="D5289" t="s">
        <v>19</v>
      </c>
      <c r="E5289" t="s">
        <v>72</v>
      </c>
      <c r="F5289" s="1">
        <v>42510</v>
      </c>
      <c r="G5289" s="1">
        <v>42510</v>
      </c>
      <c r="H5289" t="s">
        <v>21</v>
      </c>
      <c r="I5289">
        <v>0</v>
      </c>
      <c r="J5289" t="s">
        <v>111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23</v>
      </c>
      <c r="R5289">
        <v>0</v>
      </c>
    </row>
    <row r="5290" spans="1:18">
      <c r="A5290" s="4">
        <v>364588000000000</v>
      </c>
      <c r="B5290" t="s">
        <v>28</v>
      </c>
      <c r="C5290">
        <v>55</v>
      </c>
      <c r="D5290" t="s">
        <v>35</v>
      </c>
      <c r="E5290" t="s">
        <v>55</v>
      </c>
      <c r="F5290" s="1">
        <v>42510</v>
      </c>
      <c r="G5290" s="1">
        <v>42510</v>
      </c>
      <c r="H5290" t="s">
        <v>21</v>
      </c>
      <c r="I5290">
        <v>0</v>
      </c>
      <c r="J5290" t="s">
        <v>111</v>
      </c>
      <c r="K5290">
        <v>0</v>
      </c>
      <c r="L5290">
        <v>1</v>
      </c>
      <c r="M5290">
        <v>0</v>
      </c>
      <c r="N5290">
        <v>0</v>
      </c>
      <c r="O5290">
        <v>0</v>
      </c>
      <c r="P5290">
        <v>0</v>
      </c>
      <c r="Q5290" t="s">
        <v>23</v>
      </c>
      <c r="R5290">
        <v>0</v>
      </c>
    </row>
    <row r="5291" spans="1:18">
      <c r="A5291" s="4">
        <v>82358700000000</v>
      </c>
      <c r="B5291" t="s">
        <v>28</v>
      </c>
      <c r="C5291">
        <v>59</v>
      </c>
      <c r="D5291" t="s">
        <v>35</v>
      </c>
      <c r="E5291" t="s">
        <v>54</v>
      </c>
      <c r="F5291" s="1">
        <v>42510</v>
      </c>
      <c r="G5291" s="1">
        <v>42510</v>
      </c>
      <c r="H5291" t="s">
        <v>21</v>
      </c>
      <c r="I5291">
        <v>0</v>
      </c>
      <c r="J5291" t="s">
        <v>111</v>
      </c>
      <c r="K5291">
        <v>0</v>
      </c>
      <c r="L5291">
        <v>1</v>
      </c>
      <c r="M5291">
        <v>0</v>
      </c>
      <c r="N5291">
        <v>0</v>
      </c>
      <c r="O5291">
        <v>0</v>
      </c>
      <c r="P5291">
        <v>0</v>
      </c>
      <c r="Q5291" t="s">
        <v>23</v>
      </c>
      <c r="R5291">
        <v>0</v>
      </c>
    </row>
    <row r="5292" spans="1:18">
      <c r="A5292" s="4">
        <v>7783340000000</v>
      </c>
      <c r="B5292" t="s">
        <v>28</v>
      </c>
      <c r="C5292">
        <v>14</v>
      </c>
      <c r="D5292" t="s">
        <v>60</v>
      </c>
      <c r="E5292" t="s">
        <v>75</v>
      </c>
      <c r="F5292" s="1">
        <v>42510</v>
      </c>
      <c r="G5292" s="1">
        <v>42510</v>
      </c>
      <c r="H5292" t="s">
        <v>21</v>
      </c>
      <c r="I5292">
        <v>0</v>
      </c>
      <c r="J5292" t="s">
        <v>111</v>
      </c>
      <c r="K5292">
        <v>0</v>
      </c>
      <c r="L5292">
        <v>0</v>
      </c>
      <c r="M5292">
        <v>0</v>
      </c>
      <c r="N5292">
        <v>0</v>
      </c>
      <c r="O5292">
        <v>1</v>
      </c>
      <c r="P5292">
        <v>0</v>
      </c>
      <c r="Q5292" t="s">
        <v>26</v>
      </c>
      <c r="R5292">
        <v>1</v>
      </c>
    </row>
    <row r="5293" spans="1:18">
      <c r="A5293" s="4">
        <v>9995990000000</v>
      </c>
      <c r="B5293" t="s">
        <v>28</v>
      </c>
      <c r="C5293">
        <v>17</v>
      </c>
      <c r="D5293" t="s">
        <v>60</v>
      </c>
      <c r="E5293" t="s">
        <v>51</v>
      </c>
      <c r="F5293" s="1">
        <v>42510</v>
      </c>
      <c r="G5293" s="1">
        <v>42510</v>
      </c>
      <c r="H5293" t="s">
        <v>21</v>
      </c>
      <c r="I5293">
        <v>0</v>
      </c>
      <c r="J5293" t="s">
        <v>111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26</v>
      </c>
      <c r="R5293">
        <v>1</v>
      </c>
    </row>
    <row r="5294" spans="1:18">
      <c r="A5294" s="4">
        <v>846785000000</v>
      </c>
      <c r="B5294" t="s">
        <v>18</v>
      </c>
      <c r="C5294">
        <v>20</v>
      </c>
      <c r="D5294" t="s">
        <v>37</v>
      </c>
      <c r="E5294" t="s">
        <v>67</v>
      </c>
      <c r="F5294" s="1">
        <v>42510</v>
      </c>
      <c r="G5294" s="1">
        <v>42510</v>
      </c>
      <c r="H5294" t="s">
        <v>21</v>
      </c>
      <c r="I5294">
        <v>0</v>
      </c>
      <c r="J5294" t="s">
        <v>111</v>
      </c>
      <c r="K5294">
        <v>1</v>
      </c>
      <c r="L5294">
        <v>0</v>
      </c>
      <c r="M5294">
        <v>0</v>
      </c>
      <c r="N5294">
        <v>0</v>
      </c>
      <c r="O5294">
        <v>0</v>
      </c>
      <c r="P5294">
        <v>0</v>
      </c>
      <c r="Q5294" t="s">
        <v>26</v>
      </c>
      <c r="R5294">
        <v>1</v>
      </c>
    </row>
    <row r="5295" spans="1:18">
      <c r="A5295" s="4">
        <v>992875000000000</v>
      </c>
      <c r="B5295" t="s">
        <v>28</v>
      </c>
      <c r="C5295">
        <v>6</v>
      </c>
      <c r="D5295" t="s">
        <v>31</v>
      </c>
      <c r="E5295" t="s">
        <v>66</v>
      </c>
      <c r="F5295" s="1">
        <v>42510</v>
      </c>
      <c r="G5295" s="1">
        <v>42510</v>
      </c>
      <c r="H5295" t="s">
        <v>21</v>
      </c>
      <c r="I5295">
        <v>0</v>
      </c>
      <c r="J5295" t="s">
        <v>111</v>
      </c>
      <c r="K5295">
        <v>1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23</v>
      </c>
      <c r="R5295">
        <v>0</v>
      </c>
    </row>
    <row r="5296" spans="1:18">
      <c r="A5296" s="4">
        <v>3536170000000</v>
      </c>
      <c r="B5296" t="s">
        <v>18</v>
      </c>
      <c r="C5296">
        <v>22</v>
      </c>
      <c r="D5296" t="s">
        <v>37</v>
      </c>
      <c r="E5296" t="s">
        <v>32</v>
      </c>
      <c r="F5296" s="1">
        <v>42510</v>
      </c>
      <c r="G5296" s="1">
        <v>42524</v>
      </c>
      <c r="H5296" t="s">
        <v>21</v>
      </c>
      <c r="I5296">
        <v>14</v>
      </c>
      <c r="J5296" t="s">
        <v>92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1</v>
      </c>
      <c r="Q5296" t="s">
        <v>23</v>
      </c>
      <c r="R5296">
        <v>0</v>
      </c>
    </row>
    <row r="5297" spans="1:18">
      <c r="A5297" s="4">
        <v>34812600000000</v>
      </c>
      <c r="B5297" t="s">
        <v>18</v>
      </c>
      <c r="C5297">
        <v>85</v>
      </c>
      <c r="D5297" t="s">
        <v>19</v>
      </c>
      <c r="E5297" t="s">
        <v>72</v>
      </c>
      <c r="F5297" s="1">
        <v>42510</v>
      </c>
      <c r="G5297" s="1">
        <v>42510</v>
      </c>
      <c r="H5297" t="s">
        <v>21</v>
      </c>
      <c r="I5297">
        <v>0</v>
      </c>
      <c r="J5297" t="s">
        <v>111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23</v>
      </c>
      <c r="R5297">
        <v>0</v>
      </c>
    </row>
    <row r="5298" spans="1:18">
      <c r="A5298" s="4">
        <v>6825330000000</v>
      </c>
      <c r="B5298" t="s">
        <v>28</v>
      </c>
      <c r="C5298">
        <v>50</v>
      </c>
      <c r="D5298" t="s">
        <v>27</v>
      </c>
      <c r="E5298" t="s">
        <v>66</v>
      </c>
      <c r="F5298" s="1">
        <v>42510</v>
      </c>
      <c r="G5298" s="1">
        <v>42510</v>
      </c>
      <c r="H5298" t="s">
        <v>21</v>
      </c>
      <c r="I5298">
        <v>0</v>
      </c>
      <c r="J5298" t="s">
        <v>111</v>
      </c>
      <c r="K5298">
        <v>0</v>
      </c>
      <c r="L5298">
        <v>0</v>
      </c>
      <c r="M5298">
        <v>0</v>
      </c>
      <c r="N5298">
        <v>1</v>
      </c>
      <c r="O5298">
        <v>0</v>
      </c>
      <c r="P5298">
        <v>0</v>
      </c>
      <c r="Q5298" t="s">
        <v>26</v>
      </c>
      <c r="R5298">
        <v>1</v>
      </c>
    </row>
    <row r="5299" spans="1:18">
      <c r="A5299" s="4">
        <v>224678000000000</v>
      </c>
      <c r="B5299" t="s">
        <v>18</v>
      </c>
      <c r="C5299">
        <v>2</v>
      </c>
      <c r="D5299" t="s">
        <v>31</v>
      </c>
      <c r="E5299" t="s">
        <v>61</v>
      </c>
      <c r="F5299" s="1">
        <v>42510</v>
      </c>
      <c r="G5299" s="1">
        <v>42510</v>
      </c>
      <c r="H5299" t="s">
        <v>21</v>
      </c>
      <c r="I5299">
        <v>0</v>
      </c>
      <c r="J5299" t="s">
        <v>111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 t="s">
        <v>23</v>
      </c>
      <c r="R5299">
        <v>0</v>
      </c>
    </row>
    <row r="5300" spans="1:18">
      <c r="A5300" s="4">
        <v>471735000000000</v>
      </c>
      <c r="B5300" t="s">
        <v>28</v>
      </c>
      <c r="C5300">
        <v>77</v>
      </c>
      <c r="D5300" t="s">
        <v>19</v>
      </c>
      <c r="E5300" t="s">
        <v>40</v>
      </c>
      <c r="F5300" s="1">
        <v>42510</v>
      </c>
      <c r="G5300" s="1">
        <v>42515</v>
      </c>
      <c r="H5300" t="s">
        <v>25</v>
      </c>
      <c r="I5300">
        <v>5</v>
      </c>
      <c r="J5300" t="s">
        <v>107</v>
      </c>
      <c r="K5300">
        <v>0</v>
      </c>
      <c r="L5300">
        <v>1</v>
      </c>
      <c r="M5300">
        <v>1</v>
      </c>
      <c r="N5300">
        <v>0</v>
      </c>
      <c r="O5300">
        <v>1</v>
      </c>
      <c r="P5300">
        <v>1</v>
      </c>
      <c r="Q5300" t="s">
        <v>23</v>
      </c>
      <c r="R5300">
        <v>0</v>
      </c>
    </row>
    <row r="5301" spans="1:18">
      <c r="A5301" s="4">
        <v>869357000000000</v>
      </c>
      <c r="B5301" t="s">
        <v>28</v>
      </c>
      <c r="C5301">
        <v>28</v>
      </c>
      <c r="D5301" t="s">
        <v>37</v>
      </c>
      <c r="E5301" t="s">
        <v>32</v>
      </c>
      <c r="F5301" s="1">
        <v>42510</v>
      </c>
      <c r="G5301" s="1">
        <v>42515</v>
      </c>
      <c r="H5301" t="s">
        <v>25</v>
      </c>
      <c r="I5301">
        <v>5</v>
      </c>
      <c r="J5301" t="s">
        <v>107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1</v>
      </c>
      <c r="Q5301" t="s">
        <v>23</v>
      </c>
      <c r="R5301">
        <v>0</v>
      </c>
    </row>
    <row r="5302" spans="1:18">
      <c r="A5302" s="4">
        <v>49144500000000</v>
      </c>
      <c r="B5302" t="s">
        <v>18</v>
      </c>
      <c r="C5302">
        <v>73</v>
      </c>
      <c r="D5302" t="s">
        <v>19</v>
      </c>
      <c r="E5302" t="s">
        <v>43</v>
      </c>
      <c r="F5302" s="1">
        <v>42510</v>
      </c>
      <c r="G5302" s="1">
        <v>42515</v>
      </c>
      <c r="H5302" t="s">
        <v>25</v>
      </c>
      <c r="I5302">
        <v>5</v>
      </c>
      <c r="J5302" t="s">
        <v>107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26</v>
      </c>
      <c r="R5302">
        <v>1</v>
      </c>
    </row>
    <row r="5303" spans="1:18">
      <c r="A5303" s="4">
        <v>5215780000000</v>
      </c>
      <c r="B5303" t="s">
        <v>18</v>
      </c>
      <c r="C5303">
        <v>75</v>
      </c>
      <c r="D5303" t="s">
        <v>19</v>
      </c>
      <c r="E5303" t="s">
        <v>76</v>
      </c>
      <c r="F5303" s="1">
        <v>42510</v>
      </c>
      <c r="G5303" s="1">
        <v>42510</v>
      </c>
      <c r="H5303" t="s">
        <v>21</v>
      </c>
      <c r="I5303">
        <v>0</v>
      </c>
      <c r="J5303" t="s">
        <v>111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23</v>
      </c>
      <c r="R5303">
        <v>0</v>
      </c>
    </row>
    <row r="5304" spans="1:18">
      <c r="A5304" s="4">
        <v>176558000000000</v>
      </c>
      <c r="B5304" t="s">
        <v>28</v>
      </c>
      <c r="C5304">
        <v>43</v>
      </c>
      <c r="D5304" t="s">
        <v>27</v>
      </c>
      <c r="E5304" t="s">
        <v>48</v>
      </c>
      <c r="F5304" s="1">
        <v>42510</v>
      </c>
      <c r="G5304" s="1">
        <v>42515</v>
      </c>
      <c r="H5304" t="s">
        <v>25</v>
      </c>
      <c r="I5304">
        <v>5</v>
      </c>
      <c r="J5304" t="s">
        <v>107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1</v>
      </c>
      <c r="Q5304" t="s">
        <v>23</v>
      </c>
      <c r="R5304">
        <v>0</v>
      </c>
    </row>
    <row r="5305" spans="1:18">
      <c r="A5305" s="4">
        <v>4866700000000</v>
      </c>
      <c r="B5305" t="s">
        <v>28</v>
      </c>
      <c r="C5305">
        <v>27</v>
      </c>
      <c r="D5305" t="s">
        <v>37</v>
      </c>
      <c r="E5305" t="s">
        <v>38</v>
      </c>
      <c r="F5305" s="1">
        <v>42510</v>
      </c>
      <c r="G5305" s="1">
        <v>42510</v>
      </c>
      <c r="H5305" t="s">
        <v>21</v>
      </c>
      <c r="I5305">
        <v>0</v>
      </c>
      <c r="J5305" t="s">
        <v>111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23</v>
      </c>
      <c r="R5305">
        <v>0</v>
      </c>
    </row>
    <row r="5306" spans="1:18">
      <c r="A5306" s="4">
        <v>5594130000000</v>
      </c>
      <c r="B5306" t="s">
        <v>18</v>
      </c>
      <c r="C5306">
        <v>13</v>
      </c>
      <c r="D5306" t="s">
        <v>60</v>
      </c>
      <c r="E5306" t="s">
        <v>40</v>
      </c>
      <c r="F5306" s="1">
        <v>42510</v>
      </c>
      <c r="G5306" s="1">
        <v>42524</v>
      </c>
      <c r="H5306" t="s">
        <v>21</v>
      </c>
      <c r="I5306">
        <v>14</v>
      </c>
      <c r="J5306" t="s">
        <v>92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1</v>
      </c>
      <c r="Q5306" t="s">
        <v>26</v>
      </c>
      <c r="R5306">
        <v>1</v>
      </c>
    </row>
    <row r="5307" spans="1:18">
      <c r="A5307" s="4">
        <v>45358700000000</v>
      </c>
      <c r="B5307" t="s">
        <v>18</v>
      </c>
      <c r="C5307">
        <v>9</v>
      </c>
      <c r="D5307" t="s">
        <v>31</v>
      </c>
      <c r="E5307" t="s">
        <v>66</v>
      </c>
      <c r="F5307" s="1">
        <v>42510</v>
      </c>
      <c r="G5307" s="1">
        <v>42524</v>
      </c>
      <c r="H5307" t="s">
        <v>21</v>
      </c>
      <c r="I5307">
        <v>14</v>
      </c>
      <c r="J5307" t="s">
        <v>92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1</v>
      </c>
      <c r="Q5307" t="s">
        <v>23</v>
      </c>
      <c r="R5307">
        <v>0</v>
      </c>
    </row>
    <row r="5308" spans="1:18">
      <c r="A5308" s="4">
        <v>7254930000000</v>
      </c>
      <c r="B5308" t="s">
        <v>28</v>
      </c>
      <c r="C5308">
        <v>17</v>
      </c>
      <c r="D5308" t="s">
        <v>60</v>
      </c>
      <c r="E5308" t="s">
        <v>74</v>
      </c>
      <c r="F5308" s="1">
        <v>42510</v>
      </c>
      <c r="G5308" s="1">
        <v>42510</v>
      </c>
      <c r="H5308" t="s">
        <v>21</v>
      </c>
      <c r="I5308">
        <v>0</v>
      </c>
      <c r="J5308" t="s">
        <v>111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 t="s">
        <v>23</v>
      </c>
      <c r="R5308">
        <v>0</v>
      </c>
    </row>
    <row r="5309" spans="1:18">
      <c r="A5309" s="4">
        <v>795449000000000</v>
      </c>
      <c r="B5309" t="s">
        <v>18</v>
      </c>
      <c r="C5309">
        <v>28</v>
      </c>
      <c r="D5309" t="s">
        <v>37</v>
      </c>
      <c r="E5309" t="s">
        <v>38</v>
      </c>
      <c r="F5309" s="1">
        <v>42510</v>
      </c>
      <c r="G5309" s="1">
        <v>42510</v>
      </c>
      <c r="H5309" t="s">
        <v>21</v>
      </c>
      <c r="I5309">
        <v>0</v>
      </c>
      <c r="J5309" t="s">
        <v>111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 t="s">
        <v>23</v>
      </c>
      <c r="R5309">
        <v>0</v>
      </c>
    </row>
    <row r="5310" spans="1:18">
      <c r="A5310" s="4">
        <v>18673200000000</v>
      </c>
      <c r="B5310" t="s">
        <v>28</v>
      </c>
      <c r="C5310">
        <v>17</v>
      </c>
      <c r="D5310" t="s">
        <v>60</v>
      </c>
      <c r="E5310" t="s">
        <v>54</v>
      </c>
      <c r="F5310" s="1">
        <v>42510</v>
      </c>
      <c r="G5310" s="1">
        <v>42515</v>
      </c>
      <c r="H5310" t="s">
        <v>25</v>
      </c>
      <c r="I5310">
        <v>5</v>
      </c>
      <c r="J5310" t="s">
        <v>107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1</v>
      </c>
      <c r="Q5310" t="s">
        <v>26</v>
      </c>
      <c r="R5310">
        <v>1</v>
      </c>
    </row>
    <row r="5311" spans="1:18">
      <c r="A5311" s="4">
        <v>56517600000000</v>
      </c>
      <c r="B5311" t="s">
        <v>28</v>
      </c>
      <c r="C5311">
        <v>52</v>
      </c>
      <c r="D5311" t="s">
        <v>35</v>
      </c>
      <c r="E5311" t="s">
        <v>72</v>
      </c>
      <c r="F5311" s="1">
        <v>42510</v>
      </c>
      <c r="G5311" s="1">
        <v>42510</v>
      </c>
      <c r="H5311" t="s">
        <v>21</v>
      </c>
      <c r="I5311">
        <v>0</v>
      </c>
      <c r="J5311" t="s">
        <v>111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23</v>
      </c>
      <c r="R5311">
        <v>0</v>
      </c>
    </row>
    <row r="5312" spans="1:18">
      <c r="A5312" s="4">
        <v>1252560000000</v>
      </c>
      <c r="B5312" t="s">
        <v>28</v>
      </c>
      <c r="C5312">
        <v>6</v>
      </c>
      <c r="D5312" t="s">
        <v>31</v>
      </c>
      <c r="E5312" t="s">
        <v>73</v>
      </c>
      <c r="F5312" s="1">
        <v>42510</v>
      </c>
      <c r="G5312" s="1">
        <v>42528</v>
      </c>
      <c r="H5312" t="s">
        <v>41</v>
      </c>
      <c r="I5312">
        <v>18</v>
      </c>
      <c r="J5312" t="s">
        <v>77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1</v>
      </c>
      <c r="Q5312" t="s">
        <v>26</v>
      </c>
      <c r="R5312">
        <v>1</v>
      </c>
    </row>
    <row r="5313" spans="1:18">
      <c r="A5313" s="4">
        <v>38952000000000</v>
      </c>
      <c r="B5313" t="s">
        <v>18</v>
      </c>
      <c r="C5313">
        <v>24</v>
      </c>
      <c r="D5313" t="s">
        <v>37</v>
      </c>
      <c r="E5313" t="s">
        <v>45</v>
      </c>
      <c r="F5313" s="1">
        <v>42510</v>
      </c>
      <c r="G5313" s="1">
        <v>42515</v>
      </c>
      <c r="H5313" t="s">
        <v>25</v>
      </c>
      <c r="I5313">
        <v>5</v>
      </c>
      <c r="J5313" t="s">
        <v>107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1</v>
      </c>
      <c r="Q5313" t="s">
        <v>23</v>
      </c>
      <c r="R5313">
        <v>0</v>
      </c>
    </row>
    <row r="5314" spans="1:18">
      <c r="A5314" s="4">
        <v>59659700000000</v>
      </c>
      <c r="B5314" t="s">
        <v>18</v>
      </c>
      <c r="C5314">
        <v>57</v>
      </c>
      <c r="D5314" t="s">
        <v>35</v>
      </c>
      <c r="E5314" t="s">
        <v>72</v>
      </c>
      <c r="F5314" s="1">
        <v>42510</v>
      </c>
      <c r="G5314" s="1">
        <v>42510</v>
      </c>
      <c r="H5314" t="s">
        <v>21</v>
      </c>
      <c r="I5314">
        <v>0</v>
      </c>
      <c r="J5314" t="s">
        <v>111</v>
      </c>
      <c r="K5314">
        <v>0</v>
      </c>
      <c r="L5314">
        <v>1</v>
      </c>
      <c r="M5314">
        <v>0</v>
      </c>
      <c r="N5314">
        <v>0</v>
      </c>
      <c r="O5314">
        <v>0</v>
      </c>
      <c r="P5314">
        <v>0</v>
      </c>
      <c r="Q5314" t="s">
        <v>23</v>
      </c>
      <c r="R5314">
        <v>0</v>
      </c>
    </row>
    <row r="5315" spans="1:18">
      <c r="A5315" s="4">
        <v>559570000000000</v>
      </c>
      <c r="B5315" t="s">
        <v>18</v>
      </c>
      <c r="C5315">
        <v>62</v>
      </c>
      <c r="D5315" t="s">
        <v>35</v>
      </c>
      <c r="E5315" t="s">
        <v>45</v>
      </c>
      <c r="F5315" s="1">
        <v>42510</v>
      </c>
      <c r="G5315" s="1">
        <v>42515</v>
      </c>
      <c r="H5315" t="s">
        <v>25</v>
      </c>
      <c r="I5315">
        <v>5</v>
      </c>
      <c r="J5315" t="s">
        <v>107</v>
      </c>
      <c r="K5315">
        <v>0</v>
      </c>
      <c r="L5315">
        <v>1</v>
      </c>
      <c r="M5315">
        <v>0</v>
      </c>
      <c r="N5315">
        <v>0</v>
      </c>
      <c r="O5315">
        <v>0</v>
      </c>
      <c r="P5315">
        <v>1</v>
      </c>
      <c r="Q5315" t="s">
        <v>26</v>
      </c>
      <c r="R5315">
        <v>1</v>
      </c>
    </row>
    <row r="5316" spans="1:18">
      <c r="A5316" s="4">
        <v>75224000000000</v>
      </c>
      <c r="B5316" t="s">
        <v>18</v>
      </c>
      <c r="C5316">
        <v>42</v>
      </c>
      <c r="D5316" t="s">
        <v>27</v>
      </c>
      <c r="E5316" t="s">
        <v>45</v>
      </c>
      <c r="F5316" s="1">
        <v>42510</v>
      </c>
      <c r="G5316" s="1">
        <v>42515</v>
      </c>
      <c r="H5316" t="s">
        <v>25</v>
      </c>
      <c r="I5316">
        <v>5</v>
      </c>
      <c r="J5316" t="s">
        <v>107</v>
      </c>
      <c r="K5316">
        <v>1</v>
      </c>
      <c r="L5316">
        <v>1</v>
      </c>
      <c r="M5316">
        <v>0</v>
      </c>
      <c r="N5316">
        <v>0</v>
      </c>
      <c r="O5316">
        <v>0</v>
      </c>
      <c r="P5316">
        <v>1</v>
      </c>
      <c r="Q5316" t="s">
        <v>23</v>
      </c>
      <c r="R5316">
        <v>0</v>
      </c>
    </row>
    <row r="5317" spans="1:18">
      <c r="A5317" s="4">
        <v>8466930000000</v>
      </c>
      <c r="B5317" t="s">
        <v>18</v>
      </c>
      <c r="C5317">
        <v>21</v>
      </c>
      <c r="D5317" t="s">
        <v>37</v>
      </c>
      <c r="E5317" t="s">
        <v>70</v>
      </c>
      <c r="F5317" s="1">
        <v>42510</v>
      </c>
      <c r="G5317" s="1">
        <v>42510</v>
      </c>
      <c r="H5317" t="s">
        <v>21</v>
      </c>
      <c r="I5317">
        <v>0</v>
      </c>
      <c r="J5317" t="s">
        <v>111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 t="s">
        <v>23</v>
      </c>
      <c r="R5317">
        <v>0</v>
      </c>
    </row>
    <row r="5318" spans="1:18">
      <c r="A5318" s="4">
        <v>45238200000000</v>
      </c>
      <c r="B5318" t="s">
        <v>18</v>
      </c>
      <c r="C5318">
        <v>23</v>
      </c>
      <c r="D5318" t="s">
        <v>37</v>
      </c>
      <c r="E5318" t="s">
        <v>72</v>
      </c>
      <c r="F5318" s="1">
        <v>42510</v>
      </c>
      <c r="G5318" s="1">
        <v>42510</v>
      </c>
      <c r="H5318" t="s">
        <v>21</v>
      </c>
      <c r="I5318">
        <v>0</v>
      </c>
      <c r="J5318" t="s">
        <v>111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 t="s">
        <v>23</v>
      </c>
      <c r="R5318">
        <v>0</v>
      </c>
    </row>
    <row r="5319" spans="1:18">
      <c r="A5319" s="4">
        <v>65313400000000</v>
      </c>
      <c r="B5319" t="s">
        <v>18</v>
      </c>
      <c r="C5319">
        <v>43</v>
      </c>
      <c r="D5319" t="s">
        <v>27</v>
      </c>
      <c r="E5319" t="s">
        <v>95</v>
      </c>
      <c r="F5319" s="1">
        <v>42510</v>
      </c>
      <c r="G5319" s="1">
        <v>42510</v>
      </c>
      <c r="H5319" t="s">
        <v>21</v>
      </c>
      <c r="I5319">
        <v>0</v>
      </c>
      <c r="J5319" t="s">
        <v>111</v>
      </c>
      <c r="K5319">
        <v>0</v>
      </c>
      <c r="L5319">
        <v>1</v>
      </c>
      <c r="M5319">
        <v>1</v>
      </c>
      <c r="N5319">
        <v>0</v>
      </c>
      <c r="O5319">
        <v>0</v>
      </c>
      <c r="P5319">
        <v>0</v>
      </c>
      <c r="Q5319" t="s">
        <v>23</v>
      </c>
      <c r="R5319">
        <v>0</v>
      </c>
    </row>
    <row r="5320" spans="1:18">
      <c r="A5320" s="4">
        <v>122945000000000</v>
      </c>
      <c r="B5320" t="s">
        <v>28</v>
      </c>
      <c r="C5320">
        <v>31</v>
      </c>
      <c r="D5320" t="s">
        <v>37</v>
      </c>
      <c r="E5320" t="s">
        <v>44</v>
      </c>
      <c r="F5320" s="1">
        <v>42510</v>
      </c>
      <c r="G5320" s="1">
        <v>42510</v>
      </c>
      <c r="H5320" t="s">
        <v>21</v>
      </c>
      <c r="I5320">
        <v>0</v>
      </c>
      <c r="J5320" t="s">
        <v>111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23</v>
      </c>
      <c r="R5320">
        <v>0</v>
      </c>
    </row>
    <row r="5321" spans="1:18">
      <c r="A5321" s="4">
        <v>711587000000000</v>
      </c>
      <c r="B5321" t="s">
        <v>18</v>
      </c>
      <c r="C5321">
        <v>40</v>
      </c>
      <c r="D5321" t="s">
        <v>27</v>
      </c>
      <c r="E5321" t="s">
        <v>39</v>
      </c>
      <c r="F5321" s="1">
        <v>42510</v>
      </c>
      <c r="G5321" s="1">
        <v>42510</v>
      </c>
      <c r="H5321" t="s">
        <v>21</v>
      </c>
      <c r="I5321">
        <v>0</v>
      </c>
      <c r="J5321" t="s">
        <v>111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 t="s">
        <v>23</v>
      </c>
      <c r="R5321">
        <v>0</v>
      </c>
    </row>
    <row r="5322" spans="1:18">
      <c r="A5322" s="4">
        <v>17851900000000</v>
      </c>
      <c r="B5322" t="s">
        <v>18</v>
      </c>
      <c r="C5322">
        <v>37</v>
      </c>
      <c r="D5322" t="s">
        <v>27</v>
      </c>
      <c r="E5322" t="s">
        <v>44</v>
      </c>
      <c r="F5322" s="1">
        <v>42510</v>
      </c>
      <c r="G5322" s="1">
        <v>42520</v>
      </c>
      <c r="H5322" t="s">
        <v>30</v>
      </c>
      <c r="I5322">
        <v>10</v>
      </c>
      <c r="J5322" t="s">
        <v>92</v>
      </c>
      <c r="K5322">
        <v>1</v>
      </c>
      <c r="L5322">
        <v>0</v>
      </c>
      <c r="M5322">
        <v>0</v>
      </c>
      <c r="N5322">
        <v>0</v>
      </c>
      <c r="O5322">
        <v>0</v>
      </c>
      <c r="P5322">
        <v>1</v>
      </c>
      <c r="Q5322" t="s">
        <v>23</v>
      </c>
      <c r="R5322">
        <v>0</v>
      </c>
    </row>
    <row r="5323" spans="1:18">
      <c r="A5323" s="4">
        <v>399446000000</v>
      </c>
      <c r="B5323" t="s">
        <v>18</v>
      </c>
      <c r="C5323">
        <v>19</v>
      </c>
      <c r="D5323" t="s">
        <v>37</v>
      </c>
      <c r="E5323" t="s">
        <v>71</v>
      </c>
      <c r="F5323" s="1">
        <v>42510</v>
      </c>
      <c r="G5323" s="1">
        <v>42514</v>
      </c>
      <c r="H5323" t="s">
        <v>41</v>
      </c>
      <c r="I5323">
        <v>4</v>
      </c>
      <c r="J5323" t="s">
        <v>107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1</v>
      </c>
      <c r="Q5323" t="s">
        <v>23</v>
      </c>
      <c r="R5323">
        <v>0</v>
      </c>
    </row>
    <row r="5324" spans="1:18">
      <c r="A5324" s="4">
        <v>15860000000000</v>
      </c>
      <c r="B5324" t="s">
        <v>18</v>
      </c>
      <c r="C5324">
        <v>51</v>
      </c>
      <c r="D5324" t="s">
        <v>35</v>
      </c>
      <c r="E5324" t="s">
        <v>38</v>
      </c>
      <c r="F5324" s="1">
        <v>42510</v>
      </c>
      <c r="G5324" s="1">
        <v>42510</v>
      </c>
      <c r="H5324" t="s">
        <v>21</v>
      </c>
      <c r="I5324">
        <v>0</v>
      </c>
      <c r="J5324" t="s">
        <v>111</v>
      </c>
      <c r="K5324">
        <v>1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23</v>
      </c>
      <c r="R5324">
        <v>0</v>
      </c>
    </row>
    <row r="5325" spans="1:18">
      <c r="A5325" s="4">
        <v>572712000000</v>
      </c>
      <c r="B5325" t="s">
        <v>18</v>
      </c>
      <c r="C5325">
        <v>61</v>
      </c>
      <c r="D5325" t="s">
        <v>35</v>
      </c>
      <c r="E5325" t="s">
        <v>66</v>
      </c>
      <c r="F5325" s="1">
        <v>42510</v>
      </c>
      <c r="G5325" s="1">
        <v>42529</v>
      </c>
      <c r="H5325" t="s">
        <v>25</v>
      </c>
      <c r="I5325">
        <v>19</v>
      </c>
      <c r="J5325" t="s">
        <v>77</v>
      </c>
      <c r="K5325">
        <v>0</v>
      </c>
      <c r="L5325">
        <v>1</v>
      </c>
      <c r="M5325">
        <v>0</v>
      </c>
      <c r="N5325">
        <v>0</v>
      </c>
      <c r="O5325">
        <v>0</v>
      </c>
      <c r="P5325">
        <v>1</v>
      </c>
      <c r="Q5325" t="s">
        <v>26</v>
      </c>
      <c r="R5325">
        <v>1</v>
      </c>
    </row>
    <row r="5326" spans="1:18">
      <c r="A5326" s="4">
        <v>5312610000000</v>
      </c>
      <c r="B5326" t="s">
        <v>28</v>
      </c>
      <c r="C5326">
        <v>34</v>
      </c>
      <c r="D5326" t="s">
        <v>37</v>
      </c>
      <c r="E5326" t="s">
        <v>66</v>
      </c>
      <c r="F5326" s="1">
        <v>42510</v>
      </c>
      <c r="G5326" s="1">
        <v>42520</v>
      </c>
      <c r="H5326" t="s">
        <v>30</v>
      </c>
      <c r="I5326">
        <v>10</v>
      </c>
      <c r="J5326" t="s">
        <v>92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1</v>
      </c>
      <c r="Q5326" t="s">
        <v>26</v>
      </c>
      <c r="R5326">
        <v>1</v>
      </c>
    </row>
    <row r="5327" spans="1:18">
      <c r="A5327" s="4">
        <v>9484800000000</v>
      </c>
      <c r="B5327" t="s">
        <v>28</v>
      </c>
      <c r="C5327">
        <v>60</v>
      </c>
      <c r="D5327" t="s">
        <v>35</v>
      </c>
      <c r="E5327" t="s">
        <v>89</v>
      </c>
      <c r="F5327" s="1">
        <v>42510</v>
      </c>
      <c r="G5327" s="1">
        <v>42523</v>
      </c>
      <c r="H5327" t="s">
        <v>33</v>
      </c>
      <c r="I5327">
        <v>13</v>
      </c>
      <c r="J5327" t="s">
        <v>92</v>
      </c>
      <c r="K5327">
        <v>0</v>
      </c>
      <c r="L5327">
        <v>1</v>
      </c>
      <c r="M5327">
        <v>1</v>
      </c>
      <c r="N5327">
        <v>0</v>
      </c>
      <c r="O5327">
        <v>0</v>
      </c>
      <c r="P5327">
        <v>1</v>
      </c>
      <c r="Q5327" t="s">
        <v>23</v>
      </c>
      <c r="R5327">
        <v>0</v>
      </c>
    </row>
    <row r="5328" spans="1:18">
      <c r="A5328" s="4">
        <v>563647000000</v>
      </c>
      <c r="B5328" t="s">
        <v>18</v>
      </c>
      <c r="C5328">
        <v>82</v>
      </c>
      <c r="D5328" t="s">
        <v>19</v>
      </c>
      <c r="E5328" t="s">
        <v>66</v>
      </c>
      <c r="F5328" s="1">
        <v>42510</v>
      </c>
      <c r="G5328" s="1">
        <v>42529</v>
      </c>
      <c r="H5328" t="s">
        <v>25</v>
      </c>
      <c r="I5328">
        <v>19</v>
      </c>
      <c r="J5328" t="s">
        <v>77</v>
      </c>
      <c r="K5328">
        <v>0</v>
      </c>
      <c r="L5328">
        <v>0</v>
      </c>
      <c r="M5328">
        <v>0</v>
      </c>
      <c r="N5328">
        <v>0</v>
      </c>
      <c r="O5328">
        <v>1</v>
      </c>
      <c r="P5328">
        <v>1</v>
      </c>
      <c r="Q5328" t="s">
        <v>23</v>
      </c>
      <c r="R5328">
        <v>0</v>
      </c>
    </row>
    <row r="5329" spans="1:18">
      <c r="A5329" s="4">
        <v>36146748378</v>
      </c>
      <c r="B5329" t="s">
        <v>28</v>
      </c>
      <c r="C5329">
        <v>6</v>
      </c>
      <c r="D5329" t="s">
        <v>31</v>
      </c>
      <c r="E5329" t="s">
        <v>65</v>
      </c>
      <c r="F5329" s="1">
        <v>42510</v>
      </c>
      <c r="G5329" s="1">
        <v>42510</v>
      </c>
      <c r="H5329" t="s">
        <v>21</v>
      </c>
      <c r="I5329">
        <v>0</v>
      </c>
      <c r="J5329" t="s">
        <v>111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23</v>
      </c>
      <c r="R5329">
        <v>0</v>
      </c>
    </row>
    <row r="5330" spans="1:18">
      <c r="A5330" s="4">
        <v>274961000000000</v>
      </c>
      <c r="B5330" t="s">
        <v>18</v>
      </c>
      <c r="C5330">
        <v>64</v>
      </c>
      <c r="D5330" t="s">
        <v>35</v>
      </c>
      <c r="E5330" t="s">
        <v>87</v>
      </c>
      <c r="F5330" s="1">
        <v>42510</v>
      </c>
      <c r="G5330" s="1">
        <v>42510</v>
      </c>
      <c r="H5330" t="s">
        <v>21</v>
      </c>
      <c r="I5330">
        <v>0</v>
      </c>
      <c r="J5330" t="s">
        <v>111</v>
      </c>
      <c r="K5330">
        <v>0</v>
      </c>
      <c r="L5330">
        <v>1</v>
      </c>
      <c r="M5330">
        <v>0</v>
      </c>
      <c r="N5330">
        <v>0</v>
      </c>
      <c r="O5330">
        <v>0</v>
      </c>
      <c r="P5330">
        <v>0</v>
      </c>
      <c r="Q5330" t="s">
        <v>23</v>
      </c>
      <c r="R5330">
        <v>0</v>
      </c>
    </row>
    <row r="5331" spans="1:18">
      <c r="A5331" s="4">
        <v>177484000000000</v>
      </c>
      <c r="B5331" t="s">
        <v>18</v>
      </c>
      <c r="C5331">
        <v>40</v>
      </c>
      <c r="D5331" t="s">
        <v>27</v>
      </c>
      <c r="E5331" t="s">
        <v>59</v>
      </c>
      <c r="F5331" s="1">
        <v>42510</v>
      </c>
      <c r="G5331" s="1">
        <v>42527</v>
      </c>
      <c r="H5331" t="s">
        <v>30</v>
      </c>
      <c r="I5331">
        <v>17</v>
      </c>
      <c r="J5331" t="s">
        <v>77</v>
      </c>
      <c r="K5331">
        <v>1</v>
      </c>
      <c r="L5331">
        <v>0</v>
      </c>
      <c r="M5331">
        <v>0</v>
      </c>
      <c r="N5331">
        <v>0</v>
      </c>
      <c r="O5331">
        <v>0</v>
      </c>
      <c r="P5331">
        <v>1</v>
      </c>
      <c r="Q5331" t="s">
        <v>26</v>
      </c>
      <c r="R5331">
        <v>1</v>
      </c>
    </row>
    <row r="5332" spans="1:18">
      <c r="A5332" s="4">
        <v>537873000000000</v>
      </c>
      <c r="B5332" t="s">
        <v>28</v>
      </c>
      <c r="C5332">
        <v>13</v>
      </c>
      <c r="D5332" t="s">
        <v>60</v>
      </c>
      <c r="E5332" t="s">
        <v>34</v>
      </c>
      <c r="F5332" s="1">
        <v>42510</v>
      </c>
      <c r="G5332" s="1">
        <v>42510</v>
      </c>
      <c r="H5332" t="s">
        <v>21</v>
      </c>
      <c r="I5332">
        <v>0</v>
      </c>
      <c r="J5332" t="s">
        <v>111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 t="s">
        <v>26</v>
      </c>
      <c r="R5332">
        <v>1</v>
      </c>
    </row>
    <row r="5333" spans="1:18">
      <c r="A5333" s="4">
        <v>65394300000000</v>
      </c>
      <c r="B5333" t="s">
        <v>18</v>
      </c>
      <c r="C5333">
        <v>20</v>
      </c>
      <c r="D5333" t="s">
        <v>37</v>
      </c>
      <c r="E5333" t="s">
        <v>42</v>
      </c>
      <c r="F5333" s="1">
        <v>42510</v>
      </c>
      <c r="G5333" s="1">
        <v>42514</v>
      </c>
      <c r="H5333" t="s">
        <v>41</v>
      </c>
      <c r="I5333">
        <v>4</v>
      </c>
      <c r="J5333" t="s">
        <v>107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1</v>
      </c>
      <c r="Q5333" t="s">
        <v>23</v>
      </c>
      <c r="R5333">
        <v>0</v>
      </c>
    </row>
    <row r="5334" spans="1:18">
      <c r="A5334" s="4">
        <v>22351100000000</v>
      </c>
      <c r="B5334" t="s">
        <v>28</v>
      </c>
      <c r="C5334">
        <v>7</v>
      </c>
      <c r="D5334" t="s">
        <v>31</v>
      </c>
      <c r="E5334" t="s">
        <v>36</v>
      </c>
      <c r="F5334" s="1">
        <v>42510</v>
      </c>
      <c r="G5334" s="1">
        <v>42514</v>
      </c>
      <c r="H5334" t="s">
        <v>41</v>
      </c>
      <c r="I5334">
        <v>4</v>
      </c>
      <c r="J5334" t="s">
        <v>107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1</v>
      </c>
      <c r="Q5334" t="s">
        <v>23</v>
      </c>
      <c r="R5334">
        <v>0</v>
      </c>
    </row>
    <row r="5335" spans="1:18">
      <c r="A5335" s="4">
        <v>715998000000000</v>
      </c>
      <c r="B5335" t="s">
        <v>18</v>
      </c>
      <c r="C5335">
        <v>31</v>
      </c>
      <c r="D5335" t="s">
        <v>37</v>
      </c>
      <c r="E5335" t="s">
        <v>20</v>
      </c>
      <c r="F5335" s="1">
        <v>42510</v>
      </c>
      <c r="G5335" s="1">
        <v>42514</v>
      </c>
      <c r="H5335" t="s">
        <v>41</v>
      </c>
      <c r="I5335">
        <v>4</v>
      </c>
      <c r="J5335" t="s">
        <v>107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1</v>
      </c>
      <c r="Q5335" t="s">
        <v>23</v>
      </c>
      <c r="R5335">
        <v>0</v>
      </c>
    </row>
    <row r="5336" spans="1:18">
      <c r="A5336" s="4">
        <v>456431000000000</v>
      </c>
      <c r="B5336" t="s">
        <v>18</v>
      </c>
      <c r="C5336">
        <v>18</v>
      </c>
      <c r="D5336" t="s">
        <v>37</v>
      </c>
      <c r="E5336" t="s">
        <v>101</v>
      </c>
      <c r="F5336" s="1">
        <v>42510</v>
      </c>
      <c r="G5336" s="1">
        <v>42510</v>
      </c>
      <c r="H5336" t="s">
        <v>21</v>
      </c>
      <c r="I5336">
        <v>0</v>
      </c>
      <c r="J5336" t="s">
        <v>111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23</v>
      </c>
      <c r="R5336">
        <v>0</v>
      </c>
    </row>
    <row r="5337" spans="1:18">
      <c r="A5337" s="4">
        <v>456431000000000</v>
      </c>
      <c r="B5337" t="s">
        <v>18</v>
      </c>
      <c r="C5337">
        <v>19</v>
      </c>
      <c r="D5337" t="s">
        <v>37</v>
      </c>
      <c r="E5337" t="s">
        <v>101</v>
      </c>
      <c r="F5337" s="1">
        <v>42510</v>
      </c>
      <c r="G5337" s="1">
        <v>42524</v>
      </c>
      <c r="H5337" t="s">
        <v>21</v>
      </c>
      <c r="I5337">
        <v>14</v>
      </c>
      <c r="J5337" t="s">
        <v>92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1</v>
      </c>
      <c r="Q5337" t="s">
        <v>23</v>
      </c>
      <c r="R5337">
        <v>0</v>
      </c>
    </row>
    <row r="5338" spans="1:18">
      <c r="A5338" s="4">
        <v>53422600000000</v>
      </c>
      <c r="B5338" t="s">
        <v>18</v>
      </c>
      <c r="C5338">
        <v>11</v>
      </c>
      <c r="D5338" t="s">
        <v>31</v>
      </c>
      <c r="E5338" t="s">
        <v>47</v>
      </c>
      <c r="F5338" s="1">
        <v>42510</v>
      </c>
      <c r="G5338" s="1">
        <v>42510</v>
      </c>
      <c r="H5338" t="s">
        <v>21</v>
      </c>
      <c r="I5338">
        <v>0</v>
      </c>
      <c r="J5338" t="s">
        <v>111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23</v>
      </c>
      <c r="R5338">
        <v>0</v>
      </c>
    </row>
    <row r="5339" spans="1:18">
      <c r="A5339" s="4">
        <v>763915000000</v>
      </c>
      <c r="B5339" t="s">
        <v>18</v>
      </c>
      <c r="C5339">
        <v>59</v>
      </c>
      <c r="D5339" t="s">
        <v>35</v>
      </c>
      <c r="E5339" t="s">
        <v>54</v>
      </c>
      <c r="F5339" s="1">
        <v>42510</v>
      </c>
      <c r="G5339" s="1">
        <v>42510</v>
      </c>
      <c r="H5339" t="s">
        <v>21</v>
      </c>
      <c r="I5339">
        <v>0</v>
      </c>
      <c r="J5339" t="s">
        <v>111</v>
      </c>
      <c r="K5339">
        <v>0</v>
      </c>
      <c r="L5339">
        <v>1</v>
      </c>
      <c r="M5339">
        <v>0</v>
      </c>
      <c r="N5339">
        <v>0</v>
      </c>
      <c r="O5339">
        <v>0</v>
      </c>
      <c r="P5339">
        <v>0</v>
      </c>
      <c r="Q5339" t="s">
        <v>23</v>
      </c>
      <c r="R5339">
        <v>0</v>
      </c>
    </row>
    <row r="5340" spans="1:18">
      <c r="A5340" s="4">
        <v>66844900000000</v>
      </c>
      <c r="B5340" t="s">
        <v>18</v>
      </c>
      <c r="C5340">
        <v>52</v>
      </c>
      <c r="D5340" t="s">
        <v>35</v>
      </c>
      <c r="E5340" t="s">
        <v>49</v>
      </c>
      <c r="F5340" s="1">
        <v>42510</v>
      </c>
      <c r="G5340" s="1">
        <v>42510</v>
      </c>
      <c r="H5340" t="s">
        <v>21</v>
      </c>
      <c r="I5340">
        <v>0</v>
      </c>
      <c r="J5340" t="s">
        <v>111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 t="s">
        <v>23</v>
      </c>
      <c r="R5340">
        <v>0</v>
      </c>
    </row>
    <row r="5341" spans="1:18">
      <c r="A5341" s="4">
        <v>75797500000000</v>
      </c>
      <c r="B5341" t="s">
        <v>28</v>
      </c>
      <c r="C5341">
        <v>49</v>
      </c>
      <c r="D5341" t="s">
        <v>27</v>
      </c>
      <c r="E5341" t="s">
        <v>39</v>
      </c>
      <c r="F5341" s="1">
        <v>42510</v>
      </c>
      <c r="G5341" s="1">
        <v>42510</v>
      </c>
      <c r="H5341" t="s">
        <v>21</v>
      </c>
      <c r="I5341">
        <v>0</v>
      </c>
      <c r="J5341" t="s">
        <v>111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23</v>
      </c>
      <c r="R5341">
        <v>0</v>
      </c>
    </row>
    <row r="5342" spans="1:18">
      <c r="A5342" s="4">
        <v>67263200000000</v>
      </c>
      <c r="B5342" t="s">
        <v>28</v>
      </c>
      <c r="C5342">
        <v>63</v>
      </c>
      <c r="D5342" t="s">
        <v>35</v>
      </c>
      <c r="E5342" t="s">
        <v>101</v>
      </c>
      <c r="F5342" s="1">
        <v>42510</v>
      </c>
      <c r="G5342" s="1">
        <v>42510</v>
      </c>
      <c r="H5342" t="s">
        <v>21</v>
      </c>
      <c r="I5342">
        <v>0</v>
      </c>
      <c r="J5342" t="s">
        <v>111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23</v>
      </c>
      <c r="R5342">
        <v>0</v>
      </c>
    </row>
    <row r="5343" spans="1:18">
      <c r="A5343" s="4">
        <v>6264200000000</v>
      </c>
      <c r="B5343" t="s">
        <v>28</v>
      </c>
      <c r="C5343">
        <v>59</v>
      </c>
      <c r="D5343" t="s">
        <v>35</v>
      </c>
      <c r="E5343" t="s">
        <v>45</v>
      </c>
      <c r="F5343" s="1">
        <v>42510</v>
      </c>
      <c r="G5343" s="1">
        <v>42510</v>
      </c>
      <c r="H5343" t="s">
        <v>21</v>
      </c>
      <c r="I5343">
        <v>0</v>
      </c>
      <c r="J5343" t="s">
        <v>111</v>
      </c>
      <c r="K5343">
        <v>1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23</v>
      </c>
      <c r="R5343">
        <v>0</v>
      </c>
    </row>
    <row r="5344" spans="1:18">
      <c r="A5344" s="4">
        <v>444550000000000</v>
      </c>
      <c r="B5344" t="s">
        <v>28</v>
      </c>
      <c r="C5344">
        <v>37</v>
      </c>
      <c r="D5344" t="s">
        <v>27</v>
      </c>
      <c r="E5344" t="s">
        <v>59</v>
      </c>
      <c r="F5344" s="1">
        <v>42510</v>
      </c>
      <c r="G5344" s="1">
        <v>42510</v>
      </c>
      <c r="H5344" t="s">
        <v>21</v>
      </c>
      <c r="I5344">
        <v>0</v>
      </c>
      <c r="J5344" t="s">
        <v>111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26</v>
      </c>
      <c r="R5344">
        <v>1</v>
      </c>
    </row>
    <row r="5345" spans="1:18">
      <c r="A5345" s="4">
        <v>48324600000000</v>
      </c>
      <c r="B5345" t="s">
        <v>28</v>
      </c>
      <c r="C5345">
        <v>15</v>
      </c>
      <c r="D5345" t="s">
        <v>60</v>
      </c>
      <c r="E5345" t="s">
        <v>39</v>
      </c>
      <c r="F5345" s="1">
        <v>42510</v>
      </c>
      <c r="G5345" s="1">
        <v>42510</v>
      </c>
      <c r="H5345" t="s">
        <v>21</v>
      </c>
      <c r="I5345">
        <v>0</v>
      </c>
      <c r="J5345" t="s">
        <v>111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26</v>
      </c>
      <c r="R5345">
        <v>1</v>
      </c>
    </row>
    <row r="5346" spans="1:18">
      <c r="A5346" s="4">
        <v>298286000000000</v>
      </c>
      <c r="B5346" t="s">
        <v>18</v>
      </c>
      <c r="C5346">
        <v>66</v>
      </c>
      <c r="D5346" t="s">
        <v>19</v>
      </c>
      <c r="E5346" t="s">
        <v>39</v>
      </c>
      <c r="F5346" s="1">
        <v>42510</v>
      </c>
      <c r="G5346" s="1">
        <v>42520</v>
      </c>
      <c r="H5346" t="s">
        <v>30</v>
      </c>
      <c r="I5346">
        <v>10</v>
      </c>
      <c r="J5346" t="s">
        <v>92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1</v>
      </c>
      <c r="Q5346" t="s">
        <v>23</v>
      </c>
      <c r="R5346">
        <v>0</v>
      </c>
    </row>
    <row r="5347" spans="1:18">
      <c r="A5347" s="4">
        <v>1722570000000</v>
      </c>
      <c r="B5347" t="s">
        <v>18</v>
      </c>
      <c r="C5347">
        <v>66</v>
      </c>
      <c r="D5347" t="s">
        <v>19</v>
      </c>
      <c r="E5347" t="s">
        <v>39</v>
      </c>
      <c r="F5347" s="1">
        <v>42510</v>
      </c>
      <c r="G5347" s="1">
        <v>42521</v>
      </c>
      <c r="H5347" t="s">
        <v>41</v>
      </c>
      <c r="I5347">
        <v>11</v>
      </c>
      <c r="J5347" t="s">
        <v>92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23</v>
      </c>
      <c r="R5347">
        <v>0</v>
      </c>
    </row>
    <row r="5348" spans="1:18">
      <c r="A5348" s="4">
        <v>64434200000000</v>
      </c>
      <c r="B5348" t="s">
        <v>18</v>
      </c>
      <c r="C5348">
        <v>49</v>
      </c>
      <c r="D5348" t="s">
        <v>27</v>
      </c>
      <c r="E5348" t="s">
        <v>64</v>
      </c>
      <c r="F5348" s="1">
        <v>42510</v>
      </c>
      <c r="G5348" s="1">
        <v>42514</v>
      </c>
      <c r="H5348" t="s">
        <v>41</v>
      </c>
      <c r="I5348">
        <v>4</v>
      </c>
      <c r="J5348" t="s">
        <v>107</v>
      </c>
      <c r="K5348">
        <v>0</v>
      </c>
      <c r="L5348">
        <v>1</v>
      </c>
      <c r="M5348">
        <v>0</v>
      </c>
      <c r="N5348">
        <v>0</v>
      </c>
      <c r="O5348">
        <v>0</v>
      </c>
      <c r="P5348">
        <v>1</v>
      </c>
      <c r="Q5348" t="s">
        <v>26</v>
      </c>
      <c r="R5348">
        <v>1</v>
      </c>
    </row>
    <row r="5349" spans="1:18">
      <c r="A5349" s="4">
        <v>242270000000000</v>
      </c>
      <c r="B5349" t="s">
        <v>18</v>
      </c>
      <c r="C5349">
        <v>49</v>
      </c>
      <c r="D5349" t="s">
        <v>27</v>
      </c>
      <c r="E5349" t="s">
        <v>89</v>
      </c>
      <c r="F5349" s="1">
        <v>42510</v>
      </c>
      <c r="G5349" s="1">
        <v>42515</v>
      </c>
      <c r="H5349" t="s">
        <v>25</v>
      </c>
      <c r="I5349">
        <v>5</v>
      </c>
      <c r="J5349" t="s">
        <v>107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23</v>
      </c>
      <c r="R5349">
        <v>0</v>
      </c>
    </row>
    <row r="5350" spans="1:18">
      <c r="A5350" s="4">
        <v>1719520000000</v>
      </c>
      <c r="B5350" t="s">
        <v>18</v>
      </c>
      <c r="C5350">
        <v>80</v>
      </c>
      <c r="D5350" t="s">
        <v>19</v>
      </c>
      <c r="E5350" t="s">
        <v>36</v>
      </c>
      <c r="F5350" s="1">
        <v>42510</v>
      </c>
      <c r="G5350" s="1">
        <v>42514</v>
      </c>
      <c r="H5350" t="s">
        <v>41</v>
      </c>
      <c r="I5350">
        <v>4</v>
      </c>
      <c r="J5350" t="s">
        <v>107</v>
      </c>
      <c r="K5350">
        <v>0</v>
      </c>
      <c r="L5350">
        <v>1</v>
      </c>
      <c r="M5350">
        <v>1</v>
      </c>
      <c r="N5350">
        <v>0</v>
      </c>
      <c r="O5350">
        <v>0</v>
      </c>
      <c r="P5350">
        <v>1</v>
      </c>
      <c r="Q5350" t="s">
        <v>23</v>
      </c>
      <c r="R5350">
        <v>0</v>
      </c>
    </row>
    <row r="5351" spans="1:18">
      <c r="A5351" s="4">
        <v>311559000000000</v>
      </c>
      <c r="B5351" t="s">
        <v>18</v>
      </c>
      <c r="C5351">
        <v>54</v>
      </c>
      <c r="D5351" t="s">
        <v>35</v>
      </c>
      <c r="E5351" t="s">
        <v>34</v>
      </c>
      <c r="F5351" s="1">
        <v>42510</v>
      </c>
      <c r="G5351" s="1">
        <v>42515</v>
      </c>
      <c r="H5351" t="s">
        <v>25</v>
      </c>
      <c r="I5351">
        <v>5</v>
      </c>
      <c r="J5351" t="s">
        <v>107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1</v>
      </c>
      <c r="Q5351" t="s">
        <v>23</v>
      </c>
      <c r="R5351">
        <v>0</v>
      </c>
    </row>
    <row r="5352" spans="1:18">
      <c r="A5352" s="4">
        <v>443649000000</v>
      </c>
      <c r="B5352" t="s">
        <v>28</v>
      </c>
      <c r="C5352">
        <v>50</v>
      </c>
      <c r="D5352" t="s">
        <v>27</v>
      </c>
      <c r="E5352" t="s">
        <v>59</v>
      </c>
      <c r="F5352" s="1">
        <v>42510</v>
      </c>
      <c r="G5352" s="1">
        <v>42510</v>
      </c>
      <c r="H5352" t="s">
        <v>21</v>
      </c>
      <c r="I5352">
        <v>0</v>
      </c>
      <c r="J5352" t="s">
        <v>111</v>
      </c>
      <c r="K5352">
        <v>0</v>
      </c>
      <c r="L5352">
        <v>1</v>
      </c>
      <c r="M5352">
        <v>0</v>
      </c>
      <c r="N5352">
        <v>0</v>
      </c>
      <c r="O5352">
        <v>0</v>
      </c>
      <c r="P5352">
        <v>0</v>
      </c>
      <c r="Q5352" t="s">
        <v>23</v>
      </c>
      <c r="R5352">
        <v>0</v>
      </c>
    </row>
    <row r="5353" spans="1:18">
      <c r="A5353" s="4">
        <v>863267000000000</v>
      </c>
      <c r="B5353" t="s">
        <v>18</v>
      </c>
      <c r="C5353">
        <v>53</v>
      </c>
      <c r="D5353" t="s">
        <v>35</v>
      </c>
      <c r="E5353" t="s">
        <v>71</v>
      </c>
      <c r="F5353" s="1">
        <v>42514</v>
      </c>
      <c r="G5353" s="1">
        <v>42520</v>
      </c>
      <c r="H5353" t="s">
        <v>30</v>
      </c>
      <c r="I5353">
        <v>6</v>
      </c>
      <c r="J5353" t="s">
        <v>107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1</v>
      </c>
      <c r="Q5353" t="s">
        <v>23</v>
      </c>
      <c r="R5353">
        <v>0</v>
      </c>
    </row>
    <row r="5354" spans="1:18">
      <c r="A5354" s="4">
        <v>66325300000000</v>
      </c>
      <c r="B5354" t="s">
        <v>28</v>
      </c>
      <c r="C5354">
        <v>4</v>
      </c>
      <c r="D5354" t="s">
        <v>31</v>
      </c>
      <c r="E5354" t="s">
        <v>40</v>
      </c>
      <c r="F5354" s="1">
        <v>42514</v>
      </c>
      <c r="G5354" s="1">
        <v>42514</v>
      </c>
      <c r="H5354" t="s">
        <v>41</v>
      </c>
      <c r="I5354">
        <v>0</v>
      </c>
      <c r="J5354" t="s">
        <v>111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 t="s">
        <v>23</v>
      </c>
      <c r="R5354">
        <v>0</v>
      </c>
    </row>
    <row r="5355" spans="1:18">
      <c r="A5355" s="4">
        <v>1293330000000</v>
      </c>
      <c r="B5355" t="s">
        <v>18</v>
      </c>
      <c r="C5355">
        <v>76</v>
      </c>
      <c r="D5355" t="s">
        <v>19</v>
      </c>
      <c r="E5355" t="s">
        <v>69</v>
      </c>
      <c r="F5355" s="1">
        <v>42514</v>
      </c>
      <c r="G5355" s="1">
        <v>42514</v>
      </c>
      <c r="H5355" t="s">
        <v>41</v>
      </c>
      <c r="I5355">
        <v>0</v>
      </c>
      <c r="J5355" t="s">
        <v>111</v>
      </c>
      <c r="K5355">
        <v>0</v>
      </c>
      <c r="L5355">
        <v>1</v>
      </c>
      <c r="M5355">
        <v>0</v>
      </c>
      <c r="N5355">
        <v>0</v>
      </c>
      <c r="O5355">
        <v>0</v>
      </c>
      <c r="P5355">
        <v>0</v>
      </c>
      <c r="Q5355" t="s">
        <v>23</v>
      </c>
      <c r="R5355">
        <v>0</v>
      </c>
    </row>
    <row r="5356" spans="1:18">
      <c r="A5356" s="4">
        <v>1657220000000</v>
      </c>
      <c r="B5356" t="s">
        <v>18</v>
      </c>
      <c r="C5356">
        <v>51</v>
      </c>
      <c r="D5356" t="s">
        <v>35</v>
      </c>
      <c r="E5356" t="s">
        <v>42</v>
      </c>
      <c r="F5356" s="1">
        <v>42514</v>
      </c>
      <c r="G5356" s="1">
        <v>42520</v>
      </c>
      <c r="H5356" t="s">
        <v>30</v>
      </c>
      <c r="I5356">
        <v>6</v>
      </c>
      <c r="J5356" t="s">
        <v>107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1</v>
      </c>
      <c r="Q5356" t="s">
        <v>23</v>
      </c>
      <c r="R5356">
        <v>0</v>
      </c>
    </row>
    <row r="5357" spans="1:18">
      <c r="A5357" s="4">
        <v>13126400000000</v>
      </c>
      <c r="B5357" t="s">
        <v>18</v>
      </c>
      <c r="C5357">
        <v>43</v>
      </c>
      <c r="D5357" t="s">
        <v>27</v>
      </c>
      <c r="E5357" t="s">
        <v>82</v>
      </c>
      <c r="F5357" s="1">
        <v>42514</v>
      </c>
      <c r="G5357" s="1">
        <v>42514</v>
      </c>
      <c r="H5357" t="s">
        <v>41</v>
      </c>
      <c r="I5357">
        <v>0</v>
      </c>
      <c r="J5357" t="s">
        <v>111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 t="s">
        <v>23</v>
      </c>
      <c r="R5357">
        <v>0</v>
      </c>
    </row>
    <row r="5358" spans="1:18">
      <c r="A5358" s="4">
        <v>73688600000000</v>
      </c>
      <c r="B5358" t="s">
        <v>28</v>
      </c>
      <c r="C5358">
        <v>54</v>
      </c>
      <c r="D5358" t="s">
        <v>35</v>
      </c>
      <c r="E5358" t="s">
        <v>59</v>
      </c>
      <c r="F5358" s="1">
        <v>42514</v>
      </c>
      <c r="G5358" s="1">
        <v>42514</v>
      </c>
      <c r="H5358" t="s">
        <v>41</v>
      </c>
      <c r="I5358">
        <v>0</v>
      </c>
      <c r="J5358" t="s">
        <v>111</v>
      </c>
      <c r="K5358">
        <v>0</v>
      </c>
      <c r="L5358">
        <v>1</v>
      </c>
      <c r="M5358">
        <v>0</v>
      </c>
      <c r="N5358">
        <v>0</v>
      </c>
      <c r="O5358">
        <v>0</v>
      </c>
      <c r="P5358">
        <v>0</v>
      </c>
      <c r="Q5358" t="s">
        <v>23</v>
      </c>
      <c r="R5358">
        <v>0</v>
      </c>
    </row>
    <row r="5359" spans="1:18">
      <c r="A5359" s="4">
        <v>4543920000000</v>
      </c>
      <c r="B5359" t="s">
        <v>18</v>
      </c>
      <c r="C5359">
        <v>24</v>
      </c>
      <c r="D5359" t="s">
        <v>37</v>
      </c>
      <c r="E5359" t="s">
        <v>58</v>
      </c>
      <c r="F5359" s="1">
        <v>42514</v>
      </c>
      <c r="G5359" s="1">
        <v>42520</v>
      </c>
      <c r="H5359" t="s">
        <v>30</v>
      </c>
      <c r="I5359">
        <v>6</v>
      </c>
      <c r="J5359" t="s">
        <v>107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1</v>
      </c>
      <c r="Q5359" t="s">
        <v>26</v>
      </c>
      <c r="R5359">
        <v>1</v>
      </c>
    </row>
    <row r="5360" spans="1:18">
      <c r="A5360" s="4">
        <v>846652000000</v>
      </c>
      <c r="B5360" t="s">
        <v>18</v>
      </c>
      <c r="C5360">
        <v>71</v>
      </c>
      <c r="D5360" t="s">
        <v>19</v>
      </c>
      <c r="E5360" t="s">
        <v>47</v>
      </c>
      <c r="F5360" s="1">
        <v>42514</v>
      </c>
      <c r="G5360" s="1">
        <v>42514</v>
      </c>
      <c r="H5360" t="s">
        <v>41</v>
      </c>
      <c r="I5360">
        <v>0</v>
      </c>
      <c r="J5360" t="s">
        <v>111</v>
      </c>
      <c r="K5360">
        <v>0</v>
      </c>
      <c r="L5360">
        <v>1</v>
      </c>
      <c r="M5360">
        <v>0</v>
      </c>
      <c r="N5360">
        <v>0</v>
      </c>
      <c r="O5360">
        <v>0</v>
      </c>
      <c r="P5360">
        <v>0</v>
      </c>
      <c r="Q5360" t="s">
        <v>23</v>
      </c>
      <c r="R5360">
        <v>0</v>
      </c>
    </row>
    <row r="5361" spans="1:18">
      <c r="A5361" s="4">
        <v>72618700000000</v>
      </c>
      <c r="B5361" t="s">
        <v>28</v>
      </c>
      <c r="C5361">
        <v>51</v>
      </c>
      <c r="D5361" t="s">
        <v>35</v>
      </c>
      <c r="E5361" t="s">
        <v>57</v>
      </c>
      <c r="F5361" s="1">
        <v>42514</v>
      </c>
      <c r="G5361" s="1">
        <v>42514</v>
      </c>
      <c r="H5361" t="s">
        <v>41</v>
      </c>
      <c r="I5361">
        <v>0</v>
      </c>
      <c r="J5361" t="s">
        <v>111</v>
      </c>
      <c r="K5361">
        <v>0</v>
      </c>
      <c r="L5361">
        <v>1</v>
      </c>
      <c r="M5361">
        <v>0</v>
      </c>
      <c r="N5361">
        <v>0</v>
      </c>
      <c r="O5361">
        <v>0</v>
      </c>
      <c r="P5361">
        <v>0</v>
      </c>
      <c r="Q5361" t="s">
        <v>23</v>
      </c>
      <c r="R5361">
        <v>0</v>
      </c>
    </row>
    <row r="5362" spans="1:18">
      <c r="A5362" s="4">
        <v>566599000000000</v>
      </c>
      <c r="B5362" t="s">
        <v>28</v>
      </c>
      <c r="C5362">
        <v>12</v>
      </c>
      <c r="D5362" t="s">
        <v>31</v>
      </c>
      <c r="E5362" t="s">
        <v>96</v>
      </c>
      <c r="F5362" s="1">
        <v>42514</v>
      </c>
      <c r="G5362" s="1">
        <v>42514</v>
      </c>
      <c r="H5362" t="s">
        <v>41</v>
      </c>
      <c r="I5362">
        <v>0</v>
      </c>
      <c r="J5362" t="s">
        <v>111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 t="s">
        <v>23</v>
      </c>
      <c r="R5362">
        <v>0</v>
      </c>
    </row>
    <row r="5363" spans="1:18">
      <c r="A5363" s="4">
        <v>949255000000</v>
      </c>
      <c r="B5363" t="s">
        <v>28</v>
      </c>
      <c r="C5363">
        <v>49</v>
      </c>
      <c r="D5363" t="s">
        <v>27</v>
      </c>
      <c r="E5363" t="s">
        <v>100</v>
      </c>
      <c r="F5363" s="1">
        <v>42514</v>
      </c>
      <c r="G5363" s="1">
        <v>42520</v>
      </c>
      <c r="H5363" t="s">
        <v>30</v>
      </c>
      <c r="I5363">
        <v>6</v>
      </c>
      <c r="J5363" t="s">
        <v>107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1</v>
      </c>
      <c r="Q5363" t="s">
        <v>23</v>
      </c>
      <c r="R5363">
        <v>0</v>
      </c>
    </row>
    <row r="5364" spans="1:18">
      <c r="A5364" s="4">
        <v>22235300000000</v>
      </c>
      <c r="B5364" t="s">
        <v>28</v>
      </c>
      <c r="C5364">
        <v>58</v>
      </c>
      <c r="D5364" t="s">
        <v>35</v>
      </c>
      <c r="E5364" t="s">
        <v>72</v>
      </c>
      <c r="F5364" s="1">
        <v>42514</v>
      </c>
      <c r="G5364" s="1">
        <v>42514</v>
      </c>
      <c r="H5364" t="s">
        <v>41</v>
      </c>
      <c r="I5364">
        <v>0</v>
      </c>
      <c r="J5364" t="s">
        <v>111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 t="s">
        <v>23</v>
      </c>
      <c r="R5364">
        <v>0</v>
      </c>
    </row>
    <row r="5365" spans="1:18">
      <c r="A5365" s="4">
        <v>825272000000</v>
      </c>
      <c r="B5365" t="s">
        <v>28</v>
      </c>
      <c r="C5365">
        <v>9</v>
      </c>
      <c r="D5365" t="s">
        <v>31</v>
      </c>
      <c r="E5365" t="s">
        <v>95</v>
      </c>
      <c r="F5365" s="1">
        <v>42514</v>
      </c>
      <c r="G5365" s="1">
        <v>42520</v>
      </c>
      <c r="H5365" t="s">
        <v>30</v>
      </c>
      <c r="I5365">
        <v>6</v>
      </c>
      <c r="J5365" t="s">
        <v>107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1</v>
      </c>
      <c r="Q5365" t="s">
        <v>23</v>
      </c>
      <c r="R5365">
        <v>0</v>
      </c>
    </row>
    <row r="5366" spans="1:18">
      <c r="A5366" s="4">
        <v>12466200000000</v>
      </c>
      <c r="B5366" t="s">
        <v>18</v>
      </c>
      <c r="C5366">
        <v>31</v>
      </c>
      <c r="D5366" t="s">
        <v>37</v>
      </c>
      <c r="E5366" t="s">
        <v>73</v>
      </c>
      <c r="F5366" s="1">
        <v>42514</v>
      </c>
      <c r="G5366" s="1">
        <v>42524</v>
      </c>
      <c r="H5366" t="s">
        <v>21</v>
      </c>
      <c r="I5366">
        <v>10</v>
      </c>
      <c r="J5366" t="s">
        <v>92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1</v>
      </c>
      <c r="Q5366" t="s">
        <v>23</v>
      </c>
      <c r="R5366">
        <v>0</v>
      </c>
    </row>
    <row r="5367" spans="1:18">
      <c r="A5367" s="4">
        <v>49298400000000</v>
      </c>
      <c r="B5367" t="s">
        <v>18</v>
      </c>
      <c r="C5367">
        <v>21</v>
      </c>
      <c r="D5367" t="s">
        <v>37</v>
      </c>
      <c r="E5367" t="s">
        <v>87</v>
      </c>
      <c r="F5367" s="1">
        <v>42514</v>
      </c>
      <c r="G5367" s="1">
        <v>42515</v>
      </c>
      <c r="H5367" t="s">
        <v>25</v>
      </c>
      <c r="I5367">
        <v>1</v>
      </c>
      <c r="J5367" t="s">
        <v>109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23</v>
      </c>
      <c r="R5367">
        <v>0</v>
      </c>
    </row>
    <row r="5368" spans="1:18">
      <c r="A5368" s="4">
        <v>4756330000000</v>
      </c>
      <c r="B5368" t="s">
        <v>18</v>
      </c>
      <c r="C5368">
        <v>58</v>
      </c>
      <c r="D5368" t="s">
        <v>35</v>
      </c>
      <c r="E5368" t="s">
        <v>61</v>
      </c>
      <c r="F5368" s="1">
        <v>42514</v>
      </c>
      <c r="G5368" s="1">
        <v>42514</v>
      </c>
      <c r="H5368" t="s">
        <v>41</v>
      </c>
      <c r="I5368">
        <v>0</v>
      </c>
      <c r="J5368" t="s">
        <v>111</v>
      </c>
      <c r="K5368">
        <v>1</v>
      </c>
      <c r="L5368">
        <v>1</v>
      </c>
      <c r="M5368">
        <v>0</v>
      </c>
      <c r="N5368">
        <v>0</v>
      </c>
      <c r="O5368">
        <v>1</v>
      </c>
      <c r="P5368">
        <v>0</v>
      </c>
      <c r="Q5368" t="s">
        <v>23</v>
      </c>
      <c r="R5368">
        <v>0</v>
      </c>
    </row>
    <row r="5369" spans="1:18">
      <c r="A5369" s="4">
        <v>19146000000000</v>
      </c>
      <c r="B5369" t="s">
        <v>18</v>
      </c>
      <c r="C5369">
        <v>22</v>
      </c>
      <c r="D5369" t="s">
        <v>37</v>
      </c>
      <c r="E5369" t="s">
        <v>100</v>
      </c>
      <c r="F5369" s="1">
        <v>42514</v>
      </c>
      <c r="G5369" s="1">
        <v>42524</v>
      </c>
      <c r="H5369" t="s">
        <v>21</v>
      </c>
      <c r="I5369">
        <v>10</v>
      </c>
      <c r="J5369" t="s">
        <v>92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1</v>
      </c>
      <c r="Q5369" t="s">
        <v>23</v>
      </c>
      <c r="R5369">
        <v>0</v>
      </c>
    </row>
    <row r="5370" spans="1:18">
      <c r="A5370" s="4">
        <v>27754400000000</v>
      </c>
      <c r="B5370" t="s">
        <v>28</v>
      </c>
      <c r="C5370">
        <v>16</v>
      </c>
      <c r="D5370" t="s">
        <v>60</v>
      </c>
      <c r="E5370" t="s">
        <v>61</v>
      </c>
      <c r="F5370" s="1">
        <v>42514</v>
      </c>
      <c r="G5370" s="1">
        <v>42515</v>
      </c>
      <c r="H5370" t="s">
        <v>25</v>
      </c>
      <c r="I5370">
        <v>1</v>
      </c>
      <c r="J5370" t="s">
        <v>109</v>
      </c>
      <c r="K5370">
        <v>1</v>
      </c>
      <c r="L5370">
        <v>0</v>
      </c>
      <c r="M5370">
        <v>0</v>
      </c>
      <c r="N5370">
        <v>0</v>
      </c>
      <c r="O5370">
        <v>1</v>
      </c>
      <c r="P5370">
        <v>0</v>
      </c>
      <c r="Q5370" t="s">
        <v>26</v>
      </c>
      <c r="R5370">
        <v>1</v>
      </c>
    </row>
    <row r="5371" spans="1:18">
      <c r="A5371" s="4">
        <v>1284450000000</v>
      </c>
      <c r="B5371" t="s">
        <v>28</v>
      </c>
      <c r="C5371">
        <v>65</v>
      </c>
      <c r="D5371" t="s">
        <v>35</v>
      </c>
      <c r="E5371" t="s">
        <v>47</v>
      </c>
      <c r="F5371" s="1">
        <v>42514</v>
      </c>
      <c r="G5371" s="1">
        <v>42514</v>
      </c>
      <c r="H5371" t="s">
        <v>41</v>
      </c>
      <c r="I5371">
        <v>0</v>
      </c>
      <c r="J5371" t="s">
        <v>111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23</v>
      </c>
      <c r="R5371">
        <v>0</v>
      </c>
    </row>
    <row r="5372" spans="1:18">
      <c r="A5372" s="4">
        <v>133722000000000</v>
      </c>
      <c r="B5372" t="s">
        <v>28</v>
      </c>
      <c r="C5372">
        <v>77</v>
      </c>
      <c r="D5372" t="s">
        <v>19</v>
      </c>
      <c r="E5372" t="s">
        <v>79</v>
      </c>
      <c r="F5372" s="1">
        <v>42514</v>
      </c>
      <c r="G5372" s="1">
        <v>42514</v>
      </c>
      <c r="H5372" t="s">
        <v>41</v>
      </c>
      <c r="I5372">
        <v>0</v>
      </c>
      <c r="J5372" t="s">
        <v>111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 t="s">
        <v>26</v>
      </c>
      <c r="R5372">
        <v>1</v>
      </c>
    </row>
    <row r="5373" spans="1:18">
      <c r="A5373" s="4">
        <v>951737000000</v>
      </c>
      <c r="B5373" t="s">
        <v>18</v>
      </c>
      <c r="C5373">
        <v>18</v>
      </c>
      <c r="D5373" t="s">
        <v>37</v>
      </c>
      <c r="E5373" t="s">
        <v>71</v>
      </c>
      <c r="F5373" s="1">
        <v>42514</v>
      </c>
      <c r="G5373" s="1">
        <v>42514</v>
      </c>
      <c r="H5373" t="s">
        <v>41</v>
      </c>
      <c r="I5373">
        <v>0</v>
      </c>
      <c r="J5373" t="s">
        <v>111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23</v>
      </c>
      <c r="R5373">
        <v>0</v>
      </c>
    </row>
    <row r="5374" spans="1:18">
      <c r="A5374" s="4">
        <v>16119749222</v>
      </c>
      <c r="B5374" t="s">
        <v>18</v>
      </c>
      <c r="C5374">
        <v>65</v>
      </c>
      <c r="D5374" t="s">
        <v>35</v>
      </c>
      <c r="E5374" t="s">
        <v>96</v>
      </c>
      <c r="F5374" s="1">
        <v>42514</v>
      </c>
      <c r="G5374" s="1">
        <v>42514</v>
      </c>
      <c r="H5374" t="s">
        <v>41</v>
      </c>
      <c r="I5374">
        <v>0</v>
      </c>
      <c r="J5374" t="s">
        <v>111</v>
      </c>
      <c r="K5374">
        <v>0</v>
      </c>
      <c r="L5374">
        <v>1</v>
      </c>
      <c r="M5374">
        <v>0</v>
      </c>
      <c r="N5374">
        <v>0</v>
      </c>
      <c r="O5374">
        <v>0</v>
      </c>
      <c r="P5374">
        <v>0</v>
      </c>
      <c r="Q5374" t="s">
        <v>23</v>
      </c>
      <c r="R5374">
        <v>0</v>
      </c>
    </row>
    <row r="5375" spans="1:18">
      <c r="A5375" s="4">
        <v>5573370000000</v>
      </c>
      <c r="B5375" t="s">
        <v>18</v>
      </c>
      <c r="C5375">
        <v>20</v>
      </c>
      <c r="D5375" t="s">
        <v>37</v>
      </c>
      <c r="E5375" t="s">
        <v>52</v>
      </c>
      <c r="F5375" s="1">
        <v>42514</v>
      </c>
      <c r="G5375" s="1">
        <v>42514</v>
      </c>
      <c r="H5375" t="s">
        <v>41</v>
      </c>
      <c r="I5375">
        <v>0</v>
      </c>
      <c r="J5375" t="s">
        <v>111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23</v>
      </c>
      <c r="R5375">
        <v>0</v>
      </c>
    </row>
    <row r="5376" spans="1:18">
      <c r="A5376" s="4">
        <v>1393320000000</v>
      </c>
      <c r="B5376" t="s">
        <v>28</v>
      </c>
      <c r="C5376">
        <v>50</v>
      </c>
      <c r="D5376" t="s">
        <v>27</v>
      </c>
      <c r="E5376" t="s">
        <v>72</v>
      </c>
      <c r="F5376" s="1">
        <v>42514</v>
      </c>
      <c r="G5376" s="1">
        <v>42514</v>
      </c>
      <c r="H5376" t="s">
        <v>41</v>
      </c>
      <c r="I5376">
        <v>0</v>
      </c>
      <c r="J5376" t="s">
        <v>111</v>
      </c>
      <c r="K5376">
        <v>0</v>
      </c>
      <c r="L5376">
        <v>1</v>
      </c>
      <c r="M5376">
        <v>0</v>
      </c>
      <c r="N5376">
        <v>0</v>
      </c>
      <c r="O5376">
        <v>0</v>
      </c>
      <c r="P5376">
        <v>0</v>
      </c>
      <c r="Q5376" t="s">
        <v>23</v>
      </c>
      <c r="R5376">
        <v>0</v>
      </c>
    </row>
    <row r="5377" spans="1:18">
      <c r="A5377" s="4">
        <v>27673585361</v>
      </c>
      <c r="B5377" t="s">
        <v>28</v>
      </c>
      <c r="C5377">
        <v>11</v>
      </c>
      <c r="D5377" t="s">
        <v>31</v>
      </c>
      <c r="E5377" t="s">
        <v>59</v>
      </c>
      <c r="F5377" s="1">
        <v>42514</v>
      </c>
      <c r="G5377" s="1">
        <v>42514</v>
      </c>
      <c r="H5377" t="s">
        <v>41</v>
      </c>
      <c r="I5377">
        <v>0</v>
      </c>
      <c r="J5377" t="s">
        <v>111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23</v>
      </c>
      <c r="R5377">
        <v>0</v>
      </c>
    </row>
    <row r="5378" spans="1:18">
      <c r="A5378" s="4">
        <v>626762000000000</v>
      </c>
      <c r="B5378" t="s">
        <v>18</v>
      </c>
      <c r="C5378">
        <v>52</v>
      </c>
      <c r="D5378" t="s">
        <v>35</v>
      </c>
      <c r="E5378" t="s">
        <v>20</v>
      </c>
      <c r="F5378" s="1">
        <v>42514</v>
      </c>
      <c r="G5378" s="1">
        <v>42514</v>
      </c>
      <c r="H5378" t="s">
        <v>41</v>
      </c>
      <c r="I5378">
        <v>0</v>
      </c>
      <c r="J5378" t="s">
        <v>111</v>
      </c>
      <c r="K5378">
        <v>0</v>
      </c>
      <c r="L5378">
        <v>1</v>
      </c>
      <c r="M5378">
        <v>1</v>
      </c>
      <c r="N5378">
        <v>0</v>
      </c>
      <c r="O5378">
        <v>0</v>
      </c>
      <c r="P5378">
        <v>0</v>
      </c>
      <c r="Q5378" t="s">
        <v>23</v>
      </c>
      <c r="R5378">
        <v>0</v>
      </c>
    </row>
    <row r="5379" spans="1:18">
      <c r="A5379" s="4">
        <v>63633900000000</v>
      </c>
      <c r="B5379" t="s">
        <v>18</v>
      </c>
      <c r="C5379">
        <v>7</v>
      </c>
      <c r="D5379" t="s">
        <v>31</v>
      </c>
      <c r="E5379" t="s">
        <v>45</v>
      </c>
      <c r="F5379" s="1">
        <v>42514</v>
      </c>
      <c r="G5379" s="1">
        <v>42514</v>
      </c>
      <c r="H5379" t="s">
        <v>41</v>
      </c>
      <c r="I5379">
        <v>0</v>
      </c>
      <c r="J5379" t="s">
        <v>111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23</v>
      </c>
      <c r="R5379">
        <v>0</v>
      </c>
    </row>
    <row r="5380" spans="1:18">
      <c r="A5380" s="4">
        <v>3833170000000</v>
      </c>
      <c r="B5380" t="s">
        <v>18</v>
      </c>
      <c r="C5380">
        <v>29</v>
      </c>
      <c r="D5380" t="s">
        <v>37</v>
      </c>
      <c r="E5380" t="s">
        <v>96</v>
      </c>
      <c r="F5380" s="1">
        <v>42514</v>
      </c>
      <c r="G5380" s="1">
        <v>42523</v>
      </c>
      <c r="H5380" t="s">
        <v>33</v>
      </c>
      <c r="I5380">
        <v>9</v>
      </c>
      <c r="J5380" t="s">
        <v>92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1</v>
      </c>
      <c r="Q5380" t="s">
        <v>23</v>
      </c>
      <c r="R5380">
        <v>0</v>
      </c>
    </row>
    <row r="5381" spans="1:18">
      <c r="A5381" s="4">
        <v>5254190000000</v>
      </c>
      <c r="B5381" t="s">
        <v>28</v>
      </c>
      <c r="C5381">
        <v>7</v>
      </c>
      <c r="D5381" t="s">
        <v>31</v>
      </c>
      <c r="E5381" t="s">
        <v>59</v>
      </c>
      <c r="F5381" s="1">
        <v>42514</v>
      </c>
      <c r="G5381" s="1">
        <v>42527</v>
      </c>
      <c r="H5381" t="s">
        <v>30</v>
      </c>
      <c r="I5381">
        <v>13</v>
      </c>
      <c r="J5381" t="s">
        <v>92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1</v>
      </c>
      <c r="Q5381" t="s">
        <v>23</v>
      </c>
      <c r="R5381">
        <v>0</v>
      </c>
    </row>
    <row r="5382" spans="1:18">
      <c r="A5382" s="4">
        <v>5597310000000</v>
      </c>
      <c r="B5382" t="s">
        <v>18</v>
      </c>
      <c r="C5382">
        <v>1</v>
      </c>
      <c r="D5382" t="s">
        <v>31</v>
      </c>
      <c r="E5382" t="s">
        <v>69</v>
      </c>
      <c r="F5382" s="1">
        <v>42514</v>
      </c>
      <c r="G5382" s="1">
        <v>42514</v>
      </c>
      <c r="H5382" t="s">
        <v>41</v>
      </c>
      <c r="I5382">
        <v>0</v>
      </c>
      <c r="J5382" t="s">
        <v>111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23</v>
      </c>
      <c r="R5382">
        <v>0</v>
      </c>
    </row>
    <row r="5383" spans="1:18">
      <c r="A5383" s="4">
        <v>9939180000000</v>
      </c>
      <c r="B5383" t="s">
        <v>28</v>
      </c>
      <c r="C5383">
        <v>1</v>
      </c>
      <c r="D5383" t="s">
        <v>31</v>
      </c>
      <c r="E5383" t="s">
        <v>90</v>
      </c>
      <c r="F5383" s="1">
        <v>42514</v>
      </c>
      <c r="G5383" s="1">
        <v>42514</v>
      </c>
      <c r="H5383" t="s">
        <v>41</v>
      </c>
      <c r="I5383">
        <v>0</v>
      </c>
      <c r="J5383" t="s">
        <v>111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 t="s">
        <v>23</v>
      </c>
      <c r="R5383">
        <v>0</v>
      </c>
    </row>
    <row r="5384" spans="1:18">
      <c r="A5384" s="4">
        <v>598488000000000</v>
      </c>
      <c r="B5384" t="s">
        <v>18</v>
      </c>
      <c r="C5384">
        <v>23</v>
      </c>
      <c r="D5384" t="s">
        <v>37</v>
      </c>
      <c r="E5384" t="s">
        <v>57</v>
      </c>
      <c r="F5384" s="1">
        <v>42514</v>
      </c>
      <c r="G5384" s="1">
        <v>42514</v>
      </c>
      <c r="H5384" t="s">
        <v>41</v>
      </c>
      <c r="I5384">
        <v>0</v>
      </c>
      <c r="J5384" t="s">
        <v>111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 t="s">
        <v>23</v>
      </c>
      <c r="R5384">
        <v>0</v>
      </c>
    </row>
    <row r="5385" spans="1:18">
      <c r="A5385" s="4">
        <v>1868340000000</v>
      </c>
      <c r="B5385" t="s">
        <v>18</v>
      </c>
      <c r="C5385">
        <v>65</v>
      </c>
      <c r="D5385" t="s">
        <v>35</v>
      </c>
      <c r="E5385" t="s">
        <v>47</v>
      </c>
      <c r="F5385" s="1">
        <v>42514</v>
      </c>
      <c r="G5385" s="1">
        <v>42514</v>
      </c>
      <c r="H5385" t="s">
        <v>41</v>
      </c>
      <c r="I5385">
        <v>0</v>
      </c>
      <c r="J5385" t="s">
        <v>111</v>
      </c>
      <c r="K5385">
        <v>0</v>
      </c>
      <c r="L5385">
        <v>1</v>
      </c>
      <c r="M5385">
        <v>0</v>
      </c>
      <c r="N5385">
        <v>0</v>
      </c>
      <c r="O5385">
        <v>0</v>
      </c>
      <c r="P5385">
        <v>0</v>
      </c>
      <c r="Q5385" t="s">
        <v>23</v>
      </c>
      <c r="R5385">
        <v>0</v>
      </c>
    </row>
    <row r="5386" spans="1:18">
      <c r="A5386" s="4">
        <v>169832000000000</v>
      </c>
      <c r="B5386" t="s">
        <v>18</v>
      </c>
      <c r="C5386">
        <v>5</v>
      </c>
      <c r="D5386" t="s">
        <v>31</v>
      </c>
      <c r="E5386" t="s">
        <v>43</v>
      </c>
      <c r="F5386" s="1">
        <v>42514</v>
      </c>
      <c r="G5386" s="1">
        <v>42524</v>
      </c>
      <c r="H5386" t="s">
        <v>21</v>
      </c>
      <c r="I5386">
        <v>10</v>
      </c>
      <c r="J5386" t="s">
        <v>92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1</v>
      </c>
      <c r="Q5386" t="s">
        <v>23</v>
      </c>
      <c r="R5386">
        <v>0</v>
      </c>
    </row>
    <row r="5387" spans="1:18">
      <c r="A5387" s="4">
        <v>3213320000000</v>
      </c>
      <c r="B5387" t="s">
        <v>18</v>
      </c>
      <c r="C5387">
        <v>44</v>
      </c>
      <c r="D5387" t="s">
        <v>27</v>
      </c>
      <c r="E5387" t="s">
        <v>57</v>
      </c>
      <c r="F5387" s="1">
        <v>42514</v>
      </c>
      <c r="G5387" s="1">
        <v>42514</v>
      </c>
      <c r="H5387" t="s">
        <v>41</v>
      </c>
      <c r="I5387">
        <v>0</v>
      </c>
      <c r="J5387" t="s">
        <v>111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23</v>
      </c>
      <c r="R5387">
        <v>0</v>
      </c>
    </row>
    <row r="5388" spans="1:18">
      <c r="A5388" s="4">
        <v>589978000000</v>
      </c>
      <c r="B5388" t="s">
        <v>18</v>
      </c>
      <c r="C5388">
        <v>25</v>
      </c>
      <c r="D5388" t="s">
        <v>37</v>
      </c>
      <c r="E5388" t="s">
        <v>79</v>
      </c>
      <c r="F5388" s="1">
        <v>42514</v>
      </c>
      <c r="G5388" s="1">
        <v>42521</v>
      </c>
      <c r="H5388" t="s">
        <v>41</v>
      </c>
      <c r="I5388">
        <v>7</v>
      </c>
      <c r="J5388" t="s">
        <v>107</v>
      </c>
      <c r="K5388">
        <v>0</v>
      </c>
      <c r="L5388">
        <v>0</v>
      </c>
      <c r="M5388">
        <v>0</v>
      </c>
      <c r="N5388">
        <v>1</v>
      </c>
      <c r="O5388">
        <v>0</v>
      </c>
      <c r="P5388">
        <v>1</v>
      </c>
      <c r="Q5388" t="s">
        <v>26</v>
      </c>
      <c r="R5388">
        <v>1</v>
      </c>
    </row>
    <row r="5389" spans="1:18">
      <c r="A5389" s="4">
        <v>41288500000000</v>
      </c>
      <c r="B5389" t="s">
        <v>18</v>
      </c>
      <c r="C5389">
        <v>23</v>
      </c>
      <c r="D5389" t="s">
        <v>37</v>
      </c>
      <c r="E5389" t="s">
        <v>79</v>
      </c>
      <c r="F5389" s="1">
        <v>42514</v>
      </c>
      <c r="G5389" s="1">
        <v>42521</v>
      </c>
      <c r="H5389" t="s">
        <v>41</v>
      </c>
      <c r="I5389">
        <v>7</v>
      </c>
      <c r="J5389" t="s">
        <v>107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1</v>
      </c>
      <c r="Q5389" t="s">
        <v>26</v>
      </c>
      <c r="R5389">
        <v>1</v>
      </c>
    </row>
    <row r="5390" spans="1:18">
      <c r="A5390" s="4">
        <v>636331000000000</v>
      </c>
      <c r="B5390" t="s">
        <v>18</v>
      </c>
      <c r="C5390">
        <v>26</v>
      </c>
      <c r="D5390" t="s">
        <v>37</v>
      </c>
      <c r="E5390" t="s">
        <v>106</v>
      </c>
      <c r="F5390" s="1">
        <v>42514</v>
      </c>
      <c r="G5390" s="1">
        <v>42529</v>
      </c>
      <c r="H5390" t="s">
        <v>25</v>
      </c>
      <c r="I5390">
        <v>15</v>
      </c>
      <c r="J5390" t="s">
        <v>77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1</v>
      </c>
      <c r="Q5390" t="s">
        <v>26</v>
      </c>
      <c r="R5390">
        <v>1</v>
      </c>
    </row>
    <row r="5391" spans="1:18">
      <c r="A5391" s="4">
        <v>259897000000000</v>
      </c>
      <c r="B5391" t="s">
        <v>18</v>
      </c>
      <c r="C5391">
        <v>8</v>
      </c>
      <c r="D5391" t="s">
        <v>31</v>
      </c>
      <c r="E5391" t="s">
        <v>59</v>
      </c>
      <c r="F5391" s="1">
        <v>42514</v>
      </c>
      <c r="G5391" s="1">
        <v>42514</v>
      </c>
      <c r="H5391" t="s">
        <v>41</v>
      </c>
      <c r="I5391">
        <v>0</v>
      </c>
      <c r="J5391" t="s">
        <v>111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 t="s">
        <v>23</v>
      </c>
      <c r="R5391">
        <v>0</v>
      </c>
    </row>
    <row r="5392" spans="1:18">
      <c r="A5392" s="4">
        <v>9385260000000</v>
      </c>
      <c r="B5392" t="s">
        <v>18</v>
      </c>
      <c r="C5392">
        <v>68</v>
      </c>
      <c r="D5392" t="s">
        <v>19</v>
      </c>
      <c r="E5392" t="s">
        <v>40</v>
      </c>
      <c r="F5392" s="1">
        <v>42514</v>
      </c>
      <c r="G5392" s="1">
        <v>42521</v>
      </c>
      <c r="H5392" t="s">
        <v>41</v>
      </c>
      <c r="I5392">
        <v>7</v>
      </c>
      <c r="J5392" t="s">
        <v>107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1</v>
      </c>
      <c r="Q5392" t="s">
        <v>23</v>
      </c>
      <c r="R5392">
        <v>0</v>
      </c>
    </row>
    <row r="5393" spans="1:18">
      <c r="A5393" s="4">
        <v>719155000000000</v>
      </c>
      <c r="B5393" t="s">
        <v>28</v>
      </c>
      <c r="C5393">
        <v>9</v>
      </c>
      <c r="D5393" t="s">
        <v>31</v>
      </c>
      <c r="E5393" t="s">
        <v>68</v>
      </c>
      <c r="F5393" s="1">
        <v>42514</v>
      </c>
      <c r="G5393" s="1">
        <v>42514</v>
      </c>
      <c r="H5393" t="s">
        <v>41</v>
      </c>
      <c r="I5393">
        <v>0</v>
      </c>
      <c r="J5393" t="s">
        <v>111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26</v>
      </c>
      <c r="R5393">
        <v>1</v>
      </c>
    </row>
    <row r="5394" spans="1:18">
      <c r="A5394" s="4">
        <v>98299145656</v>
      </c>
      <c r="B5394" t="s">
        <v>18</v>
      </c>
      <c r="C5394">
        <v>24</v>
      </c>
      <c r="D5394" t="s">
        <v>37</v>
      </c>
      <c r="E5394" t="s">
        <v>69</v>
      </c>
      <c r="F5394" s="1">
        <v>42514</v>
      </c>
      <c r="G5394" s="1">
        <v>42514</v>
      </c>
      <c r="H5394" t="s">
        <v>41</v>
      </c>
      <c r="I5394">
        <v>0</v>
      </c>
      <c r="J5394" t="s">
        <v>111</v>
      </c>
      <c r="K5394">
        <v>1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23</v>
      </c>
      <c r="R5394">
        <v>0</v>
      </c>
    </row>
    <row r="5395" spans="1:18">
      <c r="A5395" s="4">
        <v>566558000000000</v>
      </c>
      <c r="B5395" t="s">
        <v>28</v>
      </c>
      <c r="C5395">
        <v>0</v>
      </c>
      <c r="D5395" t="s">
        <v>31</v>
      </c>
      <c r="E5395" t="s">
        <v>54</v>
      </c>
      <c r="F5395" s="1">
        <v>42514</v>
      </c>
      <c r="G5395" s="1">
        <v>42514</v>
      </c>
      <c r="H5395" t="s">
        <v>41</v>
      </c>
      <c r="I5395">
        <v>0</v>
      </c>
      <c r="J5395" t="s">
        <v>111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23</v>
      </c>
      <c r="R5395">
        <v>0</v>
      </c>
    </row>
    <row r="5396" spans="1:18">
      <c r="A5396" s="4">
        <v>85518800000000</v>
      </c>
      <c r="B5396" t="s">
        <v>18</v>
      </c>
      <c r="C5396">
        <v>26</v>
      </c>
      <c r="D5396" t="s">
        <v>37</v>
      </c>
      <c r="E5396" t="s">
        <v>90</v>
      </c>
      <c r="F5396" s="1">
        <v>42514</v>
      </c>
      <c r="G5396" s="1">
        <v>42514</v>
      </c>
      <c r="H5396" t="s">
        <v>41</v>
      </c>
      <c r="I5396">
        <v>0</v>
      </c>
      <c r="J5396" t="s">
        <v>111</v>
      </c>
      <c r="K5396">
        <v>1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23</v>
      </c>
      <c r="R5396">
        <v>0</v>
      </c>
    </row>
    <row r="5397" spans="1:18">
      <c r="A5397" s="4">
        <v>71727900000000</v>
      </c>
      <c r="B5397" t="s">
        <v>28</v>
      </c>
      <c r="C5397">
        <v>3</v>
      </c>
      <c r="D5397" t="s">
        <v>31</v>
      </c>
      <c r="E5397" t="s">
        <v>108</v>
      </c>
      <c r="F5397" s="1">
        <v>42514</v>
      </c>
      <c r="G5397" s="1">
        <v>42514</v>
      </c>
      <c r="H5397" t="s">
        <v>41</v>
      </c>
      <c r="I5397">
        <v>0</v>
      </c>
      <c r="J5397" t="s">
        <v>111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23</v>
      </c>
      <c r="R5397">
        <v>0</v>
      </c>
    </row>
    <row r="5398" spans="1:18">
      <c r="A5398" s="4">
        <v>6111770000000</v>
      </c>
      <c r="B5398" t="s">
        <v>28</v>
      </c>
      <c r="C5398">
        <v>9</v>
      </c>
      <c r="D5398" t="s">
        <v>31</v>
      </c>
      <c r="E5398" t="s">
        <v>71</v>
      </c>
      <c r="F5398" s="1">
        <v>42514</v>
      </c>
      <c r="G5398" s="1">
        <v>42523</v>
      </c>
      <c r="H5398" t="s">
        <v>33</v>
      </c>
      <c r="I5398">
        <v>9</v>
      </c>
      <c r="J5398" t="s">
        <v>92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1</v>
      </c>
      <c r="Q5398" t="s">
        <v>23</v>
      </c>
      <c r="R5398">
        <v>0</v>
      </c>
    </row>
    <row r="5399" spans="1:18">
      <c r="A5399" s="4">
        <v>1771350000000</v>
      </c>
      <c r="B5399" t="s">
        <v>28</v>
      </c>
      <c r="C5399">
        <v>2</v>
      </c>
      <c r="D5399" t="s">
        <v>31</v>
      </c>
      <c r="E5399" t="s">
        <v>44</v>
      </c>
      <c r="F5399" s="1">
        <v>42514</v>
      </c>
      <c r="G5399" s="1">
        <v>42514</v>
      </c>
      <c r="H5399" t="s">
        <v>41</v>
      </c>
      <c r="I5399">
        <v>0</v>
      </c>
      <c r="J5399" t="s">
        <v>111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23</v>
      </c>
      <c r="R5399">
        <v>0</v>
      </c>
    </row>
    <row r="5400" spans="1:18">
      <c r="A5400" s="4">
        <v>75657000000000</v>
      </c>
      <c r="B5400" t="s">
        <v>18</v>
      </c>
      <c r="C5400">
        <v>70</v>
      </c>
      <c r="D5400" t="s">
        <v>19</v>
      </c>
      <c r="E5400" t="s">
        <v>66</v>
      </c>
      <c r="F5400" s="1">
        <v>42514</v>
      </c>
      <c r="G5400" s="1">
        <v>42514</v>
      </c>
      <c r="H5400" t="s">
        <v>41</v>
      </c>
      <c r="I5400">
        <v>0</v>
      </c>
      <c r="J5400" t="s">
        <v>111</v>
      </c>
      <c r="K5400">
        <v>0</v>
      </c>
      <c r="L5400">
        <v>1</v>
      </c>
      <c r="M5400">
        <v>0</v>
      </c>
      <c r="N5400">
        <v>0</v>
      </c>
      <c r="O5400">
        <v>0</v>
      </c>
      <c r="P5400">
        <v>0</v>
      </c>
      <c r="Q5400" t="s">
        <v>23</v>
      </c>
      <c r="R5400">
        <v>0</v>
      </c>
    </row>
    <row r="5401" spans="1:18">
      <c r="A5401" s="4">
        <v>442865000000000</v>
      </c>
      <c r="B5401" t="s">
        <v>28</v>
      </c>
      <c r="C5401">
        <v>7</v>
      </c>
      <c r="D5401" t="s">
        <v>31</v>
      </c>
      <c r="E5401" t="s">
        <v>96</v>
      </c>
      <c r="F5401" s="1">
        <v>42514</v>
      </c>
      <c r="G5401" s="1">
        <v>42514</v>
      </c>
      <c r="H5401" t="s">
        <v>41</v>
      </c>
      <c r="I5401">
        <v>0</v>
      </c>
      <c r="J5401" t="s">
        <v>111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 t="s">
        <v>23</v>
      </c>
      <c r="R5401">
        <v>0</v>
      </c>
    </row>
    <row r="5402" spans="1:18">
      <c r="A5402" s="4">
        <v>69833900000000</v>
      </c>
      <c r="B5402" t="s">
        <v>18</v>
      </c>
      <c r="C5402">
        <v>40</v>
      </c>
      <c r="D5402" t="s">
        <v>27</v>
      </c>
      <c r="E5402" t="s">
        <v>48</v>
      </c>
      <c r="F5402" s="1">
        <v>42514</v>
      </c>
      <c r="G5402" s="1">
        <v>42514</v>
      </c>
      <c r="H5402" t="s">
        <v>41</v>
      </c>
      <c r="I5402">
        <v>0</v>
      </c>
      <c r="J5402" t="s">
        <v>111</v>
      </c>
      <c r="K5402">
        <v>0</v>
      </c>
      <c r="L5402">
        <v>1</v>
      </c>
      <c r="M5402">
        <v>0</v>
      </c>
      <c r="N5402">
        <v>0</v>
      </c>
      <c r="O5402">
        <v>0</v>
      </c>
      <c r="P5402">
        <v>0</v>
      </c>
      <c r="Q5402" t="s">
        <v>26</v>
      </c>
      <c r="R5402">
        <v>1</v>
      </c>
    </row>
    <row r="5403" spans="1:18">
      <c r="A5403" s="4">
        <v>359297000000</v>
      </c>
      <c r="B5403" t="s">
        <v>18</v>
      </c>
      <c r="C5403">
        <v>66</v>
      </c>
      <c r="D5403" t="s">
        <v>19</v>
      </c>
      <c r="E5403" t="s">
        <v>58</v>
      </c>
      <c r="F5403" s="1">
        <v>42514</v>
      </c>
      <c r="G5403" s="1">
        <v>42514</v>
      </c>
      <c r="H5403" t="s">
        <v>41</v>
      </c>
      <c r="I5403">
        <v>0</v>
      </c>
      <c r="J5403" t="s">
        <v>111</v>
      </c>
      <c r="K5403">
        <v>0</v>
      </c>
      <c r="L5403">
        <v>1</v>
      </c>
      <c r="M5403">
        <v>0</v>
      </c>
      <c r="N5403">
        <v>0</v>
      </c>
      <c r="O5403">
        <v>0</v>
      </c>
      <c r="P5403">
        <v>0</v>
      </c>
      <c r="Q5403" t="s">
        <v>23</v>
      </c>
      <c r="R5403">
        <v>0</v>
      </c>
    </row>
    <row r="5404" spans="1:18">
      <c r="A5404" s="4">
        <v>22159300000000</v>
      </c>
      <c r="B5404" t="s">
        <v>28</v>
      </c>
      <c r="C5404">
        <v>5</v>
      </c>
      <c r="D5404" t="s">
        <v>31</v>
      </c>
      <c r="E5404" t="s">
        <v>54</v>
      </c>
      <c r="F5404" s="1">
        <v>42514</v>
      </c>
      <c r="G5404" s="1">
        <v>42514</v>
      </c>
      <c r="H5404" t="s">
        <v>41</v>
      </c>
      <c r="I5404">
        <v>0</v>
      </c>
      <c r="J5404" t="s">
        <v>111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23</v>
      </c>
      <c r="R5404">
        <v>0</v>
      </c>
    </row>
    <row r="5405" spans="1:18">
      <c r="A5405" s="4">
        <v>41387826435</v>
      </c>
      <c r="B5405" t="s">
        <v>18</v>
      </c>
      <c r="C5405">
        <v>9</v>
      </c>
      <c r="D5405" t="s">
        <v>31</v>
      </c>
      <c r="E5405" t="s">
        <v>46</v>
      </c>
      <c r="F5405" s="1">
        <v>42514</v>
      </c>
      <c r="G5405" s="1">
        <v>42514</v>
      </c>
      <c r="H5405" t="s">
        <v>41</v>
      </c>
      <c r="I5405">
        <v>0</v>
      </c>
      <c r="J5405" t="s">
        <v>111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23</v>
      </c>
      <c r="R5405">
        <v>0</v>
      </c>
    </row>
    <row r="5406" spans="1:18">
      <c r="A5406" s="4">
        <v>23574300000000</v>
      </c>
      <c r="B5406" t="s">
        <v>18</v>
      </c>
      <c r="C5406">
        <v>78</v>
      </c>
      <c r="D5406" t="s">
        <v>19</v>
      </c>
      <c r="E5406" t="s">
        <v>74</v>
      </c>
      <c r="F5406" s="1">
        <v>42514</v>
      </c>
      <c r="G5406" s="1">
        <v>42514</v>
      </c>
      <c r="H5406" t="s">
        <v>41</v>
      </c>
      <c r="I5406">
        <v>0</v>
      </c>
      <c r="J5406" t="s">
        <v>111</v>
      </c>
      <c r="K5406">
        <v>0</v>
      </c>
      <c r="L5406">
        <v>1</v>
      </c>
      <c r="M5406">
        <v>1</v>
      </c>
      <c r="N5406">
        <v>0</v>
      </c>
      <c r="O5406">
        <v>0</v>
      </c>
      <c r="P5406">
        <v>0</v>
      </c>
      <c r="Q5406" t="s">
        <v>23</v>
      </c>
      <c r="R5406">
        <v>0</v>
      </c>
    </row>
    <row r="5407" spans="1:18">
      <c r="A5407" s="4">
        <v>521760000000</v>
      </c>
      <c r="B5407" t="s">
        <v>18</v>
      </c>
      <c r="C5407">
        <v>53</v>
      </c>
      <c r="D5407" t="s">
        <v>35</v>
      </c>
      <c r="E5407" t="s">
        <v>78</v>
      </c>
      <c r="F5407" s="1">
        <v>42514</v>
      </c>
      <c r="G5407" s="1">
        <v>42514</v>
      </c>
      <c r="H5407" t="s">
        <v>41</v>
      </c>
      <c r="I5407">
        <v>0</v>
      </c>
      <c r="J5407" t="s">
        <v>111</v>
      </c>
      <c r="K5407">
        <v>0</v>
      </c>
      <c r="L5407">
        <v>1</v>
      </c>
      <c r="M5407">
        <v>1</v>
      </c>
      <c r="N5407">
        <v>0</v>
      </c>
      <c r="O5407">
        <v>0</v>
      </c>
      <c r="P5407">
        <v>0</v>
      </c>
      <c r="Q5407" t="s">
        <v>23</v>
      </c>
      <c r="R5407">
        <v>0</v>
      </c>
    </row>
    <row r="5408" spans="1:18">
      <c r="A5408" s="4">
        <v>59157600000000</v>
      </c>
      <c r="B5408" t="s">
        <v>28</v>
      </c>
      <c r="C5408">
        <v>0</v>
      </c>
      <c r="D5408" t="s">
        <v>31</v>
      </c>
      <c r="E5408" t="s">
        <v>72</v>
      </c>
      <c r="F5408" s="1">
        <v>42514</v>
      </c>
      <c r="G5408" s="1">
        <v>42514</v>
      </c>
      <c r="H5408" t="s">
        <v>41</v>
      </c>
      <c r="I5408">
        <v>0</v>
      </c>
      <c r="J5408" t="s">
        <v>111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23</v>
      </c>
      <c r="R5408">
        <v>0</v>
      </c>
    </row>
    <row r="5409" spans="1:18">
      <c r="A5409" s="4">
        <v>2879270000000</v>
      </c>
      <c r="B5409" t="s">
        <v>18</v>
      </c>
      <c r="C5409">
        <v>26</v>
      </c>
      <c r="D5409" t="s">
        <v>37</v>
      </c>
      <c r="E5409" t="s">
        <v>75</v>
      </c>
      <c r="F5409" s="1">
        <v>42514</v>
      </c>
      <c r="G5409" s="1">
        <v>42514</v>
      </c>
      <c r="H5409" t="s">
        <v>41</v>
      </c>
      <c r="I5409">
        <v>0</v>
      </c>
      <c r="J5409" t="s">
        <v>111</v>
      </c>
      <c r="K5409">
        <v>1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23</v>
      </c>
      <c r="R5409">
        <v>0</v>
      </c>
    </row>
    <row r="5410" spans="1:18">
      <c r="A5410" s="4">
        <v>729932000000</v>
      </c>
      <c r="B5410" t="s">
        <v>18</v>
      </c>
      <c r="C5410">
        <v>17</v>
      </c>
      <c r="D5410" t="s">
        <v>60</v>
      </c>
      <c r="E5410" t="s">
        <v>39</v>
      </c>
      <c r="F5410" s="1">
        <v>42514</v>
      </c>
      <c r="G5410" s="1">
        <v>42514</v>
      </c>
      <c r="H5410" t="s">
        <v>41</v>
      </c>
      <c r="I5410">
        <v>0</v>
      </c>
      <c r="J5410" t="s">
        <v>111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23</v>
      </c>
      <c r="R5410">
        <v>0</v>
      </c>
    </row>
    <row r="5411" spans="1:18">
      <c r="A5411" s="4">
        <v>81831900000000</v>
      </c>
      <c r="B5411" t="s">
        <v>18</v>
      </c>
      <c r="C5411">
        <v>3</v>
      </c>
      <c r="D5411" t="s">
        <v>31</v>
      </c>
      <c r="E5411" t="s">
        <v>63</v>
      </c>
      <c r="F5411" s="1">
        <v>42514</v>
      </c>
      <c r="G5411" s="1">
        <v>42514</v>
      </c>
      <c r="H5411" t="s">
        <v>41</v>
      </c>
      <c r="I5411">
        <v>0</v>
      </c>
      <c r="J5411" t="s">
        <v>111</v>
      </c>
      <c r="K5411">
        <v>1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23</v>
      </c>
      <c r="R5411">
        <v>0</v>
      </c>
    </row>
    <row r="5412" spans="1:18">
      <c r="A5412" s="4">
        <v>178567000000</v>
      </c>
      <c r="B5412" t="s">
        <v>18</v>
      </c>
      <c r="C5412">
        <v>56</v>
      </c>
      <c r="D5412" t="s">
        <v>35</v>
      </c>
      <c r="E5412" t="s">
        <v>70</v>
      </c>
      <c r="F5412" s="1">
        <v>42514</v>
      </c>
      <c r="G5412" s="1">
        <v>42514</v>
      </c>
      <c r="H5412" t="s">
        <v>41</v>
      </c>
      <c r="I5412">
        <v>0</v>
      </c>
      <c r="J5412" t="s">
        <v>111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23</v>
      </c>
      <c r="R5412">
        <v>0</v>
      </c>
    </row>
    <row r="5413" spans="1:18">
      <c r="A5413" s="4">
        <v>36372700000000</v>
      </c>
      <c r="B5413" t="s">
        <v>28</v>
      </c>
      <c r="C5413">
        <v>43</v>
      </c>
      <c r="D5413" t="s">
        <v>27</v>
      </c>
      <c r="E5413" t="s">
        <v>42</v>
      </c>
      <c r="F5413" s="1">
        <v>42514</v>
      </c>
      <c r="G5413" s="1">
        <v>42514</v>
      </c>
      <c r="H5413" t="s">
        <v>41</v>
      </c>
      <c r="I5413">
        <v>0</v>
      </c>
      <c r="J5413" t="s">
        <v>111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 t="s">
        <v>23</v>
      </c>
      <c r="R5413">
        <v>0</v>
      </c>
    </row>
    <row r="5414" spans="1:18">
      <c r="A5414" s="4">
        <v>79281600000000</v>
      </c>
      <c r="B5414" t="s">
        <v>28</v>
      </c>
      <c r="C5414">
        <v>6</v>
      </c>
      <c r="D5414" t="s">
        <v>31</v>
      </c>
      <c r="E5414" t="s">
        <v>64</v>
      </c>
      <c r="F5414" s="1">
        <v>42514</v>
      </c>
      <c r="G5414" s="1">
        <v>42529</v>
      </c>
      <c r="H5414" t="s">
        <v>25</v>
      </c>
      <c r="I5414">
        <v>15</v>
      </c>
      <c r="J5414" t="s">
        <v>77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1</v>
      </c>
      <c r="Q5414" t="s">
        <v>23</v>
      </c>
      <c r="R5414">
        <v>0</v>
      </c>
    </row>
    <row r="5415" spans="1:18">
      <c r="A5415" s="4">
        <v>162754000000000</v>
      </c>
      <c r="B5415" t="s">
        <v>18</v>
      </c>
      <c r="C5415">
        <v>49</v>
      </c>
      <c r="D5415" t="s">
        <v>27</v>
      </c>
      <c r="E5415" t="s">
        <v>72</v>
      </c>
      <c r="F5415" s="1">
        <v>42514</v>
      </c>
      <c r="G5415" s="1">
        <v>42514</v>
      </c>
      <c r="H5415" t="s">
        <v>41</v>
      </c>
      <c r="I5415">
        <v>0</v>
      </c>
      <c r="J5415" t="s">
        <v>111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23</v>
      </c>
      <c r="R5415">
        <v>0</v>
      </c>
    </row>
    <row r="5416" spans="1:18">
      <c r="A5416" s="4">
        <v>38545700000000</v>
      </c>
      <c r="B5416" t="s">
        <v>18</v>
      </c>
      <c r="C5416">
        <v>26</v>
      </c>
      <c r="D5416" t="s">
        <v>37</v>
      </c>
      <c r="E5416" t="s">
        <v>40</v>
      </c>
      <c r="F5416" s="1">
        <v>42514</v>
      </c>
      <c r="G5416" s="1">
        <v>42514</v>
      </c>
      <c r="H5416" t="s">
        <v>41</v>
      </c>
      <c r="I5416">
        <v>0</v>
      </c>
      <c r="J5416" t="s">
        <v>111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23</v>
      </c>
      <c r="R5416">
        <v>0</v>
      </c>
    </row>
    <row r="5417" spans="1:18">
      <c r="A5417" s="4">
        <v>617946000000</v>
      </c>
      <c r="B5417" t="s">
        <v>18</v>
      </c>
      <c r="C5417">
        <v>21</v>
      </c>
      <c r="D5417" t="s">
        <v>37</v>
      </c>
      <c r="E5417" t="s">
        <v>54</v>
      </c>
      <c r="F5417" s="1">
        <v>42514</v>
      </c>
      <c r="G5417" s="1">
        <v>42523</v>
      </c>
      <c r="H5417" t="s">
        <v>33</v>
      </c>
      <c r="I5417">
        <v>9</v>
      </c>
      <c r="J5417" t="s">
        <v>92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1</v>
      </c>
      <c r="Q5417" t="s">
        <v>23</v>
      </c>
      <c r="R5417">
        <v>0</v>
      </c>
    </row>
    <row r="5418" spans="1:18">
      <c r="A5418" s="4">
        <v>1864250000000</v>
      </c>
      <c r="B5418" t="s">
        <v>18</v>
      </c>
      <c r="C5418">
        <v>64</v>
      </c>
      <c r="D5418" t="s">
        <v>35</v>
      </c>
      <c r="E5418" t="s">
        <v>98</v>
      </c>
      <c r="F5418" s="1">
        <v>42514</v>
      </c>
      <c r="G5418" s="1">
        <v>42515</v>
      </c>
      <c r="H5418" t="s">
        <v>25</v>
      </c>
      <c r="I5418">
        <v>1</v>
      </c>
      <c r="J5418" t="s">
        <v>109</v>
      </c>
      <c r="K5418">
        <v>0</v>
      </c>
      <c r="L5418">
        <v>1</v>
      </c>
      <c r="M5418">
        <v>1</v>
      </c>
      <c r="N5418">
        <v>0</v>
      </c>
      <c r="O5418">
        <v>0</v>
      </c>
      <c r="P5418">
        <v>0</v>
      </c>
      <c r="Q5418" t="s">
        <v>23</v>
      </c>
      <c r="R5418">
        <v>0</v>
      </c>
    </row>
    <row r="5419" spans="1:18">
      <c r="A5419" s="4">
        <v>25937500000000</v>
      </c>
      <c r="B5419" t="s">
        <v>28</v>
      </c>
      <c r="C5419">
        <v>2</v>
      </c>
      <c r="D5419" t="s">
        <v>31</v>
      </c>
      <c r="E5419" t="s">
        <v>48</v>
      </c>
      <c r="F5419" s="1">
        <v>42514</v>
      </c>
      <c r="G5419" s="1">
        <v>42514</v>
      </c>
      <c r="H5419" t="s">
        <v>41</v>
      </c>
      <c r="I5419">
        <v>0</v>
      </c>
      <c r="J5419" t="s">
        <v>111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 t="s">
        <v>23</v>
      </c>
      <c r="R5419">
        <v>0</v>
      </c>
    </row>
    <row r="5420" spans="1:18">
      <c r="A5420" s="4">
        <v>37942000000000</v>
      </c>
      <c r="B5420" t="s">
        <v>18</v>
      </c>
      <c r="C5420">
        <v>51</v>
      </c>
      <c r="D5420" t="s">
        <v>35</v>
      </c>
      <c r="E5420" t="s">
        <v>66</v>
      </c>
      <c r="F5420" s="1">
        <v>42514</v>
      </c>
      <c r="G5420" s="1">
        <v>42514</v>
      </c>
      <c r="H5420" t="s">
        <v>41</v>
      </c>
      <c r="I5420">
        <v>0</v>
      </c>
      <c r="J5420" t="s">
        <v>111</v>
      </c>
      <c r="K5420">
        <v>0</v>
      </c>
      <c r="L5420">
        <v>1</v>
      </c>
      <c r="M5420">
        <v>0</v>
      </c>
      <c r="N5420">
        <v>0</v>
      </c>
      <c r="O5420">
        <v>0</v>
      </c>
      <c r="P5420">
        <v>0</v>
      </c>
      <c r="Q5420" t="s">
        <v>23</v>
      </c>
      <c r="R5420">
        <v>0</v>
      </c>
    </row>
    <row r="5421" spans="1:18">
      <c r="A5421" s="4">
        <v>352442000000000</v>
      </c>
      <c r="B5421" t="s">
        <v>28</v>
      </c>
      <c r="C5421">
        <v>61</v>
      </c>
      <c r="D5421" t="s">
        <v>35</v>
      </c>
      <c r="E5421" t="s">
        <v>44</v>
      </c>
      <c r="F5421" s="1">
        <v>42514</v>
      </c>
      <c r="G5421" s="1">
        <v>42522</v>
      </c>
      <c r="H5421" t="s">
        <v>25</v>
      </c>
      <c r="I5421">
        <v>8</v>
      </c>
      <c r="J5421" t="s">
        <v>92</v>
      </c>
      <c r="K5421">
        <v>0</v>
      </c>
      <c r="L5421">
        <v>1</v>
      </c>
      <c r="M5421">
        <v>0</v>
      </c>
      <c r="N5421">
        <v>0</v>
      </c>
      <c r="O5421">
        <v>0</v>
      </c>
      <c r="P5421">
        <v>1</v>
      </c>
      <c r="Q5421" t="s">
        <v>26</v>
      </c>
      <c r="R5421">
        <v>1</v>
      </c>
    </row>
    <row r="5422" spans="1:18">
      <c r="A5422" s="4">
        <v>41276900000000</v>
      </c>
      <c r="B5422" t="s">
        <v>18</v>
      </c>
      <c r="C5422">
        <v>64</v>
      </c>
      <c r="D5422" t="s">
        <v>35</v>
      </c>
      <c r="E5422" t="s">
        <v>29</v>
      </c>
      <c r="F5422" s="1">
        <v>42514</v>
      </c>
      <c r="G5422" s="1">
        <v>42528</v>
      </c>
      <c r="H5422" t="s">
        <v>41</v>
      </c>
      <c r="I5422">
        <v>14</v>
      </c>
      <c r="J5422" t="s">
        <v>92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1</v>
      </c>
      <c r="Q5422" t="s">
        <v>23</v>
      </c>
      <c r="R5422">
        <v>0</v>
      </c>
    </row>
    <row r="5423" spans="1:18">
      <c r="A5423" s="4">
        <v>34162800000000</v>
      </c>
      <c r="B5423" t="s">
        <v>18</v>
      </c>
      <c r="C5423">
        <v>6</v>
      </c>
      <c r="D5423" t="s">
        <v>31</v>
      </c>
      <c r="E5423" t="s">
        <v>59</v>
      </c>
      <c r="F5423" s="1">
        <v>42514</v>
      </c>
      <c r="G5423" s="1">
        <v>42514</v>
      </c>
      <c r="H5423" t="s">
        <v>41</v>
      </c>
      <c r="I5423">
        <v>0</v>
      </c>
      <c r="J5423" t="s">
        <v>111</v>
      </c>
      <c r="K5423">
        <v>1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23</v>
      </c>
      <c r="R5423">
        <v>0</v>
      </c>
    </row>
    <row r="5424" spans="1:18">
      <c r="A5424" s="4">
        <v>58516500000000</v>
      </c>
      <c r="B5424" t="s">
        <v>18</v>
      </c>
      <c r="C5424">
        <v>46</v>
      </c>
      <c r="D5424" t="s">
        <v>27</v>
      </c>
      <c r="E5424" t="s">
        <v>36</v>
      </c>
      <c r="F5424" s="1">
        <v>42514</v>
      </c>
      <c r="G5424" s="1">
        <v>42514</v>
      </c>
      <c r="H5424" t="s">
        <v>41</v>
      </c>
      <c r="I5424">
        <v>0</v>
      </c>
      <c r="J5424" t="s">
        <v>111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23</v>
      </c>
      <c r="R5424">
        <v>0</v>
      </c>
    </row>
    <row r="5425" spans="1:18">
      <c r="A5425" s="4">
        <v>7397880000000</v>
      </c>
      <c r="B5425" t="s">
        <v>18</v>
      </c>
      <c r="C5425">
        <v>34</v>
      </c>
      <c r="D5425" t="s">
        <v>37</v>
      </c>
      <c r="E5425" t="s">
        <v>58</v>
      </c>
      <c r="F5425" s="1">
        <v>42514</v>
      </c>
      <c r="G5425" s="1">
        <v>42514</v>
      </c>
      <c r="H5425" t="s">
        <v>41</v>
      </c>
      <c r="I5425">
        <v>0</v>
      </c>
      <c r="J5425" t="s">
        <v>111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23</v>
      </c>
      <c r="R5425">
        <v>0</v>
      </c>
    </row>
    <row r="5426" spans="1:18">
      <c r="A5426" s="4">
        <v>243475000000</v>
      </c>
      <c r="B5426" t="s">
        <v>28</v>
      </c>
      <c r="C5426">
        <v>0</v>
      </c>
      <c r="D5426" t="s">
        <v>31</v>
      </c>
      <c r="E5426" t="s">
        <v>69</v>
      </c>
      <c r="F5426" s="1">
        <v>42514</v>
      </c>
      <c r="G5426" s="1">
        <v>42520</v>
      </c>
      <c r="H5426" t="s">
        <v>30</v>
      </c>
      <c r="I5426">
        <v>6</v>
      </c>
      <c r="J5426" t="s">
        <v>107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1</v>
      </c>
      <c r="Q5426" t="s">
        <v>26</v>
      </c>
      <c r="R5426">
        <v>1</v>
      </c>
    </row>
    <row r="5427" spans="1:18">
      <c r="A5427" s="4">
        <v>81453700000000</v>
      </c>
      <c r="B5427" t="s">
        <v>28</v>
      </c>
      <c r="C5427">
        <v>34</v>
      </c>
      <c r="D5427" t="s">
        <v>37</v>
      </c>
      <c r="E5427" t="s">
        <v>66</v>
      </c>
      <c r="F5427" s="1">
        <v>42514</v>
      </c>
      <c r="G5427" s="1">
        <v>42528</v>
      </c>
      <c r="H5427" t="s">
        <v>41</v>
      </c>
      <c r="I5427">
        <v>14</v>
      </c>
      <c r="J5427" t="s">
        <v>92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1</v>
      </c>
      <c r="Q5427" t="s">
        <v>23</v>
      </c>
      <c r="R5427">
        <v>0</v>
      </c>
    </row>
    <row r="5428" spans="1:18">
      <c r="A5428" s="4">
        <v>3625890000000</v>
      </c>
      <c r="B5428" t="s">
        <v>28</v>
      </c>
      <c r="C5428">
        <v>6</v>
      </c>
      <c r="D5428" t="s">
        <v>31</v>
      </c>
      <c r="E5428" t="s">
        <v>95</v>
      </c>
      <c r="F5428" s="1">
        <v>42514</v>
      </c>
      <c r="G5428" s="1">
        <v>42521</v>
      </c>
      <c r="H5428" t="s">
        <v>41</v>
      </c>
      <c r="I5428">
        <v>7</v>
      </c>
      <c r="J5428" t="s">
        <v>107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 t="s">
        <v>23</v>
      </c>
      <c r="R5428">
        <v>0</v>
      </c>
    </row>
    <row r="5429" spans="1:18">
      <c r="A5429" s="4">
        <v>9677270000000</v>
      </c>
      <c r="B5429" t="s">
        <v>28</v>
      </c>
      <c r="C5429">
        <v>51</v>
      </c>
      <c r="D5429" t="s">
        <v>35</v>
      </c>
      <c r="E5429" t="s">
        <v>54</v>
      </c>
      <c r="F5429" s="1">
        <v>42514</v>
      </c>
      <c r="G5429" s="1">
        <v>42514</v>
      </c>
      <c r="H5429" t="s">
        <v>41</v>
      </c>
      <c r="I5429">
        <v>0</v>
      </c>
      <c r="J5429" t="s">
        <v>111</v>
      </c>
      <c r="K5429">
        <v>0</v>
      </c>
      <c r="L5429">
        <v>1</v>
      </c>
      <c r="M5429">
        <v>0</v>
      </c>
      <c r="N5429">
        <v>0</v>
      </c>
      <c r="O5429">
        <v>0</v>
      </c>
      <c r="P5429">
        <v>0</v>
      </c>
      <c r="Q5429" t="s">
        <v>23</v>
      </c>
      <c r="R5429">
        <v>0</v>
      </c>
    </row>
    <row r="5430" spans="1:18">
      <c r="A5430" s="4">
        <v>27585700000000</v>
      </c>
      <c r="B5430" t="s">
        <v>18</v>
      </c>
      <c r="C5430">
        <v>37</v>
      </c>
      <c r="D5430" t="s">
        <v>27</v>
      </c>
      <c r="E5430" t="s">
        <v>55</v>
      </c>
      <c r="F5430" s="1">
        <v>42514</v>
      </c>
      <c r="G5430" s="1">
        <v>42514</v>
      </c>
      <c r="H5430" t="s">
        <v>41</v>
      </c>
      <c r="I5430">
        <v>0</v>
      </c>
      <c r="J5430" t="s">
        <v>111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 t="s">
        <v>23</v>
      </c>
      <c r="R5430">
        <v>0</v>
      </c>
    </row>
    <row r="5431" spans="1:18">
      <c r="A5431" s="4">
        <v>46129800000000</v>
      </c>
      <c r="B5431" t="s">
        <v>18</v>
      </c>
      <c r="C5431">
        <v>64</v>
      </c>
      <c r="D5431" t="s">
        <v>35</v>
      </c>
      <c r="E5431" t="s">
        <v>36</v>
      </c>
      <c r="F5431" s="1">
        <v>42514</v>
      </c>
      <c r="G5431" s="1">
        <v>42520</v>
      </c>
      <c r="H5431" t="s">
        <v>30</v>
      </c>
      <c r="I5431">
        <v>6</v>
      </c>
      <c r="J5431" t="s">
        <v>107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1</v>
      </c>
      <c r="Q5431" t="s">
        <v>23</v>
      </c>
      <c r="R5431">
        <v>0</v>
      </c>
    </row>
    <row r="5432" spans="1:18">
      <c r="A5432" s="4">
        <v>52584627848</v>
      </c>
      <c r="B5432" t="s">
        <v>18</v>
      </c>
      <c r="C5432">
        <v>17</v>
      </c>
      <c r="D5432" t="s">
        <v>60</v>
      </c>
      <c r="E5432" t="s">
        <v>44</v>
      </c>
      <c r="F5432" s="1">
        <v>42514</v>
      </c>
      <c r="G5432" s="1">
        <v>42527</v>
      </c>
      <c r="H5432" t="s">
        <v>30</v>
      </c>
      <c r="I5432">
        <v>13</v>
      </c>
      <c r="J5432" t="s">
        <v>92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1</v>
      </c>
      <c r="Q5432" t="s">
        <v>26</v>
      </c>
      <c r="R5432">
        <v>1</v>
      </c>
    </row>
    <row r="5433" spans="1:18">
      <c r="A5433" s="4">
        <v>972395000000000</v>
      </c>
      <c r="B5433" t="s">
        <v>28</v>
      </c>
      <c r="C5433">
        <v>30</v>
      </c>
      <c r="D5433" t="s">
        <v>37</v>
      </c>
      <c r="E5433" t="s">
        <v>32</v>
      </c>
      <c r="F5433" s="1">
        <v>42514</v>
      </c>
      <c r="G5433" s="1">
        <v>42521</v>
      </c>
      <c r="H5433" t="s">
        <v>41</v>
      </c>
      <c r="I5433">
        <v>7</v>
      </c>
      <c r="J5433" t="s">
        <v>107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1</v>
      </c>
      <c r="Q5433" t="s">
        <v>26</v>
      </c>
      <c r="R5433">
        <v>1</v>
      </c>
    </row>
    <row r="5434" spans="1:18">
      <c r="A5434" s="4">
        <v>333227000000</v>
      </c>
      <c r="B5434" t="s">
        <v>18</v>
      </c>
      <c r="C5434">
        <v>21</v>
      </c>
      <c r="D5434" t="s">
        <v>37</v>
      </c>
      <c r="E5434" t="s">
        <v>67</v>
      </c>
      <c r="F5434" s="1">
        <v>42514</v>
      </c>
      <c r="G5434" s="1">
        <v>42514</v>
      </c>
      <c r="H5434" t="s">
        <v>41</v>
      </c>
      <c r="I5434">
        <v>0</v>
      </c>
      <c r="J5434" t="s">
        <v>111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23</v>
      </c>
      <c r="R5434">
        <v>0</v>
      </c>
    </row>
    <row r="5435" spans="1:18">
      <c r="A5435" s="4">
        <v>58869500000000</v>
      </c>
      <c r="B5435" t="s">
        <v>18</v>
      </c>
      <c r="C5435">
        <v>63</v>
      </c>
      <c r="D5435" t="s">
        <v>35</v>
      </c>
      <c r="E5435" t="s">
        <v>39</v>
      </c>
      <c r="F5435" s="1">
        <v>42514</v>
      </c>
      <c r="G5435" s="1">
        <v>42515</v>
      </c>
      <c r="H5435" t="s">
        <v>25</v>
      </c>
      <c r="I5435">
        <v>1</v>
      </c>
      <c r="J5435" t="s">
        <v>109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26</v>
      </c>
      <c r="R5435">
        <v>1</v>
      </c>
    </row>
    <row r="5436" spans="1:18">
      <c r="A5436" s="4">
        <v>83655500000000</v>
      </c>
      <c r="B5436" t="s">
        <v>18</v>
      </c>
      <c r="C5436">
        <v>22</v>
      </c>
      <c r="D5436" t="s">
        <v>37</v>
      </c>
      <c r="E5436" t="s">
        <v>48</v>
      </c>
      <c r="F5436" s="1">
        <v>42514</v>
      </c>
      <c r="G5436" s="1">
        <v>42515</v>
      </c>
      <c r="H5436" t="s">
        <v>25</v>
      </c>
      <c r="I5436">
        <v>1</v>
      </c>
      <c r="J5436" t="s">
        <v>109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 t="s">
        <v>23</v>
      </c>
      <c r="R5436">
        <v>0</v>
      </c>
    </row>
    <row r="5437" spans="1:18">
      <c r="A5437" s="4">
        <v>6946170000000</v>
      </c>
      <c r="B5437" t="s">
        <v>18</v>
      </c>
      <c r="C5437">
        <v>30</v>
      </c>
      <c r="D5437" t="s">
        <v>37</v>
      </c>
      <c r="E5437" t="s">
        <v>20</v>
      </c>
      <c r="F5437" s="1">
        <v>42514</v>
      </c>
      <c r="G5437" s="1">
        <v>42514</v>
      </c>
      <c r="H5437" t="s">
        <v>41</v>
      </c>
      <c r="I5437">
        <v>0</v>
      </c>
      <c r="J5437" t="s">
        <v>111</v>
      </c>
      <c r="K5437">
        <v>1</v>
      </c>
      <c r="L5437">
        <v>0</v>
      </c>
      <c r="M5437">
        <v>0</v>
      </c>
      <c r="N5437">
        <v>1</v>
      </c>
      <c r="O5437">
        <v>0</v>
      </c>
      <c r="P5437">
        <v>0</v>
      </c>
      <c r="Q5437" t="s">
        <v>23</v>
      </c>
      <c r="R5437">
        <v>0</v>
      </c>
    </row>
    <row r="5438" spans="1:18">
      <c r="A5438" s="4">
        <v>274590000000000</v>
      </c>
      <c r="B5438" t="s">
        <v>18</v>
      </c>
      <c r="C5438">
        <v>77</v>
      </c>
      <c r="D5438" t="s">
        <v>19</v>
      </c>
      <c r="E5438" t="s">
        <v>40</v>
      </c>
      <c r="F5438" s="1">
        <v>42514</v>
      </c>
      <c r="G5438" s="1">
        <v>42529</v>
      </c>
      <c r="H5438" t="s">
        <v>25</v>
      </c>
      <c r="I5438">
        <v>15</v>
      </c>
      <c r="J5438" t="s">
        <v>77</v>
      </c>
      <c r="K5438">
        <v>0</v>
      </c>
      <c r="L5438">
        <v>1</v>
      </c>
      <c r="M5438">
        <v>0</v>
      </c>
      <c r="N5438">
        <v>0</v>
      </c>
      <c r="O5438">
        <v>0</v>
      </c>
      <c r="P5438">
        <v>1</v>
      </c>
      <c r="Q5438" t="s">
        <v>23</v>
      </c>
      <c r="R5438">
        <v>0</v>
      </c>
    </row>
    <row r="5439" spans="1:18">
      <c r="A5439" s="4">
        <v>9111630000000</v>
      </c>
      <c r="B5439" t="s">
        <v>28</v>
      </c>
      <c r="C5439">
        <v>47</v>
      </c>
      <c r="D5439" t="s">
        <v>27</v>
      </c>
      <c r="E5439" t="s">
        <v>24</v>
      </c>
      <c r="F5439" s="1">
        <v>42514</v>
      </c>
      <c r="G5439" s="1">
        <v>42514</v>
      </c>
      <c r="H5439" t="s">
        <v>41</v>
      </c>
      <c r="I5439">
        <v>0</v>
      </c>
      <c r="J5439" t="s">
        <v>111</v>
      </c>
      <c r="K5439">
        <v>0</v>
      </c>
      <c r="L5439">
        <v>1</v>
      </c>
      <c r="M5439">
        <v>0</v>
      </c>
      <c r="N5439">
        <v>0</v>
      </c>
      <c r="O5439">
        <v>0</v>
      </c>
      <c r="P5439">
        <v>0</v>
      </c>
      <c r="Q5439" t="s">
        <v>26</v>
      </c>
      <c r="R5439">
        <v>1</v>
      </c>
    </row>
    <row r="5440" spans="1:18">
      <c r="A5440" s="4">
        <v>9668320000000</v>
      </c>
      <c r="B5440" t="s">
        <v>18</v>
      </c>
      <c r="C5440">
        <v>49</v>
      </c>
      <c r="D5440" t="s">
        <v>27</v>
      </c>
      <c r="E5440" t="s">
        <v>42</v>
      </c>
      <c r="F5440" s="1">
        <v>42514</v>
      </c>
      <c r="G5440" s="1">
        <v>42514</v>
      </c>
      <c r="H5440" t="s">
        <v>41</v>
      </c>
      <c r="I5440">
        <v>0</v>
      </c>
      <c r="J5440" t="s">
        <v>111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 t="s">
        <v>23</v>
      </c>
      <c r="R5440">
        <v>0</v>
      </c>
    </row>
    <row r="5441" spans="1:18">
      <c r="A5441" s="4">
        <v>312299000000000</v>
      </c>
      <c r="B5441" t="s">
        <v>28</v>
      </c>
      <c r="C5441">
        <v>92</v>
      </c>
      <c r="D5441" t="s">
        <v>19</v>
      </c>
      <c r="E5441" t="s">
        <v>39</v>
      </c>
      <c r="F5441" s="1">
        <v>42514</v>
      </c>
      <c r="G5441" s="1">
        <v>42514</v>
      </c>
      <c r="H5441" t="s">
        <v>41</v>
      </c>
      <c r="I5441">
        <v>0</v>
      </c>
      <c r="J5441" t="s">
        <v>111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23</v>
      </c>
      <c r="R5441">
        <v>0</v>
      </c>
    </row>
    <row r="5442" spans="1:18">
      <c r="A5442" s="4">
        <v>91297500000000</v>
      </c>
      <c r="B5442" t="s">
        <v>18</v>
      </c>
      <c r="C5442">
        <v>46</v>
      </c>
      <c r="D5442" t="s">
        <v>27</v>
      </c>
      <c r="E5442" t="s">
        <v>57</v>
      </c>
      <c r="F5442" s="1">
        <v>42514</v>
      </c>
      <c r="G5442" s="1">
        <v>42514</v>
      </c>
      <c r="H5442" t="s">
        <v>41</v>
      </c>
      <c r="I5442">
        <v>0</v>
      </c>
      <c r="J5442" t="s">
        <v>111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 t="s">
        <v>23</v>
      </c>
      <c r="R5442">
        <v>0</v>
      </c>
    </row>
    <row r="5443" spans="1:18">
      <c r="A5443" s="4">
        <v>3828150000000</v>
      </c>
      <c r="B5443" t="s">
        <v>28</v>
      </c>
      <c r="C5443">
        <v>8</v>
      </c>
      <c r="D5443" t="s">
        <v>31</v>
      </c>
      <c r="E5443" t="s">
        <v>43</v>
      </c>
      <c r="F5443" s="1">
        <v>42514</v>
      </c>
      <c r="G5443" s="1">
        <v>42514</v>
      </c>
      <c r="H5443" t="s">
        <v>41</v>
      </c>
      <c r="I5443">
        <v>0</v>
      </c>
      <c r="J5443" t="s">
        <v>111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 t="s">
        <v>23</v>
      </c>
      <c r="R5443">
        <v>0</v>
      </c>
    </row>
    <row r="5444" spans="1:18">
      <c r="A5444" s="4">
        <v>9833620000000</v>
      </c>
      <c r="B5444" t="s">
        <v>18</v>
      </c>
      <c r="C5444">
        <v>71</v>
      </c>
      <c r="D5444" t="s">
        <v>19</v>
      </c>
      <c r="E5444" t="s">
        <v>61</v>
      </c>
      <c r="F5444" s="1">
        <v>42514</v>
      </c>
      <c r="G5444" s="1">
        <v>42514</v>
      </c>
      <c r="H5444" t="s">
        <v>41</v>
      </c>
      <c r="I5444">
        <v>0</v>
      </c>
      <c r="J5444" t="s">
        <v>111</v>
      </c>
      <c r="K5444">
        <v>0</v>
      </c>
      <c r="L5444">
        <v>1</v>
      </c>
      <c r="M5444">
        <v>0</v>
      </c>
      <c r="N5444">
        <v>0</v>
      </c>
      <c r="O5444">
        <v>0</v>
      </c>
      <c r="P5444">
        <v>0</v>
      </c>
      <c r="Q5444" t="s">
        <v>23</v>
      </c>
      <c r="R5444">
        <v>0</v>
      </c>
    </row>
    <row r="5445" spans="1:18">
      <c r="A5445" s="4">
        <v>8537790000000</v>
      </c>
      <c r="B5445" t="s">
        <v>28</v>
      </c>
      <c r="C5445">
        <v>16</v>
      </c>
      <c r="D5445" t="s">
        <v>60</v>
      </c>
      <c r="E5445" t="s">
        <v>39</v>
      </c>
      <c r="F5445" s="1">
        <v>42514</v>
      </c>
      <c r="G5445" s="1">
        <v>42514</v>
      </c>
      <c r="H5445" t="s">
        <v>41</v>
      </c>
      <c r="I5445">
        <v>0</v>
      </c>
      <c r="J5445" t="s">
        <v>111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 t="s">
        <v>23</v>
      </c>
      <c r="R5445">
        <v>0</v>
      </c>
    </row>
    <row r="5446" spans="1:18">
      <c r="A5446" s="4">
        <v>41456400000000</v>
      </c>
      <c r="B5446" t="s">
        <v>18</v>
      </c>
      <c r="C5446">
        <v>7</v>
      </c>
      <c r="D5446" t="s">
        <v>31</v>
      </c>
      <c r="E5446" t="s">
        <v>44</v>
      </c>
      <c r="F5446" s="1">
        <v>42514</v>
      </c>
      <c r="G5446" s="1">
        <v>42514</v>
      </c>
      <c r="H5446" t="s">
        <v>41</v>
      </c>
      <c r="I5446">
        <v>0</v>
      </c>
      <c r="J5446" t="s">
        <v>111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 t="s">
        <v>23</v>
      </c>
      <c r="R5446">
        <v>0</v>
      </c>
    </row>
    <row r="5447" spans="1:18">
      <c r="A5447" s="4">
        <v>25599600000000</v>
      </c>
      <c r="B5447" t="s">
        <v>18</v>
      </c>
      <c r="C5447">
        <v>48</v>
      </c>
      <c r="D5447" t="s">
        <v>27</v>
      </c>
      <c r="E5447" t="s">
        <v>94</v>
      </c>
      <c r="F5447" s="1">
        <v>42514</v>
      </c>
      <c r="G5447" s="1">
        <v>42514</v>
      </c>
      <c r="H5447" t="s">
        <v>41</v>
      </c>
      <c r="I5447">
        <v>0</v>
      </c>
      <c r="J5447" t="s">
        <v>111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23</v>
      </c>
      <c r="R5447">
        <v>0</v>
      </c>
    </row>
    <row r="5448" spans="1:18">
      <c r="A5448" s="4">
        <v>78314900000000</v>
      </c>
      <c r="B5448" t="s">
        <v>28</v>
      </c>
      <c r="C5448">
        <v>36</v>
      </c>
      <c r="D5448" t="s">
        <v>27</v>
      </c>
      <c r="E5448" t="s">
        <v>47</v>
      </c>
      <c r="F5448" s="1">
        <v>42514</v>
      </c>
      <c r="G5448" s="1">
        <v>42521</v>
      </c>
      <c r="H5448" t="s">
        <v>41</v>
      </c>
      <c r="I5448">
        <v>7</v>
      </c>
      <c r="J5448" t="s">
        <v>107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1</v>
      </c>
      <c r="Q5448" t="s">
        <v>23</v>
      </c>
      <c r="R5448">
        <v>0</v>
      </c>
    </row>
    <row r="5449" spans="1:18">
      <c r="A5449" s="4">
        <v>421937000000000</v>
      </c>
      <c r="B5449" t="s">
        <v>28</v>
      </c>
      <c r="C5449">
        <v>22</v>
      </c>
      <c r="D5449" t="s">
        <v>37</v>
      </c>
      <c r="E5449" t="s">
        <v>34</v>
      </c>
      <c r="F5449" s="1">
        <v>42514</v>
      </c>
      <c r="G5449" s="1">
        <v>42521</v>
      </c>
      <c r="H5449" t="s">
        <v>41</v>
      </c>
      <c r="I5449">
        <v>7</v>
      </c>
      <c r="J5449" t="s">
        <v>107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23</v>
      </c>
      <c r="R5449">
        <v>0</v>
      </c>
    </row>
    <row r="5450" spans="1:18">
      <c r="A5450" s="4">
        <v>5692570000000</v>
      </c>
      <c r="B5450" t="s">
        <v>18</v>
      </c>
      <c r="C5450">
        <v>16</v>
      </c>
      <c r="D5450" t="s">
        <v>60</v>
      </c>
      <c r="E5450" t="s">
        <v>39</v>
      </c>
      <c r="F5450" s="1">
        <v>42514</v>
      </c>
      <c r="G5450" s="1">
        <v>42523</v>
      </c>
      <c r="H5450" t="s">
        <v>33</v>
      </c>
      <c r="I5450">
        <v>9</v>
      </c>
      <c r="J5450" t="s">
        <v>92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1</v>
      </c>
      <c r="Q5450" t="s">
        <v>26</v>
      </c>
      <c r="R5450">
        <v>1</v>
      </c>
    </row>
    <row r="5451" spans="1:18">
      <c r="A5451" s="4">
        <v>874340000000000</v>
      </c>
      <c r="B5451" t="s">
        <v>18</v>
      </c>
      <c r="C5451">
        <v>41</v>
      </c>
      <c r="D5451" t="s">
        <v>27</v>
      </c>
      <c r="E5451" t="s">
        <v>39</v>
      </c>
      <c r="F5451" s="1">
        <v>42514</v>
      </c>
      <c r="G5451" s="1">
        <v>42521</v>
      </c>
      <c r="H5451" t="s">
        <v>41</v>
      </c>
      <c r="I5451">
        <v>7</v>
      </c>
      <c r="J5451" t="s">
        <v>107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1</v>
      </c>
      <c r="Q5451" t="s">
        <v>23</v>
      </c>
      <c r="R5451">
        <v>0</v>
      </c>
    </row>
    <row r="5452" spans="1:18">
      <c r="A5452" s="4">
        <v>6763480000000</v>
      </c>
      <c r="B5452" t="s">
        <v>28</v>
      </c>
      <c r="C5452">
        <v>27</v>
      </c>
      <c r="D5452" t="s">
        <v>37</v>
      </c>
      <c r="E5452" t="s">
        <v>29</v>
      </c>
      <c r="F5452" s="1">
        <v>42514</v>
      </c>
      <c r="G5452" s="1">
        <v>42514</v>
      </c>
      <c r="H5452" t="s">
        <v>41</v>
      </c>
      <c r="I5452">
        <v>0</v>
      </c>
      <c r="J5452" t="s">
        <v>111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23</v>
      </c>
      <c r="R5452">
        <v>0</v>
      </c>
    </row>
    <row r="5453" spans="1:18">
      <c r="A5453" s="4">
        <v>59819281136</v>
      </c>
      <c r="B5453" t="s">
        <v>18</v>
      </c>
      <c r="C5453">
        <v>45</v>
      </c>
      <c r="D5453" t="s">
        <v>27</v>
      </c>
      <c r="E5453" t="s">
        <v>39</v>
      </c>
      <c r="F5453" s="1">
        <v>42514</v>
      </c>
      <c r="G5453" s="1">
        <v>42521</v>
      </c>
      <c r="H5453" t="s">
        <v>41</v>
      </c>
      <c r="I5453">
        <v>7</v>
      </c>
      <c r="J5453" t="s">
        <v>107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1</v>
      </c>
      <c r="Q5453" t="s">
        <v>23</v>
      </c>
      <c r="R5453">
        <v>0</v>
      </c>
    </row>
    <row r="5454" spans="1:18">
      <c r="A5454" s="4">
        <v>962445000000</v>
      </c>
      <c r="B5454" t="s">
        <v>18</v>
      </c>
      <c r="C5454">
        <v>23</v>
      </c>
      <c r="D5454" t="s">
        <v>37</v>
      </c>
      <c r="E5454" t="s">
        <v>87</v>
      </c>
      <c r="F5454" s="1">
        <v>42514</v>
      </c>
      <c r="G5454" s="1">
        <v>42514</v>
      </c>
      <c r="H5454" t="s">
        <v>41</v>
      </c>
      <c r="I5454">
        <v>0</v>
      </c>
      <c r="J5454" t="s">
        <v>111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 t="s">
        <v>23</v>
      </c>
      <c r="R5454">
        <v>0</v>
      </c>
    </row>
    <row r="5455" spans="1:18">
      <c r="A5455" s="4">
        <v>381547000000000</v>
      </c>
      <c r="B5455" t="s">
        <v>28</v>
      </c>
      <c r="C5455">
        <v>14</v>
      </c>
      <c r="D5455" t="s">
        <v>60</v>
      </c>
      <c r="E5455" t="s">
        <v>72</v>
      </c>
      <c r="F5455" s="1">
        <v>42514</v>
      </c>
      <c r="G5455" s="1">
        <v>42527</v>
      </c>
      <c r="H5455" t="s">
        <v>30</v>
      </c>
      <c r="I5455">
        <v>13</v>
      </c>
      <c r="J5455" t="s">
        <v>92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1</v>
      </c>
      <c r="Q5455" t="s">
        <v>26</v>
      </c>
      <c r="R5455">
        <v>1</v>
      </c>
    </row>
    <row r="5456" spans="1:18">
      <c r="A5456" s="4">
        <v>37483900000000</v>
      </c>
      <c r="B5456" t="s">
        <v>28</v>
      </c>
      <c r="C5456">
        <v>61</v>
      </c>
      <c r="D5456" t="s">
        <v>35</v>
      </c>
      <c r="E5456" t="s">
        <v>70</v>
      </c>
      <c r="F5456" s="1">
        <v>42514</v>
      </c>
      <c r="G5456" s="1">
        <v>42524</v>
      </c>
      <c r="H5456" t="s">
        <v>21</v>
      </c>
      <c r="I5456">
        <v>10</v>
      </c>
      <c r="J5456" t="s">
        <v>92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1</v>
      </c>
      <c r="Q5456" t="s">
        <v>23</v>
      </c>
      <c r="R5456">
        <v>0</v>
      </c>
    </row>
    <row r="5457" spans="1:18">
      <c r="A5457" s="4">
        <v>1679430000000</v>
      </c>
      <c r="B5457" t="s">
        <v>28</v>
      </c>
      <c r="C5457">
        <v>2</v>
      </c>
      <c r="D5457" t="s">
        <v>31</v>
      </c>
      <c r="E5457" t="s">
        <v>105</v>
      </c>
      <c r="F5457" s="1">
        <v>42514</v>
      </c>
      <c r="G5457" s="1">
        <v>42514</v>
      </c>
      <c r="H5457" t="s">
        <v>41</v>
      </c>
      <c r="I5457">
        <v>0</v>
      </c>
      <c r="J5457" t="s">
        <v>111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 t="s">
        <v>23</v>
      </c>
      <c r="R5457">
        <v>0</v>
      </c>
    </row>
    <row r="5458" spans="1:18">
      <c r="A5458" s="4">
        <v>12351400000000</v>
      </c>
      <c r="B5458" t="s">
        <v>18</v>
      </c>
      <c r="C5458">
        <v>46</v>
      </c>
      <c r="D5458" t="s">
        <v>27</v>
      </c>
      <c r="E5458" t="s">
        <v>48</v>
      </c>
      <c r="F5458" s="1">
        <v>42514</v>
      </c>
      <c r="G5458" s="1">
        <v>42521</v>
      </c>
      <c r="H5458" t="s">
        <v>41</v>
      </c>
      <c r="I5458">
        <v>7</v>
      </c>
      <c r="J5458" t="s">
        <v>107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1</v>
      </c>
      <c r="Q5458" t="s">
        <v>23</v>
      </c>
      <c r="R5458">
        <v>0</v>
      </c>
    </row>
    <row r="5459" spans="1:18">
      <c r="A5459" s="4">
        <v>877415000000</v>
      </c>
      <c r="B5459" t="s">
        <v>18</v>
      </c>
      <c r="C5459">
        <v>0</v>
      </c>
      <c r="D5459" t="s">
        <v>31</v>
      </c>
      <c r="E5459" t="s">
        <v>87</v>
      </c>
      <c r="F5459" s="1">
        <v>42514</v>
      </c>
      <c r="G5459" s="1">
        <v>42515</v>
      </c>
      <c r="H5459" t="s">
        <v>25</v>
      </c>
      <c r="I5459">
        <v>1</v>
      </c>
      <c r="J5459" t="s">
        <v>109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26</v>
      </c>
      <c r="R5459">
        <v>1</v>
      </c>
    </row>
    <row r="5460" spans="1:18">
      <c r="A5460" s="4">
        <v>2698500000000</v>
      </c>
      <c r="B5460" t="s">
        <v>18</v>
      </c>
      <c r="C5460">
        <v>45</v>
      </c>
      <c r="D5460" t="s">
        <v>27</v>
      </c>
      <c r="E5460" t="s">
        <v>106</v>
      </c>
      <c r="F5460" s="1">
        <v>42514</v>
      </c>
      <c r="G5460" s="1">
        <v>42514</v>
      </c>
      <c r="H5460" t="s">
        <v>41</v>
      </c>
      <c r="I5460">
        <v>0</v>
      </c>
      <c r="J5460" t="s">
        <v>111</v>
      </c>
      <c r="K5460">
        <v>1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23</v>
      </c>
      <c r="R5460">
        <v>0</v>
      </c>
    </row>
    <row r="5461" spans="1:18">
      <c r="A5461" s="4">
        <v>935378000000000</v>
      </c>
      <c r="B5461" t="s">
        <v>18</v>
      </c>
      <c r="C5461">
        <v>26</v>
      </c>
      <c r="D5461" t="s">
        <v>37</v>
      </c>
      <c r="E5461" t="s">
        <v>36</v>
      </c>
      <c r="F5461" s="1">
        <v>42514</v>
      </c>
      <c r="G5461" s="1">
        <v>42514</v>
      </c>
      <c r="H5461" t="s">
        <v>41</v>
      </c>
      <c r="I5461">
        <v>0</v>
      </c>
      <c r="J5461" t="s">
        <v>111</v>
      </c>
      <c r="K5461">
        <v>1</v>
      </c>
      <c r="L5461">
        <v>1</v>
      </c>
      <c r="M5461">
        <v>0</v>
      </c>
      <c r="N5461">
        <v>1</v>
      </c>
      <c r="O5461">
        <v>0</v>
      </c>
      <c r="P5461">
        <v>0</v>
      </c>
      <c r="Q5461" t="s">
        <v>23</v>
      </c>
      <c r="R5461">
        <v>0</v>
      </c>
    </row>
    <row r="5462" spans="1:18">
      <c r="A5462" s="4">
        <v>19737400000000</v>
      </c>
      <c r="B5462" t="s">
        <v>18</v>
      </c>
      <c r="C5462">
        <v>33</v>
      </c>
      <c r="D5462" t="s">
        <v>37</v>
      </c>
      <c r="E5462" t="s">
        <v>38</v>
      </c>
      <c r="F5462" s="1">
        <v>42514</v>
      </c>
      <c r="G5462" s="1">
        <v>42515</v>
      </c>
      <c r="H5462" t="s">
        <v>25</v>
      </c>
      <c r="I5462">
        <v>1</v>
      </c>
      <c r="J5462" t="s">
        <v>109</v>
      </c>
      <c r="K5462">
        <v>1</v>
      </c>
      <c r="L5462">
        <v>0</v>
      </c>
      <c r="M5462">
        <v>0</v>
      </c>
      <c r="N5462">
        <v>0</v>
      </c>
      <c r="O5462">
        <v>0</v>
      </c>
      <c r="P5462">
        <v>0</v>
      </c>
      <c r="Q5462" t="s">
        <v>26</v>
      </c>
      <c r="R5462">
        <v>1</v>
      </c>
    </row>
    <row r="5463" spans="1:18">
      <c r="A5463" s="4">
        <v>45387813178</v>
      </c>
      <c r="B5463" t="s">
        <v>18</v>
      </c>
      <c r="C5463">
        <v>56</v>
      </c>
      <c r="D5463" t="s">
        <v>35</v>
      </c>
      <c r="E5463" t="s">
        <v>69</v>
      </c>
      <c r="F5463" s="1">
        <v>42514</v>
      </c>
      <c r="G5463" s="1">
        <v>42520</v>
      </c>
      <c r="H5463" t="s">
        <v>30</v>
      </c>
      <c r="I5463">
        <v>6</v>
      </c>
      <c r="J5463" t="s">
        <v>107</v>
      </c>
      <c r="K5463">
        <v>0</v>
      </c>
      <c r="L5463">
        <v>1</v>
      </c>
      <c r="M5463">
        <v>0</v>
      </c>
      <c r="N5463">
        <v>0</v>
      </c>
      <c r="O5463">
        <v>0</v>
      </c>
      <c r="P5463">
        <v>1</v>
      </c>
      <c r="Q5463" t="s">
        <v>23</v>
      </c>
      <c r="R5463">
        <v>0</v>
      </c>
    </row>
    <row r="5464" spans="1:18">
      <c r="A5464" s="4">
        <v>7856470000000</v>
      </c>
      <c r="B5464" t="s">
        <v>18</v>
      </c>
      <c r="C5464">
        <v>14</v>
      </c>
      <c r="D5464" t="s">
        <v>60</v>
      </c>
      <c r="E5464" t="s">
        <v>59</v>
      </c>
      <c r="F5464" s="1">
        <v>42514</v>
      </c>
      <c r="G5464" s="1">
        <v>42514</v>
      </c>
      <c r="H5464" t="s">
        <v>41</v>
      </c>
      <c r="I5464">
        <v>0</v>
      </c>
      <c r="J5464" t="s">
        <v>111</v>
      </c>
      <c r="K5464">
        <v>0</v>
      </c>
      <c r="L5464">
        <v>0</v>
      </c>
      <c r="M5464">
        <v>0</v>
      </c>
      <c r="N5464">
        <v>0</v>
      </c>
      <c r="O5464">
        <v>1</v>
      </c>
      <c r="P5464">
        <v>0</v>
      </c>
      <c r="Q5464" t="s">
        <v>23</v>
      </c>
      <c r="R5464">
        <v>0</v>
      </c>
    </row>
    <row r="5465" spans="1:18">
      <c r="A5465" s="4">
        <v>68739600000000</v>
      </c>
      <c r="B5465" t="s">
        <v>18</v>
      </c>
      <c r="C5465">
        <v>66</v>
      </c>
      <c r="D5465" t="s">
        <v>19</v>
      </c>
      <c r="E5465" t="s">
        <v>40</v>
      </c>
      <c r="F5465" s="1">
        <v>42514</v>
      </c>
      <c r="G5465" s="1">
        <v>42520</v>
      </c>
      <c r="H5465" t="s">
        <v>30</v>
      </c>
      <c r="I5465">
        <v>6</v>
      </c>
      <c r="J5465" t="s">
        <v>107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1</v>
      </c>
      <c r="Q5465" t="s">
        <v>26</v>
      </c>
      <c r="R5465">
        <v>1</v>
      </c>
    </row>
    <row r="5466" spans="1:18">
      <c r="A5466" s="4">
        <v>15585800000000</v>
      </c>
      <c r="B5466" t="s">
        <v>28</v>
      </c>
      <c r="C5466">
        <v>6</v>
      </c>
      <c r="D5466" t="s">
        <v>31</v>
      </c>
      <c r="E5466" t="s">
        <v>65</v>
      </c>
      <c r="F5466" s="1">
        <v>42514</v>
      </c>
      <c r="G5466" s="1">
        <v>42522</v>
      </c>
      <c r="H5466" t="s">
        <v>25</v>
      </c>
      <c r="I5466">
        <v>8</v>
      </c>
      <c r="J5466" t="s">
        <v>92</v>
      </c>
      <c r="K5466">
        <v>1</v>
      </c>
      <c r="L5466">
        <v>0</v>
      </c>
      <c r="M5466">
        <v>0</v>
      </c>
      <c r="N5466">
        <v>0</v>
      </c>
      <c r="O5466">
        <v>0</v>
      </c>
      <c r="P5466">
        <v>1</v>
      </c>
      <c r="Q5466" t="s">
        <v>26</v>
      </c>
      <c r="R5466">
        <v>1</v>
      </c>
    </row>
    <row r="5467" spans="1:18">
      <c r="A5467" s="4">
        <v>366725000000</v>
      </c>
      <c r="B5467" t="s">
        <v>18</v>
      </c>
      <c r="C5467">
        <v>0</v>
      </c>
      <c r="D5467" t="s">
        <v>31</v>
      </c>
      <c r="E5467" t="s">
        <v>106</v>
      </c>
      <c r="F5467" s="1">
        <v>42514</v>
      </c>
      <c r="G5467" s="1">
        <v>42528</v>
      </c>
      <c r="H5467" t="s">
        <v>41</v>
      </c>
      <c r="I5467">
        <v>14</v>
      </c>
      <c r="J5467" t="s">
        <v>92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1</v>
      </c>
      <c r="Q5467" t="s">
        <v>23</v>
      </c>
      <c r="R5467">
        <v>0</v>
      </c>
    </row>
    <row r="5468" spans="1:18">
      <c r="A5468" s="4">
        <v>3449290000000</v>
      </c>
      <c r="B5468" t="s">
        <v>28</v>
      </c>
      <c r="C5468">
        <v>15</v>
      </c>
      <c r="D5468" t="s">
        <v>60</v>
      </c>
      <c r="E5468" t="s">
        <v>72</v>
      </c>
      <c r="F5468" s="1">
        <v>42514</v>
      </c>
      <c r="G5468" s="1">
        <v>42514</v>
      </c>
      <c r="H5468" t="s">
        <v>41</v>
      </c>
      <c r="I5468">
        <v>0</v>
      </c>
      <c r="J5468" t="s">
        <v>111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 t="s">
        <v>23</v>
      </c>
      <c r="R5468">
        <v>0</v>
      </c>
    </row>
    <row r="5469" spans="1:18">
      <c r="A5469" s="4">
        <v>78587200000000</v>
      </c>
      <c r="B5469" t="s">
        <v>18</v>
      </c>
      <c r="C5469">
        <v>10</v>
      </c>
      <c r="D5469" t="s">
        <v>31</v>
      </c>
      <c r="E5469" t="s">
        <v>39</v>
      </c>
      <c r="F5469" s="1">
        <v>42514</v>
      </c>
      <c r="G5469" s="1">
        <v>42514</v>
      </c>
      <c r="H5469" t="s">
        <v>41</v>
      </c>
      <c r="I5469">
        <v>0</v>
      </c>
      <c r="J5469" t="s">
        <v>111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23</v>
      </c>
      <c r="R5469">
        <v>0</v>
      </c>
    </row>
    <row r="5470" spans="1:18">
      <c r="A5470" s="4">
        <v>562268000000000</v>
      </c>
      <c r="B5470" t="s">
        <v>28</v>
      </c>
      <c r="C5470">
        <v>17</v>
      </c>
      <c r="D5470" t="s">
        <v>60</v>
      </c>
      <c r="E5470" t="s">
        <v>43</v>
      </c>
      <c r="F5470" s="1">
        <v>42514</v>
      </c>
      <c r="G5470" s="1">
        <v>42514</v>
      </c>
      <c r="H5470" t="s">
        <v>41</v>
      </c>
      <c r="I5470">
        <v>0</v>
      </c>
      <c r="J5470" t="s">
        <v>111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23</v>
      </c>
      <c r="R5470">
        <v>0</v>
      </c>
    </row>
    <row r="5471" spans="1:18">
      <c r="A5471" s="4">
        <v>331716000000</v>
      </c>
      <c r="B5471" t="s">
        <v>28</v>
      </c>
      <c r="C5471">
        <v>34</v>
      </c>
      <c r="D5471" t="s">
        <v>37</v>
      </c>
      <c r="E5471" t="s">
        <v>39</v>
      </c>
      <c r="F5471" s="1">
        <v>42514</v>
      </c>
      <c r="G5471" s="1">
        <v>42515</v>
      </c>
      <c r="H5471" t="s">
        <v>25</v>
      </c>
      <c r="I5471">
        <v>1</v>
      </c>
      <c r="J5471" t="s">
        <v>109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23</v>
      </c>
      <c r="R5471">
        <v>0</v>
      </c>
    </row>
    <row r="5472" spans="1:18">
      <c r="A5472" s="4">
        <v>42545200000000</v>
      </c>
      <c r="B5472" t="s">
        <v>18</v>
      </c>
      <c r="C5472">
        <v>0</v>
      </c>
      <c r="D5472" t="s">
        <v>31</v>
      </c>
      <c r="E5472" t="s">
        <v>29</v>
      </c>
      <c r="F5472" s="1">
        <v>42514</v>
      </c>
      <c r="G5472" s="1">
        <v>42514</v>
      </c>
      <c r="H5472" t="s">
        <v>41</v>
      </c>
      <c r="I5472">
        <v>0</v>
      </c>
      <c r="J5472" t="s">
        <v>111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 t="s">
        <v>23</v>
      </c>
      <c r="R5472">
        <v>0</v>
      </c>
    </row>
    <row r="5473" spans="1:18">
      <c r="A5473" s="4">
        <v>218381000000000</v>
      </c>
      <c r="B5473" t="s">
        <v>18</v>
      </c>
      <c r="C5473">
        <v>58</v>
      </c>
      <c r="D5473" t="s">
        <v>35</v>
      </c>
      <c r="E5473" t="s">
        <v>34</v>
      </c>
      <c r="F5473" s="1">
        <v>42514</v>
      </c>
      <c r="G5473" s="1">
        <v>42520</v>
      </c>
      <c r="H5473" t="s">
        <v>30</v>
      </c>
      <c r="I5473">
        <v>6</v>
      </c>
      <c r="J5473" t="s">
        <v>107</v>
      </c>
      <c r="K5473">
        <v>0</v>
      </c>
      <c r="L5473">
        <v>1</v>
      </c>
      <c r="M5473">
        <v>1</v>
      </c>
      <c r="N5473">
        <v>0</v>
      </c>
      <c r="O5473">
        <v>0</v>
      </c>
      <c r="P5473">
        <v>1</v>
      </c>
      <c r="Q5473" t="s">
        <v>23</v>
      </c>
      <c r="R5473">
        <v>0</v>
      </c>
    </row>
    <row r="5474" spans="1:18">
      <c r="A5474" s="4">
        <v>22311800000000</v>
      </c>
      <c r="B5474" t="s">
        <v>18</v>
      </c>
      <c r="C5474">
        <v>88</v>
      </c>
      <c r="D5474" t="s">
        <v>19</v>
      </c>
      <c r="E5474" t="s">
        <v>81</v>
      </c>
      <c r="F5474" s="1">
        <v>42514</v>
      </c>
      <c r="G5474" s="1">
        <v>42514</v>
      </c>
      <c r="H5474" t="s">
        <v>41</v>
      </c>
      <c r="I5474">
        <v>0</v>
      </c>
      <c r="J5474" t="s">
        <v>111</v>
      </c>
      <c r="K5474">
        <v>0</v>
      </c>
      <c r="L5474">
        <v>1</v>
      </c>
      <c r="M5474">
        <v>1</v>
      </c>
      <c r="N5474">
        <v>0</v>
      </c>
      <c r="O5474">
        <v>0</v>
      </c>
      <c r="P5474">
        <v>0</v>
      </c>
      <c r="Q5474" t="s">
        <v>23</v>
      </c>
      <c r="R5474">
        <v>0</v>
      </c>
    </row>
    <row r="5475" spans="1:18">
      <c r="A5475" s="4">
        <v>917255000000000</v>
      </c>
      <c r="B5475" t="s">
        <v>18</v>
      </c>
      <c r="C5475">
        <v>86</v>
      </c>
      <c r="D5475" t="s">
        <v>19</v>
      </c>
      <c r="E5475" t="s">
        <v>81</v>
      </c>
      <c r="F5475" s="1">
        <v>42514</v>
      </c>
      <c r="G5475" s="1">
        <v>42514</v>
      </c>
      <c r="H5475" t="s">
        <v>41</v>
      </c>
      <c r="I5475">
        <v>0</v>
      </c>
      <c r="J5475" t="s">
        <v>111</v>
      </c>
      <c r="K5475">
        <v>0</v>
      </c>
      <c r="L5475">
        <v>0</v>
      </c>
      <c r="M5475">
        <v>1</v>
      </c>
      <c r="N5475">
        <v>0</v>
      </c>
      <c r="O5475">
        <v>0</v>
      </c>
      <c r="P5475">
        <v>0</v>
      </c>
      <c r="Q5475" t="s">
        <v>23</v>
      </c>
      <c r="R5475">
        <v>0</v>
      </c>
    </row>
    <row r="5476" spans="1:18">
      <c r="A5476" s="4">
        <v>417745000000000</v>
      </c>
      <c r="B5476" t="s">
        <v>18</v>
      </c>
      <c r="C5476">
        <v>16</v>
      </c>
      <c r="D5476" t="s">
        <v>60</v>
      </c>
      <c r="E5476" t="s">
        <v>45</v>
      </c>
      <c r="F5476" s="1">
        <v>42514</v>
      </c>
      <c r="G5476" s="1">
        <v>42524</v>
      </c>
      <c r="H5476" t="s">
        <v>21</v>
      </c>
      <c r="I5476">
        <v>10</v>
      </c>
      <c r="J5476" t="s">
        <v>92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 t="s">
        <v>23</v>
      </c>
      <c r="R5476">
        <v>0</v>
      </c>
    </row>
    <row r="5477" spans="1:18">
      <c r="A5477" s="4">
        <v>858977000000000</v>
      </c>
      <c r="B5477" t="s">
        <v>18</v>
      </c>
      <c r="C5477">
        <v>19</v>
      </c>
      <c r="D5477" t="s">
        <v>37</v>
      </c>
      <c r="E5477" t="s">
        <v>46</v>
      </c>
      <c r="F5477" s="1">
        <v>42514</v>
      </c>
      <c r="G5477" s="1">
        <v>42514</v>
      </c>
      <c r="H5477" t="s">
        <v>41</v>
      </c>
      <c r="I5477">
        <v>0</v>
      </c>
      <c r="J5477" t="s">
        <v>111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23</v>
      </c>
      <c r="R5477">
        <v>0</v>
      </c>
    </row>
    <row r="5478" spans="1:18">
      <c r="A5478" s="4">
        <v>561412000000</v>
      </c>
      <c r="B5478" t="s">
        <v>18</v>
      </c>
      <c r="C5478">
        <v>58</v>
      </c>
      <c r="D5478" t="s">
        <v>35</v>
      </c>
      <c r="E5478" t="s">
        <v>101</v>
      </c>
      <c r="F5478" s="1">
        <v>42514</v>
      </c>
      <c r="G5478" s="1">
        <v>42520</v>
      </c>
      <c r="H5478" t="s">
        <v>30</v>
      </c>
      <c r="I5478">
        <v>6</v>
      </c>
      <c r="J5478" t="s">
        <v>107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1</v>
      </c>
      <c r="Q5478" t="s">
        <v>26</v>
      </c>
      <c r="R5478">
        <v>1</v>
      </c>
    </row>
    <row r="5479" spans="1:18">
      <c r="A5479" s="4">
        <v>33534800000000</v>
      </c>
      <c r="B5479" t="s">
        <v>28</v>
      </c>
      <c r="C5479">
        <v>44</v>
      </c>
      <c r="D5479" t="s">
        <v>27</v>
      </c>
      <c r="E5479" t="s">
        <v>75</v>
      </c>
      <c r="F5479" s="1">
        <v>42514</v>
      </c>
      <c r="G5479" s="1">
        <v>42514</v>
      </c>
      <c r="H5479" t="s">
        <v>41</v>
      </c>
      <c r="I5479">
        <v>0</v>
      </c>
      <c r="J5479" t="s">
        <v>111</v>
      </c>
      <c r="K5479">
        <v>0</v>
      </c>
      <c r="L5479">
        <v>0</v>
      </c>
      <c r="M5479">
        <v>0</v>
      </c>
      <c r="N5479">
        <v>1</v>
      </c>
      <c r="O5479">
        <v>0</v>
      </c>
      <c r="P5479">
        <v>0</v>
      </c>
      <c r="Q5479" t="s">
        <v>23</v>
      </c>
      <c r="R5479">
        <v>0</v>
      </c>
    </row>
    <row r="5480" spans="1:18">
      <c r="A5480" s="4">
        <v>123974000000</v>
      </c>
      <c r="B5480" t="s">
        <v>18</v>
      </c>
      <c r="C5480">
        <v>2</v>
      </c>
      <c r="D5480" t="s">
        <v>31</v>
      </c>
      <c r="E5480" t="s">
        <v>61</v>
      </c>
      <c r="F5480" s="1">
        <v>42514</v>
      </c>
      <c r="G5480" s="1">
        <v>42514</v>
      </c>
      <c r="H5480" t="s">
        <v>41</v>
      </c>
      <c r="I5480">
        <v>0</v>
      </c>
      <c r="J5480" t="s">
        <v>111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 t="s">
        <v>26</v>
      </c>
      <c r="R5480">
        <v>1</v>
      </c>
    </row>
    <row r="5481" spans="1:18">
      <c r="A5481" s="4">
        <v>611470000000000</v>
      </c>
      <c r="B5481" t="s">
        <v>18</v>
      </c>
      <c r="C5481">
        <v>49</v>
      </c>
      <c r="D5481" t="s">
        <v>27</v>
      </c>
      <c r="E5481" t="s">
        <v>70</v>
      </c>
      <c r="F5481" s="1">
        <v>42514</v>
      </c>
      <c r="G5481" s="1">
        <v>42523</v>
      </c>
      <c r="H5481" t="s">
        <v>33</v>
      </c>
      <c r="I5481">
        <v>9</v>
      </c>
      <c r="J5481" t="s">
        <v>92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1</v>
      </c>
      <c r="Q5481" t="s">
        <v>26</v>
      </c>
      <c r="R5481">
        <v>1</v>
      </c>
    </row>
    <row r="5482" spans="1:18">
      <c r="A5482" s="4">
        <v>62629100000000</v>
      </c>
      <c r="B5482" t="s">
        <v>18</v>
      </c>
      <c r="C5482">
        <v>39</v>
      </c>
      <c r="D5482" t="s">
        <v>27</v>
      </c>
      <c r="E5482" t="s">
        <v>64</v>
      </c>
      <c r="F5482" s="1">
        <v>42514</v>
      </c>
      <c r="G5482" s="1">
        <v>42527</v>
      </c>
      <c r="H5482" t="s">
        <v>30</v>
      </c>
      <c r="I5482">
        <v>13</v>
      </c>
      <c r="J5482" t="s">
        <v>92</v>
      </c>
      <c r="K5482">
        <v>0</v>
      </c>
      <c r="L5482">
        <v>1</v>
      </c>
      <c r="M5482">
        <v>0</v>
      </c>
      <c r="N5482">
        <v>0</v>
      </c>
      <c r="O5482">
        <v>0</v>
      </c>
      <c r="P5482">
        <v>1</v>
      </c>
      <c r="Q5482" t="s">
        <v>23</v>
      </c>
      <c r="R5482">
        <v>0</v>
      </c>
    </row>
    <row r="5483" spans="1:18">
      <c r="A5483" s="4">
        <v>648895000000</v>
      </c>
      <c r="B5483" t="s">
        <v>18</v>
      </c>
      <c r="C5483">
        <v>57</v>
      </c>
      <c r="D5483" t="s">
        <v>35</v>
      </c>
      <c r="E5483" t="s">
        <v>54</v>
      </c>
      <c r="F5483" s="1">
        <v>42514</v>
      </c>
      <c r="G5483" s="1">
        <v>42527</v>
      </c>
      <c r="H5483" t="s">
        <v>30</v>
      </c>
      <c r="I5483">
        <v>13</v>
      </c>
      <c r="J5483" t="s">
        <v>92</v>
      </c>
      <c r="K5483">
        <v>1</v>
      </c>
      <c r="L5483">
        <v>1</v>
      </c>
      <c r="M5483">
        <v>0</v>
      </c>
      <c r="N5483">
        <v>0</v>
      </c>
      <c r="O5483">
        <v>0</v>
      </c>
      <c r="P5483">
        <v>1</v>
      </c>
      <c r="Q5483" t="s">
        <v>23</v>
      </c>
      <c r="R5483">
        <v>0</v>
      </c>
    </row>
    <row r="5484" spans="1:18">
      <c r="A5484" s="4">
        <v>97524000000000</v>
      </c>
      <c r="B5484" t="s">
        <v>28</v>
      </c>
      <c r="C5484">
        <v>40</v>
      </c>
      <c r="D5484" t="s">
        <v>27</v>
      </c>
      <c r="E5484" t="s">
        <v>81</v>
      </c>
      <c r="F5484" s="1">
        <v>42514</v>
      </c>
      <c r="G5484" s="1">
        <v>42529</v>
      </c>
      <c r="H5484" t="s">
        <v>25</v>
      </c>
      <c r="I5484">
        <v>15</v>
      </c>
      <c r="J5484" t="s">
        <v>77</v>
      </c>
      <c r="K5484">
        <v>0</v>
      </c>
      <c r="L5484">
        <v>0</v>
      </c>
      <c r="M5484">
        <v>0</v>
      </c>
      <c r="N5484">
        <v>1</v>
      </c>
      <c r="O5484">
        <v>0</v>
      </c>
      <c r="P5484">
        <v>0</v>
      </c>
      <c r="Q5484" t="s">
        <v>26</v>
      </c>
      <c r="R5484">
        <v>1</v>
      </c>
    </row>
    <row r="5485" spans="1:18">
      <c r="A5485" s="4">
        <v>22343400000000</v>
      </c>
      <c r="B5485" t="s">
        <v>18</v>
      </c>
      <c r="C5485">
        <v>69</v>
      </c>
      <c r="D5485" t="s">
        <v>19</v>
      </c>
      <c r="E5485" t="s">
        <v>69</v>
      </c>
      <c r="F5485" s="1">
        <v>42514</v>
      </c>
      <c r="G5485" s="1">
        <v>42514</v>
      </c>
      <c r="H5485" t="s">
        <v>41</v>
      </c>
      <c r="I5485">
        <v>0</v>
      </c>
      <c r="J5485" t="s">
        <v>111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23</v>
      </c>
      <c r="R5485">
        <v>0</v>
      </c>
    </row>
    <row r="5486" spans="1:18">
      <c r="A5486" s="4">
        <v>199419000000</v>
      </c>
      <c r="B5486" t="s">
        <v>18</v>
      </c>
      <c r="C5486">
        <v>17</v>
      </c>
      <c r="D5486" t="s">
        <v>60</v>
      </c>
      <c r="E5486" t="s">
        <v>57</v>
      </c>
      <c r="F5486" s="1">
        <v>42514</v>
      </c>
      <c r="G5486" s="1">
        <v>42514</v>
      </c>
      <c r="H5486" t="s">
        <v>41</v>
      </c>
      <c r="I5486">
        <v>0</v>
      </c>
      <c r="J5486" t="s">
        <v>111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23</v>
      </c>
      <c r="R5486">
        <v>0</v>
      </c>
    </row>
    <row r="5487" spans="1:18">
      <c r="A5487" s="4">
        <v>229449000000000</v>
      </c>
      <c r="B5487" t="s">
        <v>28</v>
      </c>
      <c r="C5487">
        <v>86</v>
      </c>
      <c r="D5487" t="s">
        <v>19</v>
      </c>
      <c r="E5487" t="s">
        <v>40</v>
      </c>
      <c r="F5487" s="1">
        <v>42514</v>
      </c>
      <c r="G5487" s="1">
        <v>42520</v>
      </c>
      <c r="H5487" t="s">
        <v>30</v>
      </c>
      <c r="I5487">
        <v>6</v>
      </c>
      <c r="J5487" t="s">
        <v>107</v>
      </c>
      <c r="K5487">
        <v>0</v>
      </c>
      <c r="L5487">
        <v>1</v>
      </c>
      <c r="M5487">
        <v>0</v>
      </c>
      <c r="N5487">
        <v>0</v>
      </c>
      <c r="O5487">
        <v>0</v>
      </c>
      <c r="P5487">
        <v>1</v>
      </c>
      <c r="Q5487" t="s">
        <v>23</v>
      </c>
      <c r="R5487">
        <v>0</v>
      </c>
    </row>
    <row r="5488" spans="1:18">
      <c r="A5488" s="4">
        <v>84779800000000</v>
      </c>
      <c r="B5488" t="s">
        <v>18</v>
      </c>
      <c r="C5488">
        <v>52</v>
      </c>
      <c r="D5488" t="s">
        <v>35</v>
      </c>
      <c r="E5488" t="s">
        <v>75</v>
      </c>
      <c r="F5488" s="1">
        <v>42514</v>
      </c>
      <c r="G5488" s="1">
        <v>42514</v>
      </c>
      <c r="H5488" t="s">
        <v>41</v>
      </c>
      <c r="I5488">
        <v>0</v>
      </c>
      <c r="J5488" t="s">
        <v>111</v>
      </c>
      <c r="K5488">
        <v>0</v>
      </c>
      <c r="L5488">
        <v>1</v>
      </c>
      <c r="M5488">
        <v>0</v>
      </c>
      <c r="N5488">
        <v>0</v>
      </c>
      <c r="O5488">
        <v>0</v>
      </c>
      <c r="P5488">
        <v>0</v>
      </c>
      <c r="Q5488" t="s">
        <v>23</v>
      </c>
      <c r="R5488">
        <v>0</v>
      </c>
    </row>
    <row r="5489" spans="1:18">
      <c r="A5489" s="4">
        <v>7718990000000</v>
      </c>
      <c r="B5489" t="s">
        <v>18</v>
      </c>
      <c r="C5489">
        <v>20</v>
      </c>
      <c r="D5489" t="s">
        <v>37</v>
      </c>
      <c r="E5489" t="s">
        <v>59</v>
      </c>
      <c r="F5489" s="1">
        <v>42514</v>
      </c>
      <c r="G5489" s="1">
        <v>42514</v>
      </c>
      <c r="H5489" t="s">
        <v>41</v>
      </c>
      <c r="I5489">
        <v>0</v>
      </c>
      <c r="J5489" t="s">
        <v>111</v>
      </c>
      <c r="K5489">
        <v>1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23</v>
      </c>
      <c r="R5489">
        <v>0</v>
      </c>
    </row>
    <row r="5490" spans="1:18">
      <c r="A5490" s="4">
        <v>44564900000000</v>
      </c>
      <c r="B5490" t="s">
        <v>18</v>
      </c>
      <c r="C5490">
        <v>25</v>
      </c>
      <c r="D5490" t="s">
        <v>37</v>
      </c>
      <c r="E5490" t="s">
        <v>59</v>
      </c>
      <c r="F5490" s="1">
        <v>42514</v>
      </c>
      <c r="G5490" s="1">
        <v>42514</v>
      </c>
      <c r="H5490" t="s">
        <v>41</v>
      </c>
      <c r="I5490">
        <v>0</v>
      </c>
      <c r="J5490" t="s">
        <v>111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23</v>
      </c>
      <c r="R5490">
        <v>0</v>
      </c>
    </row>
    <row r="5491" spans="1:18">
      <c r="A5491" s="4">
        <v>67585300000000</v>
      </c>
      <c r="B5491" t="s">
        <v>28</v>
      </c>
      <c r="C5491">
        <v>1</v>
      </c>
      <c r="D5491" t="s">
        <v>31</v>
      </c>
      <c r="E5491" t="s">
        <v>58</v>
      </c>
      <c r="F5491" s="1">
        <v>42514</v>
      </c>
      <c r="G5491" s="1">
        <v>42514</v>
      </c>
      <c r="H5491" t="s">
        <v>41</v>
      </c>
      <c r="I5491">
        <v>0</v>
      </c>
      <c r="J5491" t="s">
        <v>111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 t="s">
        <v>23</v>
      </c>
      <c r="R5491">
        <v>0</v>
      </c>
    </row>
    <row r="5492" spans="1:18">
      <c r="A5492" s="4">
        <v>3243790000000</v>
      </c>
      <c r="B5492" t="s">
        <v>18</v>
      </c>
      <c r="C5492">
        <v>53</v>
      </c>
      <c r="D5492" t="s">
        <v>35</v>
      </c>
      <c r="E5492" t="s">
        <v>29</v>
      </c>
      <c r="F5492" s="1">
        <v>42514</v>
      </c>
      <c r="G5492" s="1">
        <v>42520</v>
      </c>
      <c r="H5492" t="s">
        <v>30</v>
      </c>
      <c r="I5492">
        <v>6</v>
      </c>
      <c r="J5492" t="s">
        <v>107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1</v>
      </c>
      <c r="Q5492" t="s">
        <v>23</v>
      </c>
      <c r="R5492">
        <v>0</v>
      </c>
    </row>
    <row r="5493" spans="1:18">
      <c r="A5493" s="4">
        <v>118431000000000</v>
      </c>
      <c r="B5493" t="s">
        <v>18</v>
      </c>
      <c r="C5493">
        <v>31</v>
      </c>
      <c r="D5493" t="s">
        <v>37</v>
      </c>
      <c r="E5493" t="s">
        <v>36</v>
      </c>
      <c r="F5493" s="1">
        <v>42514</v>
      </c>
      <c r="G5493" s="1">
        <v>42523</v>
      </c>
      <c r="H5493" t="s">
        <v>33</v>
      </c>
      <c r="I5493">
        <v>9</v>
      </c>
      <c r="J5493" t="s">
        <v>92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1</v>
      </c>
      <c r="Q5493" t="s">
        <v>23</v>
      </c>
      <c r="R5493">
        <v>0</v>
      </c>
    </row>
    <row r="5494" spans="1:18">
      <c r="A5494" s="4">
        <v>8688660000000</v>
      </c>
      <c r="B5494" t="s">
        <v>18</v>
      </c>
      <c r="C5494">
        <v>31</v>
      </c>
      <c r="D5494" t="s">
        <v>37</v>
      </c>
      <c r="E5494" t="s">
        <v>68</v>
      </c>
      <c r="F5494" s="1">
        <v>42514</v>
      </c>
      <c r="G5494" s="1">
        <v>42520</v>
      </c>
      <c r="H5494" t="s">
        <v>30</v>
      </c>
      <c r="I5494">
        <v>6</v>
      </c>
      <c r="J5494" t="s">
        <v>107</v>
      </c>
      <c r="K5494">
        <v>1</v>
      </c>
      <c r="L5494">
        <v>0</v>
      </c>
      <c r="M5494">
        <v>0</v>
      </c>
      <c r="N5494">
        <v>0</v>
      </c>
      <c r="O5494">
        <v>0</v>
      </c>
      <c r="P5494">
        <v>1</v>
      </c>
      <c r="Q5494" t="s">
        <v>23</v>
      </c>
      <c r="R5494">
        <v>0</v>
      </c>
    </row>
    <row r="5495" spans="1:18">
      <c r="A5495" s="4">
        <v>89786200000000</v>
      </c>
      <c r="B5495" t="s">
        <v>28</v>
      </c>
      <c r="C5495">
        <v>0</v>
      </c>
      <c r="D5495" t="s">
        <v>31</v>
      </c>
      <c r="E5495" t="s">
        <v>72</v>
      </c>
      <c r="F5495" s="1">
        <v>42514</v>
      </c>
      <c r="G5495" s="1">
        <v>42514</v>
      </c>
      <c r="H5495" t="s">
        <v>41</v>
      </c>
      <c r="I5495">
        <v>0</v>
      </c>
      <c r="J5495" t="s">
        <v>111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23</v>
      </c>
      <c r="R5495">
        <v>0</v>
      </c>
    </row>
    <row r="5496" spans="1:18">
      <c r="A5496" s="4">
        <v>299838000000000</v>
      </c>
      <c r="B5496" t="s">
        <v>18</v>
      </c>
      <c r="C5496">
        <v>18</v>
      </c>
      <c r="D5496" t="s">
        <v>37</v>
      </c>
      <c r="E5496" t="s">
        <v>97</v>
      </c>
      <c r="F5496" s="1">
        <v>42514</v>
      </c>
      <c r="G5496" s="1">
        <v>42521</v>
      </c>
      <c r="H5496" t="s">
        <v>41</v>
      </c>
      <c r="I5496">
        <v>7</v>
      </c>
      <c r="J5496" t="s">
        <v>107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1</v>
      </c>
      <c r="Q5496" t="s">
        <v>23</v>
      </c>
      <c r="R5496">
        <v>0</v>
      </c>
    </row>
    <row r="5497" spans="1:18">
      <c r="A5497" s="4">
        <v>4674269217</v>
      </c>
      <c r="B5497" t="s">
        <v>18</v>
      </c>
      <c r="C5497">
        <v>60</v>
      </c>
      <c r="D5497" t="s">
        <v>35</v>
      </c>
      <c r="E5497" t="s">
        <v>74</v>
      </c>
      <c r="F5497" s="1">
        <v>42514</v>
      </c>
      <c r="G5497" s="1">
        <v>42520</v>
      </c>
      <c r="H5497" t="s">
        <v>30</v>
      </c>
      <c r="I5497">
        <v>6</v>
      </c>
      <c r="J5497" t="s">
        <v>107</v>
      </c>
      <c r="K5497">
        <v>0</v>
      </c>
      <c r="L5497">
        <v>0</v>
      </c>
      <c r="M5497">
        <v>0</v>
      </c>
      <c r="N5497">
        <v>1</v>
      </c>
      <c r="O5497">
        <v>0</v>
      </c>
      <c r="P5497">
        <v>1</v>
      </c>
      <c r="Q5497" t="s">
        <v>23</v>
      </c>
      <c r="R5497">
        <v>0</v>
      </c>
    </row>
    <row r="5498" spans="1:18">
      <c r="A5498" s="4">
        <v>92357400000000</v>
      </c>
      <c r="B5498" t="s">
        <v>18</v>
      </c>
      <c r="C5498">
        <v>40</v>
      </c>
      <c r="D5498" t="s">
        <v>27</v>
      </c>
      <c r="E5498" t="s">
        <v>68</v>
      </c>
      <c r="F5498" s="1">
        <v>42514</v>
      </c>
      <c r="G5498" s="1">
        <v>42520</v>
      </c>
      <c r="H5498" t="s">
        <v>30</v>
      </c>
      <c r="I5498">
        <v>6</v>
      </c>
      <c r="J5498" t="s">
        <v>107</v>
      </c>
      <c r="K5498">
        <v>0</v>
      </c>
      <c r="L5498">
        <v>1</v>
      </c>
      <c r="M5498">
        <v>0</v>
      </c>
      <c r="N5498">
        <v>0</v>
      </c>
      <c r="O5498">
        <v>0</v>
      </c>
      <c r="P5498">
        <v>1</v>
      </c>
      <c r="Q5498" t="s">
        <v>23</v>
      </c>
      <c r="R5498">
        <v>0</v>
      </c>
    </row>
    <row r="5499" spans="1:18">
      <c r="A5499" s="4">
        <v>7995130000000</v>
      </c>
      <c r="B5499" t="s">
        <v>28</v>
      </c>
      <c r="C5499">
        <v>47</v>
      </c>
      <c r="D5499" t="s">
        <v>27</v>
      </c>
      <c r="E5499" t="s">
        <v>58</v>
      </c>
      <c r="F5499" s="1">
        <v>42514</v>
      </c>
      <c r="G5499" s="1">
        <v>42514</v>
      </c>
      <c r="H5499" t="s">
        <v>41</v>
      </c>
      <c r="I5499">
        <v>0</v>
      </c>
      <c r="J5499" t="s">
        <v>111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23</v>
      </c>
      <c r="R5499">
        <v>0</v>
      </c>
    </row>
    <row r="5500" spans="1:18">
      <c r="A5500" s="4">
        <v>49475600000000</v>
      </c>
      <c r="B5500" t="s">
        <v>28</v>
      </c>
      <c r="C5500">
        <v>13</v>
      </c>
      <c r="D5500" t="s">
        <v>60</v>
      </c>
      <c r="E5500" t="s">
        <v>58</v>
      </c>
      <c r="F5500" s="1">
        <v>42514</v>
      </c>
      <c r="G5500" s="1">
        <v>42514</v>
      </c>
      <c r="H5500" t="s">
        <v>41</v>
      </c>
      <c r="I5500">
        <v>0</v>
      </c>
      <c r="J5500" t="s">
        <v>111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 t="s">
        <v>23</v>
      </c>
      <c r="R5500">
        <v>0</v>
      </c>
    </row>
    <row r="5501" spans="1:18">
      <c r="A5501" s="4">
        <v>7415970000000</v>
      </c>
      <c r="B5501" t="s">
        <v>28</v>
      </c>
      <c r="C5501">
        <v>1</v>
      </c>
      <c r="D5501" t="s">
        <v>31</v>
      </c>
      <c r="E5501" t="s">
        <v>47</v>
      </c>
      <c r="F5501" s="1">
        <v>42514</v>
      </c>
      <c r="G5501" s="1">
        <v>42514</v>
      </c>
      <c r="H5501" t="s">
        <v>41</v>
      </c>
      <c r="I5501">
        <v>0</v>
      </c>
      <c r="J5501" t="s">
        <v>111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 t="s">
        <v>23</v>
      </c>
      <c r="R5501">
        <v>0</v>
      </c>
    </row>
    <row r="5502" spans="1:18">
      <c r="A5502" s="4">
        <v>736515000000000</v>
      </c>
      <c r="B5502" t="s">
        <v>18</v>
      </c>
      <c r="C5502">
        <v>32</v>
      </c>
      <c r="D5502" t="s">
        <v>37</v>
      </c>
      <c r="E5502" t="s">
        <v>42</v>
      </c>
      <c r="F5502" s="1">
        <v>42514</v>
      </c>
      <c r="G5502" s="1">
        <v>42514</v>
      </c>
      <c r="H5502" t="s">
        <v>41</v>
      </c>
      <c r="I5502">
        <v>0</v>
      </c>
      <c r="J5502" t="s">
        <v>111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23</v>
      </c>
      <c r="R5502">
        <v>0</v>
      </c>
    </row>
    <row r="5503" spans="1:18">
      <c r="A5503" s="4">
        <v>794812000000000</v>
      </c>
      <c r="B5503" t="s">
        <v>28</v>
      </c>
      <c r="C5503">
        <v>34</v>
      </c>
      <c r="D5503" t="s">
        <v>37</v>
      </c>
      <c r="E5503" t="s">
        <v>61</v>
      </c>
      <c r="F5503" s="1">
        <v>42514</v>
      </c>
      <c r="G5503" s="1">
        <v>42524</v>
      </c>
      <c r="H5503" t="s">
        <v>21</v>
      </c>
      <c r="I5503">
        <v>10</v>
      </c>
      <c r="J5503" t="s">
        <v>92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1</v>
      </c>
      <c r="Q5503" t="s">
        <v>23</v>
      </c>
      <c r="R5503">
        <v>0</v>
      </c>
    </row>
    <row r="5504" spans="1:18">
      <c r="A5504" s="4">
        <v>8835940000000</v>
      </c>
      <c r="B5504" t="s">
        <v>28</v>
      </c>
      <c r="C5504">
        <v>60</v>
      </c>
      <c r="D5504" t="s">
        <v>35</v>
      </c>
      <c r="E5504" t="s">
        <v>100</v>
      </c>
      <c r="F5504" s="1">
        <v>42514</v>
      </c>
      <c r="G5504" s="1">
        <v>42527</v>
      </c>
      <c r="H5504" t="s">
        <v>30</v>
      </c>
      <c r="I5504">
        <v>13</v>
      </c>
      <c r="J5504" t="s">
        <v>92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1</v>
      </c>
      <c r="Q5504" t="s">
        <v>23</v>
      </c>
      <c r="R5504">
        <v>0</v>
      </c>
    </row>
    <row r="5505" spans="1:18">
      <c r="A5505" s="4">
        <v>7145570000000</v>
      </c>
      <c r="B5505" t="s">
        <v>28</v>
      </c>
      <c r="C5505">
        <v>10</v>
      </c>
      <c r="D5505" t="s">
        <v>31</v>
      </c>
      <c r="E5505" t="s">
        <v>47</v>
      </c>
      <c r="F5505" s="1">
        <v>42514</v>
      </c>
      <c r="G5505" s="1">
        <v>42514</v>
      </c>
      <c r="H5505" t="s">
        <v>41</v>
      </c>
      <c r="I5505">
        <v>0</v>
      </c>
      <c r="J5505" t="s">
        <v>111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23</v>
      </c>
      <c r="R5505">
        <v>0</v>
      </c>
    </row>
    <row r="5506" spans="1:18">
      <c r="A5506" s="4">
        <v>79238300000000</v>
      </c>
      <c r="B5506" t="s">
        <v>18</v>
      </c>
      <c r="C5506">
        <v>45</v>
      </c>
      <c r="D5506" t="s">
        <v>27</v>
      </c>
      <c r="E5506" t="s">
        <v>50</v>
      </c>
      <c r="F5506" s="1">
        <v>42514</v>
      </c>
      <c r="G5506" s="1">
        <v>42514</v>
      </c>
      <c r="H5506" t="s">
        <v>41</v>
      </c>
      <c r="I5506">
        <v>0</v>
      </c>
      <c r="J5506" t="s">
        <v>111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26</v>
      </c>
      <c r="R5506">
        <v>1</v>
      </c>
    </row>
    <row r="5507" spans="1:18">
      <c r="A5507" s="4">
        <v>83261400000000</v>
      </c>
      <c r="B5507" t="s">
        <v>18</v>
      </c>
      <c r="C5507">
        <v>58</v>
      </c>
      <c r="D5507" t="s">
        <v>35</v>
      </c>
      <c r="E5507" t="s">
        <v>61</v>
      </c>
      <c r="F5507" s="1">
        <v>42514</v>
      </c>
      <c r="G5507" s="1">
        <v>42522</v>
      </c>
      <c r="H5507" t="s">
        <v>25</v>
      </c>
      <c r="I5507">
        <v>8</v>
      </c>
      <c r="J5507" t="s">
        <v>92</v>
      </c>
      <c r="K5507">
        <v>0</v>
      </c>
      <c r="L5507">
        <v>1</v>
      </c>
      <c r="M5507">
        <v>0</v>
      </c>
      <c r="N5507">
        <v>1</v>
      </c>
      <c r="O5507">
        <v>0</v>
      </c>
      <c r="P5507">
        <v>1</v>
      </c>
      <c r="Q5507" t="s">
        <v>26</v>
      </c>
      <c r="R5507">
        <v>1</v>
      </c>
    </row>
    <row r="5508" spans="1:18">
      <c r="A5508" s="4">
        <v>928790000000000</v>
      </c>
      <c r="B5508" t="s">
        <v>28</v>
      </c>
      <c r="C5508">
        <v>5</v>
      </c>
      <c r="D5508" t="s">
        <v>31</v>
      </c>
      <c r="E5508" t="s">
        <v>96</v>
      </c>
      <c r="F5508" s="1">
        <v>42514</v>
      </c>
      <c r="G5508" s="1">
        <v>42528</v>
      </c>
      <c r="H5508" t="s">
        <v>41</v>
      </c>
      <c r="I5508">
        <v>14</v>
      </c>
      <c r="J5508" t="s">
        <v>92</v>
      </c>
      <c r="K5508">
        <v>1</v>
      </c>
      <c r="L5508">
        <v>0</v>
      </c>
      <c r="M5508">
        <v>0</v>
      </c>
      <c r="N5508">
        <v>0</v>
      </c>
      <c r="O5508">
        <v>0</v>
      </c>
      <c r="P5508">
        <v>1</v>
      </c>
      <c r="Q5508" t="s">
        <v>23</v>
      </c>
      <c r="R5508">
        <v>0</v>
      </c>
    </row>
    <row r="5509" spans="1:18">
      <c r="A5509" s="4">
        <v>499198000000000</v>
      </c>
      <c r="B5509" t="s">
        <v>18</v>
      </c>
      <c r="C5509">
        <v>31</v>
      </c>
      <c r="D5509" t="s">
        <v>37</v>
      </c>
      <c r="E5509" t="s">
        <v>58</v>
      </c>
      <c r="F5509" s="1">
        <v>42514</v>
      </c>
      <c r="G5509" s="1">
        <v>42514</v>
      </c>
      <c r="H5509" t="s">
        <v>41</v>
      </c>
      <c r="I5509">
        <v>0</v>
      </c>
      <c r="J5509" t="s">
        <v>111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23</v>
      </c>
      <c r="R5509">
        <v>0</v>
      </c>
    </row>
    <row r="5510" spans="1:18">
      <c r="A5510" s="4">
        <v>262423000000000</v>
      </c>
      <c r="B5510" t="s">
        <v>18</v>
      </c>
      <c r="C5510">
        <v>31</v>
      </c>
      <c r="D5510" t="s">
        <v>37</v>
      </c>
      <c r="E5510" t="s">
        <v>65</v>
      </c>
      <c r="F5510" s="1">
        <v>42514</v>
      </c>
      <c r="G5510" s="1">
        <v>42514</v>
      </c>
      <c r="H5510" t="s">
        <v>41</v>
      </c>
      <c r="I5510">
        <v>0</v>
      </c>
      <c r="J5510" t="s">
        <v>111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23</v>
      </c>
      <c r="R5510">
        <v>0</v>
      </c>
    </row>
    <row r="5511" spans="1:18">
      <c r="A5511" s="4">
        <v>94786400000000</v>
      </c>
      <c r="B5511" t="s">
        <v>28</v>
      </c>
      <c r="C5511">
        <v>87</v>
      </c>
      <c r="D5511" t="s">
        <v>19</v>
      </c>
      <c r="E5511" t="s">
        <v>54</v>
      </c>
      <c r="F5511" s="1">
        <v>42514</v>
      </c>
      <c r="G5511" s="1">
        <v>42515</v>
      </c>
      <c r="H5511" t="s">
        <v>25</v>
      </c>
      <c r="I5511">
        <v>1</v>
      </c>
      <c r="J5511" t="s">
        <v>109</v>
      </c>
      <c r="K5511">
        <v>0</v>
      </c>
      <c r="L5511">
        <v>1</v>
      </c>
      <c r="M5511">
        <v>1</v>
      </c>
      <c r="N5511">
        <v>0</v>
      </c>
      <c r="O5511">
        <v>0</v>
      </c>
      <c r="P5511">
        <v>0</v>
      </c>
      <c r="Q5511" t="s">
        <v>23</v>
      </c>
      <c r="R5511">
        <v>0</v>
      </c>
    </row>
    <row r="5512" spans="1:18">
      <c r="A5512" s="4">
        <v>45813600000000</v>
      </c>
      <c r="B5512" t="s">
        <v>18</v>
      </c>
      <c r="C5512">
        <v>55</v>
      </c>
      <c r="D5512" t="s">
        <v>35</v>
      </c>
      <c r="E5512" t="s">
        <v>39</v>
      </c>
      <c r="F5512" s="1">
        <v>42514</v>
      </c>
      <c r="G5512" s="1">
        <v>42515</v>
      </c>
      <c r="H5512" t="s">
        <v>25</v>
      </c>
      <c r="I5512">
        <v>1</v>
      </c>
      <c r="J5512" t="s">
        <v>109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23</v>
      </c>
      <c r="R5512">
        <v>0</v>
      </c>
    </row>
    <row r="5513" spans="1:18">
      <c r="A5513" s="4">
        <v>42645700000000</v>
      </c>
      <c r="B5513" t="s">
        <v>18</v>
      </c>
      <c r="C5513">
        <v>48</v>
      </c>
      <c r="D5513" t="s">
        <v>27</v>
      </c>
      <c r="E5513" t="s">
        <v>84</v>
      </c>
      <c r="F5513" s="1">
        <v>42514</v>
      </c>
      <c r="G5513" s="1">
        <v>42515</v>
      </c>
      <c r="H5513" t="s">
        <v>25</v>
      </c>
      <c r="I5513">
        <v>1</v>
      </c>
      <c r="J5513" t="s">
        <v>109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23</v>
      </c>
      <c r="R5513">
        <v>0</v>
      </c>
    </row>
    <row r="5514" spans="1:18">
      <c r="A5514" s="4">
        <v>412128000000</v>
      </c>
      <c r="B5514" t="s">
        <v>18</v>
      </c>
      <c r="C5514">
        <v>29</v>
      </c>
      <c r="D5514" t="s">
        <v>37</v>
      </c>
      <c r="E5514" t="s">
        <v>70</v>
      </c>
      <c r="F5514" s="1">
        <v>42514</v>
      </c>
      <c r="G5514" s="1">
        <v>42515</v>
      </c>
      <c r="H5514" t="s">
        <v>25</v>
      </c>
      <c r="I5514">
        <v>1</v>
      </c>
      <c r="J5514" t="s">
        <v>109</v>
      </c>
      <c r="K5514">
        <v>0</v>
      </c>
      <c r="L5514">
        <v>0</v>
      </c>
      <c r="M5514">
        <v>1</v>
      </c>
      <c r="N5514">
        <v>0</v>
      </c>
      <c r="O5514">
        <v>0</v>
      </c>
      <c r="P5514">
        <v>0</v>
      </c>
      <c r="Q5514" t="s">
        <v>26</v>
      </c>
      <c r="R5514">
        <v>1</v>
      </c>
    </row>
    <row r="5515" spans="1:18">
      <c r="A5515" s="4">
        <v>5146670000000</v>
      </c>
      <c r="B5515" t="s">
        <v>18</v>
      </c>
      <c r="C5515">
        <v>25</v>
      </c>
      <c r="D5515" t="s">
        <v>37</v>
      </c>
      <c r="E5515" t="s">
        <v>61</v>
      </c>
      <c r="F5515" s="1">
        <v>42514</v>
      </c>
      <c r="G5515" s="1">
        <v>42514</v>
      </c>
      <c r="H5515" t="s">
        <v>41</v>
      </c>
      <c r="I5515">
        <v>0</v>
      </c>
      <c r="J5515" t="s">
        <v>111</v>
      </c>
      <c r="K5515">
        <v>1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23</v>
      </c>
      <c r="R5515">
        <v>0</v>
      </c>
    </row>
    <row r="5516" spans="1:18">
      <c r="A5516" s="4">
        <v>134393000000000</v>
      </c>
      <c r="B5516" t="s">
        <v>18</v>
      </c>
      <c r="C5516">
        <v>24</v>
      </c>
      <c r="D5516" t="s">
        <v>37</v>
      </c>
      <c r="E5516" t="s">
        <v>55</v>
      </c>
      <c r="F5516" s="1">
        <v>42514</v>
      </c>
      <c r="G5516" s="1">
        <v>42520</v>
      </c>
      <c r="H5516" t="s">
        <v>30</v>
      </c>
      <c r="I5516">
        <v>6</v>
      </c>
      <c r="J5516" t="s">
        <v>107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1</v>
      </c>
      <c r="Q5516" t="s">
        <v>26</v>
      </c>
      <c r="R5516">
        <v>1</v>
      </c>
    </row>
    <row r="5517" spans="1:18">
      <c r="A5517" s="4">
        <v>318375000000000</v>
      </c>
      <c r="B5517" t="s">
        <v>18</v>
      </c>
      <c r="C5517">
        <v>28</v>
      </c>
      <c r="D5517" t="s">
        <v>37</v>
      </c>
      <c r="E5517" t="s">
        <v>106</v>
      </c>
      <c r="F5517" s="1">
        <v>42514</v>
      </c>
      <c r="G5517" s="1">
        <v>42528</v>
      </c>
      <c r="H5517" t="s">
        <v>41</v>
      </c>
      <c r="I5517">
        <v>14</v>
      </c>
      <c r="J5517" t="s">
        <v>92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1</v>
      </c>
      <c r="Q5517" t="s">
        <v>23</v>
      </c>
      <c r="R5517">
        <v>0</v>
      </c>
    </row>
    <row r="5518" spans="1:18">
      <c r="A5518" s="4">
        <v>632669000000000</v>
      </c>
      <c r="B5518" t="s">
        <v>28</v>
      </c>
      <c r="C5518">
        <v>18</v>
      </c>
      <c r="D5518" t="s">
        <v>37</v>
      </c>
      <c r="E5518" t="s">
        <v>38</v>
      </c>
      <c r="F5518" s="1">
        <v>42514</v>
      </c>
      <c r="G5518" s="1">
        <v>42523</v>
      </c>
      <c r="H5518" t="s">
        <v>33</v>
      </c>
      <c r="I5518">
        <v>9</v>
      </c>
      <c r="J5518" t="s">
        <v>92</v>
      </c>
      <c r="K5518">
        <v>1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26</v>
      </c>
      <c r="R5518">
        <v>1</v>
      </c>
    </row>
    <row r="5519" spans="1:18">
      <c r="A5519" s="4">
        <v>836131000000</v>
      </c>
      <c r="B5519" t="s">
        <v>18</v>
      </c>
      <c r="C5519">
        <v>24</v>
      </c>
      <c r="D5519" t="s">
        <v>37</v>
      </c>
      <c r="E5519" t="s">
        <v>79</v>
      </c>
      <c r="F5519" s="1">
        <v>42514</v>
      </c>
      <c r="G5519" s="1">
        <v>42523</v>
      </c>
      <c r="H5519" t="s">
        <v>33</v>
      </c>
      <c r="I5519">
        <v>9</v>
      </c>
      <c r="J5519" t="s">
        <v>92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1</v>
      </c>
      <c r="Q5519" t="s">
        <v>23</v>
      </c>
      <c r="R5519">
        <v>0</v>
      </c>
    </row>
    <row r="5520" spans="1:18">
      <c r="A5520" s="4">
        <v>46843600000000</v>
      </c>
      <c r="B5520" t="s">
        <v>18</v>
      </c>
      <c r="C5520">
        <v>37</v>
      </c>
      <c r="D5520" t="s">
        <v>27</v>
      </c>
      <c r="E5520" t="s">
        <v>69</v>
      </c>
      <c r="F5520" s="1">
        <v>42514</v>
      </c>
      <c r="G5520" s="1">
        <v>42522</v>
      </c>
      <c r="H5520" t="s">
        <v>25</v>
      </c>
      <c r="I5520">
        <v>8</v>
      </c>
      <c r="J5520" t="s">
        <v>92</v>
      </c>
      <c r="K5520">
        <v>0</v>
      </c>
      <c r="L5520">
        <v>0</v>
      </c>
      <c r="M5520">
        <v>0</v>
      </c>
      <c r="N5520">
        <v>1</v>
      </c>
      <c r="O5520">
        <v>0</v>
      </c>
      <c r="P5520">
        <v>0</v>
      </c>
      <c r="Q5520" t="s">
        <v>23</v>
      </c>
      <c r="R5520">
        <v>0</v>
      </c>
    </row>
    <row r="5521" spans="1:18">
      <c r="A5521" s="4">
        <v>882650000000000</v>
      </c>
      <c r="B5521" t="s">
        <v>18</v>
      </c>
      <c r="C5521">
        <v>41</v>
      </c>
      <c r="D5521" t="s">
        <v>27</v>
      </c>
      <c r="E5521" t="s">
        <v>61</v>
      </c>
      <c r="F5521" s="1">
        <v>42514</v>
      </c>
      <c r="G5521" s="1">
        <v>42514</v>
      </c>
      <c r="H5521" t="s">
        <v>41</v>
      </c>
      <c r="I5521">
        <v>0</v>
      </c>
      <c r="J5521" t="s">
        <v>111</v>
      </c>
      <c r="K5521">
        <v>0</v>
      </c>
      <c r="L5521">
        <v>0</v>
      </c>
      <c r="M5521">
        <v>0</v>
      </c>
      <c r="N5521">
        <v>1</v>
      </c>
      <c r="O5521">
        <v>0</v>
      </c>
      <c r="P5521">
        <v>0</v>
      </c>
      <c r="Q5521" t="s">
        <v>23</v>
      </c>
      <c r="R5521">
        <v>0</v>
      </c>
    </row>
    <row r="5522" spans="1:18">
      <c r="A5522" s="4">
        <v>6973160000000</v>
      </c>
      <c r="B5522" t="s">
        <v>18</v>
      </c>
      <c r="C5522">
        <v>47</v>
      </c>
      <c r="D5522" t="s">
        <v>27</v>
      </c>
      <c r="E5522" t="s">
        <v>32</v>
      </c>
      <c r="F5522" s="1">
        <v>42514</v>
      </c>
      <c r="G5522" s="1">
        <v>42514</v>
      </c>
      <c r="H5522" t="s">
        <v>41</v>
      </c>
      <c r="I5522">
        <v>0</v>
      </c>
      <c r="J5522" t="s">
        <v>111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23</v>
      </c>
      <c r="R5522">
        <v>0</v>
      </c>
    </row>
    <row r="5523" spans="1:18">
      <c r="A5523" s="4">
        <v>465454000000</v>
      </c>
      <c r="B5523" t="s">
        <v>18</v>
      </c>
      <c r="C5523">
        <v>64</v>
      </c>
      <c r="D5523" t="s">
        <v>35</v>
      </c>
      <c r="E5523" t="s">
        <v>36</v>
      </c>
      <c r="F5523" s="1">
        <v>42514</v>
      </c>
      <c r="G5523" s="1">
        <v>42521</v>
      </c>
      <c r="H5523" t="s">
        <v>41</v>
      </c>
      <c r="I5523">
        <v>7</v>
      </c>
      <c r="J5523" t="s">
        <v>107</v>
      </c>
      <c r="K5523">
        <v>0</v>
      </c>
      <c r="L5523">
        <v>1</v>
      </c>
      <c r="M5523">
        <v>0</v>
      </c>
      <c r="N5523">
        <v>0</v>
      </c>
      <c r="O5523">
        <v>0</v>
      </c>
      <c r="P5523">
        <v>1</v>
      </c>
      <c r="Q5523" t="s">
        <v>23</v>
      </c>
      <c r="R5523">
        <v>0</v>
      </c>
    </row>
    <row r="5524" spans="1:18">
      <c r="A5524" s="4">
        <v>832628000000</v>
      </c>
      <c r="B5524" t="s">
        <v>28</v>
      </c>
      <c r="C5524">
        <v>47</v>
      </c>
      <c r="D5524" t="s">
        <v>27</v>
      </c>
      <c r="E5524" t="s">
        <v>50</v>
      </c>
      <c r="F5524" s="1">
        <v>42514</v>
      </c>
      <c r="G5524" s="1">
        <v>42515</v>
      </c>
      <c r="H5524" t="s">
        <v>25</v>
      </c>
      <c r="I5524">
        <v>1</v>
      </c>
      <c r="J5524" t="s">
        <v>109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23</v>
      </c>
      <c r="R5524">
        <v>0</v>
      </c>
    </row>
    <row r="5525" spans="1:18">
      <c r="A5525" s="4">
        <v>288927000000000</v>
      </c>
      <c r="B5525" t="s">
        <v>28</v>
      </c>
      <c r="C5525">
        <v>0</v>
      </c>
      <c r="D5525" t="s">
        <v>31</v>
      </c>
      <c r="E5525" t="s">
        <v>72</v>
      </c>
      <c r="F5525" s="1">
        <v>42514</v>
      </c>
      <c r="G5525" s="1">
        <v>42528</v>
      </c>
      <c r="H5525" t="s">
        <v>41</v>
      </c>
      <c r="I5525">
        <v>14</v>
      </c>
      <c r="J5525" t="s">
        <v>92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1</v>
      </c>
      <c r="Q5525" t="s">
        <v>23</v>
      </c>
      <c r="R5525">
        <v>0</v>
      </c>
    </row>
    <row r="5526" spans="1:18">
      <c r="A5526" s="4">
        <v>7255560000000</v>
      </c>
      <c r="B5526" t="s">
        <v>18</v>
      </c>
      <c r="C5526">
        <v>37</v>
      </c>
      <c r="D5526" t="s">
        <v>27</v>
      </c>
      <c r="E5526" t="s">
        <v>45</v>
      </c>
      <c r="F5526" s="1">
        <v>42514</v>
      </c>
      <c r="G5526" s="1">
        <v>42514</v>
      </c>
      <c r="H5526" t="s">
        <v>41</v>
      </c>
      <c r="I5526">
        <v>0</v>
      </c>
      <c r="J5526" t="s">
        <v>111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23</v>
      </c>
      <c r="R5526">
        <v>0</v>
      </c>
    </row>
    <row r="5527" spans="1:18">
      <c r="A5527" s="4">
        <v>65611400000000</v>
      </c>
      <c r="B5527" t="s">
        <v>28</v>
      </c>
      <c r="C5527">
        <v>23</v>
      </c>
      <c r="D5527" t="s">
        <v>37</v>
      </c>
      <c r="E5527" t="s">
        <v>39</v>
      </c>
      <c r="F5527" s="1">
        <v>42514</v>
      </c>
      <c r="G5527" s="1">
        <v>42524</v>
      </c>
      <c r="H5527" t="s">
        <v>21</v>
      </c>
      <c r="I5527">
        <v>10</v>
      </c>
      <c r="J5527" t="s">
        <v>92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1</v>
      </c>
      <c r="Q5527" t="s">
        <v>23</v>
      </c>
      <c r="R5527">
        <v>0</v>
      </c>
    </row>
    <row r="5528" spans="1:18">
      <c r="A5528" s="4">
        <v>86898145598</v>
      </c>
      <c r="B5528" t="s">
        <v>18</v>
      </c>
      <c r="C5528">
        <v>1</v>
      </c>
      <c r="D5528" t="s">
        <v>31</v>
      </c>
      <c r="E5528" t="s">
        <v>39</v>
      </c>
      <c r="F5528" s="1">
        <v>42514</v>
      </c>
      <c r="G5528" s="1">
        <v>42514</v>
      </c>
      <c r="H5528" t="s">
        <v>41</v>
      </c>
      <c r="I5528">
        <v>0</v>
      </c>
      <c r="J5528" t="s">
        <v>111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23</v>
      </c>
      <c r="R5528">
        <v>0</v>
      </c>
    </row>
    <row r="5529" spans="1:18">
      <c r="A5529" s="4">
        <v>59289400000000</v>
      </c>
      <c r="B5529" t="s">
        <v>18</v>
      </c>
      <c r="C5529">
        <v>48</v>
      </c>
      <c r="D5529" t="s">
        <v>27</v>
      </c>
      <c r="E5529" t="s">
        <v>50</v>
      </c>
      <c r="F5529" s="1">
        <v>42514</v>
      </c>
      <c r="G5529" s="1">
        <v>42514</v>
      </c>
      <c r="H5529" t="s">
        <v>41</v>
      </c>
      <c r="I5529">
        <v>0</v>
      </c>
      <c r="J5529" t="s">
        <v>111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23</v>
      </c>
      <c r="R5529">
        <v>0</v>
      </c>
    </row>
    <row r="5530" spans="1:18">
      <c r="A5530" s="4">
        <v>882564000000</v>
      </c>
      <c r="B5530" t="s">
        <v>28</v>
      </c>
      <c r="C5530">
        <v>60</v>
      </c>
      <c r="D5530" t="s">
        <v>35</v>
      </c>
      <c r="E5530" t="s">
        <v>46</v>
      </c>
      <c r="F5530" s="1">
        <v>42514</v>
      </c>
      <c r="G5530" s="1">
        <v>42514</v>
      </c>
      <c r="H5530" t="s">
        <v>41</v>
      </c>
      <c r="I5530">
        <v>0</v>
      </c>
      <c r="J5530" t="s">
        <v>111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23</v>
      </c>
      <c r="R5530">
        <v>0</v>
      </c>
    </row>
    <row r="5531" spans="1:18">
      <c r="A5531" s="4">
        <v>38951400000000</v>
      </c>
      <c r="B5531" t="s">
        <v>18</v>
      </c>
      <c r="C5531">
        <v>86</v>
      </c>
      <c r="D5531" t="s">
        <v>19</v>
      </c>
      <c r="E5531" t="s">
        <v>57</v>
      </c>
      <c r="F5531" s="1">
        <v>42514</v>
      </c>
      <c r="G5531" s="1">
        <v>42514</v>
      </c>
      <c r="H5531" t="s">
        <v>41</v>
      </c>
      <c r="I5531">
        <v>0</v>
      </c>
      <c r="J5531" t="s">
        <v>111</v>
      </c>
      <c r="K5531">
        <v>0</v>
      </c>
      <c r="L5531">
        <v>1</v>
      </c>
      <c r="M5531">
        <v>1</v>
      </c>
      <c r="N5531">
        <v>0</v>
      </c>
      <c r="O5531">
        <v>0</v>
      </c>
      <c r="P5531">
        <v>0</v>
      </c>
      <c r="Q5531" t="s">
        <v>23</v>
      </c>
      <c r="R5531">
        <v>0</v>
      </c>
    </row>
    <row r="5532" spans="1:18">
      <c r="A5532" s="4">
        <v>697928000000000</v>
      </c>
      <c r="B5532" t="s">
        <v>18</v>
      </c>
      <c r="C5532">
        <v>23</v>
      </c>
      <c r="D5532" t="s">
        <v>37</v>
      </c>
      <c r="E5532" t="s">
        <v>44</v>
      </c>
      <c r="F5532" s="1">
        <v>42514</v>
      </c>
      <c r="G5532" s="1">
        <v>42515</v>
      </c>
      <c r="H5532" t="s">
        <v>25</v>
      </c>
      <c r="I5532">
        <v>1</v>
      </c>
      <c r="J5532" t="s">
        <v>109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23</v>
      </c>
      <c r="R5532">
        <v>0</v>
      </c>
    </row>
    <row r="5533" spans="1:18">
      <c r="A5533" s="4">
        <v>9624210000000</v>
      </c>
      <c r="B5533" t="s">
        <v>28</v>
      </c>
      <c r="C5533">
        <v>48</v>
      </c>
      <c r="D5533" t="s">
        <v>27</v>
      </c>
      <c r="E5533" t="s">
        <v>39</v>
      </c>
      <c r="F5533" s="1">
        <v>42514</v>
      </c>
      <c r="G5533" s="1">
        <v>42522</v>
      </c>
      <c r="H5533" t="s">
        <v>25</v>
      </c>
      <c r="I5533">
        <v>8</v>
      </c>
      <c r="J5533" t="s">
        <v>92</v>
      </c>
      <c r="K5533">
        <v>0</v>
      </c>
      <c r="L5533">
        <v>1</v>
      </c>
      <c r="M5533">
        <v>0</v>
      </c>
      <c r="N5533">
        <v>0</v>
      </c>
      <c r="O5533">
        <v>0</v>
      </c>
      <c r="P5533">
        <v>1</v>
      </c>
      <c r="Q5533" t="s">
        <v>23</v>
      </c>
      <c r="R5533">
        <v>0</v>
      </c>
    </row>
    <row r="5534" spans="1:18">
      <c r="A5534" s="4">
        <v>239570000000</v>
      </c>
      <c r="B5534" t="s">
        <v>18</v>
      </c>
      <c r="C5534">
        <v>69</v>
      </c>
      <c r="D5534" t="s">
        <v>19</v>
      </c>
      <c r="E5534" t="s">
        <v>83</v>
      </c>
      <c r="F5534" s="1">
        <v>42514</v>
      </c>
      <c r="G5534" s="1">
        <v>42528</v>
      </c>
      <c r="H5534" t="s">
        <v>41</v>
      </c>
      <c r="I5534">
        <v>14</v>
      </c>
      <c r="J5534" t="s">
        <v>92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23</v>
      </c>
      <c r="R5534">
        <v>0</v>
      </c>
    </row>
    <row r="5535" spans="1:18">
      <c r="A5535" s="4">
        <v>38273400000000</v>
      </c>
      <c r="B5535" t="s">
        <v>18</v>
      </c>
      <c r="C5535">
        <v>43</v>
      </c>
      <c r="D5535" t="s">
        <v>27</v>
      </c>
      <c r="E5535" t="s">
        <v>54</v>
      </c>
      <c r="F5535" s="1">
        <v>42514</v>
      </c>
      <c r="G5535" s="1">
        <v>42524</v>
      </c>
      <c r="H5535" t="s">
        <v>21</v>
      </c>
      <c r="I5535">
        <v>10</v>
      </c>
      <c r="J5535" t="s">
        <v>92</v>
      </c>
      <c r="K5535">
        <v>0</v>
      </c>
      <c r="L5535">
        <v>1</v>
      </c>
      <c r="M5535">
        <v>0</v>
      </c>
      <c r="N5535">
        <v>0</v>
      </c>
      <c r="O5535">
        <v>0</v>
      </c>
      <c r="P5535">
        <v>1</v>
      </c>
      <c r="Q5535" t="s">
        <v>23</v>
      </c>
      <c r="R5535">
        <v>0</v>
      </c>
    </row>
    <row r="5536" spans="1:18">
      <c r="A5536" s="4">
        <v>41283800000000</v>
      </c>
      <c r="B5536" t="s">
        <v>18</v>
      </c>
      <c r="C5536">
        <v>34</v>
      </c>
      <c r="D5536" t="s">
        <v>37</v>
      </c>
      <c r="E5536" t="s">
        <v>58</v>
      </c>
      <c r="F5536" s="1">
        <v>42514</v>
      </c>
      <c r="G5536" s="1">
        <v>42514</v>
      </c>
      <c r="H5536" t="s">
        <v>41</v>
      </c>
      <c r="I5536">
        <v>0</v>
      </c>
      <c r="J5536" t="s">
        <v>111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23</v>
      </c>
      <c r="R5536">
        <v>0</v>
      </c>
    </row>
    <row r="5537" spans="1:18">
      <c r="A5537" s="4">
        <v>79699800000000</v>
      </c>
      <c r="B5537" t="s">
        <v>18</v>
      </c>
      <c r="C5537">
        <v>80</v>
      </c>
      <c r="D5537" t="s">
        <v>19</v>
      </c>
      <c r="E5537" t="s">
        <v>82</v>
      </c>
      <c r="F5537" s="1">
        <v>42514</v>
      </c>
      <c r="G5537" s="1">
        <v>42527</v>
      </c>
      <c r="H5537" t="s">
        <v>30</v>
      </c>
      <c r="I5537">
        <v>13</v>
      </c>
      <c r="J5537" t="s">
        <v>92</v>
      </c>
      <c r="K5537">
        <v>0</v>
      </c>
      <c r="L5537">
        <v>0</v>
      </c>
      <c r="M5537">
        <v>1</v>
      </c>
      <c r="N5537">
        <v>0</v>
      </c>
      <c r="O5537">
        <v>0</v>
      </c>
      <c r="P5537">
        <v>0</v>
      </c>
      <c r="Q5537" t="s">
        <v>26</v>
      </c>
      <c r="R5537">
        <v>1</v>
      </c>
    </row>
    <row r="5538" spans="1:18">
      <c r="A5538" s="4">
        <v>189920000000000</v>
      </c>
      <c r="B5538" t="s">
        <v>18</v>
      </c>
      <c r="C5538">
        <v>48</v>
      </c>
      <c r="D5538" t="s">
        <v>27</v>
      </c>
      <c r="E5538" t="s">
        <v>32</v>
      </c>
      <c r="F5538" s="1">
        <v>42514</v>
      </c>
      <c r="G5538" s="1">
        <v>42523</v>
      </c>
      <c r="H5538" t="s">
        <v>33</v>
      </c>
      <c r="I5538">
        <v>9</v>
      </c>
      <c r="J5538" t="s">
        <v>92</v>
      </c>
      <c r="K5538">
        <v>0</v>
      </c>
      <c r="L5538">
        <v>1</v>
      </c>
      <c r="M5538">
        <v>0</v>
      </c>
      <c r="N5538">
        <v>0</v>
      </c>
      <c r="O5538">
        <v>0</v>
      </c>
      <c r="P5538">
        <v>1</v>
      </c>
      <c r="Q5538" t="s">
        <v>23</v>
      </c>
      <c r="R5538">
        <v>0</v>
      </c>
    </row>
    <row r="5539" spans="1:18">
      <c r="A5539" s="4">
        <v>833647000000000</v>
      </c>
      <c r="B5539" t="s">
        <v>18</v>
      </c>
      <c r="C5539">
        <v>58</v>
      </c>
      <c r="D5539" t="s">
        <v>35</v>
      </c>
      <c r="E5539" t="s">
        <v>84</v>
      </c>
      <c r="F5539" s="1">
        <v>42514</v>
      </c>
      <c r="G5539" s="1">
        <v>42523</v>
      </c>
      <c r="H5539" t="s">
        <v>33</v>
      </c>
      <c r="I5539">
        <v>9</v>
      </c>
      <c r="J5539" t="s">
        <v>92</v>
      </c>
      <c r="K5539">
        <v>0</v>
      </c>
      <c r="L5539">
        <v>1</v>
      </c>
      <c r="M5539">
        <v>0</v>
      </c>
      <c r="N5539">
        <v>0</v>
      </c>
      <c r="O5539">
        <v>0</v>
      </c>
      <c r="P5539">
        <v>1</v>
      </c>
      <c r="Q5539" t="s">
        <v>23</v>
      </c>
      <c r="R5539">
        <v>0</v>
      </c>
    </row>
    <row r="5540" spans="1:18">
      <c r="A5540" s="4">
        <v>188232000000000</v>
      </c>
      <c r="B5540" t="s">
        <v>28</v>
      </c>
      <c r="C5540">
        <v>45</v>
      </c>
      <c r="D5540" t="s">
        <v>27</v>
      </c>
      <c r="E5540" t="s">
        <v>67</v>
      </c>
      <c r="F5540" s="1">
        <v>42514</v>
      </c>
      <c r="G5540" s="1">
        <v>42514</v>
      </c>
      <c r="H5540" t="s">
        <v>41</v>
      </c>
      <c r="I5540">
        <v>0</v>
      </c>
      <c r="J5540" t="s">
        <v>111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 t="s">
        <v>23</v>
      </c>
      <c r="R5540">
        <v>0</v>
      </c>
    </row>
    <row r="5541" spans="1:18">
      <c r="A5541" s="4">
        <v>94297700000000</v>
      </c>
      <c r="B5541" t="s">
        <v>18</v>
      </c>
      <c r="C5541">
        <v>12</v>
      </c>
      <c r="D5541" t="s">
        <v>31</v>
      </c>
      <c r="E5541" t="s">
        <v>78</v>
      </c>
      <c r="F5541" s="1">
        <v>42514</v>
      </c>
      <c r="G5541" s="1">
        <v>42514</v>
      </c>
      <c r="H5541" t="s">
        <v>41</v>
      </c>
      <c r="I5541">
        <v>0</v>
      </c>
      <c r="J5541" t="s">
        <v>111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23</v>
      </c>
      <c r="R5541">
        <v>0</v>
      </c>
    </row>
    <row r="5542" spans="1:18">
      <c r="A5542" s="4">
        <v>241576000000000</v>
      </c>
      <c r="B5542" t="s">
        <v>18</v>
      </c>
      <c r="C5542">
        <v>53</v>
      </c>
      <c r="D5542" t="s">
        <v>35</v>
      </c>
      <c r="E5542" t="s">
        <v>63</v>
      </c>
      <c r="F5542" s="1">
        <v>42514</v>
      </c>
      <c r="G5542" s="1">
        <v>42514</v>
      </c>
      <c r="H5542" t="s">
        <v>41</v>
      </c>
      <c r="I5542">
        <v>0</v>
      </c>
      <c r="J5542" t="s">
        <v>111</v>
      </c>
      <c r="K5542">
        <v>1</v>
      </c>
      <c r="L5542">
        <v>0</v>
      </c>
      <c r="M5542">
        <v>0</v>
      </c>
      <c r="N5542">
        <v>0</v>
      </c>
      <c r="O5542">
        <v>0</v>
      </c>
      <c r="P5542">
        <v>0</v>
      </c>
      <c r="Q5542" t="s">
        <v>23</v>
      </c>
      <c r="R5542">
        <v>0</v>
      </c>
    </row>
    <row r="5543" spans="1:18">
      <c r="A5543" s="4">
        <v>6583920000000</v>
      </c>
      <c r="B5543" t="s">
        <v>18</v>
      </c>
      <c r="C5543">
        <v>32</v>
      </c>
      <c r="D5543" t="s">
        <v>37</v>
      </c>
      <c r="E5543" t="s">
        <v>71</v>
      </c>
      <c r="F5543" s="1">
        <v>42514</v>
      </c>
      <c r="G5543" s="1">
        <v>42514</v>
      </c>
      <c r="H5543" t="s">
        <v>41</v>
      </c>
      <c r="I5543">
        <v>0</v>
      </c>
      <c r="J5543" t="s">
        <v>111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23</v>
      </c>
      <c r="R5543">
        <v>0</v>
      </c>
    </row>
    <row r="5544" spans="1:18">
      <c r="A5544" s="4">
        <v>2519710000000</v>
      </c>
      <c r="B5544" t="s">
        <v>18</v>
      </c>
      <c r="C5544">
        <v>20</v>
      </c>
      <c r="D5544" t="s">
        <v>37</v>
      </c>
      <c r="E5544" t="s">
        <v>68</v>
      </c>
      <c r="F5544" s="1">
        <v>42514</v>
      </c>
      <c r="G5544" s="1">
        <v>42514</v>
      </c>
      <c r="H5544" t="s">
        <v>41</v>
      </c>
      <c r="I5544">
        <v>0</v>
      </c>
      <c r="J5544" t="s">
        <v>111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23</v>
      </c>
      <c r="R5544">
        <v>0</v>
      </c>
    </row>
    <row r="5545" spans="1:18">
      <c r="A5545" s="4">
        <v>44419400000000</v>
      </c>
      <c r="B5545" t="s">
        <v>18</v>
      </c>
      <c r="C5545">
        <v>32</v>
      </c>
      <c r="D5545" t="s">
        <v>37</v>
      </c>
      <c r="E5545" t="s">
        <v>44</v>
      </c>
      <c r="F5545" s="1">
        <v>42514</v>
      </c>
      <c r="G5545" s="1">
        <v>42514</v>
      </c>
      <c r="H5545" t="s">
        <v>41</v>
      </c>
      <c r="I5545">
        <v>0</v>
      </c>
      <c r="J5545" t="s">
        <v>111</v>
      </c>
      <c r="K5545">
        <v>0</v>
      </c>
      <c r="L5545">
        <v>1</v>
      </c>
      <c r="M5545">
        <v>0</v>
      </c>
      <c r="N5545">
        <v>0</v>
      </c>
      <c r="O5545">
        <v>0</v>
      </c>
      <c r="P5545">
        <v>0</v>
      </c>
      <c r="Q5545" t="s">
        <v>23</v>
      </c>
      <c r="R5545">
        <v>0</v>
      </c>
    </row>
    <row r="5546" spans="1:18">
      <c r="A5546" s="4">
        <v>135969000000000</v>
      </c>
      <c r="B5546" t="s">
        <v>18</v>
      </c>
      <c r="C5546">
        <v>38</v>
      </c>
      <c r="D5546" t="s">
        <v>27</v>
      </c>
      <c r="E5546" t="s">
        <v>106</v>
      </c>
      <c r="F5546" s="1">
        <v>42514</v>
      </c>
      <c r="G5546" s="1">
        <v>42514</v>
      </c>
      <c r="H5546" t="s">
        <v>41</v>
      </c>
      <c r="I5546">
        <v>0</v>
      </c>
      <c r="J5546" t="s">
        <v>111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23</v>
      </c>
      <c r="R5546">
        <v>0</v>
      </c>
    </row>
    <row r="5547" spans="1:18">
      <c r="A5547" s="4">
        <v>514863000000000</v>
      </c>
      <c r="B5547" t="s">
        <v>18</v>
      </c>
      <c r="C5547">
        <v>80</v>
      </c>
      <c r="D5547" t="s">
        <v>19</v>
      </c>
      <c r="E5547" t="s">
        <v>38</v>
      </c>
      <c r="F5547" s="1">
        <v>42514</v>
      </c>
      <c r="G5547" s="1">
        <v>42514</v>
      </c>
      <c r="H5547" t="s">
        <v>41</v>
      </c>
      <c r="I5547">
        <v>0</v>
      </c>
      <c r="J5547" t="s">
        <v>111</v>
      </c>
      <c r="K5547">
        <v>0</v>
      </c>
      <c r="L5547">
        <v>1</v>
      </c>
      <c r="M5547">
        <v>0</v>
      </c>
      <c r="N5547">
        <v>0</v>
      </c>
      <c r="O5547">
        <v>0</v>
      </c>
      <c r="P5547">
        <v>0</v>
      </c>
      <c r="Q5547" t="s">
        <v>23</v>
      </c>
      <c r="R5547">
        <v>0</v>
      </c>
    </row>
    <row r="5548" spans="1:18">
      <c r="A5548" s="4">
        <v>23274700000000</v>
      </c>
      <c r="B5548" t="s">
        <v>28</v>
      </c>
      <c r="C5548">
        <v>35</v>
      </c>
      <c r="D5548" t="s">
        <v>37</v>
      </c>
      <c r="E5548" t="s">
        <v>42</v>
      </c>
      <c r="F5548" s="1">
        <v>42514</v>
      </c>
      <c r="G5548" s="1">
        <v>42515</v>
      </c>
      <c r="H5548" t="s">
        <v>25</v>
      </c>
      <c r="I5548">
        <v>1</v>
      </c>
      <c r="J5548" t="s">
        <v>109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 t="s">
        <v>26</v>
      </c>
      <c r="R5548">
        <v>1</v>
      </c>
    </row>
    <row r="5549" spans="1:18">
      <c r="A5549" s="4">
        <v>1484140000000</v>
      </c>
      <c r="B5549" t="s">
        <v>18</v>
      </c>
      <c r="C5549">
        <v>56</v>
      </c>
      <c r="D5549" t="s">
        <v>35</v>
      </c>
      <c r="E5549" t="s">
        <v>78</v>
      </c>
      <c r="F5549" s="1">
        <v>42514</v>
      </c>
      <c r="G5549" s="1">
        <v>42520</v>
      </c>
      <c r="H5549" t="s">
        <v>30</v>
      </c>
      <c r="I5549">
        <v>6</v>
      </c>
      <c r="J5549" t="s">
        <v>107</v>
      </c>
      <c r="K5549">
        <v>0</v>
      </c>
      <c r="L5549">
        <v>1</v>
      </c>
      <c r="M5549">
        <v>0</v>
      </c>
      <c r="N5549">
        <v>0</v>
      </c>
      <c r="O5549">
        <v>0</v>
      </c>
      <c r="P5549">
        <v>1</v>
      </c>
      <c r="Q5549" t="s">
        <v>23</v>
      </c>
      <c r="R5549">
        <v>0</v>
      </c>
    </row>
    <row r="5550" spans="1:18">
      <c r="A5550" s="4">
        <v>692112000000000</v>
      </c>
      <c r="B5550" t="s">
        <v>18</v>
      </c>
      <c r="C5550">
        <v>86</v>
      </c>
      <c r="D5550" t="s">
        <v>19</v>
      </c>
      <c r="E5550" t="s">
        <v>39</v>
      </c>
      <c r="F5550" s="1">
        <v>42514</v>
      </c>
      <c r="G5550" s="1">
        <v>42514</v>
      </c>
      <c r="H5550" t="s">
        <v>41</v>
      </c>
      <c r="I5550">
        <v>0</v>
      </c>
      <c r="J5550" t="s">
        <v>111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23</v>
      </c>
      <c r="R5550">
        <v>0</v>
      </c>
    </row>
    <row r="5551" spans="1:18">
      <c r="A5551" s="4">
        <v>4535320000000</v>
      </c>
      <c r="B5551" t="s">
        <v>18</v>
      </c>
      <c r="C5551">
        <v>21</v>
      </c>
      <c r="D5551" t="s">
        <v>37</v>
      </c>
      <c r="E5551" t="s">
        <v>39</v>
      </c>
      <c r="F5551" s="1">
        <v>42514</v>
      </c>
      <c r="G5551" s="1">
        <v>42514</v>
      </c>
      <c r="H5551" t="s">
        <v>41</v>
      </c>
      <c r="I5551">
        <v>0</v>
      </c>
      <c r="J5551" t="s">
        <v>111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23</v>
      </c>
      <c r="R5551">
        <v>0</v>
      </c>
    </row>
    <row r="5552" spans="1:18">
      <c r="A5552" s="4">
        <v>98212600000000</v>
      </c>
      <c r="B5552" t="s">
        <v>18</v>
      </c>
      <c r="C5552">
        <v>1</v>
      </c>
      <c r="D5552" t="s">
        <v>31</v>
      </c>
      <c r="E5552" t="s">
        <v>84</v>
      </c>
      <c r="F5552" s="1">
        <v>42514</v>
      </c>
      <c r="G5552" s="1">
        <v>42527</v>
      </c>
      <c r="H5552" t="s">
        <v>30</v>
      </c>
      <c r="I5552">
        <v>13</v>
      </c>
      <c r="J5552" t="s">
        <v>92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1</v>
      </c>
      <c r="Q5552" t="s">
        <v>23</v>
      </c>
      <c r="R5552">
        <v>0</v>
      </c>
    </row>
    <row r="5553" spans="1:18">
      <c r="A5553" s="4">
        <v>4166760000000</v>
      </c>
      <c r="B5553" t="s">
        <v>28</v>
      </c>
      <c r="C5553">
        <v>20</v>
      </c>
      <c r="D5553" t="s">
        <v>37</v>
      </c>
      <c r="E5553" t="s">
        <v>112</v>
      </c>
      <c r="F5553" s="1">
        <v>42514</v>
      </c>
      <c r="G5553" s="1">
        <v>42514</v>
      </c>
      <c r="H5553" t="s">
        <v>41</v>
      </c>
      <c r="I5553">
        <v>0</v>
      </c>
      <c r="J5553" t="s">
        <v>111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23</v>
      </c>
      <c r="R5553">
        <v>0</v>
      </c>
    </row>
    <row r="5554" spans="1:18">
      <c r="A5554" s="4">
        <v>86417200000000</v>
      </c>
      <c r="B5554" t="s">
        <v>18</v>
      </c>
      <c r="C5554">
        <v>1</v>
      </c>
      <c r="D5554" t="s">
        <v>31</v>
      </c>
      <c r="E5554" t="s">
        <v>64</v>
      </c>
      <c r="F5554" s="1">
        <v>42514</v>
      </c>
      <c r="G5554" s="1">
        <v>42527</v>
      </c>
      <c r="H5554" t="s">
        <v>30</v>
      </c>
      <c r="I5554">
        <v>13</v>
      </c>
      <c r="J5554" t="s">
        <v>92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1</v>
      </c>
      <c r="Q5554" t="s">
        <v>23</v>
      </c>
      <c r="R5554">
        <v>0</v>
      </c>
    </row>
    <row r="5555" spans="1:18">
      <c r="A5555" s="4">
        <v>83137600000000</v>
      </c>
      <c r="B5555" t="s">
        <v>18</v>
      </c>
      <c r="C5555">
        <v>29</v>
      </c>
      <c r="D5555" t="s">
        <v>37</v>
      </c>
      <c r="E5555" t="s">
        <v>68</v>
      </c>
      <c r="F5555" s="1">
        <v>42514</v>
      </c>
      <c r="G5555" s="1">
        <v>42528</v>
      </c>
      <c r="H5555" t="s">
        <v>41</v>
      </c>
      <c r="I5555">
        <v>14</v>
      </c>
      <c r="J5555" t="s">
        <v>92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23</v>
      </c>
      <c r="R5555">
        <v>0</v>
      </c>
    </row>
    <row r="5556" spans="1:18">
      <c r="A5556" s="4">
        <v>17579900000000</v>
      </c>
      <c r="B5556" t="s">
        <v>18</v>
      </c>
      <c r="C5556">
        <v>37</v>
      </c>
      <c r="D5556" t="s">
        <v>27</v>
      </c>
      <c r="E5556" t="s">
        <v>29</v>
      </c>
      <c r="F5556" s="1">
        <v>42514</v>
      </c>
      <c r="G5556" s="1">
        <v>42514</v>
      </c>
      <c r="H5556" t="s">
        <v>41</v>
      </c>
      <c r="I5556">
        <v>0</v>
      </c>
      <c r="J5556" t="s">
        <v>111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23</v>
      </c>
      <c r="R5556">
        <v>0</v>
      </c>
    </row>
    <row r="5557" spans="1:18">
      <c r="A5557" s="4">
        <v>1435465416</v>
      </c>
      <c r="B5557" t="s">
        <v>28</v>
      </c>
      <c r="C5557">
        <v>45</v>
      </c>
      <c r="D5557" t="s">
        <v>27</v>
      </c>
      <c r="E5557" t="s">
        <v>56</v>
      </c>
      <c r="F5557" s="1">
        <v>42514</v>
      </c>
      <c r="G5557" s="1">
        <v>42515</v>
      </c>
      <c r="H5557" t="s">
        <v>25</v>
      </c>
      <c r="I5557">
        <v>1</v>
      </c>
      <c r="J5557" t="s">
        <v>109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0</v>
      </c>
      <c r="Q5557" t="s">
        <v>23</v>
      </c>
      <c r="R5557">
        <v>0</v>
      </c>
    </row>
    <row r="5558" spans="1:18">
      <c r="A5558" s="4">
        <v>33534800000000</v>
      </c>
      <c r="B5558" t="s">
        <v>28</v>
      </c>
      <c r="C5558">
        <v>44</v>
      </c>
      <c r="D5558" t="s">
        <v>27</v>
      </c>
      <c r="E5558" t="s">
        <v>75</v>
      </c>
      <c r="F5558" s="1">
        <v>42514</v>
      </c>
      <c r="G5558" s="1">
        <v>42514</v>
      </c>
      <c r="H5558" t="s">
        <v>41</v>
      </c>
      <c r="I5558">
        <v>0</v>
      </c>
      <c r="J5558" t="s">
        <v>111</v>
      </c>
      <c r="K5558">
        <v>0</v>
      </c>
      <c r="L5558">
        <v>0</v>
      </c>
      <c r="M5558">
        <v>0</v>
      </c>
      <c r="N5558">
        <v>1</v>
      </c>
      <c r="O5558">
        <v>0</v>
      </c>
      <c r="P5558">
        <v>0</v>
      </c>
      <c r="Q5558" t="s">
        <v>23</v>
      </c>
      <c r="R5558">
        <v>0</v>
      </c>
    </row>
    <row r="5559" spans="1:18">
      <c r="A5559" s="4">
        <v>258424000000</v>
      </c>
      <c r="B5559" t="s">
        <v>28</v>
      </c>
      <c r="C5559">
        <v>50</v>
      </c>
      <c r="D5559" t="s">
        <v>27</v>
      </c>
      <c r="E5559" t="s">
        <v>68</v>
      </c>
      <c r="F5559" s="1">
        <v>42514</v>
      </c>
      <c r="G5559" s="1">
        <v>42514</v>
      </c>
      <c r="H5559" t="s">
        <v>41</v>
      </c>
      <c r="I5559">
        <v>0</v>
      </c>
      <c r="J5559" t="s">
        <v>111</v>
      </c>
      <c r="K5559">
        <v>0</v>
      </c>
      <c r="L5559">
        <v>1</v>
      </c>
      <c r="M5559">
        <v>0</v>
      </c>
      <c r="N5559">
        <v>1</v>
      </c>
      <c r="O5559">
        <v>0</v>
      </c>
      <c r="P5559">
        <v>0</v>
      </c>
      <c r="Q5559" t="s">
        <v>23</v>
      </c>
      <c r="R5559">
        <v>0</v>
      </c>
    </row>
    <row r="5560" spans="1:18">
      <c r="A5560" s="4">
        <v>853440000000000</v>
      </c>
      <c r="B5560" t="s">
        <v>18</v>
      </c>
      <c r="C5560">
        <v>37</v>
      </c>
      <c r="D5560" t="s">
        <v>27</v>
      </c>
      <c r="E5560" t="s">
        <v>43</v>
      </c>
      <c r="F5560" s="1">
        <v>42514</v>
      </c>
      <c r="G5560" s="1">
        <v>42514</v>
      </c>
      <c r="H5560" t="s">
        <v>41</v>
      </c>
      <c r="I5560">
        <v>0</v>
      </c>
      <c r="J5560" t="s">
        <v>111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23</v>
      </c>
      <c r="R5560">
        <v>0</v>
      </c>
    </row>
    <row r="5561" spans="1:18">
      <c r="A5561" s="4">
        <v>92848300000000</v>
      </c>
      <c r="B5561" t="s">
        <v>28</v>
      </c>
      <c r="C5561">
        <v>51</v>
      </c>
      <c r="D5561" t="s">
        <v>35</v>
      </c>
      <c r="E5561" t="s">
        <v>59</v>
      </c>
      <c r="F5561" s="1">
        <v>42514</v>
      </c>
      <c r="G5561" s="1">
        <v>42515</v>
      </c>
      <c r="H5561" t="s">
        <v>25</v>
      </c>
      <c r="I5561">
        <v>1</v>
      </c>
      <c r="J5561" t="s">
        <v>109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23</v>
      </c>
      <c r="R5561">
        <v>0</v>
      </c>
    </row>
    <row r="5562" spans="1:18">
      <c r="A5562" s="4">
        <v>94535400000000</v>
      </c>
      <c r="B5562" t="s">
        <v>18</v>
      </c>
      <c r="C5562">
        <v>47</v>
      </c>
      <c r="D5562" t="s">
        <v>27</v>
      </c>
      <c r="E5562" t="s">
        <v>39</v>
      </c>
      <c r="F5562" s="1">
        <v>42514</v>
      </c>
      <c r="G5562" s="1">
        <v>42514</v>
      </c>
      <c r="H5562" t="s">
        <v>41</v>
      </c>
      <c r="I5562">
        <v>0</v>
      </c>
      <c r="J5562" t="s">
        <v>111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23</v>
      </c>
      <c r="R5562">
        <v>0</v>
      </c>
    </row>
    <row r="5563" spans="1:18">
      <c r="A5563" s="4">
        <v>726973000000</v>
      </c>
      <c r="B5563" t="s">
        <v>18</v>
      </c>
      <c r="C5563">
        <v>47</v>
      </c>
      <c r="D5563" t="s">
        <v>27</v>
      </c>
      <c r="E5563" t="s">
        <v>57</v>
      </c>
      <c r="F5563" s="1">
        <v>42514</v>
      </c>
      <c r="G5563" s="1">
        <v>42514</v>
      </c>
      <c r="H5563" t="s">
        <v>41</v>
      </c>
      <c r="I5563">
        <v>0</v>
      </c>
      <c r="J5563" t="s">
        <v>111</v>
      </c>
      <c r="K5563">
        <v>0</v>
      </c>
      <c r="L5563">
        <v>0</v>
      </c>
      <c r="M5563">
        <v>0</v>
      </c>
      <c r="N5563">
        <v>1</v>
      </c>
      <c r="O5563">
        <v>0</v>
      </c>
      <c r="P5563">
        <v>0</v>
      </c>
      <c r="Q5563" t="s">
        <v>23</v>
      </c>
      <c r="R5563">
        <v>0</v>
      </c>
    </row>
    <row r="5564" spans="1:18">
      <c r="A5564" s="4">
        <v>87383400000000</v>
      </c>
      <c r="B5564" t="s">
        <v>28</v>
      </c>
      <c r="C5564">
        <v>65</v>
      </c>
      <c r="D5564" t="s">
        <v>35</v>
      </c>
      <c r="E5564" t="s">
        <v>71</v>
      </c>
      <c r="F5564" s="1">
        <v>42515</v>
      </c>
      <c r="G5564" s="1">
        <v>42521</v>
      </c>
      <c r="H5564" t="s">
        <v>41</v>
      </c>
      <c r="I5564">
        <v>6</v>
      </c>
      <c r="J5564" t="s">
        <v>107</v>
      </c>
      <c r="K5564">
        <v>0</v>
      </c>
      <c r="L5564">
        <v>1</v>
      </c>
      <c r="M5564">
        <v>0</v>
      </c>
      <c r="N5564">
        <v>0</v>
      </c>
      <c r="O5564">
        <v>0</v>
      </c>
      <c r="P5564">
        <v>1</v>
      </c>
      <c r="Q5564" t="s">
        <v>23</v>
      </c>
      <c r="R5564">
        <v>0</v>
      </c>
    </row>
    <row r="5565" spans="1:18">
      <c r="A5565" s="4">
        <v>5113700000000</v>
      </c>
      <c r="B5565" t="s">
        <v>18</v>
      </c>
      <c r="C5565">
        <v>54</v>
      </c>
      <c r="D5565" t="s">
        <v>35</v>
      </c>
      <c r="E5565" t="s">
        <v>39</v>
      </c>
      <c r="F5565" s="1">
        <v>42515</v>
      </c>
      <c r="G5565" s="1">
        <v>42521</v>
      </c>
      <c r="H5565" t="s">
        <v>41</v>
      </c>
      <c r="I5565">
        <v>6</v>
      </c>
      <c r="J5565" t="s">
        <v>107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1</v>
      </c>
      <c r="Q5565" t="s">
        <v>23</v>
      </c>
      <c r="R5565">
        <v>0</v>
      </c>
    </row>
    <row r="5566" spans="1:18">
      <c r="A5566" s="4">
        <v>8173600000000</v>
      </c>
      <c r="B5566" t="s">
        <v>28</v>
      </c>
      <c r="C5566">
        <v>47</v>
      </c>
      <c r="D5566" t="s">
        <v>27</v>
      </c>
      <c r="E5566" t="s">
        <v>64</v>
      </c>
      <c r="F5566" s="1">
        <v>42515</v>
      </c>
      <c r="G5566" s="1">
        <v>42515</v>
      </c>
      <c r="H5566" t="s">
        <v>25</v>
      </c>
      <c r="I5566">
        <v>0</v>
      </c>
      <c r="J5566" t="s">
        <v>111</v>
      </c>
      <c r="K5566">
        <v>0</v>
      </c>
      <c r="L5566">
        <v>1</v>
      </c>
      <c r="M5566">
        <v>0</v>
      </c>
      <c r="N5566">
        <v>0</v>
      </c>
      <c r="O5566">
        <v>0</v>
      </c>
      <c r="P5566">
        <v>0</v>
      </c>
      <c r="Q5566" t="s">
        <v>23</v>
      </c>
      <c r="R5566">
        <v>0</v>
      </c>
    </row>
    <row r="5567" spans="1:18">
      <c r="A5567" s="4">
        <v>76899900000000</v>
      </c>
      <c r="B5567" t="s">
        <v>28</v>
      </c>
      <c r="C5567">
        <v>54</v>
      </c>
      <c r="D5567" t="s">
        <v>35</v>
      </c>
      <c r="E5567" t="s">
        <v>61</v>
      </c>
      <c r="F5567" s="1">
        <v>42515</v>
      </c>
      <c r="G5567" s="1">
        <v>42521</v>
      </c>
      <c r="H5567" t="s">
        <v>41</v>
      </c>
      <c r="I5567">
        <v>6</v>
      </c>
      <c r="J5567" t="s">
        <v>107</v>
      </c>
      <c r="K5567">
        <v>0</v>
      </c>
      <c r="L5567">
        <v>1</v>
      </c>
      <c r="M5567">
        <v>1</v>
      </c>
      <c r="N5567">
        <v>0</v>
      </c>
      <c r="O5567">
        <v>0</v>
      </c>
      <c r="P5567">
        <v>1</v>
      </c>
      <c r="Q5567" t="s">
        <v>23</v>
      </c>
      <c r="R5567">
        <v>0</v>
      </c>
    </row>
    <row r="5568" spans="1:18">
      <c r="A5568" s="4">
        <v>995197000000000</v>
      </c>
      <c r="B5568" t="s">
        <v>18</v>
      </c>
      <c r="C5568">
        <v>38</v>
      </c>
      <c r="D5568" t="s">
        <v>27</v>
      </c>
      <c r="E5568" t="s">
        <v>29</v>
      </c>
      <c r="F5568" s="1">
        <v>42515</v>
      </c>
      <c r="G5568" s="1">
        <v>42515</v>
      </c>
      <c r="H5568" t="s">
        <v>25</v>
      </c>
      <c r="I5568">
        <v>0</v>
      </c>
      <c r="J5568" t="s">
        <v>111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23</v>
      </c>
      <c r="R5568">
        <v>0</v>
      </c>
    </row>
    <row r="5569" spans="1:18">
      <c r="A5569" s="4">
        <v>7423610000000</v>
      </c>
      <c r="B5569" t="s">
        <v>28</v>
      </c>
      <c r="C5569">
        <v>82</v>
      </c>
      <c r="D5569" t="s">
        <v>19</v>
      </c>
      <c r="E5569" t="s">
        <v>50</v>
      </c>
      <c r="F5569" s="1">
        <v>42515</v>
      </c>
      <c r="G5569" s="1">
        <v>42515</v>
      </c>
      <c r="H5569" t="s">
        <v>25</v>
      </c>
      <c r="I5569">
        <v>0</v>
      </c>
      <c r="J5569" t="s">
        <v>111</v>
      </c>
      <c r="K5569">
        <v>0</v>
      </c>
      <c r="L5569">
        <v>1</v>
      </c>
      <c r="M5569">
        <v>0</v>
      </c>
      <c r="N5569">
        <v>0</v>
      </c>
      <c r="O5569">
        <v>0</v>
      </c>
      <c r="P5569">
        <v>0</v>
      </c>
      <c r="Q5569" t="s">
        <v>23</v>
      </c>
      <c r="R5569">
        <v>0</v>
      </c>
    </row>
    <row r="5570" spans="1:18">
      <c r="A5570" s="4">
        <v>9924260000000</v>
      </c>
      <c r="B5570" t="s">
        <v>18</v>
      </c>
      <c r="C5570">
        <v>38</v>
      </c>
      <c r="D5570" t="s">
        <v>27</v>
      </c>
      <c r="E5570" t="s">
        <v>58</v>
      </c>
      <c r="F5570" s="1">
        <v>42515</v>
      </c>
      <c r="G5570" s="1">
        <v>42521</v>
      </c>
      <c r="H5570" t="s">
        <v>41</v>
      </c>
      <c r="I5570">
        <v>6</v>
      </c>
      <c r="J5570" t="s">
        <v>107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1</v>
      </c>
      <c r="Q5570" t="s">
        <v>23</v>
      </c>
      <c r="R5570">
        <v>0</v>
      </c>
    </row>
    <row r="5571" spans="1:18">
      <c r="A5571" s="4">
        <v>9394490000000</v>
      </c>
      <c r="B5571" t="s">
        <v>28</v>
      </c>
      <c r="C5571">
        <v>31</v>
      </c>
      <c r="D5571" t="s">
        <v>37</v>
      </c>
      <c r="E5571" t="s">
        <v>32</v>
      </c>
      <c r="F5571" s="1">
        <v>42515</v>
      </c>
      <c r="G5571" s="1">
        <v>42515</v>
      </c>
      <c r="H5571" t="s">
        <v>25</v>
      </c>
      <c r="I5571">
        <v>0</v>
      </c>
      <c r="J5571" t="s">
        <v>111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 t="s">
        <v>23</v>
      </c>
      <c r="R5571">
        <v>0</v>
      </c>
    </row>
    <row r="5572" spans="1:18">
      <c r="A5572" s="4">
        <v>14491900000000</v>
      </c>
      <c r="B5572" t="s">
        <v>18</v>
      </c>
      <c r="C5572">
        <v>59</v>
      </c>
      <c r="D5572" t="s">
        <v>35</v>
      </c>
      <c r="E5572" t="s">
        <v>44</v>
      </c>
      <c r="F5572" s="1">
        <v>42515</v>
      </c>
      <c r="G5572" s="1">
        <v>42521</v>
      </c>
      <c r="H5572" t="s">
        <v>41</v>
      </c>
      <c r="I5572">
        <v>6</v>
      </c>
      <c r="J5572" t="s">
        <v>107</v>
      </c>
      <c r="K5572">
        <v>0</v>
      </c>
      <c r="L5572">
        <v>1</v>
      </c>
      <c r="M5572">
        <v>0</v>
      </c>
      <c r="N5572">
        <v>0</v>
      </c>
      <c r="O5572">
        <v>0</v>
      </c>
      <c r="P5572">
        <v>1</v>
      </c>
      <c r="Q5572" t="s">
        <v>23</v>
      </c>
      <c r="R5572">
        <v>0</v>
      </c>
    </row>
    <row r="5573" spans="1:18">
      <c r="A5573" s="4">
        <v>5926990000000</v>
      </c>
      <c r="B5573" t="s">
        <v>28</v>
      </c>
      <c r="C5573">
        <v>51</v>
      </c>
      <c r="D5573" t="s">
        <v>35</v>
      </c>
      <c r="E5573" t="s">
        <v>45</v>
      </c>
      <c r="F5573" s="1">
        <v>42515</v>
      </c>
      <c r="G5573" s="1">
        <v>42515</v>
      </c>
      <c r="H5573" t="s">
        <v>25</v>
      </c>
      <c r="I5573">
        <v>0</v>
      </c>
      <c r="J5573" t="s">
        <v>111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 t="s">
        <v>23</v>
      </c>
      <c r="R5573">
        <v>0</v>
      </c>
    </row>
    <row r="5574" spans="1:18">
      <c r="A5574" s="4">
        <v>17772500000000</v>
      </c>
      <c r="B5574" t="s">
        <v>28</v>
      </c>
      <c r="C5574">
        <v>18</v>
      </c>
      <c r="D5574" t="s">
        <v>37</v>
      </c>
      <c r="E5574" t="s">
        <v>105</v>
      </c>
      <c r="F5574" s="1">
        <v>42515</v>
      </c>
      <c r="G5574" s="1">
        <v>42523</v>
      </c>
      <c r="H5574" t="s">
        <v>33</v>
      </c>
      <c r="I5574">
        <v>8</v>
      </c>
      <c r="J5574" t="s">
        <v>92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1</v>
      </c>
      <c r="Q5574" t="s">
        <v>23</v>
      </c>
      <c r="R5574">
        <v>0</v>
      </c>
    </row>
    <row r="5575" spans="1:18">
      <c r="A5575" s="4">
        <v>33748600000000</v>
      </c>
      <c r="B5575" t="s">
        <v>28</v>
      </c>
      <c r="C5575">
        <v>15</v>
      </c>
      <c r="D5575" t="s">
        <v>60</v>
      </c>
      <c r="E5575" t="s">
        <v>75</v>
      </c>
      <c r="F5575" s="1">
        <v>42515</v>
      </c>
      <c r="G5575" s="1">
        <v>42515</v>
      </c>
      <c r="H5575" t="s">
        <v>25</v>
      </c>
      <c r="I5575">
        <v>0</v>
      </c>
      <c r="J5575" t="s">
        <v>111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 t="s">
        <v>23</v>
      </c>
      <c r="R5575">
        <v>0</v>
      </c>
    </row>
    <row r="5576" spans="1:18">
      <c r="A5576" s="4">
        <v>24231400000000</v>
      </c>
      <c r="B5576" t="s">
        <v>18</v>
      </c>
      <c r="C5576">
        <v>50</v>
      </c>
      <c r="D5576" t="s">
        <v>27</v>
      </c>
      <c r="E5576" t="s">
        <v>57</v>
      </c>
      <c r="F5576" s="1">
        <v>42515</v>
      </c>
      <c r="G5576" s="1">
        <v>42515</v>
      </c>
      <c r="H5576" t="s">
        <v>25</v>
      </c>
      <c r="I5576">
        <v>0</v>
      </c>
      <c r="J5576" t="s">
        <v>111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23</v>
      </c>
      <c r="R5576">
        <v>0</v>
      </c>
    </row>
    <row r="5577" spans="1:18">
      <c r="A5577" s="4">
        <v>9547880000000</v>
      </c>
      <c r="B5577" t="s">
        <v>18</v>
      </c>
      <c r="C5577">
        <v>43</v>
      </c>
      <c r="D5577" t="s">
        <v>27</v>
      </c>
      <c r="E5577" t="s">
        <v>80</v>
      </c>
      <c r="F5577" s="1">
        <v>42515</v>
      </c>
      <c r="G5577" s="1">
        <v>42515</v>
      </c>
      <c r="H5577" t="s">
        <v>25</v>
      </c>
      <c r="I5577">
        <v>0</v>
      </c>
      <c r="J5577" t="s">
        <v>111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 t="s">
        <v>23</v>
      </c>
      <c r="R5577">
        <v>0</v>
      </c>
    </row>
    <row r="5578" spans="1:18">
      <c r="A5578" s="4">
        <v>526547000000000</v>
      </c>
      <c r="B5578" t="s">
        <v>18</v>
      </c>
      <c r="C5578">
        <v>37</v>
      </c>
      <c r="D5578" t="s">
        <v>27</v>
      </c>
      <c r="E5578" t="s">
        <v>58</v>
      </c>
      <c r="F5578" s="1">
        <v>42515</v>
      </c>
      <c r="G5578" s="1">
        <v>42515</v>
      </c>
      <c r="H5578" t="s">
        <v>25</v>
      </c>
      <c r="I5578">
        <v>0</v>
      </c>
      <c r="J5578" t="s">
        <v>111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23</v>
      </c>
      <c r="R5578">
        <v>0</v>
      </c>
    </row>
    <row r="5579" spans="1:18">
      <c r="A5579" s="4">
        <v>137839000000000</v>
      </c>
      <c r="B5579" t="s">
        <v>18</v>
      </c>
      <c r="C5579">
        <v>72</v>
      </c>
      <c r="D5579" t="s">
        <v>19</v>
      </c>
      <c r="E5579" t="s">
        <v>20</v>
      </c>
      <c r="F5579" s="1">
        <v>42515</v>
      </c>
      <c r="G5579" s="1">
        <v>42515</v>
      </c>
      <c r="H5579" t="s">
        <v>25</v>
      </c>
      <c r="I5579">
        <v>0</v>
      </c>
      <c r="J5579" t="s">
        <v>111</v>
      </c>
      <c r="K5579">
        <v>0</v>
      </c>
      <c r="L5579">
        <v>1</v>
      </c>
      <c r="M5579">
        <v>1</v>
      </c>
      <c r="N5579">
        <v>0</v>
      </c>
      <c r="O5579">
        <v>0</v>
      </c>
      <c r="P5579">
        <v>0</v>
      </c>
      <c r="Q5579" t="s">
        <v>23</v>
      </c>
      <c r="R5579">
        <v>0</v>
      </c>
    </row>
    <row r="5580" spans="1:18">
      <c r="A5580" s="4">
        <v>5899840000000</v>
      </c>
      <c r="B5580" t="s">
        <v>28</v>
      </c>
      <c r="C5580">
        <v>12</v>
      </c>
      <c r="D5580" t="s">
        <v>31</v>
      </c>
      <c r="E5580" t="s">
        <v>45</v>
      </c>
      <c r="F5580" s="1">
        <v>42515</v>
      </c>
      <c r="G5580" s="1">
        <v>42520</v>
      </c>
      <c r="H5580" t="s">
        <v>30</v>
      </c>
      <c r="I5580">
        <v>5</v>
      </c>
      <c r="J5580" t="s">
        <v>107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1</v>
      </c>
      <c r="Q5580" t="s">
        <v>23</v>
      </c>
      <c r="R5580">
        <v>0</v>
      </c>
    </row>
    <row r="5581" spans="1:18">
      <c r="A5581" s="4">
        <v>36143500000000</v>
      </c>
      <c r="B5581" t="s">
        <v>18</v>
      </c>
      <c r="C5581">
        <v>38</v>
      </c>
      <c r="D5581" t="s">
        <v>27</v>
      </c>
      <c r="E5581" t="s">
        <v>69</v>
      </c>
      <c r="F5581" s="1">
        <v>42515</v>
      </c>
      <c r="G5581" s="1">
        <v>42515</v>
      </c>
      <c r="H5581" t="s">
        <v>25</v>
      </c>
      <c r="I5581">
        <v>0</v>
      </c>
      <c r="J5581" t="s">
        <v>111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23</v>
      </c>
      <c r="R5581">
        <v>0</v>
      </c>
    </row>
    <row r="5582" spans="1:18">
      <c r="A5582" s="4">
        <v>11552900000000</v>
      </c>
      <c r="B5582" t="s">
        <v>28</v>
      </c>
      <c r="C5582">
        <v>5</v>
      </c>
      <c r="D5582" t="s">
        <v>31</v>
      </c>
      <c r="E5582" t="s">
        <v>50</v>
      </c>
      <c r="F5582" s="1">
        <v>42515</v>
      </c>
      <c r="G5582" s="1">
        <v>42527</v>
      </c>
      <c r="H5582" t="s">
        <v>30</v>
      </c>
      <c r="I5582">
        <v>12</v>
      </c>
      <c r="J5582" t="s">
        <v>92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1</v>
      </c>
      <c r="Q5582" t="s">
        <v>23</v>
      </c>
      <c r="R5582">
        <v>0</v>
      </c>
    </row>
    <row r="5583" spans="1:18">
      <c r="A5583" s="4">
        <v>452834000000000</v>
      </c>
      <c r="B5583" t="s">
        <v>18</v>
      </c>
      <c r="C5583">
        <v>3</v>
      </c>
      <c r="D5583" t="s">
        <v>31</v>
      </c>
      <c r="E5583" t="s">
        <v>58</v>
      </c>
      <c r="F5583" s="1">
        <v>42515</v>
      </c>
      <c r="G5583" s="1">
        <v>42515</v>
      </c>
      <c r="H5583" t="s">
        <v>25</v>
      </c>
      <c r="I5583">
        <v>0</v>
      </c>
      <c r="J5583" t="s">
        <v>111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23</v>
      </c>
      <c r="R5583">
        <v>0</v>
      </c>
    </row>
    <row r="5584" spans="1:18">
      <c r="A5584" s="4">
        <v>94552100000000</v>
      </c>
      <c r="B5584" t="s">
        <v>18</v>
      </c>
      <c r="C5584">
        <v>67</v>
      </c>
      <c r="D5584" t="s">
        <v>19</v>
      </c>
      <c r="E5584" t="s">
        <v>40</v>
      </c>
      <c r="F5584" s="1">
        <v>42515</v>
      </c>
      <c r="G5584" s="1">
        <v>42529</v>
      </c>
      <c r="H5584" t="s">
        <v>25</v>
      </c>
      <c r="I5584">
        <v>14</v>
      </c>
      <c r="J5584" t="s">
        <v>92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 t="s">
        <v>23</v>
      </c>
      <c r="R5584">
        <v>0</v>
      </c>
    </row>
    <row r="5585" spans="1:18">
      <c r="A5585" s="4">
        <v>997248000000000</v>
      </c>
      <c r="B5585" t="s">
        <v>28</v>
      </c>
      <c r="C5585">
        <v>73</v>
      </c>
      <c r="D5585" t="s">
        <v>19</v>
      </c>
      <c r="E5585" t="s">
        <v>75</v>
      </c>
      <c r="F5585" s="1">
        <v>42515</v>
      </c>
      <c r="G5585" s="1">
        <v>42515</v>
      </c>
      <c r="H5585" t="s">
        <v>25</v>
      </c>
      <c r="I5585">
        <v>0</v>
      </c>
      <c r="J5585" t="s">
        <v>111</v>
      </c>
      <c r="K5585">
        <v>0</v>
      </c>
      <c r="L5585">
        <v>1</v>
      </c>
      <c r="M5585">
        <v>0</v>
      </c>
      <c r="N5585">
        <v>0</v>
      </c>
      <c r="O5585">
        <v>0</v>
      </c>
      <c r="P5585">
        <v>0</v>
      </c>
      <c r="Q5585" t="s">
        <v>23</v>
      </c>
      <c r="R5585">
        <v>0</v>
      </c>
    </row>
    <row r="5586" spans="1:18">
      <c r="A5586" s="4">
        <v>2465290000000</v>
      </c>
      <c r="B5586" t="s">
        <v>18</v>
      </c>
      <c r="C5586">
        <v>45</v>
      </c>
      <c r="D5586" t="s">
        <v>27</v>
      </c>
      <c r="E5586" t="s">
        <v>32</v>
      </c>
      <c r="F5586" s="1">
        <v>42515</v>
      </c>
      <c r="G5586" s="1">
        <v>42523</v>
      </c>
      <c r="H5586" t="s">
        <v>33</v>
      </c>
      <c r="I5586">
        <v>8</v>
      </c>
      <c r="J5586" t="s">
        <v>92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1</v>
      </c>
      <c r="Q5586" t="s">
        <v>23</v>
      </c>
      <c r="R5586">
        <v>0</v>
      </c>
    </row>
    <row r="5587" spans="1:18">
      <c r="A5587" s="4">
        <v>5679490000000</v>
      </c>
      <c r="B5587" t="s">
        <v>18</v>
      </c>
      <c r="C5587">
        <v>7</v>
      </c>
      <c r="D5587" t="s">
        <v>31</v>
      </c>
      <c r="E5587" t="s">
        <v>71</v>
      </c>
      <c r="F5587" s="1">
        <v>42515</v>
      </c>
      <c r="G5587" s="1">
        <v>42515</v>
      </c>
      <c r="H5587" t="s">
        <v>25</v>
      </c>
      <c r="I5587">
        <v>0</v>
      </c>
      <c r="J5587" t="s">
        <v>111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23</v>
      </c>
      <c r="R5587">
        <v>0</v>
      </c>
    </row>
    <row r="5588" spans="1:18">
      <c r="A5588" s="4">
        <v>511866000000</v>
      </c>
      <c r="B5588" t="s">
        <v>28</v>
      </c>
      <c r="C5588">
        <v>0</v>
      </c>
      <c r="D5588" t="s">
        <v>31</v>
      </c>
      <c r="E5588" t="s">
        <v>59</v>
      </c>
      <c r="F5588" s="1">
        <v>42515</v>
      </c>
      <c r="G5588" s="1">
        <v>42515</v>
      </c>
      <c r="H5588" t="s">
        <v>25</v>
      </c>
      <c r="I5588">
        <v>0</v>
      </c>
      <c r="J5588" t="s">
        <v>111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23</v>
      </c>
      <c r="R5588">
        <v>0</v>
      </c>
    </row>
    <row r="5589" spans="1:18">
      <c r="A5589" s="4">
        <v>112113000000</v>
      </c>
      <c r="B5589" t="s">
        <v>18</v>
      </c>
      <c r="C5589">
        <v>72</v>
      </c>
      <c r="D5589" t="s">
        <v>19</v>
      </c>
      <c r="E5589" t="s">
        <v>108</v>
      </c>
      <c r="F5589" s="1">
        <v>42515</v>
      </c>
      <c r="G5589" s="1">
        <v>42528</v>
      </c>
      <c r="H5589" t="s">
        <v>41</v>
      </c>
      <c r="I5589">
        <v>13</v>
      </c>
      <c r="J5589" t="s">
        <v>92</v>
      </c>
      <c r="K5589">
        <v>0</v>
      </c>
      <c r="L5589">
        <v>1</v>
      </c>
      <c r="M5589">
        <v>0</v>
      </c>
      <c r="N5589">
        <v>0</v>
      </c>
      <c r="O5589">
        <v>0</v>
      </c>
      <c r="P5589">
        <v>1</v>
      </c>
      <c r="Q5589" t="s">
        <v>23</v>
      </c>
      <c r="R5589">
        <v>0</v>
      </c>
    </row>
    <row r="5590" spans="1:18">
      <c r="A5590" s="4">
        <v>966623000000000</v>
      </c>
      <c r="B5590" t="s">
        <v>18</v>
      </c>
      <c r="C5590">
        <v>57</v>
      </c>
      <c r="D5590" t="s">
        <v>35</v>
      </c>
      <c r="E5590" t="s">
        <v>61</v>
      </c>
      <c r="F5590" s="1">
        <v>42515</v>
      </c>
      <c r="G5590" s="1">
        <v>42528</v>
      </c>
      <c r="H5590" t="s">
        <v>41</v>
      </c>
      <c r="I5590">
        <v>13</v>
      </c>
      <c r="J5590" t="s">
        <v>92</v>
      </c>
      <c r="K5590">
        <v>0</v>
      </c>
      <c r="L5590">
        <v>0</v>
      </c>
      <c r="M5590">
        <v>1</v>
      </c>
      <c r="N5590">
        <v>0</v>
      </c>
      <c r="O5590">
        <v>0</v>
      </c>
      <c r="P5590">
        <v>1</v>
      </c>
      <c r="Q5590" t="s">
        <v>23</v>
      </c>
      <c r="R5590">
        <v>0</v>
      </c>
    </row>
    <row r="5591" spans="1:18">
      <c r="A5591" s="4">
        <v>6478110000000</v>
      </c>
      <c r="B5591" t="s">
        <v>18</v>
      </c>
      <c r="C5591">
        <v>62</v>
      </c>
      <c r="D5591" t="s">
        <v>35</v>
      </c>
      <c r="E5591" t="s">
        <v>70</v>
      </c>
      <c r="F5591" s="1">
        <v>42515</v>
      </c>
      <c r="G5591" s="1">
        <v>42529</v>
      </c>
      <c r="H5591" t="s">
        <v>25</v>
      </c>
      <c r="I5591">
        <v>14</v>
      </c>
      <c r="J5591" t="s">
        <v>92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1</v>
      </c>
      <c r="Q5591" t="s">
        <v>23</v>
      </c>
      <c r="R5591">
        <v>0</v>
      </c>
    </row>
    <row r="5592" spans="1:18">
      <c r="A5592" s="4">
        <v>83974600000000</v>
      </c>
      <c r="B5592" t="s">
        <v>28</v>
      </c>
      <c r="C5592">
        <v>46</v>
      </c>
      <c r="D5592" t="s">
        <v>27</v>
      </c>
      <c r="E5592" t="s">
        <v>67</v>
      </c>
      <c r="F5592" s="1">
        <v>42515</v>
      </c>
      <c r="G5592" s="1">
        <v>42515</v>
      </c>
      <c r="H5592" t="s">
        <v>25</v>
      </c>
      <c r="I5592">
        <v>0</v>
      </c>
      <c r="J5592" t="s">
        <v>111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23</v>
      </c>
      <c r="R5592">
        <v>0</v>
      </c>
    </row>
    <row r="5593" spans="1:18">
      <c r="A5593" s="4">
        <v>9526380000000</v>
      </c>
      <c r="B5593" t="s">
        <v>28</v>
      </c>
      <c r="C5593">
        <v>55</v>
      </c>
      <c r="D5593" t="s">
        <v>35</v>
      </c>
      <c r="E5593" t="s">
        <v>44</v>
      </c>
      <c r="F5593" s="1">
        <v>42515</v>
      </c>
      <c r="G5593" s="1">
        <v>42523</v>
      </c>
      <c r="H5593" t="s">
        <v>33</v>
      </c>
      <c r="I5593">
        <v>8</v>
      </c>
      <c r="J5593" t="s">
        <v>92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1</v>
      </c>
      <c r="Q5593" t="s">
        <v>26</v>
      </c>
      <c r="R5593">
        <v>1</v>
      </c>
    </row>
    <row r="5594" spans="1:18">
      <c r="A5594" s="4">
        <v>349772000000000</v>
      </c>
      <c r="B5594" t="s">
        <v>28</v>
      </c>
      <c r="C5594">
        <v>4</v>
      </c>
      <c r="D5594" t="s">
        <v>31</v>
      </c>
      <c r="E5594" t="s">
        <v>29</v>
      </c>
      <c r="F5594" s="1">
        <v>42515</v>
      </c>
      <c r="G5594" s="1">
        <v>42515</v>
      </c>
      <c r="H5594" t="s">
        <v>25</v>
      </c>
      <c r="I5594">
        <v>0</v>
      </c>
      <c r="J5594" t="s">
        <v>111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23</v>
      </c>
      <c r="R5594">
        <v>0</v>
      </c>
    </row>
    <row r="5595" spans="1:18">
      <c r="A5595" s="4">
        <v>69867500000000</v>
      </c>
      <c r="B5595" t="s">
        <v>18</v>
      </c>
      <c r="C5595">
        <v>74</v>
      </c>
      <c r="D5595" t="s">
        <v>19</v>
      </c>
      <c r="E5595" t="s">
        <v>32</v>
      </c>
      <c r="F5595" s="1">
        <v>42515</v>
      </c>
      <c r="G5595" s="1">
        <v>42522</v>
      </c>
      <c r="H5595" t="s">
        <v>25</v>
      </c>
      <c r="I5595">
        <v>7</v>
      </c>
      <c r="J5595" t="s">
        <v>107</v>
      </c>
      <c r="K5595">
        <v>0</v>
      </c>
      <c r="L5595">
        <v>1</v>
      </c>
      <c r="M5595">
        <v>1</v>
      </c>
      <c r="N5595">
        <v>0</v>
      </c>
      <c r="O5595">
        <v>0</v>
      </c>
      <c r="P5595">
        <v>1</v>
      </c>
      <c r="Q5595" t="s">
        <v>23</v>
      </c>
      <c r="R5595">
        <v>0</v>
      </c>
    </row>
    <row r="5596" spans="1:18">
      <c r="A5596" s="4">
        <v>24567200000000</v>
      </c>
      <c r="B5596" t="s">
        <v>28</v>
      </c>
      <c r="C5596">
        <v>0</v>
      </c>
      <c r="D5596" t="s">
        <v>31</v>
      </c>
      <c r="E5596" t="s">
        <v>45</v>
      </c>
      <c r="F5596" s="1">
        <v>42515</v>
      </c>
      <c r="G5596" s="1">
        <v>42515</v>
      </c>
      <c r="H5596" t="s">
        <v>25</v>
      </c>
      <c r="I5596">
        <v>0</v>
      </c>
      <c r="J5596" t="s">
        <v>111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23</v>
      </c>
      <c r="R5596">
        <v>0</v>
      </c>
    </row>
    <row r="5597" spans="1:18">
      <c r="A5597" s="4">
        <v>784331000000000</v>
      </c>
      <c r="B5597" t="s">
        <v>28</v>
      </c>
      <c r="C5597">
        <v>55</v>
      </c>
      <c r="D5597" t="s">
        <v>35</v>
      </c>
      <c r="E5597" t="s">
        <v>32</v>
      </c>
      <c r="F5597" s="1">
        <v>42515</v>
      </c>
      <c r="G5597" s="1">
        <v>42524</v>
      </c>
      <c r="H5597" t="s">
        <v>21</v>
      </c>
      <c r="I5597">
        <v>9</v>
      </c>
      <c r="J5597" t="s">
        <v>92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1</v>
      </c>
      <c r="Q5597" t="s">
        <v>26</v>
      </c>
      <c r="R5597">
        <v>1</v>
      </c>
    </row>
    <row r="5598" spans="1:18">
      <c r="A5598" s="4">
        <v>618789000000</v>
      </c>
      <c r="B5598" t="s">
        <v>18</v>
      </c>
      <c r="C5598">
        <v>20</v>
      </c>
      <c r="D5598" t="s">
        <v>37</v>
      </c>
      <c r="E5598" t="s">
        <v>52</v>
      </c>
      <c r="F5598" s="1">
        <v>42515</v>
      </c>
      <c r="G5598" s="1">
        <v>42515</v>
      </c>
      <c r="H5598" t="s">
        <v>25</v>
      </c>
      <c r="I5598">
        <v>0</v>
      </c>
      <c r="J5598" t="s">
        <v>111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23</v>
      </c>
      <c r="R5598">
        <v>0</v>
      </c>
    </row>
    <row r="5599" spans="1:18">
      <c r="A5599" s="4">
        <v>24492600000000</v>
      </c>
      <c r="B5599" t="s">
        <v>18</v>
      </c>
      <c r="C5599">
        <v>54</v>
      </c>
      <c r="D5599" t="s">
        <v>35</v>
      </c>
      <c r="E5599" t="s">
        <v>61</v>
      </c>
      <c r="F5599" s="1">
        <v>42515</v>
      </c>
      <c r="G5599" s="1">
        <v>42521</v>
      </c>
      <c r="H5599" t="s">
        <v>41</v>
      </c>
      <c r="I5599">
        <v>6</v>
      </c>
      <c r="J5599" t="s">
        <v>107</v>
      </c>
      <c r="K5599">
        <v>0</v>
      </c>
      <c r="L5599">
        <v>1</v>
      </c>
      <c r="M5599">
        <v>0</v>
      </c>
      <c r="N5599">
        <v>0</v>
      </c>
      <c r="O5599">
        <v>0</v>
      </c>
      <c r="P5599">
        <v>1</v>
      </c>
      <c r="Q5599" t="s">
        <v>23</v>
      </c>
      <c r="R5599">
        <v>0</v>
      </c>
    </row>
    <row r="5600" spans="1:18">
      <c r="A5600" s="4">
        <v>8564410000000</v>
      </c>
      <c r="B5600" t="s">
        <v>28</v>
      </c>
      <c r="C5600">
        <v>45</v>
      </c>
      <c r="D5600" t="s">
        <v>27</v>
      </c>
      <c r="E5600" t="s">
        <v>84</v>
      </c>
      <c r="F5600" s="1">
        <v>42515</v>
      </c>
      <c r="G5600" s="1">
        <v>42520</v>
      </c>
      <c r="H5600" t="s">
        <v>30</v>
      </c>
      <c r="I5600">
        <v>5</v>
      </c>
      <c r="J5600" t="s">
        <v>107</v>
      </c>
      <c r="K5600">
        <v>0</v>
      </c>
      <c r="L5600">
        <v>1</v>
      </c>
      <c r="M5600">
        <v>0</v>
      </c>
      <c r="N5600">
        <v>0</v>
      </c>
      <c r="O5600">
        <v>0</v>
      </c>
      <c r="P5600">
        <v>1</v>
      </c>
      <c r="Q5600" t="s">
        <v>23</v>
      </c>
      <c r="R5600">
        <v>0</v>
      </c>
    </row>
    <row r="5601" spans="1:18">
      <c r="A5601" s="4">
        <v>815458000000000</v>
      </c>
      <c r="B5601" t="s">
        <v>18</v>
      </c>
      <c r="C5601">
        <v>55</v>
      </c>
      <c r="D5601" t="s">
        <v>35</v>
      </c>
      <c r="E5601" t="s">
        <v>82</v>
      </c>
      <c r="F5601" s="1">
        <v>42515</v>
      </c>
      <c r="G5601" s="1">
        <v>42529</v>
      </c>
      <c r="H5601" t="s">
        <v>25</v>
      </c>
      <c r="I5601">
        <v>14</v>
      </c>
      <c r="J5601" t="s">
        <v>92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1</v>
      </c>
      <c r="Q5601" t="s">
        <v>23</v>
      </c>
      <c r="R5601">
        <v>0</v>
      </c>
    </row>
    <row r="5602" spans="1:18">
      <c r="A5602" s="4">
        <v>484182000000</v>
      </c>
      <c r="B5602" t="s">
        <v>28</v>
      </c>
      <c r="C5602">
        <v>6</v>
      </c>
      <c r="D5602" t="s">
        <v>31</v>
      </c>
      <c r="E5602" t="s">
        <v>32</v>
      </c>
      <c r="F5602" s="1">
        <v>42515</v>
      </c>
      <c r="G5602" s="1">
        <v>42515</v>
      </c>
      <c r="H5602" t="s">
        <v>25</v>
      </c>
      <c r="I5602">
        <v>0</v>
      </c>
      <c r="J5602" t="s">
        <v>111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23</v>
      </c>
      <c r="R5602">
        <v>0</v>
      </c>
    </row>
    <row r="5603" spans="1:18">
      <c r="A5603" s="4">
        <v>6677240000000</v>
      </c>
      <c r="B5603" t="s">
        <v>18</v>
      </c>
      <c r="C5603">
        <v>52</v>
      </c>
      <c r="D5603" t="s">
        <v>35</v>
      </c>
      <c r="E5603" t="s">
        <v>45</v>
      </c>
      <c r="F5603" s="1">
        <v>42515</v>
      </c>
      <c r="G5603" s="1">
        <v>42515</v>
      </c>
      <c r="H5603" t="s">
        <v>25</v>
      </c>
      <c r="I5603">
        <v>0</v>
      </c>
      <c r="J5603" t="s">
        <v>111</v>
      </c>
      <c r="K5603">
        <v>0</v>
      </c>
      <c r="L5603">
        <v>1</v>
      </c>
      <c r="M5603">
        <v>0</v>
      </c>
      <c r="N5603">
        <v>0</v>
      </c>
      <c r="O5603">
        <v>0</v>
      </c>
      <c r="P5603">
        <v>0</v>
      </c>
      <c r="Q5603" t="s">
        <v>23</v>
      </c>
      <c r="R5603">
        <v>0</v>
      </c>
    </row>
    <row r="5604" spans="1:18">
      <c r="A5604" s="4">
        <v>2737660000000</v>
      </c>
      <c r="B5604" t="s">
        <v>18</v>
      </c>
      <c r="C5604">
        <v>0</v>
      </c>
      <c r="D5604" t="s">
        <v>31</v>
      </c>
      <c r="E5604" t="s">
        <v>105</v>
      </c>
      <c r="F5604" s="1">
        <v>42515</v>
      </c>
      <c r="G5604" s="1">
        <v>42515</v>
      </c>
      <c r="H5604" t="s">
        <v>25</v>
      </c>
      <c r="I5604">
        <v>0</v>
      </c>
      <c r="J5604" t="s">
        <v>111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23</v>
      </c>
      <c r="R5604">
        <v>0</v>
      </c>
    </row>
    <row r="5605" spans="1:18">
      <c r="A5605" s="4">
        <v>868526000000000</v>
      </c>
      <c r="B5605" t="s">
        <v>18</v>
      </c>
      <c r="C5605">
        <v>50</v>
      </c>
      <c r="D5605" t="s">
        <v>27</v>
      </c>
      <c r="E5605" t="s">
        <v>34</v>
      </c>
      <c r="F5605" s="1">
        <v>42515</v>
      </c>
      <c r="G5605" s="1">
        <v>42515</v>
      </c>
      <c r="H5605" t="s">
        <v>25</v>
      </c>
      <c r="I5605">
        <v>0</v>
      </c>
      <c r="J5605" t="s">
        <v>111</v>
      </c>
      <c r="K5605">
        <v>0</v>
      </c>
      <c r="L5605">
        <v>1</v>
      </c>
      <c r="M5605">
        <v>0</v>
      </c>
      <c r="N5605">
        <v>0</v>
      </c>
      <c r="O5605">
        <v>0</v>
      </c>
      <c r="P5605">
        <v>0</v>
      </c>
      <c r="Q5605" t="s">
        <v>23</v>
      </c>
      <c r="R5605">
        <v>0</v>
      </c>
    </row>
    <row r="5606" spans="1:18">
      <c r="A5606" s="4">
        <v>76325800000000</v>
      </c>
      <c r="B5606" t="s">
        <v>28</v>
      </c>
      <c r="C5606">
        <v>22</v>
      </c>
      <c r="D5606" t="s">
        <v>37</v>
      </c>
      <c r="E5606" t="s">
        <v>79</v>
      </c>
      <c r="F5606" s="1">
        <v>42515</v>
      </c>
      <c r="G5606" s="1">
        <v>42521</v>
      </c>
      <c r="H5606" t="s">
        <v>41</v>
      </c>
      <c r="I5606">
        <v>6</v>
      </c>
      <c r="J5606" t="s">
        <v>107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1</v>
      </c>
      <c r="Q5606" t="s">
        <v>23</v>
      </c>
      <c r="R5606">
        <v>0</v>
      </c>
    </row>
    <row r="5607" spans="1:18">
      <c r="A5607" s="4">
        <v>67254200000000</v>
      </c>
      <c r="B5607" t="s">
        <v>28</v>
      </c>
      <c r="C5607">
        <v>2</v>
      </c>
      <c r="D5607" t="s">
        <v>31</v>
      </c>
      <c r="E5607" t="s">
        <v>57</v>
      </c>
      <c r="F5607" s="1">
        <v>42515</v>
      </c>
      <c r="G5607" s="1">
        <v>42520</v>
      </c>
      <c r="H5607" t="s">
        <v>30</v>
      </c>
      <c r="I5607">
        <v>5</v>
      </c>
      <c r="J5607" t="s">
        <v>107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1</v>
      </c>
      <c r="Q5607" t="s">
        <v>26</v>
      </c>
      <c r="R5607">
        <v>1</v>
      </c>
    </row>
    <row r="5608" spans="1:18">
      <c r="A5608" s="4">
        <v>949356000000</v>
      </c>
      <c r="B5608" t="s">
        <v>18</v>
      </c>
      <c r="C5608">
        <v>64</v>
      </c>
      <c r="D5608" t="s">
        <v>35</v>
      </c>
      <c r="E5608" t="s">
        <v>82</v>
      </c>
      <c r="F5608" s="1">
        <v>42515</v>
      </c>
      <c r="G5608" s="1">
        <v>42520</v>
      </c>
      <c r="H5608" t="s">
        <v>30</v>
      </c>
      <c r="I5608">
        <v>5</v>
      </c>
      <c r="J5608" t="s">
        <v>107</v>
      </c>
      <c r="K5608">
        <v>0</v>
      </c>
      <c r="L5608">
        <v>1</v>
      </c>
      <c r="M5608">
        <v>1</v>
      </c>
      <c r="N5608">
        <v>0</v>
      </c>
      <c r="O5608">
        <v>0</v>
      </c>
      <c r="P5608">
        <v>1</v>
      </c>
      <c r="Q5608" t="s">
        <v>23</v>
      </c>
      <c r="R5608">
        <v>0</v>
      </c>
    </row>
    <row r="5609" spans="1:18">
      <c r="A5609" s="4">
        <v>94878100000000</v>
      </c>
      <c r="B5609" t="s">
        <v>18</v>
      </c>
      <c r="C5609">
        <v>37</v>
      </c>
      <c r="D5609" t="s">
        <v>27</v>
      </c>
      <c r="E5609" t="s">
        <v>75</v>
      </c>
      <c r="F5609" s="1">
        <v>42515</v>
      </c>
      <c r="G5609" s="1">
        <v>42520</v>
      </c>
      <c r="H5609" t="s">
        <v>30</v>
      </c>
      <c r="I5609">
        <v>5</v>
      </c>
      <c r="J5609" t="s">
        <v>107</v>
      </c>
      <c r="K5609">
        <v>1</v>
      </c>
      <c r="L5609">
        <v>0</v>
      </c>
      <c r="M5609">
        <v>0</v>
      </c>
      <c r="N5609">
        <v>0</v>
      </c>
      <c r="O5609">
        <v>0</v>
      </c>
      <c r="P5609">
        <v>1</v>
      </c>
      <c r="Q5609" t="s">
        <v>23</v>
      </c>
      <c r="R5609">
        <v>0</v>
      </c>
    </row>
    <row r="5610" spans="1:18">
      <c r="A5610" s="4">
        <v>1486710000000</v>
      </c>
      <c r="B5610" t="s">
        <v>28</v>
      </c>
      <c r="C5610">
        <v>68</v>
      </c>
      <c r="D5610" t="s">
        <v>19</v>
      </c>
      <c r="E5610" t="s">
        <v>67</v>
      </c>
      <c r="F5610" s="1">
        <v>42515</v>
      </c>
      <c r="G5610" s="1">
        <v>42520</v>
      </c>
      <c r="H5610" t="s">
        <v>30</v>
      </c>
      <c r="I5610">
        <v>5</v>
      </c>
      <c r="J5610" t="s">
        <v>107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1</v>
      </c>
      <c r="Q5610" t="s">
        <v>23</v>
      </c>
      <c r="R5610">
        <v>0</v>
      </c>
    </row>
    <row r="5611" spans="1:18">
      <c r="A5611" s="4">
        <v>9898810000000</v>
      </c>
      <c r="B5611" t="s">
        <v>18</v>
      </c>
      <c r="C5611">
        <v>56</v>
      </c>
      <c r="D5611" t="s">
        <v>35</v>
      </c>
      <c r="E5611" t="s">
        <v>43</v>
      </c>
      <c r="F5611" s="1">
        <v>42515</v>
      </c>
      <c r="G5611" s="1">
        <v>42520</v>
      </c>
      <c r="H5611" t="s">
        <v>30</v>
      </c>
      <c r="I5611">
        <v>5</v>
      </c>
      <c r="J5611" t="s">
        <v>107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1</v>
      </c>
      <c r="Q5611" t="s">
        <v>23</v>
      </c>
      <c r="R5611">
        <v>0</v>
      </c>
    </row>
    <row r="5612" spans="1:18">
      <c r="A5612" s="4">
        <v>87929900000000</v>
      </c>
      <c r="B5612" t="s">
        <v>28</v>
      </c>
      <c r="C5612">
        <v>4</v>
      </c>
      <c r="D5612" t="s">
        <v>31</v>
      </c>
      <c r="E5612" t="s">
        <v>55</v>
      </c>
      <c r="F5612" s="1">
        <v>42515</v>
      </c>
      <c r="G5612" s="1">
        <v>42529</v>
      </c>
      <c r="H5612" t="s">
        <v>25</v>
      </c>
      <c r="I5612">
        <v>14</v>
      </c>
      <c r="J5612" t="s">
        <v>92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1</v>
      </c>
      <c r="Q5612" t="s">
        <v>23</v>
      </c>
      <c r="R5612">
        <v>0</v>
      </c>
    </row>
    <row r="5613" spans="1:18">
      <c r="A5613" s="4">
        <v>986163000000000</v>
      </c>
      <c r="B5613" t="s">
        <v>18</v>
      </c>
      <c r="C5613">
        <v>45</v>
      </c>
      <c r="D5613" t="s">
        <v>27</v>
      </c>
      <c r="E5613" t="s">
        <v>57</v>
      </c>
      <c r="F5613" s="1">
        <v>42515</v>
      </c>
      <c r="G5613" s="1">
        <v>42515</v>
      </c>
      <c r="H5613" t="s">
        <v>25</v>
      </c>
      <c r="I5613">
        <v>0</v>
      </c>
      <c r="J5613" t="s">
        <v>111</v>
      </c>
      <c r="K5613">
        <v>0</v>
      </c>
      <c r="L5613">
        <v>0</v>
      </c>
      <c r="M5613">
        <v>0</v>
      </c>
      <c r="N5613">
        <v>1</v>
      </c>
      <c r="O5613">
        <v>0</v>
      </c>
      <c r="P5613">
        <v>0</v>
      </c>
      <c r="Q5613" t="s">
        <v>23</v>
      </c>
      <c r="R5613">
        <v>0</v>
      </c>
    </row>
    <row r="5614" spans="1:18">
      <c r="A5614" s="4">
        <v>341835000000000</v>
      </c>
      <c r="B5614" t="s">
        <v>28</v>
      </c>
      <c r="C5614">
        <v>40</v>
      </c>
      <c r="D5614" t="s">
        <v>27</v>
      </c>
      <c r="E5614" t="s">
        <v>32</v>
      </c>
      <c r="F5614" s="1">
        <v>42515</v>
      </c>
      <c r="G5614" s="1">
        <v>42528</v>
      </c>
      <c r="H5614" t="s">
        <v>41</v>
      </c>
      <c r="I5614">
        <v>13</v>
      </c>
      <c r="J5614" t="s">
        <v>92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1</v>
      </c>
      <c r="Q5614" t="s">
        <v>26</v>
      </c>
      <c r="R5614">
        <v>1</v>
      </c>
    </row>
    <row r="5615" spans="1:18">
      <c r="A5615" s="4">
        <v>75797500000000</v>
      </c>
      <c r="B5615" t="s">
        <v>28</v>
      </c>
      <c r="C5615">
        <v>49</v>
      </c>
      <c r="D5615" t="s">
        <v>27</v>
      </c>
      <c r="E5615" t="s">
        <v>39</v>
      </c>
      <c r="F5615" s="1">
        <v>42515</v>
      </c>
      <c r="G5615" s="1">
        <v>42515</v>
      </c>
      <c r="H5615" t="s">
        <v>25</v>
      </c>
      <c r="I5615">
        <v>0</v>
      </c>
      <c r="J5615" t="s">
        <v>111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23</v>
      </c>
      <c r="R5615">
        <v>0</v>
      </c>
    </row>
    <row r="5616" spans="1:18">
      <c r="A5616" s="4">
        <v>898662000000000</v>
      </c>
      <c r="B5616" t="s">
        <v>18</v>
      </c>
      <c r="C5616">
        <v>47</v>
      </c>
      <c r="D5616" t="s">
        <v>27</v>
      </c>
      <c r="E5616" t="s">
        <v>71</v>
      </c>
      <c r="F5616" s="1">
        <v>42515</v>
      </c>
      <c r="G5616" s="1">
        <v>42521</v>
      </c>
      <c r="H5616" t="s">
        <v>41</v>
      </c>
      <c r="I5616">
        <v>6</v>
      </c>
      <c r="J5616" t="s">
        <v>107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1</v>
      </c>
      <c r="Q5616" t="s">
        <v>23</v>
      </c>
      <c r="R5616">
        <v>0</v>
      </c>
    </row>
    <row r="5617" spans="1:18">
      <c r="A5617" s="4">
        <v>67575300000000</v>
      </c>
      <c r="B5617" t="s">
        <v>28</v>
      </c>
      <c r="C5617">
        <v>8</v>
      </c>
      <c r="D5617" t="s">
        <v>31</v>
      </c>
      <c r="E5617" t="s">
        <v>87</v>
      </c>
      <c r="F5617" s="1">
        <v>42515</v>
      </c>
      <c r="G5617" s="1">
        <v>42515</v>
      </c>
      <c r="H5617" t="s">
        <v>25</v>
      </c>
      <c r="I5617">
        <v>0</v>
      </c>
      <c r="J5617" t="s">
        <v>111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23</v>
      </c>
      <c r="R5617">
        <v>0</v>
      </c>
    </row>
    <row r="5618" spans="1:18">
      <c r="A5618" s="4">
        <v>88835000000000</v>
      </c>
      <c r="B5618" t="s">
        <v>28</v>
      </c>
      <c r="C5618">
        <v>48</v>
      </c>
      <c r="D5618" t="s">
        <v>27</v>
      </c>
      <c r="E5618" t="s">
        <v>78</v>
      </c>
      <c r="F5618" s="1">
        <v>42515</v>
      </c>
      <c r="G5618" s="1">
        <v>42515</v>
      </c>
      <c r="H5618" t="s">
        <v>25</v>
      </c>
      <c r="I5618">
        <v>0</v>
      </c>
      <c r="J5618" t="s">
        <v>111</v>
      </c>
      <c r="K5618">
        <v>0</v>
      </c>
      <c r="L5618">
        <v>0</v>
      </c>
      <c r="M5618">
        <v>0</v>
      </c>
      <c r="N5618">
        <v>0</v>
      </c>
      <c r="O5618">
        <v>1</v>
      </c>
      <c r="P5618">
        <v>0</v>
      </c>
      <c r="Q5618" t="s">
        <v>23</v>
      </c>
      <c r="R5618">
        <v>0</v>
      </c>
    </row>
    <row r="5619" spans="1:18">
      <c r="A5619" s="4">
        <v>871375000000000</v>
      </c>
      <c r="B5619" t="s">
        <v>28</v>
      </c>
      <c r="C5619">
        <v>64</v>
      </c>
      <c r="D5619" t="s">
        <v>35</v>
      </c>
      <c r="E5619" t="s">
        <v>54</v>
      </c>
      <c r="F5619" s="1">
        <v>42515</v>
      </c>
      <c r="G5619" s="1">
        <v>42515</v>
      </c>
      <c r="H5619" t="s">
        <v>25</v>
      </c>
      <c r="I5619">
        <v>0</v>
      </c>
      <c r="J5619" t="s">
        <v>111</v>
      </c>
      <c r="K5619">
        <v>0</v>
      </c>
      <c r="L5619">
        <v>0</v>
      </c>
      <c r="M5619">
        <v>0</v>
      </c>
      <c r="N5619">
        <v>1</v>
      </c>
      <c r="O5619">
        <v>0</v>
      </c>
      <c r="P5619">
        <v>0</v>
      </c>
      <c r="Q5619" t="s">
        <v>23</v>
      </c>
      <c r="R5619">
        <v>0</v>
      </c>
    </row>
    <row r="5620" spans="1:18">
      <c r="A5620" s="4">
        <v>648968000000000</v>
      </c>
      <c r="B5620" t="s">
        <v>18</v>
      </c>
      <c r="C5620">
        <v>23</v>
      </c>
      <c r="D5620" t="s">
        <v>37</v>
      </c>
      <c r="E5620" t="s">
        <v>54</v>
      </c>
      <c r="F5620" s="1">
        <v>42515</v>
      </c>
      <c r="G5620" s="1">
        <v>42515</v>
      </c>
      <c r="H5620" t="s">
        <v>25</v>
      </c>
      <c r="I5620">
        <v>0</v>
      </c>
      <c r="J5620" t="s">
        <v>111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23</v>
      </c>
      <c r="R5620">
        <v>0</v>
      </c>
    </row>
    <row r="5621" spans="1:18">
      <c r="A5621" s="4">
        <v>8717160000000</v>
      </c>
      <c r="B5621" t="s">
        <v>18</v>
      </c>
      <c r="C5621">
        <v>49</v>
      </c>
      <c r="D5621" t="s">
        <v>27</v>
      </c>
      <c r="E5621" t="s">
        <v>59</v>
      </c>
      <c r="F5621" s="1">
        <v>42515</v>
      </c>
      <c r="G5621" s="1">
        <v>42520</v>
      </c>
      <c r="H5621" t="s">
        <v>30</v>
      </c>
      <c r="I5621">
        <v>5</v>
      </c>
      <c r="J5621" t="s">
        <v>107</v>
      </c>
      <c r="K5621">
        <v>1</v>
      </c>
      <c r="L5621">
        <v>0</v>
      </c>
      <c r="M5621">
        <v>0</v>
      </c>
      <c r="N5621">
        <v>0</v>
      </c>
      <c r="O5621">
        <v>0</v>
      </c>
      <c r="P5621">
        <v>1</v>
      </c>
      <c r="Q5621" t="s">
        <v>23</v>
      </c>
      <c r="R5621">
        <v>0</v>
      </c>
    </row>
    <row r="5622" spans="1:18">
      <c r="A5622" s="4">
        <v>944574000000000</v>
      </c>
      <c r="B5622" t="s">
        <v>18</v>
      </c>
      <c r="C5622">
        <v>47</v>
      </c>
      <c r="D5622" t="s">
        <v>27</v>
      </c>
      <c r="E5622" t="s">
        <v>40</v>
      </c>
      <c r="F5622" s="1">
        <v>42515</v>
      </c>
      <c r="G5622" s="1">
        <v>42515</v>
      </c>
      <c r="H5622" t="s">
        <v>25</v>
      </c>
      <c r="I5622">
        <v>0</v>
      </c>
      <c r="J5622" t="s">
        <v>111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23</v>
      </c>
      <c r="R5622">
        <v>0</v>
      </c>
    </row>
    <row r="5623" spans="1:18">
      <c r="A5623" s="4">
        <v>932318000000</v>
      </c>
      <c r="B5623" t="s">
        <v>18</v>
      </c>
      <c r="C5623">
        <v>59</v>
      </c>
      <c r="D5623" t="s">
        <v>35</v>
      </c>
      <c r="E5623" t="s">
        <v>39</v>
      </c>
      <c r="F5623" s="1">
        <v>42515</v>
      </c>
      <c r="G5623" s="1">
        <v>42520</v>
      </c>
      <c r="H5623" t="s">
        <v>30</v>
      </c>
      <c r="I5623">
        <v>5</v>
      </c>
      <c r="J5623" t="s">
        <v>107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1</v>
      </c>
      <c r="Q5623" t="s">
        <v>23</v>
      </c>
      <c r="R5623">
        <v>0</v>
      </c>
    </row>
    <row r="5624" spans="1:18">
      <c r="A5624" s="4">
        <v>38865900000000</v>
      </c>
      <c r="B5624" t="s">
        <v>28</v>
      </c>
      <c r="C5624">
        <v>73</v>
      </c>
      <c r="D5624" t="s">
        <v>19</v>
      </c>
      <c r="E5624" t="s">
        <v>59</v>
      </c>
      <c r="F5624" s="1">
        <v>42515</v>
      </c>
      <c r="G5624" s="1">
        <v>42515</v>
      </c>
      <c r="H5624" t="s">
        <v>25</v>
      </c>
      <c r="I5624">
        <v>0</v>
      </c>
      <c r="J5624" t="s">
        <v>111</v>
      </c>
      <c r="K5624">
        <v>0</v>
      </c>
      <c r="L5624">
        <v>1</v>
      </c>
      <c r="M5624">
        <v>0</v>
      </c>
      <c r="N5624">
        <v>0</v>
      </c>
      <c r="O5624">
        <v>0</v>
      </c>
      <c r="P5624">
        <v>0</v>
      </c>
      <c r="Q5624" t="s">
        <v>23</v>
      </c>
      <c r="R5624">
        <v>0</v>
      </c>
    </row>
    <row r="5625" spans="1:18">
      <c r="A5625" s="4">
        <v>875754000000000</v>
      </c>
      <c r="B5625" t="s">
        <v>18</v>
      </c>
      <c r="C5625">
        <v>62</v>
      </c>
      <c r="D5625" t="s">
        <v>35</v>
      </c>
      <c r="E5625" t="s">
        <v>65</v>
      </c>
      <c r="F5625" s="1">
        <v>42515</v>
      </c>
      <c r="G5625" s="1">
        <v>42515</v>
      </c>
      <c r="H5625" t="s">
        <v>25</v>
      </c>
      <c r="I5625">
        <v>0</v>
      </c>
      <c r="J5625" t="s">
        <v>111</v>
      </c>
      <c r="K5625">
        <v>0</v>
      </c>
      <c r="L5625">
        <v>1</v>
      </c>
      <c r="M5625">
        <v>0</v>
      </c>
      <c r="N5625">
        <v>0</v>
      </c>
      <c r="O5625">
        <v>0</v>
      </c>
      <c r="P5625">
        <v>0</v>
      </c>
      <c r="Q5625" t="s">
        <v>23</v>
      </c>
      <c r="R5625">
        <v>0</v>
      </c>
    </row>
    <row r="5626" spans="1:18">
      <c r="A5626" s="4">
        <v>516564000000000</v>
      </c>
      <c r="B5626" t="s">
        <v>18</v>
      </c>
      <c r="C5626">
        <v>0</v>
      </c>
      <c r="D5626" t="s">
        <v>31</v>
      </c>
      <c r="E5626" t="s">
        <v>105</v>
      </c>
      <c r="F5626" s="1">
        <v>42515</v>
      </c>
      <c r="G5626" s="1">
        <v>42515</v>
      </c>
      <c r="H5626" t="s">
        <v>25</v>
      </c>
      <c r="I5626">
        <v>0</v>
      </c>
      <c r="J5626" t="s">
        <v>111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 t="s">
        <v>23</v>
      </c>
      <c r="R5626">
        <v>0</v>
      </c>
    </row>
    <row r="5627" spans="1:18">
      <c r="A5627" s="4">
        <v>59763800000000</v>
      </c>
      <c r="B5627" t="s">
        <v>18</v>
      </c>
      <c r="C5627">
        <v>68</v>
      </c>
      <c r="D5627" t="s">
        <v>19</v>
      </c>
      <c r="E5627" t="s">
        <v>50</v>
      </c>
      <c r="F5627" s="1">
        <v>42515</v>
      </c>
      <c r="G5627" s="1">
        <v>42515</v>
      </c>
      <c r="H5627" t="s">
        <v>25</v>
      </c>
      <c r="I5627">
        <v>0</v>
      </c>
      <c r="J5627" t="s">
        <v>111</v>
      </c>
      <c r="K5627">
        <v>0</v>
      </c>
      <c r="L5627">
        <v>1</v>
      </c>
      <c r="M5627">
        <v>1</v>
      </c>
      <c r="N5627">
        <v>0</v>
      </c>
      <c r="O5627">
        <v>0</v>
      </c>
      <c r="P5627">
        <v>0</v>
      </c>
      <c r="Q5627" t="s">
        <v>23</v>
      </c>
      <c r="R5627">
        <v>0</v>
      </c>
    </row>
    <row r="5628" spans="1:18">
      <c r="A5628" s="4">
        <v>59189900000000</v>
      </c>
      <c r="B5628" t="s">
        <v>28</v>
      </c>
      <c r="C5628">
        <v>47</v>
      </c>
      <c r="D5628" t="s">
        <v>27</v>
      </c>
      <c r="E5628" t="s">
        <v>43</v>
      </c>
      <c r="F5628" s="1">
        <v>42515</v>
      </c>
      <c r="G5628" s="1">
        <v>42528</v>
      </c>
      <c r="H5628" t="s">
        <v>41</v>
      </c>
      <c r="I5628">
        <v>13</v>
      </c>
      <c r="J5628" t="s">
        <v>92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1</v>
      </c>
      <c r="Q5628" t="s">
        <v>23</v>
      </c>
      <c r="R5628">
        <v>0</v>
      </c>
    </row>
    <row r="5629" spans="1:18">
      <c r="A5629" s="4">
        <v>694247000000</v>
      </c>
      <c r="B5629" t="s">
        <v>18</v>
      </c>
      <c r="C5629">
        <v>37</v>
      </c>
      <c r="D5629" t="s">
        <v>27</v>
      </c>
      <c r="E5629" t="s">
        <v>40</v>
      </c>
      <c r="F5629" s="1">
        <v>42515</v>
      </c>
      <c r="G5629" s="1">
        <v>42520</v>
      </c>
      <c r="H5629" t="s">
        <v>30</v>
      </c>
      <c r="I5629">
        <v>5</v>
      </c>
      <c r="J5629" t="s">
        <v>107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 t="s">
        <v>26</v>
      </c>
      <c r="R5629">
        <v>1</v>
      </c>
    </row>
    <row r="5630" spans="1:18">
      <c r="A5630" s="4">
        <v>29632400000000</v>
      </c>
      <c r="B5630" t="s">
        <v>18</v>
      </c>
      <c r="C5630">
        <v>9</v>
      </c>
      <c r="D5630" t="s">
        <v>31</v>
      </c>
      <c r="E5630" t="s">
        <v>42</v>
      </c>
      <c r="F5630" s="1">
        <v>42515</v>
      </c>
      <c r="G5630" s="1">
        <v>42522</v>
      </c>
      <c r="H5630" t="s">
        <v>25</v>
      </c>
      <c r="I5630">
        <v>7</v>
      </c>
      <c r="J5630" t="s">
        <v>107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1</v>
      </c>
      <c r="Q5630" t="s">
        <v>23</v>
      </c>
      <c r="R5630">
        <v>0</v>
      </c>
    </row>
    <row r="5631" spans="1:18">
      <c r="A5631" s="4">
        <v>8457560000000</v>
      </c>
      <c r="B5631" t="s">
        <v>18</v>
      </c>
      <c r="C5631">
        <v>5</v>
      </c>
      <c r="D5631" t="s">
        <v>31</v>
      </c>
      <c r="E5631" t="s">
        <v>48</v>
      </c>
      <c r="F5631" s="1">
        <v>42515</v>
      </c>
      <c r="G5631" s="1">
        <v>42523</v>
      </c>
      <c r="H5631" t="s">
        <v>33</v>
      </c>
      <c r="I5631">
        <v>8</v>
      </c>
      <c r="J5631" t="s">
        <v>92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1</v>
      </c>
      <c r="Q5631" t="s">
        <v>26</v>
      </c>
      <c r="R5631">
        <v>1</v>
      </c>
    </row>
    <row r="5632" spans="1:18">
      <c r="A5632" s="4">
        <v>84197900000000</v>
      </c>
      <c r="B5632" t="s">
        <v>28</v>
      </c>
      <c r="C5632">
        <v>69</v>
      </c>
      <c r="D5632" t="s">
        <v>19</v>
      </c>
      <c r="E5632" t="s">
        <v>54</v>
      </c>
      <c r="F5632" s="1">
        <v>42515</v>
      </c>
      <c r="G5632" s="1">
        <v>42521</v>
      </c>
      <c r="H5632" t="s">
        <v>41</v>
      </c>
      <c r="I5632">
        <v>6</v>
      </c>
      <c r="J5632" t="s">
        <v>107</v>
      </c>
      <c r="K5632">
        <v>0</v>
      </c>
      <c r="L5632">
        <v>1</v>
      </c>
      <c r="M5632">
        <v>0</v>
      </c>
      <c r="N5632">
        <v>0</v>
      </c>
      <c r="O5632">
        <v>0</v>
      </c>
      <c r="P5632">
        <v>0</v>
      </c>
      <c r="Q5632" t="s">
        <v>23</v>
      </c>
      <c r="R5632">
        <v>0</v>
      </c>
    </row>
    <row r="5633" spans="1:18">
      <c r="A5633" s="4">
        <v>46444300000000</v>
      </c>
      <c r="B5633" t="s">
        <v>28</v>
      </c>
      <c r="C5633">
        <v>12</v>
      </c>
      <c r="D5633" t="s">
        <v>31</v>
      </c>
      <c r="E5633" t="s">
        <v>49</v>
      </c>
      <c r="F5633" s="1">
        <v>42515</v>
      </c>
      <c r="G5633" s="1">
        <v>42522</v>
      </c>
      <c r="H5633" t="s">
        <v>25</v>
      </c>
      <c r="I5633">
        <v>7</v>
      </c>
      <c r="J5633" t="s">
        <v>107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1</v>
      </c>
      <c r="Q5633" t="s">
        <v>23</v>
      </c>
      <c r="R5633">
        <v>0</v>
      </c>
    </row>
    <row r="5634" spans="1:18">
      <c r="A5634" s="4">
        <v>56421500000000</v>
      </c>
      <c r="B5634" t="s">
        <v>18</v>
      </c>
      <c r="C5634">
        <v>7</v>
      </c>
      <c r="D5634" t="s">
        <v>31</v>
      </c>
      <c r="E5634" t="s">
        <v>32</v>
      </c>
      <c r="F5634" s="1">
        <v>42515</v>
      </c>
      <c r="G5634" s="1">
        <v>42515</v>
      </c>
      <c r="H5634" t="s">
        <v>25</v>
      </c>
      <c r="I5634">
        <v>0</v>
      </c>
      <c r="J5634" t="s">
        <v>111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 t="s">
        <v>23</v>
      </c>
      <c r="R5634">
        <v>0</v>
      </c>
    </row>
    <row r="5635" spans="1:18">
      <c r="A5635" s="4">
        <v>784784000000000</v>
      </c>
      <c r="B5635" t="s">
        <v>28</v>
      </c>
      <c r="C5635">
        <v>61</v>
      </c>
      <c r="D5635" t="s">
        <v>35</v>
      </c>
      <c r="E5635" t="s">
        <v>70</v>
      </c>
      <c r="F5635" s="1">
        <v>42515</v>
      </c>
      <c r="G5635" s="1">
        <v>42515</v>
      </c>
      <c r="H5635" t="s">
        <v>25</v>
      </c>
      <c r="I5635">
        <v>0</v>
      </c>
      <c r="J5635" t="s">
        <v>111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 t="s">
        <v>23</v>
      </c>
      <c r="R5635">
        <v>0</v>
      </c>
    </row>
    <row r="5636" spans="1:18">
      <c r="A5636" s="4">
        <v>4258890000000</v>
      </c>
      <c r="B5636" t="s">
        <v>18</v>
      </c>
      <c r="C5636">
        <v>30</v>
      </c>
      <c r="D5636" t="s">
        <v>37</v>
      </c>
      <c r="E5636" t="s">
        <v>75</v>
      </c>
      <c r="F5636" s="1">
        <v>42515</v>
      </c>
      <c r="G5636" s="1">
        <v>42515</v>
      </c>
      <c r="H5636" t="s">
        <v>25</v>
      </c>
      <c r="I5636">
        <v>0</v>
      </c>
      <c r="J5636" t="s">
        <v>111</v>
      </c>
      <c r="K5636">
        <v>0</v>
      </c>
      <c r="L5636">
        <v>0</v>
      </c>
      <c r="M5636">
        <v>0</v>
      </c>
      <c r="N5636">
        <v>0</v>
      </c>
      <c r="O5636">
        <v>1</v>
      </c>
      <c r="P5636">
        <v>0</v>
      </c>
      <c r="Q5636" t="s">
        <v>26</v>
      </c>
      <c r="R5636">
        <v>1</v>
      </c>
    </row>
    <row r="5637" spans="1:18">
      <c r="A5637" s="4">
        <v>6128880000000</v>
      </c>
      <c r="B5637" t="s">
        <v>18</v>
      </c>
      <c r="C5637">
        <v>51</v>
      </c>
      <c r="D5637" t="s">
        <v>35</v>
      </c>
      <c r="E5637" t="s">
        <v>91</v>
      </c>
      <c r="F5637" s="1">
        <v>42515</v>
      </c>
      <c r="G5637" s="1">
        <v>42522</v>
      </c>
      <c r="H5637" t="s">
        <v>25</v>
      </c>
      <c r="I5637">
        <v>7</v>
      </c>
      <c r="J5637" t="s">
        <v>107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1</v>
      </c>
      <c r="Q5637" t="s">
        <v>23</v>
      </c>
      <c r="R5637">
        <v>0</v>
      </c>
    </row>
    <row r="5638" spans="1:18">
      <c r="A5638" s="4">
        <v>85994976155</v>
      </c>
      <c r="B5638" t="s">
        <v>18</v>
      </c>
      <c r="C5638">
        <v>14</v>
      </c>
      <c r="D5638" t="s">
        <v>60</v>
      </c>
      <c r="E5638" t="s">
        <v>40</v>
      </c>
      <c r="F5638" s="1">
        <v>42515</v>
      </c>
      <c r="G5638" s="1">
        <v>42515</v>
      </c>
      <c r="H5638" t="s">
        <v>25</v>
      </c>
      <c r="I5638">
        <v>0</v>
      </c>
      <c r="J5638" t="s">
        <v>111</v>
      </c>
      <c r="K5638">
        <v>1</v>
      </c>
      <c r="L5638">
        <v>0</v>
      </c>
      <c r="M5638">
        <v>0</v>
      </c>
      <c r="N5638">
        <v>0</v>
      </c>
      <c r="O5638">
        <v>0</v>
      </c>
      <c r="P5638">
        <v>0</v>
      </c>
      <c r="Q5638" t="s">
        <v>23</v>
      </c>
      <c r="R5638">
        <v>0</v>
      </c>
    </row>
    <row r="5639" spans="1:18">
      <c r="A5639" s="4">
        <v>74576800000000</v>
      </c>
      <c r="B5639" t="s">
        <v>18</v>
      </c>
      <c r="C5639">
        <v>13</v>
      </c>
      <c r="D5639" t="s">
        <v>60</v>
      </c>
      <c r="E5639" t="s">
        <v>75</v>
      </c>
      <c r="F5639" s="1">
        <v>42515</v>
      </c>
      <c r="G5639" s="1">
        <v>42515</v>
      </c>
      <c r="H5639" t="s">
        <v>25</v>
      </c>
      <c r="I5639">
        <v>0</v>
      </c>
      <c r="J5639" t="s">
        <v>111</v>
      </c>
      <c r="K5639">
        <v>1</v>
      </c>
      <c r="L5639">
        <v>0</v>
      </c>
      <c r="M5639">
        <v>0</v>
      </c>
      <c r="N5639">
        <v>0</v>
      </c>
      <c r="O5639">
        <v>0</v>
      </c>
      <c r="P5639">
        <v>0</v>
      </c>
      <c r="Q5639" t="s">
        <v>23</v>
      </c>
      <c r="R5639">
        <v>0</v>
      </c>
    </row>
    <row r="5640" spans="1:18">
      <c r="A5640" s="4">
        <v>9977160000000</v>
      </c>
      <c r="B5640" t="s">
        <v>18</v>
      </c>
      <c r="C5640">
        <v>3</v>
      </c>
      <c r="D5640" t="s">
        <v>31</v>
      </c>
      <c r="E5640" t="s">
        <v>71</v>
      </c>
      <c r="F5640" s="1">
        <v>42515</v>
      </c>
      <c r="G5640" s="1">
        <v>42515</v>
      </c>
      <c r="H5640" t="s">
        <v>25</v>
      </c>
      <c r="I5640">
        <v>0</v>
      </c>
      <c r="J5640" t="s">
        <v>111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 t="s">
        <v>23</v>
      </c>
      <c r="R5640">
        <v>0</v>
      </c>
    </row>
    <row r="5641" spans="1:18">
      <c r="A5641" s="4">
        <v>47794500000000</v>
      </c>
      <c r="B5641" t="s">
        <v>28</v>
      </c>
      <c r="C5641">
        <v>69</v>
      </c>
      <c r="D5641" t="s">
        <v>19</v>
      </c>
      <c r="E5641" t="s">
        <v>70</v>
      </c>
      <c r="F5641" s="1">
        <v>42515</v>
      </c>
      <c r="G5641" s="1">
        <v>42515</v>
      </c>
      <c r="H5641" t="s">
        <v>25</v>
      </c>
      <c r="I5641">
        <v>0</v>
      </c>
      <c r="J5641" t="s">
        <v>111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 t="s">
        <v>23</v>
      </c>
      <c r="R5641">
        <v>0</v>
      </c>
    </row>
    <row r="5642" spans="1:18">
      <c r="A5642" s="4">
        <v>139395000000000</v>
      </c>
      <c r="B5642" t="s">
        <v>18</v>
      </c>
      <c r="C5642">
        <v>56</v>
      </c>
      <c r="D5642" t="s">
        <v>35</v>
      </c>
      <c r="E5642" t="s">
        <v>59</v>
      </c>
      <c r="F5642" s="1">
        <v>42515</v>
      </c>
      <c r="G5642" s="1">
        <v>42521</v>
      </c>
      <c r="H5642" t="s">
        <v>41</v>
      </c>
      <c r="I5642">
        <v>6</v>
      </c>
      <c r="J5642" t="s">
        <v>107</v>
      </c>
      <c r="K5642">
        <v>0</v>
      </c>
      <c r="L5642">
        <v>1</v>
      </c>
      <c r="M5642">
        <v>0</v>
      </c>
      <c r="N5642">
        <v>0</v>
      </c>
      <c r="O5642">
        <v>0</v>
      </c>
      <c r="P5642">
        <v>1</v>
      </c>
      <c r="Q5642" t="s">
        <v>23</v>
      </c>
      <c r="R5642">
        <v>0</v>
      </c>
    </row>
    <row r="5643" spans="1:18">
      <c r="A5643" s="4">
        <v>374295000000</v>
      </c>
      <c r="B5643" t="s">
        <v>28</v>
      </c>
      <c r="C5643">
        <v>1</v>
      </c>
      <c r="D5643" t="s">
        <v>31</v>
      </c>
      <c r="E5643" t="s">
        <v>32</v>
      </c>
      <c r="F5643" s="1">
        <v>42515</v>
      </c>
      <c r="G5643" s="1">
        <v>42515</v>
      </c>
      <c r="H5643" t="s">
        <v>25</v>
      </c>
      <c r="I5643">
        <v>0</v>
      </c>
      <c r="J5643" t="s">
        <v>111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 t="s">
        <v>23</v>
      </c>
      <c r="R5643">
        <v>0</v>
      </c>
    </row>
    <row r="5644" spans="1:18">
      <c r="A5644" s="4">
        <v>17467800000000</v>
      </c>
      <c r="B5644" t="s">
        <v>18</v>
      </c>
      <c r="C5644">
        <v>33</v>
      </c>
      <c r="D5644" t="s">
        <v>37</v>
      </c>
      <c r="E5644" t="s">
        <v>57</v>
      </c>
      <c r="F5644" s="1">
        <v>42515</v>
      </c>
      <c r="G5644" s="1">
        <v>42515</v>
      </c>
      <c r="H5644" t="s">
        <v>25</v>
      </c>
      <c r="I5644">
        <v>0</v>
      </c>
      <c r="J5644" t="s">
        <v>111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 t="s">
        <v>23</v>
      </c>
      <c r="R5644">
        <v>0</v>
      </c>
    </row>
    <row r="5645" spans="1:18">
      <c r="A5645" s="4">
        <v>677697000000000</v>
      </c>
      <c r="B5645" t="s">
        <v>28</v>
      </c>
      <c r="C5645">
        <v>5</v>
      </c>
      <c r="D5645" t="s">
        <v>31</v>
      </c>
      <c r="E5645" t="s">
        <v>38</v>
      </c>
      <c r="F5645" s="1">
        <v>42515</v>
      </c>
      <c r="G5645" s="1">
        <v>42515</v>
      </c>
      <c r="H5645" t="s">
        <v>25</v>
      </c>
      <c r="I5645">
        <v>0</v>
      </c>
      <c r="J5645" t="s">
        <v>111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 t="s">
        <v>23</v>
      </c>
      <c r="R5645">
        <v>0</v>
      </c>
    </row>
    <row r="5646" spans="1:18">
      <c r="A5646" s="4">
        <v>94576700000000</v>
      </c>
      <c r="B5646" t="s">
        <v>18</v>
      </c>
      <c r="C5646">
        <v>43</v>
      </c>
      <c r="D5646" t="s">
        <v>27</v>
      </c>
      <c r="E5646" t="s">
        <v>29</v>
      </c>
      <c r="F5646" s="1">
        <v>42515</v>
      </c>
      <c r="G5646" s="1">
        <v>42523</v>
      </c>
      <c r="H5646" t="s">
        <v>33</v>
      </c>
      <c r="I5646">
        <v>8</v>
      </c>
      <c r="J5646" t="s">
        <v>92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1</v>
      </c>
      <c r="Q5646" t="s">
        <v>23</v>
      </c>
      <c r="R5646">
        <v>0</v>
      </c>
    </row>
    <row r="5647" spans="1:18">
      <c r="A5647" s="4">
        <v>33677300000000</v>
      </c>
      <c r="B5647" t="s">
        <v>28</v>
      </c>
      <c r="C5647">
        <v>20</v>
      </c>
      <c r="D5647" t="s">
        <v>37</v>
      </c>
      <c r="E5647" t="s">
        <v>63</v>
      </c>
      <c r="F5647" s="1">
        <v>42515</v>
      </c>
      <c r="G5647" s="1">
        <v>42520</v>
      </c>
      <c r="H5647" t="s">
        <v>30</v>
      </c>
      <c r="I5647">
        <v>5</v>
      </c>
      <c r="J5647" t="s">
        <v>107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 t="s">
        <v>23</v>
      </c>
      <c r="R5647">
        <v>0</v>
      </c>
    </row>
    <row r="5648" spans="1:18">
      <c r="A5648" s="4">
        <v>333343000000000</v>
      </c>
      <c r="B5648" t="s">
        <v>18</v>
      </c>
      <c r="C5648">
        <v>47</v>
      </c>
      <c r="D5648" t="s">
        <v>27</v>
      </c>
      <c r="E5648" t="s">
        <v>82</v>
      </c>
      <c r="F5648" s="1">
        <v>42515</v>
      </c>
      <c r="G5648" s="1">
        <v>42520</v>
      </c>
      <c r="H5648" t="s">
        <v>30</v>
      </c>
      <c r="I5648">
        <v>5</v>
      </c>
      <c r="J5648" t="s">
        <v>107</v>
      </c>
      <c r="K5648">
        <v>1</v>
      </c>
      <c r="L5648">
        <v>1</v>
      </c>
      <c r="M5648">
        <v>0</v>
      </c>
      <c r="N5648">
        <v>0</v>
      </c>
      <c r="O5648">
        <v>0</v>
      </c>
      <c r="P5648">
        <v>1</v>
      </c>
      <c r="Q5648" t="s">
        <v>23</v>
      </c>
      <c r="R5648">
        <v>0</v>
      </c>
    </row>
    <row r="5649" spans="1:18">
      <c r="A5649" s="4">
        <v>18523800000000</v>
      </c>
      <c r="B5649" t="s">
        <v>18</v>
      </c>
      <c r="C5649">
        <v>75</v>
      </c>
      <c r="D5649" t="s">
        <v>19</v>
      </c>
      <c r="E5649" t="s">
        <v>20</v>
      </c>
      <c r="F5649" s="1">
        <v>42515</v>
      </c>
      <c r="G5649" s="1">
        <v>42521</v>
      </c>
      <c r="H5649" t="s">
        <v>41</v>
      </c>
      <c r="I5649">
        <v>6</v>
      </c>
      <c r="J5649" t="s">
        <v>107</v>
      </c>
      <c r="K5649">
        <v>0</v>
      </c>
      <c r="L5649">
        <v>1</v>
      </c>
      <c r="M5649">
        <v>1</v>
      </c>
      <c r="N5649">
        <v>0</v>
      </c>
      <c r="O5649">
        <v>0</v>
      </c>
      <c r="P5649">
        <v>1</v>
      </c>
      <c r="Q5649" t="s">
        <v>23</v>
      </c>
      <c r="R5649">
        <v>0</v>
      </c>
    </row>
    <row r="5650" spans="1:18">
      <c r="A5650" s="4">
        <v>749334000000000</v>
      </c>
      <c r="B5650" t="s">
        <v>18</v>
      </c>
      <c r="C5650">
        <v>55</v>
      </c>
      <c r="D5650" t="s">
        <v>35</v>
      </c>
      <c r="E5650" t="s">
        <v>87</v>
      </c>
      <c r="F5650" s="1">
        <v>42515</v>
      </c>
      <c r="G5650" s="1">
        <v>42522</v>
      </c>
      <c r="H5650" t="s">
        <v>25</v>
      </c>
      <c r="I5650">
        <v>7</v>
      </c>
      <c r="J5650" t="s">
        <v>107</v>
      </c>
      <c r="K5650">
        <v>0</v>
      </c>
      <c r="L5650">
        <v>1</v>
      </c>
      <c r="M5650">
        <v>0</v>
      </c>
      <c r="N5650">
        <v>0</v>
      </c>
      <c r="O5650">
        <v>0</v>
      </c>
      <c r="P5650">
        <v>0</v>
      </c>
      <c r="Q5650" t="s">
        <v>23</v>
      </c>
      <c r="R5650">
        <v>0</v>
      </c>
    </row>
    <row r="5651" spans="1:18">
      <c r="A5651" s="4">
        <v>933363000000000</v>
      </c>
      <c r="B5651" t="s">
        <v>28</v>
      </c>
      <c r="C5651">
        <v>18</v>
      </c>
      <c r="D5651" t="s">
        <v>37</v>
      </c>
      <c r="E5651" t="s">
        <v>95</v>
      </c>
      <c r="F5651" s="1">
        <v>42515</v>
      </c>
      <c r="G5651" s="1">
        <v>42515</v>
      </c>
      <c r="H5651" t="s">
        <v>25</v>
      </c>
      <c r="I5651">
        <v>0</v>
      </c>
      <c r="J5651" t="s">
        <v>111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 t="s">
        <v>23</v>
      </c>
      <c r="R5651">
        <v>0</v>
      </c>
    </row>
    <row r="5652" spans="1:18">
      <c r="A5652" s="4">
        <v>58646400000000</v>
      </c>
      <c r="B5652" t="s">
        <v>18</v>
      </c>
      <c r="C5652">
        <v>16</v>
      </c>
      <c r="D5652" t="s">
        <v>60</v>
      </c>
      <c r="E5652" t="s">
        <v>96</v>
      </c>
      <c r="F5652" s="1">
        <v>42515</v>
      </c>
      <c r="G5652" s="1">
        <v>42528</v>
      </c>
      <c r="H5652" t="s">
        <v>41</v>
      </c>
      <c r="I5652">
        <v>13</v>
      </c>
      <c r="J5652" t="s">
        <v>92</v>
      </c>
      <c r="K5652">
        <v>1</v>
      </c>
      <c r="L5652">
        <v>0</v>
      </c>
      <c r="M5652">
        <v>0</v>
      </c>
      <c r="N5652">
        <v>0</v>
      </c>
      <c r="O5652">
        <v>0</v>
      </c>
      <c r="P5652">
        <v>1</v>
      </c>
      <c r="Q5652" t="s">
        <v>26</v>
      </c>
      <c r="R5652">
        <v>1</v>
      </c>
    </row>
    <row r="5653" spans="1:18">
      <c r="A5653" s="4">
        <v>229852000000000</v>
      </c>
      <c r="B5653" t="s">
        <v>18</v>
      </c>
      <c r="C5653">
        <v>52</v>
      </c>
      <c r="D5653" t="s">
        <v>35</v>
      </c>
      <c r="E5653" t="s">
        <v>62</v>
      </c>
      <c r="F5653" s="1">
        <v>42515</v>
      </c>
      <c r="G5653" s="1">
        <v>42521</v>
      </c>
      <c r="H5653" t="s">
        <v>41</v>
      </c>
      <c r="I5653">
        <v>6</v>
      </c>
      <c r="J5653" t="s">
        <v>107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1</v>
      </c>
      <c r="Q5653" t="s">
        <v>23</v>
      </c>
      <c r="R5653">
        <v>0</v>
      </c>
    </row>
    <row r="5654" spans="1:18">
      <c r="A5654" s="4">
        <v>9469220000000</v>
      </c>
      <c r="B5654" t="s">
        <v>18</v>
      </c>
      <c r="C5654">
        <v>32</v>
      </c>
      <c r="D5654" t="s">
        <v>37</v>
      </c>
      <c r="E5654" t="s">
        <v>55</v>
      </c>
      <c r="F5654" s="1">
        <v>42515</v>
      </c>
      <c r="G5654" s="1">
        <v>42515</v>
      </c>
      <c r="H5654" t="s">
        <v>25</v>
      </c>
      <c r="I5654">
        <v>0</v>
      </c>
      <c r="J5654" t="s">
        <v>111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 t="s">
        <v>23</v>
      </c>
      <c r="R5654">
        <v>0</v>
      </c>
    </row>
    <row r="5655" spans="1:18">
      <c r="A5655" s="4">
        <v>617495000000000</v>
      </c>
      <c r="B5655" t="s">
        <v>28</v>
      </c>
      <c r="C5655">
        <v>1</v>
      </c>
      <c r="D5655" t="s">
        <v>31</v>
      </c>
      <c r="E5655" t="s">
        <v>44</v>
      </c>
      <c r="F5655" s="1">
        <v>42515</v>
      </c>
      <c r="G5655" s="1">
        <v>42522</v>
      </c>
      <c r="H5655" t="s">
        <v>25</v>
      </c>
      <c r="I5655">
        <v>7</v>
      </c>
      <c r="J5655" t="s">
        <v>107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1</v>
      </c>
      <c r="Q5655" t="s">
        <v>26</v>
      </c>
      <c r="R5655">
        <v>1</v>
      </c>
    </row>
    <row r="5656" spans="1:18">
      <c r="A5656" s="4">
        <v>58948200000000</v>
      </c>
      <c r="B5656" t="s">
        <v>18</v>
      </c>
      <c r="C5656">
        <v>82</v>
      </c>
      <c r="D5656" t="s">
        <v>19</v>
      </c>
      <c r="E5656" t="s">
        <v>75</v>
      </c>
      <c r="F5656" s="1">
        <v>42515</v>
      </c>
      <c r="G5656" s="1">
        <v>42522</v>
      </c>
      <c r="H5656" t="s">
        <v>25</v>
      </c>
      <c r="I5656">
        <v>7</v>
      </c>
      <c r="J5656" t="s">
        <v>107</v>
      </c>
      <c r="K5656">
        <v>0</v>
      </c>
      <c r="L5656">
        <v>1</v>
      </c>
      <c r="M5656">
        <v>0</v>
      </c>
      <c r="N5656">
        <v>0</v>
      </c>
      <c r="O5656">
        <v>0</v>
      </c>
      <c r="P5656">
        <v>0</v>
      </c>
      <c r="Q5656" t="s">
        <v>26</v>
      </c>
      <c r="R5656">
        <v>1</v>
      </c>
    </row>
    <row r="5657" spans="1:18">
      <c r="A5657" s="4">
        <v>6721640000000</v>
      </c>
      <c r="B5657" t="s">
        <v>28</v>
      </c>
      <c r="C5657">
        <v>0</v>
      </c>
      <c r="D5657" t="s">
        <v>31</v>
      </c>
      <c r="E5657" t="s">
        <v>68</v>
      </c>
      <c r="F5657" s="1">
        <v>42515</v>
      </c>
      <c r="G5657" s="1">
        <v>42522</v>
      </c>
      <c r="H5657" t="s">
        <v>25</v>
      </c>
      <c r="I5657">
        <v>7</v>
      </c>
      <c r="J5657" t="s">
        <v>107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 t="s">
        <v>23</v>
      </c>
      <c r="R5657">
        <v>0</v>
      </c>
    </row>
    <row r="5658" spans="1:18">
      <c r="A5658" s="4">
        <v>27627400000000</v>
      </c>
      <c r="B5658" t="s">
        <v>18</v>
      </c>
      <c r="C5658">
        <v>16</v>
      </c>
      <c r="D5658" t="s">
        <v>60</v>
      </c>
      <c r="E5658" t="s">
        <v>47</v>
      </c>
      <c r="F5658" s="1">
        <v>42515</v>
      </c>
      <c r="G5658" s="1">
        <v>42515</v>
      </c>
      <c r="H5658" t="s">
        <v>25</v>
      </c>
      <c r="I5658">
        <v>0</v>
      </c>
      <c r="J5658" t="s">
        <v>111</v>
      </c>
      <c r="K5658">
        <v>0</v>
      </c>
      <c r="L5658">
        <v>0</v>
      </c>
      <c r="M5658">
        <v>0</v>
      </c>
      <c r="N5658">
        <v>0</v>
      </c>
      <c r="O5658">
        <v>1</v>
      </c>
      <c r="P5658">
        <v>0</v>
      </c>
      <c r="Q5658" t="s">
        <v>23</v>
      </c>
      <c r="R5658">
        <v>0</v>
      </c>
    </row>
    <row r="5659" spans="1:18">
      <c r="A5659" s="4">
        <v>95489700000000</v>
      </c>
      <c r="B5659" t="s">
        <v>18</v>
      </c>
      <c r="C5659">
        <v>72</v>
      </c>
      <c r="D5659" t="s">
        <v>19</v>
      </c>
      <c r="E5659" t="s">
        <v>39</v>
      </c>
      <c r="F5659" s="1">
        <v>42515</v>
      </c>
      <c r="G5659" s="1">
        <v>42521</v>
      </c>
      <c r="H5659" t="s">
        <v>41</v>
      </c>
      <c r="I5659">
        <v>6</v>
      </c>
      <c r="J5659" t="s">
        <v>107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1</v>
      </c>
      <c r="Q5659" t="s">
        <v>23</v>
      </c>
      <c r="R5659">
        <v>0</v>
      </c>
    </row>
    <row r="5660" spans="1:18">
      <c r="A5660" s="4">
        <v>11423500000000</v>
      </c>
      <c r="B5660" t="s">
        <v>18</v>
      </c>
      <c r="C5660">
        <v>27</v>
      </c>
      <c r="D5660" t="s">
        <v>37</v>
      </c>
      <c r="E5660" t="s">
        <v>20</v>
      </c>
      <c r="F5660" s="1">
        <v>42515</v>
      </c>
      <c r="G5660" s="1">
        <v>42515</v>
      </c>
      <c r="H5660" t="s">
        <v>25</v>
      </c>
      <c r="I5660">
        <v>0</v>
      </c>
      <c r="J5660" t="s">
        <v>111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 t="s">
        <v>23</v>
      </c>
      <c r="R5660">
        <v>0</v>
      </c>
    </row>
    <row r="5661" spans="1:18">
      <c r="A5661" s="4">
        <v>2439366725</v>
      </c>
      <c r="B5661" t="s">
        <v>18</v>
      </c>
      <c r="C5661">
        <v>33</v>
      </c>
      <c r="D5661" t="s">
        <v>37</v>
      </c>
      <c r="E5661" t="s">
        <v>47</v>
      </c>
      <c r="F5661" s="1">
        <v>42515</v>
      </c>
      <c r="G5661" s="1">
        <v>42521</v>
      </c>
      <c r="H5661" t="s">
        <v>41</v>
      </c>
      <c r="I5661">
        <v>6</v>
      </c>
      <c r="J5661" t="s">
        <v>107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1</v>
      </c>
      <c r="Q5661" t="s">
        <v>23</v>
      </c>
      <c r="R5661">
        <v>0</v>
      </c>
    </row>
    <row r="5662" spans="1:18">
      <c r="A5662" s="4">
        <v>585313000000</v>
      </c>
      <c r="B5662" t="s">
        <v>18</v>
      </c>
      <c r="C5662">
        <v>0</v>
      </c>
      <c r="D5662" t="s">
        <v>31</v>
      </c>
      <c r="E5662" t="s">
        <v>38</v>
      </c>
      <c r="F5662" s="1">
        <v>42515</v>
      </c>
      <c r="G5662" s="1">
        <v>42515</v>
      </c>
      <c r="H5662" t="s">
        <v>25</v>
      </c>
      <c r="I5662">
        <v>0</v>
      </c>
      <c r="J5662" t="s">
        <v>111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 t="s">
        <v>23</v>
      </c>
      <c r="R5662">
        <v>0</v>
      </c>
    </row>
    <row r="5663" spans="1:18">
      <c r="A5663" s="4">
        <v>8665930000000</v>
      </c>
      <c r="B5663" t="s">
        <v>18</v>
      </c>
      <c r="C5663">
        <v>58</v>
      </c>
      <c r="D5663" t="s">
        <v>35</v>
      </c>
      <c r="E5663" t="s">
        <v>43</v>
      </c>
      <c r="F5663" s="1">
        <v>42515</v>
      </c>
      <c r="G5663" s="1">
        <v>42521</v>
      </c>
      <c r="H5663" t="s">
        <v>41</v>
      </c>
      <c r="I5663">
        <v>6</v>
      </c>
      <c r="J5663" t="s">
        <v>107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1</v>
      </c>
      <c r="Q5663" t="s">
        <v>23</v>
      </c>
      <c r="R5663">
        <v>0</v>
      </c>
    </row>
    <row r="5664" spans="1:18">
      <c r="A5664" s="4">
        <v>78644400000000</v>
      </c>
      <c r="B5664" t="s">
        <v>18</v>
      </c>
      <c r="C5664">
        <v>5</v>
      </c>
      <c r="D5664" t="s">
        <v>31</v>
      </c>
      <c r="E5664" t="s">
        <v>105</v>
      </c>
      <c r="F5664" s="1">
        <v>42515</v>
      </c>
      <c r="G5664" s="1">
        <v>42521</v>
      </c>
      <c r="H5664" t="s">
        <v>41</v>
      </c>
      <c r="I5664">
        <v>6</v>
      </c>
      <c r="J5664" t="s">
        <v>107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1</v>
      </c>
      <c r="Q5664" t="s">
        <v>23</v>
      </c>
      <c r="R5664">
        <v>0</v>
      </c>
    </row>
    <row r="5665" spans="1:18">
      <c r="A5665" s="4">
        <v>338490000000</v>
      </c>
      <c r="B5665" t="s">
        <v>28</v>
      </c>
      <c r="C5665">
        <v>6</v>
      </c>
      <c r="D5665" t="s">
        <v>31</v>
      </c>
      <c r="E5665" t="s">
        <v>72</v>
      </c>
      <c r="F5665" s="1">
        <v>42515</v>
      </c>
      <c r="G5665" s="1">
        <v>42521</v>
      </c>
      <c r="H5665" t="s">
        <v>41</v>
      </c>
      <c r="I5665">
        <v>6</v>
      </c>
      <c r="J5665" t="s">
        <v>107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1</v>
      </c>
      <c r="Q5665" t="s">
        <v>23</v>
      </c>
      <c r="R5665">
        <v>0</v>
      </c>
    </row>
    <row r="5666" spans="1:18">
      <c r="A5666" s="4">
        <v>331520000000000</v>
      </c>
      <c r="B5666" t="s">
        <v>28</v>
      </c>
      <c r="C5666">
        <v>62</v>
      </c>
      <c r="D5666" t="s">
        <v>35</v>
      </c>
      <c r="E5666" t="s">
        <v>61</v>
      </c>
      <c r="F5666" s="1">
        <v>42515</v>
      </c>
      <c r="G5666" s="1">
        <v>42521</v>
      </c>
      <c r="H5666" t="s">
        <v>41</v>
      </c>
      <c r="I5666">
        <v>6</v>
      </c>
      <c r="J5666" t="s">
        <v>107</v>
      </c>
      <c r="K5666">
        <v>0</v>
      </c>
      <c r="L5666">
        <v>1</v>
      </c>
      <c r="M5666">
        <v>1</v>
      </c>
      <c r="N5666">
        <v>0</v>
      </c>
      <c r="O5666">
        <v>0</v>
      </c>
      <c r="P5666">
        <v>1</v>
      </c>
      <c r="Q5666" t="s">
        <v>26</v>
      </c>
      <c r="R5666">
        <v>1</v>
      </c>
    </row>
    <row r="5667" spans="1:18">
      <c r="A5667" s="4">
        <v>256913000000000</v>
      </c>
      <c r="B5667" t="s">
        <v>28</v>
      </c>
      <c r="C5667">
        <v>25</v>
      </c>
      <c r="D5667" t="s">
        <v>37</v>
      </c>
      <c r="E5667" t="s">
        <v>58</v>
      </c>
      <c r="F5667" s="1">
        <v>42515</v>
      </c>
      <c r="G5667" s="1">
        <v>42521</v>
      </c>
      <c r="H5667" t="s">
        <v>41</v>
      </c>
      <c r="I5667">
        <v>6</v>
      </c>
      <c r="J5667" t="s">
        <v>107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1</v>
      </c>
      <c r="Q5667" t="s">
        <v>23</v>
      </c>
      <c r="R5667">
        <v>0</v>
      </c>
    </row>
    <row r="5668" spans="1:18">
      <c r="A5668" s="4">
        <v>3463540000000</v>
      </c>
      <c r="B5668" t="s">
        <v>18</v>
      </c>
      <c r="C5668">
        <v>49</v>
      </c>
      <c r="D5668" t="s">
        <v>27</v>
      </c>
      <c r="E5668" t="s">
        <v>38</v>
      </c>
      <c r="F5668" s="1">
        <v>42515</v>
      </c>
      <c r="G5668" s="1">
        <v>42520</v>
      </c>
      <c r="H5668" t="s">
        <v>30</v>
      </c>
      <c r="I5668">
        <v>5</v>
      </c>
      <c r="J5668" t="s">
        <v>107</v>
      </c>
      <c r="K5668">
        <v>1</v>
      </c>
      <c r="L5668">
        <v>0</v>
      </c>
      <c r="M5668">
        <v>0</v>
      </c>
      <c r="N5668">
        <v>0</v>
      </c>
      <c r="O5668">
        <v>0</v>
      </c>
      <c r="P5668">
        <v>1</v>
      </c>
      <c r="Q5668" t="s">
        <v>23</v>
      </c>
      <c r="R5668">
        <v>0</v>
      </c>
    </row>
    <row r="5669" spans="1:18">
      <c r="A5669" s="4">
        <v>33573514323</v>
      </c>
      <c r="B5669" t="s">
        <v>18</v>
      </c>
      <c r="C5669">
        <v>32</v>
      </c>
      <c r="D5669" t="s">
        <v>37</v>
      </c>
      <c r="E5669" t="s">
        <v>108</v>
      </c>
      <c r="F5669" s="1">
        <v>42515</v>
      </c>
      <c r="G5669" s="1">
        <v>42527</v>
      </c>
      <c r="H5669" t="s">
        <v>30</v>
      </c>
      <c r="I5669">
        <v>12</v>
      </c>
      <c r="J5669" t="s">
        <v>92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1</v>
      </c>
      <c r="Q5669" t="s">
        <v>26</v>
      </c>
      <c r="R5669">
        <v>1</v>
      </c>
    </row>
    <row r="5670" spans="1:18">
      <c r="A5670" s="4">
        <v>38517643991</v>
      </c>
      <c r="B5670" t="s">
        <v>28</v>
      </c>
      <c r="C5670">
        <v>65</v>
      </c>
      <c r="D5670" t="s">
        <v>35</v>
      </c>
      <c r="E5670" t="s">
        <v>34</v>
      </c>
      <c r="F5670" s="1">
        <v>42515</v>
      </c>
      <c r="G5670" s="1">
        <v>42521</v>
      </c>
      <c r="H5670" t="s">
        <v>41</v>
      </c>
      <c r="I5670">
        <v>6</v>
      </c>
      <c r="J5670" t="s">
        <v>107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1</v>
      </c>
      <c r="Q5670" t="s">
        <v>26</v>
      </c>
      <c r="R5670">
        <v>1</v>
      </c>
    </row>
    <row r="5671" spans="1:18">
      <c r="A5671" s="4">
        <v>774434000000000</v>
      </c>
      <c r="B5671" t="s">
        <v>18</v>
      </c>
      <c r="C5671">
        <v>17</v>
      </c>
      <c r="D5671" t="s">
        <v>60</v>
      </c>
      <c r="E5671" t="s">
        <v>72</v>
      </c>
      <c r="F5671" s="1">
        <v>42515</v>
      </c>
      <c r="G5671" s="1">
        <v>42520</v>
      </c>
      <c r="H5671" t="s">
        <v>30</v>
      </c>
      <c r="I5671">
        <v>5</v>
      </c>
      <c r="J5671" t="s">
        <v>107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1</v>
      </c>
      <c r="Q5671" t="s">
        <v>23</v>
      </c>
      <c r="R5671">
        <v>0</v>
      </c>
    </row>
    <row r="5672" spans="1:18">
      <c r="A5672" s="4">
        <v>11549100000000</v>
      </c>
      <c r="B5672" t="s">
        <v>18</v>
      </c>
      <c r="C5672">
        <v>20</v>
      </c>
      <c r="D5672" t="s">
        <v>37</v>
      </c>
      <c r="E5672" t="s">
        <v>91</v>
      </c>
      <c r="F5672" s="1">
        <v>42515</v>
      </c>
      <c r="G5672" s="1">
        <v>42515</v>
      </c>
      <c r="H5672" t="s">
        <v>25</v>
      </c>
      <c r="I5672">
        <v>0</v>
      </c>
      <c r="J5672" t="s">
        <v>111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 t="s">
        <v>23</v>
      </c>
      <c r="R5672">
        <v>0</v>
      </c>
    </row>
    <row r="5673" spans="1:18">
      <c r="A5673" s="4">
        <v>822146000000000</v>
      </c>
      <c r="B5673" t="s">
        <v>28</v>
      </c>
      <c r="C5673">
        <v>38</v>
      </c>
      <c r="D5673" t="s">
        <v>27</v>
      </c>
      <c r="E5673" t="s">
        <v>64</v>
      </c>
      <c r="F5673" s="1">
        <v>42515</v>
      </c>
      <c r="G5673" s="1">
        <v>42515</v>
      </c>
      <c r="H5673" t="s">
        <v>25</v>
      </c>
      <c r="I5673">
        <v>0</v>
      </c>
      <c r="J5673" t="s">
        <v>111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 t="s">
        <v>23</v>
      </c>
      <c r="R5673">
        <v>0</v>
      </c>
    </row>
    <row r="5674" spans="1:18">
      <c r="A5674" s="4">
        <v>79384300000000</v>
      </c>
      <c r="B5674" t="s">
        <v>18</v>
      </c>
      <c r="C5674">
        <v>26</v>
      </c>
      <c r="D5674" t="s">
        <v>37</v>
      </c>
      <c r="E5674" t="s">
        <v>32</v>
      </c>
      <c r="F5674" s="1">
        <v>42515</v>
      </c>
      <c r="G5674" s="1">
        <v>42515</v>
      </c>
      <c r="H5674" t="s">
        <v>25</v>
      </c>
      <c r="I5674">
        <v>0</v>
      </c>
      <c r="J5674" t="s">
        <v>111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 t="s">
        <v>26</v>
      </c>
      <c r="R5674">
        <v>1</v>
      </c>
    </row>
    <row r="5675" spans="1:18">
      <c r="A5675" s="4">
        <v>43898900000000</v>
      </c>
      <c r="B5675" t="s">
        <v>18</v>
      </c>
      <c r="C5675">
        <v>14</v>
      </c>
      <c r="D5675" t="s">
        <v>60</v>
      </c>
      <c r="E5675" t="s">
        <v>32</v>
      </c>
      <c r="F5675" s="1">
        <v>42515</v>
      </c>
      <c r="G5675" s="1">
        <v>42515</v>
      </c>
      <c r="H5675" t="s">
        <v>25</v>
      </c>
      <c r="I5675">
        <v>0</v>
      </c>
      <c r="J5675" t="s">
        <v>111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 t="s">
        <v>26</v>
      </c>
      <c r="R5675">
        <v>1</v>
      </c>
    </row>
    <row r="5676" spans="1:18">
      <c r="A5676" s="4">
        <v>251678000000</v>
      </c>
      <c r="B5676" t="s">
        <v>28</v>
      </c>
      <c r="C5676">
        <v>15</v>
      </c>
      <c r="D5676" t="s">
        <v>60</v>
      </c>
      <c r="E5676" t="s">
        <v>29</v>
      </c>
      <c r="F5676" s="1">
        <v>42515</v>
      </c>
      <c r="G5676" s="1">
        <v>42515</v>
      </c>
      <c r="H5676" t="s">
        <v>25</v>
      </c>
      <c r="I5676">
        <v>0</v>
      </c>
      <c r="J5676" t="s">
        <v>111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 t="s">
        <v>23</v>
      </c>
      <c r="R5676">
        <v>0</v>
      </c>
    </row>
    <row r="5677" spans="1:18">
      <c r="A5677" s="4">
        <v>451586000000000</v>
      </c>
      <c r="B5677" t="s">
        <v>18</v>
      </c>
      <c r="C5677">
        <v>61</v>
      </c>
      <c r="D5677" t="s">
        <v>35</v>
      </c>
      <c r="E5677" t="s">
        <v>47</v>
      </c>
      <c r="F5677" s="1">
        <v>42515</v>
      </c>
      <c r="G5677" s="1">
        <v>42521</v>
      </c>
      <c r="H5677" t="s">
        <v>41</v>
      </c>
      <c r="I5677">
        <v>6</v>
      </c>
      <c r="J5677" t="s">
        <v>107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1</v>
      </c>
      <c r="Q5677" t="s">
        <v>23</v>
      </c>
      <c r="R5677">
        <v>0</v>
      </c>
    </row>
    <row r="5678" spans="1:18">
      <c r="A5678" s="4">
        <v>86469700000000</v>
      </c>
      <c r="B5678" t="s">
        <v>28</v>
      </c>
      <c r="C5678">
        <v>50</v>
      </c>
      <c r="D5678" t="s">
        <v>27</v>
      </c>
      <c r="E5678" t="s">
        <v>40</v>
      </c>
      <c r="F5678" s="1">
        <v>42515</v>
      </c>
      <c r="G5678" s="1">
        <v>42521</v>
      </c>
      <c r="H5678" t="s">
        <v>41</v>
      </c>
      <c r="I5678">
        <v>6</v>
      </c>
      <c r="J5678" t="s">
        <v>107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1</v>
      </c>
      <c r="Q5678" t="s">
        <v>23</v>
      </c>
      <c r="R5678">
        <v>0</v>
      </c>
    </row>
    <row r="5679" spans="1:18">
      <c r="A5679" s="4">
        <v>977922000000000</v>
      </c>
      <c r="B5679" t="s">
        <v>18</v>
      </c>
      <c r="C5679">
        <v>45</v>
      </c>
      <c r="D5679" t="s">
        <v>27</v>
      </c>
      <c r="E5679" t="s">
        <v>82</v>
      </c>
      <c r="F5679" s="1">
        <v>42515</v>
      </c>
      <c r="G5679" s="1">
        <v>42521</v>
      </c>
      <c r="H5679" t="s">
        <v>41</v>
      </c>
      <c r="I5679">
        <v>6</v>
      </c>
      <c r="J5679" t="s">
        <v>107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1</v>
      </c>
      <c r="Q5679" t="s">
        <v>23</v>
      </c>
      <c r="R5679">
        <v>0</v>
      </c>
    </row>
    <row r="5680" spans="1:18">
      <c r="A5680" s="4">
        <v>6511660000000</v>
      </c>
      <c r="B5680" t="s">
        <v>18</v>
      </c>
      <c r="C5680">
        <v>29</v>
      </c>
      <c r="D5680" t="s">
        <v>37</v>
      </c>
      <c r="E5680" t="s">
        <v>75</v>
      </c>
      <c r="F5680" s="1">
        <v>42515</v>
      </c>
      <c r="G5680" s="1">
        <v>42515</v>
      </c>
      <c r="H5680" t="s">
        <v>25</v>
      </c>
      <c r="I5680">
        <v>0</v>
      </c>
      <c r="J5680" t="s">
        <v>111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 t="s">
        <v>23</v>
      </c>
      <c r="R5680">
        <v>0</v>
      </c>
    </row>
    <row r="5681" spans="1:18">
      <c r="A5681" s="4">
        <v>6483670000000</v>
      </c>
      <c r="B5681" t="s">
        <v>18</v>
      </c>
      <c r="C5681">
        <v>44</v>
      </c>
      <c r="D5681" t="s">
        <v>27</v>
      </c>
      <c r="E5681" t="s">
        <v>72</v>
      </c>
      <c r="F5681" s="1">
        <v>42515</v>
      </c>
      <c r="G5681" s="1">
        <v>42515</v>
      </c>
      <c r="H5681" t="s">
        <v>25</v>
      </c>
      <c r="I5681">
        <v>0</v>
      </c>
      <c r="J5681" t="s">
        <v>111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 t="s">
        <v>23</v>
      </c>
      <c r="R5681">
        <v>0</v>
      </c>
    </row>
    <row r="5682" spans="1:18">
      <c r="A5682" s="4">
        <v>32757000000000</v>
      </c>
      <c r="B5682" t="s">
        <v>18</v>
      </c>
      <c r="C5682">
        <v>57</v>
      </c>
      <c r="D5682" t="s">
        <v>35</v>
      </c>
      <c r="E5682" t="s">
        <v>105</v>
      </c>
      <c r="F5682" s="1">
        <v>42515</v>
      </c>
      <c r="G5682" s="1">
        <v>42520</v>
      </c>
      <c r="H5682" t="s">
        <v>30</v>
      </c>
      <c r="I5682">
        <v>5</v>
      </c>
      <c r="J5682" t="s">
        <v>107</v>
      </c>
      <c r="K5682">
        <v>0</v>
      </c>
      <c r="L5682">
        <v>1</v>
      </c>
      <c r="M5682">
        <v>0</v>
      </c>
      <c r="N5682">
        <v>0</v>
      </c>
      <c r="O5682">
        <v>0</v>
      </c>
      <c r="P5682">
        <v>0</v>
      </c>
      <c r="Q5682" t="s">
        <v>26</v>
      </c>
      <c r="R5682">
        <v>1</v>
      </c>
    </row>
    <row r="5683" spans="1:18">
      <c r="A5683" s="4">
        <v>938554000000000</v>
      </c>
      <c r="B5683" t="s">
        <v>28</v>
      </c>
      <c r="C5683">
        <v>85</v>
      </c>
      <c r="D5683" t="s">
        <v>19</v>
      </c>
      <c r="E5683" t="s">
        <v>72</v>
      </c>
      <c r="F5683" s="1">
        <v>42515</v>
      </c>
      <c r="G5683" s="1">
        <v>42521</v>
      </c>
      <c r="H5683" t="s">
        <v>41</v>
      </c>
      <c r="I5683">
        <v>6</v>
      </c>
      <c r="J5683" t="s">
        <v>107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 t="s">
        <v>23</v>
      </c>
      <c r="R5683">
        <v>0</v>
      </c>
    </row>
    <row r="5684" spans="1:18">
      <c r="A5684" s="4">
        <v>91795200000000</v>
      </c>
      <c r="B5684" t="s">
        <v>28</v>
      </c>
      <c r="C5684">
        <v>51</v>
      </c>
      <c r="D5684" t="s">
        <v>35</v>
      </c>
      <c r="E5684" t="s">
        <v>66</v>
      </c>
      <c r="F5684" s="1">
        <v>42515</v>
      </c>
      <c r="G5684" s="1">
        <v>42521</v>
      </c>
      <c r="H5684" t="s">
        <v>41</v>
      </c>
      <c r="I5684">
        <v>6</v>
      </c>
      <c r="J5684" t="s">
        <v>107</v>
      </c>
      <c r="K5684">
        <v>0</v>
      </c>
      <c r="L5684">
        <v>0</v>
      </c>
      <c r="M5684">
        <v>0</v>
      </c>
      <c r="N5684">
        <v>1</v>
      </c>
      <c r="O5684">
        <v>0</v>
      </c>
      <c r="P5684">
        <v>1</v>
      </c>
      <c r="Q5684" t="s">
        <v>26</v>
      </c>
      <c r="R5684">
        <v>1</v>
      </c>
    </row>
    <row r="5685" spans="1:18">
      <c r="A5685" s="4">
        <v>95592500000000</v>
      </c>
      <c r="B5685" t="s">
        <v>18</v>
      </c>
      <c r="C5685">
        <v>43</v>
      </c>
      <c r="D5685" t="s">
        <v>27</v>
      </c>
      <c r="E5685" t="s">
        <v>40</v>
      </c>
      <c r="F5685" s="1">
        <v>42515</v>
      </c>
      <c r="G5685" s="1">
        <v>42521</v>
      </c>
      <c r="H5685" t="s">
        <v>41</v>
      </c>
      <c r="I5685">
        <v>6</v>
      </c>
      <c r="J5685" t="s">
        <v>107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1</v>
      </c>
      <c r="Q5685" t="s">
        <v>23</v>
      </c>
      <c r="R5685">
        <v>0</v>
      </c>
    </row>
    <row r="5686" spans="1:18">
      <c r="A5686" s="4">
        <v>1313870000000</v>
      </c>
      <c r="B5686" t="s">
        <v>28</v>
      </c>
      <c r="C5686">
        <v>52</v>
      </c>
      <c r="D5686" t="s">
        <v>35</v>
      </c>
      <c r="E5686" t="s">
        <v>56</v>
      </c>
      <c r="F5686" s="1">
        <v>42515</v>
      </c>
      <c r="G5686" s="1">
        <v>42515</v>
      </c>
      <c r="H5686" t="s">
        <v>25</v>
      </c>
      <c r="I5686">
        <v>0</v>
      </c>
      <c r="J5686" t="s">
        <v>111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23</v>
      </c>
      <c r="R5686">
        <v>0</v>
      </c>
    </row>
    <row r="5687" spans="1:18">
      <c r="A5687" s="4">
        <v>325940000000000</v>
      </c>
      <c r="B5687" t="s">
        <v>18</v>
      </c>
      <c r="C5687">
        <v>54</v>
      </c>
      <c r="D5687" t="s">
        <v>35</v>
      </c>
      <c r="E5687" t="s">
        <v>53</v>
      </c>
      <c r="F5687" s="1">
        <v>42515</v>
      </c>
      <c r="G5687" s="1">
        <v>42527</v>
      </c>
      <c r="H5687" t="s">
        <v>30</v>
      </c>
      <c r="I5687">
        <v>12</v>
      </c>
      <c r="J5687" t="s">
        <v>92</v>
      </c>
      <c r="K5687">
        <v>0</v>
      </c>
      <c r="L5687">
        <v>0</v>
      </c>
      <c r="M5687">
        <v>1</v>
      </c>
      <c r="N5687">
        <v>0</v>
      </c>
      <c r="O5687">
        <v>0</v>
      </c>
      <c r="P5687">
        <v>1</v>
      </c>
      <c r="Q5687" t="s">
        <v>23</v>
      </c>
      <c r="R5687">
        <v>0</v>
      </c>
    </row>
    <row r="5688" spans="1:18">
      <c r="A5688" s="4">
        <v>9199370000000</v>
      </c>
      <c r="B5688" t="s">
        <v>18</v>
      </c>
      <c r="C5688">
        <v>30</v>
      </c>
      <c r="D5688" t="s">
        <v>37</v>
      </c>
      <c r="E5688" t="s">
        <v>45</v>
      </c>
      <c r="F5688" s="1">
        <v>42515</v>
      </c>
      <c r="G5688" s="1">
        <v>42515</v>
      </c>
      <c r="H5688" t="s">
        <v>25</v>
      </c>
      <c r="I5688">
        <v>0</v>
      </c>
      <c r="J5688" t="s">
        <v>111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 t="s">
        <v>23</v>
      </c>
      <c r="R5688">
        <v>0</v>
      </c>
    </row>
    <row r="5689" spans="1:18">
      <c r="A5689" s="4">
        <v>38722100000000</v>
      </c>
      <c r="B5689" t="s">
        <v>18</v>
      </c>
      <c r="C5689">
        <v>28</v>
      </c>
      <c r="D5689" t="s">
        <v>37</v>
      </c>
      <c r="E5689" t="s">
        <v>96</v>
      </c>
      <c r="F5689" s="1">
        <v>42515</v>
      </c>
      <c r="G5689" s="1">
        <v>42515</v>
      </c>
      <c r="H5689" t="s">
        <v>25</v>
      </c>
      <c r="I5689">
        <v>0</v>
      </c>
      <c r="J5689" t="s">
        <v>111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 t="s">
        <v>23</v>
      </c>
      <c r="R5689">
        <v>0</v>
      </c>
    </row>
    <row r="5690" spans="1:18">
      <c r="A5690" s="4">
        <v>292236000000</v>
      </c>
      <c r="B5690" t="s">
        <v>18</v>
      </c>
      <c r="C5690">
        <v>33</v>
      </c>
      <c r="D5690" t="s">
        <v>37</v>
      </c>
      <c r="E5690" t="s">
        <v>50</v>
      </c>
      <c r="F5690" s="1">
        <v>42515</v>
      </c>
      <c r="G5690" s="1">
        <v>42521</v>
      </c>
      <c r="H5690" t="s">
        <v>41</v>
      </c>
      <c r="I5690">
        <v>6</v>
      </c>
      <c r="J5690" t="s">
        <v>107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1</v>
      </c>
      <c r="Q5690" t="s">
        <v>26</v>
      </c>
      <c r="R5690">
        <v>1</v>
      </c>
    </row>
    <row r="5691" spans="1:18">
      <c r="A5691" s="4">
        <v>6593240000000</v>
      </c>
      <c r="B5691" t="s">
        <v>28</v>
      </c>
      <c r="C5691">
        <v>4</v>
      </c>
      <c r="D5691" t="s">
        <v>31</v>
      </c>
      <c r="E5691" t="s">
        <v>57</v>
      </c>
      <c r="F5691" s="1">
        <v>42515</v>
      </c>
      <c r="G5691" s="1">
        <v>42520</v>
      </c>
      <c r="H5691" t="s">
        <v>30</v>
      </c>
      <c r="I5691">
        <v>5</v>
      </c>
      <c r="J5691" t="s">
        <v>107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 t="s">
        <v>23</v>
      </c>
      <c r="R5691">
        <v>0</v>
      </c>
    </row>
    <row r="5692" spans="1:18">
      <c r="A5692" s="4">
        <v>33341100000000</v>
      </c>
      <c r="B5692" t="s">
        <v>18</v>
      </c>
      <c r="C5692">
        <v>68</v>
      </c>
      <c r="D5692" t="s">
        <v>19</v>
      </c>
      <c r="E5692" t="s">
        <v>47</v>
      </c>
      <c r="F5692" s="1">
        <v>42515</v>
      </c>
      <c r="G5692" s="1">
        <v>42515</v>
      </c>
      <c r="H5692" t="s">
        <v>25</v>
      </c>
      <c r="I5692">
        <v>0</v>
      </c>
      <c r="J5692" t="s">
        <v>111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 t="s">
        <v>23</v>
      </c>
      <c r="R5692">
        <v>0</v>
      </c>
    </row>
    <row r="5693" spans="1:18">
      <c r="A5693" s="4">
        <v>2649820000000</v>
      </c>
      <c r="B5693" t="s">
        <v>18</v>
      </c>
      <c r="C5693">
        <v>68</v>
      </c>
      <c r="D5693" t="s">
        <v>19</v>
      </c>
      <c r="E5693" t="s">
        <v>100</v>
      </c>
      <c r="F5693" s="1">
        <v>42515</v>
      </c>
      <c r="G5693" s="1">
        <v>42515</v>
      </c>
      <c r="H5693" t="s">
        <v>25</v>
      </c>
      <c r="I5693">
        <v>0</v>
      </c>
      <c r="J5693" t="s">
        <v>111</v>
      </c>
      <c r="K5693">
        <v>0</v>
      </c>
      <c r="L5693">
        <v>1</v>
      </c>
      <c r="M5693">
        <v>1</v>
      </c>
      <c r="N5693">
        <v>0</v>
      </c>
      <c r="O5693">
        <v>0</v>
      </c>
      <c r="P5693">
        <v>0</v>
      </c>
      <c r="Q5693" t="s">
        <v>23</v>
      </c>
      <c r="R5693">
        <v>0</v>
      </c>
    </row>
    <row r="5694" spans="1:18">
      <c r="A5694" s="4">
        <v>1761390000000</v>
      </c>
      <c r="B5694" t="s">
        <v>18</v>
      </c>
      <c r="C5694">
        <v>29</v>
      </c>
      <c r="D5694" t="s">
        <v>37</v>
      </c>
      <c r="E5694" t="s">
        <v>87</v>
      </c>
      <c r="F5694" s="1">
        <v>42515</v>
      </c>
      <c r="G5694" s="1">
        <v>42515</v>
      </c>
      <c r="H5694" t="s">
        <v>25</v>
      </c>
      <c r="I5694">
        <v>0</v>
      </c>
      <c r="J5694" t="s">
        <v>111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 t="s">
        <v>23</v>
      </c>
      <c r="R5694">
        <v>0</v>
      </c>
    </row>
    <row r="5695" spans="1:18">
      <c r="A5695" s="4">
        <v>797145000000000</v>
      </c>
      <c r="B5695" t="s">
        <v>18</v>
      </c>
      <c r="C5695">
        <v>44</v>
      </c>
      <c r="D5695" t="s">
        <v>27</v>
      </c>
      <c r="E5695" t="s">
        <v>67</v>
      </c>
      <c r="F5695" s="1">
        <v>42515</v>
      </c>
      <c r="G5695" s="1">
        <v>42515</v>
      </c>
      <c r="H5695" t="s">
        <v>25</v>
      </c>
      <c r="I5695">
        <v>0</v>
      </c>
      <c r="J5695" t="s">
        <v>111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 t="s">
        <v>23</v>
      </c>
      <c r="R5695">
        <v>0</v>
      </c>
    </row>
    <row r="5696" spans="1:18">
      <c r="A5696" s="4">
        <v>821578000000</v>
      </c>
      <c r="B5696" t="s">
        <v>28</v>
      </c>
      <c r="C5696">
        <v>85</v>
      </c>
      <c r="D5696" t="s">
        <v>19</v>
      </c>
      <c r="E5696" t="s">
        <v>89</v>
      </c>
      <c r="F5696" s="1">
        <v>42515</v>
      </c>
      <c r="G5696" s="1">
        <v>42521</v>
      </c>
      <c r="H5696" t="s">
        <v>41</v>
      </c>
      <c r="I5696">
        <v>6</v>
      </c>
      <c r="J5696" t="s">
        <v>107</v>
      </c>
      <c r="K5696">
        <v>0</v>
      </c>
      <c r="L5696">
        <v>0</v>
      </c>
      <c r="M5696">
        <v>1</v>
      </c>
      <c r="N5696">
        <v>0</v>
      </c>
      <c r="O5696">
        <v>0</v>
      </c>
      <c r="P5696">
        <v>1</v>
      </c>
      <c r="Q5696" t="s">
        <v>23</v>
      </c>
      <c r="R5696">
        <v>0</v>
      </c>
    </row>
    <row r="5697" spans="1:18">
      <c r="A5697" s="4">
        <v>658382000000000</v>
      </c>
      <c r="B5697" t="s">
        <v>18</v>
      </c>
      <c r="C5697">
        <v>63</v>
      </c>
      <c r="D5697" t="s">
        <v>35</v>
      </c>
      <c r="E5697" t="s">
        <v>39</v>
      </c>
      <c r="F5697" s="1">
        <v>42515</v>
      </c>
      <c r="G5697" s="1">
        <v>42521</v>
      </c>
      <c r="H5697" t="s">
        <v>41</v>
      </c>
      <c r="I5697">
        <v>6</v>
      </c>
      <c r="J5697" t="s">
        <v>107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1</v>
      </c>
      <c r="Q5697" t="s">
        <v>23</v>
      </c>
      <c r="R5697">
        <v>0</v>
      </c>
    </row>
    <row r="5698" spans="1:18">
      <c r="A5698" s="4">
        <v>554614000000000</v>
      </c>
      <c r="B5698" t="s">
        <v>18</v>
      </c>
      <c r="C5698">
        <v>57</v>
      </c>
      <c r="D5698" t="s">
        <v>35</v>
      </c>
      <c r="E5698" t="s">
        <v>67</v>
      </c>
      <c r="F5698" s="1">
        <v>42515</v>
      </c>
      <c r="G5698" s="1">
        <v>42520</v>
      </c>
      <c r="H5698" t="s">
        <v>30</v>
      </c>
      <c r="I5698">
        <v>5</v>
      </c>
      <c r="J5698" t="s">
        <v>107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1</v>
      </c>
      <c r="Q5698" t="s">
        <v>23</v>
      </c>
      <c r="R5698">
        <v>0</v>
      </c>
    </row>
    <row r="5699" spans="1:18">
      <c r="A5699" s="4">
        <v>6193850000000</v>
      </c>
      <c r="B5699" t="s">
        <v>18</v>
      </c>
      <c r="C5699">
        <v>41</v>
      </c>
      <c r="D5699" t="s">
        <v>27</v>
      </c>
      <c r="E5699" t="s">
        <v>40</v>
      </c>
      <c r="F5699" s="1">
        <v>42515</v>
      </c>
      <c r="G5699" s="1">
        <v>42515</v>
      </c>
      <c r="H5699" t="s">
        <v>25</v>
      </c>
      <c r="I5699">
        <v>0</v>
      </c>
      <c r="J5699" t="s">
        <v>111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 t="s">
        <v>23</v>
      </c>
      <c r="R5699">
        <v>0</v>
      </c>
    </row>
    <row r="5700" spans="1:18">
      <c r="A5700" s="4">
        <v>831939000000000</v>
      </c>
      <c r="B5700" t="s">
        <v>18</v>
      </c>
      <c r="C5700">
        <v>21</v>
      </c>
      <c r="D5700" t="s">
        <v>37</v>
      </c>
      <c r="E5700" t="s">
        <v>64</v>
      </c>
      <c r="F5700" s="1">
        <v>42515</v>
      </c>
      <c r="G5700" s="1">
        <v>42522</v>
      </c>
      <c r="H5700" t="s">
        <v>25</v>
      </c>
      <c r="I5700">
        <v>7</v>
      </c>
      <c r="J5700" t="s">
        <v>107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1</v>
      </c>
      <c r="Q5700" t="s">
        <v>23</v>
      </c>
      <c r="R5700">
        <v>0</v>
      </c>
    </row>
    <row r="5701" spans="1:18">
      <c r="A5701" s="4">
        <v>764526000000000</v>
      </c>
      <c r="B5701" t="s">
        <v>28</v>
      </c>
      <c r="C5701">
        <v>52</v>
      </c>
      <c r="D5701" t="s">
        <v>35</v>
      </c>
      <c r="E5701" t="s">
        <v>29</v>
      </c>
      <c r="F5701" s="1">
        <v>42515</v>
      </c>
      <c r="G5701" s="1">
        <v>42515</v>
      </c>
      <c r="H5701" t="s">
        <v>25</v>
      </c>
      <c r="I5701">
        <v>0</v>
      </c>
      <c r="J5701" t="s">
        <v>111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 t="s">
        <v>23</v>
      </c>
      <c r="R5701">
        <v>0</v>
      </c>
    </row>
    <row r="5702" spans="1:18">
      <c r="A5702" s="4">
        <v>7882850000000</v>
      </c>
      <c r="B5702" t="s">
        <v>18</v>
      </c>
      <c r="C5702">
        <v>19</v>
      </c>
      <c r="D5702" t="s">
        <v>37</v>
      </c>
      <c r="E5702" t="s">
        <v>105</v>
      </c>
      <c r="F5702" s="1">
        <v>42515</v>
      </c>
      <c r="G5702" s="1">
        <v>42523</v>
      </c>
      <c r="H5702" t="s">
        <v>33</v>
      </c>
      <c r="I5702">
        <v>8</v>
      </c>
      <c r="J5702" t="s">
        <v>92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1</v>
      </c>
      <c r="Q5702" t="s">
        <v>26</v>
      </c>
      <c r="R5702">
        <v>1</v>
      </c>
    </row>
    <row r="5703" spans="1:18">
      <c r="A5703" s="4">
        <v>5847530000000</v>
      </c>
      <c r="B5703" t="s">
        <v>28</v>
      </c>
      <c r="C5703">
        <v>91</v>
      </c>
      <c r="D5703" t="s">
        <v>19</v>
      </c>
      <c r="E5703" t="s">
        <v>95</v>
      </c>
      <c r="F5703" s="1">
        <v>42515</v>
      </c>
      <c r="G5703" s="1">
        <v>42521</v>
      </c>
      <c r="H5703" t="s">
        <v>41</v>
      </c>
      <c r="I5703">
        <v>6</v>
      </c>
      <c r="J5703" t="s">
        <v>107</v>
      </c>
      <c r="K5703">
        <v>0</v>
      </c>
      <c r="L5703">
        <v>1</v>
      </c>
      <c r="M5703">
        <v>0</v>
      </c>
      <c r="N5703">
        <v>0</v>
      </c>
      <c r="O5703">
        <v>0</v>
      </c>
      <c r="P5703">
        <v>1</v>
      </c>
      <c r="Q5703" t="s">
        <v>26</v>
      </c>
      <c r="R5703">
        <v>1</v>
      </c>
    </row>
    <row r="5704" spans="1:18">
      <c r="A5704" s="4">
        <v>885764000000000</v>
      </c>
      <c r="B5704" t="s">
        <v>28</v>
      </c>
      <c r="C5704">
        <v>19</v>
      </c>
      <c r="D5704" t="s">
        <v>37</v>
      </c>
      <c r="E5704" t="s">
        <v>39</v>
      </c>
      <c r="F5704" s="1">
        <v>42515</v>
      </c>
      <c r="G5704" s="1">
        <v>42515</v>
      </c>
      <c r="H5704" t="s">
        <v>25</v>
      </c>
      <c r="I5704">
        <v>0</v>
      </c>
      <c r="J5704" t="s">
        <v>111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 t="s">
        <v>23</v>
      </c>
      <c r="R5704">
        <v>0</v>
      </c>
    </row>
    <row r="5705" spans="1:18">
      <c r="A5705" s="4">
        <v>84736900000000</v>
      </c>
      <c r="B5705" t="s">
        <v>18</v>
      </c>
      <c r="C5705">
        <v>58</v>
      </c>
      <c r="D5705" t="s">
        <v>35</v>
      </c>
      <c r="E5705" t="s">
        <v>105</v>
      </c>
      <c r="F5705" s="1">
        <v>42515</v>
      </c>
      <c r="G5705" s="1">
        <v>42521</v>
      </c>
      <c r="H5705" t="s">
        <v>41</v>
      </c>
      <c r="I5705">
        <v>6</v>
      </c>
      <c r="J5705" t="s">
        <v>107</v>
      </c>
      <c r="K5705">
        <v>0</v>
      </c>
      <c r="L5705">
        <v>1</v>
      </c>
      <c r="M5705">
        <v>0</v>
      </c>
      <c r="N5705">
        <v>1</v>
      </c>
      <c r="O5705">
        <v>0</v>
      </c>
      <c r="P5705">
        <v>1</v>
      </c>
      <c r="Q5705" t="s">
        <v>23</v>
      </c>
      <c r="R5705">
        <v>0</v>
      </c>
    </row>
    <row r="5706" spans="1:18">
      <c r="A5706" s="4">
        <v>85621800000000</v>
      </c>
      <c r="B5706" t="s">
        <v>28</v>
      </c>
      <c r="C5706">
        <v>37</v>
      </c>
      <c r="D5706" t="s">
        <v>27</v>
      </c>
      <c r="E5706" t="s">
        <v>80</v>
      </c>
      <c r="F5706" s="1">
        <v>42515</v>
      </c>
      <c r="G5706" s="1">
        <v>42522</v>
      </c>
      <c r="H5706" t="s">
        <v>25</v>
      </c>
      <c r="I5706">
        <v>7</v>
      </c>
      <c r="J5706" t="s">
        <v>107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1</v>
      </c>
      <c r="Q5706" t="s">
        <v>23</v>
      </c>
      <c r="R5706">
        <v>0</v>
      </c>
    </row>
    <row r="5707" spans="1:18">
      <c r="A5707" s="4">
        <v>775384000000</v>
      </c>
      <c r="B5707" t="s">
        <v>18</v>
      </c>
      <c r="C5707">
        <v>31</v>
      </c>
      <c r="D5707" t="s">
        <v>37</v>
      </c>
      <c r="E5707" t="s">
        <v>55</v>
      </c>
      <c r="F5707" s="1">
        <v>42515</v>
      </c>
      <c r="G5707" s="1">
        <v>42515</v>
      </c>
      <c r="H5707" t="s">
        <v>25</v>
      </c>
      <c r="I5707">
        <v>0</v>
      </c>
      <c r="J5707" t="s">
        <v>111</v>
      </c>
      <c r="K5707">
        <v>0</v>
      </c>
      <c r="L5707">
        <v>0</v>
      </c>
      <c r="M5707">
        <v>0</v>
      </c>
      <c r="N5707">
        <v>1</v>
      </c>
      <c r="O5707">
        <v>0</v>
      </c>
      <c r="P5707">
        <v>0</v>
      </c>
      <c r="Q5707" t="s">
        <v>23</v>
      </c>
      <c r="R5707">
        <v>0</v>
      </c>
    </row>
    <row r="5708" spans="1:18">
      <c r="A5708" s="4">
        <v>53285700000000</v>
      </c>
      <c r="B5708" t="s">
        <v>18</v>
      </c>
      <c r="C5708">
        <v>57</v>
      </c>
      <c r="D5708" t="s">
        <v>35</v>
      </c>
      <c r="E5708" t="s">
        <v>47</v>
      </c>
      <c r="F5708" s="1">
        <v>42515</v>
      </c>
      <c r="G5708" s="1">
        <v>42515</v>
      </c>
      <c r="H5708" t="s">
        <v>25</v>
      </c>
      <c r="I5708">
        <v>0</v>
      </c>
      <c r="J5708" t="s">
        <v>111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 t="s">
        <v>23</v>
      </c>
      <c r="R5708">
        <v>0</v>
      </c>
    </row>
    <row r="5709" spans="1:18">
      <c r="A5709" s="4">
        <v>52672300000000</v>
      </c>
      <c r="B5709" t="s">
        <v>18</v>
      </c>
      <c r="C5709">
        <v>44</v>
      </c>
      <c r="D5709" t="s">
        <v>27</v>
      </c>
      <c r="E5709" t="s">
        <v>75</v>
      </c>
      <c r="F5709" s="1">
        <v>42515</v>
      </c>
      <c r="G5709" s="1">
        <v>42528</v>
      </c>
      <c r="H5709" t="s">
        <v>41</v>
      </c>
      <c r="I5709">
        <v>13</v>
      </c>
      <c r="J5709" t="s">
        <v>92</v>
      </c>
      <c r="K5709">
        <v>0</v>
      </c>
      <c r="L5709">
        <v>0</v>
      </c>
      <c r="M5709">
        <v>0</v>
      </c>
      <c r="N5709">
        <v>0</v>
      </c>
      <c r="O5709">
        <v>1</v>
      </c>
      <c r="P5709">
        <v>1</v>
      </c>
      <c r="Q5709" t="s">
        <v>23</v>
      </c>
      <c r="R5709">
        <v>0</v>
      </c>
    </row>
    <row r="5710" spans="1:18">
      <c r="A5710" s="4">
        <v>4982120000000</v>
      </c>
      <c r="B5710" t="s">
        <v>28</v>
      </c>
      <c r="C5710">
        <v>5</v>
      </c>
      <c r="D5710" t="s">
        <v>31</v>
      </c>
      <c r="E5710" t="s">
        <v>72</v>
      </c>
      <c r="F5710" s="1">
        <v>42515</v>
      </c>
      <c r="G5710" s="1">
        <v>42515</v>
      </c>
      <c r="H5710" t="s">
        <v>25</v>
      </c>
      <c r="I5710">
        <v>0</v>
      </c>
      <c r="J5710" t="s">
        <v>111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 t="s">
        <v>23</v>
      </c>
      <c r="R5710">
        <v>0</v>
      </c>
    </row>
    <row r="5711" spans="1:18">
      <c r="A5711" s="4">
        <v>56269700000000</v>
      </c>
      <c r="B5711" t="s">
        <v>18</v>
      </c>
      <c r="C5711">
        <v>33</v>
      </c>
      <c r="D5711" t="s">
        <v>37</v>
      </c>
      <c r="E5711" t="s">
        <v>39</v>
      </c>
      <c r="F5711" s="1">
        <v>42515</v>
      </c>
      <c r="G5711" s="1">
        <v>42522</v>
      </c>
      <c r="H5711" t="s">
        <v>25</v>
      </c>
      <c r="I5711">
        <v>7</v>
      </c>
      <c r="J5711" t="s">
        <v>107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1</v>
      </c>
      <c r="Q5711" t="s">
        <v>23</v>
      </c>
      <c r="R5711">
        <v>0</v>
      </c>
    </row>
    <row r="5712" spans="1:18">
      <c r="A5712" s="4">
        <v>6888260000000</v>
      </c>
      <c r="B5712" t="s">
        <v>18</v>
      </c>
      <c r="C5712">
        <v>30</v>
      </c>
      <c r="D5712" t="s">
        <v>37</v>
      </c>
      <c r="E5712" t="s">
        <v>48</v>
      </c>
      <c r="F5712" s="1">
        <v>42515</v>
      </c>
      <c r="G5712" s="1">
        <v>42515</v>
      </c>
      <c r="H5712" t="s">
        <v>25</v>
      </c>
      <c r="I5712">
        <v>0</v>
      </c>
      <c r="J5712" t="s">
        <v>111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 t="s">
        <v>23</v>
      </c>
      <c r="R5712">
        <v>0</v>
      </c>
    </row>
    <row r="5713" spans="1:18">
      <c r="A5713" s="4">
        <v>74748500000000</v>
      </c>
      <c r="B5713" t="s">
        <v>28</v>
      </c>
      <c r="C5713">
        <v>30</v>
      </c>
      <c r="D5713" t="s">
        <v>37</v>
      </c>
      <c r="E5713" t="s">
        <v>38</v>
      </c>
      <c r="F5713" s="1">
        <v>42515</v>
      </c>
      <c r="G5713" s="1">
        <v>42515</v>
      </c>
      <c r="H5713" t="s">
        <v>25</v>
      </c>
      <c r="I5713">
        <v>0</v>
      </c>
      <c r="J5713" t="s">
        <v>111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 t="s">
        <v>23</v>
      </c>
      <c r="R5713">
        <v>0</v>
      </c>
    </row>
    <row r="5714" spans="1:18">
      <c r="A5714" s="4">
        <v>39164300000000</v>
      </c>
      <c r="B5714" t="s">
        <v>18</v>
      </c>
      <c r="C5714">
        <v>35</v>
      </c>
      <c r="D5714" t="s">
        <v>37</v>
      </c>
      <c r="E5714" t="s">
        <v>52</v>
      </c>
      <c r="F5714" s="1">
        <v>42515</v>
      </c>
      <c r="G5714" s="1">
        <v>42522</v>
      </c>
      <c r="H5714" t="s">
        <v>25</v>
      </c>
      <c r="I5714">
        <v>7</v>
      </c>
      <c r="J5714" t="s">
        <v>107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1</v>
      </c>
      <c r="Q5714" t="s">
        <v>26</v>
      </c>
      <c r="R5714">
        <v>1</v>
      </c>
    </row>
    <row r="5715" spans="1:18">
      <c r="A5715" s="4">
        <v>9496200000000</v>
      </c>
      <c r="B5715" t="s">
        <v>28</v>
      </c>
      <c r="C5715">
        <v>35</v>
      </c>
      <c r="D5715" t="s">
        <v>37</v>
      </c>
      <c r="E5715" t="s">
        <v>40</v>
      </c>
      <c r="F5715" s="1">
        <v>42515</v>
      </c>
      <c r="G5715" s="1">
        <v>42520</v>
      </c>
      <c r="H5715" t="s">
        <v>30</v>
      </c>
      <c r="I5715">
        <v>5</v>
      </c>
      <c r="J5715" t="s">
        <v>107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 t="s">
        <v>23</v>
      </c>
      <c r="R5715">
        <v>0</v>
      </c>
    </row>
    <row r="5716" spans="1:18">
      <c r="A5716" s="4">
        <v>34692600000000</v>
      </c>
      <c r="B5716" t="s">
        <v>18</v>
      </c>
      <c r="C5716">
        <v>56</v>
      </c>
      <c r="D5716" t="s">
        <v>35</v>
      </c>
      <c r="E5716" t="s">
        <v>38</v>
      </c>
      <c r="F5716" s="1">
        <v>42515</v>
      </c>
      <c r="G5716" s="1">
        <v>42520</v>
      </c>
      <c r="H5716" t="s">
        <v>30</v>
      </c>
      <c r="I5716">
        <v>5</v>
      </c>
      <c r="J5716" t="s">
        <v>107</v>
      </c>
      <c r="K5716">
        <v>0</v>
      </c>
      <c r="L5716">
        <v>1</v>
      </c>
      <c r="M5716">
        <v>0</v>
      </c>
      <c r="N5716">
        <v>0</v>
      </c>
      <c r="O5716">
        <v>0</v>
      </c>
      <c r="P5716">
        <v>0</v>
      </c>
      <c r="Q5716" t="s">
        <v>23</v>
      </c>
      <c r="R5716">
        <v>0</v>
      </c>
    </row>
    <row r="5717" spans="1:18">
      <c r="A5717" s="4">
        <v>21248900000000</v>
      </c>
      <c r="B5717" t="s">
        <v>28</v>
      </c>
      <c r="C5717">
        <v>54</v>
      </c>
      <c r="D5717" t="s">
        <v>35</v>
      </c>
      <c r="E5717" t="s">
        <v>74</v>
      </c>
      <c r="F5717" s="1">
        <v>42515</v>
      </c>
      <c r="G5717" s="1">
        <v>42522</v>
      </c>
      <c r="H5717" t="s">
        <v>25</v>
      </c>
      <c r="I5717">
        <v>7</v>
      </c>
      <c r="J5717" t="s">
        <v>107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1</v>
      </c>
      <c r="Q5717" t="s">
        <v>23</v>
      </c>
      <c r="R5717">
        <v>0</v>
      </c>
    </row>
    <row r="5718" spans="1:18">
      <c r="A5718" s="4">
        <v>453937000000000</v>
      </c>
      <c r="B5718" t="s">
        <v>28</v>
      </c>
      <c r="C5718">
        <v>31</v>
      </c>
      <c r="D5718" t="s">
        <v>37</v>
      </c>
      <c r="E5718" t="s">
        <v>34</v>
      </c>
      <c r="F5718" s="1">
        <v>42515</v>
      </c>
      <c r="G5718" s="1">
        <v>42523</v>
      </c>
      <c r="H5718" t="s">
        <v>33</v>
      </c>
      <c r="I5718">
        <v>8</v>
      </c>
      <c r="J5718" t="s">
        <v>92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1</v>
      </c>
      <c r="Q5718" t="s">
        <v>23</v>
      </c>
      <c r="R5718">
        <v>0</v>
      </c>
    </row>
    <row r="5719" spans="1:18">
      <c r="A5719" s="4">
        <v>364522000000</v>
      </c>
      <c r="B5719" t="s">
        <v>28</v>
      </c>
      <c r="C5719">
        <v>9</v>
      </c>
      <c r="D5719" t="s">
        <v>31</v>
      </c>
      <c r="E5719" t="s">
        <v>59</v>
      </c>
      <c r="F5719" s="1">
        <v>42515</v>
      </c>
      <c r="G5719" s="1">
        <v>42515</v>
      </c>
      <c r="H5719" t="s">
        <v>25</v>
      </c>
      <c r="I5719">
        <v>0</v>
      </c>
      <c r="J5719" t="s">
        <v>111</v>
      </c>
      <c r="K5719">
        <v>1</v>
      </c>
      <c r="L5719">
        <v>0</v>
      </c>
      <c r="M5719">
        <v>0</v>
      </c>
      <c r="N5719">
        <v>0</v>
      </c>
      <c r="O5719">
        <v>0</v>
      </c>
      <c r="P5719">
        <v>0</v>
      </c>
      <c r="Q5719" t="s">
        <v>26</v>
      </c>
      <c r="R5719">
        <v>1</v>
      </c>
    </row>
    <row r="5720" spans="1:18">
      <c r="A5720" s="4">
        <v>83235100000000</v>
      </c>
      <c r="B5720" t="s">
        <v>28</v>
      </c>
      <c r="C5720">
        <v>55</v>
      </c>
      <c r="D5720" t="s">
        <v>35</v>
      </c>
      <c r="E5720" t="s">
        <v>67</v>
      </c>
      <c r="F5720" s="1">
        <v>42515</v>
      </c>
      <c r="G5720" s="1">
        <v>42515</v>
      </c>
      <c r="H5720" t="s">
        <v>25</v>
      </c>
      <c r="I5720">
        <v>0</v>
      </c>
      <c r="J5720" t="s">
        <v>111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 t="s">
        <v>23</v>
      </c>
      <c r="R5720">
        <v>0</v>
      </c>
    </row>
    <row r="5721" spans="1:18">
      <c r="A5721" s="4">
        <v>8923970000000</v>
      </c>
      <c r="B5721" t="s">
        <v>18</v>
      </c>
      <c r="C5721">
        <v>52</v>
      </c>
      <c r="D5721" t="s">
        <v>35</v>
      </c>
      <c r="E5721" t="s">
        <v>32</v>
      </c>
      <c r="F5721" s="1">
        <v>42515</v>
      </c>
      <c r="G5721" s="1">
        <v>42515</v>
      </c>
      <c r="H5721" t="s">
        <v>25</v>
      </c>
      <c r="I5721">
        <v>0</v>
      </c>
      <c r="J5721" t="s">
        <v>111</v>
      </c>
      <c r="K5721">
        <v>0</v>
      </c>
      <c r="L5721">
        <v>0</v>
      </c>
      <c r="M5721">
        <v>1</v>
      </c>
      <c r="N5721">
        <v>0</v>
      </c>
      <c r="O5721">
        <v>0</v>
      </c>
      <c r="P5721">
        <v>0</v>
      </c>
      <c r="Q5721" t="s">
        <v>23</v>
      </c>
      <c r="R5721">
        <v>0</v>
      </c>
    </row>
    <row r="5722" spans="1:18">
      <c r="A5722" s="4">
        <v>115693000000</v>
      </c>
      <c r="B5722" t="s">
        <v>18</v>
      </c>
      <c r="C5722">
        <v>60</v>
      </c>
      <c r="D5722" t="s">
        <v>35</v>
      </c>
      <c r="E5722" t="s">
        <v>39</v>
      </c>
      <c r="F5722" s="1">
        <v>42515</v>
      </c>
      <c r="G5722" s="1">
        <v>42524</v>
      </c>
      <c r="H5722" t="s">
        <v>21</v>
      </c>
      <c r="I5722">
        <v>9</v>
      </c>
      <c r="J5722" t="s">
        <v>92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1</v>
      </c>
      <c r="Q5722" t="s">
        <v>23</v>
      </c>
      <c r="R5722">
        <v>0</v>
      </c>
    </row>
    <row r="5723" spans="1:18">
      <c r="A5723" s="4">
        <v>62136700000000</v>
      </c>
      <c r="B5723" t="s">
        <v>18</v>
      </c>
      <c r="C5723">
        <v>57</v>
      </c>
      <c r="D5723" t="s">
        <v>35</v>
      </c>
      <c r="E5723" t="s">
        <v>52</v>
      </c>
      <c r="F5723" s="1">
        <v>42515</v>
      </c>
      <c r="G5723" s="1">
        <v>42520</v>
      </c>
      <c r="H5723" t="s">
        <v>30</v>
      </c>
      <c r="I5723">
        <v>5</v>
      </c>
      <c r="J5723" t="s">
        <v>107</v>
      </c>
      <c r="K5723">
        <v>0</v>
      </c>
      <c r="L5723">
        <v>1</v>
      </c>
      <c r="M5723">
        <v>0</v>
      </c>
      <c r="N5723">
        <v>0</v>
      </c>
      <c r="O5723">
        <v>0</v>
      </c>
      <c r="P5723">
        <v>1</v>
      </c>
      <c r="Q5723" t="s">
        <v>23</v>
      </c>
      <c r="R5723">
        <v>0</v>
      </c>
    </row>
    <row r="5724" spans="1:18">
      <c r="A5724" s="4">
        <v>179545000000000</v>
      </c>
      <c r="B5724" t="s">
        <v>18</v>
      </c>
      <c r="C5724">
        <v>51</v>
      </c>
      <c r="D5724" t="s">
        <v>35</v>
      </c>
      <c r="E5724" t="s">
        <v>47</v>
      </c>
      <c r="F5724" s="1">
        <v>42515</v>
      </c>
      <c r="G5724" s="1">
        <v>42522</v>
      </c>
      <c r="H5724" t="s">
        <v>25</v>
      </c>
      <c r="I5724">
        <v>7</v>
      </c>
      <c r="J5724" t="s">
        <v>107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1</v>
      </c>
      <c r="Q5724" t="s">
        <v>23</v>
      </c>
      <c r="R5724">
        <v>0</v>
      </c>
    </row>
    <row r="5725" spans="1:18">
      <c r="A5725" s="4">
        <v>13364900000000</v>
      </c>
      <c r="B5725" t="s">
        <v>28</v>
      </c>
      <c r="C5725">
        <v>59</v>
      </c>
      <c r="D5725" t="s">
        <v>35</v>
      </c>
      <c r="E5725" t="s">
        <v>72</v>
      </c>
      <c r="F5725" s="1">
        <v>42515</v>
      </c>
      <c r="G5725" s="1">
        <v>42515</v>
      </c>
      <c r="H5725" t="s">
        <v>25</v>
      </c>
      <c r="I5725">
        <v>0</v>
      </c>
      <c r="J5725" t="s">
        <v>111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 t="s">
        <v>23</v>
      </c>
      <c r="R5725">
        <v>0</v>
      </c>
    </row>
    <row r="5726" spans="1:18">
      <c r="A5726" s="4">
        <v>779778000000</v>
      </c>
      <c r="B5726" t="s">
        <v>18</v>
      </c>
      <c r="C5726">
        <v>42</v>
      </c>
      <c r="D5726" t="s">
        <v>27</v>
      </c>
      <c r="E5726" t="s">
        <v>39</v>
      </c>
      <c r="F5726" s="1">
        <v>42515</v>
      </c>
      <c r="G5726" s="1">
        <v>42515</v>
      </c>
      <c r="H5726" t="s">
        <v>25</v>
      </c>
      <c r="I5726">
        <v>0</v>
      </c>
      <c r="J5726" t="s">
        <v>111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 t="s">
        <v>23</v>
      </c>
      <c r="R5726">
        <v>0</v>
      </c>
    </row>
    <row r="5727" spans="1:18">
      <c r="A5727" s="4">
        <v>97562500000000</v>
      </c>
      <c r="B5727" t="s">
        <v>18</v>
      </c>
      <c r="C5727">
        <v>18</v>
      </c>
      <c r="D5727" t="s">
        <v>37</v>
      </c>
      <c r="E5727" t="s">
        <v>54</v>
      </c>
      <c r="F5727" s="1">
        <v>42515</v>
      </c>
      <c r="G5727" s="1">
        <v>42523</v>
      </c>
      <c r="H5727" t="s">
        <v>33</v>
      </c>
      <c r="I5727">
        <v>8</v>
      </c>
      <c r="J5727" t="s">
        <v>92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1</v>
      </c>
      <c r="Q5727" t="s">
        <v>23</v>
      </c>
      <c r="R5727">
        <v>0</v>
      </c>
    </row>
    <row r="5728" spans="1:18">
      <c r="A5728" s="4">
        <v>4576970000000</v>
      </c>
      <c r="B5728" t="s">
        <v>28</v>
      </c>
      <c r="C5728">
        <v>17</v>
      </c>
      <c r="D5728" t="s">
        <v>60</v>
      </c>
      <c r="E5728" t="s">
        <v>58</v>
      </c>
      <c r="F5728" s="1">
        <v>42515</v>
      </c>
      <c r="G5728" s="1">
        <v>42515</v>
      </c>
      <c r="H5728" t="s">
        <v>25</v>
      </c>
      <c r="I5728">
        <v>0</v>
      </c>
      <c r="J5728" t="s">
        <v>111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 t="s">
        <v>23</v>
      </c>
      <c r="R5728">
        <v>0</v>
      </c>
    </row>
    <row r="5729" spans="1:18">
      <c r="A5729" s="4">
        <v>591258000000000</v>
      </c>
      <c r="B5729" t="s">
        <v>18</v>
      </c>
      <c r="C5729">
        <v>8</v>
      </c>
      <c r="D5729" t="s">
        <v>31</v>
      </c>
      <c r="E5729" t="s">
        <v>108</v>
      </c>
      <c r="F5729" s="1">
        <v>42515</v>
      </c>
      <c r="G5729" s="1">
        <v>42520</v>
      </c>
      <c r="H5729" t="s">
        <v>30</v>
      </c>
      <c r="I5729">
        <v>5</v>
      </c>
      <c r="J5729" t="s">
        <v>107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1</v>
      </c>
      <c r="Q5729" t="s">
        <v>26</v>
      </c>
      <c r="R5729">
        <v>1</v>
      </c>
    </row>
    <row r="5730" spans="1:18">
      <c r="A5730" s="4">
        <v>9715140000000</v>
      </c>
      <c r="B5730" t="s">
        <v>18</v>
      </c>
      <c r="C5730">
        <v>12</v>
      </c>
      <c r="D5730" t="s">
        <v>31</v>
      </c>
      <c r="E5730" t="s">
        <v>54</v>
      </c>
      <c r="F5730" s="1">
        <v>42515</v>
      </c>
      <c r="G5730" s="1">
        <v>42515</v>
      </c>
      <c r="H5730" t="s">
        <v>25</v>
      </c>
      <c r="I5730">
        <v>0</v>
      </c>
      <c r="J5730" t="s">
        <v>111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26</v>
      </c>
      <c r="R5730">
        <v>1</v>
      </c>
    </row>
    <row r="5731" spans="1:18">
      <c r="A5731" s="4">
        <v>8621960000000</v>
      </c>
      <c r="B5731" t="s">
        <v>28</v>
      </c>
      <c r="C5731">
        <v>11</v>
      </c>
      <c r="D5731" t="s">
        <v>31</v>
      </c>
      <c r="E5731" t="s">
        <v>39</v>
      </c>
      <c r="F5731" s="1">
        <v>42515</v>
      </c>
      <c r="G5731" s="1">
        <v>42515</v>
      </c>
      <c r="H5731" t="s">
        <v>25</v>
      </c>
      <c r="I5731">
        <v>0</v>
      </c>
      <c r="J5731" t="s">
        <v>111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 t="s">
        <v>23</v>
      </c>
      <c r="R5731">
        <v>0</v>
      </c>
    </row>
    <row r="5732" spans="1:18">
      <c r="A5732" s="4">
        <v>1339520000000</v>
      </c>
      <c r="B5732" t="s">
        <v>18</v>
      </c>
      <c r="C5732">
        <v>48</v>
      </c>
      <c r="D5732" t="s">
        <v>27</v>
      </c>
      <c r="E5732" t="s">
        <v>51</v>
      </c>
      <c r="F5732" s="1">
        <v>42515</v>
      </c>
      <c r="G5732" s="1">
        <v>42520</v>
      </c>
      <c r="H5732" t="s">
        <v>30</v>
      </c>
      <c r="I5732">
        <v>5</v>
      </c>
      <c r="J5732" t="s">
        <v>107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 t="s">
        <v>23</v>
      </c>
      <c r="R5732">
        <v>0</v>
      </c>
    </row>
    <row r="5733" spans="1:18">
      <c r="A5733" s="4">
        <v>467456000000000</v>
      </c>
      <c r="B5733" t="s">
        <v>28</v>
      </c>
      <c r="C5733">
        <v>31</v>
      </c>
      <c r="D5733" t="s">
        <v>37</v>
      </c>
      <c r="E5733" t="s">
        <v>54</v>
      </c>
      <c r="F5733" s="1">
        <v>42515</v>
      </c>
      <c r="G5733" s="1">
        <v>42520</v>
      </c>
      <c r="H5733" t="s">
        <v>30</v>
      </c>
      <c r="I5733">
        <v>5</v>
      </c>
      <c r="J5733" t="s">
        <v>107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1</v>
      </c>
      <c r="Q5733" t="s">
        <v>23</v>
      </c>
      <c r="R5733">
        <v>0</v>
      </c>
    </row>
    <row r="5734" spans="1:18">
      <c r="A5734" s="4">
        <v>5182650000000</v>
      </c>
      <c r="B5734" t="s">
        <v>18</v>
      </c>
      <c r="C5734">
        <v>64</v>
      </c>
      <c r="D5734" t="s">
        <v>35</v>
      </c>
      <c r="E5734" t="s">
        <v>39</v>
      </c>
      <c r="F5734" s="1">
        <v>42515</v>
      </c>
      <c r="G5734" s="1">
        <v>42527</v>
      </c>
      <c r="H5734" t="s">
        <v>30</v>
      </c>
      <c r="I5734">
        <v>12</v>
      </c>
      <c r="J5734" t="s">
        <v>92</v>
      </c>
      <c r="K5734">
        <v>1</v>
      </c>
      <c r="L5734">
        <v>0</v>
      </c>
      <c r="M5734">
        <v>0</v>
      </c>
      <c r="N5734">
        <v>0</v>
      </c>
      <c r="O5734">
        <v>0</v>
      </c>
      <c r="P5734">
        <v>1</v>
      </c>
      <c r="Q5734" t="s">
        <v>23</v>
      </c>
      <c r="R5734">
        <v>0</v>
      </c>
    </row>
    <row r="5735" spans="1:18">
      <c r="A5735" s="4">
        <v>1259980000000</v>
      </c>
      <c r="B5735" t="s">
        <v>28</v>
      </c>
      <c r="C5735">
        <v>31</v>
      </c>
      <c r="D5735" t="s">
        <v>37</v>
      </c>
      <c r="E5735" t="s">
        <v>72</v>
      </c>
      <c r="F5735" s="1">
        <v>42515</v>
      </c>
      <c r="G5735" s="1">
        <v>42515</v>
      </c>
      <c r="H5735" t="s">
        <v>25</v>
      </c>
      <c r="I5735">
        <v>0</v>
      </c>
      <c r="J5735" t="s">
        <v>111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 t="s">
        <v>23</v>
      </c>
      <c r="R5735">
        <v>0</v>
      </c>
    </row>
    <row r="5736" spans="1:18">
      <c r="A5736" s="4">
        <v>255683000000000</v>
      </c>
      <c r="B5736" t="s">
        <v>18</v>
      </c>
      <c r="C5736">
        <v>45</v>
      </c>
      <c r="D5736" t="s">
        <v>27</v>
      </c>
      <c r="E5736" t="s">
        <v>90</v>
      </c>
      <c r="F5736" s="1">
        <v>42515</v>
      </c>
      <c r="G5736" s="1">
        <v>42520</v>
      </c>
      <c r="H5736" t="s">
        <v>30</v>
      </c>
      <c r="I5736">
        <v>5</v>
      </c>
      <c r="J5736" t="s">
        <v>107</v>
      </c>
      <c r="K5736">
        <v>0</v>
      </c>
      <c r="L5736">
        <v>1</v>
      </c>
      <c r="M5736">
        <v>0</v>
      </c>
      <c r="N5736">
        <v>0</v>
      </c>
      <c r="O5736">
        <v>0</v>
      </c>
      <c r="P5736">
        <v>1</v>
      </c>
      <c r="Q5736" t="s">
        <v>23</v>
      </c>
      <c r="R5736">
        <v>0</v>
      </c>
    </row>
    <row r="5737" spans="1:18">
      <c r="A5737" s="4">
        <v>658620000000000</v>
      </c>
      <c r="B5737" t="s">
        <v>18</v>
      </c>
      <c r="C5737">
        <v>24</v>
      </c>
      <c r="D5737" t="s">
        <v>37</v>
      </c>
      <c r="E5737" t="s">
        <v>29</v>
      </c>
      <c r="F5737" s="1">
        <v>42515</v>
      </c>
      <c r="G5737" s="1">
        <v>42515</v>
      </c>
      <c r="H5737" t="s">
        <v>25</v>
      </c>
      <c r="I5737">
        <v>0</v>
      </c>
      <c r="J5737" t="s">
        <v>111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 t="s">
        <v>23</v>
      </c>
      <c r="R5737">
        <v>0</v>
      </c>
    </row>
    <row r="5738" spans="1:18">
      <c r="A5738" s="4">
        <v>72912800000000</v>
      </c>
      <c r="B5738" t="s">
        <v>18</v>
      </c>
      <c r="C5738">
        <v>42</v>
      </c>
      <c r="D5738" t="s">
        <v>27</v>
      </c>
      <c r="E5738" t="s">
        <v>59</v>
      </c>
      <c r="F5738" s="1">
        <v>42515</v>
      </c>
      <c r="G5738" s="1">
        <v>42522</v>
      </c>
      <c r="H5738" t="s">
        <v>25</v>
      </c>
      <c r="I5738">
        <v>7</v>
      </c>
      <c r="J5738" t="s">
        <v>107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1</v>
      </c>
      <c r="Q5738" t="s">
        <v>23</v>
      </c>
      <c r="R5738">
        <v>0</v>
      </c>
    </row>
    <row r="5739" spans="1:18">
      <c r="A5739" s="4">
        <v>16994400000000</v>
      </c>
      <c r="B5739" t="s">
        <v>18</v>
      </c>
      <c r="C5739">
        <v>53</v>
      </c>
      <c r="D5739" t="s">
        <v>35</v>
      </c>
      <c r="E5739" t="s">
        <v>55</v>
      </c>
      <c r="F5739" s="1">
        <v>42520</v>
      </c>
      <c r="G5739" s="1">
        <v>42522</v>
      </c>
      <c r="H5739" t="s">
        <v>25</v>
      </c>
      <c r="I5739">
        <v>2</v>
      </c>
      <c r="J5739" t="s">
        <v>109</v>
      </c>
      <c r="K5739">
        <v>1</v>
      </c>
      <c r="L5739">
        <v>1</v>
      </c>
      <c r="M5739">
        <v>0</v>
      </c>
      <c r="N5739">
        <v>0</v>
      </c>
      <c r="O5739">
        <v>0</v>
      </c>
      <c r="P5739">
        <v>0</v>
      </c>
      <c r="Q5739" t="s">
        <v>23</v>
      </c>
      <c r="R5739">
        <v>0</v>
      </c>
    </row>
    <row r="5740" spans="1:18">
      <c r="A5740" s="4">
        <v>84573800000000</v>
      </c>
      <c r="B5740" t="s">
        <v>28</v>
      </c>
      <c r="C5740">
        <v>81</v>
      </c>
      <c r="D5740" t="s">
        <v>19</v>
      </c>
      <c r="E5740" t="s">
        <v>88</v>
      </c>
      <c r="F5740" s="1">
        <v>42520</v>
      </c>
      <c r="G5740" s="1">
        <v>42522</v>
      </c>
      <c r="H5740" t="s">
        <v>25</v>
      </c>
      <c r="I5740">
        <v>2</v>
      </c>
      <c r="J5740" t="s">
        <v>109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 t="s">
        <v>26</v>
      </c>
      <c r="R5740">
        <v>1</v>
      </c>
    </row>
    <row r="5741" spans="1:18">
      <c r="A5741" s="4">
        <v>77518900000000</v>
      </c>
      <c r="B5741" t="s">
        <v>18</v>
      </c>
      <c r="C5741">
        <v>53</v>
      </c>
      <c r="D5741" t="s">
        <v>35</v>
      </c>
      <c r="E5741" t="s">
        <v>43</v>
      </c>
      <c r="F5741" s="1">
        <v>42520</v>
      </c>
      <c r="G5741" s="1">
        <v>42522</v>
      </c>
      <c r="H5741" t="s">
        <v>25</v>
      </c>
      <c r="I5741">
        <v>2</v>
      </c>
      <c r="J5741" t="s">
        <v>109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 t="s">
        <v>23</v>
      </c>
      <c r="R5741">
        <v>0</v>
      </c>
    </row>
    <row r="5742" spans="1:18">
      <c r="A5742" s="4">
        <v>43871200000000</v>
      </c>
      <c r="B5742" t="s">
        <v>28</v>
      </c>
      <c r="C5742">
        <v>1</v>
      </c>
      <c r="D5742" t="s">
        <v>31</v>
      </c>
      <c r="E5742" t="s">
        <v>58</v>
      </c>
      <c r="F5742" s="1">
        <v>42520</v>
      </c>
      <c r="G5742" s="1">
        <v>42520</v>
      </c>
      <c r="H5742" t="s">
        <v>30</v>
      </c>
      <c r="I5742">
        <v>0</v>
      </c>
      <c r="J5742" t="s">
        <v>111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 t="s">
        <v>23</v>
      </c>
      <c r="R5742">
        <v>0</v>
      </c>
    </row>
    <row r="5743" spans="1:18">
      <c r="A5743" s="4">
        <v>64695200000000</v>
      </c>
      <c r="B5743" t="s">
        <v>18</v>
      </c>
      <c r="C5743">
        <v>31</v>
      </c>
      <c r="D5743" t="s">
        <v>37</v>
      </c>
      <c r="E5743" t="s">
        <v>69</v>
      </c>
      <c r="F5743" s="1">
        <v>42520</v>
      </c>
      <c r="G5743" s="1">
        <v>42520</v>
      </c>
      <c r="H5743" t="s">
        <v>30</v>
      </c>
      <c r="I5743">
        <v>0</v>
      </c>
      <c r="J5743" t="s">
        <v>111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 t="s">
        <v>23</v>
      </c>
      <c r="R5743">
        <v>0</v>
      </c>
    </row>
    <row r="5744" spans="1:18">
      <c r="A5744" s="4">
        <v>73438300000000</v>
      </c>
      <c r="B5744" t="s">
        <v>28</v>
      </c>
      <c r="C5744">
        <v>37</v>
      </c>
      <c r="D5744" t="s">
        <v>27</v>
      </c>
      <c r="E5744" t="s">
        <v>73</v>
      </c>
      <c r="F5744" s="1">
        <v>42520</v>
      </c>
      <c r="G5744" s="1">
        <v>42520</v>
      </c>
      <c r="H5744" t="s">
        <v>30</v>
      </c>
      <c r="I5744">
        <v>0</v>
      </c>
      <c r="J5744" t="s">
        <v>111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 t="s">
        <v>23</v>
      </c>
      <c r="R5744">
        <v>0</v>
      </c>
    </row>
    <row r="5745" spans="1:18">
      <c r="A5745" s="4">
        <v>196975000000</v>
      </c>
      <c r="B5745" t="s">
        <v>28</v>
      </c>
      <c r="C5745">
        <v>58</v>
      </c>
      <c r="D5745" t="s">
        <v>35</v>
      </c>
      <c r="E5745" t="s">
        <v>78</v>
      </c>
      <c r="F5745" s="1">
        <v>42520</v>
      </c>
      <c r="G5745" s="1">
        <v>42521</v>
      </c>
      <c r="H5745" t="s">
        <v>41</v>
      </c>
      <c r="I5745">
        <v>1</v>
      </c>
      <c r="J5745" t="s">
        <v>109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 t="s">
        <v>23</v>
      </c>
      <c r="R5745">
        <v>0</v>
      </c>
    </row>
    <row r="5746" spans="1:18">
      <c r="A5746" s="4">
        <v>66273300000000</v>
      </c>
      <c r="B5746" t="s">
        <v>28</v>
      </c>
      <c r="C5746">
        <v>42</v>
      </c>
      <c r="D5746" t="s">
        <v>27</v>
      </c>
      <c r="E5746" t="s">
        <v>54</v>
      </c>
      <c r="F5746" s="1">
        <v>42520</v>
      </c>
      <c r="G5746" s="1">
        <v>42520</v>
      </c>
      <c r="H5746" t="s">
        <v>30</v>
      </c>
      <c r="I5746">
        <v>0</v>
      </c>
      <c r="J5746" t="s">
        <v>111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23</v>
      </c>
      <c r="R5746">
        <v>0</v>
      </c>
    </row>
    <row r="5747" spans="1:18">
      <c r="A5747" s="4">
        <v>196553000000</v>
      </c>
      <c r="B5747" t="s">
        <v>28</v>
      </c>
      <c r="C5747">
        <v>27</v>
      </c>
      <c r="D5747" t="s">
        <v>37</v>
      </c>
      <c r="E5747" t="s">
        <v>96</v>
      </c>
      <c r="F5747" s="1">
        <v>42520</v>
      </c>
      <c r="G5747" s="1">
        <v>42520</v>
      </c>
      <c r="H5747" t="s">
        <v>30</v>
      </c>
      <c r="I5747">
        <v>0</v>
      </c>
      <c r="J5747" t="s">
        <v>111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 t="s">
        <v>23</v>
      </c>
      <c r="R5747">
        <v>0</v>
      </c>
    </row>
    <row r="5748" spans="1:18">
      <c r="A5748" s="4">
        <v>233659000000000</v>
      </c>
      <c r="B5748" t="s">
        <v>18</v>
      </c>
      <c r="C5748">
        <v>76</v>
      </c>
      <c r="D5748" t="s">
        <v>19</v>
      </c>
      <c r="E5748" t="s">
        <v>36</v>
      </c>
      <c r="F5748" s="1">
        <v>42520</v>
      </c>
      <c r="G5748" s="1">
        <v>42520</v>
      </c>
      <c r="H5748" t="s">
        <v>30</v>
      </c>
      <c r="I5748">
        <v>0</v>
      </c>
      <c r="J5748" t="s">
        <v>111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 t="s">
        <v>23</v>
      </c>
      <c r="R5748">
        <v>0</v>
      </c>
    </row>
    <row r="5749" spans="1:18">
      <c r="A5749" s="4">
        <v>24228300000000</v>
      </c>
      <c r="B5749" t="s">
        <v>28</v>
      </c>
      <c r="C5749">
        <v>24</v>
      </c>
      <c r="D5749" t="s">
        <v>37</v>
      </c>
      <c r="E5749" t="s">
        <v>50</v>
      </c>
      <c r="F5749" s="1">
        <v>42520</v>
      </c>
      <c r="G5749" s="1">
        <v>42520</v>
      </c>
      <c r="H5749" t="s">
        <v>30</v>
      </c>
      <c r="I5749">
        <v>0</v>
      </c>
      <c r="J5749" t="s">
        <v>111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 t="s">
        <v>26</v>
      </c>
      <c r="R5749">
        <v>1</v>
      </c>
    </row>
    <row r="5750" spans="1:18">
      <c r="A5750" s="4">
        <v>854125000000</v>
      </c>
      <c r="B5750" t="s">
        <v>18</v>
      </c>
      <c r="C5750">
        <v>35</v>
      </c>
      <c r="D5750" t="s">
        <v>37</v>
      </c>
      <c r="E5750" t="s">
        <v>90</v>
      </c>
      <c r="F5750" s="1">
        <v>42520</v>
      </c>
      <c r="G5750" s="1">
        <v>42520</v>
      </c>
      <c r="H5750" t="s">
        <v>30</v>
      </c>
      <c r="I5750">
        <v>0</v>
      </c>
      <c r="J5750" t="s">
        <v>111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 t="s">
        <v>23</v>
      </c>
      <c r="R5750">
        <v>0</v>
      </c>
    </row>
    <row r="5751" spans="1:18">
      <c r="A5751" s="4">
        <v>159429000000000</v>
      </c>
      <c r="B5751" t="s">
        <v>18</v>
      </c>
      <c r="C5751">
        <v>71</v>
      </c>
      <c r="D5751" t="s">
        <v>19</v>
      </c>
      <c r="E5751" t="s">
        <v>32</v>
      </c>
      <c r="F5751" s="1">
        <v>42520</v>
      </c>
      <c r="G5751" s="1">
        <v>42520</v>
      </c>
      <c r="H5751" t="s">
        <v>30</v>
      </c>
      <c r="I5751">
        <v>0</v>
      </c>
      <c r="J5751" t="s">
        <v>111</v>
      </c>
      <c r="K5751">
        <v>1</v>
      </c>
      <c r="L5751">
        <v>1</v>
      </c>
      <c r="M5751">
        <v>0</v>
      </c>
      <c r="N5751">
        <v>0</v>
      </c>
      <c r="O5751">
        <v>0</v>
      </c>
      <c r="P5751">
        <v>0</v>
      </c>
      <c r="Q5751" t="s">
        <v>23</v>
      </c>
      <c r="R5751">
        <v>0</v>
      </c>
    </row>
    <row r="5752" spans="1:18">
      <c r="A5752" s="4">
        <v>68791600000000</v>
      </c>
      <c r="B5752" t="s">
        <v>28</v>
      </c>
      <c r="C5752">
        <v>24</v>
      </c>
      <c r="D5752" t="s">
        <v>37</v>
      </c>
      <c r="E5752" t="s">
        <v>32</v>
      </c>
      <c r="F5752" s="1">
        <v>42520</v>
      </c>
      <c r="G5752" s="1">
        <v>42520</v>
      </c>
      <c r="H5752" t="s">
        <v>30</v>
      </c>
      <c r="I5752">
        <v>0</v>
      </c>
      <c r="J5752" t="s">
        <v>111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 t="s">
        <v>23</v>
      </c>
      <c r="R5752">
        <v>0</v>
      </c>
    </row>
    <row r="5753" spans="1:18">
      <c r="A5753" s="4">
        <v>129743000000</v>
      </c>
      <c r="B5753" t="s">
        <v>18</v>
      </c>
      <c r="C5753">
        <v>69</v>
      </c>
      <c r="D5753" t="s">
        <v>19</v>
      </c>
      <c r="E5753" t="s">
        <v>73</v>
      </c>
      <c r="F5753" s="1">
        <v>42520</v>
      </c>
      <c r="G5753" s="1">
        <v>42521</v>
      </c>
      <c r="H5753" t="s">
        <v>41</v>
      </c>
      <c r="I5753">
        <v>1</v>
      </c>
      <c r="J5753" t="s">
        <v>109</v>
      </c>
      <c r="K5753">
        <v>0</v>
      </c>
      <c r="L5753">
        <v>1</v>
      </c>
      <c r="M5753">
        <v>0</v>
      </c>
      <c r="N5753">
        <v>0</v>
      </c>
      <c r="O5753">
        <v>0</v>
      </c>
      <c r="P5753">
        <v>0</v>
      </c>
      <c r="Q5753" t="s">
        <v>23</v>
      </c>
      <c r="R5753">
        <v>0</v>
      </c>
    </row>
    <row r="5754" spans="1:18">
      <c r="A5754" s="4">
        <v>89994400000000</v>
      </c>
      <c r="B5754" t="s">
        <v>28</v>
      </c>
      <c r="C5754">
        <v>74</v>
      </c>
      <c r="D5754" t="s">
        <v>19</v>
      </c>
      <c r="E5754" t="s">
        <v>44</v>
      </c>
      <c r="F5754" s="1">
        <v>42520</v>
      </c>
      <c r="G5754" s="1">
        <v>42520</v>
      </c>
      <c r="H5754" t="s">
        <v>30</v>
      </c>
      <c r="I5754">
        <v>0</v>
      </c>
      <c r="J5754" t="s">
        <v>111</v>
      </c>
      <c r="K5754">
        <v>0</v>
      </c>
      <c r="L5754">
        <v>1</v>
      </c>
      <c r="M5754">
        <v>0</v>
      </c>
      <c r="N5754">
        <v>0</v>
      </c>
      <c r="O5754">
        <v>0</v>
      </c>
      <c r="P5754">
        <v>0</v>
      </c>
      <c r="Q5754" t="s">
        <v>23</v>
      </c>
      <c r="R5754">
        <v>0</v>
      </c>
    </row>
    <row r="5755" spans="1:18">
      <c r="A5755" s="4">
        <v>8954720000000</v>
      </c>
      <c r="B5755" t="s">
        <v>18</v>
      </c>
      <c r="C5755">
        <v>32</v>
      </c>
      <c r="D5755" t="s">
        <v>37</v>
      </c>
      <c r="E5755" t="s">
        <v>71</v>
      </c>
      <c r="F5755" s="1">
        <v>42520</v>
      </c>
      <c r="G5755" s="1">
        <v>42522</v>
      </c>
      <c r="H5755" t="s">
        <v>25</v>
      </c>
      <c r="I5755">
        <v>2</v>
      </c>
      <c r="J5755" t="s">
        <v>109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 t="s">
        <v>23</v>
      </c>
      <c r="R5755">
        <v>0</v>
      </c>
    </row>
    <row r="5756" spans="1:18">
      <c r="A5756" s="4">
        <v>5591540000000</v>
      </c>
      <c r="B5756" t="s">
        <v>18</v>
      </c>
      <c r="C5756">
        <v>52</v>
      </c>
      <c r="D5756" t="s">
        <v>35</v>
      </c>
      <c r="E5756" t="s">
        <v>73</v>
      </c>
      <c r="F5756" s="1">
        <v>42520</v>
      </c>
      <c r="G5756" s="1">
        <v>42523</v>
      </c>
      <c r="H5756" t="s">
        <v>33</v>
      </c>
      <c r="I5756">
        <v>3</v>
      </c>
      <c r="J5756" t="s">
        <v>109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1</v>
      </c>
      <c r="Q5756" t="s">
        <v>26</v>
      </c>
      <c r="R5756">
        <v>1</v>
      </c>
    </row>
    <row r="5757" spans="1:18">
      <c r="A5757" s="4">
        <v>13929200000000</v>
      </c>
      <c r="B5757" t="s">
        <v>28</v>
      </c>
      <c r="C5757">
        <v>68</v>
      </c>
      <c r="D5757" t="s">
        <v>19</v>
      </c>
      <c r="E5757" t="s">
        <v>86</v>
      </c>
      <c r="F5757" s="1">
        <v>42520</v>
      </c>
      <c r="G5757" s="1">
        <v>42522</v>
      </c>
      <c r="H5757" t="s">
        <v>25</v>
      </c>
      <c r="I5757">
        <v>2</v>
      </c>
      <c r="J5757" t="s">
        <v>109</v>
      </c>
      <c r="K5757">
        <v>0</v>
      </c>
      <c r="L5757">
        <v>1</v>
      </c>
      <c r="M5757">
        <v>1</v>
      </c>
      <c r="N5757">
        <v>0</v>
      </c>
      <c r="O5757">
        <v>0</v>
      </c>
      <c r="P5757">
        <v>0</v>
      </c>
      <c r="Q5757" t="s">
        <v>23</v>
      </c>
      <c r="R5757">
        <v>0</v>
      </c>
    </row>
    <row r="5758" spans="1:18">
      <c r="A5758" s="4">
        <v>1293530000000</v>
      </c>
      <c r="B5758" t="s">
        <v>28</v>
      </c>
      <c r="C5758">
        <v>37</v>
      </c>
      <c r="D5758" t="s">
        <v>27</v>
      </c>
      <c r="E5758" t="s">
        <v>73</v>
      </c>
      <c r="F5758" s="1">
        <v>42520</v>
      </c>
      <c r="G5758" s="1">
        <v>42524</v>
      </c>
      <c r="H5758" t="s">
        <v>21</v>
      </c>
      <c r="I5758">
        <v>4</v>
      </c>
      <c r="J5758" t="s">
        <v>107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1</v>
      </c>
      <c r="Q5758" t="s">
        <v>23</v>
      </c>
      <c r="R5758">
        <v>0</v>
      </c>
    </row>
    <row r="5759" spans="1:18">
      <c r="A5759" s="4">
        <v>5337190000000</v>
      </c>
      <c r="B5759" t="s">
        <v>28</v>
      </c>
      <c r="C5759">
        <v>8</v>
      </c>
      <c r="D5759" t="s">
        <v>31</v>
      </c>
      <c r="E5759" t="s">
        <v>57</v>
      </c>
      <c r="F5759" s="1">
        <v>42520</v>
      </c>
      <c r="G5759" s="1">
        <v>42520</v>
      </c>
      <c r="H5759" t="s">
        <v>30</v>
      </c>
      <c r="I5759">
        <v>0</v>
      </c>
      <c r="J5759" t="s">
        <v>111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 t="s">
        <v>23</v>
      </c>
      <c r="R5759">
        <v>0</v>
      </c>
    </row>
    <row r="5760" spans="1:18">
      <c r="A5760" s="4">
        <v>436750000000000</v>
      </c>
      <c r="B5760" t="s">
        <v>18</v>
      </c>
      <c r="C5760">
        <v>38</v>
      </c>
      <c r="D5760" t="s">
        <v>27</v>
      </c>
      <c r="E5760" t="s">
        <v>87</v>
      </c>
      <c r="F5760" s="1">
        <v>42520</v>
      </c>
      <c r="G5760" s="1">
        <v>42522</v>
      </c>
      <c r="H5760" t="s">
        <v>25</v>
      </c>
      <c r="I5760">
        <v>2</v>
      </c>
      <c r="J5760" t="s">
        <v>109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 t="s">
        <v>23</v>
      </c>
      <c r="R5760">
        <v>0</v>
      </c>
    </row>
    <row r="5761" spans="1:18">
      <c r="A5761" s="4">
        <v>74981600000000</v>
      </c>
      <c r="B5761" t="s">
        <v>28</v>
      </c>
      <c r="C5761">
        <v>61</v>
      </c>
      <c r="D5761" t="s">
        <v>35</v>
      </c>
      <c r="E5761" t="s">
        <v>73</v>
      </c>
      <c r="F5761" s="1">
        <v>42520</v>
      </c>
      <c r="G5761" s="1">
        <v>42522</v>
      </c>
      <c r="H5761" t="s">
        <v>25</v>
      </c>
      <c r="I5761">
        <v>2</v>
      </c>
      <c r="J5761" t="s">
        <v>109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 t="s">
        <v>23</v>
      </c>
      <c r="R5761">
        <v>0</v>
      </c>
    </row>
    <row r="5762" spans="1:18">
      <c r="A5762" s="4">
        <v>89583400000000</v>
      </c>
      <c r="B5762" t="s">
        <v>18</v>
      </c>
      <c r="C5762">
        <v>19</v>
      </c>
      <c r="D5762" t="s">
        <v>37</v>
      </c>
      <c r="E5762" t="s">
        <v>87</v>
      </c>
      <c r="F5762" s="1">
        <v>42520</v>
      </c>
      <c r="G5762" s="1">
        <v>42522</v>
      </c>
      <c r="H5762" t="s">
        <v>25</v>
      </c>
      <c r="I5762">
        <v>2</v>
      </c>
      <c r="J5762" t="s">
        <v>109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 t="s">
        <v>23</v>
      </c>
      <c r="R5762">
        <v>0</v>
      </c>
    </row>
    <row r="5763" spans="1:18">
      <c r="A5763" s="4">
        <v>99978300000000</v>
      </c>
      <c r="B5763" t="s">
        <v>18</v>
      </c>
      <c r="C5763">
        <v>28</v>
      </c>
      <c r="D5763" t="s">
        <v>37</v>
      </c>
      <c r="E5763" t="s">
        <v>78</v>
      </c>
      <c r="F5763" s="1">
        <v>42520</v>
      </c>
      <c r="G5763" s="1">
        <v>42520</v>
      </c>
      <c r="H5763" t="s">
        <v>30</v>
      </c>
      <c r="I5763">
        <v>0</v>
      </c>
      <c r="J5763" t="s">
        <v>111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 t="s">
        <v>23</v>
      </c>
      <c r="R5763">
        <v>0</v>
      </c>
    </row>
    <row r="5764" spans="1:18">
      <c r="A5764" s="4">
        <v>31265000000000</v>
      </c>
      <c r="B5764" t="s">
        <v>28</v>
      </c>
      <c r="C5764">
        <v>23</v>
      </c>
      <c r="D5764" t="s">
        <v>37</v>
      </c>
      <c r="E5764" t="s">
        <v>73</v>
      </c>
      <c r="F5764" s="1">
        <v>42520</v>
      </c>
      <c r="G5764" s="1">
        <v>42524</v>
      </c>
      <c r="H5764" t="s">
        <v>21</v>
      </c>
      <c r="I5764">
        <v>4</v>
      </c>
      <c r="J5764" t="s">
        <v>107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1</v>
      </c>
      <c r="Q5764" t="s">
        <v>23</v>
      </c>
      <c r="R5764">
        <v>0</v>
      </c>
    </row>
    <row r="5765" spans="1:18">
      <c r="A5765" s="4">
        <v>695445000000000</v>
      </c>
      <c r="B5765" t="s">
        <v>18</v>
      </c>
      <c r="C5765">
        <v>50</v>
      </c>
      <c r="D5765" t="s">
        <v>27</v>
      </c>
      <c r="E5765" t="s">
        <v>39</v>
      </c>
      <c r="F5765" s="1">
        <v>42520</v>
      </c>
      <c r="G5765" s="1">
        <v>42522</v>
      </c>
      <c r="H5765" t="s">
        <v>25</v>
      </c>
      <c r="I5765">
        <v>2</v>
      </c>
      <c r="J5765" t="s">
        <v>109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 t="s">
        <v>23</v>
      </c>
      <c r="R5765">
        <v>0</v>
      </c>
    </row>
    <row r="5766" spans="1:18">
      <c r="A5766" s="4">
        <v>94662000000000</v>
      </c>
      <c r="B5766" t="s">
        <v>28</v>
      </c>
      <c r="C5766">
        <v>0</v>
      </c>
      <c r="D5766" t="s">
        <v>31</v>
      </c>
      <c r="E5766" t="s">
        <v>32</v>
      </c>
      <c r="F5766" s="1">
        <v>42520</v>
      </c>
      <c r="G5766" s="1">
        <v>42520</v>
      </c>
      <c r="H5766" t="s">
        <v>30</v>
      </c>
      <c r="I5766">
        <v>0</v>
      </c>
      <c r="J5766" t="s">
        <v>111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 t="s">
        <v>23</v>
      </c>
      <c r="R5766">
        <v>0</v>
      </c>
    </row>
    <row r="5767" spans="1:18">
      <c r="A5767" s="4">
        <v>244794000000000</v>
      </c>
      <c r="B5767" t="s">
        <v>18</v>
      </c>
      <c r="C5767">
        <v>39</v>
      </c>
      <c r="D5767" t="s">
        <v>27</v>
      </c>
      <c r="E5767" t="s">
        <v>65</v>
      </c>
      <c r="F5767" s="1">
        <v>42520</v>
      </c>
      <c r="G5767" s="1">
        <v>42520</v>
      </c>
      <c r="H5767" t="s">
        <v>30</v>
      </c>
      <c r="I5767">
        <v>0</v>
      </c>
      <c r="J5767" t="s">
        <v>111</v>
      </c>
      <c r="K5767">
        <v>1</v>
      </c>
      <c r="L5767">
        <v>1</v>
      </c>
      <c r="M5767">
        <v>0</v>
      </c>
      <c r="N5767">
        <v>0</v>
      </c>
      <c r="O5767">
        <v>0</v>
      </c>
      <c r="P5767">
        <v>0</v>
      </c>
      <c r="Q5767" t="s">
        <v>23</v>
      </c>
      <c r="R5767">
        <v>0</v>
      </c>
    </row>
    <row r="5768" spans="1:18">
      <c r="A5768" s="4">
        <v>616488000000</v>
      </c>
      <c r="B5768" t="s">
        <v>28</v>
      </c>
      <c r="C5768">
        <v>19</v>
      </c>
      <c r="D5768" t="s">
        <v>37</v>
      </c>
      <c r="E5768" t="s">
        <v>87</v>
      </c>
      <c r="F5768" s="1">
        <v>42520</v>
      </c>
      <c r="G5768" s="1">
        <v>42527</v>
      </c>
      <c r="H5768" t="s">
        <v>30</v>
      </c>
      <c r="I5768">
        <v>7</v>
      </c>
      <c r="J5768" t="s">
        <v>107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1</v>
      </c>
      <c r="Q5768" t="s">
        <v>23</v>
      </c>
      <c r="R5768">
        <v>0</v>
      </c>
    </row>
    <row r="5769" spans="1:18">
      <c r="A5769" s="4">
        <v>18976100000000</v>
      </c>
      <c r="B5769" t="s">
        <v>18</v>
      </c>
      <c r="C5769">
        <v>54</v>
      </c>
      <c r="D5769" t="s">
        <v>35</v>
      </c>
      <c r="E5769" t="s">
        <v>59</v>
      </c>
      <c r="F5769" s="1">
        <v>42520</v>
      </c>
      <c r="G5769" s="1">
        <v>42522</v>
      </c>
      <c r="H5769" t="s">
        <v>25</v>
      </c>
      <c r="I5769">
        <v>2</v>
      </c>
      <c r="J5769" t="s">
        <v>109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 t="s">
        <v>23</v>
      </c>
      <c r="R5769">
        <v>0</v>
      </c>
    </row>
    <row r="5770" spans="1:18">
      <c r="A5770" s="4">
        <v>63994700000000</v>
      </c>
      <c r="B5770" t="s">
        <v>18</v>
      </c>
      <c r="C5770">
        <v>63</v>
      </c>
      <c r="D5770" t="s">
        <v>35</v>
      </c>
      <c r="E5770" t="s">
        <v>45</v>
      </c>
      <c r="F5770" s="1">
        <v>42520</v>
      </c>
      <c r="G5770" s="1">
        <v>42520</v>
      </c>
      <c r="H5770" t="s">
        <v>30</v>
      </c>
      <c r="I5770">
        <v>0</v>
      </c>
      <c r="J5770" t="s">
        <v>111</v>
      </c>
      <c r="K5770">
        <v>1</v>
      </c>
      <c r="L5770">
        <v>0</v>
      </c>
      <c r="M5770">
        <v>0</v>
      </c>
      <c r="N5770">
        <v>1</v>
      </c>
      <c r="O5770">
        <v>0</v>
      </c>
      <c r="P5770">
        <v>0</v>
      </c>
      <c r="Q5770" t="s">
        <v>23</v>
      </c>
      <c r="R5770">
        <v>0</v>
      </c>
    </row>
    <row r="5771" spans="1:18">
      <c r="A5771" s="4">
        <v>749167000000000</v>
      </c>
      <c r="B5771" t="s">
        <v>18</v>
      </c>
      <c r="C5771">
        <v>13</v>
      </c>
      <c r="D5771" t="s">
        <v>60</v>
      </c>
      <c r="E5771" t="s">
        <v>32</v>
      </c>
      <c r="F5771" s="1">
        <v>42520</v>
      </c>
      <c r="G5771" s="1">
        <v>42522</v>
      </c>
      <c r="H5771" t="s">
        <v>25</v>
      </c>
      <c r="I5771">
        <v>2</v>
      </c>
      <c r="J5771" t="s">
        <v>109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 t="s">
        <v>26</v>
      </c>
      <c r="R5771">
        <v>1</v>
      </c>
    </row>
    <row r="5772" spans="1:18">
      <c r="A5772" s="4">
        <v>54785600000000</v>
      </c>
      <c r="B5772" t="s">
        <v>18</v>
      </c>
      <c r="C5772">
        <v>39</v>
      </c>
      <c r="D5772" t="s">
        <v>27</v>
      </c>
      <c r="E5772" t="s">
        <v>87</v>
      </c>
      <c r="F5772" s="1">
        <v>42520</v>
      </c>
      <c r="G5772" s="1">
        <v>42524</v>
      </c>
      <c r="H5772" t="s">
        <v>21</v>
      </c>
      <c r="I5772">
        <v>4</v>
      </c>
      <c r="J5772" t="s">
        <v>107</v>
      </c>
      <c r="K5772">
        <v>1</v>
      </c>
      <c r="L5772">
        <v>0</v>
      </c>
      <c r="M5772">
        <v>0</v>
      </c>
      <c r="N5772">
        <v>0</v>
      </c>
      <c r="O5772">
        <v>0</v>
      </c>
      <c r="P5772">
        <v>1</v>
      </c>
      <c r="Q5772" t="s">
        <v>23</v>
      </c>
      <c r="R5772">
        <v>0</v>
      </c>
    </row>
    <row r="5773" spans="1:18">
      <c r="A5773" s="4">
        <v>12484300000000</v>
      </c>
      <c r="B5773" t="s">
        <v>28</v>
      </c>
      <c r="C5773">
        <v>36</v>
      </c>
      <c r="D5773" t="s">
        <v>27</v>
      </c>
      <c r="E5773" t="s">
        <v>68</v>
      </c>
      <c r="F5773" s="1">
        <v>42520</v>
      </c>
      <c r="G5773" s="1">
        <v>42520</v>
      </c>
      <c r="H5773" t="s">
        <v>30</v>
      </c>
      <c r="I5773">
        <v>0</v>
      </c>
      <c r="J5773" t="s">
        <v>111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 t="s">
        <v>23</v>
      </c>
      <c r="R5773">
        <v>0</v>
      </c>
    </row>
    <row r="5774" spans="1:18">
      <c r="A5774" s="4">
        <v>67254200000000</v>
      </c>
      <c r="B5774" t="s">
        <v>28</v>
      </c>
      <c r="C5774">
        <v>2</v>
      </c>
      <c r="D5774" t="s">
        <v>31</v>
      </c>
      <c r="E5774" t="s">
        <v>57</v>
      </c>
      <c r="F5774" s="1">
        <v>42520</v>
      </c>
      <c r="G5774" s="1">
        <v>42520</v>
      </c>
      <c r="H5774" t="s">
        <v>30</v>
      </c>
      <c r="I5774">
        <v>0</v>
      </c>
      <c r="J5774" t="s">
        <v>111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 t="s">
        <v>23</v>
      </c>
      <c r="R5774">
        <v>0</v>
      </c>
    </row>
    <row r="5775" spans="1:18">
      <c r="A5775" s="4">
        <v>448321000000000</v>
      </c>
      <c r="B5775" t="s">
        <v>28</v>
      </c>
      <c r="C5775">
        <v>74</v>
      </c>
      <c r="D5775" t="s">
        <v>19</v>
      </c>
      <c r="E5775" t="s">
        <v>59</v>
      </c>
      <c r="F5775" s="1">
        <v>42520</v>
      </c>
      <c r="G5775" s="1">
        <v>42527</v>
      </c>
      <c r="H5775" t="s">
        <v>30</v>
      </c>
      <c r="I5775">
        <v>7</v>
      </c>
      <c r="J5775" t="s">
        <v>107</v>
      </c>
      <c r="K5775">
        <v>0</v>
      </c>
      <c r="L5775">
        <v>1</v>
      </c>
      <c r="M5775">
        <v>1</v>
      </c>
      <c r="N5775">
        <v>0</v>
      </c>
      <c r="O5775">
        <v>0</v>
      </c>
      <c r="P5775">
        <v>1</v>
      </c>
      <c r="Q5775" t="s">
        <v>23</v>
      </c>
      <c r="R5775">
        <v>0</v>
      </c>
    </row>
    <row r="5776" spans="1:18">
      <c r="A5776" s="4">
        <v>3685320000000</v>
      </c>
      <c r="B5776" t="s">
        <v>18</v>
      </c>
      <c r="C5776">
        <v>6</v>
      </c>
      <c r="D5776" t="s">
        <v>31</v>
      </c>
      <c r="E5776" t="s">
        <v>66</v>
      </c>
      <c r="F5776" s="1">
        <v>42520</v>
      </c>
      <c r="G5776" s="1">
        <v>42529</v>
      </c>
      <c r="H5776" t="s">
        <v>25</v>
      </c>
      <c r="I5776">
        <v>9</v>
      </c>
      <c r="J5776" t="s">
        <v>92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1</v>
      </c>
      <c r="Q5776" t="s">
        <v>23</v>
      </c>
      <c r="R5776">
        <v>0</v>
      </c>
    </row>
    <row r="5777" spans="1:18">
      <c r="A5777" s="4">
        <v>9467830000000</v>
      </c>
      <c r="B5777" t="s">
        <v>18</v>
      </c>
      <c r="C5777">
        <v>30</v>
      </c>
      <c r="D5777" t="s">
        <v>37</v>
      </c>
      <c r="E5777" t="s">
        <v>86</v>
      </c>
      <c r="F5777" s="1">
        <v>42520</v>
      </c>
      <c r="G5777" s="1">
        <v>42522</v>
      </c>
      <c r="H5777" t="s">
        <v>25</v>
      </c>
      <c r="I5777">
        <v>2</v>
      </c>
      <c r="J5777" t="s">
        <v>109</v>
      </c>
      <c r="K5777">
        <v>1</v>
      </c>
      <c r="L5777">
        <v>0</v>
      </c>
      <c r="M5777">
        <v>1</v>
      </c>
      <c r="N5777">
        <v>0</v>
      </c>
      <c r="O5777">
        <v>0</v>
      </c>
      <c r="P5777">
        <v>0</v>
      </c>
      <c r="Q5777" t="s">
        <v>26</v>
      </c>
      <c r="R5777">
        <v>1</v>
      </c>
    </row>
    <row r="5778" spans="1:18">
      <c r="A5778" s="4">
        <v>138542000000000</v>
      </c>
      <c r="B5778" t="s">
        <v>18</v>
      </c>
      <c r="C5778">
        <v>39</v>
      </c>
      <c r="D5778" t="s">
        <v>27</v>
      </c>
      <c r="E5778" t="s">
        <v>106</v>
      </c>
      <c r="F5778" s="1">
        <v>42520</v>
      </c>
      <c r="G5778" s="1">
        <v>42522</v>
      </c>
      <c r="H5778" t="s">
        <v>25</v>
      </c>
      <c r="I5778">
        <v>2</v>
      </c>
      <c r="J5778" t="s">
        <v>109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 t="s">
        <v>26</v>
      </c>
      <c r="R5778">
        <v>1</v>
      </c>
    </row>
    <row r="5779" spans="1:18">
      <c r="A5779" s="4">
        <v>761964000000000</v>
      </c>
      <c r="B5779" t="s">
        <v>18</v>
      </c>
      <c r="C5779">
        <v>78</v>
      </c>
      <c r="D5779" t="s">
        <v>19</v>
      </c>
      <c r="E5779" t="s">
        <v>75</v>
      </c>
      <c r="F5779" s="1">
        <v>42520</v>
      </c>
      <c r="G5779" s="1">
        <v>42520</v>
      </c>
      <c r="H5779" t="s">
        <v>30</v>
      </c>
      <c r="I5779">
        <v>0</v>
      </c>
      <c r="J5779" t="s">
        <v>111</v>
      </c>
      <c r="K5779">
        <v>0</v>
      </c>
      <c r="L5779">
        <v>1</v>
      </c>
      <c r="M5779">
        <v>0</v>
      </c>
      <c r="N5779">
        <v>0</v>
      </c>
      <c r="O5779">
        <v>0</v>
      </c>
      <c r="P5779">
        <v>0</v>
      </c>
      <c r="Q5779" t="s">
        <v>23</v>
      </c>
      <c r="R5779">
        <v>0</v>
      </c>
    </row>
    <row r="5780" spans="1:18">
      <c r="A5780" s="4">
        <v>648566000000000</v>
      </c>
      <c r="B5780" t="s">
        <v>18</v>
      </c>
      <c r="C5780">
        <v>52</v>
      </c>
      <c r="D5780" t="s">
        <v>35</v>
      </c>
      <c r="E5780" t="s">
        <v>52</v>
      </c>
      <c r="F5780" s="1">
        <v>42520</v>
      </c>
      <c r="G5780" s="1">
        <v>42521</v>
      </c>
      <c r="H5780" t="s">
        <v>41</v>
      </c>
      <c r="I5780">
        <v>1</v>
      </c>
      <c r="J5780" t="s">
        <v>109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 t="s">
        <v>26</v>
      </c>
      <c r="R5780">
        <v>1</v>
      </c>
    </row>
    <row r="5781" spans="1:18">
      <c r="A5781" s="4">
        <v>954995000000000</v>
      </c>
      <c r="B5781" t="s">
        <v>18</v>
      </c>
      <c r="C5781">
        <v>0</v>
      </c>
      <c r="D5781" t="s">
        <v>31</v>
      </c>
      <c r="E5781" t="s">
        <v>57</v>
      </c>
      <c r="F5781" s="1">
        <v>42520</v>
      </c>
      <c r="G5781" s="1">
        <v>42520</v>
      </c>
      <c r="H5781" t="s">
        <v>30</v>
      </c>
      <c r="I5781">
        <v>0</v>
      </c>
      <c r="J5781" t="s">
        <v>111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 t="s">
        <v>23</v>
      </c>
      <c r="R5781">
        <v>0</v>
      </c>
    </row>
    <row r="5782" spans="1:18">
      <c r="A5782" s="4">
        <v>31932700000000</v>
      </c>
      <c r="B5782" t="s">
        <v>18</v>
      </c>
      <c r="C5782">
        <v>12</v>
      </c>
      <c r="D5782" t="s">
        <v>31</v>
      </c>
      <c r="E5782" t="s">
        <v>44</v>
      </c>
      <c r="F5782" s="1">
        <v>42520</v>
      </c>
      <c r="G5782" s="1">
        <v>42522</v>
      </c>
      <c r="H5782" t="s">
        <v>25</v>
      </c>
      <c r="I5782">
        <v>2</v>
      </c>
      <c r="J5782" t="s">
        <v>109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 t="s">
        <v>23</v>
      </c>
      <c r="R5782">
        <v>0</v>
      </c>
    </row>
    <row r="5783" spans="1:18">
      <c r="A5783" s="4">
        <v>8684200000000</v>
      </c>
      <c r="B5783" t="s">
        <v>18</v>
      </c>
      <c r="C5783">
        <v>74</v>
      </c>
      <c r="D5783" t="s">
        <v>19</v>
      </c>
      <c r="E5783" t="s">
        <v>96</v>
      </c>
      <c r="F5783" s="1">
        <v>42520</v>
      </c>
      <c r="G5783" s="1">
        <v>42522</v>
      </c>
      <c r="H5783" t="s">
        <v>25</v>
      </c>
      <c r="I5783">
        <v>2</v>
      </c>
      <c r="J5783" t="s">
        <v>109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 t="s">
        <v>23</v>
      </c>
      <c r="R5783">
        <v>0</v>
      </c>
    </row>
    <row r="5784" spans="1:18">
      <c r="A5784" s="4">
        <v>51772700000000</v>
      </c>
      <c r="B5784" t="s">
        <v>18</v>
      </c>
      <c r="C5784">
        <v>26</v>
      </c>
      <c r="D5784" t="s">
        <v>37</v>
      </c>
      <c r="E5784" t="s">
        <v>75</v>
      </c>
      <c r="F5784" s="1">
        <v>42520</v>
      </c>
      <c r="G5784" s="1">
        <v>42520</v>
      </c>
      <c r="H5784" t="s">
        <v>30</v>
      </c>
      <c r="I5784">
        <v>0</v>
      </c>
      <c r="J5784" t="s">
        <v>111</v>
      </c>
      <c r="K5784">
        <v>1</v>
      </c>
      <c r="L5784">
        <v>0</v>
      </c>
      <c r="M5784">
        <v>0</v>
      </c>
      <c r="N5784">
        <v>0</v>
      </c>
      <c r="O5784">
        <v>0</v>
      </c>
      <c r="P5784">
        <v>0</v>
      </c>
      <c r="Q5784" t="s">
        <v>23</v>
      </c>
      <c r="R5784">
        <v>0</v>
      </c>
    </row>
    <row r="5785" spans="1:18">
      <c r="A5785" s="4">
        <v>75396500000000</v>
      </c>
      <c r="B5785" t="s">
        <v>18</v>
      </c>
      <c r="C5785">
        <v>81</v>
      </c>
      <c r="D5785" t="s">
        <v>19</v>
      </c>
      <c r="E5785" t="s">
        <v>50</v>
      </c>
      <c r="F5785" s="1">
        <v>42520</v>
      </c>
      <c r="G5785" s="1">
        <v>42520</v>
      </c>
      <c r="H5785" t="s">
        <v>30</v>
      </c>
      <c r="I5785">
        <v>0</v>
      </c>
      <c r="J5785" t="s">
        <v>111</v>
      </c>
      <c r="K5785">
        <v>0</v>
      </c>
      <c r="L5785">
        <v>1</v>
      </c>
      <c r="M5785">
        <v>0</v>
      </c>
      <c r="N5785">
        <v>0</v>
      </c>
      <c r="O5785">
        <v>0</v>
      </c>
      <c r="P5785">
        <v>0</v>
      </c>
      <c r="Q5785" t="s">
        <v>26</v>
      </c>
      <c r="R5785">
        <v>1</v>
      </c>
    </row>
    <row r="5786" spans="1:18">
      <c r="A5786" s="4">
        <v>25498800000000</v>
      </c>
      <c r="B5786" t="s">
        <v>18</v>
      </c>
      <c r="C5786">
        <v>46</v>
      </c>
      <c r="D5786" t="s">
        <v>27</v>
      </c>
      <c r="E5786" t="s">
        <v>36</v>
      </c>
      <c r="F5786" s="1">
        <v>42520</v>
      </c>
      <c r="G5786" s="1">
        <v>42522</v>
      </c>
      <c r="H5786" t="s">
        <v>25</v>
      </c>
      <c r="I5786">
        <v>2</v>
      </c>
      <c r="J5786" t="s">
        <v>109</v>
      </c>
      <c r="K5786">
        <v>1</v>
      </c>
      <c r="L5786">
        <v>0</v>
      </c>
      <c r="M5786">
        <v>0</v>
      </c>
      <c r="N5786">
        <v>0</v>
      </c>
      <c r="O5786">
        <v>0</v>
      </c>
      <c r="P5786">
        <v>0</v>
      </c>
      <c r="Q5786" t="s">
        <v>23</v>
      </c>
      <c r="R5786">
        <v>0</v>
      </c>
    </row>
    <row r="5787" spans="1:18">
      <c r="A5787" s="4">
        <v>84448600000000</v>
      </c>
      <c r="B5787" t="s">
        <v>18</v>
      </c>
      <c r="C5787">
        <v>33</v>
      </c>
      <c r="D5787" t="s">
        <v>37</v>
      </c>
      <c r="E5787" t="s">
        <v>72</v>
      </c>
      <c r="F5787" s="1">
        <v>42520</v>
      </c>
      <c r="G5787" s="1">
        <v>42522</v>
      </c>
      <c r="H5787" t="s">
        <v>25</v>
      </c>
      <c r="I5787">
        <v>2</v>
      </c>
      <c r="J5787" t="s">
        <v>109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 t="s">
        <v>23</v>
      </c>
      <c r="R5787">
        <v>0</v>
      </c>
    </row>
    <row r="5788" spans="1:18">
      <c r="A5788" s="4">
        <v>311478000000000</v>
      </c>
      <c r="B5788" t="s">
        <v>18</v>
      </c>
      <c r="C5788">
        <v>39</v>
      </c>
      <c r="D5788" t="s">
        <v>27</v>
      </c>
      <c r="E5788" t="s">
        <v>54</v>
      </c>
      <c r="F5788" s="1">
        <v>42520</v>
      </c>
      <c r="G5788" s="1">
        <v>42520</v>
      </c>
      <c r="H5788" t="s">
        <v>30</v>
      </c>
      <c r="I5788">
        <v>0</v>
      </c>
      <c r="J5788" t="s">
        <v>111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 t="s">
        <v>23</v>
      </c>
      <c r="R5788">
        <v>0</v>
      </c>
    </row>
    <row r="5789" spans="1:18">
      <c r="A5789" s="4">
        <v>23621800000000</v>
      </c>
      <c r="B5789" t="s">
        <v>18</v>
      </c>
      <c r="C5789">
        <v>64</v>
      </c>
      <c r="D5789" t="s">
        <v>35</v>
      </c>
      <c r="E5789" t="s">
        <v>76</v>
      </c>
      <c r="F5789" s="1">
        <v>42520</v>
      </c>
      <c r="G5789" s="1">
        <v>42520</v>
      </c>
      <c r="H5789" t="s">
        <v>30</v>
      </c>
      <c r="I5789">
        <v>0</v>
      </c>
      <c r="J5789" t="s">
        <v>111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23</v>
      </c>
      <c r="R5789">
        <v>0</v>
      </c>
    </row>
    <row r="5790" spans="1:18">
      <c r="A5790" s="4">
        <v>88521900000000</v>
      </c>
      <c r="B5790" t="s">
        <v>18</v>
      </c>
      <c r="C5790">
        <v>34</v>
      </c>
      <c r="D5790" t="s">
        <v>37</v>
      </c>
      <c r="E5790" t="s">
        <v>95</v>
      </c>
      <c r="F5790" s="1">
        <v>42520</v>
      </c>
      <c r="G5790" s="1">
        <v>42520</v>
      </c>
      <c r="H5790" t="s">
        <v>30</v>
      </c>
      <c r="I5790">
        <v>0</v>
      </c>
      <c r="J5790" t="s">
        <v>111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 t="s">
        <v>23</v>
      </c>
      <c r="R5790">
        <v>0</v>
      </c>
    </row>
    <row r="5791" spans="1:18">
      <c r="A5791" s="4">
        <v>9789160000000</v>
      </c>
      <c r="B5791" t="s">
        <v>28</v>
      </c>
      <c r="C5791">
        <v>17</v>
      </c>
      <c r="D5791" t="s">
        <v>60</v>
      </c>
      <c r="E5791" t="s">
        <v>68</v>
      </c>
      <c r="F5791" s="1">
        <v>42520</v>
      </c>
      <c r="G5791" s="1">
        <v>42522</v>
      </c>
      <c r="H5791" t="s">
        <v>25</v>
      </c>
      <c r="I5791">
        <v>2</v>
      </c>
      <c r="J5791" t="s">
        <v>109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 t="s">
        <v>26</v>
      </c>
      <c r="R5791">
        <v>1</v>
      </c>
    </row>
    <row r="5792" spans="1:18">
      <c r="A5792" s="4">
        <v>374497000000000</v>
      </c>
      <c r="B5792" t="s">
        <v>18</v>
      </c>
      <c r="C5792">
        <v>24</v>
      </c>
      <c r="D5792" t="s">
        <v>37</v>
      </c>
      <c r="E5792" t="s">
        <v>61</v>
      </c>
      <c r="F5792" s="1">
        <v>42520</v>
      </c>
      <c r="G5792" s="1">
        <v>42529</v>
      </c>
      <c r="H5792" t="s">
        <v>25</v>
      </c>
      <c r="I5792">
        <v>9</v>
      </c>
      <c r="J5792" t="s">
        <v>92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1</v>
      </c>
      <c r="Q5792" t="s">
        <v>23</v>
      </c>
      <c r="R5792">
        <v>0</v>
      </c>
    </row>
    <row r="5793" spans="1:18">
      <c r="A5793" s="4">
        <v>2711590000000</v>
      </c>
      <c r="B5793" t="s">
        <v>28</v>
      </c>
      <c r="C5793">
        <v>53</v>
      </c>
      <c r="D5793" t="s">
        <v>35</v>
      </c>
      <c r="E5793" t="s">
        <v>32</v>
      </c>
      <c r="F5793" s="1">
        <v>42520</v>
      </c>
      <c r="G5793" s="1">
        <v>42520</v>
      </c>
      <c r="H5793" t="s">
        <v>30</v>
      </c>
      <c r="I5793">
        <v>0</v>
      </c>
      <c r="J5793" t="s">
        <v>111</v>
      </c>
      <c r="K5793">
        <v>0</v>
      </c>
      <c r="L5793">
        <v>1</v>
      </c>
      <c r="M5793">
        <v>0</v>
      </c>
      <c r="N5793">
        <v>1</v>
      </c>
      <c r="O5793">
        <v>0</v>
      </c>
      <c r="P5793">
        <v>0</v>
      </c>
      <c r="Q5793" t="s">
        <v>23</v>
      </c>
      <c r="R5793">
        <v>0</v>
      </c>
    </row>
    <row r="5794" spans="1:18">
      <c r="A5794" s="4">
        <v>86944600000000</v>
      </c>
      <c r="B5794" t="s">
        <v>18</v>
      </c>
      <c r="C5794">
        <v>32</v>
      </c>
      <c r="D5794" t="s">
        <v>37</v>
      </c>
      <c r="E5794" t="s">
        <v>38</v>
      </c>
      <c r="F5794" s="1">
        <v>42520</v>
      </c>
      <c r="G5794" s="1">
        <v>42520</v>
      </c>
      <c r="H5794" t="s">
        <v>30</v>
      </c>
      <c r="I5794">
        <v>0</v>
      </c>
      <c r="J5794" t="s">
        <v>111</v>
      </c>
      <c r="K5794">
        <v>1</v>
      </c>
      <c r="L5794">
        <v>0</v>
      </c>
      <c r="M5794">
        <v>0</v>
      </c>
      <c r="N5794">
        <v>0</v>
      </c>
      <c r="O5794">
        <v>0</v>
      </c>
      <c r="P5794">
        <v>0</v>
      </c>
      <c r="Q5794" t="s">
        <v>23</v>
      </c>
      <c r="R5794">
        <v>0</v>
      </c>
    </row>
    <row r="5795" spans="1:18">
      <c r="A5795" s="4">
        <v>91362700000000</v>
      </c>
      <c r="B5795" t="s">
        <v>18</v>
      </c>
      <c r="C5795">
        <v>55</v>
      </c>
      <c r="D5795" t="s">
        <v>35</v>
      </c>
      <c r="E5795" t="s">
        <v>84</v>
      </c>
      <c r="F5795" s="1">
        <v>42520</v>
      </c>
      <c r="G5795" s="1">
        <v>42520</v>
      </c>
      <c r="H5795" t="s">
        <v>30</v>
      </c>
      <c r="I5795">
        <v>0</v>
      </c>
      <c r="J5795" t="s">
        <v>111</v>
      </c>
      <c r="K5795">
        <v>0</v>
      </c>
      <c r="L5795">
        <v>1</v>
      </c>
      <c r="M5795">
        <v>0</v>
      </c>
      <c r="N5795">
        <v>0</v>
      </c>
      <c r="O5795">
        <v>0</v>
      </c>
      <c r="P5795">
        <v>0</v>
      </c>
      <c r="Q5795" t="s">
        <v>23</v>
      </c>
      <c r="R5795">
        <v>0</v>
      </c>
    </row>
    <row r="5796" spans="1:18">
      <c r="A5796" s="4">
        <v>656474000000000</v>
      </c>
      <c r="B5796" t="s">
        <v>18</v>
      </c>
      <c r="C5796">
        <v>7</v>
      </c>
      <c r="D5796" t="s">
        <v>31</v>
      </c>
      <c r="E5796" t="s">
        <v>38</v>
      </c>
      <c r="F5796" s="1">
        <v>42520</v>
      </c>
      <c r="G5796" s="1">
        <v>42527</v>
      </c>
      <c r="H5796" t="s">
        <v>30</v>
      </c>
      <c r="I5796">
        <v>7</v>
      </c>
      <c r="J5796" t="s">
        <v>107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 t="s">
        <v>23</v>
      </c>
      <c r="R5796">
        <v>0</v>
      </c>
    </row>
    <row r="5797" spans="1:18">
      <c r="A5797" s="4">
        <v>41294700000000</v>
      </c>
      <c r="B5797" t="s">
        <v>28</v>
      </c>
      <c r="C5797">
        <v>4</v>
      </c>
      <c r="D5797" t="s">
        <v>31</v>
      </c>
      <c r="E5797" t="s">
        <v>105</v>
      </c>
      <c r="F5797" s="1">
        <v>42520</v>
      </c>
      <c r="G5797" s="1">
        <v>42520</v>
      </c>
      <c r="H5797" t="s">
        <v>30</v>
      </c>
      <c r="I5797">
        <v>0</v>
      </c>
      <c r="J5797" t="s">
        <v>111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 t="s">
        <v>23</v>
      </c>
      <c r="R5797">
        <v>0</v>
      </c>
    </row>
    <row r="5798" spans="1:18">
      <c r="A5798" s="4">
        <v>7792790000000</v>
      </c>
      <c r="B5798" t="s">
        <v>28</v>
      </c>
      <c r="C5798">
        <v>7</v>
      </c>
      <c r="D5798" t="s">
        <v>31</v>
      </c>
      <c r="E5798" t="s">
        <v>81</v>
      </c>
      <c r="F5798" s="1">
        <v>42520</v>
      </c>
      <c r="G5798" s="1">
        <v>42520</v>
      </c>
      <c r="H5798" t="s">
        <v>30</v>
      </c>
      <c r="I5798">
        <v>0</v>
      </c>
      <c r="J5798" t="s">
        <v>111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 t="s">
        <v>23</v>
      </c>
      <c r="R5798">
        <v>0</v>
      </c>
    </row>
    <row r="5799" spans="1:18">
      <c r="A5799" s="4">
        <v>5475720000000</v>
      </c>
      <c r="B5799" t="s">
        <v>28</v>
      </c>
      <c r="C5799">
        <v>42</v>
      </c>
      <c r="D5799" t="s">
        <v>27</v>
      </c>
      <c r="E5799" t="s">
        <v>96</v>
      </c>
      <c r="F5799" s="1">
        <v>42520</v>
      </c>
      <c r="G5799" s="1">
        <v>42520</v>
      </c>
      <c r="H5799" t="s">
        <v>30</v>
      </c>
      <c r="I5799">
        <v>0</v>
      </c>
      <c r="J5799" t="s">
        <v>111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 t="s">
        <v>23</v>
      </c>
      <c r="R5799">
        <v>0</v>
      </c>
    </row>
    <row r="5800" spans="1:18">
      <c r="A5800" s="4">
        <v>734674000000000</v>
      </c>
      <c r="B5800" t="s">
        <v>18</v>
      </c>
      <c r="C5800">
        <v>14</v>
      </c>
      <c r="D5800" t="s">
        <v>60</v>
      </c>
      <c r="E5800" t="s">
        <v>32</v>
      </c>
      <c r="F5800" s="1">
        <v>42520</v>
      </c>
      <c r="G5800" s="1">
        <v>42520</v>
      </c>
      <c r="H5800" t="s">
        <v>30</v>
      </c>
      <c r="I5800">
        <v>0</v>
      </c>
      <c r="J5800" t="s">
        <v>111</v>
      </c>
      <c r="K5800">
        <v>1</v>
      </c>
      <c r="L5800">
        <v>0</v>
      </c>
      <c r="M5800">
        <v>0</v>
      </c>
      <c r="N5800">
        <v>0</v>
      </c>
      <c r="O5800">
        <v>0</v>
      </c>
      <c r="P5800">
        <v>0</v>
      </c>
      <c r="Q5800" t="s">
        <v>23</v>
      </c>
      <c r="R5800">
        <v>0</v>
      </c>
    </row>
    <row r="5801" spans="1:18">
      <c r="A5801" s="4">
        <v>489299000000</v>
      </c>
      <c r="B5801" t="s">
        <v>28</v>
      </c>
      <c r="C5801">
        <v>58</v>
      </c>
      <c r="D5801" t="s">
        <v>35</v>
      </c>
      <c r="E5801" t="s">
        <v>38</v>
      </c>
      <c r="F5801" s="1">
        <v>42520</v>
      </c>
      <c r="G5801" s="1">
        <v>42521</v>
      </c>
      <c r="H5801" t="s">
        <v>41</v>
      </c>
      <c r="I5801">
        <v>1</v>
      </c>
      <c r="J5801" t="s">
        <v>109</v>
      </c>
      <c r="K5801">
        <v>0</v>
      </c>
      <c r="L5801">
        <v>1</v>
      </c>
      <c r="M5801">
        <v>1</v>
      </c>
      <c r="N5801">
        <v>0</v>
      </c>
      <c r="O5801">
        <v>0</v>
      </c>
      <c r="P5801">
        <v>0</v>
      </c>
      <c r="Q5801" t="s">
        <v>23</v>
      </c>
      <c r="R5801">
        <v>0</v>
      </c>
    </row>
    <row r="5802" spans="1:18">
      <c r="A5802" s="4">
        <v>24788600000000</v>
      </c>
      <c r="B5802" t="s">
        <v>28</v>
      </c>
      <c r="C5802">
        <v>8</v>
      </c>
      <c r="D5802" t="s">
        <v>31</v>
      </c>
      <c r="E5802" t="s">
        <v>59</v>
      </c>
      <c r="F5802" s="1">
        <v>42520</v>
      </c>
      <c r="G5802" s="1">
        <v>42523</v>
      </c>
      <c r="H5802" t="s">
        <v>33</v>
      </c>
      <c r="I5802">
        <v>3</v>
      </c>
      <c r="J5802" t="s">
        <v>109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1</v>
      </c>
      <c r="Q5802" t="s">
        <v>26</v>
      </c>
      <c r="R5802">
        <v>1</v>
      </c>
    </row>
    <row r="5803" spans="1:18">
      <c r="A5803" s="4">
        <v>6851340000000</v>
      </c>
      <c r="B5803" t="s">
        <v>18</v>
      </c>
      <c r="C5803">
        <v>37</v>
      </c>
      <c r="D5803" t="s">
        <v>27</v>
      </c>
      <c r="E5803" t="s">
        <v>90</v>
      </c>
      <c r="F5803" s="1">
        <v>42520</v>
      </c>
      <c r="G5803" s="1">
        <v>42520</v>
      </c>
      <c r="H5803" t="s">
        <v>30</v>
      </c>
      <c r="I5803">
        <v>0</v>
      </c>
      <c r="J5803" t="s">
        <v>111</v>
      </c>
      <c r="K5803">
        <v>1</v>
      </c>
      <c r="L5803">
        <v>0</v>
      </c>
      <c r="M5803">
        <v>0</v>
      </c>
      <c r="N5803">
        <v>0</v>
      </c>
      <c r="O5803">
        <v>0</v>
      </c>
      <c r="P5803">
        <v>0</v>
      </c>
      <c r="Q5803" t="s">
        <v>23</v>
      </c>
      <c r="R5803">
        <v>0</v>
      </c>
    </row>
    <row r="5804" spans="1:18">
      <c r="A5804" s="4">
        <v>237135000000000</v>
      </c>
      <c r="B5804" t="s">
        <v>18</v>
      </c>
      <c r="C5804">
        <v>13</v>
      </c>
      <c r="D5804" t="s">
        <v>60</v>
      </c>
      <c r="E5804" t="s">
        <v>72</v>
      </c>
      <c r="F5804" s="1">
        <v>42520</v>
      </c>
      <c r="G5804" s="1">
        <v>42520</v>
      </c>
      <c r="H5804" t="s">
        <v>30</v>
      </c>
      <c r="I5804">
        <v>0</v>
      </c>
      <c r="J5804" t="s">
        <v>111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 t="s">
        <v>23</v>
      </c>
      <c r="R5804">
        <v>0</v>
      </c>
    </row>
    <row r="5805" spans="1:18">
      <c r="A5805" s="4">
        <v>19384100000000</v>
      </c>
      <c r="B5805" t="s">
        <v>28</v>
      </c>
      <c r="C5805">
        <v>20</v>
      </c>
      <c r="D5805" t="s">
        <v>37</v>
      </c>
      <c r="E5805" t="s">
        <v>38</v>
      </c>
      <c r="F5805" s="1">
        <v>42520</v>
      </c>
      <c r="G5805" s="1">
        <v>42521</v>
      </c>
      <c r="H5805" t="s">
        <v>41</v>
      </c>
      <c r="I5805">
        <v>1</v>
      </c>
      <c r="J5805" t="s">
        <v>109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 t="s">
        <v>26</v>
      </c>
      <c r="R5805">
        <v>1</v>
      </c>
    </row>
    <row r="5806" spans="1:18">
      <c r="A5806" s="4">
        <v>6456260000000</v>
      </c>
      <c r="B5806" t="s">
        <v>28</v>
      </c>
      <c r="C5806">
        <v>65</v>
      </c>
      <c r="D5806" t="s">
        <v>35</v>
      </c>
      <c r="E5806" t="s">
        <v>71</v>
      </c>
      <c r="F5806" s="1">
        <v>42520</v>
      </c>
      <c r="G5806" s="1">
        <v>42522</v>
      </c>
      <c r="H5806" t="s">
        <v>25</v>
      </c>
      <c r="I5806">
        <v>2</v>
      </c>
      <c r="J5806" t="s">
        <v>109</v>
      </c>
      <c r="K5806">
        <v>0</v>
      </c>
      <c r="L5806">
        <v>1</v>
      </c>
      <c r="M5806">
        <v>0</v>
      </c>
      <c r="N5806">
        <v>0</v>
      </c>
      <c r="O5806">
        <v>0</v>
      </c>
      <c r="P5806">
        <v>0</v>
      </c>
      <c r="Q5806" t="s">
        <v>23</v>
      </c>
      <c r="R5806">
        <v>0</v>
      </c>
    </row>
    <row r="5807" spans="1:18">
      <c r="A5807" s="4">
        <v>55276200000000</v>
      </c>
      <c r="B5807" t="s">
        <v>18</v>
      </c>
      <c r="C5807">
        <v>34</v>
      </c>
      <c r="D5807" t="s">
        <v>37</v>
      </c>
      <c r="E5807" t="s">
        <v>44</v>
      </c>
      <c r="F5807" s="1">
        <v>42520</v>
      </c>
      <c r="G5807" s="1">
        <v>42520</v>
      </c>
      <c r="H5807" t="s">
        <v>30</v>
      </c>
      <c r="I5807">
        <v>0</v>
      </c>
      <c r="J5807" t="s">
        <v>111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 t="s">
        <v>23</v>
      </c>
      <c r="R5807">
        <v>0</v>
      </c>
    </row>
    <row r="5808" spans="1:18">
      <c r="A5808" s="4">
        <v>15562400000000</v>
      </c>
      <c r="B5808" t="s">
        <v>18</v>
      </c>
      <c r="C5808">
        <v>20</v>
      </c>
      <c r="D5808" t="s">
        <v>37</v>
      </c>
      <c r="E5808" t="s">
        <v>59</v>
      </c>
      <c r="F5808" s="1">
        <v>42520</v>
      </c>
      <c r="G5808" s="1">
        <v>42522</v>
      </c>
      <c r="H5808" t="s">
        <v>25</v>
      </c>
      <c r="I5808">
        <v>2</v>
      </c>
      <c r="J5808" t="s">
        <v>109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 t="s">
        <v>26</v>
      </c>
      <c r="R5808">
        <v>1</v>
      </c>
    </row>
    <row r="5809" spans="1:18">
      <c r="A5809" s="4">
        <v>555377000000000</v>
      </c>
      <c r="B5809" t="s">
        <v>18</v>
      </c>
      <c r="C5809">
        <v>82</v>
      </c>
      <c r="D5809" t="s">
        <v>19</v>
      </c>
      <c r="E5809" t="s">
        <v>67</v>
      </c>
      <c r="F5809" s="1">
        <v>42520</v>
      </c>
      <c r="G5809" s="1">
        <v>42522</v>
      </c>
      <c r="H5809" t="s">
        <v>25</v>
      </c>
      <c r="I5809">
        <v>2</v>
      </c>
      <c r="J5809" t="s">
        <v>109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23</v>
      </c>
      <c r="R5809">
        <v>0</v>
      </c>
    </row>
    <row r="5810" spans="1:18">
      <c r="A5810" s="4">
        <v>359542000000000</v>
      </c>
      <c r="B5810" t="s">
        <v>18</v>
      </c>
      <c r="C5810">
        <v>74</v>
      </c>
      <c r="D5810" t="s">
        <v>19</v>
      </c>
      <c r="E5810" t="s">
        <v>39</v>
      </c>
      <c r="F5810" s="1">
        <v>42520</v>
      </c>
      <c r="G5810" s="1">
        <v>42522</v>
      </c>
      <c r="H5810" t="s">
        <v>25</v>
      </c>
      <c r="I5810">
        <v>2</v>
      </c>
      <c r="J5810" t="s">
        <v>109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 t="s">
        <v>23</v>
      </c>
      <c r="R5810">
        <v>0</v>
      </c>
    </row>
    <row r="5811" spans="1:18">
      <c r="A5811" s="4">
        <v>1323530000000</v>
      </c>
      <c r="B5811" t="s">
        <v>18</v>
      </c>
      <c r="C5811">
        <v>53</v>
      </c>
      <c r="D5811" t="s">
        <v>35</v>
      </c>
      <c r="E5811" t="s">
        <v>46</v>
      </c>
      <c r="F5811" s="1">
        <v>42520</v>
      </c>
      <c r="G5811" s="1">
        <v>42520</v>
      </c>
      <c r="H5811" t="s">
        <v>30</v>
      </c>
      <c r="I5811">
        <v>0</v>
      </c>
      <c r="J5811" t="s">
        <v>111</v>
      </c>
      <c r="K5811">
        <v>1</v>
      </c>
      <c r="L5811">
        <v>1</v>
      </c>
      <c r="M5811">
        <v>1</v>
      </c>
      <c r="N5811">
        <v>0</v>
      </c>
      <c r="O5811">
        <v>0</v>
      </c>
      <c r="P5811">
        <v>0</v>
      </c>
      <c r="Q5811" t="s">
        <v>23</v>
      </c>
      <c r="R5811">
        <v>0</v>
      </c>
    </row>
    <row r="5812" spans="1:18">
      <c r="A5812" s="4">
        <v>117129000000000</v>
      </c>
      <c r="B5812" t="s">
        <v>18</v>
      </c>
      <c r="C5812">
        <v>57</v>
      </c>
      <c r="D5812" t="s">
        <v>35</v>
      </c>
      <c r="E5812" t="s">
        <v>64</v>
      </c>
      <c r="F5812" s="1">
        <v>42520</v>
      </c>
      <c r="G5812" s="1">
        <v>42522</v>
      </c>
      <c r="H5812" t="s">
        <v>25</v>
      </c>
      <c r="I5812">
        <v>2</v>
      </c>
      <c r="J5812" t="s">
        <v>109</v>
      </c>
      <c r="K5812">
        <v>0</v>
      </c>
      <c r="L5812">
        <v>1</v>
      </c>
      <c r="M5812">
        <v>1</v>
      </c>
      <c r="N5812">
        <v>0</v>
      </c>
      <c r="O5812">
        <v>0</v>
      </c>
      <c r="P5812">
        <v>0</v>
      </c>
      <c r="Q5812" t="s">
        <v>26</v>
      </c>
      <c r="R5812">
        <v>1</v>
      </c>
    </row>
    <row r="5813" spans="1:18">
      <c r="A5813" s="4">
        <v>712815000000000</v>
      </c>
      <c r="B5813" t="s">
        <v>18</v>
      </c>
      <c r="C5813">
        <v>48</v>
      </c>
      <c r="D5813" t="s">
        <v>27</v>
      </c>
      <c r="E5813" t="s">
        <v>39</v>
      </c>
      <c r="F5813" s="1">
        <v>42520</v>
      </c>
      <c r="G5813" s="1">
        <v>42520</v>
      </c>
      <c r="H5813" t="s">
        <v>30</v>
      </c>
      <c r="I5813">
        <v>0</v>
      </c>
      <c r="J5813" t="s">
        <v>111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 t="s">
        <v>23</v>
      </c>
      <c r="R5813">
        <v>0</v>
      </c>
    </row>
    <row r="5814" spans="1:18">
      <c r="A5814" s="4">
        <v>5331930000000</v>
      </c>
      <c r="B5814" t="s">
        <v>18</v>
      </c>
      <c r="C5814">
        <v>73</v>
      </c>
      <c r="D5814" t="s">
        <v>19</v>
      </c>
      <c r="E5814" t="s">
        <v>73</v>
      </c>
      <c r="F5814" s="1">
        <v>42520</v>
      </c>
      <c r="G5814" s="1">
        <v>42520</v>
      </c>
      <c r="H5814" t="s">
        <v>30</v>
      </c>
      <c r="I5814">
        <v>0</v>
      </c>
      <c r="J5814" t="s">
        <v>111</v>
      </c>
      <c r="K5814">
        <v>0</v>
      </c>
      <c r="L5814">
        <v>1</v>
      </c>
      <c r="M5814">
        <v>0</v>
      </c>
      <c r="N5814">
        <v>0</v>
      </c>
      <c r="O5814">
        <v>0</v>
      </c>
      <c r="P5814">
        <v>0</v>
      </c>
      <c r="Q5814" t="s">
        <v>23</v>
      </c>
      <c r="R5814">
        <v>0</v>
      </c>
    </row>
    <row r="5815" spans="1:18">
      <c r="A5815" s="4">
        <v>621386000000000</v>
      </c>
      <c r="B5815" t="s">
        <v>18</v>
      </c>
      <c r="C5815">
        <v>16</v>
      </c>
      <c r="D5815" t="s">
        <v>60</v>
      </c>
      <c r="E5815" t="s">
        <v>79</v>
      </c>
      <c r="F5815" s="1">
        <v>42520</v>
      </c>
      <c r="G5815" s="1">
        <v>42527</v>
      </c>
      <c r="H5815" t="s">
        <v>30</v>
      </c>
      <c r="I5815">
        <v>7</v>
      </c>
      <c r="J5815" t="s">
        <v>107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1</v>
      </c>
      <c r="Q5815" t="s">
        <v>23</v>
      </c>
      <c r="R5815">
        <v>0</v>
      </c>
    </row>
    <row r="5816" spans="1:18">
      <c r="A5816" s="4">
        <v>191430000000000</v>
      </c>
      <c r="B5816" t="s">
        <v>28</v>
      </c>
      <c r="C5816">
        <v>34</v>
      </c>
      <c r="D5816" t="s">
        <v>37</v>
      </c>
      <c r="E5816" t="s">
        <v>68</v>
      </c>
      <c r="F5816" s="1">
        <v>42520</v>
      </c>
      <c r="G5816" s="1">
        <v>42522</v>
      </c>
      <c r="H5816" t="s">
        <v>25</v>
      </c>
      <c r="I5816">
        <v>2</v>
      </c>
      <c r="J5816" t="s">
        <v>109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 t="s">
        <v>23</v>
      </c>
      <c r="R5816">
        <v>0</v>
      </c>
    </row>
    <row r="5817" spans="1:18">
      <c r="A5817" s="4">
        <v>93486400000000</v>
      </c>
      <c r="B5817" t="s">
        <v>18</v>
      </c>
      <c r="C5817">
        <v>80</v>
      </c>
      <c r="D5817" t="s">
        <v>19</v>
      </c>
      <c r="E5817" t="s">
        <v>39</v>
      </c>
      <c r="F5817" s="1">
        <v>42520</v>
      </c>
      <c r="G5817" s="1">
        <v>42522</v>
      </c>
      <c r="H5817" t="s">
        <v>25</v>
      </c>
      <c r="I5817">
        <v>2</v>
      </c>
      <c r="J5817" t="s">
        <v>109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 t="s">
        <v>23</v>
      </c>
      <c r="R5817">
        <v>0</v>
      </c>
    </row>
    <row r="5818" spans="1:18">
      <c r="A5818" s="4">
        <v>87835900000000</v>
      </c>
      <c r="B5818" t="s">
        <v>28</v>
      </c>
      <c r="C5818">
        <v>86</v>
      </c>
      <c r="D5818" t="s">
        <v>19</v>
      </c>
      <c r="E5818" t="s">
        <v>58</v>
      </c>
      <c r="F5818" s="1">
        <v>42520</v>
      </c>
      <c r="G5818" s="1">
        <v>42520</v>
      </c>
      <c r="H5818" t="s">
        <v>30</v>
      </c>
      <c r="I5818">
        <v>0</v>
      </c>
      <c r="J5818" t="s">
        <v>111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 t="s">
        <v>23</v>
      </c>
      <c r="R5818">
        <v>0</v>
      </c>
    </row>
    <row r="5819" spans="1:18">
      <c r="A5819" s="4">
        <v>841579000000000</v>
      </c>
      <c r="B5819" t="s">
        <v>18</v>
      </c>
      <c r="C5819">
        <v>46</v>
      </c>
      <c r="D5819" t="s">
        <v>27</v>
      </c>
      <c r="E5819" t="s">
        <v>39</v>
      </c>
      <c r="F5819" s="1">
        <v>42520</v>
      </c>
      <c r="G5819" s="1">
        <v>42520</v>
      </c>
      <c r="H5819" t="s">
        <v>30</v>
      </c>
      <c r="I5819">
        <v>0</v>
      </c>
      <c r="J5819" t="s">
        <v>111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 t="s">
        <v>26</v>
      </c>
      <c r="R5819">
        <v>1</v>
      </c>
    </row>
    <row r="5820" spans="1:18">
      <c r="A5820" s="4">
        <v>47528700000000</v>
      </c>
      <c r="B5820" t="s">
        <v>18</v>
      </c>
      <c r="C5820">
        <v>62</v>
      </c>
      <c r="D5820" t="s">
        <v>35</v>
      </c>
      <c r="E5820" t="s">
        <v>29</v>
      </c>
      <c r="F5820" s="1">
        <v>42520</v>
      </c>
      <c r="G5820" s="1">
        <v>42522</v>
      </c>
      <c r="H5820" t="s">
        <v>25</v>
      </c>
      <c r="I5820">
        <v>2</v>
      </c>
      <c r="J5820" t="s">
        <v>109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 t="s">
        <v>23</v>
      </c>
      <c r="R5820">
        <v>0</v>
      </c>
    </row>
    <row r="5821" spans="1:18">
      <c r="A5821" s="4">
        <v>97952900000000</v>
      </c>
      <c r="B5821" t="s">
        <v>18</v>
      </c>
      <c r="C5821">
        <v>64</v>
      </c>
      <c r="D5821" t="s">
        <v>35</v>
      </c>
      <c r="E5821" t="s">
        <v>55</v>
      </c>
      <c r="F5821" s="1">
        <v>42520</v>
      </c>
      <c r="G5821" s="1">
        <v>42521</v>
      </c>
      <c r="H5821" t="s">
        <v>41</v>
      </c>
      <c r="I5821">
        <v>1</v>
      </c>
      <c r="J5821" t="s">
        <v>109</v>
      </c>
      <c r="K5821">
        <v>0</v>
      </c>
      <c r="L5821">
        <v>1</v>
      </c>
      <c r="M5821">
        <v>1</v>
      </c>
      <c r="N5821">
        <v>0</v>
      </c>
      <c r="O5821">
        <v>0</v>
      </c>
      <c r="P5821">
        <v>0</v>
      </c>
      <c r="Q5821" t="s">
        <v>26</v>
      </c>
      <c r="R5821">
        <v>1</v>
      </c>
    </row>
    <row r="5822" spans="1:18">
      <c r="A5822" s="4">
        <v>7997330000000</v>
      </c>
      <c r="B5822" t="s">
        <v>28</v>
      </c>
      <c r="C5822">
        <v>9</v>
      </c>
      <c r="D5822" t="s">
        <v>31</v>
      </c>
      <c r="E5822" t="s">
        <v>87</v>
      </c>
      <c r="F5822" s="1">
        <v>42520</v>
      </c>
      <c r="G5822" s="1">
        <v>42522</v>
      </c>
      <c r="H5822" t="s">
        <v>25</v>
      </c>
      <c r="I5822">
        <v>2</v>
      </c>
      <c r="J5822" t="s">
        <v>109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 t="s">
        <v>23</v>
      </c>
      <c r="R5822">
        <v>0</v>
      </c>
    </row>
    <row r="5823" spans="1:18">
      <c r="A5823" s="4">
        <v>9411860000000</v>
      </c>
      <c r="B5823" t="s">
        <v>18</v>
      </c>
      <c r="C5823">
        <v>38</v>
      </c>
      <c r="D5823" t="s">
        <v>27</v>
      </c>
      <c r="E5823" t="s">
        <v>72</v>
      </c>
      <c r="F5823" s="1">
        <v>42520</v>
      </c>
      <c r="G5823" s="1">
        <v>42520</v>
      </c>
      <c r="H5823" t="s">
        <v>30</v>
      </c>
      <c r="I5823">
        <v>0</v>
      </c>
      <c r="J5823" t="s">
        <v>111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 t="s">
        <v>23</v>
      </c>
      <c r="R5823">
        <v>0</v>
      </c>
    </row>
    <row r="5824" spans="1:18">
      <c r="A5824" s="4">
        <v>242678000000</v>
      </c>
      <c r="B5824" t="s">
        <v>28</v>
      </c>
      <c r="C5824">
        <v>2</v>
      </c>
      <c r="D5824" t="s">
        <v>31</v>
      </c>
      <c r="E5824" t="s">
        <v>65</v>
      </c>
      <c r="F5824" s="1">
        <v>42520</v>
      </c>
      <c r="G5824" s="1">
        <v>42520</v>
      </c>
      <c r="H5824" t="s">
        <v>30</v>
      </c>
      <c r="I5824">
        <v>0</v>
      </c>
      <c r="J5824" t="s">
        <v>111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 t="s">
        <v>23</v>
      </c>
      <c r="R5824">
        <v>0</v>
      </c>
    </row>
    <row r="5825" spans="1:18">
      <c r="A5825" s="4">
        <v>298126000000</v>
      </c>
      <c r="B5825" t="s">
        <v>18</v>
      </c>
      <c r="C5825">
        <v>52</v>
      </c>
      <c r="D5825" t="s">
        <v>35</v>
      </c>
      <c r="E5825" t="s">
        <v>58</v>
      </c>
      <c r="F5825" s="1">
        <v>42520</v>
      </c>
      <c r="G5825" s="1">
        <v>42520</v>
      </c>
      <c r="H5825" t="s">
        <v>30</v>
      </c>
      <c r="I5825">
        <v>0</v>
      </c>
      <c r="J5825" t="s">
        <v>111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 t="s">
        <v>23</v>
      </c>
      <c r="R5825">
        <v>0</v>
      </c>
    </row>
    <row r="5826" spans="1:18">
      <c r="A5826" s="4">
        <v>31141800000000</v>
      </c>
      <c r="B5826" t="s">
        <v>18</v>
      </c>
      <c r="C5826">
        <v>25</v>
      </c>
      <c r="D5826" t="s">
        <v>37</v>
      </c>
      <c r="E5826" t="s">
        <v>91</v>
      </c>
      <c r="F5826" s="1">
        <v>42520</v>
      </c>
      <c r="G5826" s="1">
        <v>42524</v>
      </c>
      <c r="H5826" t="s">
        <v>21</v>
      </c>
      <c r="I5826">
        <v>4</v>
      </c>
      <c r="J5826" t="s">
        <v>107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1</v>
      </c>
      <c r="Q5826" t="s">
        <v>23</v>
      </c>
      <c r="R5826">
        <v>0</v>
      </c>
    </row>
    <row r="5827" spans="1:18">
      <c r="A5827" s="4">
        <v>32517600000000</v>
      </c>
      <c r="B5827" t="s">
        <v>18</v>
      </c>
      <c r="C5827">
        <v>22</v>
      </c>
      <c r="D5827" t="s">
        <v>37</v>
      </c>
      <c r="E5827" t="s">
        <v>72</v>
      </c>
      <c r="F5827" s="1">
        <v>42520</v>
      </c>
      <c r="G5827" s="1">
        <v>42520</v>
      </c>
      <c r="H5827" t="s">
        <v>30</v>
      </c>
      <c r="I5827">
        <v>0</v>
      </c>
      <c r="J5827" t="s">
        <v>111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 t="s">
        <v>23</v>
      </c>
      <c r="R5827">
        <v>0</v>
      </c>
    </row>
    <row r="5828" spans="1:18">
      <c r="A5828" s="4">
        <v>2972800000000</v>
      </c>
      <c r="B5828" t="s">
        <v>18</v>
      </c>
      <c r="C5828">
        <v>73</v>
      </c>
      <c r="D5828" t="s">
        <v>19</v>
      </c>
      <c r="E5828" t="s">
        <v>61</v>
      </c>
      <c r="F5828" s="1">
        <v>42520</v>
      </c>
      <c r="G5828" s="1">
        <v>42520</v>
      </c>
      <c r="H5828" t="s">
        <v>30</v>
      </c>
      <c r="I5828">
        <v>0</v>
      </c>
      <c r="J5828" t="s">
        <v>111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 t="s">
        <v>23</v>
      </c>
      <c r="R5828">
        <v>0</v>
      </c>
    </row>
    <row r="5829" spans="1:18">
      <c r="A5829" s="4">
        <v>9738470000000</v>
      </c>
      <c r="B5829" t="s">
        <v>18</v>
      </c>
      <c r="C5829">
        <v>22</v>
      </c>
      <c r="D5829" t="s">
        <v>37</v>
      </c>
      <c r="E5829" t="s">
        <v>69</v>
      </c>
      <c r="F5829" s="1">
        <v>42520</v>
      </c>
      <c r="G5829" s="1">
        <v>42520</v>
      </c>
      <c r="H5829" t="s">
        <v>30</v>
      </c>
      <c r="I5829">
        <v>0</v>
      </c>
      <c r="J5829" t="s">
        <v>111</v>
      </c>
      <c r="K5829">
        <v>1</v>
      </c>
      <c r="L5829">
        <v>0</v>
      </c>
      <c r="M5829">
        <v>0</v>
      </c>
      <c r="N5829">
        <v>0</v>
      </c>
      <c r="O5829">
        <v>0</v>
      </c>
      <c r="P5829">
        <v>0</v>
      </c>
      <c r="Q5829" t="s">
        <v>23</v>
      </c>
      <c r="R5829">
        <v>0</v>
      </c>
    </row>
    <row r="5830" spans="1:18">
      <c r="A5830" s="4">
        <v>39627600000000</v>
      </c>
      <c r="B5830" t="s">
        <v>28</v>
      </c>
      <c r="C5830">
        <v>30</v>
      </c>
      <c r="D5830" t="s">
        <v>37</v>
      </c>
      <c r="E5830" t="s">
        <v>71</v>
      </c>
      <c r="F5830" s="1">
        <v>42520</v>
      </c>
      <c r="G5830" s="1">
        <v>42527</v>
      </c>
      <c r="H5830" t="s">
        <v>30</v>
      </c>
      <c r="I5830">
        <v>7</v>
      </c>
      <c r="J5830" t="s">
        <v>107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1</v>
      </c>
      <c r="Q5830" t="s">
        <v>23</v>
      </c>
      <c r="R5830">
        <v>0</v>
      </c>
    </row>
    <row r="5831" spans="1:18">
      <c r="A5831" s="4">
        <v>928954000000</v>
      </c>
      <c r="B5831" t="s">
        <v>28</v>
      </c>
      <c r="C5831">
        <v>43</v>
      </c>
      <c r="D5831" t="s">
        <v>27</v>
      </c>
      <c r="E5831" t="s">
        <v>103</v>
      </c>
      <c r="F5831" s="1">
        <v>42520</v>
      </c>
      <c r="G5831" s="1">
        <v>42524</v>
      </c>
      <c r="H5831" t="s">
        <v>21</v>
      </c>
      <c r="I5831">
        <v>4</v>
      </c>
      <c r="J5831" t="s">
        <v>107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 t="s">
        <v>26</v>
      </c>
      <c r="R5831">
        <v>1</v>
      </c>
    </row>
    <row r="5832" spans="1:18">
      <c r="A5832" s="4">
        <v>37512800000000</v>
      </c>
      <c r="B5832" t="s">
        <v>18</v>
      </c>
      <c r="C5832">
        <v>3</v>
      </c>
      <c r="D5832" t="s">
        <v>31</v>
      </c>
      <c r="E5832" t="s">
        <v>50</v>
      </c>
      <c r="F5832" s="1">
        <v>42520</v>
      </c>
      <c r="G5832" s="1">
        <v>42520</v>
      </c>
      <c r="H5832" t="s">
        <v>30</v>
      </c>
      <c r="I5832">
        <v>0</v>
      </c>
      <c r="J5832" t="s">
        <v>111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 t="s">
        <v>23</v>
      </c>
      <c r="R5832">
        <v>0</v>
      </c>
    </row>
    <row r="5833" spans="1:18">
      <c r="A5833" s="4">
        <v>881842000000</v>
      </c>
      <c r="B5833" t="s">
        <v>18</v>
      </c>
      <c r="C5833">
        <v>49</v>
      </c>
      <c r="D5833" t="s">
        <v>27</v>
      </c>
      <c r="E5833" t="s">
        <v>66</v>
      </c>
      <c r="F5833" s="1">
        <v>42520</v>
      </c>
      <c r="G5833" s="1">
        <v>42520</v>
      </c>
      <c r="H5833" t="s">
        <v>30</v>
      </c>
      <c r="I5833">
        <v>0</v>
      </c>
      <c r="J5833" t="s">
        <v>111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 t="s">
        <v>23</v>
      </c>
      <c r="R5833">
        <v>0</v>
      </c>
    </row>
    <row r="5834" spans="1:18">
      <c r="A5834" s="4">
        <v>98423100000000</v>
      </c>
      <c r="B5834" t="s">
        <v>18</v>
      </c>
      <c r="C5834">
        <v>64</v>
      </c>
      <c r="D5834" t="s">
        <v>35</v>
      </c>
      <c r="E5834" t="s">
        <v>34</v>
      </c>
      <c r="F5834" s="1">
        <v>42520</v>
      </c>
      <c r="G5834" s="1">
        <v>42522</v>
      </c>
      <c r="H5834" t="s">
        <v>25</v>
      </c>
      <c r="I5834">
        <v>2</v>
      </c>
      <c r="J5834" t="s">
        <v>109</v>
      </c>
      <c r="K5834">
        <v>0</v>
      </c>
      <c r="L5834">
        <v>1</v>
      </c>
      <c r="M5834">
        <v>0</v>
      </c>
      <c r="N5834">
        <v>0</v>
      </c>
      <c r="O5834">
        <v>0</v>
      </c>
      <c r="P5834">
        <v>0</v>
      </c>
      <c r="Q5834" t="s">
        <v>23</v>
      </c>
      <c r="R5834">
        <v>0</v>
      </c>
    </row>
    <row r="5835" spans="1:18">
      <c r="A5835" s="4">
        <v>738152000000000</v>
      </c>
      <c r="B5835" t="s">
        <v>18</v>
      </c>
      <c r="C5835">
        <v>54</v>
      </c>
      <c r="D5835" t="s">
        <v>35</v>
      </c>
      <c r="E5835" t="s">
        <v>36</v>
      </c>
      <c r="F5835" s="1">
        <v>42520</v>
      </c>
      <c r="G5835" s="1">
        <v>42520</v>
      </c>
      <c r="H5835" t="s">
        <v>30</v>
      </c>
      <c r="I5835">
        <v>0</v>
      </c>
      <c r="J5835" t="s">
        <v>111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 t="s">
        <v>23</v>
      </c>
      <c r="R5835">
        <v>0</v>
      </c>
    </row>
    <row r="5836" spans="1:18">
      <c r="A5836" s="4">
        <v>27286200000000</v>
      </c>
      <c r="B5836" t="s">
        <v>18</v>
      </c>
      <c r="C5836">
        <v>1</v>
      </c>
      <c r="D5836" t="s">
        <v>31</v>
      </c>
      <c r="E5836" t="s">
        <v>73</v>
      </c>
      <c r="F5836" s="1">
        <v>42520</v>
      </c>
      <c r="G5836" s="1">
        <v>42520</v>
      </c>
      <c r="H5836" t="s">
        <v>30</v>
      </c>
      <c r="I5836">
        <v>0</v>
      </c>
      <c r="J5836" t="s">
        <v>111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23</v>
      </c>
      <c r="R5836">
        <v>0</v>
      </c>
    </row>
    <row r="5837" spans="1:18">
      <c r="A5837" s="4">
        <v>78298700000000</v>
      </c>
      <c r="B5837" t="s">
        <v>18</v>
      </c>
      <c r="C5837">
        <v>7</v>
      </c>
      <c r="D5837" t="s">
        <v>31</v>
      </c>
      <c r="E5837" t="s">
        <v>44</v>
      </c>
      <c r="F5837" s="1">
        <v>42520</v>
      </c>
      <c r="G5837" s="1">
        <v>42521</v>
      </c>
      <c r="H5837" t="s">
        <v>41</v>
      </c>
      <c r="I5837">
        <v>1</v>
      </c>
      <c r="J5837" t="s">
        <v>109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 t="s">
        <v>23</v>
      </c>
      <c r="R5837">
        <v>0</v>
      </c>
    </row>
    <row r="5838" spans="1:18">
      <c r="A5838" s="4">
        <v>16595500000000</v>
      </c>
      <c r="B5838" t="s">
        <v>18</v>
      </c>
      <c r="C5838">
        <v>45</v>
      </c>
      <c r="D5838" t="s">
        <v>27</v>
      </c>
      <c r="E5838" t="s">
        <v>80</v>
      </c>
      <c r="F5838" s="1">
        <v>42520</v>
      </c>
      <c r="G5838" s="1">
        <v>42520</v>
      </c>
      <c r="H5838" t="s">
        <v>30</v>
      </c>
      <c r="I5838">
        <v>0</v>
      </c>
      <c r="J5838" t="s">
        <v>111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 t="s">
        <v>23</v>
      </c>
      <c r="R5838">
        <v>0</v>
      </c>
    </row>
    <row r="5839" spans="1:18">
      <c r="A5839" s="4">
        <v>69178900000000</v>
      </c>
      <c r="B5839" t="s">
        <v>18</v>
      </c>
      <c r="C5839">
        <v>2</v>
      </c>
      <c r="D5839" t="s">
        <v>31</v>
      </c>
      <c r="E5839" t="s">
        <v>72</v>
      </c>
      <c r="F5839" s="1">
        <v>42520</v>
      </c>
      <c r="G5839" s="1">
        <v>42520</v>
      </c>
      <c r="H5839" t="s">
        <v>30</v>
      </c>
      <c r="I5839">
        <v>0</v>
      </c>
      <c r="J5839" t="s">
        <v>111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 t="s">
        <v>23</v>
      </c>
      <c r="R5839">
        <v>0</v>
      </c>
    </row>
    <row r="5840" spans="1:18">
      <c r="A5840" s="4">
        <v>292698000000</v>
      </c>
      <c r="B5840" t="s">
        <v>18</v>
      </c>
      <c r="C5840">
        <v>29</v>
      </c>
      <c r="D5840" t="s">
        <v>37</v>
      </c>
      <c r="E5840" t="s">
        <v>71</v>
      </c>
      <c r="F5840" s="1">
        <v>42520</v>
      </c>
      <c r="G5840" s="1">
        <v>42520</v>
      </c>
      <c r="H5840" t="s">
        <v>30</v>
      </c>
      <c r="I5840">
        <v>0</v>
      </c>
      <c r="J5840" t="s">
        <v>111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 t="s">
        <v>23</v>
      </c>
      <c r="R5840">
        <v>0</v>
      </c>
    </row>
    <row r="5841" spans="1:18">
      <c r="A5841" s="4">
        <v>132629000000</v>
      </c>
      <c r="B5841" t="s">
        <v>18</v>
      </c>
      <c r="C5841">
        <v>27</v>
      </c>
      <c r="D5841" t="s">
        <v>37</v>
      </c>
      <c r="E5841" t="s">
        <v>43</v>
      </c>
      <c r="F5841" s="1">
        <v>42520</v>
      </c>
      <c r="G5841" s="1">
        <v>42527</v>
      </c>
      <c r="H5841" t="s">
        <v>30</v>
      </c>
      <c r="I5841">
        <v>7</v>
      </c>
      <c r="J5841" t="s">
        <v>107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1</v>
      </c>
      <c r="Q5841" t="s">
        <v>23</v>
      </c>
      <c r="R5841">
        <v>0</v>
      </c>
    </row>
    <row r="5842" spans="1:18">
      <c r="A5842" s="4">
        <v>28273800000000</v>
      </c>
      <c r="B5842" t="s">
        <v>18</v>
      </c>
      <c r="C5842">
        <v>54</v>
      </c>
      <c r="D5842" t="s">
        <v>35</v>
      </c>
      <c r="E5842" t="s">
        <v>50</v>
      </c>
      <c r="F5842" s="1">
        <v>42520</v>
      </c>
      <c r="G5842" s="1">
        <v>42520</v>
      </c>
      <c r="H5842" t="s">
        <v>30</v>
      </c>
      <c r="I5842">
        <v>0</v>
      </c>
      <c r="J5842" t="s">
        <v>111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 t="s">
        <v>23</v>
      </c>
      <c r="R5842">
        <v>0</v>
      </c>
    </row>
    <row r="5843" spans="1:18">
      <c r="A5843" s="4">
        <v>793242000000000</v>
      </c>
      <c r="B5843" t="s">
        <v>18</v>
      </c>
      <c r="C5843">
        <v>11</v>
      </c>
      <c r="D5843" t="s">
        <v>31</v>
      </c>
      <c r="E5843" t="s">
        <v>43</v>
      </c>
      <c r="F5843" s="1">
        <v>42520</v>
      </c>
      <c r="G5843" s="1">
        <v>42527</v>
      </c>
      <c r="H5843" t="s">
        <v>30</v>
      </c>
      <c r="I5843">
        <v>7</v>
      </c>
      <c r="J5843" t="s">
        <v>107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 t="s">
        <v>26</v>
      </c>
      <c r="R5843">
        <v>1</v>
      </c>
    </row>
    <row r="5844" spans="1:18">
      <c r="A5844" s="4">
        <v>6138600000000</v>
      </c>
      <c r="B5844" t="s">
        <v>18</v>
      </c>
      <c r="C5844">
        <v>63</v>
      </c>
      <c r="D5844" t="s">
        <v>35</v>
      </c>
      <c r="E5844" t="s">
        <v>43</v>
      </c>
      <c r="F5844" s="1">
        <v>42520</v>
      </c>
      <c r="G5844" s="1">
        <v>42528</v>
      </c>
      <c r="H5844" t="s">
        <v>41</v>
      </c>
      <c r="I5844">
        <v>8</v>
      </c>
      <c r="J5844" t="s">
        <v>92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1</v>
      </c>
      <c r="Q5844" t="s">
        <v>23</v>
      </c>
      <c r="R5844">
        <v>0</v>
      </c>
    </row>
    <row r="5845" spans="1:18">
      <c r="A5845" s="4">
        <v>75797500000000</v>
      </c>
      <c r="B5845" t="s">
        <v>28</v>
      </c>
      <c r="C5845">
        <v>49</v>
      </c>
      <c r="D5845" t="s">
        <v>27</v>
      </c>
      <c r="E5845" t="s">
        <v>39</v>
      </c>
      <c r="F5845" s="1">
        <v>42520</v>
      </c>
      <c r="G5845" s="1">
        <v>42520</v>
      </c>
      <c r="H5845" t="s">
        <v>30</v>
      </c>
      <c r="I5845">
        <v>0</v>
      </c>
      <c r="J5845" t="s">
        <v>111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 t="s">
        <v>23</v>
      </c>
      <c r="R5845">
        <v>0</v>
      </c>
    </row>
    <row r="5846" spans="1:18">
      <c r="A5846" s="4">
        <v>89239700000000</v>
      </c>
      <c r="B5846" t="s">
        <v>18</v>
      </c>
      <c r="C5846">
        <v>45</v>
      </c>
      <c r="D5846" t="s">
        <v>27</v>
      </c>
      <c r="E5846" t="s">
        <v>73</v>
      </c>
      <c r="F5846" s="1">
        <v>42520</v>
      </c>
      <c r="G5846" s="1">
        <v>42520</v>
      </c>
      <c r="H5846" t="s">
        <v>30</v>
      </c>
      <c r="I5846">
        <v>0</v>
      </c>
      <c r="J5846" t="s">
        <v>111</v>
      </c>
      <c r="K5846">
        <v>1</v>
      </c>
      <c r="L5846">
        <v>1</v>
      </c>
      <c r="M5846">
        <v>0</v>
      </c>
      <c r="N5846">
        <v>1</v>
      </c>
      <c r="O5846">
        <v>0</v>
      </c>
      <c r="P5846">
        <v>0</v>
      </c>
      <c r="Q5846" t="s">
        <v>23</v>
      </c>
      <c r="R5846">
        <v>0</v>
      </c>
    </row>
    <row r="5847" spans="1:18">
      <c r="A5847" s="4">
        <v>22949700000000</v>
      </c>
      <c r="B5847" t="s">
        <v>28</v>
      </c>
      <c r="C5847">
        <v>17</v>
      </c>
      <c r="D5847" t="s">
        <v>60</v>
      </c>
      <c r="E5847" t="s">
        <v>65</v>
      </c>
      <c r="F5847" s="1">
        <v>42520</v>
      </c>
      <c r="G5847" s="1">
        <v>42527</v>
      </c>
      <c r="H5847" t="s">
        <v>30</v>
      </c>
      <c r="I5847">
        <v>7</v>
      </c>
      <c r="J5847" t="s">
        <v>107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 t="s">
        <v>23</v>
      </c>
      <c r="R5847">
        <v>0</v>
      </c>
    </row>
    <row r="5848" spans="1:18">
      <c r="A5848" s="4">
        <v>27317600000000</v>
      </c>
      <c r="B5848" t="s">
        <v>28</v>
      </c>
      <c r="C5848">
        <v>4</v>
      </c>
      <c r="D5848" t="s">
        <v>31</v>
      </c>
      <c r="E5848" t="s">
        <v>45</v>
      </c>
      <c r="F5848" s="1">
        <v>42520</v>
      </c>
      <c r="G5848" s="1">
        <v>42520</v>
      </c>
      <c r="H5848" t="s">
        <v>30</v>
      </c>
      <c r="I5848">
        <v>0</v>
      </c>
      <c r="J5848" t="s">
        <v>111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 t="s">
        <v>23</v>
      </c>
      <c r="R5848">
        <v>0</v>
      </c>
    </row>
    <row r="5849" spans="1:18">
      <c r="A5849" s="4">
        <v>1565370000000</v>
      </c>
      <c r="B5849" t="s">
        <v>28</v>
      </c>
      <c r="C5849">
        <v>4</v>
      </c>
      <c r="D5849" t="s">
        <v>31</v>
      </c>
      <c r="E5849" t="s">
        <v>57</v>
      </c>
      <c r="F5849" s="1">
        <v>42520</v>
      </c>
      <c r="G5849" s="1">
        <v>42523</v>
      </c>
      <c r="H5849" t="s">
        <v>33</v>
      </c>
      <c r="I5849">
        <v>3</v>
      </c>
      <c r="J5849" t="s">
        <v>109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1</v>
      </c>
      <c r="Q5849" t="s">
        <v>23</v>
      </c>
      <c r="R5849">
        <v>0</v>
      </c>
    </row>
    <row r="5850" spans="1:18">
      <c r="A5850" s="4">
        <v>839156000000</v>
      </c>
      <c r="B5850" t="s">
        <v>18</v>
      </c>
      <c r="C5850">
        <v>52</v>
      </c>
      <c r="D5850" t="s">
        <v>35</v>
      </c>
      <c r="E5850" t="s">
        <v>50</v>
      </c>
      <c r="F5850" s="1">
        <v>42520</v>
      </c>
      <c r="G5850" s="1">
        <v>42524</v>
      </c>
      <c r="H5850" t="s">
        <v>21</v>
      </c>
      <c r="I5850">
        <v>4</v>
      </c>
      <c r="J5850" t="s">
        <v>107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1</v>
      </c>
      <c r="Q5850" t="s">
        <v>23</v>
      </c>
      <c r="R5850">
        <v>0</v>
      </c>
    </row>
    <row r="5851" spans="1:18">
      <c r="A5851" s="4">
        <v>9725980000000</v>
      </c>
      <c r="B5851" t="s">
        <v>18</v>
      </c>
      <c r="C5851">
        <v>54</v>
      </c>
      <c r="D5851" t="s">
        <v>35</v>
      </c>
      <c r="E5851" t="s">
        <v>32</v>
      </c>
      <c r="F5851" s="1">
        <v>42520</v>
      </c>
      <c r="G5851" s="1">
        <v>42529</v>
      </c>
      <c r="H5851" t="s">
        <v>25</v>
      </c>
      <c r="I5851">
        <v>9</v>
      </c>
      <c r="J5851" t="s">
        <v>92</v>
      </c>
      <c r="K5851">
        <v>0</v>
      </c>
      <c r="L5851">
        <v>1</v>
      </c>
      <c r="M5851">
        <v>0</v>
      </c>
      <c r="N5851">
        <v>0</v>
      </c>
      <c r="O5851">
        <v>0</v>
      </c>
      <c r="P5851">
        <v>1</v>
      </c>
      <c r="Q5851" t="s">
        <v>23</v>
      </c>
      <c r="R5851">
        <v>0</v>
      </c>
    </row>
    <row r="5852" spans="1:18">
      <c r="A5852" s="4">
        <v>297249000000000</v>
      </c>
      <c r="B5852" t="s">
        <v>28</v>
      </c>
      <c r="C5852">
        <v>30</v>
      </c>
      <c r="D5852" t="s">
        <v>37</v>
      </c>
      <c r="E5852" t="s">
        <v>66</v>
      </c>
      <c r="F5852" s="1">
        <v>42520</v>
      </c>
      <c r="G5852" s="1">
        <v>42528</v>
      </c>
      <c r="H5852" t="s">
        <v>41</v>
      </c>
      <c r="I5852">
        <v>8</v>
      </c>
      <c r="J5852" t="s">
        <v>92</v>
      </c>
      <c r="K5852">
        <v>0</v>
      </c>
      <c r="L5852">
        <v>1</v>
      </c>
      <c r="M5852">
        <v>0</v>
      </c>
      <c r="N5852">
        <v>0</v>
      </c>
      <c r="O5852">
        <v>0</v>
      </c>
      <c r="P5852">
        <v>1</v>
      </c>
      <c r="Q5852" t="s">
        <v>23</v>
      </c>
      <c r="R5852">
        <v>0</v>
      </c>
    </row>
    <row r="5853" spans="1:18">
      <c r="A5853" s="4">
        <v>4465230000000</v>
      </c>
      <c r="B5853" t="s">
        <v>18</v>
      </c>
      <c r="C5853">
        <v>12</v>
      </c>
      <c r="D5853" t="s">
        <v>31</v>
      </c>
      <c r="E5853" t="s">
        <v>106</v>
      </c>
      <c r="F5853" s="1">
        <v>42520</v>
      </c>
      <c r="G5853" s="1">
        <v>42520</v>
      </c>
      <c r="H5853" t="s">
        <v>30</v>
      </c>
      <c r="I5853">
        <v>0</v>
      </c>
      <c r="J5853" t="s">
        <v>111</v>
      </c>
      <c r="K5853">
        <v>1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23</v>
      </c>
      <c r="R5853">
        <v>0</v>
      </c>
    </row>
    <row r="5854" spans="1:18">
      <c r="A5854" s="4">
        <v>4272130000000</v>
      </c>
      <c r="B5854" t="s">
        <v>18</v>
      </c>
      <c r="C5854">
        <v>28</v>
      </c>
      <c r="D5854" t="s">
        <v>37</v>
      </c>
      <c r="E5854" t="s">
        <v>54</v>
      </c>
      <c r="F5854" s="1">
        <v>42520</v>
      </c>
      <c r="G5854" s="1">
        <v>42527</v>
      </c>
      <c r="H5854" t="s">
        <v>30</v>
      </c>
      <c r="I5854">
        <v>7</v>
      </c>
      <c r="J5854" t="s">
        <v>107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1</v>
      </c>
      <c r="Q5854" t="s">
        <v>23</v>
      </c>
      <c r="R5854">
        <v>0</v>
      </c>
    </row>
    <row r="5855" spans="1:18">
      <c r="A5855" s="4">
        <v>7515390000000</v>
      </c>
      <c r="B5855" t="s">
        <v>18</v>
      </c>
      <c r="C5855">
        <v>56</v>
      </c>
      <c r="D5855" t="s">
        <v>35</v>
      </c>
      <c r="E5855" t="s">
        <v>29</v>
      </c>
      <c r="F5855" s="1">
        <v>42520</v>
      </c>
      <c r="G5855" s="1">
        <v>42520</v>
      </c>
      <c r="H5855" t="s">
        <v>30</v>
      </c>
      <c r="I5855">
        <v>0</v>
      </c>
      <c r="J5855" t="s">
        <v>111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 t="s">
        <v>23</v>
      </c>
      <c r="R5855">
        <v>0</v>
      </c>
    </row>
    <row r="5856" spans="1:18">
      <c r="A5856" s="4">
        <v>5794410000000</v>
      </c>
      <c r="B5856" t="s">
        <v>18</v>
      </c>
      <c r="C5856">
        <v>31</v>
      </c>
      <c r="D5856" t="s">
        <v>37</v>
      </c>
      <c r="E5856" t="s">
        <v>44</v>
      </c>
      <c r="F5856" s="1">
        <v>42520</v>
      </c>
      <c r="G5856" s="1">
        <v>42520</v>
      </c>
      <c r="H5856" t="s">
        <v>30</v>
      </c>
      <c r="I5856">
        <v>0</v>
      </c>
      <c r="J5856" t="s">
        <v>111</v>
      </c>
      <c r="K5856">
        <v>1</v>
      </c>
      <c r="L5856">
        <v>0</v>
      </c>
      <c r="M5856">
        <v>0</v>
      </c>
      <c r="N5856">
        <v>0</v>
      </c>
      <c r="O5856">
        <v>0</v>
      </c>
      <c r="P5856">
        <v>0</v>
      </c>
      <c r="Q5856" t="s">
        <v>23</v>
      </c>
      <c r="R5856">
        <v>0</v>
      </c>
    </row>
    <row r="5857" spans="1:18">
      <c r="A5857" s="4">
        <v>79185400000000</v>
      </c>
      <c r="B5857" t="s">
        <v>18</v>
      </c>
      <c r="C5857">
        <v>27</v>
      </c>
      <c r="D5857" t="s">
        <v>37</v>
      </c>
      <c r="E5857" t="s">
        <v>50</v>
      </c>
      <c r="F5857" s="1">
        <v>42520</v>
      </c>
      <c r="G5857" s="1">
        <v>42520</v>
      </c>
      <c r="H5857" t="s">
        <v>30</v>
      </c>
      <c r="I5857">
        <v>0</v>
      </c>
      <c r="J5857" t="s">
        <v>111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 t="s">
        <v>23</v>
      </c>
      <c r="R5857">
        <v>0</v>
      </c>
    </row>
    <row r="5858" spans="1:18">
      <c r="A5858" s="4">
        <v>2819000000000</v>
      </c>
      <c r="B5858" t="s">
        <v>28</v>
      </c>
      <c r="C5858">
        <v>27</v>
      </c>
      <c r="D5858" t="s">
        <v>37</v>
      </c>
      <c r="E5858" t="s">
        <v>98</v>
      </c>
      <c r="F5858" s="1">
        <v>42520</v>
      </c>
      <c r="G5858" s="1">
        <v>42520</v>
      </c>
      <c r="H5858" t="s">
        <v>30</v>
      </c>
      <c r="I5858">
        <v>0</v>
      </c>
      <c r="J5858" t="s">
        <v>111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 t="s">
        <v>23</v>
      </c>
      <c r="R5858">
        <v>0</v>
      </c>
    </row>
    <row r="5859" spans="1:18">
      <c r="A5859" s="4">
        <v>3741690000000</v>
      </c>
      <c r="B5859" t="s">
        <v>28</v>
      </c>
      <c r="C5859">
        <v>56</v>
      </c>
      <c r="D5859" t="s">
        <v>35</v>
      </c>
      <c r="E5859" t="s">
        <v>39</v>
      </c>
      <c r="F5859" s="1">
        <v>42520</v>
      </c>
      <c r="G5859" s="1">
        <v>42527</v>
      </c>
      <c r="H5859" t="s">
        <v>30</v>
      </c>
      <c r="I5859">
        <v>7</v>
      </c>
      <c r="J5859" t="s">
        <v>107</v>
      </c>
      <c r="K5859">
        <v>0</v>
      </c>
      <c r="L5859">
        <v>1</v>
      </c>
      <c r="M5859">
        <v>0</v>
      </c>
      <c r="N5859">
        <v>0</v>
      </c>
      <c r="O5859">
        <v>0</v>
      </c>
      <c r="P5859">
        <v>1</v>
      </c>
      <c r="Q5859" t="s">
        <v>23</v>
      </c>
      <c r="R5859">
        <v>0</v>
      </c>
    </row>
    <row r="5860" spans="1:18">
      <c r="A5860" s="4">
        <v>3816350000000</v>
      </c>
      <c r="B5860" t="s">
        <v>28</v>
      </c>
      <c r="C5860">
        <v>34</v>
      </c>
      <c r="D5860" t="s">
        <v>37</v>
      </c>
      <c r="E5860" t="s">
        <v>40</v>
      </c>
      <c r="F5860" s="1">
        <v>42520</v>
      </c>
      <c r="G5860" s="1">
        <v>42522</v>
      </c>
      <c r="H5860" t="s">
        <v>25</v>
      </c>
      <c r="I5860">
        <v>2</v>
      </c>
      <c r="J5860" t="s">
        <v>109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 t="s">
        <v>23</v>
      </c>
      <c r="R5860">
        <v>0</v>
      </c>
    </row>
    <row r="5861" spans="1:18">
      <c r="A5861" s="4">
        <v>46664300000000</v>
      </c>
      <c r="B5861" t="s">
        <v>18</v>
      </c>
      <c r="C5861">
        <v>55</v>
      </c>
      <c r="D5861" t="s">
        <v>35</v>
      </c>
      <c r="E5861" t="s">
        <v>29</v>
      </c>
      <c r="F5861" s="1">
        <v>42520</v>
      </c>
      <c r="G5861" s="1">
        <v>42520</v>
      </c>
      <c r="H5861" t="s">
        <v>30</v>
      </c>
      <c r="I5861">
        <v>0</v>
      </c>
      <c r="J5861" t="s">
        <v>111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 t="s">
        <v>23</v>
      </c>
      <c r="R5861">
        <v>0</v>
      </c>
    </row>
    <row r="5862" spans="1:18">
      <c r="A5862" s="4">
        <v>2698500000000</v>
      </c>
      <c r="B5862" t="s">
        <v>18</v>
      </c>
      <c r="C5862">
        <v>45</v>
      </c>
      <c r="D5862" t="s">
        <v>27</v>
      </c>
      <c r="E5862" t="s">
        <v>106</v>
      </c>
      <c r="F5862" s="1">
        <v>42520</v>
      </c>
      <c r="G5862" s="1">
        <v>42520</v>
      </c>
      <c r="H5862" t="s">
        <v>30</v>
      </c>
      <c r="I5862">
        <v>0</v>
      </c>
      <c r="J5862" t="s">
        <v>111</v>
      </c>
      <c r="K5862">
        <v>1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23</v>
      </c>
      <c r="R5862">
        <v>0</v>
      </c>
    </row>
    <row r="5863" spans="1:18">
      <c r="A5863" s="4">
        <v>293464000000000</v>
      </c>
      <c r="B5863" t="s">
        <v>18</v>
      </c>
      <c r="C5863">
        <v>47</v>
      </c>
      <c r="D5863" t="s">
        <v>27</v>
      </c>
      <c r="E5863" t="s">
        <v>40</v>
      </c>
      <c r="F5863" s="1">
        <v>42520</v>
      </c>
      <c r="G5863" s="1">
        <v>42521</v>
      </c>
      <c r="H5863" t="s">
        <v>41</v>
      </c>
      <c r="I5863">
        <v>1</v>
      </c>
      <c r="J5863" t="s">
        <v>109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 t="s">
        <v>23</v>
      </c>
      <c r="R5863">
        <v>0</v>
      </c>
    </row>
    <row r="5864" spans="1:18">
      <c r="A5864" s="4">
        <v>64364600000000</v>
      </c>
      <c r="B5864" t="s">
        <v>18</v>
      </c>
      <c r="C5864">
        <v>25</v>
      </c>
      <c r="D5864" t="s">
        <v>37</v>
      </c>
      <c r="E5864" t="s">
        <v>96</v>
      </c>
      <c r="F5864" s="1">
        <v>42520</v>
      </c>
      <c r="G5864" s="1">
        <v>42520</v>
      </c>
      <c r="H5864" t="s">
        <v>30</v>
      </c>
      <c r="I5864">
        <v>0</v>
      </c>
      <c r="J5864" t="s">
        <v>111</v>
      </c>
      <c r="K5864">
        <v>1</v>
      </c>
      <c r="L5864">
        <v>0</v>
      </c>
      <c r="M5864">
        <v>0</v>
      </c>
      <c r="N5864">
        <v>0</v>
      </c>
      <c r="O5864">
        <v>0</v>
      </c>
      <c r="P5864">
        <v>0</v>
      </c>
      <c r="Q5864" t="s">
        <v>23</v>
      </c>
      <c r="R5864">
        <v>0</v>
      </c>
    </row>
    <row r="5865" spans="1:18">
      <c r="A5865" s="4">
        <v>815787000000</v>
      </c>
      <c r="B5865" t="s">
        <v>28</v>
      </c>
      <c r="C5865">
        <v>56</v>
      </c>
      <c r="D5865" t="s">
        <v>35</v>
      </c>
      <c r="E5865" t="s">
        <v>71</v>
      </c>
      <c r="F5865" s="1">
        <v>42520</v>
      </c>
      <c r="G5865" s="1">
        <v>42520</v>
      </c>
      <c r="H5865" t="s">
        <v>30</v>
      </c>
      <c r="I5865">
        <v>0</v>
      </c>
      <c r="J5865" t="s">
        <v>111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 t="s">
        <v>23</v>
      </c>
      <c r="R5865">
        <v>0</v>
      </c>
    </row>
    <row r="5866" spans="1:18">
      <c r="A5866" s="4">
        <v>73834200000000</v>
      </c>
      <c r="B5866" t="s">
        <v>18</v>
      </c>
      <c r="C5866">
        <v>20</v>
      </c>
      <c r="D5866" t="s">
        <v>37</v>
      </c>
      <c r="E5866" t="s">
        <v>56</v>
      </c>
      <c r="F5866" s="1">
        <v>42520</v>
      </c>
      <c r="G5866" s="1">
        <v>42522</v>
      </c>
      <c r="H5866" t="s">
        <v>25</v>
      </c>
      <c r="I5866">
        <v>2</v>
      </c>
      <c r="J5866" t="s">
        <v>109</v>
      </c>
      <c r="K5866">
        <v>1</v>
      </c>
      <c r="L5866">
        <v>0</v>
      </c>
      <c r="M5866">
        <v>0</v>
      </c>
      <c r="N5866">
        <v>0</v>
      </c>
      <c r="O5866">
        <v>0</v>
      </c>
      <c r="P5866">
        <v>0</v>
      </c>
      <c r="Q5866" t="s">
        <v>23</v>
      </c>
      <c r="R5866">
        <v>0</v>
      </c>
    </row>
    <row r="5867" spans="1:18">
      <c r="A5867" s="4">
        <v>5753210000000</v>
      </c>
      <c r="B5867" t="s">
        <v>28</v>
      </c>
      <c r="C5867">
        <v>61</v>
      </c>
      <c r="D5867" t="s">
        <v>35</v>
      </c>
      <c r="E5867" t="s">
        <v>58</v>
      </c>
      <c r="F5867" s="1">
        <v>42520</v>
      </c>
      <c r="G5867" s="1">
        <v>42522</v>
      </c>
      <c r="H5867" t="s">
        <v>25</v>
      </c>
      <c r="I5867">
        <v>2</v>
      </c>
      <c r="J5867" t="s">
        <v>109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 t="s">
        <v>23</v>
      </c>
      <c r="R5867">
        <v>0</v>
      </c>
    </row>
    <row r="5868" spans="1:18">
      <c r="A5868" s="4">
        <v>78633427355</v>
      </c>
      <c r="B5868" t="s">
        <v>18</v>
      </c>
      <c r="C5868">
        <v>26</v>
      </c>
      <c r="D5868" t="s">
        <v>37</v>
      </c>
      <c r="E5868" t="s">
        <v>68</v>
      </c>
      <c r="F5868" s="1">
        <v>42520</v>
      </c>
      <c r="G5868" s="1">
        <v>42520</v>
      </c>
      <c r="H5868" t="s">
        <v>30</v>
      </c>
      <c r="I5868">
        <v>0</v>
      </c>
      <c r="J5868" t="s">
        <v>111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 t="s">
        <v>23</v>
      </c>
      <c r="R5868">
        <v>0</v>
      </c>
    </row>
    <row r="5869" spans="1:18">
      <c r="A5869" s="4">
        <v>5784790000000</v>
      </c>
      <c r="B5869" t="s">
        <v>18</v>
      </c>
      <c r="C5869">
        <v>40</v>
      </c>
      <c r="D5869" t="s">
        <v>27</v>
      </c>
      <c r="E5869" t="s">
        <v>47</v>
      </c>
      <c r="F5869" s="1">
        <v>42520</v>
      </c>
      <c r="G5869" s="1">
        <v>42521</v>
      </c>
      <c r="H5869" t="s">
        <v>41</v>
      </c>
      <c r="I5869">
        <v>1</v>
      </c>
      <c r="J5869" t="s">
        <v>109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 t="s">
        <v>26</v>
      </c>
      <c r="R5869">
        <v>1</v>
      </c>
    </row>
    <row r="5870" spans="1:18">
      <c r="A5870" s="4">
        <v>865313000000</v>
      </c>
      <c r="B5870" t="s">
        <v>18</v>
      </c>
      <c r="C5870">
        <v>8</v>
      </c>
      <c r="D5870" t="s">
        <v>31</v>
      </c>
      <c r="E5870" t="s">
        <v>75</v>
      </c>
      <c r="F5870" s="1">
        <v>42520</v>
      </c>
      <c r="G5870" s="1">
        <v>42523</v>
      </c>
      <c r="H5870" t="s">
        <v>33</v>
      </c>
      <c r="I5870">
        <v>3</v>
      </c>
      <c r="J5870" t="s">
        <v>109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 t="s">
        <v>23</v>
      </c>
      <c r="R5870">
        <v>0</v>
      </c>
    </row>
    <row r="5871" spans="1:18">
      <c r="A5871" s="4">
        <v>9225400000000</v>
      </c>
      <c r="B5871" t="s">
        <v>28</v>
      </c>
      <c r="C5871">
        <v>24</v>
      </c>
      <c r="D5871" t="s">
        <v>37</v>
      </c>
      <c r="E5871" t="s">
        <v>69</v>
      </c>
      <c r="F5871" s="1">
        <v>42520</v>
      </c>
      <c r="G5871" s="1">
        <v>42523</v>
      </c>
      <c r="H5871" t="s">
        <v>33</v>
      </c>
      <c r="I5871">
        <v>3</v>
      </c>
      <c r="J5871" t="s">
        <v>109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 t="s">
        <v>23</v>
      </c>
      <c r="R5871">
        <v>0</v>
      </c>
    </row>
    <row r="5872" spans="1:18">
      <c r="A5872" s="4">
        <v>733157000000000</v>
      </c>
      <c r="B5872" t="s">
        <v>28</v>
      </c>
      <c r="C5872">
        <v>81</v>
      </c>
      <c r="D5872" t="s">
        <v>19</v>
      </c>
      <c r="E5872" t="s">
        <v>71</v>
      </c>
      <c r="F5872" s="1">
        <v>42520</v>
      </c>
      <c r="G5872" s="1">
        <v>42522</v>
      </c>
      <c r="H5872" t="s">
        <v>25</v>
      </c>
      <c r="I5872">
        <v>2</v>
      </c>
      <c r="J5872" t="s">
        <v>109</v>
      </c>
      <c r="K5872">
        <v>0</v>
      </c>
      <c r="L5872">
        <v>1</v>
      </c>
      <c r="M5872">
        <v>0</v>
      </c>
      <c r="N5872">
        <v>0</v>
      </c>
      <c r="O5872">
        <v>1</v>
      </c>
      <c r="P5872">
        <v>0</v>
      </c>
      <c r="Q5872" t="s">
        <v>26</v>
      </c>
      <c r="R5872">
        <v>1</v>
      </c>
    </row>
    <row r="5873" spans="1:18">
      <c r="A5873" s="4">
        <v>35594800000000</v>
      </c>
      <c r="B5873" t="s">
        <v>18</v>
      </c>
      <c r="C5873">
        <v>56</v>
      </c>
      <c r="D5873" t="s">
        <v>35</v>
      </c>
      <c r="E5873" t="s">
        <v>66</v>
      </c>
      <c r="F5873" s="1">
        <v>42520</v>
      </c>
      <c r="G5873" s="1">
        <v>42528</v>
      </c>
      <c r="H5873" t="s">
        <v>41</v>
      </c>
      <c r="I5873">
        <v>8</v>
      </c>
      <c r="J5873" t="s">
        <v>92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 t="s">
        <v>23</v>
      </c>
      <c r="R5873">
        <v>0</v>
      </c>
    </row>
    <row r="5874" spans="1:18">
      <c r="A5874" s="4">
        <v>853440000000000</v>
      </c>
      <c r="B5874" t="s">
        <v>18</v>
      </c>
      <c r="C5874">
        <v>37</v>
      </c>
      <c r="D5874" t="s">
        <v>27</v>
      </c>
      <c r="E5874" t="s">
        <v>43</v>
      </c>
      <c r="F5874" s="1">
        <v>42520</v>
      </c>
      <c r="G5874" s="1">
        <v>42520</v>
      </c>
      <c r="H5874" t="s">
        <v>30</v>
      </c>
      <c r="I5874">
        <v>0</v>
      </c>
      <c r="J5874" t="s">
        <v>111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 t="s">
        <v>23</v>
      </c>
      <c r="R5874">
        <v>0</v>
      </c>
    </row>
    <row r="5875" spans="1:18">
      <c r="A5875" s="4">
        <v>925583000000000</v>
      </c>
      <c r="B5875" t="s">
        <v>28</v>
      </c>
      <c r="C5875">
        <v>40</v>
      </c>
      <c r="D5875" t="s">
        <v>27</v>
      </c>
      <c r="E5875" t="s">
        <v>88</v>
      </c>
      <c r="F5875" s="1">
        <v>42520</v>
      </c>
      <c r="G5875" s="1">
        <v>42527</v>
      </c>
      <c r="H5875" t="s">
        <v>30</v>
      </c>
      <c r="I5875">
        <v>7</v>
      </c>
      <c r="J5875" t="s">
        <v>107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1</v>
      </c>
      <c r="Q5875" t="s">
        <v>23</v>
      </c>
      <c r="R5875">
        <v>0</v>
      </c>
    </row>
    <row r="5876" spans="1:18">
      <c r="A5876" s="4">
        <v>7751920000000</v>
      </c>
      <c r="B5876" t="s">
        <v>28</v>
      </c>
      <c r="C5876">
        <v>77</v>
      </c>
      <c r="D5876" t="s">
        <v>19</v>
      </c>
      <c r="E5876" t="s">
        <v>72</v>
      </c>
      <c r="F5876" s="1">
        <v>42520</v>
      </c>
      <c r="G5876" s="1">
        <v>42522</v>
      </c>
      <c r="H5876" t="s">
        <v>25</v>
      </c>
      <c r="I5876">
        <v>2</v>
      </c>
      <c r="J5876" t="s">
        <v>109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 t="s">
        <v>23</v>
      </c>
      <c r="R5876">
        <v>0</v>
      </c>
    </row>
    <row r="5877" spans="1:18">
      <c r="A5877" s="4">
        <v>273875000000</v>
      </c>
      <c r="B5877" t="s">
        <v>28</v>
      </c>
      <c r="C5877">
        <v>84</v>
      </c>
      <c r="D5877" t="s">
        <v>19</v>
      </c>
      <c r="E5877" t="s">
        <v>32</v>
      </c>
      <c r="F5877" s="1">
        <v>42520</v>
      </c>
      <c r="G5877" s="1">
        <v>42520</v>
      </c>
      <c r="H5877" t="s">
        <v>30</v>
      </c>
      <c r="I5877">
        <v>0</v>
      </c>
      <c r="J5877" t="s">
        <v>111</v>
      </c>
      <c r="K5877">
        <v>0</v>
      </c>
      <c r="L5877">
        <v>1</v>
      </c>
      <c r="M5877">
        <v>0</v>
      </c>
      <c r="N5877">
        <v>0</v>
      </c>
      <c r="O5877">
        <v>1</v>
      </c>
      <c r="P5877">
        <v>0</v>
      </c>
      <c r="Q5877" t="s">
        <v>23</v>
      </c>
      <c r="R5877">
        <v>0</v>
      </c>
    </row>
    <row r="5878" spans="1:18">
      <c r="A5878" s="4">
        <v>41864900000000</v>
      </c>
      <c r="B5878" t="s">
        <v>28</v>
      </c>
      <c r="C5878">
        <v>48</v>
      </c>
      <c r="D5878" t="s">
        <v>27</v>
      </c>
      <c r="E5878" t="s">
        <v>67</v>
      </c>
      <c r="F5878" s="1">
        <v>42520</v>
      </c>
      <c r="G5878" s="1">
        <v>42522</v>
      </c>
      <c r="H5878" t="s">
        <v>25</v>
      </c>
      <c r="I5878">
        <v>2</v>
      </c>
      <c r="J5878" t="s">
        <v>109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 t="s">
        <v>23</v>
      </c>
      <c r="R5878">
        <v>0</v>
      </c>
    </row>
    <row r="5879" spans="1:18">
      <c r="A5879" s="4">
        <v>4523790000000</v>
      </c>
      <c r="B5879" t="s">
        <v>18</v>
      </c>
      <c r="C5879">
        <v>39</v>
      </c>
      <c r="D5879" t="s">
        <v>27</v>
      </c>
      <c r="E5879" t="s">
        <v>72</v>
      </c>
      <c r="F5879" s="1">
        <v>42520</v>
      </c>
      <c r="G5879" s="1">
        <v>42520</v>
      </c>
      <c r="H5879" t="s">
        <v>30</v>
      </c>
      <c r="I5879">
        <v>0</v>
      </c>
      <c r="J5879" t="s">
        <v>111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 t="s">
        <v>23</v>
      </c>
      <c r="R5879">
        <v>0</v>
      </c>
    </row>
    <row r="5880" spans="1:18">
      <c r="A5880" s="4">
        <v>295675000000000</v>
      </c>
      <c r="B5880" t="s">
        <v>18</v>
      </c>
      <c r="C5880">
        <v>53</v>
      </c>
      <c r="D5880" t="s">
        <v>35</v>
      </c>
      <c r="E5880" t="s">
        <v>57</v>
      </c>
      <c r="F5880" s="1">
        <v>42520</v>
      </c>
      <c r="G5880" s="1">
        <v>42522</v>
      </c>
      <c r="H5880" t="s">
        <v>25</v>
      </c>
      <c r="I5880">
        <v>2</v>
      </c>
      <c r="J5880" t="s">
        <v>109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 t="s">
        <v>23</v>
      </c>
      <c r="R5880">
        <v>0</v>
      </c>
    </row>
    <row r="5881" spans="1:18">
      <c r="A5881" s="4">
        <v>5237440000000</v>
      </c>
      <c r="B5881" t="s">
        <v>18</v>
      </c>
      <c r="C5881">
        <v>37</v>
      </c>
      <c r="D5881" t="s">
        <v>27</v>
      </c>
      <c r="E5881" t="s">
        <v>96</v>
      </c>
      <c r="F5881" s="1">
        <v>42520</v>
      </c>
      <c r="G5881" s="1">
        <v>42520</v>
      </c>
      <c r="H5881" t="s">
        <v>30</v>
      </c>
      <c r="I5881">
        <v>0</v>
      </c>
      <c r="J5881" t="s">
        <v>111</v>
      </c>
      <c r="K5881">
        <v>1</v>
      </c>
      <c r="L5881">
        <v>0</v>
      </c>
      <c r="M5881">
        <v>0</v>
      </c>
      <c r="N5881">
        <v>0</v>
      </c>
      <c r="O5881">
        <v>0</v>
      </c>
      <c r="P5881">
        <v>0</v>
      </c>
      <c r="Q5881" t="s">
        <v>23</v>
      </c>
      <c r="R5881">
        <v>0</v>
      </c>
    </row>
    <row r="5882" spans="1:18">
      <c r="A5882" s="4">
        <v>865288000000000</v>
      </c>
      <c r="B5882" t="s">
        <v>28</v>
      </c>
      <c r="C5882">
        <v>6</v>
      </c>
      <c r="D5882" t="s">
        <v>31</v>
      </c>
      <c r="E5882" t="s">
        <v>67</v>
      </c>
      <c r="F5882" s="1">
        <v>42520</v>
      </c>
      <c r="G5882" s="1">
        <v>42520</v>
      </c>
      <c r="H5882" t="s">
        <v>30</v>
      </c>
      <c r="I5882">
        <v>0</v>
      </c>
      <c r="J5882" t="s">
        <v>111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 t="s">
        <v>23</v>
      </c>
      <c r="R5882">
        <v>0</v>
      </c>
    </row>
    <row r="5883" spans="1:18">
      <c r="A5883" s="4">
        <v>171992000000</v>
      </c>
      <c r="B5883" t="s">
        <v>18</v>
      </c>
      <c r="C5883">
        <v>32</v>
      </c>
      <c r="D5883" t="s">
        <v>37</v>
      </c>
      <c r="E5883" t="s">
        <v>32</v>
      </c>
      <c r="F5883" s="1">
        <v>42520</v>
      </c>
      <c r="G5883" s="1">
        <v>42522</v>
      </c>
      <c r="H5883" t="s">
        <v>25</v>
      </c>
      <c r="I5883">
        <v>2</v>
      </c>
      <c r="J5883" t="s">
        <v>109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26</v>
      </c>
      <c r="R5883">
        <v>1</v>
      </c>
    </row>
    <row r="5884" spans="1:18">
      <c r="A5884" s="4">
        <v>24819500000000</v>
      </c>
      <c r="B5884" t="s">
        <v>18</v>
      </c>
      <c r="C5884">
        <v>4</v>
      </c>
      <c r="D5884" t="s">
        <v>31</v>
      </c>
      <c r="E5884" t="s">
        <v>113</v>
      </c>
      <c r="F5884" s="1">
        <v>42520</v>
      </c>
      <c r="G5884" s="1">
        <v>42521</v>
      </c>
      <c r="H5884" t="s">
        <v>41</v>
      </c>
      <c r="I5884">
        <v>1</v>
      </c>
      <c r="J5884" t="s">
        <v>109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 t="s">
        <v>23</v>
      </c>
      <c r="R5884">
        <v>0</v>
      </c>
    </row>
    <row r="5885" spans="1:18">
      <c r="A5885" s="4">
        <v>5386850000000</v>
      </c>
      <c r="B5885" t="s">
        <v>18</v>
      </c>
      <c r="C5885">
        <v>82</v>
      </c>
      <c r="D5885" t="s">
        <v>19</v>
      </c>
      <c r="E5885" t="s">
        <v>47</v>
      </c>
      <c r="F5885" s="1">
        <v>42520</v>
      </c>
      <c r="G5885" s="1">
        <v>42524</v>
      </c>
      <c r="H5885" t="s">
        <v>21</v>
      </c>
      <c r="I5885">
        <v>4</v>
      </c>
      <c r="J5885" t="s">
        <v>107</v>
      </c>
      <c r="K5885">
        <v>0</v>
      </c>
      <c r="L5885">
        <v>1</v>
      </c>
      <c r="M5885">
        <v>0</v>
      </c>
      <c r="N5885">
        <v>0</v>
      </c>
      <c r="O5885">
        <v>0</v>
      </c>
      <c r="P5885">
        <v>0</v>
      </c>
      <c r="Q5885" t="s">
        <v>26</v>
      </c>
      <c r="R5885">
        <v>1</v>
      </c>
    </row>
    <row r="5886" spans="1:18">
      <c r="A5886" s="4">
        <v>311846000000000</v>
      </c>
      <c r="B5886" t="s">
        <v>18</v>
      </c>
      <c r="C5886">
        <v>32</v>
      </c>
      <c r="D5886" t="s">
        <v>37</v>
      </c>
      <c r="E5886" t="s">
        <v>34</v>
      </c>
      <c r="F5886" s="1">
        <v>42520</v>
      </c>
      <c r="G5886" s="1">
        <v>42520</v>
      </c>
      <c r="H5886" t="s">
        <v>30</v>
      </c>
      <c r="I5886">
        <v>0</v>
      </c>
      <c r="J5886" t="s">
        <v>111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 t="s">
        <v>23</v>
      </c>
      <c r="R5886">
        <v>0</v>
      </c>
    </row>
    <row r="5887" spans="1:18">
      <c r="A5887" s="4">
        <v>27492000000000</v>
      </c>
      <c r="B5887" t="s">
        <v>28</v>
      </c>
      <c r="C5887">
        <v>1</v>
      </c>
      <c r="D5887" t="s">
        <v>31</v>
      </c>
      <c r="E5887" t="s">
        <v>96</v>
      </c>
      <c r="F5887" s="1">
        <v>42520</v>
      </c>
      <c r="G5887" s="1">
        <v>42520</v>
      </c>
      <c r="H5887" t="s">
        <v>30</v>
      </c>
      <c r="I5887">
        <v>0</v>
      </c>
      <c r="J5887" t="s">
        <v>111</v>
      </c>
      <c r="K5887">
        <v>1</v>
      </c>
      <c r="L5887">
        <v>0</v>
      </c>
      <c r="M5887">
        <v>0</v>
      </c>
      <c r="N5887">
        <v>0</v>
      </c>
      <c r="O5887">
        <v>0</v>
      </c>
      <c r="P5887">
        <v>0</v>
      </c>
      <c r="Q5887" t="s">
        <v>23</v>
      </c>
      <c r="R5887">
        <v>0</v>
      </c>
    </row>
    <row r="5888" spans="1:18">
      <c r="A5888" s="4">
        <v>61675800000000</v>
      </c>
      <c r="B5888" t="s">
        <v>18</v>
      </c>
      <c r="C5888">
        <v>22</v>
      </c>
      <c r="D5888" t="s">
        <v>37</v>
      </c>
      <c r="E5888" t="s">
        <v>86</v>
      </c>
      <c r="F5888" s="1">
        <v>42520</v>
      </c>
      <c r="G5888" s="1">
        <v>42520</v>
      </c>
      <c r="H5888" t="s">
        <v>30</v>
      </c>
      <c r="I5888">
        <v>0</v>
      </c>
      <c r="J5888" t="s">
        <v>111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 t="s">
        <v>23</v>
      </c>
      <c r="R5888">
        <v>0</v>
      </c>
    </row>
    <row r="5889" spans="1:18">
      <c r="A5889" s="4">
        <v>73514300000000</v>
      </c>
      <c r="B5889" t="s">
        <v>18</v>
      </c>
      <c r="C5889">
        <v>7</v>
      </c>
      <c r="D5889" t="s">
        <v>31</v>
      </c>
      <c r="E5889" t="s">
        <v>106</v>
      </c>
      <c r="F5889" s="1">
        <v>42520</v>
      </c>
      <c r="G5889" s="1">
        <v>42522</v>
      </c>
      <c r="H5889" t="s">
        <v>25</v>
      </c>
      <c r="I5889">
        <v>2</v>
      </c>
      <c r="J5889" t="s">
        <v>109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 t="s">
        <v>26</v>
      </c>
      <c r="R5889">
        <v>1</v>
      </c>
    </row>
    <row r="5890" spans="1:18">
      <c r="A5890" s="4">
        <v>336354000000</v>
      </c>
      <c r="B5890" t="s">
        <v>18</v>
      </c>
      <c r="C5890">
        <v>52</v>
      </c>
      <c r="D5890" t="s">
        <v>35</v>
      </c>
      <c r="E5890" t="s">
        <v>72</v>
      </c>
      <c r="F5890" s="1">
        <v>42520</v>
      </c>
      <c r="G5890" s="1">
        <v>42520</v>
      </c>
      <c r="H5890" t="s">
        <v>30</v>
      </c>
      <c r="I5890">
        <v>0</v>
      </c>
      <c r="J5890" t="s">
        <v>111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 t="s">
        <v>23</v>
      </c>
      <c r="R5890">
        <v>0</v>
      </c>
    </row>
    <row r="5891" spans="1:18">
      <c r="A5891" s="4">
        <v>99268688345</v>
      </c>
      <c r="B5891" t="s">
        <v>18</v>
      </c>
      <c r="C5891">
        <v>55</v>
      </c>
      <c r="D5891" t="s">
        <v>35</v>
      </c>
      <c r="E5891" t="s">
        <v>58</v>
      </c>
      <c r="F5891" s="1">
        <v>42520</v>
      </c>
      <c r="G5891" s="1">
        <v>42522</v>
      </c>
      <c r="H5891" t="s">
        <v>25</v>
      </c>
      <c r="I5891">
        <v>2</v>
      </c>
      <c r="J5891" t="s">
        <v>109</v>
      </c>
      <c r="K5891">
        <v>0</v>
      </c>
      <c r="L5891">
        <v>1</v>
      </c>
      <c r="M5891">
        <v>0</v>
      </c>
      <c r="N5891">
        <v>0</v>
      </c>
      <c r="O5891">
        <v>0</v>
      </c>
      <c r="P5891">
        <v>0</v>
      </c>
      <c r="Q5891" t="s">
        <v>23</v>
      </c>
      <c r="R5891">
        <v>0</v>
      </c>
    </row>
    <row r="5892" spans="1:18">
      <c r="A5892" s="4">
        <v>9955900000000</v>
      </c>
      <c r="B5892" t="s">
        <v>18</v>
      </c>
      <c r="C5892">
        <v>43</v>
      </c>
      <c r="D5892" t="s">
        <v>27</v>
      </c>
      <c r="E5892" t="s">
        <v>71</v>
      </c>
      <c r="F5892" s="1">
        <v>42520</v>
      </c>
      <c r="G5892" s="1">
        <v>42520</v>
      </c>
      <c r="H5892" t="s">
        <v>30</v>
      </c>
      <c r="I5892">
        <v>0</v>
      </c>
      <c r="J5892" t="s">
        <v>111</v>
      </c>
      <c r="K5892">
        <v>1</v>
      </c>
      <c r="L5892">
        <v>1</v>
      </c>
      <c r="M5892">
        <v>0</v>
      </c>
      <c r="N5892">
        <v>0</v>
      </c>
      <c r="O5892">
        <v>0</v>
      </c>
      <c r="P5892">
        <v>0</v>
      </c>
      <c r="Q5892" t="s">
        <v>23</v>
      </c>
      <c r="R5892">
        <v>0</v>
      </c>
    </row>
    <row r="5893" spans="1:18">
      <c r="A5893" s="4">
        <v>9716120000000</v>
      </c>
      <c r="B5893" t="s">
        <v>18</v>
      </c>
      <c r="C5893">
        <v>31</v>
      </c>
      <c r="D5893" t="s">
        <v>37</v>
      </c>
      <c r="E5893" t="s">
        <v>96</v>
      </c>
      <c r="F5893" s="1">
        <v>42520</v>
      </c>
      <c r="G5893" s="1">
        <v>42520</v>
      </c>
      <c r="H5893" t="s">
        <v>30</v>
      </c>
      <c r="I5893">
        <v>0</v>
      </c>
      <c r="J5893" t="s">
        <v>111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 t="s">
        <v>23</v>
      </c>
      <c r="R5893">
        <v>0</v>
      </c>
    </row>
    <row r="5894" spans="1:18">
      <c r="A5894" s="4">
        <v>98455000000000</v>
      </c>
      <c r="B5894" t="s">
        <v>18</v>
      </c>
      <c r="C5894">
        <v>0</v>
      </c>
      <c r="D5894" t="s">
        <v>31</v>
      </c>
      <c r="E5894" t="s">
        <v>96</v>
      </c>
      <c r="F5894" s="1">
        <v>42520</v>
      </c>
      <c r="G5894" s="1">
        <v>42520</v>
      </c>
      <c r="H5894" t="s">
        <v>30</v>
      </c>
      <c r="I5894">
        <v>0</v>
      </c>
      <c r="J5894" t="s">
        <v>111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 t="s">
        <v>23</v>
      </c>
      <c r="R5894">
        <v>0</v>
      </c>
    </row>
    <row r="5895" spans="1:18">
      <c r="A5895" s="4">
        <v>9157970000000</v>
      </c>
      <c r="B5895" t="s">
        <v>18</v>
      </c>
      <c r="C5895">
        <v>13</v>
      </c>
      <c r="D5895" t="s">
        <v>60</v>
      </c>
      <c r="E5895" t="s">
        <v>64</v>
      </c>
      <c r="F5895" s="1">
        <v>42520</v>
      </c>
      <c r="G5895" s="1">
        <v>42520</v>
      </c>
      <c r="H5895" t="s">
        <v>30</v>
      </c>
      <c r="I5895">
        <v>0</v>
      </c>
      <c r="J5895" t="s">
        <v>111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 t="s">
        <v>23</v>
      </c>
      <c r="R5895">
        <v>0</v>
      </c>
    </row>
    <row r="5896" spans="1:18">
      <c r="A5896" s="4">
        <v>119563000000000</v>
      </c>
      <c r="B5896" t="s">
        <v>28</v>
      </c>
      <c r="C5896">
        <v>5</v>
      </c>
      <c r="D5896" t="s">
        <v>31</v>
      </c>
      <c r="E5896" t="s">
        <v>71</v>
      </c>
      <c r="F5896" s="1">
        <v>42520</v>
      </c>
      <c r="G5896" s="1">
        <v>42520</v>
      </c>
      <c r="H5896" t="s">
        <v>30</v>
      </c>
      <c r="I5896">
        <v>0</v>
      </c>
      <c r="J5896" t="s">
        <v>111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 t="s">
        <v>23</v>
      </c>
      <c r="R5896">
        <v>0</v>
      </c>
    </row>
    <row r="5897" spans="1:18">
      <c r="A5897" s="4">
        <v>82244700000000</v>
      </c>
      <c r="B5897" t="s">
        <v>28</v>
      </c>
      <c r="C5897">
        <v>1</v>
      </c>
      <c r="D5897" t="s">
        <v>31</v>
      </c>
      <c r="E5897" t="s">
        <v>96</v>
      </c>
      <c r="F5897" s="1">
        <v>42520</v>
      </c>
      <c r="G5897" s="1">
        <v>42520</v>
      </c>
      <c r="H5897" t="s">
        <v>30</v>
      </c>
      <c r="I5897">
        <v>0</v>
      </c>
      <c r="J5897" t="s">
        <v>111</v>
      </c>
      <c r="K5897">
        <v>1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23</v>
      </c>
      <c r="R5897">
        <v>0</v>
      </c>
    </row>
    <row r="5898" spans="1:18">
      <c r="A5898" s="4">
        <v>835654000000000</v>
      </c>
      <c r="B5898" t="s">
        <v>28</v>
      </c>
      <c r="C5898">
        <v>6</v>
      </c>
      <c r="D5898" t="s">
        <v>31</v>
      </c>
      <c r="E5898" t="s">
        <v>57</v>
      </c>
      <c r="F5898" s="1">
        <v>42520</v>
      </c>
      <c r="G5898" s="1">
        <v>42520</v>
      </c>
      <c r="H5898" t="s">
        <v>30</v>
      </c>
      <c r="I5898">
        <v>0</v>
      </c>
      <c r="J5898" t="s">
        <v>111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23</v>
      </c>
      <c r="R5898">
        <v>0</v>
      </c>
    </row>
    <row r="5899" spans="1:18">
      <c r="A5899" s="4">
        <v>35782900000000</v>
      </c>
      <c r="B5899" t="s">
        <v>28</v>
      </c>
      <c r="C5899">
        <v>11</v>
      </c>
      <c r="D5899" t="s">
        <v>31</v>
      </c>
      <c r="E5899" t="s">
        <v>64</v>
      </c>
      <c r="F5899" s="1">
        <v>42520</v>
      </c>
      <c r="G5899" s="1">
        <v>42520</v>
      </c>
      <c r="H5899" t="s">
        <v>30</v>
      </c>
      <c r="I5899">
        <v>0</v>
      </c>
      <c r="J5899" t="s">
        <v>111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23</v>
      </c>
      <c r="R5899">
        <v>0</v>
      </c>
    </row>
    <row r="5900" spans="1:18">
      <c r="A5900" s="4">
        <v>1313870000000</v>
      </c>
      <c r="B5900" t="s">
        <v>28</v>
      </c>
      <c r="C5900">
        <v>52</v>
      </c>
      <c r="D5900" t="s">
        <v>35</v>
      </c>
      <c r="E5900" t="s">
        <v>56</v>
      </c>
      <c r="F5900" s="1">
        <v>42520</v>
      </c>
      <c r="G5900" s="1">
        <v>42521</v>
      </c>
      <c r="H5900" t="s">
        <v>41</v>
      </c>
      <c r="I5900">
        <v>1</v>
      </c>
      <c r="J5900" t="s">
        <v>109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 t="s">
        <v>26</v>
      </c>
      <c r="R5900">
        <v>1</v>
      </c>
    </row>
    <row r="5901" spans="1:18">
      <c r="A5901" s="4">
        <v>9223780000000</v>
      </c>
      <c r="B5901" t="s">
        <v>18</v>
      </c>
      <c r="C5901">
        <v>30</v>
      </c>
      <c r="D5901" t="s">
        <v>37</v>
      </c>
      <c r="E5901" t="s">
        <v>72</v>
      </c>
      <c r="F5901" s="1">
        <v>42520</v>
      </c>
      <c r="G5901" s="1">
        <v>42520</v>
      </c>
      <c r="H5901" t="s">
        <v>30</v>
      </c>
      <c r="I5901">
        <v>0</v>
      </c>
      <c r="J5901" t="s">
        <v>111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 t="s">
        <v>23</v>
      </c>
      <c r="R5901">
        <v>0</v>
      </c>
    </row>
    <row r="5902" spans="1:18">
      <c r="A5902" s="4">
        <v>83493300000000</v>
      </c>
      <c r="B5902" t="s">
        <v>28</v>
      </c>
      <c r="C5902">
        <v>11</v>
      </c>
      <c r="D5902" t="s">
        <v>31</v>
      </c>
      <c r="E5902" t="s">
        <v>50</v>
      </c>
      <c r="F5902" s="1">
        <v>42520</v>
      </c>
      <c r="G5902" s="1">
        <v>42527</v>
      </c>
      <c r="H5902" t="s">
        <v>30</v>
      </c>
      <c r="I5902">
        <v>7</v>
      </c>
      <c r="J5902" t="s">
        <v>107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1</v>
      </c>
      <c r="Q5902" t="s">
        <v>26</v>
      </c>
      <c r="R5902">
        <v>1</v>
      </c>
    </row>
    <row r="5903" spans="1:18">
      <c r="A5903" s="4">
        <v>7151940000000</v>
      </c>
      <c r="B5903" t="s">
        <v>28</v>
      </c>
      <c r="C5903">
        <v>9</v>
      </c>
      <c r="D5903" t="s">
        <v>31</v>
      </c>
      <c r="E5903" t="s">
        <v>47</v>
      </c>
      <c r="F5903" s="1">
        <v>42520</v>
      </c>
      <c r="G5903" s="1">
        <v>42523</v>
      </c>
      <c r="H5903" t="s">
        <v>33</v>
      </c>
      <c r="I5903">
        <v>3</v>
      </c>
      <c r="J5903" t="s">
        <v>109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1</v>
      </c>
      <c r="Q5903" t="s">
        <v>23</v>
      </c>
      <c r="R5903">
        <v>0</v>
      </c>
    </row>
    <row r="5904" spans="1:18">
      <c r="A5904" s="4">
        <v>51888900000000</v>
      </c>
      <c r="B5904" t="s">
        <v>18</v>
      </c>
      <c r="C5904">
        <v>22</v>
      </c>
      <c r="D5904" t="s">
        <v>37</v>
      </c>
      <c r="E5904" t="s">
        <v>72</v>
      </c>
      <c r="F5904" s="1">
        <v>42520</v>
      </c>
      <c r="G5904" s="1">
        <v>42520</v>
      </c>
      <c r="H5904" t="s">
        <v>30</v>
      </c>
      <c r="I5904">
        <v>0</v>
      </c>
      <c r="J5904" t="s">
        <v>111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 t="s">
        <v>23</v>
      </c>
      <c r="R5904">
        <v>0</v>
      </c>
    </row>
    <row r="5905" spans="1:18">
      <c r="A5905" s="4">
        <v>77521400000000</v>
      </c>
      <c r="B5905" t="s">
        <v>28</v>
      </c>
      <c r="C5905">
        <v>25</v>
      </c>
      <c r="D5905" t="s">
        <v>37</v>
      </c>
      <c r="E5905" t="s">
        <v>50</v>
      </c>
      <c r="F5905" s="1">
        <v>42520</v>
      </c>
      <c r="G5905" s="1">
        <v>42522</v>
      </c>
      <c r="H5905" t="s">
        <v>25</v>
      </c>
      <c r="I5905">
        <v>2</v>
      </c>
      <c r="J5905" t="s">
        <v>109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 t="s">
        <v>23</v>
      </c>
      <c r="R5905">
        <v>0</v>
      </c>
    </row>
    <row r="5906" spans="1:18">
      <c r="A5906" s="4">
        <v>263181000000000</v>
      </c>
      <c r="B5906" t="s">
        <v>28</v>
      </c>
      <c r="C5906">
        <v>12</v>
      </c>
      <c r="D5906" t="s">
        <v>31</v>
      </c>
      <c r="E5906" t="s">
        <v>66</v>
      </c>
      <c r="F5906" s="1">
        <v>42520</v>
      </c>
      <c r="G5906" s="1">
        <v>42520</v>
      </c>
      <c r="H5906" t="s">
        <v>30</v>
      </c>
      <c r="I5906">
        <v>0</v>
      </c>
      <c r="J5906" t="s">
        <v>111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 t="s">
        <v>23</v>
      </c>
      <c r="R5906">
        <v>0</v>
      </c>
    </row>
    <row r="5907" spans="1:18">
      <c r="A5907" s="4">
        <v>579448000000</v>
      </c>
      <c r="B5907" t="s">
        <v>18</v>
      </c>
      <c r="C5907">
        <v>54</v>
      </c>
      <c r="D5907" t="s">
        <v>35</v>
      </c>
      <c r="E5907" t="s">
        <v>72</v>
      </c>
      <c r="F5907" s="1">
        <v>42520</v>
      </c>
      <c r="G5907" s="1">
        <v>42524</v>
      </c>
      <c r="H5907" t="s">
        <v>21</v>
      </c>
      <c r="I5907">
        <v>4</v>
      </c>
      <c r="J5907" t="s">
        <v>107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1</v>
      </c>
      <c r="Q5907" t="s">
        <v>23</v>
      </c>
      <c r="R5907">
        <v>0</v>
      </c>
    </row>
    <row r="5908" spans="1:18">
      <c r="A5908" s="4">
        <v>581641000000</v>
      </c>
      <c r="B5908" t="s">
        <v>28</v>
      </c>
      <c r="C5908">
        <v>0</v>
      </c>
      <c r="D5908" t="s">
        <v>31</v>
      </c>
      <c r="E5908" t="s">
        <v>32</v>
      </c>
      <c r="F5908" s="1">
        <v>42520</v>
      </c>
      <c r="G5908" s="1">
        <v>42520</v>
      </c>
      <c r="H5908" t="s">
        <v>30</v>
      </c>
      <c r="I5908">
        <v>0</v>
      </c>
      <c r="J5908" t="s">
        <v>111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 t="s">
        <v>23</v>
      </c>
      <c r="R5908">
        <v>0</v>
      </c>
    </row>
    <row r="5909" spans="1:18">
      <c r="A5909" s="4">
        <v>8669810000000</v>
      </c>
      <c r="B5909" t="s">
        <v>18</v>
      </c>
      <c r="C5909">
        <v>49</v>
      </c>
      <c r="D5909" t="s">
        <v>27</v>
      </c>
      <c r="E5909" t="s">
        <v>57</v>
      </c>
      <c r="F5909" s="1">
        <v>42520</v>
      </c>
      <c r="G5909" s="1">
        <v>42522</v>
      </c>
      <c r="H5909" t="s">
        <v>25</v>
      </c>
      <c r="I5909">
        <v>2</v>
      </c>
      <c r="J5909" t="s">
        <v>109</v>
      </c>
      <c r="K5909">
        <v>0</v>
      </c>
      <c r="L5909">
        <v>1</v>
      </c>
      <c r="M5909">
        <v>1</v>
      </c>
      <c r="N5909">
        <v>0</v>
      </c>
      <c r="O5909">
        <v>0</v>
      </c>
      <c r="P5909">
        <v>0</v>
      </c>
      <c r="Q5909" t="s">
        <v>23</v>
      </c>
      <c r="R5909">
        <v>0</v>
      </c>
    </row>
    <row r="5910" spans="1:18">
      <c r="A5910" s="4">
        <v>292179000000000</v>
      </c>
      <c r="B5910" t="s">
        <v>18</v>
      </c>
      <c r="C5910">
        <v>45</v>
      </c>
      <c r="D5910" t="s">
        <v>27</v>
      </c>
      <c r="E5910" t="s">
        <v>68</v>
      </c>
      <c r="F5910" s="1">
        <v>42520</v>
      </c>
      <c r="G5910" s="1">
        <v>42520</v>
      </c>
      <c r="H5910" t="s">
        <v>30</v>
      </c>
      <c r="I5910">
        <v>0</v>
      </c>
      <c r="J5910" t="s">
        <v>111</v>
      </c>
      <c r="K5910">
        <v>0</v>
      </c>
      <c r="L5910">
        <v>0</v>
      </c>
      <c r="M5910">
        <v>0</v>
      </c>
      <c r="N5910">
        <v>1</v>
      </c>
      <c r="O5910">
        <v>0</v>
      </c>
      <c r="P5910">
        <v>0</v>
      </c>
      <c r="Q5910" t="s">
        <v>23</v>
      </c>
      <c r="R5910">
        <v>0</v>
      </c>
    </row>
    <row r="5911" spans="1:18">
      <c r="A5911" s="4">
        <v>154360000000000</v>
      </c>
      <c r="B5911" t="s">
        <v>18</v>
      </c>
      <c r="C5911">
        <v>28</v>
      </c>
      <c r="D5911" t="s">
        <v>37</v>
      </c>
      <c r="E5911" t="s">
        <v>59</v>
      </c>
      <c r="F5911" s="1">
        <v>42520</v>
      </c>
      <c r="G5911" s="1">
        <v>42524</v>
      </c>
      <c r="H5911" t="s">
        <v>21</v>
      </c>
      <c r="I5911">
        <v>4</v>
      </c>
      <c r="J5911" t="s">
        <v>107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1</v>
      </c>
      <c r="Q5911" t="s">
        <v>23</v>
      </c>
      <c r="R5911">
        <v>0</v>
      </c>
    </row>
    <row r="5912" spans="1:18">
      <c r="A5912" s="4">
        <v>13992400000000</v>
      </c>
      <c r="B5912" t="s">
        <v>28</v>
      </c>
      <c r="C5912">
        <v>8</v>
      </c>
      <c r="D5912" t="s">
        <v>31</v>
      </c>
      <c r="E5912" t="s">
        <v>50</v>
      </c>
      <c r="F5912" s="1">
        <v>42520</v>
      </c>
      <c r="G5912" s="1">
        <v>42527</v>
      </c>
      <c r="H5912" t="s">
        <v>30</v>
      </c>
      <c r="I5912">
        <v>7</v>
      </c>
      <c r="J5912" t="s">
        <v>107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1</v>
      </c>
      <c r="Q5912" t="s">
        <v>26</v>
      </c>
      <c r="R5912">
        <v>1</v>
      </c>
    </row>
    <row r="5913" spans="1:18">
      <c r="A5913" s="4">
        <v>842669000000000</v>
      </c>
      <c r="B5913" t="s">
        <v>28</v>
      </c>
      <c r="C5913">
        <v>34</v>
      </c>
      <c r="D5913" t="s">
        <v>37</v>
      </c>
      <c r="E5913" t="s">
        <v>40</v>
      </c>
      <c r="F5913" s="1">
        <v>42520</v>
      </c>
      <c r="G5913" s="1">
        <v>42524</v>
      </c>
      <c r="H5913" t="s">
        <v>21</v>
      </c>
      <c r="I5913">
        <v>4</v>
      </c>
      <c r="J5913" t="s">
        <v>107</v>
      </c>
      <c r="K5913">
        <v>0</v>
      </c>
      <c r="L5913">
        <v>1</v>
      </c>
      <c r="M5913">
        <v>0</v>
      </c>
      <c r="N5913">
        <v>0</v>
      </c>
      <c r="O5913">
        <v>0</v>
      </c>
      <c r="P5913">
        <v>1</v>
      </c>
      <c r="Q5913" t="s">
        <v>23</v>
      </c>
      <c r="R5913">
        <v>0</v>
      </c>
    </row>
    <row r="5914" spans="1:18">
      <c r="A5914" s="4">
        <v>426859000000000</v>
      </c>
      <c r="B5914" t="s">
        <v>18</v>
      </c>
      <c r="C5914">
        <v>40</v>
      </c>
      <c r="D5914" t="s">
        <v>27</v>
      </c>
      <c r="E5914" t="s">
        <v>61</v>
      </c>
      <c r="F5914" s="1">
        <v>42520</v>
      </c>
      <c r="G5914" s="1">
        <v>42523</v>
      </c>
      <c r="H5914" t="s">
        <v>33</v>
      </c>
      <c r="I5914">
        <v>3</v>
      </c>
      <c r="J5914" t="s">
        <v>109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1</v>
      </c>
      <c r="Q5914" t="s">
        <v>26</v>
      </c>
      <c r="R5914">
        <v>1</v>
      </c>
    </row>
    <row r="5915" spans="1:18">
      <c r="A5915" s="4">
        <v>6834450000000</v>
      </c>
      <c r="B5915" t="s">
        <v>18</v>
      </c>
      <c r="C5915">
        <v>56</v>
      </c>
      <c r="D5915" t="s">
        <v>35</v>
      </c>
      <c r="E5915" t="s">
        <v>59</v>
      </c>
      <c r="F5915" s="1">
        <v>42520</v>
      </c>
      <c r="G5915" s="1">
        <v>42522</v>
      </c>
      <c r="H5915" t="s">
        <v>25</v>
      </c>
      <c r="I5915">
        <v>2</v>
      </c>
      <c r="J5915" t="s">
        <v>109</v>
      </c>
      <c r="K5915">
        <v>1</v>
      </c>
      <c r="L5915">
        <v>1</v>
      </c>
      <c r="M5915">
        <v>0</v>
      </c>
      <c r="N5915">
        <v>0</v>
      </c>
      <c r="O5915">
        <v>0</v>
      </c>
      <c r="P5915">
        <v>0</v>
      </c>
      <c r="Q5915" t="s">
        <v>23</v>
      </c>
      <c r="R5915">
        <v>0</v>
      </c>
    </row>
    <row r="5916" spans="1:18">
      <c r="A5916" s="4">
        <v>2589660000000</v>
      </c>
      <c r="B5916" t="s">
        <v>28</v>
      </c>
      <c r="C5916">
        <v>8</v>
      </c>
      <c r="D5916" t="s">
        <v>31</v>
      </c>
      <c r="E5916" t="s">
        <v>50</v>
      </c>
      <c r="F5916" s="1">
        <v>42520</v>
      </c>
      <c r="G5916" s="1">
        <v>42522</v>
      </c>
      <c r="H5916" t="s">
        <v>25</v>
      </c>
      <c r="I5916">
        <v>2</v>
      </c>
      <c r="J5916" t="s">
        <v>109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 t="s">
        <v>23</v>
      </c>
      <c r="R5916">
        <v>0</v>
      </c>
    </row>
    <row r="5917" spans="1:18">
      <c r="A5917" s="4">
        <v>23872623346</v>
      </c>
      <c r="B5917" t="s">
        <v>18</v>
      </c>
      <c r="C5917">
        <v>57</v>
      </c>
      <c r="D5917" t="s">
        <v>35</v>
      </c>
      <c r="E5917" t="s">
        <v>55</v>
      </c>
      <c r="F5917" s="1">
        <v>42520</v>
      </c>
      <c r="G5917" s="1">
        <v>42520</v>
      </c>
      <c r="H5917" t="s">
        <v>30</v>
      </c>
      <c r="I5917">
        <v>0</v>
      </c>
      <c r="J5917" t="s">
        <v>111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 t="s">
        <v>23</v>
      </c>
      <c r="R5917">
        <v>0</v>
      </c>
    </row>
    <row r="5918" spans="1:18">
      <c r="A5918" s="4">
        <v>987239000000</v>
      </c>
      <c r="B5918" t="s">
        <v>18</v>
      </c>
      <c r="C5918">
        <v>21</v>
      </c>
      <c r="D5918" t="s">
        <v>37</v>
      </c>
      <c r="E5918" t="s">
        <v>59</v>
      </c>
      <c r="F5918" s="1">
        <v>42520</v>
      </c>
      <c r="G5918" s="1">
        <v>42522</v>
      </c>
      <c r="H5918" t="s">
        <v>25</v>
      </c>
      <c r="I5918">
        <v>2</v>
      </c>
      <c r="J5918" t="s">
        <v>109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 t="s">
        <v>26</v>
      </c>
      <c r="R5918">
        <v>1</v>
      </c>
    </row>
    <row r="5919" spans="1:18">
      <c r="A5919" s="4">
        <v>4534620000000</v>
      </c>
      <c r="B5919" t="s">
        <v>28</v>
      </c>
      <c r="C5919">
        <v>8</v>
      </c>
      <c r="D5919" t="s">
        <v>31</v>
      </c>
      <c r="E5919" t="s">
        <v>75</v>
      </c>
      <c r="F5919" s="1">
        <v>42520</v>
      </c>
      <c r="G5919" s="1">
        <v>42524</v>
      </c>
      <c r="H5919" t="s">
        <v>21</v>
      </c>
      <c r="I5919">
        <v>4</v>
      </c>
      <c r="J5919" t="s">
        <v>107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 t="s">
        <v>26</v>
      </c>
      <c r="R5919">
        <v>1</v>
      </c>
    </row>
    <row r="5920" spans="1:18">
      <c r="A5920" s="4">
        <v>195772000000</v>
      </c>
      <c r="B5920" t="s">
        <v>18</v>
      </c>
      <c r="C5920">
        <v>36</v>
      </c>
      <c r="D5920" t="s">
        <v>27</v>
      </c>
      <c r="E5920" t="s">
        <v>72</v>
      </c>
      <c r="F5920" s="1">
        <v>42520</v>
      </c>
      <c r="G5920" s="1">
        <v>42522</v>
      </c>
      <c r="H5920" t="s">
        <v>25</v>
      </c>
      <c r="I5920">
        <v>2</v>
      </c>
      <c r="J5920" t="s">
        <v>109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 t="s">
        <v>23</v>
      </c>
      <c r="R5920">
        <v>0</v>
      </c>
    </row>
    <row r="5921" spans="1:18">
      <c r="A5921" s="4">
        <v>991490000000000</v>
      </c>
      <c r="B5921" t="s">
        <v>18</v>
      </c>
      <c r="C5921">
        <v>0</v>
      </c>
      <c r="D5921" t="s">
        <v>31</v>
      </c>
      <c r="E5921" t="s">
        <v>39</v>
      </c>
      <c r="F5921" s="1">
        <v>42520</v>
      </c>
      <c r="G5921" s="1">
        <v>42520</v>
      </c>
      <c r="H5921" t="s">
        <v>30</v>
      </c>
      <c r="I5921">
        <v>0</v>
      </c>
      <c r="J5921" t="s">
        <v>111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 t="s">
        <v>23</v>
      </c>
      <c r="R5921">
        <v>0</v>
      </c>
    </row>
    <row r="5922" spans="1:18">
      <c r="A5922" s="4">
        <v>7861820000000</v>
      </c>
      <c r="B5922" t="s">
        <v>18</v>
      </c>
      <c r="C5922">
        <v>19</v>
      </c>
      <c r="D5922" t="s">
        <v>37</v>
      </c>
      <c r="E5922" t="s">
        <v>29</v>
      </c>
      <c r="F5922" s="1">
        <v>42520</v>
      </c>
      <c r="G5922" s="1">
        <v>42520</v>
      </c>
      <c r="H5922" t="s">
        <v>30</v>
      </c>
      <c r="I5922">
        <v>0</v>
      </c>
      <c r="J5922" t="s">
        <v>111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 t="s">
        <v>23</v>
      </c>
      <c r="R5922">
        <v>0</v>
      </c>
    </row>
    <row r="5923" spans="1:18">
      <c r="A5923" s="4">
        <v>17463900000000</v>
      </c>
      <c r="B5923" t="s">
        <v>18</v>
      </c>
      <c r="C5923">
        <v>43</v>
      </c>
      <c r="D5923" t="s">
        <v>27</v>
      </c>
      <c r="E5923" t="s">
        <v>36</v>
      </c>
      <c r="F5923" s="1">
        <v>42520</v>
      </c>
      <c r="G5923" s="1">
        <v>42529</v>
      </c>
      <c r="H5923" t="s">
        <v>25</v>
      </c>
      <c r="I5923">
        <v>9</v>
      </c>
      <c r="J5923" t="s">
        <v>92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1</v>
      </c>
      <c r="Q5923" t="s">
        <v>23</v>
      </c>
      <c r="R5923">
        <v>0</v>
      </c>
    </row>
    <row r="5924" spans="1:18">
      <c r="A5924" s="4">
        <v>77714900000000</v>
      </c>
      <c r="B5924" t="s">
        <v>28</v>
      </c>
      <c r="C5924">
        <v>1</v>
      </c>
      <c r="D5924" t="s">
        <v>31</v>
      </c>
      <c r="E5924" t="s">
        <v>84</v>
      </c>
      <c r="F5924" s="1">
        <v>42520</v>
      </c>
      <c r="G5924" s="1">
        <v>42527</v>
      </c>
      <c r="H5924" t="s">
        <v>30</v>
      </c>
      <c r="I5924">
        <v>7</v>
      </c>
      <c r="J5924" t="s">
        <v>107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 t="s">
        <v>23</v>
      </c>
      <c r="R5924">
        <v>0</v>
      </c>
    </row>
    <row r="5925" spans="1:18">
      <c r="A5925" s="4">
        <v>41738600000000</v>
      </c>
      <c r="B5925" t="s">
        <v>18</v>
      </c>
      <c r="C5925">
        <v>27</v>
      </c>
      <c r="D5925" t="s">
        <v>37</v>
      </c>
      <c r="E5925" t="s">
        <v>96</v>
      </c>
      <c r="F5925" s="1">
        <v>42520</v>
      </c>
      <c r="G5925" s="1">
        <v>42522</v>
      </c>
      <c r="H5925" t="s">
        <v>25</v>
      </c>
      <c r="I5925">
        <v>2</v>
      </c>
      <c r="J5925" t="s">
        <v>109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 t="s">
        <v>23</v>
      </c>
      <c r="R5925">
        <v>0</v>
      </c>
    </row>
    <row r="5926" spans="1:18">
      <c r="A5926" s="4">
        <v>266667000000000</v>
      </c>
      <c r="B5926" t="s">
        <v>18</v>
      </c>
      <c r="C5926">
        <v>8</v>
      </c>
      <c r="D5926" t="s">
        <v>31</v>
      </c>
      <c r="E5926" t="s">
        <v>75</v>
      </c>
      <c r="F5926" s="1">
        <v>42520</v>
      </c>
      <c r="G5926" s="1">
        <v>42527</v>
      </c>
      <c r="H5926" t="s">
        <v>30</v>
      </c>
      <c r="I5926">
        <v>7</v>
      </c>
      <c r="J5926" t="s">
        <v>107</v>
      </c>
      <c r="K5926">
        <v>1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23</v>
      </c>
      <c r="R5926">
        <v>0</v>
      </c>
    </row>
    <row r="5927" spans="1:18">
      <c r="A5927" s="4">
        <v>59844400000000</v>
      </c>
      <c r="B5927" t="s">
        <v>28</v>
      </c>
      <c r="C5927">
        <v>69</v>
      </c>
      <c r="D5927" t="s">
        <v>19</v>
      </c>
      <c r="E5927" t="s">
        <v>99</v>
      </c>
      <c r="F5927" s="1">
        <v>42520</v>
      </c>
      <c r="G5927" s="1">
        <v>42522</v>
      </c>
      <c r="H5927" t="s">
        <v>25</v>
      </c>
      <c r="I5927">
        <v>2</v>
      </c>
      <c r="J5927" t="s">
        <v>109</v>
      </c>
      <c r="K5927">
        <v>0</v>
      </c>
      <c r="L5927">
        <v>1</v>
      </c>
      <c r="M5927">
        <v>0</v>
      </c>
      <c r="N5927">
        <v>0</v>
      </c>
      <c r="O5927">
        <v>0</v>
      </c>
      <c r="P5927">
        <v>0</v>
      </c>
      <c r="Q5927" t="s">
        <v>23</v>
      </c>
      <c r="R5927">
        <v>0</v>
      </c>
    </row>
    <row r="5928" spans="1:18">
      <c r="A5928" s="4">
        <v>4191770000000</v>
      </c>
      <c r="B5928" t="s">
        <v>18</v>
      </c>
      <c r="C5928">
        <v>64</v>
      </c>
      <c r="D5928" t="s">
        <v>35</v>
      </c>
      <c r="E5928" t="s">
        <v>39</v>
      </c>
      <c r="F5928" s="1">
        <v>42520</v>
      </c>
      <c r="G5928" s="1">
        <v>42523</v>
      </c>
      <c r="H5928" t="s">
        <v>33</v>
      </c>
      <c r="I5928">
        <v>3</v>
      </c>
      <c r="J5928" t="s">
        <v>109</v>
      </c>
      <c r="K5928">
        <v>0</v>
      </c>
      <c r="L5928">
        <v>1</v>
      </c>
      <c r="M5928">
        <v>0</v>
      </c>
      <c r="N5928">
        <v>0</v>
      </c>
      <c r="O5928">
        <v>1</v>
      </c>
      <c r="P5928">
        <v>0</v>
      </c>
      <c r="Q5928" t="s">
        <v>23</v>
      </c>
      <c r="R5928">
        <v>0</v>
      </c>
    </row>
    <row r="5929" spans="1:18">
      <c r="A5929" s="4">
        <v>9388790000000</v>
      </c>
      <c r="B5929" t="s">
        <v>28</v>
      </c>
      <c r="C5929">
        <v>29</v>
      </c>
      <c r="D5929" t="s">
        <v>37</v>
      </c>
      <c r="E5929" t="s">
        <v>57</v>
      </c>
      <c r="F5929" s="1">
        <v>42520</v>
      </c>
      <c r="G5929" s="1">
        <v>42521</v>
      </c>
      <c r="H5929" t="s">
        <v>41</v>
      </c>
      <c r="I5929">
        <v>1</v>
      </c>
      <c r="J5929" t="s">
        <v>109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 t="s">
        <v>23</v>
      </c>
      <c r="R5929">
        <v>0</v>
      </c>
    </row>
    <row r="5930" spans="1:18">
      <c r="A5930" s="4">
        <v>444996000000000</v>
      </c>
      <c r="B5930" t="s">
        <v>18</v>
      </c>
      <c r="C5930">
        <v>10</v>
      </c>
      <c r="D5930" t="s">
        <v>31</v>
      </c>
      <c r="E5930" t="s">
        <v>55</v>
      </c>
      <c r="F5930" s="1">
        <v>42520</v>
      </c>
      <c r="G5930" s="1">
        <v>42520</v>
      </c>
      <c r="H5930" t="s">
        <v>30</v>
      </c>
      <c r="I5930">
        <v>0</v>
      </c>
      <c r="J5930" t="s">
        <v>111</v>
      </c>
      <c r="K5930">
        <v>0</v>
      </c>
      <c r="L5930">
        <v>0</v>
      </c>
      <c r="M5930">
        <v>1</v>
      </c>
      <c r="N5930">
        <v>0</v>
      </c>
      <c r="O5930">
        <v>0</v>
      </c>
      <c r="P5930">
        <v>0</v>
      </c>
      <c r="Q5930" t="s">
        <v>23</v>
      </c>
      <c r="R5930">
        <v>0</v>
      </c>
    </row>
    <row r="5931" spans="1:18">
      <c r="A5931" s="4">
        <v>82433948475</v>
      </c>
      <c r="B5931" t="s">
        <v>18</v>
      </c>
      <c r="C5931">
        <v>4</v>
      </c>
      <c r="D5931" t="s">
        <v>31</v>
      </c>
      <c r="E5931" t="s">
        <v>61</v>
      </c>
      <c r="F5931" s="1">
        <v>42520</v>
      </c>
      <c r="G5931" s="1">
        <v>42520</v>
      </c>
      <c r="H5931" t="s">
        <v>30</v>
      </c>
      <c r="I5931">
        <v>0</v>
      </c>
      <c r="J5931" t="s">
        <v>111</v>
      </c>
      <c r="K5931">
        <v>1</v>
      </c>
      <c r="L5931">
        <v>0</v>
      </c>
      <c r="M5931">
        <v>0</v>
      </c>
      <c r="N5931">
        <v>0</v>
      </c>
      <c r="O5931">
        <v>0</v>
      </c>
      <c r="P5931">
        <v>0</v>
      </c>
      <c r="Q5931" t="s">
        <v>23</v>
      </c>
      <c r="R5931">
        <v>0</v>
      </c>
    </row>
    <row r="5932" spans="1:18">
      <c r="A5932" s="4">
        <v>27192900000000</v>
      </c>
      <c r="B5932" t="s">
        <v>28</v>
      </c>
      <c r="C5932">
        <v>1</v>
      </c>
      <c r="D5932" t="s">
        <v>31</v>
      </c>
      <c r="E5932" t="s">
        <v>78</v>
      </c>
      <c r="F5932" s="1">
        <v>42520</v>
      </c>
      <c r="G5932" s="1">
        <v>42522</v>
      </c>
      <c r="H5932" t="s">
        <v>25</v>
      </c>
      <c r="I5932">
        <v>2</v>
      </c>
      <c r="J5932" t="s">
        <v>109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 t="s">
        <v>23</v>
      </c>
      <c r="R5932">
        <v>0</v>
      </c>
    </row>
    <row r="5933" spans="1:18">
      <c r="A5933" s="4">
        <v>32267500000000</v>
      </c>
      <c r="B5933" t="s">
        <v>18</v>
      </c>
      <c r="C5933">
        <v>31</v>
      </c>
      <c r="D5933" t="s">
        <v>37</v>
      </c>
      <c r="E5933" t="s">
        <v>117</v>
      </c>
      <c r="F5933" s="1">
        <v>42520</v>
      </c>
      <c r="G5933" s="1">
        <v>42520</v>
      </c>
      <c r="H5933" t="s">
        <v>30</v>
      </c>
      <c r="I5933">
        <v>0</v>
      </c>
      <c r="J5933" t="s">
        <v>111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 t="s">
        <v>23</v>
      </c>
      <c r="R5933">
        <v>0</v>
      </c>
    </row>
    <row r="5934" spans="1:18">
      <c r="A5934" s="4">
        <v>7126790000000</v>
      </c>
      <c r="B5934" t="s">
        <v>18</v>
      </c>
      <c r="C5934">
        <v>89</v>
      </c>
      <c r="D5934" t="s">
        <v>19</v>
      </c>
      <c r="E5934" t="s">
        <v>59</v>
      </c>
      <c r="F5934" s="1">
        <v>42520</v>
      </c>
      <c r="G5934" s="1">
        <v>42521</v>
      </c>
      <c r="H5934" t="s">
        <v>41</v>
      </c>
      <c r="I5934">
        <v>1</v>
      </c>
      <c r="J5934" t="s">
        <v>109</v>
      </c>
      <c r="K5934">
        <v>0</v>
      </c>
      <c r="L5934">
        <v>1</v>
      </c>
      <c r="M5934">
        <v>0</v>
      </c>
      <c r="N5934">
        <v>0</v>
      </c>
      <c r="O5934">
        <v>0</v>
      </c>
      <c r="P5934">
        <v>0</v>
      </c>
      <c r="Q5934" t="s">
        <v>23</v>
      </c>
      <c r="R5934">
        <v>0</v>
      </c>
    </row>
    <row r="5935" spans="1:18">
      <c r="A5935" s="4">
        <v>548829000000000</v>
      </c>
      <c r="B5935" t="s">
        <v>18</v>
      </c>
      <c r="C5935">
        <v>39</v>
      </c>
      <c r="D5935" t="s">
        <v>27</v>
      </c>
      <c r="E5935" t="s">
        <v>44</v>
      </c>
      <c r="F5935" s="1">
        <v>42520</v>
      </c>
      <c r="G5935" s="1">
        <v>42524</v>
      </c>
      <c r="H5935" t="s">
        <v>21</v>
      </c>
      <c r="I5935">
        <v>4</v>
      </c>
      <c r="J5935" t="s">
        <v>107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1</v>
      </c>
      <c r="Q5935" t="s">
        <v>23</v>
      </c>
      <c r="R5935">
        <v>0</v>
      </c>
    </row>
    <row r="5936" spans="1:18">
      <c r="A5936" s="4">
        <v>7977160000000</v>
      </c>
      <c r="B5936" t="s">
        <v>18</v>
      </c>
      <c r="C5936">
        <v>5</v>
      </c>
      <c r="D5936" t="s">
        <v>31</v>
      </c>
      <c r="E5936" t="s">
        <v>34</v>
      </c>
      <c r="F5936" s="1">
        <v>42520</v>
      </c>
      <c r="G5936" s="1">
        <v>42524</v>
      </c>
      <c r="H5936" t="s">
        <v>21</v>
      </c>
      <c r="I5936">
        <v>4</v>
      </c>
      <c r="J5936" t="s">
        <v>107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1</v>
      </c>
      <c r="Q5936" t="s">
        <v>23</v>
      </c>
      <c r="R5936">
        <v>0</v>
      </c>
    </row>
    <row r="5937" spans="1:18">
      <c r="A5937" s="4">
        <v>9821950000000</v>
      </c>
      <c r="B5937" t="s">
        <v>18</v>
      </c>
      <c r="C5937">
        <v>74</v>
      </c>
      <c r="D5937" t="s">
        <v>19</v>
      </c>
      <c r="E5937" t="s">
        <v>67</v>
      </c>
      <c r="F5937" s="1">
        <v>42520</v>
      </c>
      <c r="G5937" s="1">
        <v>42520</v>
      </c>
      <c r="H5937" t="s">
        <v>30</v>
      </c>
      <c r="I5937">
        <v>0</v>
      </c>
      <c r="J5937" t="s">
        <v>111</v>
      </c>
      <c r="K5937">
        <v>0</v>
      </c>
      <c r="L5937">
        <v>1</v>
      </c>
      <c r="M5937">
        <v>0</v>
      </c>
      <c r="N5937">
        <v>0</v>
      </c>
      <c r="O5937">
        <v>0</v>
      </c>
      <c r="P5937">
        <v>0</v>
      </c>
      <c r="Q5937" t="s">
        <v>23</v>
      </c>
      <c r="R5937">
        <v>0</v>
      </c>
    </row>
    <row r="5938" spans="1:18">
      <c r="A5938" s="4">
        <v>81362200000000</v>
      </c>
      <c r="B5938" t="s">
        <v>28</v>
      </c>
      <c r="C5938">
        <v>43</v>
      </c>
      <c r="D5938" t="s">
        <v>27</v>
      </c>
      <c r="E5938" t="s">
        <v>38</v>
      </c>
      <c r="F5938" s="1">
        <v>42520</v>
      </c>
      <c r="G5938" s="1">
        <v>42521</v>
      </c>
      <c r="H5938" t="s">
        <v>41</v>
      </c>
      <c r="I5938">
        <v>1</v>
      </c>
      <c r="J5938" t="s">
        <v>109</v>
      </c>
      <c r="K5938">
        <v>0</v>
      </c>
      <c r="L5938">
        <v>1</v>
      </c>
      <c r="M5938">
        <v>1</v>
      </c>
      <c r="N5938">
        <v>0</v>
      </c>
      <c r="O5938">
        <v>0</v>
      </c>
      <c r="P5938">
        <v>0</v>
      </c>
      <c r="Q5938" t="s">
        <v>23</v>
      </c>
      <c r="R5938">
        <v>0</v>
      </c>
    </row>
    <row r="5939" spans="1:18">
      <c r="A5939" s="4">
        <v>527783000000000</v>
      </c>
      <c r="B5939" t="s">
        <v>18</v>
      </c>
      <c r="C5939">
        <v>50</v>
      </c>
      <c r="D5939" t="s">
        <v>27</v>
      </c>
      <c r="E5939" t="s">
        <v>66</v>
      </c>
      <c r="F5939" s="1">
        <v>42520</v>
      </c>
      <c r="G5939" s="1">
        <v>42521</v>
      </c>
      <c r="H5939" t="s">
        <v>41</v>
      </c>
      <c r="I5939">
        <v>1</v>
      </c>
      <c r="J5939" t="s">
        <v>109</v>
      </c>
      <c r="K5939">
        <v>0</v>
      </c>
      <c r="L5939">
        <v>1</v>
      </c>
      <c r="M5939">
        <v>0</v>
      </c>
      <c r="N5939">
        <v>0</v>
      </c>
      <c r="O5939">
        <v>0</v>
      </c>
      <c r="P5939">
        <v>0</v>
      </c>
      <c r="Q5939" t="s">
        <v>23</v>
      </c>
      <c r="R5939">
        <v>0</v>
      </c>
    </row>
    <row r="5940" spans="1:18">
      <c r="A5940" s="4">
        <v>854983000000000</v>
      </c>
      <c r="B5940" t="s">
        <v>28</v>
      </c>
      <c r="C5940">
        <v>51</v>
      </c>
      <c r="D5940" t="s">
        <v>35</v>
      </c>
      <c r="E5940" t="s">
        <v>44</v>
      </c>
      <c r="F5940" s="1">
        <v>42520</v>
      </c>
      <c r="G5940" s="1">
        <v>42520</v>
      </c>
      <c r="H5940" t="s">
        <v>30</v>
      </c>
      <c r="I5940">
        <v>0</v>
      </c>
      <c r="J5940" t="s">
        <v>111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 t="s">
        <v>23</v>
      </c>
      <c r="R5940">
        <v>0</v>
      </c>
    </row>
    <row r="5941" spans="1:18">
      <c r="A5941" s="4">
        <v>56349696578</v>
      </c>
      <c r="B5941" t="s">
        <v>28</v>
      </c>
      <c r="C5941">
        <v>53</v>
      </c>
      <c r="D5941" t="s">
        <v>35</v>
      </c>
      <c r="E5941" t="s">
        <v>32</v>
      </c>
      <c r="F5941" s="1">
        <v>42520</v>
      </c>
      <c r="G5941" s="1">
        <v>42521</v>
      </c>
      <c r="H5941" t="s">
        <v>41</v>
      </c>
      <c r="I5941">
        <v>1</v>
      </c>
      <c r="J5941" t="s">
        <v>109</v>
      </c>
      <c r="K5941">
        <v>0</v>
      </c>
      <c r="L5941">
        <v>1</v>
      </c>
      <c r="M5941">
        <v>0</v>
      </c>
      <c r="N5941">
        <v>1</v>
      </c>
      <c r="O5941">
        <v>0</v>
      </c>
      <c r="P5941">
        <v>0</v>
      </c>
      <c r="Q5941" t="s">
        <v>23</v>
      </c>
      <c r="R5941">
        <v>0</v>
      </c>
    </row>
    <row r="5942" spans="1:18">
      <c r="A5942" s="4">
        <v>64659000000000</v>
      </c>
      <c r="B5942" t="s">
        <v>18</v>
      </c>
      <c r="C5942">
        <v>38</v>
      </c>
      <c r="D5942" t="s">
        <v>27</v>
      </c>
      <c r="E5942" t="s">
        <v>108</v>
      </c>
      <c r="F5942" s="1">
        <v>42520</v>
      </c>
      <c r="G5942" s="1">
        <v>42527</v>
      </c>
      <c r="H5942" t="s">
        <v>30</v>
      </c>
      <c r="I5942">
        <v>7</v>
      </c>
      <c r="J5942" t="s">
        <v>107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1</v>
      </c>
      <c r="Q5942" t="s">
        <v>23</v>
      </c>
      <c r="R5942">
        <v>0</v>
      </c>
    </row>
    <row r="5943" spans="1:18">
      <c r="A5943" s="4">
        <v>55219900000000</v>
      </c>
      <c r="B5943" t="s">
        <v>28</v>
      </c>
      <c r="C5943">
        <v>69</v>
      </c>
      <c r="D5943" t="s">
        <v>19</v>
      </c>
      <c r="E5943" t="s">
        <v>39</v>
      </c>
      <c r="F5943" s="1">
        <v>42520</v>
      </c>
      <c r="G5943" s="1">
        <v>42520</v>
      </c>
      <c r="H5943" t="s">
        <v>30</v>
      </c>
      <c r="I5943">
        <v>0</v>
      </c>
      <c r="J5943" t="s">
        <v>111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 t="s">
        <v>23</v>
      </c>
      <c r="R5943">
        <v>0</v>
      </c>
    </row>
    <row r="5944" spans="1:18">
      <c r="A5944" s="4">
        <v>573465000000</v>
      </c>
      <c r="B5944" t="s">
        <v>18</v>
      </c>
      <c r="C5944">
        <v>81</v>
      </c>
      <c r="D5944" t="s">
        <v>19</v>
      </c>
      <c r="E5944" t="s">
        <v>43</v>
      </c>
      <c r="F5944" s="1">
        <v>42520</v>
      </c>
      <c r="G5944" s="1">
        <v>42520</v>
      </c>
      <c r="H5944" t="s">
        <v>30</v>
      </c>
      <c r="I5944">
        <v>0</v>
      </c>
      <c r="J5944" t="s">
        <v>111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 t="s">
        <v>23</v>
      </c>
      <c r="R5944">
        <v>0</v>
      </c>
    </row>
    <row r="5945" spans="1:18">
      <c r="A5945" s="4">
        <v>266589000000000</v>
      </c>
      <c r="B5945" t="s">
        <v>18</v>
      </c>
      <c r="C5945">
        <v>24</v>
      </c>
      <c r="D5945" t="s">
        <v>37</v>
      </c>
      <c r="E5945" t="s">
        <v>39</v>
      </c>
      <c r="F5945" s="1">
        <v>42520</v>
      </c>
      <c r="G5945" s="1">
        <v>42520</v>
      </c>
      <c r="H5945" t="s">
        <v>30</v>
      </c>
      <c r="I5945">
        <v>0</v>
      </c>
      <c r="J5945" t="s">
        <v>111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 t="s">
        <v>23</v>
      </c>
      <c r="R5945">
        <v>0</v>
      </c>
    </row>
    <row r="5946" spans="1:18">
      <c r="A5946" s="4">
        <v>5577480000000</v>
      </c>
      <c r="B5946" t="s">
        <v>28</v>
      </c>
      <c r="C5946">
        <v>44</v>
      </c>
      <c r="D5946" t="s">
        <v>27</v>
      </c>
      <c r="E5946" t="s">
        <v>86</v>
      </c>
      <c r="F5946" s="1">
        <v>42520</v>
      </c>
      <c r="G5946" s="1">
        <v>42527</v>
      </c>
      <c r="H5946" t="s">
        <v>30</v>
      </c>
      <c r="I5946">
        <v>7</v>
      </c>
      <c r="J5946" t="s">
        <v>107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 t="s">
        <v>23</v>
      </c>
      <c r="R5946">
        <v>0</v>
      </c>
    </row>
    <row r="5947" spans="1:18">
      <c r="A5947" s="4">
        <v>911640000000</v>
      </c>
      <c r="B5947" t="s">
        <v>28</v>
      </c>
      <c r="C5947">
        <v>56</v>
      </c>
      <c r="D5947" t="s">
        <v>35</v>
      </c>
      <c r="E5947" t="s">
        <v>52</v>
      </c>
      <c r="F5947" s="1">
        <v>42520</v>
      </c>
      <c r="G5947" s="1">
        <v>42521</v>
      </c>
      <c r="H5947" t="s">
        <v>41</v>
      </c>
      <c r="I5947">
        <v>1</v>
      </c>
      <c r="J5947" t="s">
        <v>109</v>
      </c>
      <c r="K5947">
        <v>0</v>
      </c>
      <c r="L5947">
        <v>1</v>
      </c>
      <c r="M5947">
        <v>0</v>
      </c>
      <c r="N5947">
        <v>0</v>
      </c>
      <c r="O5947">
        <v>0</v>
      </c>
      <c r="P5947">
        <v>0</v>
      </c>
      <c r="Q5947" t="s">
        <v>23</v>
      </c>
      <c r="R5947">
        <v>0</v>
      </c>
    </row>
    <row r="5948" spans="1:18">
      <c r="A5948" s="4">
        <v>46148300000000</v>
      </c>
      <c r="B5948" t="s">
        <v>28</v>
      </c>
      <c r="C5948">
        <v>57</v>
      </c>
      <c r="D5948" t="s">
        <v>35</v>
      </c>
      <c r="E5948" t="s">
        <v>20</v>
      </c>
      <c r="F5948" s="1">
        <v>42520</v>
      </c>
      <c r="G5948" s="1">
        <v>42520</v>
      </c>
      <c r="H5948" t="s">
        <v>30</v>
      </c>
      <c r="I5948">
        <v>0</v>
      </c>
      <c r="J5948" t="s">
        <v>111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 t="s">
        <v>23</v>
      </c>
      <c r="R5948">
        <v>0</v>
      </c>
    </row>
    <row r="5949" spans="1:18">
      <c r="A5949" s="4">
        <v>32191200000000</v>
      </c>
      <c r="B5949" t="s">
        <v>18</v>
      </c>
      <c r="C5949">
        <v>56</v>
      </c>
      <c r="D5949" t="s">
        <v>35</v>
      </c>
      <c r="E5949" t="s">
        <v>70</v>
      </c>
      <c r="F5949" s="1">
        <v>42520</v>
      </c>
      <c r="G5949" s="1">
        <v>42527</v>
      </c>
      <c r="H5949" t="s">
        <v>30</v>
      </c>
      <c r="I5949">
        <v>7</v>
      </c>
      <c r="J5949" t="s">
        <v>107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1</v>
      </c>
      <c r="Q5949" t="s">
        <v>23</v>
      </c>
      <c r="R5949">
        <v>0</v>
      </c>
    </row>
    <row r="5950" spans="1:18">
      <c r="A5950" s="4">
        <v>97951700000000</v>
      </c>
      <c r="B5950" t="s">
        <v>18</v>
      </c>
      <c r="C5950">
        <v>54</v>
      </c>
      <c r="D5950" t="s">
        <v>35</v>
      </c>
      <c r="E5950" t="s">
        <v>39</v>
      </c>
      <c r="F5950" s="1">
        <v>42520</v>
      </c>
      <c r="G5950" s="1">
        <v>42521</v>
      </c>
      <c r="H5950" t="s">
        <v>41</v>
      </c>
      <c r="I5950">
        <v>1</v>
      </c>
      <c r="J5950" t="s">
        <v>109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 t="s">
        <v>26</v>
      </c>
      <c r="R5950">
        <v>1</v>
      </c>
    </row>
    <row r="5951" spans="1:18">
      <c r="A5951" s="4">
        <v>7464190000000</v>
      </c>
      <c r="B5951" t="s">
        <v>18</v>
      </c>
      <c r="C5951">
        <v>69</v>
      </c>
      <c r="D5951" t="s">
        <v>19</v>
      </c>
      <c r="E5951" t="s">
        <v>20</v>
      </c>
      <c r="F5951" s="1">
        <v>42520</v>
      </c>
      <c r="G5951" s="1">
        <v>42524</v>
      </c>
      <c r="H5951" t="s">
        <v>21</v>
      </c>
      <c r="I5951">
        <v>4</v>
      </c>
      <c r="J5951" t="s">
        <v>107</v>
      </c>
      <c r="K5951">
        <v>0</v>
      </c>
      <c r="L5951">
        <v>1</v>
      </c>
      <c r="M5951">
        <v>0</v>
      </c>
      <c r="N5951">
        <v>0</v>
      </c>
      <c r="O5951">
        <v>1</v>
      </c>
      <c r="P5951">
        <v>1</v>
      </c>
      <c r="Q5951" t="s">
        <v>23</v>
      </c>
      <c r="R5951">
        <v>0</v>
      </c>
    </row>
    <row r="5952" spans="1:18">
      <c r="A5952" s="4">
        <v>75641900000000</v>
      </c>
      <c r="B5952" t="s">
        <v>28</v>
      </c>
      <c r="C5952">
        <v>24</v>
      </c>
      <c r="D5952" t="s">
        <v>37</v>
      </c>
      <c r="E5952" t="s">
        <v>72</v>
      </c>
      <c r="F5952" s="1">
        <v>42520</v>
      </c>
      <c r="G5952" s="1">
        <v>42520</v>
      </c>
      <c r="H5952" t="s">
        <v>30</v>
      </c>
      <c r="I5952">
        <v>0</v>
      </c>
      <c r="J5952" t="s">
        <v>111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 t="s">
        <v>23</v>
      </c>
      <c r="R5952">
        <v>0</v>
      </c>
    </row>
    <row r="5953" spans="1:18">
      <c r="A5953" s="4">
        <v>2661520000000</v>
      </c>
      <c r="B5953" t="s">
        <v>18</v>
      </c>
      <c r="C5953">
        <v>42</v>
      </c>
      <c r="D5953" t="s">
        <v>27</v>
      </c>
      <c r="E5953" t="s">
        <v>36</v>
      </c>
      <c r="F5953" s="1">
        <v>42520</v>
      </c>
      <c r="G5953" s="1">
        <v>42523</v>
      </c>
      <c r="H5953" t="s">
        <v>33</v>
      </c>
      <c r="I5953">
        <v>3</v>
      </c>
      <c r="J5953" t="s">
        <v>109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 t="s">
        <v>23</v>
      </c>
      <c r="R5953">
        <v>0</v>
      </c>
    </row>
    <row r="5954" spans="1:18">
      <c r="A5954" s="4">
        <v>84171919568</v>
      </c>
      <c r="B5954" t="s">
        <v>28</v>
      </c>
      <c r="C5954">
        <v>40</v>
      </c>
      <c r="D5954" t="s">
        <v>27</v>
      </c>
      <c r="E5954" t="s">
        <v>39</v>
      </c>
      <c r="F5954" s="1">
        <v>42520</v>
      </c>
      <c r="G5954" s="1">
        <v>42521</v>
      </c>
      <c r="H5954" t="s">
        <v>41</v>
      </c>
      <c r="I5954">
        <v>1</v>
      </c>
      <c r="J5954" t="s">
        <v>109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 t="s">
        <v>26</v>
      </c>
      <c r="R5954">
        <v>1</v>
      </c>
    </row>
    <row r="5955" spans="1:18">
      <c r="A5955" s="4">
        <v>4676280000000</v>
      </c>
      <c r="B5955" t="s">
        <v>18</v>
      </c>
      <c r="C5955">
        <v>44</v>
      </c>
      <c r="D5955" t="s">
        <v>27</v>
      </c>
      <c r="E5955" t="s">
        <v>39</v>
      </c>
      <c r="F5955" s="1">
        <v>42520</v>
      </c>
      <c r="G5955" s="1">
        <v>42521</v>
      </c>
      <c r="H5955" t="s">
        <v>41</v>
      </c>
      <c r="I5955">
        <v>1</v>
      </c>
      <c r="J5955" t="s">
        <v>109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 t="s">
        <v>23</v>
      </c>
      <c r="R5955">
        <v>0</v>
      </c>
    </row>
    <row r="5956" spans="1:18">
      <c r="A5956" s="4">
        <v>737877000000000</v>
      </c>
      <c r="B5956" t="s">
        <v>28</v>
      </c>
      <c r="C5956">
        <v>52</v>
      </c>
      <c r="D5956" t="s">
        <v>35</v>
      </c>
      <c r="E5956" t="s">
        <v>59</v>
      </c>
      <c r="F5956" s="1">
        <v>42520</v>
      </c>
      <c r="G5956" s="1">
        <v>42528</v>
      </c>
      <c r="H5956" t="s">
        <v>41</v>
      </c>
      <c r="I5956">
        <v>8</v>
      </c>
      <c r="J5956" t="s">
        <v>92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 t="s">
        <v>23</v>
      </c>
      <c r="R5956">
        <v>0</v>
      </c>
    </row>
    <row r="5957" spans="1:18">
      <c r="A5957" s="4">
        <v>592576000000000</v>
      </c>
      <c r="B5957" t="s">
        <v>18</v>
      </c>
      <c r="C5957">
        <v>49</v>
      </c>
      <c r="D5957" t="s">
        <v>27</v>
      </c>
      <c r="E5957" t="s">
        <v>44</v>
      </c>
      <c r="F5957" s="1">
        <v>42520</v>
      </c>
      <c r="G5957" s="1">
        <v>42522</v>
      </c>
      <c r="H5957" t="s">
        <v>25</v>
      </c>
      <c r="I5957">
        <v>2</v>
      </c>
      <c r="J5957" t="s">
        <v>109</v>
      </c>
      <c r="K5957">
        <v>0</v>
      </c>
      <c r="L5957">
        <v>1</v>
      </c>
      <c r="M5957">
        <v>0</v>
      </c>
      <c r="N5957">
        <v>0</v>
      </c>
      <c r="O5957">
        <v>0</v>
      </c>
      <c r="P5957">
        <v>0</v>
      </c>
      <c r="Q5957" t="s">
        <v>23</v>
      </c>
      <c r="R5957">
        <v>0</v>
      </c>
    </row>
    <row r="5958" spans="1:18">
      <c r="A5958" s="4">
        <v>58296200000000</v>
      </c>
      <c r="B5958" t="s">
        <v>18</v>
      </c>
      <c r="C5958">
        <v>29</v>
      </c>
      <c r="D5958" t="s">
        <v>37</v>
      </c>
      <c r="E5958" t="s">
        <v>66</v>
      </c>
      <c r="F5958" s="1">
        <v>42521</v>
      </c>
      <c r="G5958" s="1">
        <v>42522</v>
      </c>
      <c r="H5958" t="s">
        <v>25</v>
      </c>
      <c r="I5958">
        <v>1</v>
      </c>
      <c r="J5958" t="s">
        <v>109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 t="s">
        <v>23</v>
      </c>
      <c r="R5958">
        <v>0</v>
      </c>
    </row>
    <row r="5959" spans="1:18">
      <c r="A5959" s="4">
        <v>13528900000000</v>
      </c>
      <c r="B5959" t="s">
        <v>28</v>
      </c>
      <c r="C5959">
        <v>6</v>
      </c>
      <c r="D5959" t="s">
        <v>31</v>
      </c>
      <c r="E5959" t="s">
        <v>48</v>
      </c>
      <c r="F5959" s="1">
        <v>42521</v>
      </c>
      <c r="G5959" s="1">
        <v>42521</v>
      </c>
      <c r="H5959" t="s">
        <v>41</v>
      </c>
      <c r="I5959">
        <v>0</v>
      </c>
      <c r="J5959" t="s">
        <v>111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 t="s">
        <v>23</v>
      </c>
      <c r="R5959">
        <v>0</v>
      </c>
    </row>
    <row r="5960" spans="1:18">
      <c r="A5960" s="4">
        <v>84578800000000</v>
      </c>
      <c r="B5960" t="s">
        <v>28</v>
      </c>
      <c r="C5960">
        <v>20</v>
      </c>
      <c r="D5960" t="s">
        <v>37</v>
      </c>
      <c r="E5960" t="s">
        <v>65</v>
      </c>
      <c r="F5960" s="1">
        <v>42521</v>
      </c>
      <c r="G5960" s="1">
        <v>42521</v>
      </c>
      <c r="H5960" t="s">
        <v>41</v>
      </c>
      <c r="I5960">
        <v>0</v>
      </c>
      <c r="J5960" t="s">
        <v>111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 t="s">
        <v>23</v>
      </c>
      <c r="R5960">
        <v>0</v>
      </c>
    </row>
    <row r="5961" spans="1:18">
      <c r="A5961" s="4">
        <v>9646950000000</v>
      </c>
      <c r="B5961" t="s">
        <v>18</v>
      </c>
      <c r="C5961">
        <v>78</v>
      </c>
      <c r="D5961" t="s">
        <v>19</v>
      </c>
      <c r="E5961" t="s">
        <v>91</v>
      </c>
      <c r="F5961" s="1">
        <v>42521</v>
      </c>
      <c r="G5961" s="1">
        <v>42523</v>
      </c>
      <c r="H5961" t="s">
        <v>33</v>
      </c>
      <c r="I5961">
        <v>2</v>
      </c>
      <c r="J5961" t="s">
        <v>109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 t="s">
        <v>23</v>
      </c>
      <c r="R5961">
        <v>0</v>
      </c>
    </row>
    <row r="5962" spans="1:18">
      <c r="A5962" s="4">
        <v>32348200000000</v>
      </c>
      <c r="B5962" t="s">
        <v>28</v>
      </c>
      <c r="C5962">
        <v>78</v>
      </c>
      <c r="D5962" t="s">
        <v>19</v>
      </c>
      <c r="E5962" t="s">
        <v>73</v>
      </c>
      <c r="F5962" s="1">
        <v>42521</v>
      </c>
      <c r="G5962" s="1">
        <v>42521</v>
      </c>
      <c r="H5962" t="s">
        <v>41</v>
      </c>
      <c r="I5962">
        <v>0</v>
      </c>
      <c r="J5962" t="s">
        <v>111</v>
      </c>
      <c r="K5962">
        <v>0</v>
      </c>
      <c r="L5962">
        <v>1</v>
      </c>
      <c r="M5962">
        <v>1</v>
      </c>
      <c r="N5962">
        <v>0</v>
      </c>
      <c r="O5962">
        <v>0</v>
      </c>
      <c r="P5962">
        <v>0</v>
      </c>
      <c r="Q5962" t="s">
        <v>23</v>
      </c>
      <c r="R5962">
        <v>0</v>
      </c>
    </row>
    <row r="5963" spans="1:18">
      <c r="A5963" s="4">
        <v>62327200000000</v>
      </c>
      <c r="B5963" t="s">
        <v>28</v>
      </c>
      <c r="C5963">
        <v>9</v>
      </c>
      <c r="D5963" t="s">
        <v>31</v>
      </c>
      <c r="E5963" t="s">
        <v>39</v>
      </c>
      <c r="F5963" s="1">
        <v>42521</v>
      </c>
      <c r="G5963" s="1">
        <v>42529</v>
      </c>
      <c r="H5963" t="s">
        <v>25</v>
      </c>
      <c r="I5963">
        <v>8</v>
      </c>
      <c r="J5963" t="s">
        <v>92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1</v>
      </c>
      <c r="Q5963" t="s">
        <v>23</v>
      </c>
      <c r="R5963">
        <v>0</v>
      </c>
    </row>
    <row r="5964" spans="1:18">
      <c r="A5964" s="4">
        <v>45358600000000</v>
      </c>
      <c r="B5964" t="s">
        <v>18</v>
      </c>
      <c r="C5964">
        <v>49</v>
      </c>
      <c r="D5964" t="s">
        <v>27</v>
      </c>
      <c r="E5964" t="s">
        <v>43</v>
      </c>
      <c r="F5964" s="1">
        <v>42521</v>
      </c>
      <c r="G5964" s="1">
        <v>42523</v>
      </c>
      <c r="H5964" t="s">
        <v>33</v>
      </c>
      <c r="I5964">
        <v>2</v>
      </c>
      <c r="J5964" t="s">
        <v>109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 t="s">
        <v>26</v>
      </c>
      <c r="R5964">
        <v>1</v>
      </c>
    </row>
    <row r="5965" spans="1:18">
      <c r="A5965" s="4">
        <v>175167000000</v>
      </c>
      <c r="B5965" t="s">
        <v>18</v>
      </c>
      <c r="C5965">
        <v>38</v>
      </c>
      <c r="D5965" t="s">
        <v>27</v>
      </c>
      <c r="E5965" t="s">
        <v>66</v>
      </c>
      <c r="F5965" s="1">
        <v>42521</v>
      </c>
      <c r="G5965" s="1">
        <v>42521</v>
      </c>
      <c r="H5965" t="s">
        <v>41</v>
      </c>
      <c r="I5965">
        <v>0</v>
      </c>
      <c r="J5965" t="s">
        <v>111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 t="s">
        <v>23</v>
      </c>
      <c r="R5965">
        <v>0</v>
      </c>
    </row>
    <row r="5966" spans="1:18">
      <c r="A5966" s="4">
        <v>383225000000</v>
      </c>
      <c r="B5966" t="s">
        <v>28</v>
      </c>
      <c r="C5966">
        <v>35</v>
      </c>
      <c r="D5966" t="s">
        <v>37</v>
      </c>
      <c r="E5966" t="s">
        <v>47</v>
      </c>
      <c r="F5966" s="1">
        <v>42521</v>
      </c>
      <c r="G5966" s="1">
        <v>42521</v>
      </c>
      <c r="H5966" t="s">
        <v>41</v>
      </c>
      <c r="I5966">
        <v>0</v>
      </c>
      <c r="J5966" t="s">
        <v>111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 t="s">
        <v>23</v>
      </c>
      <c r="R5966">
        <v>0</v>
      </c>
    </row>
    <row r="5967" spans="1:18">
      <c r="A5967" s="4">
        <v>586721000000000</v>
      </c>
      <c r="B5967" t="s">
        <v>18</v>
      </c>
      <c r="C5967">
        <v>72</v>
      </c>
      <c r="D5967" t="s">
        <v>19</v>
      </c>
      <c r="E5967" t="s">
        <v>52</v>
      </c>
      <c r="F5967" s="1">
        <v>42521</v>
      </c>
      <c r="G5967" s="1">
        <v>42523</v>
      </c>
      <c r="H5967" t="s">
        <v>33</v>
      </c>
      <c r="I5967">
        <v>2</v>
      </c>
      <c r="J5967" t="s">
        <v>109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23</v>
      </c>
      <c r="R5967">
        <v>0</v>
      </c>
    </row>
    <row r="5968" spans="1:18">
      <c r="A5968" s="4">
        <v>386660000000000</v>
      </c>
      <c r="B5968" t="s">
        <v>28</v>
      </c>
      <c r="C5968">
        <v>33</v>
      </c>
      <c r="D5968" t="s">
        <v>37</v>
      </c>
      <c r="E5968" t="s">
        <v>45</v>
      </c>
      <c r="F5968" s="1">
        <v>42521</v>
      </c>
      <c r="G5968" s="1">
        <v>42521</v>
      </c>
      <c r="H5968" t="s">
        <v>41</v>
      </c>
      <c r="I5968">
        <v>0</v>
      </c>
      <c r="J5968" t="s">
        <v>111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 t="s">
        <v>23</v>
      </c>
      <c r="R5968">
        <v>0</v>
      </c>
    </row>
    <row r="5969" spans="1:18">
      <c r="A5969" s="4">
        <v>957185000000</v>
      </c>
      <c r="B5969" t="s">
        <v>18</v>
      </c>
      <c r="C5969">
        <v>55</v>
      </c>
      <c r="D5969" t="s">
        <v>35</v>
      </c>
      <c r="E5969" t="s">
        <v>39</v>
      </c>
      <c r="F5969" s="1">
        <v>42521</v>
      </c>
      <c r="G5969" s="1">
        <v>42523</v>
      </c>
      <c r="H5969" t="s">
        <v>33</v>
      </c>
      <c r="I5969">
        <v>2</v>
      </c>
      <c r="J5969" t="s">
        <v>109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 t="s">
        <v>23</v>
      </c>
      <c r="R5969">
        <v>0</v>
      </c>
    </row>
    <row r="5970" spans="1:18">
      <c r="A5970" s="4">
        <v>86498300000000</v>
      </c>
      <c r="B5970" t="s">
        <v>18</v>
      </c>
      <c r="C5970">
        <v>28</v>
      </c>
      <c r="D5970" t="s">
        <v>37</v>
      </c>
      <c r="E5970" t="s">
        <v>64</v>
      </c>
      <c r="F5970" s="1">
        <v>42521</v>
      </c>
      <c r="G5970" s="1">
        <v>42528</v>
      </c>
      <c r="H5970" t="s">
        <v>41</v>
      </c>
      <c r="I5970">
        <v>7</v>
      </c>
      <c r="J5970" t="s">
        <v>107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1</v>
      </c>
      <c r="Q5970" t="s">
        <v>26</v>
      </c>
      <c r="R5970">
        <v>1</v>
      </c>
    </row>
    <row r="5971" spans="1:18">
      <c r="A5971" s="4">
        <v>5474630000000</v>
      </c>
      <c r="B5971" t="s">
        <v>28</v>
      </c>
      <c r="C5971">
        <v>27</v>
      </c>
      <c r="D5971" t="s">
        <v>37</v>
      </c>
      <c r="E5971" t="s">
        <v>45</v>
      </c>
      <c r="F5971" s="1">
        <v>42521</v>
      </c>
      <c r="G5971" s="1">
        <v>42521</v>
      </c>
      <c r="H5971" t="s">
        <v>41</v>
      </c>
      <c r="I5971">
        <v>0</v>
      </c>
      <c r="J5971" t="s">
        <v>111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 t="s">
        <v>23</v>
      </c>
      <c r="R5971">
        <v>0</v>
      </c>
    </row>
    <row r="5972" spans="1:18">
      <c r="A5972" s="4">
        <v>862434000000000</v>
      </c>
      <c r="B5972" t="s">
        <v>28</v>
      </c>
      <c r="C5972">
        <v>31</v>
      </c>
      <c r="D5972" t="s">
        <v>37</v>
      </c>
      <c r="E5972" t="s">
        <v>43</v>
      </c>
      <c r="F5972" s="1">
        <v>42521</v>
      </c>
      <c r="G5972" s="1">
        <v>42527</v>
      </c>
      <c r="H5972" t="s">
        <v>30</v>
      </c>
      <c r="I5972">
        <v>6</v>
      </c>
      <c r="J5972" t="s">
        <v>107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 t="s">
        <v>26</v>
      </c>
      <c r="R5972">
        <v>1</v>
      </c>
    </row>
    <row r="5973" spans="1:18">
      <c r="A5973" s="4">
        <v>3243720000000</v>
      </c>
      <c r="B5973" t="s">
        <v>18</v>
      </c>
      <c r="C5973">
        <v>59</v>
      </c>
      <c r="D5973" t="s">
        <v>35</v>
      </c>
      <c r="E5973" t="s">
        <v>64</v>
      </c>
      <c r="F5973" s="1">
        <v>42521</v>
      </c>
      <c r="G5973" s="1">
        <v>42523</v>
      </c>
      <c r="H5973" t="s">
        <v>33</v>
      </c>
      <c r="I5973">
        <v>2</v>
      </c>
      <c r="J5973" t="s">
        <v>109</v>
      </c>
      <c r="K5973">
        <v>1</v>
      </c>
      <c r="L5973">
        <v>0</v>
      </c>
      <c r="M5973">
        <v>1</v>
      </c>
      <c r="N5973">
        <v>0</v>
      </c>
      <c r="O5973">
        <v>0</v>
      </c>
      <c r="P5973">
        <v>0</v>
      </c>
      <c r="Q5973" t="s">
        <v>23</v>
      </c>
      <c r="R5973">
        <v>0</v>
      </c>
    </row>
    <row r="5974" spans="1:18">
      <c r="A5974" s="4">
        <v>463679000000</v>
      </c>
      <c r="B5974" t="s">
        <v>18</v>
      </c>
      <c r="C5974">
        <v>1</v>
      </c>
      <c r="D5974" t="s">
        <v>31</v>
      </c>
      <c r="E5974" t="s">
        <v>47</v>
      </c>
      <c r="F5974" s="1">
        <v>42521</v>
      </c>
      <c r="G5974" s="1">
        <v>42521</v>
      </c>
      <c r="H5974" t="s">
        <v>41</v>
      </c>
      <c r="I5974">
        <v>0</v>
      </c>
      <c r="J5974" t="s">
        <v>111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 t="s">
        <v>23</v>
      </c>
      <c r="R5974">
        <v>0</v>
      </c>
    </row>
    <row r="5975" spans="1:18">
      <c r="A5975" s="4">
        <v>813540000000</v>
      </c>
      <c r="B5975" t="s">
        <v>18</v>
      </c>
      <c r="C5975">
        <v>85</v>
      </c>
      <c r="D5975" t="s">
        <v>19</v>
      </c>
      <c r="E5975" t="s">
        <v>71</v>
      </c>
      <c r="F5975" s="1">
        <v>42521</v>
      </c>
      <c r="G5975" s="1">
        <v>42523</v>
      </c>
      <c r="H5975" t="s">
        <v>33</v>
      </c>
      <c r="I5975">
        <v>2</v>
      </c>
      <c r="J5975" t="s">
        <v>109</v>
      </c>
      <c r="K5975">
        <v>0</v>
      </c>
      <c r="L5975">
        <v>1</v>
      </c>
      <c r="M5975">
        <v>1</v>
      </c>
      <c r="N5975">
        <v>0</v>
      </c>
      <c r="O5975">
        <v>0</v>
      </c>
      <c r="P5975">
        <v>0</v>
      </c>
      <c r="Q5975" t="s">
        <v>23</v>
      </c>
      <c r="R5975">
        <v>0</v>
      </c>
    </row>
    <row r="5976" spans="1:18">
      <c r="A5976" s="4">
        <v>6922290000000</v>
      </c>
      <c r="B5976" t="s">
        <v>18</v>
      </c>
      <c r="C5976">
        <v>15</v>
      </c>
      <c r="D5976" t="s">
        <v>60</v>
      </c>
      <c r="E5976" t="s">
        <v>75</v>
      </c>
      <c r="F5976" s="1">
        <v>42521</v>
      </c>
      <c r="G5976" s="1">
        <v>42521</v>
      </c>
      <c r="H5976" t="s">
        <v>41</v>
      </c>
      <c r="I5976">
        <v>0</v>
      </c>
      <c r="J5976" t="s">
        <v>111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 t="s">
        <v>23</v>
      </c>
      <c r="R5976">
        <v>0</v>
      </c>
    </row>
    <row r="5977" spans="1:18">
      <c r="A5977" s="4">
        <v>54196200000000</v>
      </c>
      <c r="B5977" t="s">
        <v>28</v>
      </c>
      <c r="C5977">
        <v>17</v>
      </c>
      <c r="D5977" t="s">
        <v>60</v>
      </c>
      <c r="E5977" t="s">
        <v>71</v>
      </c>
      <c r="F5977" s="1">
        <v>42521</v>
      </c>
      <c r="G5977" s="1">
        <v>42529</v>
      </c>
      <c r="H5977" t="s">
        <v>25</v>
      </c>
      <c r="I5977">
        <v>8</v>
      </c>
      <c r="J5977" t="s">
        <v>92</v>
      </c>
      <c r="K5977">
        <v>1</v>
      </c>
      <c r="L5977">
        <v>0</v>
      </c>
      <c r="M5977">
        <v>0</v>
      </c>
      <c r="N5977">
        <v>0</v>
      </c>
      <c r="O5977">
        <v>0</v>
      </c>
      <c r="P5977">
        <v>0</v>
      </c>
      <c r="Q5977" t="s">
        <v>23</v>
      </c>
      <c r="R5977">
        <v>0</v>
      </c>
    </row>
    <row r="5978" spans="1:18">
      <c r="A5978" s="4">
        <v>26698500000000</v>
      </c>
      <c r="B5978" t="s">
        <v>18</v>
      </c>
      <c r="C5978">
        <v>9</v>
      </c>
      <c r="D5978" t="s">
        <v>31</v>
      </c>
      <c r="E5978" t="s">
        <v>108</v>
      </c>
      <c r="F5978" s="1">
        <v>42521</v>
      </c>
      <c r="G5978" s="1">
        <v>42528</v>
      </c>
      <c r="H5978" t="s">
        <v>41</v>
      </c>
      <c r="I5978">
        <v>7</v>
      </c>
      <c r="J5978" t="s">
        <v>107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1</v>
      </c>
      <c r="Q5978" t="s">
        <v>23</v>
      </c>
      <c r="R5978">
        <v>0</v>
      </c>
    </row>
    <row r="5979" spans="1:18">
      <c r="A5979" s="4">
        <v>49983800000000</v>
      </c>
      <c r="B5979" t="s">
        <v>28</v>
      </c>
      <c r="C5979">
        <v>45</v>
      </c>
      <c r="D5979" t="s">
        <v>27</v>
      </c>
      <c r="E5979" t="s">
        <v>59</v>
      </c>
      <c r="F5979" s="1">
        <v>42521</v>
      </c>
      <c r="G5979" s="1">
        <v>42521</v>
      </c>
      <c r="H5979" t="s">
        <v>41</v>
      </c>
      <c r="I5979">
        <v>0</v>
      </c>
      <c r="J5979" t="s">
        <v>111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 t="s">
        <v>23</v>
      </c>
      <c r="R5979">
        <v>0</v>
      </c>
    </row>
    <row r="5980" spans="1:18">
      <c r="A5980" s="4">
        <v>64858700000000</v>
      </c>
      <c r="B5980" t="s">
        <v>18</v>
      </c>
      <c r="C5980">
        <v>29</v>
      </c>
      <c r="D5980" t="s">
        <v>37</v>
      </c>
      <c r="E5980" t="s">
        <v>72</v>
      </c>
      <c r="F5980" s="1">
        <v>42521</v>
      </c>
      <c r="G5980" s="1">
        <v>42523</v>
      </c>
      <c r="H5980" t="s">
        <v>33</v>
      </c>
      <c r="I5980">
        <v>2</v>
      </c>
      <c r="J5980" t="s">
        <v>109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 t="s">
        <v>23</v>
      </c>
      <c r="R5980">
        <v>0</v>
      </c>
    </row>
    <row r="5981" spans="1:18">
      <c r="A5981" s="4">
        <v>692686000000</v>
      </c>
      <c r="B5981" t="s">
        <v>18</v>
      </c>
      <c r="C5981">
        <v>38</v>
      </c>
      <c r="D5981" t="s">
        <v>27</v>
      </c>
      <c r="E5981" t="s">
        <v>58</v>
      </c>
      <c r="F5981" s="1">
        <v>42521</v>
      </c>
      <c r="G5981" s="1">
        <v>42521</v>
      </c>
      <c r="H5981" t="s">
        <v>41</v>
      </c>
      <c r="I5981">
        <v>0</v>
      </c>
      <c r="J5981" t="s">
        <v>111</v>
      </c>
      <c r="K5981">
        <v>1</v>
      </c>
      <c r="L5981">
        <v>0</v>
      </c>
      <c r="M5981">
        <v>0</v>
      </c>
      <c r="N5981">
        <v>0</v>
      </c>
      <c r="O5981">
        <v>0</v>
      </c>
      <c r="P5981">
        <v>0</v>
      </c>
      <c r="Q5981" t="s">
        <v>23</v>
      </c>
      <c r="R5981">
        <v>0</v>
      </c>
    </row>
    <row r="5982" spans="1:18">
      <c r="A5982" s="4">
        <v>969332000000000</v>
      </c>
      <c r="B5982" t="s">
        <v>18</v>
      </c>
      <c r="C5982">
        <v>9</v>
      </c>
      <c r="D5982" t="s">
        <v>31</v>
      </c>
      <c r="E5982" t="s">
        <v>20</v>
      </c>
      <c r="F5982" s="1">
        <v>42521</v>
      </c>
      <c r="G5982" s="1">
        <v>42523</v>
      </c>
      <c r="H5982" t="s">
        <v>33</v>
      </c>
      <c r="I5982">
        <v>2</v>
      </c>
      <c r="J5982" t="s">
        <v>109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 t="s">
        <v>23</v>
      </c>
      <c r="R5982">
        <v>0</v>
      </c>
    </row>
    <row r="5983" spans="1:18">
      <c r="A5983" s="4">
        <v>352640000000</v>
      </c>
      <c r="B5983" t="s">
        <v>28</v>
      </c>
      <c r="C5983">
        <v>42</v>
      </c>
      <c r="D5983" t="s">
        <v>27</v>
      </c>
      <c r="E5983" t="s">
        <v>72</v>
      </c>
      <c r="F5983" s="1">
        <v>42521</v>
      </c>
      <c r="G5983" s="1">
        <v>42523</v>
      </c>
      <c r="H5983" t="s">
        <v>33</v>
      </c>
      <c r="I5983">
        <v>2</v>
      </c>
      <c r="J5983" t="s">
        <v>109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 t="s">
        <v>23</v>
      </c>
      <c r="R5983">
        <v>0</v>
      </c>
    </row>
    <row r="5984" spans="1:18">
      <c r="A5984" s="4">
        <v>461434000000000</v>
      </c>
      <c r="B5984" t="s">
        <v>18</v>
      </c>
      <c r="C5984">
        <v>16</v>
      </c>
      <c r="D5984" t="s">
        <v>60</v>
      </c>
      <c r="E5984" t="s">
        <v>38</v>
      </c>
      <c r="F5984" s="1">
        <v>42521</v>
      </c>
      <c r="G5984" s="1">
        <v>42523</v>
      </c>
      <c r="H5984" t="s">
        <v>33</v>
      </c>
      <c r="I5984">
        <v>2</v>
      </c>
      <c r="J5984" t="s">
        <v>109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 t="s">
        <v>23</v>
      </c>
      <c r="R5984">
        <v>0</v>
      </c>
    </row>
    <row r="5985" spans="1:18">
      <c r="A5985" s="4">
        <v>6986950000000</v>
      </c>
      <c r="B5985" t="s">
        <v>18</v>
      </c>
      <c r="C5985">
        <v>47</v>
      </c>
      <c r="D5985" t="s">
        <v>27</v>
      </c>
      <c r="E5985" t="s">
        <v>106</v>
      </c>
      <c r="F5985" s="1">
        <v>42521</v>
      </c>
      <c r="G5985" s="1">
        <v>42523</v>
      </c>
      <c r="H5985" t="s">
        <v>33</v>
      </c>
      <c r="I5985">
        <v>2</v>
      </c>
      <c r="J5985" t="s">
        <v>109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 t="s">
        <v>23</v>
      </c>
      <c r="R5985">
        <v>0</v>
      </c>
    </row>
    <row r="5986" spans="1:18">
      <c r="A5986" s="4">
        <v>987694000000</v>
      </c>
      <c r="B5986" t="s">
        <v>18</v>
      </c>
      <c r="C5986">
        <v>26</v>
      </c>
      <c r="D5986" t="s">
        <v>37</v>
      </c>
      <c r="E5986" t="s">
        <v>65</v>
      </c>
      <c r="F5986" s="1">
        <v>42521</v>
      </c>
      <c r="G5986" s="1">
        <v>42523</v>
      </c>
      <c r="H5986" t="s">
        <v>33</v>
      </c>
      <c r="I5986">
        <v>2</v>
      </c>
      <c r="J5986" t="s">
        <v>109</v>
      </c>
      <c r="K5986">
        <v>0</v>
      </c>
      <c r="L5986">
        <v>1</v>
      </c>
      <c r="M5986">
        <v>1</v>
      </c>
      <c r="N5986">
        <v>0</v>
      </c>
      <c r="O5986">
        <v>0</v>
      </c>
      <c r="P5986">
        <v>0</v>
      </c>
      <c r="Q5986" t="s">
        <v>23</v>
      </c>
      <c r="R5986">
        <v>0</v>
      </c>
    </row>
    <row r="5987" spans="1:18">
      <c r="A5987" s="4">
        <v>319715000000000</v>
      </c>
      <c r="B5987" t="s">
        <v>18</v>
      </c>
      <c r="C5987">
        <v>61</v>
      </c>
      <c r="D5987" t="s">
        <v>35</v>
      </c>
      <c r="E5987" t="s">
        <v>96</v>
      </c>
      <c r="F5987" s="1">
        <v>42521</v>
      </c>
      <c r="G5987" s="1">
        <v>42529</v>
      </c>
      <c r="H5987" t="s">
        <v>25</v>
      </c>
      <c r="I5987">
        <v>8</v>
      </c>
      <c r="J5987" t="s">
        <v>92</v>
      </c>
      <c r="K5987">
        <v>0</v>
      </c>
      <c r="L5987">
        <v>1</v>
      </c>
      <c r="M5987">
        <v>0</v>
      </c>
      <c r="N5987">
        <v>0</v>
      </c>
      <c r="O5987">
        <v>0</v>
      </c>
      <c r="P5987">
        <v>1</v>
      </c>
      <c r="Q5987" t="s">
        <v>23</v>
      </c>
      <c r="R5987">
        <v>0</v>
      </c>
    </row>
    <row r="5988" spans="1:18">
      <c r="A5988" s="4">
        <v>5996140000000</v>
      </c>
      <c r="B5988" t="s">
        <v>18</v>
      </c>
      <c r="C5988">
        <v>22</v>
      </c>
      <c r="D5988" t="s">
        <v>37</v>
      </c>
      <c r="E5988" t="s">
        <v>72</v>
      </c>
      <c r="F5988" s="1">
        <v>42521</v>
      </c>
      <c r="G5988" s="1">
        <v>42521</v>
      </c>
      <c r="H5988" t="s">
        <v>41</v>
      </c>
      <c r="I5988">
        <v>0</v>
      </c>
      <c r="J5988" t="s">
        <v>111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 t="s">
        <v>23</v>
      </c>
      <c r="R5988">
        <v>0</v>
      </c>
    </row>
    <row r="5989" spans="1:18">
      <c r="A5989" s="4">
        <v>88883700000000</v>
      </c>
      <c r="B5989" t="s">
        <v>18</v>
      </c>
      <c r="C5989">
        <v>90</v>
      </c>
      <c r="D5989" t="s">
        <v>19</v>
      </c>
      <c r="E5989" t="s">
        <v>69</v>
      </c>
      <c r="F5989" s="1">
        <v>42521</v>
      </c>
      <c r="G5989" s="1">
        <v>42521</v>
      </c>
      <c r="H5989" t="s">
        <v>41</v>
      </c>
      <c r="I5989">
        <v>0</v>
      </c>
      <c r="J5989" t="s">
        <v>111</v>
      </c>
      <c r="K5989">
        <v>0</v>
      </c>
      <c r="L5989">
        <v>1</v>
      </c>
      <c r="M5989">
        <v>0</v>
      </c>
      <c r="N5989">
        <v>0</v>
      </c>
      <c r="O5989">
        <v>0</v>
      </c>
      <c r="P5989">
        <v>0</v>
      </c>
      <c r="Q5989" t="s">
        <v>23</v>
      </c>
      <c r="R5989">
        <v>0</v>
      </c>
    </row>
    <row r="5990" spans="1:18">
      <c r="A5990" s="4">
        <v>45441900000000</v>
      </c>
      <c r="B5990" t="s">
        <v>18</v>
      </c>
      <c r="C5990">
        <v>52</v>
      </c>
      <c r="D5990" t="s">
        <v>35</v>
      </c>
      <c r="E5990" t="s">
        <v>55</v>
      </c>
      <c r="F5990" s="1">
        <v>42521</v>
      </c>
      <c r="G5990" s="1">
        <v>42523</v>
      </c>
      <c r="H5990" t="s">
        <v>33</v>
      </c>
      <c r="I5990">
        <v>2</v>
      </c>
      <c r="J5990" t="s">
        <v>109</v>
      </c>
      <c r="K5990">
        <v>1</v>
      </c>
      <c r="L5990">
        <v>1</v>
      </c>
      <c r="M5990">
        <v>0</v>
      </c>
      <c r="N5990">
        <v>0</v>
      </c>
      <c r="O5990">
        <v>0</v>
      </c>
      <c r="P5990">
        <v>0</v>
      </c>
      <c r="Q5990" t="s">
        <v>23</v>
      </c>
      <c r="R5990">
        <v>0</v>
      </c>
    </row>
    <row r="5991" spans="1:18">
      <c r="A5991" s="4">
        <v>435449000000000</v>
      </c>
      <c r="B5991" t="s">
        <v>28</v>
      </c>
      <c r="C5991">
        <v>24</v>
      </c>
      <c r="D5991" t="s">
        <v>37</v>
      </c>
      <c r="E5991" t="s">
        <v>47</v>
      </c>
      <c r="F5991" s="1">
        <v>42521</v>
      </c>
      <c r="G5991" s="1">
        <v>42521</v>
      </c>
      <c r="H5991" t="s">
        <v>41</v>
      </c>
      <c r="I5991">
        <v>0</v>
      </c>
      <c r="J5991" t="s">
        <v>111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 t="s">
        <v>23</v>
      </c>
      <c r="R5991">
        <v>0</v>
      </c>
    </row>
    <row r="5992" spans="1:18">
      <c r="A5992" s="4">
        <v>36344200000000</v>
      </c>
      <c r="B5992" t="s">
        <v>18</v>
      </c>
      <c r="C5992">
        <v>54</v>
      </c>
      <c r="D5992" t="s">
        <v>35</v>
      </c>
      <c r="E5992" t="s">
        <v>45</v>
      </c>
      <c r="F5992" s="1">
        <v>42521</v>
      </c>
      <c r="G5992" s="1">
        <v>42523</v>
      </c>
      <c r="H5992" t="s">
        <v>33</v>
      </c>
      <c r="I5992">
        <v>2</v>
      </c>
      <c r="J5992" t="s">
        <v>109</v>
      </c>
      <c r="K5992">
        <v>0</v>
      </c>
      <c r="L5992">
        <v>1</v>
      </c>
      <c r="M5992">
        <v>0</v>
      </c>
      <c r="N5992">
        <v>0</v>
      </c>
      <c r="O5992">
        <v>0</v>
      </c>
      <c r="P5992">
        <v>0</v>
      </c>
      <c r="Q5992" t="s">
        <v>23</v>
      </c>
      <c r="R5992">
        <v>0</v>
      </c>
    </row>
    <row r="5993" spans="1:18">
      <c r="A5993" s="4">
        <v>26698500000000</v>
      </c>
      <c r="B5993" t="s">
        <v>18</v>
      </c>
      <c r="C5993">
        <v>9</v>
      </c>
      <c r="D5993" t="s">
        <v>31</v>
      </c>
      <c r="E5993" t="s">
        <v>108</v>
      </c>
      <c r="F5993" s="1">
        <v>42521</v>
      </c>
      <c r="G5993" s="1">
        <v>42521</v>
      </c>
      <c r="H5993" t="s">
        <v>41</v>
      </c>
      <c r="I5993">
        <v>0</v>
      </c>
      <c r="J5993" t="s">
        <v>111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 t="s">
        <v>23</v>
      </c>
      <c r="R5993">
        <v>0</v>
      </c>
    </row>
    <row r="5994" spans="1:18">
      <c r="A5994" s="4">
        <v>84411700000000</v>
      </c>
      <c r="B5994" t="s">
        <v>18</v>
      </c>
      <c r="C5994">
        <v>32</v>
      </c>
      <c r="D5994" t="s">
        <v>37</v>
      </c>
      <c r="E5994" t="s">
        <v>96</v>
      </c>
      <c r="F5994" s="1">
        <v>42521</v>
      </c>
      <c r="G5994" s="1">
        <v>42528</v>
      </c>
      <c r="H5994" t="s">
        <v>41</v>
      </c>
      <c r="I5994">
        <v>7</v>
      </c>
      <c r="J5994" t="s">
        <v>107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1</v>
      </c>
      <c r="Q5994" t="s">
        <v>23</v>
      </c>
      <c r="R5994">
        <v>0</v>
      </c>
    </row>
    <row r="5995" spans="1:18">
      <c r="A5995" s="4">
        <v>4519240000000</v>
      </c>
      <c r="B5995" t="s">
        <v>28</v>
      </c>
      <c r="C5995">
        <v>11</v>
      </c>
      <c r="D5995" t="s">
        <v>31</v>
      </c>
      <c r="E5995" t="s">
        <v>45</v>
      </c>
      <c r="F5995" s="1">
        <v>42521</v>
      </c>
      <c r="G5995" s="1">
        <v>42521</v>
      </c>
      <c r="H5995" t="s">
        <v>41</v>
      </c>
      <c r="I5995">
        <v>0</v>
      </c>
      <c r="J5995" t="s">
        <v>111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 t="s">
        <v>23</v>
      </c>
      <c r="R5995">
        <v>0</v>
      </c>
    </row>
    <row r="5996" spans="1:18">
      <c r="A5996" s="4">
        <v>7439790000000</v>
      </c>
      <c r="B5996" t="s">
        <v>28</v>
      </c>
      <c r="C5996">
        <v>9</v>
      </c>
      <c r="D5996" t="s">
        <v>31</v>
      </c>
      <c r="E5996" t="s">
        <v>54</v>
      </c>
      <c r="F5996" s="1">
        <v>42521</v>
      </c>
      <c r="G5996" s="1">
        <v>42521</v>
      </c>
      <c r="H5996" t="s">
        <v>41</v>
      </c>
      <c r="I5996">
        <v>0</v>
      </c>
      <c r="J5996" t="s">
        <v>111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 t="s">
        <v>23</v>
      </c>
      <c r="R5996">
        <v>0</v>
      </c>
    </row>
    <row r="5997" spans="1:18">
      <c r="A5997" s="4">
        <v>273592000000</v>
      </c>
      <c r="B5997" t="s">
        <v>18</v>
      </c>
      <c r="C5997">
        <v>42</v>
      </c>
      <c r="D5997" t="s">
        <v>27</v>
      </c>
      <c r="E5997" t="s">
        <v>46</v>
      </c>
      <c r="F5997" s="1">
        <v>42521</v>
      </c>
      <c r="G5997" s="1">
        <v>42521</v>
      </c>
      <c r="H5997" t="s">
        <v>41</v>
      </c>
      <c r="I5997">
        <v>0</v>
      </c>
      <c r="J5997" t="s">
        <v>111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 t="s">
        <v>23</v>
      </c>
      <c r="R5997">
        <v>0</v>
      </c>
    </row>
    <row r="5998" spans="1:18">
      <c r="A5998" s="4">
        <v>31399900000000</v>
      </c>
      <c r="B5998" t="s">
        <v>28</v>
      </c>
      <c r="C5998">
        <v>4</v>
      </c>
      <c r="D5998" t="s">
        <v>31</v>
      </c>
      <c r="E5998" t="s">
        <v>29</v>
      </c>
      <c r="F5998" s="1">
        <v>42521</v>
      </c>
      <c r="G5998" s="1">
        <v>42523</v>
      </c>
      <c r="H5998" t="s">
        <v>33</v>
      </c>
      <c r="I5998">
        <v>2</v>
      </c>
      <c r="J5998" t="s">
        <v>109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 t="s">
        <v>26</v>
      </c>
      <c r="R5998">
        <v>1</v>
      </c>
    </row>
    <row r="5999" spans="1:18">
      <c r="A5999" s="4">
        <v>34338800000000</v>
      </c>
      <c r="B5999" t="s">
        <v>28</v>
      </c>
      <c r="C5999">
        <v>7</v>
      </c>
      <c r="D5999" t="s">
        <v>31</v>
      </c>
      <c r="E5999" t="s">
        <v>59</v>
      </c>
      <c r="F5999" s="1">
        <v>42521</v>
      </c>
      <c r="G5999" s="1">
        <v>42521</v>
      </c>
      <c r="H5999" t="s">
        <v>41</v>
      </c>
      <c r="I5999">
        <v>0</v>
      </c>
      <c r="J5999" t="s">
        <v>111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 t="s">
        <v>26</v>
      </c>
      <c r="R5999">
        <v>1</v>
      </c>
    </row>
    <row r="6000" spans="1:18">
      <c r="A6000" s="4">
        <v>656634000000000</v>
      </c>
      <c r="B6000" t="s">
        <v>28</v>
      </c>
      <c r="C6000">
        <v>17</v>
      </c>
      <c r="D6000" t="s">
        <v>60</v>
      </c>
      <c r="E6000" t="s">
        <v>96</v>
      </c>
      <c r="F6000" s="1">
        <v>42521</v>
      </c>
      <c r="G6000" s="1">
        <v>42521</v>
      </c>
      <c r="H6000" t="s">
        <v>41</v>
      </c>
      <c r="I6000">
        <v>0</v>
      </c>
      <c r="J6000" t="s">
        <v>111</v>
      </c>
      <c r="K6000">
        <v>1</v>
      </c>
      <c r="L6000">
        <v>0</v>
      </c>
      <c r="M6000">
        <v>0</v>
      </c>
      <c r="N6000">
        <v>0</v>
      </c>
      <c r="O6000">
        <v>0</v>
      </c>
      <c r="P6000">
        <v>0</v>
      </c>
      <c r="Q6000" t="s">
        <v>26</v>
      </c>
      <c r="R6000">
        <v>1</v>
      </c>
    </row>
    <row r="6001" spans="1:18">
      <c r="A6001" s="4">
        <v>533924000000000</v>
      </c>
      <c r="B6001" t="s">
        <v>28</v>
      </c>
      <c r="C6001">
        <v>24</v>
      </c>
      <c r="D6001" t="s">
        <v>37</v>
      </c>
      <c r="E6001" t="s">
        <v>86</v>
      </c>
      <c r="F6001" s="1">
        <v>42521</v>
      </c>
      <c r="G6001" s="1">
        <v>42523</v>
      </c>
      <c r="H6001" t="s">
        <v>33</v>
      </c>
      <c r="I6001">
        <v>2</v>
      </c>
      <c r="J6001" t="s">
        <v>109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 t="s">
        <v>23</v>
      </c>
      <c r="R6001">
        <v>0</v>
      </c>
    </row>
    <row r="6002" spans="1:18">
      <c r="A6002" s="4">
        <v>5172450000000</v>
      </c>
      <c r="B6002" t="s">
        <v>18</v>
      </c>
      <c r="C6002">
        <v>56</v>
      </c>
      <c r="D6002" t="s">
        <v>35</v>
      </c>
      <c r="E6002" t="s">
        <v>58</v>
      </c>
      <c r="F6002" s="1">
        <v>42521</v>
      </c>
      <c r="G6002" s="1">
        <v>42521</v>
      </c>
      <c r="H6002" t="s">
        <v>41</v>
      </c>
      <c r="I6002">
        <v>0</v>
      </c>
      <c r="J6002" t="s">
        <v>111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 t="s">
        <v>23</v>
      </c>
      <c r="R6002">
        <v>0</v>
      </c>
    </row>
    <row r="6003" spans="1:18">
      <c r="A6003" s="4">
        <v>567117000000</v>
      </c>
      <c r="B6003" t="s">
        <v>18</v>
      </c>
      <c r="C6003">
        <v>32</v>
      </c>
      <c r="D6003" t="s">
        <v>37</v>
      </c>
      <c r="E6003" t="s">
        <v>66</v>
      </c>
      <c r="F6003" s="1">
        <v>42521</v>
      </c>
      <c r="G6003" s="1">
        <v>42524</v>
      </c>
      <c r="H6003" t="s">
        <v>21</v>
      </c>
      <c r="I6003">
        <v>3</v>
      </c>
      <c r="J6003" t="s">
        <v>109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1</v>
      </c>
      <c r="Q6003" t="s">
        <v>23</v>
      </c>
      <c r="R6003">
        <v>0</v>
      </c>
    </row>
    <row r="6004" spans="1:18">
      <c r="A6004" s="4">
        <v>253654000000</v>
      </c>
      <c r="B6004" t="s">
        <v>18</v>
      </c>
      <c r="C6004">
        <v>4</v>
      </c>
      <c r="D6004" t="s">
        <v>31</v>
      </c>
      <c r="E6004" t="s">
        <v>57</v>
      </c>
      <c r="F6004" s="1">
        <v>42521</v>
      </c>
      <c r="G6004" s="1">
        <v>42521</v>
      </c>
      <c r="H6004" t="s">
        <v>41</v>
      </c>
      <c r="I6004">
        <v>0</v>
      </c>
      <c r="J6004" t="s">
        <v>111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 t="s">
        <v>23</v>
      </c>
      <c r="R6004">
        <v>0</v>
      </c>
    </row>
    <row r="6005" spans="1:18">
      <c r="A6005" s="4">
        <v>83416100000000</v>
      </c>
      <c r="B6005" t="s">
        <v>18</v>
      </c>
      <c r="C6005">
        <v>42</v>
      </c>
      <c r="D6005" t="s">
        <v>27</v>
      </c>
      <c r="E6005" t="s">
        <v>69</v>
      </c>
      <c r="F6005" s="1">
        <v>42521</v>
      </c>
      <c r="G6005" s="1">
        <v>42521</v>
      </c>
      <c r="H6005" t="s">
        <v>41</v>
      </c>
      <c r="I6005">
        <v>0</v>
      </c>
      <c r="J6005" t="s">
        <v>111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 t="s">
        <v>23</v>
      </c>
      <c r="R6005">
        <v>0</v>
      </c>
    </row>
    <row r="6006" spans="1:18">
      <c r="A6006" s="4">
        <v>2647350000000</v>
      </c>
      <c r="B6006" t="s">
        <v>18</v>
      </c>
      <c r="C6006">
        <v>75</v>
      </c>
      <c r="D6006" t="s">
        <v>19</v>
      </c>
      <c r="E6006" t="s">
        <v>68</v>
      </c>
      <c r="F6006" s="1">
        <v>42521</v>
      </c>
      <c r="G6006" s="1">
        <v>42523</v>
      </c>
      <c r="H6006" t="s">
        <v>33</v>
      </c>
      <c r="I6006">
        <v>2</v>
      </c>
      <c r="J6006" t="s">
        <v>109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 t="s">
        <v>26</v>
      </c>
      <c r="R6006">
        <v>1</v>
      </c>
    </row>
    <row r="6007" spans="1:18">
      <c r="A6007" s="4">
        <v>672436000000</v>
      </c>
      <c r="B6007" t="s">
        <v>28</v>
      </c>
      <c r="C6007">
        <v>0</v>
      </c>
      <c r="D6007" t="s">
        <v>31</v>
      </c>
      <c r="E6007" t="s">
        <v>105</v>
      </c>
      <c r="F6007" s="1">
        <v>42521</v>
      </c>
      <c r="G6007" s="1">
        <v>42521</v>
      </c>
      <c r="H6007" t="s">
        <v>41</v>
      </c>
      <c r="I6007">
        <v>0</v>
      </c>
      <c r="J6007" t="s">
        <v>111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 t="s">
        <v>23</v>
      </c>
      <c r="R6007">
        <v>0</v>
      </c>
    </row>
    <row r="6008" spans="1:18">
      <c r="A6008" s="4">
        <v>335818000000</v>
      </c>
      <c r="B6008" t="s">
        <v>18</v>
      </c>
      <c r="C6008">
        <v>32</v>
      </c>
      <c r="D6008" t="s">
        <v>37</v>
      </c>
      <c r="E6008" t="s">
        <v>72</v>
      </c>
      <c r="F6008" s="1">
        <v>42521</v>
      </c>
      <c r="G6008" s="1">
        <v>42521</v>
      </c>
      <c r="H6008" t="s">
        <v>41</v>
      </c>
      <c r="I6008">
        <v>0</v>
      </c>
      <c r="J6008" t="s">
        <v>111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 t="s">
        <v>23</v>
      </c>
      <c r="R6008">
        <v>0</v>
      </c>
    </row>
    <row r="6009" spans="1:18">
      <c r="A6009" s="4">
        <v>69887400000000</v>
      </c>
      <c r="B6009" t="s">
        <v>18</v>
      </c>
      <c r="C6009">
        <v>57</v>
      </c>
      <c r="D6009" t="s">
        <v>35</v>
      </c>
      <c r="E6009" t="s">
        <v>32</v>
      </c>
      <c r="F6009" s="1">
        <v>42521</v>
      </c>
      <c r="G6009" s="1">
        <v>42521</v>
      </c>
      <c r="H6009" t="s">
        <v>41</v>
      </c>
      <c r="I6009">
        <v>0</v>
      </c>
      <c r="J6009" t="s">
        <v>111</v>
      </c>
      <c r="K6009">
        <v>0</v>
      </c>
      <c r="L6009">
        <v>1</v>
      </c>
      <c r="M6009">
        <v>0</v>
      </c>
      <c r="N6009">
        <v>0</v>
      </c>
      <c r="O6009">
        <v>0</v>
      </c>
      <c r="P6009">
        <v>0</v>
      </c>
      <c r="Q6009" t="s">
        <v>23</v>
      </c>
      <c r="R6009">
        <v>0</v>
      </c>
    </row>
    <row r="6010" spans="1:18">
      <c r="A6010" s="4">
        <v>12723400000000</v>
      </c>
      <c r="B6010" t="s">
        <v>18</v>
      </c>
      <c r="C6010">
        <v>53</v>
      </c>
      <c r="D6010" t="s">
        <v>35</v>
      </c>
      <c r="E6010" t="s">
        <v>66</v>
      </c>
      <c r="F6010" s="1">
        <v>42521</v>
      </c>
      <c r="G6010" s="1">
        <v>42521</v>
      </c>
      <c r="H6010" t="s">
        <v>41</v>
      </c>
      <c r="I6010">
        <v>0</v>
      </c>
      <c r="J6010" t="s">
        <v>111</v>
      </c>
      <c r="K6010">
        <v>0</v>
      </c>
      <c r="L6010">
        <v>1</v>
      </c>
      <c r="M6010">
        <v>1</v>
      </c>
      <c r="N6010">
        <v>0</v>
      </c>
      <c r="O6010">
        <v>0</v>
      </c>
      <c r="P6010">
        <v>0</v>
      </c>
      <c r="Q6010" t="s">
        <v>23</v>
      </c>
      <c r="R6010">
        <v>0</v>
      </c>
    </row>
    <row r="6011" spans="1:18">
      <c r="A6011" s="4">
        <v>3716910000000</v>
      </c>
      <c r="B6011" t="s">
        <v>18</v>
      </c>
      <c r="C6011">
        <v>32</v>
      </c>
      <c r="D6011" t="s">
        <v>37</v>
      </c>
      <c r="E6011" t="s">
        <v>61</v>
      </c>
      <c r="F6011" s="1">
        <v>42521</v>
      </c>
      <c r="G6011" s="1">
        <v>42521</v>
      </c>
      <c r="H6011" t="s">
        <v>41</v>
      </c>
      <c r="I6011">
        <v>0</v>
      </c>
      <c r="J6011" t="s">
        <v>111</v>
      </c>
      <c r="K6011">
        <v>1</v>
      </c>
      <c r="L6011">
        <v>0</v>
      </c>
      <c r="M6011">
        <v>0</v>
      </c>
      <c r="N6011">
        <v>0</v>
      </c>
      <c r="O6011">
        <v>0</v>
      </c>
      <c r="P6011">
        <v>0</v>
      </c>
      <c r="Q6011" t="s">
        <v>23</v>
      </c>
      <c r="R6011">
        <v>0</v>
      </c>
    </row>
    <row r="6012" spans="1:18">
      <c r="A6012" s="4">
        <v>84975900000000</v>
      </c>
      <c r="B6012" t="s">
        <v>18</v>
      </c>
      <c r="C6012">
        <v>1</v>
      </c>
      <c r="D6012" t="s">
        <v>31</v>
      </c>
      <c r="E6012" t="s">
        <v>108</v>
      </c>
      <c r="F6012" s="1">
        <v>42521</v>
      </c>
      <c r="G6012" s="1">
        <v>42521</v>
      </c>
      <c r="H6012" t="s">
        <v>41</v>
      </c>
      <c r="I6012">
        <v>0</v>
      </c>
      <c r="J6012" t="s">
        <v>111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 t="s">
        <v>23</v>
      </c>
      <c r="R6012">
        <v>0</v>
      </c>
    </row>
    <row r="6013" spans="1:18">
      <c r="A6013" s="4">
        <v>492873000000000</v>
      </c>
      <c r="B6013" t="s">
        <v>18</v>
      </c>
      <c r="C6013">
        <v>46</v>
      </c>
      <c r="D6013" t="s">
        <v>27</v>
      </c>
      <c r="E6013" t="s">
        <v>69</v>
      </c>
      <c r="F6013" s="1">
        <v>42521</v>
      </c>
      <c r="G6013" s="1">
        <v>42522</v>
      </c>
      <c r="H6013" t="s">
        <v>25</v>
      </c>
      <c r="I6013">
        <v>1</v>
      </c>
      <c r="J6013" t="s">
        <v>109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 t="s">
        <v>23</v>
      </c>
      <c r="R6013">
        <v>0</v>
      </c>
    </row>
    <row r="6014" spans="1:18">
      <c r="A6014" s="4">
        <v>89443663232</v>
      </c>
      <c r="B6014" t="s">
        <v>28</v>
      </c>
      <c r="C6014">
        <v>36</v>
      </c>
      <c r="D6014" t="s">
        <v>27</v>
      </c>
      <c r="E6014" t="s">
        <v>40</v>
      </c>
      <c r="F6014" s="1">
        <v>42521</v>
      </c>
      <c r="G6014" s="1">
        <v>42523</v>
      </c>
      <c r="H6014" t="s">
        <v>33</v>
      </c>
      <c r="I6014">
        <v>2</v>
      </c>
      <c r="J6014" t="s">
        <v>109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 t="s">
        <v>23</v>
      </c>
      <c r="R6014">
        <v>0</v>
      </c>
    </row>
    <row r="6015" spans="1:18">
      <c r="A6015" s="4">
        <v>878988000000</v>
      </c>
      <c r="B6015" t="s">
        <v>18</v>
      </c>
      <c r="C6015">
        <v>56</v>
      </c>
      <c r="D6015" t="s">
        <v>35</v>
      </c>
      <c r="E6015" t="s">
        <v>50</v>
      </c>
      <c r="F6015" s="1">
        <v>42521</v>
      </c>
      <c r="G6015" s="1">
        <v>42521</v>
      </c>
      <c r="H6015" t="s">
        <v>41</v>
      </c>
      <c r="I6015">
        <v>0</v>
      </c>
      <c r="J6015" t="s">
        <v>111</v>
      </c>
      <c r="K6015">
        <v>0</v>
      </c>
      <c r="L6015">
        <v>1</v>
      </c>
      <c r="M6015">
        <v>1</v>
      </c>
      <c r="N6015">
        <v>0</v>
      </c>
      <c r="O6015">
        <v>0</v>
      </c>
      <c r="P6015">
        <v>0</v>
      </c>
      <c r="Q6015" t="s">
        <v>23</v>
      </c>
      <c r="R6015">
        <v>0</v>
      </c>
    </row>
    <row r="6016" spans="1:18">
      <c r="A6016" s="4">
        <v>445593000000000</v>
      </c>
      <c r="B6016" t="s">
        <v>18</v>
      </c>
      <c r="C6016">
        <v>54</v>
      </c>
      <c r="D6016" t="s">
        <v>35</v>
      </c>
      <c r="E6016" t="s">
        <v>42</v>
      </c>
      <c r="F6016" s="1">
        <v>42521</v>
      </c>
      <c r="G6016" s="1">
        <v>42522</v>
      </c>
      <c r="H6016" t="s">
        <v>25</v>
      </c>
      <c r="I6016">
        <v>1</v>
      </c>
      <c r="J6016" t="s">
        <v>109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 t="s">
        <v>23</v>
      </c>
      <c r="R6016">
        <v>0</v>
      </c>
    </row>
    <row r="6017" spans="1:18">
      <c r="A6017" s="4">
        <v>22351300000000</v>
      </c>
      <c r="B6017" t="s">
        <v>28</v>
      </c>
      <c r="C6017">
        <v>62</v>
      </c>
      <c r="D6017" t="s">
        <v>35</v>
      </c>
      <c r="E6017" t="s">
        <v>39</v>
      </c>
      <c r="F6017" s="1">
        <v>42521</v>
      </c>
      <c r="G6017" s="1">
        <v>42521</v>
      </c>
      <c r="H6017" t="s">
        <v>41</v>
      </c>
      <c r="I6017">
        <v>0</v>
      </c>
      <c r="J6017" t="s">
        <v>111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 t="s">
        <v>23</v>
      </c>
      <c r="R6017">
        <v>0</v>
      </c>
    </row>
    <row r="6018" spans="1:18">
      <c r="A6018" s="4">
        <v>83124200000000</v>
      </c>
      <c r="B6018" t="s">
        <v>18</v>
      </c>
      <c r="C6018">
        <v>2</v>
      </c>
      <c r="D6018" t="s">
        <v>31</v>
      </c>
      <c r="E6018" t="s">
        <v>79</v>
      </c>
      <c r="F6018" s="1">
        <v>42521</v>
      </c>
      <c r="G6018" s="1">
        <v>42521</v>
      </c>
      <c r="H6018" t="s">
        <v>41</v>
      </c>
      <c r="I6018">
        <v>0</v>
      </c>
      <c r="J6018" t="s">
        <v>111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23</v>
      </c>
      <c r="R6018">
        <v>0</v>
      </c>
    </row>
    <row r="6019" spans="1:18">
      <c r="A6019" s="4">
        <v>96494600000000</v>
      </c>
      <c r="B6019" t="s">
        <v>28</v>
      </c>
      <c r="C6019">
        <v>26</v>
      </c>
      <c r="D6019" t="s">
        <v>37</v>
      </c>
      <c r="E6019" t="s">
        <v>59</v>
      </c>
      <c r="F6019" s="1">
        <v>42521</v>
      </c>
      <c r="G6019" s="1">
        <v>42522</v>
      </c>
      <c r="H6019" t="s">
        <v>25</v>
      </c>
      <c r="I6019">
        <v>1</v>
      </c>
      <c r="J6019" t="s">
        <v>109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23</v>
      </c>
      <c r="R6019">
        <v>0</v>
      </c>
    </row>
    <row r="6020" spans="1:18">
      <c r="A6020" s="4">
        <v>682550000000</v>
      </c>
      <c r="B6020" t="s">
        <v>18</v>
      </c>
      <c r="C6020">
        <v>34</v>
      </c>
      <c r="D6020" t="s">
        <v>37</v>
      </c>
      <c r="E6020" t="s">
        <v>93</v>
      </c>
      <c r="F6020" s="1">
        <v>42521</v>
      </c>
      <c r="G6020" s="1">
        <v>42522</v>
      </c>
      <c r="H6020" t="s">
        <v>25</v>
      </c>
      <c r="I6020">
        <v>1</v>
      </c>
      <c r="J6020" t="s">
        <v>109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 t="s">
        <v>23</v>
      </c>
      <c r="R6020">
        <v>0</v>
      </c>
    </row>
    <row r="6021" spans="1:18">
      <c r="A6021" s="4">
        <v>33784800000000</v>
      </c>
      <c r="B6021" t="s">
        <v>18</v>
      </c>
      <c r="C6021">
        <v>3</v>
      </c>
      <c r="D6021" t="s">
        <v>31</v>
      </c>
      <c r="E6021" t="s">
        <v>64</v>
      </c>
      <c r="F6021" s="1">
        <v>42521</v>
      </c>
      <c r="G6021" s="1">
        <v>42521</v>
      </c>
      <c r="H6021" t="s">
        <v>41</v>
      </c>
      <c r="I6021">
        <v>0</v>
      </c>
      <c r="J6021" t="s">
        <v>111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 t="s">
        <v>26</v>
      </c>
      <c r="R6021">
        <v>1</v>
      </c>
    </row>
    <row r="6022" spans="1:18">
      <c r="A6022" s="4">
        <v>69978600000000</v>
      </c>
      <c r="B6022" t="s">
        <v>28</v>
      </c>
      <c r="C6022">
        <v>29</v>
      </c>
      <c r="D6022" t="s">
        <v>37</v>
      </c>
      <c r="E6022" t="s">
        <v>78</v>
      </c>
      <c r="F6022" s="1">
        <v>42521</v>
      </c>
      <c r="G6022" s="1">
        <v>42523</v>
      </c>
      <c r="H6022" t="s">
        <v>33</v>
      </c>
      <c r="I6022">
        <v>2</v>
      </c>
      <c r="J6022" t="s">
        <v>109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 t="s">
        <v>23</v>
      </c>
      <c r="R6022">
        <v>0</v>
      </c>
    </row>
    <row r="6023" spans="1:18">
      <c r="A6023" s="4">
        <v>72822300000000</v>
      </c>
      <c r="B6023" t="s">
        <v>28</v>
      </c>
      <c r="C6023">
        <v>27</v>
      </c>
      <c r="D6023" t="s">
        <v>37</v>
      </c>
      <c r="E6023" t="s">
        <v>61</v>
      </c>
      <c r="F6023" s="1">
        <v>42521</v>
      </c>
      <c r="G6023" s="1">
        <v>42523</v>
      </c>
      <c r="H6023" t="s">
        <v>33</v>
      </c>
      <c r="I6023">
        <v>2</v>
      </c>
      <c r="J6023" t="s">
        <v>109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 t="s">
        <v>23</v>
      </c>
      <c r="R6023">
        <v>0</v>
      </c>
    </row>
    <row r="6024" spans="1:18">
      <c r="A6024" s="4">
        <v>39431800000000</v>
      </c>
      <c r="B6024" t="s">
        <v>18</v>
      </c>
      <c r="C6024">
        <v>17</v>
      </c>
      <c r="D6024" t="s">
        <v>60</v>
      </c>
      <c r="E6024" t="s">
        <v>90</v>
      </c>
      <c r="F6024" s="1">
        <v>42521</v>
      </c>
      <c r="G6024" s="1">
        <v>42521</v>
      </c>
      <c r="H6024" t="s">
        <v>41</v>
      </c>
      <c r="I6024">
        <v>0</v>
      </c>
      <c r="J6024" t="s">
        <v>111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 t="s">
        <v>23</v>
      </c>
      <c r="R6024">
        <v>0</v>
      </c>
    </row>
    <row r="6025" spans="1:18">
      <c r="A6025" s="4">
        <v>111368000000000</v>
      </c>
      <c r="B6025" t="s">
        <v>18</v>
      </c>
      <c r="C6025">
        <v>51</v>
      </c>
      <c r="D6025" t="s">
        <v>35</v>
      </c>
      <c r="E6025" t="s">
        <v>67</v>
      </c>
      <c r="F6025" s="1">
        <v>42521</v>
      </c>
      <c r="G6025" s="1">
        <v>42522</v>
      </c>
      <c r="H6025" t="s">
        <v>25</v>
      </c>
      <c r="I6025">
        <v>1</v>
      </c>
      <c r="J6025" t="s">
        <v>109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 t="s">
        <v>23</v>
      </c>
      <c r="R6025">
        <v>0</v>
      </c>
    </row>
    <row r="6026" spans="1:18">
      <c r="A6026" s="4">
        <v>437498000000000</v>
      </c>
      <c r="B6026" t="s">
        <v>18</v>
      </c>
      <c r="C6026">
        <v>68</v>
      </c>
      <c r="D6026" t="s">
        <v>19</v>
      </c>
      <c r="E6026" t="s">
        <v>106</v>
      </c>
      <c r="F6026" s="1">
        <v>42521</v>
      </c>
      <c r="G6026" s="1">
        <v>42521</v>
      </c>
      <c r="H6026" t="s">
        <v>41</v>
      </c>
      <c r="I6026">
        <v>0</v>
      </c>
      <c r="J6026" t="s">
        <v>111</v>
      </c>
      <c r="K6026">
        <v>0</v>
      </c>
      <c r="L6026">
        <v>1</v>
      </c>
      <c r="M6026">
        <v>1</v>
      </c>
      <c r="N6026">
        <v>0</v>
      </c>
      <c r="O6026">
        <v>0</v>
      </c>
      <c r="P6026">
        <v>0</v>
      </c>
      <c r="Q6026" t="s">
        <v>23</v>
      </c>
      <c r="R6026">
        <v>0</v>
      </c>
    </row>
    <row r="6027" spans="1:18">
      <c r="A6027" s="4">
        <v>649248000000</v>
      </c>
      <c r="B6027" t="s">
        <v>28</v>
      </c>
      <c r="C6027">
        <v>9</v>
      </c>
      <c r="D6027" t="s">
        <v>31</v>
      </c>
      <c r="E6027" t="s">
        <v>57</v>
      </c>
      <c r="F6027" s="1">
        <v>42521</v>
      </c>
      <c r="G6027" s="1">
        <v>42528</v>
      </c>
      <c r="H6027" t="s">
        <v>41</v>
      </c>
      <c r="I6027">
        <v>7</v>
      </c>
      <c r="J6027" t="s">
        <v>107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1</v>
      </c>
      <c r="Q6027" t="s">
        <v>23</v>
      </c>
      <c r="R6027">
        <v>0</v>
      </c>
    </row>
    <row r="6028" spans="1:18">
      <c r="A6028" s="4">
        <v>55758800000000</v>
      </c>
      <c r="B6028" t="s">
        <v>28</v>
      </c>
      <c r="C6028">
        <v>58</v>
      </c>
      <c r="D6028" t="s">
        <v>35</v>
      </c>
      <c r="E6028" t="s">
        <v>42</v>
      </c>
      <c r="F6028" s="1">
        <v>42521</v>
      </c>
      <c r="G6028" s="1">
        <v>42522</v>
      </c>
      <c r="H6028" t="s">
        <v>25</v>
      </c>
      <c r="I6028">
        <v>1</v>
      </c>
      <c r="J6028" t="s">
        <v>109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 t="s">
        <v>23</v>
      </c>
      <c r="R6028">
        <v>0</v>
      </c>
    </row>
    <row r="6029" spans="1:18">
      <c r="A6029" s="4">
        <v>4278860000000</v>
      </c>
      <c r="B6029" t="s">
        <v>28</v>
      </c>
      <c r="C6029">
        <v>10</v>
      </c>
      <c r="D6029" t="s">
        <v>31</v>
      </c>
      <c r="E6029" t="s">
        <v>72</v>
      </c>
      <c r="F6029" s="1">
        <v>42521</v>
      </c>
      <c r="G6029" s="1">
        <v>42521</v>
      </c>
      <c r="H6029" t="s">
        <v>41</v>
      </c>
      <c r="I6029">
        <v>0</v>
      </c>
      <c r="J6029" t="s">
        <v>111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 t="s">
        <v>23</v>
      </c>
      <c r="R6029">
        <v>0</v>
      </c>
    </row>
    <row r="6030" spans="1:18">
      <c r="A6030" s="4">
        <v>4785460000000</v>
      </c>
      <c r="B6030" t="s">
        <v>18</v>
      </c>
      <c r="C6030">
        <v>49</v>
      </c>
      <c r="D6030" t="s">
        <v>27</v>
      </c>
      <c r="E6030" t="s">
        <v>65</v>
      </c>
      <c r="F6030" s="1">
        <v>42521</v>
      </c>
      <c r="G6030" s="1">
        <v>42528</v>
      </c>
      <c r="H6030" t="s">
        <v>41</v>
      </c>
      <c r="I6030">
        <v>7</v>
      </c>
      <c r="J6030" t="s">
        <v>107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1</v>
      </c>
      <c r="Q6030" t="s">
        <v>23</v>
      </c>
      <c r="R6030">
        <v>0</v>
      </c>
    </row>
    <row r="6031" spans="1:18">
      <c r="A6031" s="4">
        <v>3787380000000</v>
      </c>
      <c r="B6031" t="s">
        <v>18</v>
      </c>
      <c r="C6031">
        <v>11</v>
      </c>
      <c r="D6031" t="s">
        <v>31</v>
      </c>
      <c r="E6031" t="s">
        <v>39</v>
      </c>
      <c r="F6031" s="1">
        <v>42521</v>
      </c>
      <c r="G6031" s="1">
        <v>42521</v>
      </c>
      <c r="H6031" t="s">
        <v>41</v>
      </c>
      <c r="I6031">
        <v>0</v>
      </c>
      <c r="J6031" t="s">
        <v>111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 t="s">
        <v>23</v>
      </c>
      <c r="R6031">
        <v>0</v>
      </c>
    </row>
    <row r="6032" spans="1:18">
      <c r="A6032" s="4">
        <v>89457200000000</v>
      </c>
      <c r="B6032" t="s">
        <v>28</v>
      </c>
      <c r="C6032">
        <v>8</v>
      </c>
      <c r="D6032" t="s">
        <v>31</v>
      </c>
      <c r="E6032" t="s">
        <v>87</v>
      </c>
      <c r="F6032" s="1">
        <v>42521</v>
      </c>
      <c r="G6032" s="1">
        <v>42527</v>
      </c>
      <c r="H6032" t="s">
        <v>30</v>
      </c>
      <c r="I6032">
        <v>6</v>
      </c>
      <c r="J6032" t="s">
        <v>107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1</v>
      </c>
      <c r="Q6032" t="s">
        <v>26</v>
      </c>
      <c r="R6032">
        <v>1</v>
      </c>
    </row>
    <row r="6033" spans="1:18">
      <c r="A6033" s="4">
        <v>557479000000000</v>
      </c>
      <c r="B6033" t="s">
        <v>18</v>
      </c>
      <c r="C6033">
        <v>72</v>
      </c>
      <c r="D6033" t="s">
        <v>19</v>
      </c>
      <c r="E6033" t="s">
        <v>72</v>
      </c>
      <c r="F6033" s="1">
        <v>42521</v>
      </c>
      <c r="G6033" s="1">
        <v>42521</v>
      </c>
      <c r="H6033" t="s">
        <v>41</v>
      </c>
      <c r="I6033">
        <v>0</v>
      </c>
      <c r="J6033" t="s">
        <v>111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 t="s">
        <v>23</v>
      </c>
      <c r="R6033">
        <v>0</v>
      </c>
    </row>
    <row r="6034" spans="1:18">
      <c r="A6034" s="4">
        <v>442746000000</v>
      </c>
      <c r="B6034" t="s">
        <v>18</v>
      </c>
      <c r="C6034">
        <v>65</v>
      </c>
      <c r="D6034" t="s">
        <v>35</v>
      </c>
      <c r="E6034" t="s">
        <v>66</v>
      </c>
      <c r="F6034" s="1">
        <v>42521</v>
      </c>
      <c r="G6034" s="1">
        <v>42521</v>
      </c>
      <c r="H6034" t="s">
        <v>41</v>
      </c>
      <c r="I6034">
        <v>0</v>
      </c>
      <c r="J6034" t="s">
        <v>111</v>
      </c>
      <c r="K6034">
        <v>0</v>
      </c>
      <c r="L6034">
        <v>1</v>
      </c>
      <c r="M6034">
        <v>0</v>
      </c>
      <c r="N6034">
        <v>0</v>
      </c>
      <c r="O6034">
        <v>0</v>
      </c>
      <c r="P6034">
        <v>0</v>
      </c>
      <c r="Q6034" t="s">
        <v>23</v>
      </c>
      <c r="R6034">
        <v>0</v>
      </c>
    </row>
    <row r="6035" spans="1:18">
      <c r="A6035" s="4">
        <v>4164540000000</v>
      </c>
      <c r="B6035" t="s">
        <v>28</v>
      </c>
      <c r="C6035">
        <v>4</v>
      </c>
      <c r="D6035" t="s">
        <v>31</v>
      </c>
      <c r="E6035" t="s">
        <v>67</v>
      </c>
      <c r="F6035" s="1">
        <v>42521</v>
      </c>
      <c r="G6035" s="1">
        <v>42521</v>
      </c>
      <c r="H6035" t="s">
        <v>41</v>
      </c>
      <c r="I6035">
        <v>0</v>
      </c>
      <c r="J6035" t="s">
        <v>111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 t="s">
        <v>26</v>
      </c>
      <c r="R6035">
        <v>1</v>
      </c>
    </row>
    <row r="6036" spans="1:18">
      <c r="A6036" s="4">
        <v>94156000000000</v>
      </c>
      <c r="B6036" t="s">
        <v>18</v>
      </c>
      <c r="C6036">
        <v>70</v>
      </c>
      <c r="D6036" t="s">
        <v>19</v>
      </c>
      <c r="E6036" t="s">
        <v>29</v>
      </c>
      <c r="F6036" s="1">
        <v>42521</v>
      </c>
      <c r="G6036" s="1">
        <v>42529</v>
      </c>
      <c r="H6036" t="s">
        <v>25</v>
      </c>
      <c r="I6036">
        <v>8</v>
      </c>
      <c r="J6036" t="s">
        <v>92</v>
      </c>
      <c r="K6036">
        <v>0</v>
      </c>
      <c r="L6036">
        <v>1</v>
      </c>
      <c r="M6036">
        <v>0</v>
      </c>
      <c r="N6036">
        <v>0</v>
      </c>
      <c r="O6036">
        <v>0</v>
      </c>
      <c r="P6036">
        <v>1</v>
      </c>
      <c r="Q6036" t="s">
        <v>26</v>
      </c>
      <c r="R6036">
        <v>1</v>
      </c>
    </row>
    <row r="6037" spans="1:18">
      <c r="A6037" s="4">
        <v>86255200000000</v>
      </c>
      <c r="B6037" t="s">
        <v>18</v>
      </c>
      <c r="C6037">
        <v>46</v>
      </c>
      <c r="D6037" t="s">
        <v>27</v>
      </c>
      <c r="E6037" t="s">
        <v>52</v>
      </c>
      <c r="F6037" s="1">
        <v>42521</v>
      </c>
      <c r="G6037" s="1">
        <v>42521</v>
      </c>
      <c r="H6037" t="s">
        <v>41</v>
      </c>
      <c r="I6037">
        <v>0</v>
      </c>
      <c r="J6037" t="s">
        <v>111</v>
      </c>
      <c r="K6037">
        <v>0</v>
      </c>
      <c r="L6037">
        <v>1</v>
      </c>
      <c r="M6037">
        <v>0</v>
      </c>
      <c r="N6037">
        <v>0</v>
      </c>
      <c r="O6037">
        <v>0</v>
      </c>
      <c r="P6037">
        <v>0</v>
      </c>
      <c r="Q6037" t="s">
        <v>23</v>
      </c>
      <c r="R6037">
        <v>0</v>
      </c>
    </row>
    <row r="6038" spans="1:18">
      <c r="A6038" s="4">
        <v>7931520000000</v>
      </c>
      <c r="B6038" t="s">
        <v>28</v>
      </c>
      <c r="C6038">
        <v>40</v>
      </c>
      <c r="D6038" t="s">
        <v>27</v>
      </c>
      <c r="E6038" t="s">
        <v>86</v>
      </c>
      <c r="F6038" s="1">
        <v>42521</v>
      </c>
      <c r="G6038" s="1">
        <v>42522</v>
      </c>
      <c r="H6038" t="s">
        <v>25</v>
      </c>
      <c r="I6038">
        <v>1</v>
      </c>
      <c r="J6038" t="s">
        <v>109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 t="s">
        <v>23</v>
      </c>
      <c r="R6038">
        <v>0</v>
      </c>
    </row>
    <row r="6039" spans="1:18">
      <c r="A6039" s="4">
        <v>7587480000000</v>
      </c>
      <c r="B6039" t="s">
        <v>18</v>
      </c>
      <c r="C6039">
        <v>30</v>
      </c>
      <c r="D6039" t="s">
        <v>37</v>
      </c>
      <c r="E6039" t="s">
        <v>63</v>
      </c>
      <c r="F6039" s="1">
        <v>42521</v>
      </c>
      <c r="G6039" s="1">
        <v>42523</v>
      </c>
      <c r="H6039" t="s">
        <v>33</v>
      </c>
      <c r="I6039">
        <v>2</v>
      </c>
      <c r="J6039" t="s">
        <v>109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 t="s">
        <v>23</v>
      </c>
      <c r="R6039">
        <v>0</v>
      </c>
    </row>
    <row r="6040" spans="1:18">
      <c r="A6040" s="4">
        <v>779889000000</v>
      </c>
      <c r="B6040" t="s">
        <v>18</v>
      </c>
      <c r="C6040">
        <v>73</v>
      </c>
      <c r="D6040" t="s">
        <v>19</v>
      </c>
      <c r="E6040" t="s">
        <v>39</v>
      </c>
      <c r="F6040" s="1">
        <v>42521</v>
      </c>
      <c r="G6040" s="1">
        <v>42521</v>
      </c>
      <c r="H6040" t="s">
        <v>41</v>
      </c>
      <c r="I6040">
        <v>0</v>
      </c>
      <c r="J6040" t="s">
        <v>111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 t="s">
        <v>23</v>
      </c>
      <c r="R6040">
        <v>0</v>
      </c>
    </row>
    <row r="6041" spans="1:18">
      <c r="A6041" s="4">
        <v>7828520000000</v>
      </c>
      <c r="B6041" t="s">
        <v>18</v>
      </c>
      <c r="C6041">
        <v>7</v>
      </c>
      <c r="D6041" t="s">
        <v>31</v>
      </c>
      <c r="E6041" t="s">
        <v>57</v>
      </c>
      <c r="F6041" s="1">
        <v>42521</v>
      </c>
      <c r="G6041" s="1">
        <v>42521</v>
      </c>
      <c r="H6041" t="s">
        <v>41</v>
      </c>
      <c r="I6041">
        <v>0</v>
      </c>
      <c r="J6041" t="s">
        <v>111</v>
      </c>
      <c r="K6041">
        <v>1</v>
      </c>
      <c r="L6041">
        <v>0</v>
      </c>
      <c r="M6041">
        <v>0</v>
      </c>
      <c r="N6041">
        <v>0</v>
      </c>
      <c r="O6041">
        <v>0</v>
      </c>
      <c r="P6041">
        <v>0</v>
      </c>
      <c r="Q6041" t="s">
        <v>23</v>
      </c>
      <c r="R6041">
        <v>0</v>
      </c>
    </row>
    <row r="6042" spans="1:18">
      <c r="A6042" s="4">
        <v>64345400000000</v>
      </c>
      <c r="B6042" t="s">
        <v>18</v>
      </c>
      <c r="C6042">
        <v>51</v>
      </c>
      <c r="D6042" t="s">
        <v>35</v>
      </c>
      <c r="E6042" t="s">
        <v>50</v>
      </c>
      <c r="F6042" s="1">
        <v>42521</v>
      </c>
      <c r="G6042" s="1">
        <v>42521</v>
      </c>
      <c r="H6042" t="s">
        <v>41</v>
      </c>
      <c r="I6042">
        <v>0</v>
      </c>
      <c r="J6042" t="s">
        <v>111</v>
      </c>
      <c r="K6042">
        <v>0</v>
      </c>
      <c r="L6042">
        <v>1</v>
      </c>
      <c r="M6042">
        <v>0</v>
      </c>
      <c r="N6042">
        <v>0</v>
      </c>
      <c r="O6042">
        <v>0</v>
      </c>
      <c r="P6042">
        <v>0</v>
      </c>
      <c r="Q6042" t="s">
        <v>23</v>
      </c>
      <c r="R6042">
        <v>0</v>
      </c>
    </row>
    <row r="6043" spans="1:18">
      <c r="A6043" s="4">
        <v>84423200000000</v>
      </c>
      <c r="B6043" t="s">
        <v>18</v>
      </c>
      <c r="C6043">
        <v>22</v>
      </c>
      <c r="D6043" t="s">
        <v>37</v>
      </c>
      <c r="E6043" t="s">
        <v>40</v>
      </c>
      <c r="F6043" s="1">
        <v>42521</v>
      </c>
      <c r="G6043" s="1">
        <v>42521</v>
      </c>
      <c r="H6043" t="s">
        <v>41</v>
      </c>
      <c r="I6043">
        <v>0</v>
      </c>
      <c r="J6043" t="s">
        <v>111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 t="s">
        <v>23</v>
      </c>
      <c r="R6043">
        <v>0</v>
      </c>
    </row>
    <row r="6044" spans="1:18">
      <c r="A6044" s="4">
        <v>457596000000</v>
      </c>
      <c r="B6044" t="s">
        <v>18</v>
      </c>
      <c r="C6044">
        <v>68</v>
      </c>
      <c r="D6044" t="s">
        <v>19</v>
      </c>
      <c r="E6044" t="s">
        <v>64</v>
      </c>
      <c r="F6044" s="1">
        <v>42521</v>
      </c>
      <c r="G6044" s="1">
        <v>42528</v>
      </c>
      <c r="H6044" t="s">
        <v>41</v>
      </c>
      <c r="I6044">
        <v>7</v>
      </c>
      <c r="J6044" t="s">
        <v>107</v>
      </c>
      <c r="K6044">
        <v>0</v>
      </c>
      <c r="L6044">
        <v>1</v>
      </c>
      <c r="M6044">
        <v>1</v>
      </c>
      <c r="N6044">
        <v>0</v>
      </c>
      <c r="O6044">
        <v>0</v>
      </c>
      <c r="P6044">
        <v>0</v>
      </c>
      <c r="Q6044" t="s">
        <v>23</v>
      </c>
      <c r="R6044">
        <v>0</v>
      </c>
    </row>
    <row r="6045" spans="1:18">
      <c r="A6045" s="4">
        <v>1866180000000</v>
      </c>
      <c r="B6045" t="s">
        <v>18</v>
      </c>
      <c r="C6045">
        <v>84</v>
      </c>
      <c r="D6045" t="s">
        <v>19</v>
      </c>
      <c r="E6045" t="s">
        <v>59</v>
      </c>
      <c r="F6045" s="1">
        <v>42521</v>
      </c>
      <c r="G6045" s="1">
        <v>42521</v>
      </c>
      <c r="H6045" t="s">
        <v>41</v>
      </c>
      <c r="I6045">
        <v>0</v>
      </c>
      <c r="J6045" t="s">
        <v>111</v>
      </c>
      <c r="K6045">
        <v>0</v>
      </c>
      <c r="L6045">
        <v>1</v>
      </c>
      <c r="M6045">
        <v>1</v>
      </c>
      <c r="N6045">
        <v>0</v>
      </c>
      <c r="O6045">
        <v>0</v>
      </c>
      <c r="P6045">
        <v>0</v>
      </c>
      <c r="Q6045" t="s">
        <v>23</v>
      </c>
      <c r="R6045">
        <v>0</v>
      </c>
    </row>
    <row r="6046" spans="1:18">
      <c r="A6046" s="4">
        <v>341513000000</v>
      </c>
      <c r="B6046" t="s">
        <v>18</v>
      </c>
      <c r="C6046">
        <v>61</v>
      </c>
      <c r="D6046" t="s">
        <v>35</v>
      </c>
      <c r="E6046" t="s">
        <v>71</v>
      </c>
      <c r="F6046" s="1">
        <v>42521</v>
      </c>
      <c r="G6046" s="1">
        <v>42521</v>
      </c>
      <c r="H6046" t="s">
        <v>41</v>
      </c>
      <c r="I6046">
        <v>0</v>
      </c>
      <c r="J6046" t="s">
        <v>111</v>
      </c>
      <c r="K6046">
        <v>1</v>
      </c>
      <c r="L6046">
        <v>1</v>
      </c>
      <c r="M6046">
        <v>0</v>
      </c>
      <c r="N6046">
        <v>0</v>
      </c>
      <c r="O6046">
        <v>0</v>
      </c>
      <c r="P6046">
        <v>0</v>
      </c>
      <c r="Q6046" t="s">
        <v>23</v>
      </c>
      <c r="R6046">
        <v>0</v>
      </c>
    </row>
    <row r="6047" spans="1:18">
      <c r="A6047" s="4">
        <v>7312220000000</v>
      </c>
      <c r="B6047" t="s">
        <v>18</v>
      </c>
      <c r="C6047">
        <v>65</v>
      </c>
      <c r="D6047" t="s">
        <v>35</v>
      </c>
      <c r="E6047" t="s">
        <v>39</v>
      </c>
      <c r="F6047" s="1">
        <v>42521</v>
      </c>
      <c r="G6047" s="1">
        <v>42529</v>
      </c>
      <c r="H6047" t="s">
        <v>25</v>
      </c>
      <c r="I6047">
        <v>8</v>
      </c>
      <c r="J6047" t="s">
        <v>92</v>
      </c>
      <c r="K6047">
        <v>0</v>
      </c>
      <c r="L6047">
        <v>1</v>
      </c>
      <c r="M6047">
        <v>0</v>
      </c>
      <c r="N6047">
        <v>0</v>
      </c>
      <c r="O6047">
        <v>0</v>
      </c>
      <c r="P6047">
        <v>1</v>
      </c>
      <c r="Q6047" t="s">
        <v>23</v>
      </c>
      <c r="R6047">
        <v>0</v>
      </c>
    </row>
    <row r="6048" spans="1:18">
      <c r="A6048" s="4">
        <v>4533380000000</v>
      </c>
      <c r="B6048" t="s">
        <v>28</v>
      </c>
      <c r="C6048">
        <v>0</v>
      </c>
      <c r="D6048" t="s">
        <v>31</v>
      </c>
      <c r="E6048" t="s">
        <v>40</v>
      </c>
      <c r="F6048" s="1">
        <v>42521</v>
      </c>
      <c r="G6048" s="1">
        <v>42527</v>
      </c>
      <c r="H6048" t="s">
        <v>30</v>
      </c>
      <c r="I6048">
        <v>6</v>
      </c>
      <c r="J6048" t="s">
        <v>107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1</v>
      </c>
      <c r="Q6048" t="s">
        <v>26</v>
      </c>
      <c r="R6048">
        <v>1</v>
      </c>
    </row>
    <row r="6049" spans="1:18">
      <c r="A6049" s="4">
        <v>6635530000000</v>
      </c>
      <c r="B6049" t="s">
        <v>18</v>
      </c>
      <c r="C6049">
        <v>65</v>
      </c>
      <c r="D6049" t="s">
        <v>35</v>
      </c>
      <c r="E6049" t="s">
        <v>39</v>
      </c>
      <c r="F6049" s="1">
        <v>42521</v>
      </c>
      <c r="G6049" s="1">
        <v>42521</v>
      </c>
      <c r="H6049" t="s">
        <v>41</v>
      </c>
      <c r="I6049">
        <v>0</v>
      </c>
      <c r="J6049" t="s">
        <v>111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 t="s">
        <v>23</v>
      </c>
      <c r="R6049">
        <v>0</v>
      </c>
    </row>
    <row r="6050" spans="1:18">
      <c r="A6050" s="4">
        <v>682218000000</v>
      </c>
      <c r="B6050" t="s">
        <v>28</v>
      </c>
      <c r="C6050">
        <v>6</v>
      </c>
      <c r="D6050" t="s">
        <v>31</v>
      </c>
      <c r="E6050" t="s">
        <v>32</v>
      </c>
      <c r="F6050" s="1">
        <v>42521</v>
      </c>
      <c r="G6050" s="1">
        <v>42528</v>
      </c>
      <c r="H6050" t="s">
        <v>41</v>
      </c>
      <c r="I6050">
        <v>7</v>
      </c>
      <c r="J6050" t="s">
        <v>107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1</v>
      </c>
      <c r="Q6050" t="s">
        <v>23</v>
      </c>
      <c r="R6050">
        <v>0</v>
      </c>
    </row>
    <row r="6051" spans="1:18">
      <c r="A6051" s="4">
        <v>326750000000</v>
      </c>
      <c r="B6051" t="s">
        <v>18</v>
      </c>
      <c r="C6051">
        <v>26</v>
      </c>
      <c r="D6051" t="s">
        <v>37</v>
      </c>
      <c r="E6051" t="s">
        <v>75</v>
      </c>
      <c r="F6051" s="1">
        <v>42521</v>
      </c>
      <c r="G6051" s="1">
        <v>42528</v>
      </c>
      <c r="H6051" t="s">
        <v>41</v>
      </c>
      <c r="I6051">
        <v>7</v>
      </c>
      <c r="J6051" t="s">
        <v>107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1</v>
      </c>
      <c r="Q6051" t="s">
        <v>23</v>
      </c>
      <c r="R6051">
        <v>0</v>
      </c>
    </row>
    <row r="6052" spans="1:18">
      <c r="A6052" s="4">
        <v>83137600000000</v>
      </c>
      <c r="B6052" t="s">
        <v>28</v>
      </c>
      <c r="C6052">
        <v>51</v>
      </c>
      <c r="D6052" t="s">
        <v>35</v>
      </c>
      <c r="E6052" t="s">
        <v>49</v>
      </c>
      <c r="F6052" s="1">
        <v>42521</v>
      </c>
      <c r="G6052" s="1">
        <v>42521</v>
      </c>
      <c r="H6052" t="s">
        <v>41</v>
      </c>
      <c r="I6052">
        <v>0</v>
      </c>
      <c r="J6052" t="s">
        <v>111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 t="s">
        <v>23</v>
      </c>
      <c r="R6052">
        <v>0</v>
      </c>
    </row>
    <row r="6053" spans="1:18">
      <c r="A6053" s="4">
        <v>7258680000000</v>
      </c>
      <c r="B6053" t="s">
        <v>18</v>
      </c>
      <c r="C6053">
        <v>18</v>
      </c>
      <c r="D6053" t="s">
        <v>37</v>
      </c>
      <c r="E6053" t="s">
        <v>73</v>
      </c>
      <c r="F6053" s="1">
        <v>42521</v>
      </c>
      <c r="G6053" s="1">
        <v>42524</v>
      </c>
      <c r="H6053" t="s">
        <v>21</v>
      </c>
      <c r="I6053">
        <v>3</v>
      </c>
      <c r="J6053" t="s">
        <v>109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1</v>
      </c>
      <c r="Q6053" t="s">
        <v>23</v>
      </c>
      <c r="R6053">
        <v>0</v>
      </c>
    </row>
    <row r="6054" spans="1:18">
      <c r="A6054" s="4">
        <v>1882660000000</v>
      </c>
      <c r="B6054" t="s">
        <v>18</v>
      </c>
      <c r="C6054">
        <v>41</v>
      </c>
      <c r="D6054" t="s">
        <v>27</v>
      </c>
      <c r="E6054" t="s">
        <v>66</v>
      </c>
      <c r="F6054" s="1">
        <v>42521</v>
      </c>
      <c r="G6054" s="1">
        <v>42521</v>
      </c>
      <c r="H6054" t="s">
        <v>41</v>
      </c>
      <c r="I6054">
        <v>0</v>
      </c>
      <c r="J6054" t="s">
        <v>111</v>
      </c>
      <c r="K6054">
        <v>1</v>
      </c>
      <c r="L6054">
        <v>0</v>
      </c>
      <c r="M6054">
        <v>0</v>
      </c>
      <c r="N6054">
        <v>0</v>
      </c>
      <c r="O6054">
        <v>0</v>
      </c>
      <c r="P6054">
        <v>0</v>
      </c>
      <c r="Q6054" t="s">
        <v>23</v>
      </c>
      <c r="R6054">
        <v>0</v>
      </c>
    </row>
    <row r="6055" spans="1:18">
      <c r="A6055" s="4">
        <v>15579500000000</v>
      </c>
      <c r="B6055" t="s">
        <v>18</v>
      </c>
      <c r="C6055">
        <v>57</v>
      </c>
      <c r="D6055" t="s">
        <v>35</v>
      </c>
      <c r="E6055" t="s">
        <v>72</v>
      </c>
      <c r="F6055" s="1">
        <v>42521</v>
      </c>
      <c r="G6055" s="1">
        <v>42522</v>
      </c>
      <c r="H6055" t="s">
        <v>25</v>
      </c>
      <c r="I6055">
        <v>1</v>
      </c>
      <c r="J6055" t="s">
        <v>109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 t="s">
        <v>23</v>
      </c>
      <c r="R6055">
        <v>0</v>
      </c>
    </row>
    <row r="6056" spans="1:18">
      <c r="A6056" s="4">
        <v>39731400000000</v>
      </c>
      <c r="B6056" t="s">
        <v>28</v>
      </c>
      <c r="C6056">
        <v>1</v>
      </c>
      <c r="D6056" t="s">
        <v>31</v>
      </c>
      <c r="E6056" t="s">
        <v>80</v>
      </c>
      <c r="F6056" s="1">
        <v>42521</v>
      </c>
      <c r="G6056" s="1">
        <v>42521</v>
      </c>
      <c r="H6056" t="s">
        <v>41</v>
      </c>
      <c r="I6056">
        <v>0</v>
      </c>
      <c r="J6056" t="s">
        <v>111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 t="s">
        <v>23</v>
      </c>
      <c r="R6056">
        <v>0</v>
      </c>
    </row>
    <row r="6057" spans="1:18">
      <c r="A6057" s="4">
        <v>81188700000000</v>
      </c>
      <c r="B6057" t="s">
        <v>18</v>
      </c>
      <c r="C6057">
        <v>17</v>
      </c>
      <c r="D6057" t="s">
        <v>60</v>
      </c>
      <c r="E6057" t="s">
        <v>80</v>
      </c>
      <c r="F6057" s="1">
        <v>42521</v>
      </c>
      <c r="G6057" s="1">
        <v>42521</v>
      </c>
      <c r="H6057" t="s">
        <v>41</v>
      </c>
      <c r="I6057">
        <v>0</v>
      </c>
      <c r="J6057" t="s">
        <v>111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 t="s">
        <v>23</v>
      </c>
      <c r="R6057">
        <v>0</v>
      </c>
    </row>
    <row r="6058" spans="1:18">
      <c r="A6058" s="4">
        <v>85486100000000</v>
      </c>
      <c r="B6058" t="s">
        <v>28</v>
      </c>
      <c r="C6058">
        <v>10</v>
      </c>
      <c r="D6058" t="s">
        <v>31</v>
      </c>
      <c r="E6058" t="s">
        <v>84</v>
      </c>
      <c r="F6058" s="1">
        <v>42521</v>
      </c>
      <c r="G6058" s="1">
        <v>42521</v>
      </c>
      <c r="H6058" t="s">
        <v>41</v>
      </c>
      <c r="I6058">
        <v>0</v>
      </c>
      <c r="J6058" t="s">
        <v>111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 t="s">
        <v>23</v>
      </c>
      <c r="R6058">
        <v>0</v>
      </c>
    </row>
    <row r="6059" spans="1:18">
      <c r="A6059" s="4">
        <v>9693831678</v>
      </c>
      <c r="B6059" t="s">
        <v>28</v>
      </c>
      <c r="C6059">
        <v>33</v>
      </c>
      <c r="D6059" t="s">
        <v>37</v>
      </c>
      <c r="E6059" t="s">
        <v>58</v>
      </c>
      <c r="F6059" s="1">
        <v>42521</v>
      </c>
      <c r="G6059" s="1">
        <v>42521</v>
      </c>
      <c r="H6059" t="s">
        <v>41</v>
      </c>
      <c r="I6059">
        <v>0</v>
      </c>
      <c r="J6059" t="s">
        <v>111</v>
      </c>
      <c r="K6059">
        <v>1</v>
      </c>
      <c r="L6059">
        <v>0</v>
      </c>
      <c r="M6059">
        <v>0</v>
      </c>
      <c r="N6059">
        <v>0</v>
      </c>
      <c r="O6059">
        <v>0</v>
      </c>
      <c r="P6059">
        <v>0</v>
      </c>
      <c r="Q6059" t="s">
        <v>23</v>
      </c>
      <c r="R6059">
        <v>0</v>
      </c>
    </row>
    <row r="6060" spans="1:18">
      <c r="A6060" s="4">
        <v>2926270000000</v>
      </c>
      <c r="B6060" t="s">
        <v>18</v>
      </c>
      <c r="C6060">
        <v>49</v>
      </c>
      <c r="D6060" t="s">
        <v>27</v>
      </c>
      <c r="E6060" t="s">
        <v>39</v>
      </c>
      <c r="F6060" s="1">
        <v>42521</v>
      </c>
      <c r="G6060" s="1">
        <v>42523</v>
      </c>
      <c r="H6060" t="s">
        <v>33</v>
      </c>
      <c r="I6060">
        <v>2</v>
      </c>
      <c r="J6060" t="s">
        <v>109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 t="s">
        <v>23</v>
      </c>
      <c r="R6060">
        <v>0</v>
      </c>
    </row>
    <row r="6061" spans="1:18">
      <c r="A6061" s="4">
        <v>9529520000000</v>
      </c>
      <c r="B6061" t="s">
        <v>18</v>
      </c>
      <c r="C6061">
        <v>62</v>
      </c>
      <c r="D6061" t="s">
        <v>35</v>
      </c>
      <c r="E6061" t="s">
        <v>72</v>
      </c>
      <c r="F6061" s="1">
        <v>42521</v>
      </c>
      <c r="G6061" s="1">
        <v>42529</v>
      </c>
      <c r="H6061" t="s">
        <v>25</v>
      </c>
      <c r="I6061">
        <v>8</v>
      </c>
      <c r="J6061" t="s">
        <v>92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1</v>
      </c>
      <c r="Q6061" t="s">
        <v>23</v>
      </c>
      <c r="R6061">
        <v>0</v>
      </c>
    </row>
    <row r="6062" spans="1:18">
      <c r="A6062" s="4">
        <v>99813573358</v>
      </c>
      <c r="B6062" t="s">
        <v>28</v>
      </c>
      <c r="C6062">
        <v>29</v>
      </c>
      <c r="D6062" t="s">
        <v>37</v>
      </c>
      <c r="E6062" t="s">
        <v>57</v>
      </c>
      <c r="F6062" s="1">
        <v>42521</v>
      </c>
      <c r="G6062" s="1">
        <v>42523</v>
      </c>
      <c r="H6062" t="s">
        <v>33</v>
      </c>
      <c r="I6062">
        <v>2</v>
      </c>
      <c r="J6062" t="s">
        <v>109</v>
      </c>
      <c r="K6062">
        <v>1</v>
      </c>
      <c r="L6062">
        <v>0</v>
      </c>
      <c r="M6062">
        <v>0</v>
      </c>
      <c r="N6062">
        <v>0</v>
      </c>
      <c r="O6062">
        <v>0</v>
      </c>
      <c r="P6062">
        <v>0</v>
      </c>
      <c r="Q6062" t="s">
        <v>23</v>
      </c>
      <c r="R6062">
        <v>0</v>
      </c>
    </row>
    <row r="6063" spans="1:18">
      <c r="A6063" s="4">
        <v>596360000000000</v>
      </c>
      <c r="B6063" t="s">
        <v>18</v>
      </c>
      <c r="C6063">
        <v>0</v>
      </c>
      <c r="D6063" t="s">
        <v>31</v>
      </c>
      <c r="E6063" t="s">
        <v>72</v>
      </c>
      <c r="F6063" s="1">
        <v>42521</v>
      </c>
      <c r="G6063" s="1">
        <v>42521</v>
      </c>
      <c r="H6063" t="s">
        <v>41</v>
      </c>
      <c r="I6063">
        <v>0</v>
      </c>
      <c r="J6063" t="s">
        <v>111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23</v>
      </c>
      <c r="R6063">
        <v>0</v>
      </c>
    </row>
    <row r="6064" spans="1:18">
      <c r="A6064" s="4">
        <v>4437960000000</v>
      </c>
      <c r="B6064" t="s">
        <v>18</v>
      </c>
      <c r="C6064">
        <v>58</v>
      </c>
      <c r="D6064" t="s">
        <v>35</v>
      </c>
      <c r="E6064" t="s">
        <v>78</v>
      </c>
      <c r="F6064" s="1">
        <v>42521</v>
      </c>
      <c r="G6064" s="1">
        <v>42523</v>
      </c>
      <c r="H6064" t="s">
        <v>33</v>
      </c>
      <c r="I6064">
        <v>2</v>
      </c>
      <c r="J6064" t="s">
        <v>109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 t="s">
        <v>23</v>
      </c>
      <c r="R6064">
        <v>0</v>
      </c>
    </row>
    <row r="6065" spans="1:18">
      <c r="A6065" s="4">
        <v>98396836543</v>
      </c>
      <c r="B6065" t="s">
        <v>18</v>
      </c>
      <c r="C6065">
        <v>56</v>
      </c>
      <c r="D6065" t="s">
        <v>35</v>
      </c>
      <c r="E6065" t="s">
        <v>73</v>
      </c>
      <c r="F6065" s="1">
        <v>42521</v>
      </c>
      <c r="G6065" s="1">
        <v>42523</v>
      </c>
      <c r="H6065" t="s">
        <v>33</v>
      </c>
      <c r="I6065">
        <v>2</v>
      </c>
      <c r="J6065" t="s">
        <v>109</v>
      </c>
      <c r="K6065">
        <v>0</v>
      </c>
      <c r="L6065">
        <v>1</v>
      </c>
      <c r="M6065">
        <v>0</v>
      </c>
      <c r="N6065">
        <v>0</v>
      </c>
      <c r="O6065">
        <v>0</v>
      </c>
      <c r="P6065">
        <v>0</v>
      </c>
      <c r="Q6065" t="s">
        <v>23</v>
      </c>
      <c r="R6065">
        <v>0</v>
      </c>
    </row>
    <row r="6066" spans="1:18">
      <c r="A6066" s="4">
        <v>4328330000000</v>
      </c>
      <c r="B6066" t="s">
        <v>18</v>
      </c>
      <c r="C6066">
        <v>83</v>
      </c>
      <c r="D6066" t="s">
        <v>19</v>
      </c>
      <c r="E6066" t="s">
        <v>49</v>
      </c>
      <c r="F6066" s="1">
        <v>42521</v>
      </c>
      <c r="G6066" s="1">
        <v>42523</v>
      </c>
      <c r="H6066" t="s">
        <v>33</v>
      </c>
      <c r="I6066">
        <v>2</v>
      </c>
      <c r="J6066" t="s">
        <v>109</v>
      </c>
      <c r="K6066">
        <v>0</v>
      </c>
      <c r="L6066">
        <v>1</v>
      </c>
      <c r="M6066">
        <v>0</v>
      </c>
      <c r="N6066">
        <v>0</v>
      </c>
      <c r="O6066">
        <v>0</v>
      </c>
      <c r="P6066">
        <v>0</v>
      </c>
      <c r="Q6066" t="s">
        <v>23</v>
      </c>
      <c r="R6066">
        <v>0</v>
      </c>
    </row>
    <row r="6067" spans="1:18">
      <c r="A6067" s="4">
        <v>656855000000000</v>
      </c>
      <c r="B6067" t="s">
        <v>18</v>
      </c>
      <c r="C6067">
        <v>4</v>
      </c>
      <c r="D6067" t="s">
        <v>31</v>
      </c>
      <c r="E6067" t="s">
        <v>67</v>
      </c>
      <c r="F6067" s="1">
        <v>42521</v>
      </c>
      <c r="G6067" s="1">
        <v>42521</v>
      </c>
      <c r="H6067" t="s">
        <v>41</v>
      </c>
      <c r="I6067">
        <v>0</v>
      </c>
      <c r="J6067" t="s">
        <v>111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 t="s">
        <v>23</v>
      </c>
      <c r="R6067">
        <v>0</v>
      </c>
    </row>
    <row r="6068" spans="1:18">
      <c r="A6068" s="4">
        <v>21226800000000</v>
      </c>
      <c r="B6068" t="s">
        <v>18</v>
      </c>
      <c r="C6068">
        <v>20</v>
      </c>
      <c r="D6068" t="s">
        <v>37</v>
      </c>
      <c r="E6068" t="s">
        <v>104</v>
      </c>
      <c r="F6068" s="1">
        <v>42521</v>
      </c>
      <c r="G6068" s="1">
        <v>42529</v>
      </c>
      <c r="H6068" t="s">
        <v>25</v>
      </c>
      <c r="I6068">
        <v>8</v>
      </c>
      <c r="J6068" t="s">
        <v>92</v>
      </c>
      <c r="K6068">
        <v>1</v>
      </c>
      <c r="L6068">
        <v>0</v>
      </c>
      <c r="M6068">
        <v>0</v>
      </c>
      <c r="N6068">
        <v>0</v>
      </c>
      <c r="O6068">
        <v>0</v>
      </c>
      <c r="P6068">
        <v>1</v>
      </c>
      <c r="Q6068" t="s">
        <v>23</v>
      </c>
      <c r="R6068">
        <v>0</v>
      </c>
    </row>
    <row r="6069" spans="1:18">
      <c r="A6069" s="4">
        <v>591390000000000</v>
      </c>
      <c r="B6069" t="s">
        <v>18</v>
      </c>
      <c r="C6069">
        <v>44</v>
      </c>
      <c r="D6069" t="s">
        <v>27</v>
      </c>
      <c r="E6069" t="s">
        <v>72</v>
      </c>
      <c r="F6069" s="1">
        <v>42521</v>
      </c>
      <c r="G6069" s="1">
        <v>42523</v>
      </c>
      <c r="H6069" t="s">
        <v>33</v>
      </c>
      <c r="I6069">
        <v>2</v>
      </c>
      <c r="J6069" t="s">
        <v>109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 t="s">
        <v>23</v>
      </c>
      <c r="R6069">
        <v>0</v>
      </c>
    </row>
    <row r="6070" spans="1:18">
      <c r="A6070" s="4">
        <v>273747000000</v>
      </c>
      <c r="B6070" t="s">
        <v>28</v>
      </c>
      <c r="C6070">
        <v>45</v>
      </c>
      <c r="D6070" t="s">
        <v>27</v>
      </c>
      <c r="E6070" t="s">
        <v>67</v>
      </c>
      <c r="F6070" s="1">
        <v>42521</v>
      </c>
      <c r="G6070" s="1">
        <v>42523</v>
      </c>
      <c r="H6070" t="s">
        <v>33</v>
      </c>
      <c r="I6070">
        <v>2</v>
      </c>
      <c r="J6070" t="s">
        <v>109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23</v>
      </c>
      <c r="R6070">
        <v>0</v>
      </c>
    </row>
    <row r="6071" spans="1:18">
      <c r="A6071" s="4">
        <v>45722700000000</v>
      </c>
      <c r="B6071" t="s">
        <v>28</v>
      </c>
      <c r="C6071">
        <v>49</v>
      </c>
      <c r="D6071" t="s">
        <v>27</v>
      </c>
      <c r="E6071" t="s">
        <v>40</v>
      </c>
      <c r="F6071" s="1">
        <v>42521</v>
      </c>
      <c r="G6071" s="1">
        <v>42521</v>
      </c>
      <c r="H6071" t="s">
        <v>41</v>
      </c>
      <c r="I6071">
        <v>0</v>
      </c>
      <c r="J6071" t="s">
        <v>111</v>
      </c>
      <c r="K6071">
        <v>1</v>
      </c>
      <c r="L6071">
        <v>1</v>
      </c>
      <c r="M6071">
        <v>0</v>
      </c>
      <c r="N6071">
        <v>1</v>
      </c>
      <c r="O6071">
        <v>0</v>
      </c>
      <c r="P6071">
        <v>0</v>
      </c>
      <c r="Q6071" t="s">
        <v>23</v>
      </c>
      <c r="R6071">
        <v>0</v>
      </c>
    </row>
    <row r="6072" spans="1:18">
      <c r="A6072" s="4">
        <v>6141830000000</v>
      </c>
      <c r="B6072" t="s">
        <v>28</v>
      </c>
      <c r="C6072">
        <v>28</v>
      </c>
      <c r="D6072" t="s">
        <v>37</v>
      </c>
      <c r="E6072" t="s">
        <v>39</v>
      </c>
      <c r="F6072" s="1">
        <v>42521</v>
      </c>
      <c r="G6072" s="1">
        <v>42521</v>
      </c>
      <c r="H6072" t="s">
        <v>41</v>
      </c>
      <c r="I6072">
        <v>0</v>
      </c>
      <c r="J6072" t="s">
        <v>111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 t="s">
        <v>23</v>
      </c>
      <c r="R6072">
        <v>0</v>
      </c>
    </row>
    <row r="6073" spans="1:18">
      <c r="A6073" s="4">
        <v>57986500000000</v>
      </c>
      <c r="B6073" t="s">
        <v>18</v>
      </c>
      <c r="C6073">
        <v>43</v>
      </c>
      <c r="D6073" t="s">
        <v>27</v>
      </c>
      <c r="E6073" t="s">
        <v>29</v>
      </c>
      <c r="F6073" s="1">
        <v>42521</v>
      </c>
      <c r="G6073" s="1">
        <v>42522</v>
      </c>
      <c r="H6073" t="s">
        <v>25</v>
      </c>
      <c r="I6073">
        <v>1</v>
      </c>
      <c r="J6073" t="s">
        <v>109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 t="s">
        <v>26</v>
      </c>
      <c r="R6073">
        <v>1</v>
      </c>
    </row>
    <row r="6074" spans="1:18">
      <c r="A6074" s="4">
        <v>178919000000000</v>
      </c>
      <c r="B6074" t="s">
        <v>18</v>
      </c>
      <c r="C6074">
        <v>46</v>
      </c>
      <c r="D6074" t="s">
        <v>27</v>
      </c>
      <c r="E6074" t="s">
        <v>106</v>
      </c>
      <c r="F6074" s="1">
        <v>42521</v>
      </c>
      <c r="G6074" s="1">
        <v>42521</v>
      </c>
      <c r="H6074" t="s">
        <v>41</v>
      </c>
      <c r="I6074">
        <v>0</v>
      </c>
      <c r="J6074" t="s">
        <v>111</v>
      </c>
      <c r="K6074">
        <v>1</v>
      </c>
      <c r="L6074">
        <v>1</v>
      </c>
      <c r="M6074">
        <v>0</v>
      </c>
      <c r="N6074">
        <v>0</v>
      </c>
      <c r="O6074">
        <v>0</v>
      </c>
      <c r="P6074">
        <v>0</v>
      </c>
      <c r="Q6074" t="s">
        <v>23</v>
      </c>
      <c r="R6074">
        <v>0</v>
      </c>
    </row>
    <row r="6075" spans="1:18">
      <c r="A6075" s="4">
        <v>825547000000000</v>
      </c>
      <c r="B6075" t="s">
        <v>28</v>
      </c>
      <c r="C6075">
        <v>1</v>
      </c>
      <c r="D6075" t="s">
        <v>31</v>
      </c>
      <c r="E6075" t="s">
        <v>32</v>
      </c>
      <c r="F6075" s="1">
        <v>42521</v>
      </c>
      <c r="G6075" s="1">
        <v>42521</v>
      </c>
      <c r="H6075" t="s">
        <v>41</v>
      </c>
      <c r="I6075">
        <v>0</v>
      </c>
      <c r="J6075" t="s">
        <v>111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 t="s">
        <v>23</v>
      </c>
      <c r="R6075">
        <v>0</v>
      </c>
    </row>
    <row r="6076" spans="1:18">
      <c r="A6076" s="4">
        <v>88835000000000</v>
      </c>
      <c r="B6076" t="s">
        <v>28</v>
      </c>
      <c r="C6076">
        <v>48</v>
      </c>
      <c r="D6076" t="s">
        <v>27</v>
      </c>
      <c r="E6076" t="s">
        <v>78</v>
      </c>
      <c r="F6076" s="1">
        <v>42521</v>
      </c>
      <c r="G6076" s="1">
        <v>42521</v>
      </c>
      <c r="H6076" t="s">
        <v>41</v>
      </c>
      <c r="I6076">
        <v>0</v>
      </c>
      <c r="J6076" t="s">
        <v>111</v>
      </c>
      <c r="K6076">
        <v>0</v>
      </c>
      <c r="L6076">
        <v>0</v>
      </c>
      <c r="M6076">
        <v>0</v>
      </c>
      <c r="N6076">
        <v>0</v>
      </c>
      <c r="O6076">
        <v>1</v>
      </c>
      <c r="P6076">
        <v>0</v>
      </c>
      <c r="Q6076" t="s">
        <v>23</v>
      </c>
      <c r="R6076">
        <v>0</v>
      </c>
    </row>
    <row r="6077" spans="1:18">
      <c r="A6077" s="4">
        <v>289344000000</v>
      </c>
      <c r="B6077" t="s">
        <v>18</v>
      </c>
      <c r="C6077">
        <v>10</v>
      </c>
      <c r="D6077" t="s">
        <v>31</v>
      </c>
      <c r="E6077" t="s">
        <v>66</v>
      </c>
      <c r="F6077" s="1">
        <v>42521</v>
      </c>
      <c r="G6077" s="1">
        <v>42527</v>
      </c>
      <c r="H6077" t="s">
        <v>30</v>
      </c>
      <c r="I6077">
        <v>6</v>
      </c>
      <c r="J6077" t="s">
        <v>107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1</v>
      </c>
      <c r="Q6077" t="s">
        <v>23</v>
      </c>
      <c r="R6077">
        <v>0</v>
      </c>
    </row>
    <row r="6078" spans="1:18">
      <c r="A6078" s="4">
        <v>86536900000000</v>
      </c>
      <c r="B6078" t="s">
        <v>18</v>
      </c>
      <c r="C6078">
        <v>4</v>
      </c>
      <c r="D6078" t="s">
        <v>31</v>
      </c>
      <c r="E6078" t="s">
        <v>38</v>
      </c>
      <c r="F6078" s="1">
        <v>42521</v>
      </c>
      <c r="G6078" s="1">
        <v>42521</v>
      </c>
      <c r="H6078" t="s">
        <v>41</v>
      </c>
      <c r="I6078">
        <v>0</v>
      </c>
      <c r="J6078" t="s">
        <v>111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 t="s">
        <v>23</v>
      </c>
      <c r="R6078">
        <v>0</v>
      </c>
    </row>
    <row r="6079" spans="1:18">
      <c r="A6079" s="4">
        <v>28143200000000</v>
      </c>
      <c r="B6079" t="s">
        <v>18</v>
      </c>
      <c r="C6079">
        <v>3</v>
      </c>
      <c r="D6079" t="s">
        <v>31</v>
      </c>
      <c r="E6079" t="s">
        <v>67</v>
      </c>
      <c r="F6079" s="1">
        <v>42521</v>
      </c>
      <c r="G6079" s="1">
        <v>42524</v>
      </c>
      <c r="H6079" t="s">
        <v>21</v>
      </c>
      <c r="I6079">
        <v>3</v>
      </c>
      <c r="J6079" t="s">
        <v>109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1</v>
      </c>
      <c r="Q6079" t="s">
        <v>26</v>
      </c>
      <c r="R6079">
        <v>1</v>
      </c>
    </row>
    <row r="6080" spans="1:18">
      <c r="A6080" s="4">
        <v>225691000000000</v>
      </c>
      <c r="B6080" t="s">
        <v>18</v>
      </c>
      <c r="C6080">
        <v>22</v>
      </c>
      <c r="D6080" t="s">
        <v>37</v>
      </c>
      <c r="E6080" t="s">
        <v>75</v>
      </c>
      <c r="F6080" s="1">
        <v>42521</v>
      </c>
      <c r="G6080" s="1">
        <v>42524</v>
      </c>
      <c r="H6080" t="s">
        <v>21</v>
      </c>
      <c r="I6080">
        <v>3</v>
      </c>
      <c r="J6080" t="s">
        <v>109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1</v>
      </c>
      <c r="Q6080" t="s">
        <v>23</v>
      </c>
      <c r="R6080">
        <v>0</v>
      </c>
    </row>
    <row r="6081" spans="1:18">
      <c r="A6081" s="4">
        <v>822146000000000</v>
      </c>
      <c r="B6081" t="s">
        <v>28</v>
      </c>
      <c r="C6081">
        <v>38</v>
      </c>
      <c r="D6081" t="s">
        <v>27</v>
      </c>
      <c r="E6081" t="s">
        <v>64</v>
      </c>
      <c r="F6081" s="1">
        <v>42521</v>
      </c>
      <c r="G6081" s="1">
        <v>42521</v>
      </c>
      <c r="H6081" t="s">
        <v>41</v>
      </c>
      <c r="I6081">
        <v>0</v>
      </c>
      <c r="J6081" t="s">
        <v>111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 t="s">
        <v>23</v>
      </c>
      <c r="R6081">
        <v>0</v>
      </c>
    </row>
    <row r="6082" spans="1:18">
      <c r="A6082" s="4">
        <v>85381300000000</v>
      </c>
      <c r="B6082" t="s">
        <v>18</v>
      </c>
      <c r="C6082">
        <v>69</v>
      </c>
      <c r="D6082" t="s">
        <v>19</v>
      </c>
      <c r="E6082" t="s">
        <v>39</v>
      </c>
      <c r="F6082" s="1">
        <v>42521</v>
      </c>
      <c r="G6082" s="1">
        <v>42522</v>
      </c>
      <c r="H6082" t="s">
        <v>25</v>
      </c>
      <c r="I6082">
        <v>1</v>
      </c>
      <c r="J6082" t="s">
        <v>109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 t="s">
        <v>23</v>
      </c>
      <c r="R6082">
        <v>0</v>
      </c>
    </row>
    <row r="6083" spans="1:18">
      <c r="A6083" s="4">
        <v>862363000000000</v>
      </c>
      <c r="B6083" t="s">
        <v>18</v>
      </c>
      <c r="C6083">
        <v>52</v>
      </c>
      <c r="D6083" t="s">
        <v>35</v>
      </c>
      <c r="E6083" t="s">
        <v>32</v>
      </c>
      <c r="F6083" s="1">
        <v>42521</v>
      </c>
      <c r="G6083" s="1">
        <v>42524</v>
      </c>
      <c r="H6083" t="s">
        <v>21</v>
      </c>
      <c r="I6083">
        <v>3</v>
      </c>
      <c r="J6083" t="s">
        <v>109</v>
      </c>
      <c r="K6083">
        <v>0</v>
      </c>
      <c r="L6083">
        <v>1</v>
      </c>
      <c r="M6083">
        <v>0</v>
      </c>
      <c r="N6083">
        <v>0</v>
      </c>
      <c r="O6083">
        <v>0</v>
      </c>
      <c r="P6083">
        <v>1</v>
      </c>
      <c r="Q6083" t="s">
        <v>26</v>
      </c>
      <c r="R6083">
        <v>1</v>
      </c>
    </row>
    <row r="6084" spans="1:18">
      <c r="A6084" s="4">
        <v>491528000000000</v>
      </c>
      <c r="B6084" t="s">
        <v>18</v>
      </c>
      <c r="C6084">
        <v>62</v>
      </c>
      <c r="D6084" t="s">
        <v>35</v>
      </c>
      <c r="E6084" t="s">
        <v>67</v>
      </c>
      <c r="F6084" s="1">
        <v>42521</v>
      </c>
      <c r="G6084" s="1">
        <v>42521</v>
      </c>
      <c r="H6084" t="s">
        <v>41</v>
      </c>
      <c r="I6084">
        <v>0</v>
      </c>
      <c r="J6084" t="s">
        <v>111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 t="s">
        <v>23</v>
      </c>
      <c r="R6084">
        <v>0</v>
      </c>
    </row>
    <row r="6085" spans="1:18">
      <c r="A6085" s="4">
        <v>76123400000000</v>
      </c>
      <c r="B6085" t="s">
        <v>28</v>
      </c>
      <c r="C6085">
        <v>61</v>
      </c>
      <c r="D6085" t="s">
        <v>35</v>
      </c>
      <c r="E6085" t="s">
        <v>95</v>
      </c>
      <c r="F6085" s="1">
        <v>42521</v>
      </c>
      <c r="G6085" s="1">
        <v>42521</v>
      </c>
      <c r="H6085" t="s">
        <v>41</v>
      </c>
      <c r="I6085">
        <v>0</v>
      </c>
      <c r="J6085" t="s">
        <v>111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23</v>
      </c>
      <c r="R6085">
        <v>0</v>
      </c>
    </row>
    <row r="6086" spans="1:18">
      <c r="A6086" s="4">
        <v>883343000000000</v>
      </c>
      <c r="B6086" t="s">
        <v>18</v>
      </c>
      <c r="C6086">
        <v>21</v>
      </c>
      <c r="D6086" t="s">
        <v>37</v>
      </c>
      <c r="E6086" t="s">
        <v>48</v>
      </c>
      <c r="F6086" s="1">
        <v>42521</v>
      </c>
      <c r="G6086" s="1">
        <v>42524</v>
      </c>
      <c r="H6086" t="s">
        <v>21</v>
      </c>
      <c r="I6086">
        <v>3</v>
      </c>
      <c r="J6086" t="s">
        <v>109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1</v>
      </c>
      <c r="Q6086" t="s">
        <v>23</v>
      </c>
      <c r="R6086">
        <v>0</v>
      </c>
    </row>
    <row r="6087" spans="1:18">
      <c r="A6087" s="4">
        <v>653732000000000</v>
      </c>
      <c r="B6087" t="s">
        <v>18</v>
      </c>
      <c r="C6087">
        <v>73</v>
      </c>
      <c r="D6087" t="s">
        <v>19</v>
      </c>
      <c r="E6087" t="s">
        <v>39</v>
      </c>
      <c r="F6087" s="1">
        <v>42521</v>
      </c>
      <c r="G6087" s="1">
        <v>42522</v>
      </c>
      <c r="H6087" t="s">
        <v>25</v>
      </c>
      <c r="I6087">
        <v>1</v>
      </c>
      <c r="J6087" t="s">
        <v>109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 t="s">
        <v>23</v>
      </c>
      <c r="R6087">
        <v>0</v>
      </c>
    </row>
    <row r="6088" spans="1:18">
      <c r="A6088" s="4">
        <v>1139340000000</v>
      </c>
      <c r="B6088" t="s">
        <v>18</v>
      </c>
      <c r="C6088">
        <v>18</v>
      </c>
      <c r="D6088" t="s">
        <v>37</v>
      </c>
      <c r="E6088" t="s">
        <v>47</v>
      </c>
      <c r="F6088" s="1">
        <v>42521</v>
      </c>
      <c r="G6088" s="1">
        <v>42521</v>
      </c>
      <c r="H6088" t="s">
        <v>41</v>
      </c>
      <c r="I6088">
        <v>0</v>
      </c>
      <c r="J6088" t="s">
        <v>111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 t="s">
        <v>23</v>
      </c>
      <c r="R6088">
        <v>0</v>
      </c>
    </row>
    <row r="6089" spans="1:18">
      <c r="A6089" s="4">
        <v>3892230000000</v>
      </c>
      <c r="B6089" t="s">
        <v>18</v>
      </c>
      <c r="C6089">
        <v>57</v>
      </c>
      <c r="D6089" t="s">
        <v>35</v>
      </c>
      <c r="E6089" t="s">
        <v>65</v>
      </c>
      <c r="F6089" s="1">
        <v>42521</v>
      </c>
      <c r="G6089" s="1">
        <v>42528</v>
      </c>
      <c r="H6089" t="s">
        <v>41</v>
      </c>
      <c r="I6089">
        <v>7</v>
      </c>
      <c r="J6089" t="s">
        <v>107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1</v>
      </c>
      <c r="Q6089" t="s">
        <v>23</v>
      </c>
      <c r="R6089">
        <v>0</v>
      </c>
    </row>
    <row r="6090" spans="1:18">
      <c r="A6090" s="4">
        <v>29413100000000</v>
      </c>
      <c r="B6090" t="s">
        <v>28</v>
      </c>
      <c r="C6090">
        <v>8</v>
      </c>
      <c r="D6090" t="s">
        <v>31</v>
      </c>
      <c r="E6090" t="s">
        <v>62</v>
      </c>
      <c r="F6090" s="1">
        <v>42521</v>
      </c>
      <c r="G6090" s="1">
        <v>42527</v>
      </c>
      <c r="H6090" t="s">
        <v>30</v>
      </c>
      <c r="I6090">
        <v>6</v>
      </c>
      <c r="J6090" t="s">
        <v>107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1</v>
      </c>
      <c r="Q6090" t="s">
        <v>26</v>
      </c>
      <c r="R6090">
        <v>1</v>
      </c>
    </row>
    <row r="6091" spans="1:18">
      <c r="A6091" s="4">
        <v>71345154259</v>
      </c>
      <c r="B6091" t="s">
        <v>28</v>
      </c>
      <c r="C6091">
        <v>54</v>
      </c>
      <c r="D6091" t="s">
        <v>35</v>
      </c>
      <c r="E6091" t="s">
        <v>67</v>
      </c>
      <c r="F6091" s="1">
        <v>42521</v>
      </c>
      <c r="G6091" s="1">
        <v>42521</v>
      </c>
      <c r="H6091" t="s">
        <v>41</v>
      </c>
      <c r="I6091">
        <v>0</v>
      </c>
      <c r="J6091" t="s">
        <v>111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 t="s">
        <v>23</v>
      </c>
      <c r="R6091">
        <v>0</v>
      </c>
    </row>
    <row r="6092" spans="1:18">
      <c r="A6092" s="4">
        <v>69665900000000</v>
      </c>
      <c r="B6092" t="s">
        <v>28</v>
      </c>
      <c r="C6092">
        <v>14</v>
      </c>
      <c r="D6092" t="s">
        <v>60</v>
      </c>
      <c r="E6092" t="s">
        <v>63</v>
      </c>
      <c r="F6092" s="1">
        <v>42521</v>
      </c>
      <c r="G6092" s="1">
        <v>42521</v>
      </c>
      <c r="H6092" t="s">
        <v>41</v>
      </c>
      <c r="I6092">
        <v>0</v>
      </c>
      <c r="J6092" t="s">
        <v>111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 t="s">
        <v>23</v>
      </c>
      <c r="R6092">
        <v>0</v>
      </c>
    </row>
    <row r="6093" spans="1:18">
      <c r="A6093" s="4">
        <v>5546170000000</v>
      </c>
      <c r="B6093" t="s">
        <v>18</v>
      </c>
      <c r="C6093">
        <v>54</v>
      </c>
      <c r="D6093" t="s">
        <v>35</v>
      </c>
      <c r="E6093" t="s">
        <v>49</v>
      </c>
      <c r="F6093" s="1">
        <v>42521</v>
      </c>
      <c r="G6093" s="1">
        <v>42522</v>
      </c>
      <c r="H6093" t="s">
        <v>25</v>
      </c>
      <c r="I6093">
        <v>1</v>
      </c>
      <c r="J6093" t="s">
        <v>109</v>
      </c>
      <c r="K6093">
        <v>0</v>
      </c>
      <c r="L6093">
        <v>1</v>
      </c>
      <c r="M6093">
        <v>1</v>
      </c>
      <c r="N6093">
        <v>0</v>
      </c>
      <c r="O6093">
        <v>0</v>
      </c>
      <c r="P6093">
        <v>0</v>
      </c>
      <c r="Q6093" t="s">
        <v>26</v>
      </c>
      <c r="R6093">
        <v>1</v>
      </c>
    </row>
    <row r="6094" spans="1:18">
      <c r="A6094" s="4">
        <v>2256450000000</v>
      </c>
      <c r="B6094" t="s">
        <v>28</v>
      </c>
      <c r="C6094">
        <v>57</v>
      </c>
      <c r="D6094" t="s">
        <v>35</v>
      </c>
      <c r="E6094" t="s">
        <v>56</v>
      </c>
      <c r="F6094" s="1">
        <v>42521</v>
      </c>
      <c r="G6094" s="1">
        <v>42523</v>
      </c>
      <c r="H6094" t="s">
        <v>33</v>
      </c>
      <c r="I6094">
        <v>2</v>
      </c>
      <c r="J6094" t="s">
        <v>109</v>
      </c>
      <c r="K6094">
        <v>0</v>
      </c>
      <c r="L6094">
        <v>0</v>
      </c>
      <c r="M6094">
        <v>0</v>
      </c>
      <c r="N6094">
        <v>1</v>
      </c>
      <c r="O6094">
        <v>0</v>
      </c>
      <c r="P6094">
        <v>0</v>
      </c>
      <c r="Q6094" t="s">
        <v>26</v>
      </c>
      <c r="R6094">
        <v>1</v>
      </c>
    </row>
    <row r="6095" spans="1:18">
      <c r="A6095" s="4">
        <v>438887000000000</v>
      </c>
      <c r="B6095" t="s">
        <v>18</v>
      </c>
      <c r="C6095">
        <v>31</v>
      </c>
      <c r="D6095" t="s">
        <v>37</v>
      </c>
      <c r="E6095" t="s">
        <v>45</v>
      </c>
      <c r="F6095" s="1">
        <v>42521</v>
      </c>
      <c r="G6095" s="1">
        <v>42521</v>
      </c>
      <c r="H6095" t="s">
        <v>41</v>
      </c>
      <c r="I6095">
        <v>0</v>
      </c>
      <c r="J6095" t="s">
        <v>111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 t="s">
        <v>23</v>
      </c>
      <c r="R6095">
        <v>0</v>
      </c>
    </row>
    <row r="6096" spans="1:18">
      <c r="A6096" s="4">
        <v>15366900000000</v>
      </c>
      <c r="B6096" t="s">
        <v>18</v>
      </c>
      <c r="C6096">
        <v>52</v>
      </c>
      <c r="D6096" t="s">
        <v>35</v>
      </c>
      <c r="E6096" t="s">
        <v>72</v>
      </c>
      <c r="F6096" s="1">
        <v>42521</v>
      </c>
      <c r="G6096" s="1">
        <v>42521</v>
      </c>
      <c r="H6096" t="s">
        <v>41</v>
      </c>
      <c r="I6096">
        <v>0</v>
      </c>
      <c r="J6096" t="s">
        <v>111</v>
      </c>
      <c r="K6096">
        <v>0</v>
      </c>
      <c r="L6096">
        <v>1</v>
      </c>
      <c r="M6096">
        <v>0</v>
      </c>
      <c r="N6096">
        <v>0</v>
      </c>
      <c r="O6096">
        <v>0</v>
      </c>
      <c r="P6096">
        <v>0</v>
      </c>
      <c r="Q6096" t="s">
        <v>23</v>
      </c>
      <c r="R6096">
        <v>0</v>
      </c>
    </row>
    <row r="6097" spans="1:18">
      <c r="A6097" s="4">
        <v>653425000000000</v>
      </c>
      <c r="B6097" t="s">
        <v>28</v>
      </c>
      <c r="C6097">
        <v>33</v>
      </c>
      <c r="D6097" t="s">
        <v>37</v>
      </c>
      <c r="E6097" t="s">
        <v>47</v>
      </c>
      <c r="F6097" s="1">
        <v>42521</v>
      </c>
      <c r="G6097" s="1">
        <v>42521</v>
      </c>
      <c r="H6097" t="s">
        <v>41</v>
      </c>
      <c r="I6097">
        <v>0</v>
      </c>
      <c r="J6097" t="s">
        <v>111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23</v>
      </c>
      <c r="R6097">
        <v>0</v>
      </c>
    </row>
    <row r="6098" spans="1:18">
      <c r="A6098" s="4">
        <v>196586000000000</v>
      </c>
      <c r="B6098" t="s">
        <v>28</v>
      </c>
      <c r="C6098">
        <v>31</v>
      </c>
      <c r="D6098" t="s">
        <v>37</v>
      </c>
      <c r="E6098" t="s">
        <v>39</v>
      </c>
      <c r="F6098" s="1">
        <v>42521</v>
      </c>
      <c r="G6098" s="1">
        <v>42522</v>
      </c>
      <c r="H6098" t="s">
        <v>25</v>
      </c>
      <c r="I6098">
        <v>1</v>
      </c>
      <c r="J6098" t="s">
        <v>109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 t="s">
        <v>26</v>
      </c>
      <c r="R6098">
        <v>1</v>
      </c>
    </row>
    <row r="6099" spans="1:18">
      <c r="A6099" s="4">
        <v>91153400000000</v>
      </c>
      <c r="B6099" t="s">
        <v>18</v>
      </c>
      <c r="C6099">
        <v>31</v>
      </c>
      <c r="D6099" t="s">
        <v>37</v>
      </c>
      <c r="E6099" t="s">
        <v>42</v>
      </c>
      <c r="F6099" s="1">
        <v>42521</v>
      </c>
      <c r="G6099" s="1">
        <v>42528</v>
      </c>
      <c r="H6099" t="s">
        <v>41</v>
      </c>
      <c r="I6099">
        <v>7</v>
      </c>
      <c r="J6099" t="s">
        <v>107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1</v>
      </c>
      <c r="Q6099" t="s">
        <v>23</v>
      </c>
      <c r="R6099">
        <v>0</v>
      </c>
    </row>
    <row r="6100" spans="1:18">
      <c r="A6100" s="4">
        <v>47782182243</v>
      </c>
      <c r="B6100" t="s">
        <v>18</v>
      </c>
      <c r="C6100">
        <v>17</v>
      </c>
      <c r="D6100" t="s">
        <v>60</v>
      </c>
      <c r="E6100" t="s">
        <v>87</v>
      </c>
      <c r="F6100" s="1">
        <v>42521</v>
      </c>
      <c r="G6100" s="1">
        <v>42529</v>
      </c>
      <c r="H6100" t="s">
        <v>25</v>
      </c>
      <c r="I6100">
        <v>8</v>
      </c>
      <c r="J6100" t="s">
        <v>92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1</v>
      </c>
      <c r="Q6100" t="s">
        <v>23</v>
      </c>
      <c r="R6100">
        <v>0</v>
      </c>
    </row>
    <row r="6101" spans="1:18">
      <c r="A6101" s="4">
        <v>86195300000000</v>
      </c>
      <c r="B6101" t="s">
        <v>18</v>
      </c>
      <c r="C6101">
        <v>30</v>
      </c>
      <c r="D6101" t="s">
        <v>37</v>
      </c>
      <c r="E6101" t="s">
        <v>61</v>
      </c>
      <c r="F6101" s="1">
        <v>42521</v>
      </c>
      <c r="G6101" s="1">
        <v>42528</v>
      </c>
      <c r="H6101" t="s">
        <v>41</v>
      </c>
      <c r="I6101">
        <v>7</v>
      </c>
      <c r="J6101" t="s">
        <v>107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1</v>
      </c>
      <c r="Q6101" t="s">
        <v>23</v>
      </c>
      <c r="R6101">
        <v>0</v>
      </c>
    </row>
    <row r="6102" spans="1:18">
      <c r="A6102" s="4">
        <v>631959000000</v>
      </c>
      <c r="B6102" t="s">
        <v>28</v>
      </c>
      <c r="C6102">
        <v>59</v>
      </c>
      <c r="D6102" t="s">
        <v>35</v>
      </c>
      <c r="E6102" t="s">
        <v>39</v>
      </c>
      <c r="F6102" s="1">
        <v>42521</v>
      </c>
      <c r="G6102" s="1">
        <v>42522</v>
      </c>
      <c r="H6102" t="s">
        <v>25</v>
      </c>
      <c r="I6102">
        <v>1</v>
      </c>
      <c r="J6102" t="s">
        <v>109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 t="s">
        <v>23</v>
      </c>
      <c r="R6102">
        <v>0</v>
      </c>
    </row>
    <row r="6103" spans="1:18">
      <c r="A6103" s="4">
        <v>4248480000000</v>
      </c>
      <c r="B6103" t="s">
        <v>18</v>
      </c>
      <c r="C6103">
        <v>19</v>
      </c>
      <c r="D6103" t="s">
        <v>37</v>
      </c>
      <c r="E6103" t="s">
        <v>64</v>
      </c>
      <c r="F6103" s="1">
        <v>42521</v>
      </c>
      <c r="G6103" s="1">
        <v>42521</v>
      </c>
      <c r="H6103" t="s">
        <v>41</v>
      </c>
      <c r="I6103">
        <v>0</v>
      </c>
      <c r="J6103" t="s">
        <v>111</v>
      </c>
      <c r="K6103">
        <v>1</v>
      </c>
      <c r="L6103">
        <v>0</v>
      </c>
      <c r="M6103">
        <v>0</v>
      </c>
      <c r="N6103">
        <v>0</v>
      </c>
      <c r="O6103">
        <v>0</v>
      </c>
      <c r="P6103">
        <v>0</v>
      </c>
      <c r="Q6103" t="s">
        <v>23</v>
      </c>
      <c r="R6103">
        <v>0</v>
      </c>
    </row>
    <row r="6104" spans="1:18">
      <c r="A6104" s="4">
        <v>871375000000000</v>
      </c>
      <c r="B6104" t="s">
        <v>28</v>
      </c>
      <c r="C6104">
        <v>64</v>
      </c>
      <c r="D6104" t="s">
        <v>35</v>
      </c>
      <c r="E6104" t="s">
        <v>54</v>
      </c>
      <c r="F6104" s="1">
        <v>42521</v>
      </c>
      <c r="G6104" s="1">
        <v>42524</v>
      </c>
      <c r="H6104" t="s">
        <v>21</v>
      </c>
      <c r="I6104">
        <v>3</v>
      </c>
      <c r="J6104" t="s">
        <v>109</v>
      </c>
      <c r="K6104">
        <v>0</v>
      </c>
      <c r="L6104">
        <v>0</v>
      </c>
      <c r="M6104">
        <v>0</v>
      </c>
      <c r="N6104">
        <v>1</v>
      </c>
      <c r="O6104">
        <v>0</v>
      </c>
      <c r="P6104">
        <v>0</v>
      </c>
      <c r="Q6104" t="s">
        <v>23</v>
      </c>
      <c r="R6104">
        <v>0</v>
      </c>
    </row>
    <row r="6105" spans="1:18">
      <c r="A6105" s="4">
        <v>465454000000</v>
      </c>
      <c r="B6105" t="s">
        <v>18</v>
      </c>
      <c r="C6105">
        <v>64</v>
      </c>
      <c r="D6105" t="s">
        <v>35</v>
      </c>
      <c r="E6105" t="s">
        <v>36</v>
      </c>
      <c r="F6105" s="1">
        <v>42521</v>
      </c>
      <c r="G6105" s="1">
        <v>42522</v>
      </c>
      <c r="H6105" t="s">
        <v>25</v>
      </c>
      <c r="I6105">
        <v>1</v>
      </c>
      <c r="J6105" t="s">
        <v>109</v>
      </c>
      <c r="K6105">
        <v>0</v>
      </c>
      <c r="L6105">
        <v>1</v>
      </c>
      <c r="M6105">
        <v>0</v>
      </c>
      <c r="N6105">
        <v>0</v>
      </c>
      <c r="O6105">
        <v>0</v>
      </c>
      <c r="P6105">
        <v>0</v>
      </c>
      <c r="Q6105" t="s">
        <v>26</v>
      </c>
      <c r="R6105">
        <v>1</v>
      </c>
    </row>
    <row r="6106" spans="1:18">
      <c r="A6106" s="4">
        <v>436921000000</v>
      </c>
      <c r="B6106" t="s">
        <v>28</v>
      </c>
      <c r="C6106">
        <v>78</v>
      </c>
      <c r="D6106" t="s">
        <v>19</v>
      </c>
      <c r="E6106" t="s">
        <v>39</v>
      </c>
      <c r="F6106" s="1">
        <v>42521</v>
      </c>
      <c r="G6106" s="1">
        <v>42524</v>
      </c>
      <c r="H6106" t="s">
        <v>21</v>
      </c>
      <c r="I6106">
        <v>3</v>
      </c>
      <c r="J6106" t="s">
        <v>109</v>
      </c>
      <c r="K6106">
        <v>0</v>
      </c>
      <c r="L6106">
        <v>1</v>
      </c>
      <c r="M6106">
        <v>0</v>
      </c>
      <c r="N6106">
        <v>0</v>
      </c>
      <c r="O6106">
        <v>0</v>
      </c>
      <c r="P6106">
        <v>1</v>
      </c>
      <c r="Q6106" t="s">
        <v>23</v>
      </c>
      <c r="R6106">
        <v>0</v>
      </c>
    </row>
    <row r="6107" spans="1:18">
      <c r="A6107" s="4">
        <v>165529000000</v>
      </c>
      <c r="B6107" t="s">
        <v>18</v>
      </c>
      <c r="C6107">
        <v>71</v>
      </c>
      <c r="D6107" t="s">
        <v>19</v>
      </c>
      <c r="E6107" t="s">
        <v>69</v>
      </c>
      <c r="F6107" s="1">
        <v>42521</v>
      </c>
      <c r="G6107" s="1">
        <v>42521</v>
      </c>
      <c r="H6107" t="s">
        <v>41</v>
      </c>
      <c r="I6107">
        <v>0</v>
      </c>
      <c r="J6107" t="s">
        <v>111</v>
      </c>
      <c r="K6107">
        <v>0</v>
      </c>
      <c r="L6107">
        <v>1</v>
      </c>
      <c r="M6107">
        <v>1</v>
      </c>
      <c r="N6107">
        <v>0</v>
      </c>
      <c r="O6107">
        <v>0</v>
      </c>
      <c r="P6107">
        <v>0</v>
      </c>
      <c r="Q6107" t="s">
        <v>23</v>
      </c>
      <c r="R6107">
        <v>0</v>
      </c>
    </row>
    <row r="6108" spans="1:18">
      <c r="A6108" s="4">
        <v>44637800000000</v>
      </c>
      <c r="B6108" t="s">
        <v>18</v>
      </c>
      <c r="C6108">
        <v>49</v>
      </c>
      <c r="D6108" t="s">
        <v>27</v>
      </c>
      <c r="E6108" t="s">
        <v>34</v>
      </c>
      <c r="F6108" s="1">
        <v>42521</v>
      </c>
      <c r="G6108" s="1">
        <v>42522</v>
      </c>
      <c r="H6108" t="s">
        <v>25</v>
      </c>
      <c r="I6108">
        <v>1</v>
      </c>
      <c r="J6108" t="s">
        <v>109</v>
      </c>
      <c r="K6108">
        <v>0</v>
      </c>
      <c r="L6108">
        <v>0</v>
      </c>
      <c r="M6108">
        <v>1</v>
      </c>
      <c r="N6108">
        <v>0</v>
      </c>
      <c r="O6108">
        <v>0</v>
      </c>
      <c r="P6108">
        <v>0</v>
      </c>
      <c r="Q6108" t="s">
        <v>26</v>
      </c>
      <c r="R6108">
        <v>1</v>
      </c>
    </row>
    <row r="6109" spans="1:18">
      <c r="A6109" s="4">
        <v>59356600000000</v>
      </c>
      <c r="B6109" t="s">
        <v>28</v>
      </c>
      <c r="C6109">
        <v>65</v>
      </c>
      <c r="D6109" t="s">
        <v>35</v>
      </c>
      <c r="E6109" t="s">
        <v>84</v>
      </c>
      <c r="F6109" s="1">
        <v>42521</v>
      </c>
      <c r="G6109" s="1">
        <v>42523</v>
      </c>
      <c r="H6109" t="s">
        <v>33</v>
      </c>
      <c r="I6109">
        <v>2</v>
      </c>
      <c r="J6109" t="s">
        <v>109</v>
      </c>
      <c r="K6109">
        <v>0</v>
      </c>
      <c r="L6109">
        <v>1</v>
      </c>
      <c r="M6109">
        <v>1</v>
      </c>
      <c r="N6109">
        <v>1</v>
      </c>
      <c r="O6109">
        <v>0</v>
      </c>
      <c r="P6109">
        <v>0</v>
      </c>
      <c r="Q6109" t="s">
        <v>23</v>
      </c>
      <c r="R6109">
        <v>0</v>
      </c>
    </row>
    <row r="6110" spans="1:18">
      <c r="A6110" s="4">
        <v>8174120000000</v>
      </c>
      <c r="B6110" t="s">
        <v>18</v>
      </c>
      <c r="C6110">
        <v>57</v>
      </c>
      <c r="D6110" t="s">
        <v>35</v>
      </c>
      <c r="E6110" t="s">
        <v>29</v>
      </c>
      <c r="F6110" s="1">
        <v>42521</v>
      </c>
      <c r="G6110" s="1">
        <v>42521</v>
      </c>
      <c r="H6110" t="s">
        <v>41</v>
      </c>
      <c r="I6110">
        <v>0</v>
      </c>
      <c r="J6110" t="s">
        <v>111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 t="s">
        <v>23</v>
      </c>
      <c r="R6110">
        <v>0</v>
      </c>
    </row>
    <row r="6111" spans="1:18">
      <c r="A6111" s="4">
        <v>76325800000000</v>
      </c>
      <c r="B6111" t="s">
        <v>28</v>
      </c>
      <c r="C6111">
        <v>22</v>
      </c>
      <c r="D6111" t="s">
        <v>37</v>
      </c>
      <c r="E6111" t="s">
        <v>79</v>
      </c>
      <c r="F6111" s="1">
        <v>42521</v>
      </c>
      <c r="G6111" s="1">
        <v>42529</v>
      </c>
      <c r="H6111" t="s">
        <v>25</v>
      </c>
      <c r="I6111">
        <v>8</v>
      </c>
      <c r="J6111" t="s">
        <v>92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1</v>
      </c>
      <c r="Q6111" t="s">
        <v>23</v>
      </c>
      <c r="R6111">
        <v>0</v>
      </c>
    </row>
    <row r="6112" spans="1:18">
      <c r="A6112" s="4">
        <v>985377000000</v>
      </c>
      <c r="B6112" t="s">
        <v>28</v>
      </c>
      <c r="C6112">
        <v>57</v>
      </c>
      <c r="D6112" t="s">
        <v>35</v>
      </c>
      <c r="E6112" t="s">
        <v>88</v>
      </c>
      <c r="F6112" s="1">
        <v>42521</v>
      </c>
      <c r="G6112" s="1">
        <v>42522</v>
      </c>
      <c r="H6112" t="s">
        <v>25</v>
      </c>
      <c r="I6112">
        <v>1</v>
      </c>
      <c r="J6112" t="s">
        <v>109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 t="s">
        <v>23</v>
      </c>
      <c r="R6112">
        <v>0</v>
      </c>
    </row>
    <row r="6113" spans="1:18">
      <c r="A6113" s="4">
        <v>573423000000000</v>
      </c>
      <c r="B6113" t="s">
        <v>18</v>
      </c>
      <c r="C6113">
        <v>21</v>
      </c>
      <c r="D6113" t="s">
        <v>37</v>
      </c>
      <c r="E6113" t="s">
        <v>79</v>
      </c>
      <c r="F6113" s="1">
        <v>42521</v>
      </c>
      <c r="G6113" s="1">
        <v>42522</v>
      </c>
      <c r="H6113" t="s">
        <v>25</v>
      </c>
      <c r="I6113">
        <v>1</v>
      </c>
      <c r="J6113" t="s">
        <v>109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 t="s">
        <v>23</v>
      </c>
      <c r="R6113">
        <v>0</v>
      </c>
    </row>
    <row r="6114" spans="1:18">
      <c r="A6114" s="4">
        <v>1583260000000</v>
      </c>
      <c r="B6114" t="s">
        <v>18</v>
      </c>
      <c r="C6114">
        <v>8</v>
      </c>
      <c r="D6114" t="s">
        <v>31</v>
      </c>
      <c r="E6114" t="s">
        <v>39</v>
      </c>
      <c r="F6114" s="1">
        <v>42521</v>
      </c>
      <c r="G6114" s="1">
        <v>42521</v>
      </c>
      <c r="H6114" t="s">
        <v>41</v>
      </c>
      <c r="I6114">
        <v>0</v>
      </c>
      <c r="J6114" t="s">
        <v>111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 t="s">
        <v>23</v>
      </c>
      <c r="R6114">
        <v>0</v>
      </c>
    </row>
    <row r="6115" spans="1:18">
      <c r="A6115" s="4">
        <v>796572000000000</v>
      </c>
      <c r="B6115" t="s">
        <v>18</v>
      </c>
      <c r="C6115">
        <v>88</v>
      </c>
      <c r="D6115" t="s">
        <v>19</v>
      </c>
      <c r="E6115" t="s">
        <v>74</v>
      </c>
      <c r="F6115" s="1">
        <v>42521</v>
      </c>
      <c r="G6115" s="1">
        <v>42521</v>
      </c>
      <c r="H6115" t="s">
        <v>41</v>
      </c>
      <c r="I6115">
        <v>0</v>
      </c>
      <c r="J6115" t="s">
        <v>111</v>
      </c>
      <c r="K6115">
        <v>0</v>
      </c>
      <c r="L6115">
        <v>0</v>
      </c>
      <c r="M6115">
        <v>1</v>
      </c>
      <c r="N6115">
        <v>0</v>
      </c>
      <c r="O6115">
        <v>0</v>
      </c>
      <c r="P6115">
        <v>0</v>
      </c>
      <c r="Q6115" t="s">
        <v>23</v>
      </c>
      <c r="R6115">
        <v>0</v>
      </c>
    </row>
    <row r="6116" spans="1:18">
      <c r="A6116" s="4">
        <v>157194000000000</v>
      </c>
      <c r="B6116" t="s">
        <v>18</v>
      </c>
      <c r="C6116">
        <v>12</v>
      </c>
      <c r="D6116" t="s">
        <v>31</v>
      </c>
      <c r="E6116" t="s">
        <v>74</v>
      </c>
      <c r="F6116" s="1">
        <v>42521</v>
      </c>
      <c r="G6116" s="1">
        <v>42521</v>
      </c>
      <c r="H6116" t="s">
        <v>41</v>
      </c>
      <c r="I6116">
        <v>0</v>
      </c>
      <c r="J6116" t="s">
        <v>111</v>
      </c>
      <c r="K6116">
        <v>1</v>
      </c>
      <c r="L6116">
        <v>0</v>
      </c>
      <c r="M6116">
        <v>0</v>
      </c>
      <c r="N6116">
        <v>0</v>
      </c>
      <c r="O6116">
        <v>0</v>
      </c>
      <c r="P6116">
        <v>0</v>
      </c>
      <c r="Q6116" t="s">
        <v>23</v>
      </c>
      <c r="R6116">
        <v>0</v>
      </c>
    </row>
    <row r="6117" spans="1:18">
      <c r="A6117" s="4">
        <v>78484700000000</v>
      </c>
      <c r="B6117" t="s">
        <v>28</v>
      </c>
      <c r="C6117">
        <v>27</v>
      </c>
      <c r="D6117" t="s">
        <v>37</v>
      </c>
      <c r="E6117" t="s">
        <v>24</v>
      </c>
      <c r="F6117" s="1">
        <v>42521</v>
      </c>
      <c r="G6117" s="1">
        <v>42529</v>
      </c>
      <c r="H6117" t="s">
        <v>25</v>
      </c>
      <c r="I6117">
        <v>8</v>
      </c>
      <c r="J6117" t="s">
        <v>92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 t="s">
        <v>26</v>
      </c>
      <c r="R6117">
        <v>1</v>
      </c>
    </row>
    <row r="6118" spans="1:18">
      <c r="A6118" s="4">
        <v>787331000000</v>
      </c>
      <c r="B6118" t="s">
        <v>18</v>
      </c>
      <c r="C6118">
        <v>47</v>
      </c>
      <c r="D6118" t="s">
        <v>27</v>
      </c>
      <c r="E6118" t="s">
        <v>56</v>
      </c>
      <c r="F6118" s="1">
        <v>42521</v>
      </c>
      <c r="G6118" s="1">
        <v>42524</v>
      </c>
      <c r="H6118" t="s">
        <v>21</v>
      </c>
      <c r="I6118">
        <v>3</v>
      </c>
      <c r="J6118" t="s">
        <v>109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26</v>
      </c>
      <c r="R6118">
        <v>1</v>
      </c>
    </row>
    <row r="6119" spans="1:18">
      <c r="A6119" s="4">
        <v>9478390000000</v>
      </c>
      <c r="B6119" t="s">
        <v>18</v>
      </c>
      <c r="C6119">
        <v>73</v>
      </c>
      <c r="D6119" t="s">
        <v>19</v>
      </c>
      <c r="E6119" t="s">
        <v>59</v>
      </c>
      <c r="F6119" s="1">
        <v>42521</v>
      </c>
      <c r="G6119" s="1">
        <v>42523</v>
      </c>
      <c r="H6119" t="s">
        <v>33</v>
      </c>
      <c r="I6119">
        <v>2</v>
      </c>
      <c r="J6119" t="s">
        <v>109</v>
      </c>
      <c r="K6119">
        <v>0</v>
      </c>
      <c r="L6119">
        <v>1</v>
      </c>
      <c r="M6119">
        <v>1</v>
      </c>
      <c r="N6119">
        <v>0</v>
      </c>
      <c r="O6119">
        <v>0</v>
      </c>
      <c r="P6119">
        <v>0</v>
      </c>
      <c r="Q6119" t="s">
        <v>23</v>
      </c>
      <c r="R6119">
        <v>0</v>
      </c>
    </row>
    <row r="6120" spans="1:18">
      <c r="A6120" s="4">
        <v>134687000000000</v>
      </c>
      <c r="B6120" t="s">
        <v>18</v>
      </c>
      <c r="C6120">
        <v>34</v>
      </c>
      <c r="D6120" t="s">
        <v>37</v>
      </c>
      <c r="E6120" t="s">
        <v>72</v>
      </c>
      <c r="F6120" s="1">
        <v>42521</v>
      </c>
      <c r="G6120" s="1">
        <v>42521</v>
      </c>
      <c r="H6120" t="s">
        <v>41</v>
      </c>
      <c r="I6120">
        <v>0</v>
      </c>
      <c r="J6120" t="s">
        <v>111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 t="s">
        <v>23</v>
      </c>
      <c r="R6120">
        <v>0</v>
      </c>
    </row>
    <row r="6121" spans="1:18">
      <c r="A6121" s="4">
        <v>63146200000000</v>
      </c>
      <c r="B6121" t="s">
        <v>18</v>
      </c>
      <c r="C6121">
        <v>1</v>
      </c>
      <c r="D6121" t="s">
        <v>31</v>
      </c>
      <c r="E6121" t="s">
        <v>39</v>
      </c>
      <c r="F6121" s="1">
        <v>42521</v>
      </c>
      <c r="G6121" s="1">
        <v>42522</v>
      </c>
      <c r="H6121" t="s">
        <v>25</v>
      </c>
      <c r="I6121">
        <v>1</v>
      </c>
      <c r="J6121" t="s">
        <v>109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 t="s">
        <v>23</v>
      </c>
      <c r="R6121">
        <v>0</v>
      </c>
    </row>
    <row r="6122" spans="1:18">
      <c r="A6122" s="4">
        <v>47843200000000</v>
      </c>
      <c r="B6122" t="s">
        <v>28</v>
      </c>
      <c r="C6122">
        <v>24</v>
      </c>
      <c r="D6122" t="s">
        <v>37</v>
      </c>
      <c r="E6122" t="s">
        <v>82</v>
      </c>
      <c r="F6122" s="1">
        <v>42521</v>
      </c>
      <c r="G6122" s="1">
        <v>42524</v>
      </c>
      <c r="H6122" t="s">
        <v>21</v>
      </c>
      <c r="I6122">
        <v>3</v>
      </c>
      <c r="J6122" t="s">
        <v>109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 t="s">
        <v>23</v>
      </c>
      <c r="R6122">
        <v>0</v>
      </c>
    </row>
    <row r="6123" spans="1:18">
      <c r="A6123" s="4">
        <v>75198800000000</v>
      </c>
      <c r="B6123" t="s">
        <v>28</v>
      </c>
      <c r="C6123">
        <v>20</v>
      </c>
      <c r="D6123" t="s">
        <v>37</v>
      </c>
      <c r="E6123" t="s">
        <v>40</v>
      </c>
      <c r="F6123" s="1">
        <v>42521</v>
      </c>
      <c r="G6123" s="1">
        <v>42522</v>
      </c>
      <c r="H6123" t="s">
        <v>25</v>
      </c>
      <c r="I6123">
        <v>1</v>
      </c>
      <c r="J6123" t="s">
        <v>109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23</v>
      </c>
      <c r="R6123">
        <v>0</v>
      </c>
    </row>
    <row r="6124" spans="1:18">
      <c r="A6124" s="4">
        <v>12217900000000</v>
      </c>
      <c r="B6124" t="s">
        <v>28</v>
      </c>
      <c r="C6124">
        <v>18</v>
      </c>
      <c r="D6124" t="s">
        <v>37</v>
      </c>
      <c r="E6124" t="s">
        <v>29</v>
      </c>
      <c r="F6124" s="1">
        <v>42521</v>
      </c>
      <c r="G6124" s="1">
        <v>42521</v>
      </c>
      <c r="H6124" t="s">
        <v>41</v>
      </c>
      <c r="I6124">
        <v>0</v>
      </c>
      <c r="J6124" t="s">
        <v>111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 t="s">
        <v>23</v>
      </c>
      <c r="R6124">
        <v>0</v>
      </c>
    </row>
    <row r="6125" spans="1:18">
      <c r="A6125" s="4">
        <v>784515000000000</v>
      </c>
      <c r="B6125" t="s">
        <v>18</v>
      </c>
      <c r="C6125">
        <v>28</v>
      </c>
      <c r="D6125" t="s">
        <v>37</v>
      </c>
      <c r="E6125" t="s">
        <v>72</v>
      </c>
      <c r="F6125" s="1">
        <v>42521</v>
      </c>
      <c r="G6125" s="1">
        <v>42521</v>
      </c>
      <c r="H6125" t="s">
        <v>41</v>
      </c>
      <c r="I6125">
        <v>0</v>
      </c>
      <c r="J6125" t="s">
        <v>111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 t="s">
        <v>23</v>
      </c>
      <c r="R6125">
        <v>0</v>
      </c>
    </row>
    <row r="6126" spans="1:18">
      <c r="A6126" s="4">
        <v>149150000000</v>
      </c>
      <c r="B6126" t="s">
        <v>18</v>
      </c>
      <c r="C6126">
        <v>20</v>
      </c>
      <c r="D6126" t="s">
        <v>37</v>
      </c>
      <c r="E6126" t="s">
        <v>59</v>
      </c>
      <c r="F6126" s="1">
        <v>42521</v>
      </c>
      <c r="G6126" s="1">
        <v>42529</v>
      </c>
      <c r="H6126" t="s">
        <v>25</v>
      </c>
      <c r="I6126">
        <v>8</v>
      </c>
      <c r="J6126" t="s">
        <v>92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23</v>
      </c>
      <c r="R6126">
        <v>0</v>
      </c>
    </row>
    <row r="6127" spans="1:18">
      <c r="A6127" s="4">
        <v>17385944962</v>
      </c>
      <c r="B6127" t="s">
        <v>18</v>
      </c>
      <c r="C6127">
        <v>28</v>
      </c>
      <c r="D6127" t="s">
        <v>37</v>
      </c>
      <c r="E6127" t="s">
        <v>29</v>
      </c>
      <c r="F6127" s="1">
        <v>42522</v>
      </c>
      <c r="G6127" s="1">
        <v>42524</v>
      </c>
      <c r="H6127" t="s">
        <v>21</v>
      </c>
      <c r="I6127">
        <v>2</v>
      </c>
      <c r="J6127" t="s">
        <v>109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 t="s">
        <v>26</v>
      </c>
      <c r="R6127">
        <v>1</v>
      </c>
    </row>
    <row r="6128" spans="1:18">
      <c r="A6128" s="4">
        <v>4373660000000</v>
      </c>
      <c r="B6128" t="s">
        <v>28</v>
      </c>
      <c r="C6128">
        <v>33</v>
      </c>
      <c r="D6128" t="s">
        <v>37</v>
      </c>
      <c r="E6128" t="s">
        <v>39</v>
      </c>
      <c r="F6128" s="1">
        <v>42522</v>
      </c>
      <c r="G6128" s="1">
        <v>42522</v>
      </c>
      <c r="H6128" t="s">
        <v>25</v>
      </c>
      <c r="I6128">
        <v>0</v>
      </c>
      <c r="J6128" t="s">
        <v>111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 t="s">
        <v>23</v>
      </c>
      <c r="R6128">
        <v>0</v>
      </c>
    </row>
    <row r="6129" spans="1:18">
      <c r="A6129" s="4">
        <v>3571440000000</v>
      </c>
      <c r="B6129" t="s">
        <v>18</v>
      </c>
      <c r="C6129">
        <v>70</v>
      </c>
      <c r="D6129" t="s">
        <v>19</v>
      </c>
      <c r="E6129" t="s">
        <v>64</v>
      </c>
      <c r="F6129" s="1">
        <v>42522</v>
      </c>
      <c r="G6129" s="1">
        <v>42527</v>
      </c>
      <c r="H6129" t="s">
        <v>30</v>
      </c>
      <c r="I6129">
        <v>5</v>
      </c>
      <c r="J6129" t="s">
        <v>107</v>
      </c>
      <c r="K6129">
        <v>0</v>
      </c>
      <c r="L6129">
        <v>1</v>
      </c>
      <c r="M6129">
        <v>0</v>
      </c>
      <c r="N6129">
        <v>0</v>
      </c>
      <c r="O6129">
        <v>0</v>
      </c>
      <c r="P6129">
        <v>1</v>
      </c>
      <c r="Q6129" t="s">
        <v>23</v>
      </c>
      <c r="R6129">
        <v>0</v>
      </c>
    </row>
    <row r="6130" spans="1:18">
      <c r="A6130" s="4">
        <v>168726000000000</v>
      </c>
      <c r="B6130" t="s">
        <v>28</v>
      </c>
      <c r="C6130">
        <v>19</v>
      </c>
      <c r="D6130" t="s">
        <v>37</v>
      </c>
      <c r="E6130" t="s">
        <v>75</v>
      </c>
      <c r="F6130" s="1">
        <v>42522</v>
      </c>
      <c r="G6130" s="1">
        <v>42522</v>
      </c>
      <c r="H6130" t="s">
        <v>25</v>
      </c>
      <c r="I6130">
        <v>0</v>
      </c>
      <c r="J6130" t="s">
        <v>111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 t="s">
        <v>23</v>
      </c>
      <c r="R6130">
        <v>0</v>
      </c>
    </row>
    <row r="6131" spans="1:18">
      <c r="A6131" s="4">
        <v>53761900000000</v>
      </c>
      <c r="B6131" t="s">
        <v>18</v>
      </c>
      <c r="C6131">
        <v>49</v>
      </c>
      <c r="D6131" t="s">
        <v>27</v>
      </c>
      <c r="E6131" t="s">
        <v>61</v>
      </c>
      <c r="F6131" s="1">
        <v>42522</v>
      </c>
      <c r="G6131" s="1">
        <v>42522</v>
      </c>
      <c r="H6131" t="s">
        <v>25</v>
      </c>
      <c r="I6131">
        <v>0</v>
      </c>
      <c r="J6131" t="s">
        <v>111</v>
      </c>
      <c r="K6131">
        <v>0</v>
      </c>
      <c r="L6131">
        <v>1</v>
      </c>
      <c r="M6131">
        <v>0</v>
      </c>
      <c r="N6131">
        <v>0</v>
      </c>
      <c r="O6131">
        <v>0</v>
      </c>
      <c r="P6131">
        <v>0</v>
      </c>
      <c r="Q6131" t="s">
        <v>26</v>
      </c>
      <c r="R6131">
        <v>1</v>
      </c>
    </row>
    <row r="6132" spans="1:18">
      <c r="A6132" s="4">
        <v>161167000000</v>
      </c>
      <c r="B6132" t="s">
        <v>18</v>
      </c>
      <c r="C6132">
        <v>16</v>
      </c>
      <c r="D6132" t="s">
        <v>60</v>
      </c>
      <c r="E6132" t="s">
        <v>87</v>
      </c>
      <c r="F6132" s="1">
        <v>42522</v>
      </c>
      <c r="G6132" s="1">
        <v>42529</v>
      </c>
      <c r="H6132" t="s">
        <v>25</v>
      </c>
      <c r="I6132">
        <v>7</v>
      </c>
      <c r="J6132" t="s">
        <v>107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1</v>
      </c>
      <c r="Q6132" t="s">
        <v>23</v>
      </c>
      <c r="R6132">
        <v>0</v>
      </c>
    </row>
    <row r="6133" spans="1:18">
      <c r="A6133" s="4">
        <v>7592950000000</v>
      </c>
      <c r="B6133" t="s">
        <v>18</v>
      </c>
      <c r="C6133">
        <v>77</v>
      </c>
      <c r="D6133" t="s">
        <v>19</v>
      </c>
      <c r="E6133" t="s">
        <v>32</v>
      </c>
      <c r="F6133" s="1">
        <v>42522</v>
      </c>
      <c r="G6133" s="1">
        <v>42522</v>
      </c>
      <c r="H6133" t="s">
        <v>25</v>
      </c>
      <c r="I6133">
        <v>0</v>
      </c>
      <c r="J6133" t="s">
        <v>111</v>
      </c>
      <c r="K6133">
        <v>0</v>
      </c>
      <c r="L6133">
        <v>1</v>
      </c>
      <c r="M6133">
        <v>0</v>
      </c>
      <c r="N6133">
        <v>0</v>
      </c>
      <c r="O6133">
        <v>0</v>
      </c>
      <c r="P6133">
        <v>0</v>
      </c>
      <c r="Q6133" t="s">
        <v>23</v>
      </c>
      <c r="R6133">
        <v>0</v>
      </c>
    </row>
    <row r="6134" spans="1:18">
      <c r="A6134" s="4">
        <v>99428600000000</v>
      </c>
      <c r="B6134" t="s">
        <v>18</v>
      </c>
      <c r="C6134">
        <v>54</v>
      </c>
      <c r="D6134" t="s">
        <v>35</v>
      </c>
      <c r="E6134" t="s">
        <v>105</v>
      </c>
      <c r="F6134" s="1">
        <v>42522</v>
      </c>
      <c r="G6134" s="1">
        <v>42522</v>
      </c>
      <c r="H6134" t="s">
        <v>25</v>
      </c>
      <c r="I6134">
        <v>0</v>
      </c>
      <c r="J6134" t="s">
        <v>111</v>
      </c>
      <c r="K6134">
        <v>0</v>
      </c>
      <c r="L6134">
        <v>1</v>
      </c>
      <c r="M6134">
        <v>0</v>
      </c>
      <c r="N6134">
        <v>0</v>
      </c>
      <c r="O6134">
        <v>0</v>
      </c>
      <c r="P6134">
        <v>0</v>
      </c>
      <c r="Q6134" t="s">
        <v>23</v>
      </c>
      <c r="R6134">
        <v>0</v>
      </c>
    </row>
    <row r="6135" spans="1:18">
      <c r="A6135" s="4">
        <v>58527900000000</v>
      </c>
      <c r="B6135" t="s">
        <v>18</v>
      </c>
      <c r="C6135">
        <v>42</v>
      </c>
      <c r="D6135" t="s">
        <v>27</v>
      </c>
      <c r="E6135" t="s">
        <v>63</v>
      </c>
      <c r="F6135" s="1">
        <v>42522</v>
      </c>
      <c r="G6135" s="1">
        <v>42524</v>
      </c>
      <c r="H6135" t="s">
        <v>21</v>
      </c>
      <c r="I6135">
        <v>2</v>
      </c>
      <c r="J6135" t="s">
        <v>109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23</v>
      </c>
      <c r="R6135">
        <v>0</v>
      </c>
    </row>
    <row r="6136" spans="1:18">
      <c r="A6136" s="4">
        <v>617493000000000</v>
      </c>
      <c r="B6136" t="s">
        <v>28</v>
      </c>
      <c r="C6136">
        <v>45</v>
      </c>
      <c r="D6136" t="s">
        <v>27</v>
      </c>
      <c r="E6136" t="s">
        <v>61</v>
      </c>
      <c r="F6136" s="1">
        <v>42522</v>
      </c>
      <c r="G6136" s="1">
        <v>42522</v>
      </c>
      <c r="H6136" t="s">
        <v>25</v>
      </c>
      <c r="I6136">
        <v>0</v>
      </c>
      <c r="J6136" t="s">
        <v>111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23</v>
      </c>
      <c r="R6136">
        <v>0</v>
      </c>
    </row>
    <row r="6137" spans="1:18">
      <c r="A6137" s="4">
        <v>5637230000000</v>
      </c>
      <c r="B6137" t="s">
        <v>18</v>
      </c>
      <c r="C6137">
        <v>54</v>
      </c>
      <c r="D6137" t="s">
        <v>35</v>
      </c>
      <c r="E6137" t="s">
        <v>116</v>
      </c>
      <c r="F6137" s="1">
        <v>42522</v>
      </c>
      <c r="G6137" s="1">
        <v>42522</v>
      </c>
      <c r="H6137" t="s">
        <v>25</v>
      </c>
      <c r="I6137">
        <v>0</v>
      </c>
      <c r="J6137" t="s">
        <v>111</v>
      </c>
      <c r="K6137">
        <v>0</v>
      </c>
      <c r="L6137">
        <v>1</v>
      </c>
      <c r="M6137">
        <v>0</v>
      </c>
      <c r="N6137">
        <v>0</v>
      </c>
      <c r="O6137">
        <v>0</v>
      </c>
      <c r="P6137">
        <v>0</v>
      </c>
      <c r="Q6137" t="s">
        <v>23</v>
      </c>
      <c r="R6137">
        <v>0</v>
      </c>
    </row>
    <row r="6138" spans="1:18">
      <c r="A6138" s="4">
        <v>951290000000000</v>
      </c>
      <c r="B6138" t="s">
        <v>18</v>
      </c>
      <c r="C6138">
        <v>51</v>
      </c>
      <c r="D6138" t="s">
        <v>35</v>
      </c>
      <c r="E6138" t="s">
        <v>50</v>
      </c>
      <c r="F6138" s="1">
        <v>42522</v>
      </c>
      <c r="G6138" s="1">
        <v>42524</v>
      </c>
      <c r="H6138" t="s">
        <v>21</v>
      </c>
      <c r="I6138">
        <v>2</v>
      </c>
      <c r="J6138" t="s">
        <v>109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 t="s">
        <v>26</v>
      </c>
      <c r="R6138">
        <v>1</v>
      </c>
    </row>
    <row r="6139" spans="1:18">
      <c r="A6139" s="4">
        <v>7825550000000</v>
      </c>
      <c r="B6139" t="s">
        <v>28</v>
      </c>
      <c r="C6139">
        <v>3</v>
      </c>
      <c r="D6139" t="s">
        <v>31</v>
      </c>
      <c r="E6139" t="s">
        <v>63</v>
      </c>
      <c r="F6139" s="1">
        <v>42522</v>
      </c>
      <c r="G6139" s="1">
        <v>42527</v>
      </c>
      <c r="H6139" t="s">
        <v>30</v>
      </c>
      <c r="I6139">
        <v>5</v>
      </c>
      <c r="J6139" t="s">
        <v>107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1</v>
      </c>
      <c r="Q6139" t="s">
        <v>23</v>
      </c>
      <c r="R6139">
        <v>0</v>
      </c>
    </row>
    <row r="6140" spans="1:18">
      <c r="A6140" s="4">
        <v>7122380000000</v>
      </c>
      <c r="B6140" t="s">
        <v>28</v>
      </c>
      <c r="C6140">
        <v>56</v>
      </c>
      <c r="D6140" t="s">
        <v>35</v>
      </c>
      <c r="E6140" t="s">
        <v>84</v>
      </c>
      <c r="F6140" s="1">
        <v>42522</v>
      </c>
      <c r="G6140" s="1">
        <v>42524</v>
      </c>
      <c r="H6140" t="s">
        <v>21</v>
      </c>
      <c r="I6140">
        <v>2</v>
      </c>
      <c r="J6140" t="s">
        <v>109</v>
      </c>
      <c r="K6140">
        <v>0</v>
      </c>
      <c r="L6140">
        <v>1</v>
      </c>
      <c r="M6140">
        <v>0</v>
      </c>
      <c r="N6140">
        <v>0</v>
      </c>
      <c r="O6140">
        <v>0</v>
      </c>
      <c r="P6140">
        <v>0</v>
      </c>
      <c r="Q6140" t="s">
        <v>26</v>
      </c>
      <c r="R6140">
        <v>1</v>
      </c>
    </row>
    <row r="6141" spans="1:18">
      <c r="A6141" s="4">
        <v>9556210000000</v>
      </c>
      <c r="B6141" t="s">
        <v>28</v>
      </c>
      <c r="C6141">
        <v>6</v>
      </c>
      <c r="D6141" t="s">
        <v>31</v>
      </c>
      <c r="E6141" t="s">
        <v>53</v>
      </c>
      <c r="F6141" s="1">
        <v>42522</v>
      </c>
      <c r="G6141" s="1">
        <v>42522</v>
      </c>
      <c r="H6141" t="s">
        <v>25</v>
      </c>
      <c r="I6141">
        <v>0</v>
      </c>
      <c r="J6141" t="s">
        <v>111</v>
      </c>
      <c r="K6141">
        <v>0</v>
      </c>
      <c r="L6141">
        <v>0</v>
      </c>
      <c r="M6141">
        <v>0</v>
      </c>
      <c r="N6141">
        <v>0</v>
      </c>
      <c r="O6141">
        <v>1</v>
      </c>
      <c r="P6141">
        <v>0</v>
      </c>
      <c r="Q6141" t="s">
        <v>23</v>
      </c>
      <c r="R6141">
        <v>0</v>
      </c>
    </row>
    <row r="6142" spans="1:18">
      <c r="A6142" s="4">
        <v>36519800000000</v>
      </c>
      <c r="B6142" t="s">
        <v>18</v>
      </c>
      <c r="C6142">
        <v>2</v>
      </c>
      <c r="D6142" t="s">
        <v>31</v>
      </c>
      <c r="E6142" t="s">
        <v>64</v>
      </c>
      <c r="F6142" s="1">
        <v>42522</v>
      </c>
      <c r="G6142" s="1">
        <v>42522</v>
      </c>
      <c r="H6142" t="s">
        <v>25</v>
      </c>
      <c r="I6142">
        <v>0</v>
      </c>
      <c r="J6142" t="s">
        <v>111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23</v>
      </c>
      <c r="R6142">
        <v>0</v>
      </c>
    </row>
    <row r="6143" spans="1:18">
      <c r="A6143" s="4">
        <v>4488200000000</v>
      </c>
      <c r="B6143" t="s">
        <v>18</v>
      </c>
      <c r="C6143">
        <v>35</v>
      </c>
      <c r="D6143" t="s">
        <v>37</v>
      </c>
      <c r="E6143" t="s">
        <v>39</v>
      </c>
      <c r="F6143" s="1">
        <v>42522</v>
      </c>
      <c r="G6143" s="1">
        <v>42524</v>
      </c>
      <c r="H6143" t="s">
        <v>21</v>
      </c>
      <c r="I6143">
        <v>2</v>
      </c>
      <c r="J6143" t="s">
        <v>109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 t="s">
        <v>23</v>
      </c>
      <c r="R6143">
        <v>0</v>
      </c>
    </row>
    <row r="6144" spans="1:18">
      <c r="A6144" s="4">
        <v>9687660000000</v>
      </c>
      <c r="B6144" t="s">
        <v>18</v>
      </c>
      <c r="C6144">
        <v>41</v>
      </c>
      <c r="D6144" t="s">
        <v>27</v>
      </c>
      <c r="E6144" t="s">
        <v>84</v>
      </c>
      <c r="F6144" s="1">
        <v>42522</v>
      </c>
      <c r="G6144" s="1">
        <v>42524</v>
      </c>
      <c r="H6144" t="s">
        <v>21</v>
      </c>
      <c r="I6144">
        <v>2</v>
      </c>
      <c r="J6144" t="s">
        <v>109</v>
      </c>
      <c r="K6144">
        <v>0</v>
      </c>
      <c r="L6144">
        <v>1</v>
      </c>
      <c r="M6144">
        <v>0</v>
      </c>
      <c r="N6144">
        <v>0</v>
      </c>
      <c r="O6144">
        <v>1</v>
      </c>
      <c r="P6144">
        <v>0</v>
      </c>
      <c r="Q6144" t="s">
        <v>23</v>
      </c>
      <c r="R6144">
        <v>0</v>
      </c>
    </row>
    <row r="6145" spans="1:18">
      <c r="A6145" s="4">
        <v>791777000000</v>
      </c>
      <c r="B6145" t="s">
        <v>18</v>
      </c>
      <c r="C6145">
        <v>0</v>
      </c>
      <c r="D6145" t="s">
        <v>31</v>
      </c>
      <c r="E6145" t="s">
        <v>75</v>
      </c>
      <c r="F6145" s="1">
        <v>42522</v>
      </c>
      <c r="G6145" s="1">
        <v>42522</v>
      </c>
      <c r="H6145" t="s">
        <v>25</v>
      </c>
      <c r="I6145">
        <v>0</v>
      </c>
      <c r="J6145" t="s">
        <v>111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 t="s">
        <v>23</v>
      </c>
      <c r="R6145">
        <v>0</v>
      </c>
    </row>
    <row r="6146" spans="1:18">
      <c r="A6146" s="4">
        <v>7628190000000</v>
      </c>
      <c r="B6146" t="s">
        <v>18</v>
      </c>
      <c r="C6146">
        <v>13</v>
      </c>
      <c r="D6146" t="s">
        <v>60</v>
      </c>
      <c r="E6146" t="s">
        <v>45</v>
      </c>
      <c r="F6146" s="1">
        <v>42522</v>
      </c>
      <c r="G6146" s="1">
        <v>42522</v>
      </c>
      <c r="H6146" t="s">
        <v>25</v>
      </c>
      <c r="I6146">
        <v>0</v>
      </c>
      <c r="J6146" t="s">
        <v>111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 t="s">
        <v>23</v>
      </c>
      <c r="R6146">
        <v>0</v>
      </c>
    </row>
    <row r="6147" spans="1:18">
      <c r="A6147" s="4">
        <v>852772000000</v>
      </c>
      <c r="B6147" t="s">
        <v>18</v>
      </c>
      <c r="C6147">
        <v>23</v>
      </c>
      <c r="D6147" t="s">
        <v>37</v>
      </c>
      <c r="E6147" t="s">
        <v>73</v>
      </c>
      <c r="F6147" s="1">
        <v>42522</v>
      </c>
      <c r="G6147" s="1">
        <v>42529</v>
      </c>
      <c r="H6147" t="s">
        <v>25</v>
      </c>
      <c r="I6147">
        <v>7</v>
      </c>
      <c r="J6147" t="s">
        <v>107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1</v>
      </c>
      <c r="Q6147" t="s">
        <v>23</v>
      </c>
      <c r="R6147">
        <v>0</v>
      </c>
    </row>
    <row r="6148" spans="1:18">
      <c r="A6148" s="4">
        <v>62577400000000</v>
      </c>
      <c r="B6148" t="s">
        <v>28</v>
      </c>
      <c r="C6148">
        <v>37</v>
      </c>
      <c r="D6148" t="s">
        <v>27</v>
      </c>
      <c r="E6148" t="s">
        <v>32</v>
      </c>
      <c r="F6148" s="1">
        <v>42522</v>
      </c>
      <c r="G6148" s="1">
        <v>42527</v>
      </c>
      <c r="H6148" t="s">
        <v>30</v>
      </c>
      <c r="I6148">
        <v>5</v>
      </c>
      <c r="J6148" t="s">
        <v>107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 t="s">
        <v>23</v>
      </c>
      <c r="R6148">
        <v>0</v>
      </c>
    </row>
    <row r="6149" spans="1:18">
      <c r="A6149" s="4">
        <v>544813000000000</v>
      </c>
      <c r="B6149" t="s">
        <v>18</v>
      </c>
      <c r="C6149">
        <v>30</v>
      </c>
      <c r="D6149" t="s">
        <v>37</v>
      </c>
      <c r="E6149" t="s">
        <v>57</v>
      </c>
      <c r="F6149" s="1">
        <v>42522</v>
      </c>
      <c r="G6149" s="1">
        <v>42522</v>
      </c>
      <c r="H6149" t="s">
        <v>25</v>
      </c>
      <c r="I6149">
        <v>0</v>
      </c>
      <c r="J6149" t="s">
        <v>111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 t="s">
        <v>23</v>
      </c>
      <c r="R6149">
        <v>0</v>
      </c>
    </row>
    <row r="6150" spans="1:18">
      <c r="A6150" s="4">
        <v>77248900000000</v>
      </c>
      <c r="B6150" t="s">
        <v>18</v>
      </c>
      <c r="C6150">
        <v>30</v>
      </c>
      <c r="D6150" t="s">
        <v>37</v>
      </c>
      <c r="E6150" t="s">
        <v>84</v>
      </c>
      <c r="F6150" s="1">
        <v>42522</v>
      </c>
      <c r="G6150" s="1">
        <v>42522</v>
      </c>
      <c r="H6150" t="s">
        <v>25</v>
      </c>
      <c r="I6150">
        <v>0</v>
      </c>
      <c r="J6150" t="s">
        <v>111</v>
      </c>
      <c r="K6150">
        <v>0</v>
      </c>
      <c r="L6150">
        <v>1</v>
      </c>
      <c r="M6150">
        <v>0</v>
      </c>
      <c r="N6150">
        <v>0</v>
      </c>
      <c r="O6150">
        <v>0</v>
      </c>
      <c r="P6150">
        <v>0</v>
      </c>
      <c r="Q6150" t="s">
        <v>23</v>
      </c>
      <c r="R6150">
        <v>0</v>
      </c>
    </row>
    <row r="6151" spans="1:18">
      <c r="A6151" s="4">
        <v>651982000000</v>
      </c>
      <c r="B6151" t="s">
        <v>18</v>
      </c>
      <c r="C6151">
        <v>41</v>
      </c>
      <c r="D6151" t="s">
        <v>27</v>
      </c>
      <c r="E6151" t="s">
        <v>57</v>
      </c>
      <c r="F6151" s="1">
        <v>42522</v>
      </c>
      <c r="G6151" s="1">
        <v>42524</v>
      </c>
      <c r="H6151" t="s">
        <v>21</v>
      </c>
      <c r="I6151">
        <v>2</v>
      </c>
      <c r="J6151" t="s">
        <v>109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23</v>
      </c>
      <c r="R6151">
        <v>0</v>
      </c>
    </row>
    <row r="6152" spans="1:18">
      <c r="A6152" s="4">
        <v>71747600000000</v>
      </c>
      <c r="B6152" t="s">
        <v>28</v>
      </c>
      <c r="C6152">
        <v>79</v>
      </c>
      <c r="D6152" t="s">
        <v>19</v>
      </c>
      <c r="E6152" t="s">
        <v>50</v>
      </c>
      <c r="F6152" s="1">
        <v>42522</v>
      </c>
      <c r="G6152" s="1">
        <v>42522</v>
      </c>
      <c r="H6152" t="s">
        <v>25</v>
      </c>
      <c r="I6152">
        <v>0</v>
      </c>
      <c r="J6152" t="s">
        <v>111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 t="s">
        <v>23</v>
      </c>
      <c r="R6152">
        <v>0</v>
      </c>
    </row>
    <row r="6153" spans="1:18">
      <c r="A6153" s="4">
        <v>95853900000000</v>
      </c>
      <c r="B6153" t="s">
        <v>18</v>
      </c>
      <c r="C6153">
        <v>40</v>
      </c>
      <c r="D6153" t="s">
        <v>27</v>
      </c>
      <c r="E6153" t="s">
        <v>94</v>
      </c>
      <c r="F6153" s="1">
        <v>42522</v>
      </c>
      <c r="G6153" s="1">
        <v>42522</v>
      </c>
      <c r="H6153" t="s">
        <v>25</v>
      </c>
      <c r="I6153">
        <v>0</v>
      </c>
      <c r="J6153" t="s">
        <v>111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 t="s">
        <v>23</v>
      </c>
      <c r="R6153">
        <v>0</v>
      </c>
    </row>
    <row r="6154" spans="1:18">
      <c r="A6154" s="4">
        <v>4353730000000</v>
      </c>
      <c r="B6154" t="s">
        <v>18</v>
      </c>
      <c r="C6154">
        <v>55</v>
      </c>
      <c r="D6154" t="s">
        <v>35</v>
      </c>
      <c r="E6154" t="s">
        <v>32</v>
      </c>
      <c r="F6154" s="1">
        <v>42522</v>
      </c>
      <c r="G6154" s="1">
        <v>42528</v>
      </c>
      <c r="H6154" t="s">
        <v>41</v>
      </c>
      <c r="I6154">
        <v>6</v>
      </c>
      <c r="J6154" t="s">
        <v>107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1</v>
      </c>
      <c r="Q6154" t="s">
        <v>23</v>
      </c>
      <c r="R6154">
        <v>0</v>
      </c>
    </row>
    <row r="6155" spans="1:18">
      <c r="A6155" s="4">
        <v>5927350000000</v>
      </c>
      <c r="B6155" t="s">
        <v>28</v>
      </c>
      <c r="C6155">
        <v>17</v>
      </c>
      <c r="D6155" t="s">
        <v>60</v>
      </c>
      <c r="E6155" t="s">
        <v>66</v>
      </c>
      <c r="F6155" s="1">
        <v>42522</v>
      </c>
      <c r="G6155" s="1">
        <v>42522</v>
      </c>
      <c r="H6155" t="s">
        <v>25</v>
      </c>
      <c r="I6155">
        <v>0</v>
      </c>
      <c r="J6155" t="s">
        <v>111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 t="s">
        <v>23</v>
      </c>
      <c r="R6155">
        <v>0</v>
      </c>
    </row>
    <row r="6156" spans="1:18">
      <c r="A6156" s="4">
        <v>59323700000000</v>
      </c>
      <c r="B6156" t="s">
        <v>28</v>
      </c>
      <c r="C6156">
        <v>66</v>
      </c>
      <c r="D6156" t="s">
        <v>19</v>
      </c>
      <c r="E6156" t="s">
        <v>39</v>
      </c>
      <c r="F6156" s="1">
        <v>42522</v>
      </c>
      <c r="G6156" s="1">
        <v>42524</v>
      </c>
      <c r="H6156" t="s">
        <v>21</v>
      </c>
      <c r="I6156">
        <v>2</v>
      </c>
      <c r="J6156" t="s">
        <v>109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 t="s">
        <v>23</v>
      </c>
      <c r="R6156">
        <v>0</v>
      </c>
    </row>
    <row r="6157" spans="1:18">
      <c r="A6157" s="4">
        <v>315837000000000</v>
      </c>
      <c r="B6157" t="s">
        <v>28</v>
      </c>
      <c r="C6157">
        <v>29</v>
      </c>
      <c r="D6157" t="s">
        <v>37</v>
      </c>
      <c r="E6157" t="s">
        <v>66</v>
      </c>
      <c r="F6157" s="1">
        <v>42522</v>
      </c>
      <c r="G6157" s="1">
        <v>42522</v>
      </c>
      <c r="H6157" t="s">
        <v>25</v>
      </c>
      <c r="I6157">
        <v>0</v>
      </c>
      <c r="J6157" t="s">
        <v>111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 t="s">
        <v>23</v>
      </c>
      <c r="R6157">
        <v>0</v>
      </c>
    </row>
    <row r="6158" spans="1:18">
      <c r="A6158" s="4">
        <v>4741180000000</v>
      </c>
      <c r="B6158" t="s">
        <v>28</v>
      </c>
      <c r="C6158">
        <v>64</v>
      </c>
      <c r="D6158" t="s">
        <v>35</v>
      </c>
      <c r="E6158" t="s">
        <v>44</v>
      </c>
      <c r="F6158" s="1">
        <v>42522</v>
      </c>
      <c r="G6158" s="1">
        <v>42522</v>
      </c>
      <c r="H6158" t="s">
        <v>25</v>
      </c>
      <c r="I6158">
        <v>0</v>
      </c>
      <c r="J6158" t="s">
        <v>111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 t="s">
        <v>23</v>
      </c>
      <c r="R6158">
        <v>0</v>
      </c>
    </row>
    <row r="6159" spans="1:18">
      <c r="A6159" s="4">
        <v>28532500000000</v>
      </c>
      <c r="B6159" t="s">
        <v>18</v>
      </c>
      <c r="C6159">
        <v>62</v>
      </c>
      <c r="D6159" t="s">
        <v>35</v>
      </c>
      <c r="E6159" t="s">
        <v>54</v>
      </c>
      <c r="F6159" s="1">
        <v>42522</v>
      </c>
      <c r="G6159" s="1">
        <v>42524</v>
      </c>
      <c r="H6159" t="s">
        <v>21</v>
      </c>
      <c r="I6159">
        <v>2</v>
      </c>
      <c r="J6159" t="s">
        <v>109</v>
      </c>
      <c r="K6159">
        <v>0</v>
      </c>
      <c r="L6159">
        <v>1</v>
      </c>
      <c r="M6159">
        <v>0</v>
      </c>
      <c r="N6159">
        <v>0</v>
      </c>
      <c r="O6159">
        <v>0</v>
      </c>
      <c r="P6159">
        <v>0</v>
      </c>
      <c r="Q6159" t="s">
        <v>23</v>
      </c>
      <c r="R6159">
        <v>0</v>
      </c>
    </row>
    <row r="6160" spans="1:18">
      <c r="A6160" s="4">
        <v>21469900000000</v>
      </c>
      <c r="B6160" t="s">
        <v>18</v>
      </c>
      <c r="C6160">
        <v>21</v>
      </c>
      <c r="D6160" t="s">
        <v>37</v>
      </c>
      <c r="E6160" t="s">
        <v>72</v>
      </c>
      <c r="F6160" s="1">
        <v>42522</v>
      </c>
      <c r="G6160" s="1">
        <v>42522</v>
      </c>
      <c r="H6160" t="s">
        <v>25</v>
      </c>
      <c r="I6160">
        <v>0</v>
      </c>
      <c r="J6160" t="s">
        <v>111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23</v>
      </c>
      <c r="R6160">
        <v>0</v>
      </c>
    </row>
    <row r="6161" spans="1:18">
      <c r="A6161" s="4">
        <v>16444300000000</v>
      </c>
      <c r="B6161" t="s">
        <v>18</v>
      </c>
      <c r="C6161">
        <v>14</v>
      </c>
      <c r="D6161" t="s">
        <v>60</v>
      </c>
      <c r="E6161" t="s">
        <v>84</v>
      </c>
      <c r="F6161" s="1">
        <v>42522</v>
      </c>
      <c r="G6161" s="1">
        <v>42522</v>
      </c>
      <c r="H6161" t="s">
        <v>25</v>
      </c>
      <c r="I6161">
        <v>0</v>
      </c>
      <c r="J6161" t="s">
        <v>111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 t="s">
        <v>23</v>
      </c>
      <c r="R6161">
        <v>0</v>
      </c>
    </row>
    <row r="6162" spans="1:18">
      <c r="A6162" s="4">
        <v>863267000000000</v>
      </c>
      <c r="B6162" t="s">
        <v>18</v>
      </c>
      <c r="C6162">
        <v>53</v>
      </c>
      <c r="D6162" t="s">
        <v>35</v>
      </c>
      <c r="E6162" t="s">
        <v>71</v>
      </c>
      <c r="F6162" s="1">
        <v>42522</v>
      </c>
      <c r="G6162" s="1">
        <v>42524</v>
      </c>
      <c r="H6162" t="s">
        <v>21</v>
      </c>
      <c r="I6162">
        <v>2</v>
      </c>
      <c r="J6162" t="s">
        <v>109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23</v>
      </c>
      <c r="R6162">
        <v>0</v>
      </c>
    </row>
    <row r="6163" spans="1:18">
      <c r="A6163" s="4">
        <v>61732100000000</v>
      </c>
      <c r="B6163" t="s">
        <v>18</v>
      </c>
      <c r="C6163">
        <v>14</v>
      </c>
      <c r="D6163" t="s">
        <v>60</v>
      </c>
      <c r="E6163" t="s">
        <v>104</v>
      </c>
      <c r="F6163" s="1">
        <v>42522</v>
      </c>
      <c r="G6163" s="1">
        <v>42522</v>
      </c>
      <c r="H6163" t="s">
        <v>25</v>
      </c>
      <c r="I6163">
        <v>0</v>
      </c>
      <c r="J6163" t="s">
        <v>111</v>
      </c>
      <c r="K6163">
        <v>1</v>
      </c>
      <c r="L6163">
        <v>0</v>
      </c>
      <c r="M6163">
        <v>0</v>
      </c>
      <c r="N6163">
        <v>0</v>
      </c>
      <c r="O6163">
        <v>0</v>
      </c>
      <c r="P6163">
        <v>0</v>
      </c>
      <c r="Q6163" t="s">
        <v>23</v>
      </c>
      <c r="R6163">
        <v>0</v>
      </c>
    </row>
    <row r="6164" spans="1:18">
      <c r="A6164" s="4">
        <v>495557000000</v>
      </c>
      <c r="B6164" t="s">
        <v>18</v>
      </c>
      <c r="C6164">
        <v>68</v>
      </c>
      <c r="D6164" t="s">
        <v>19</v>
      </c>
      <c r="E6164" t="s">
        <v>39</v>
      </c>
      <c r="F6164" s="1">
        <v>42522</v>
      </c>
      <c r="G6164" s="1">
        <v>42524</v>
      </c>
      <c r="H6164" t="s">
        <v>21</v>
      </c>
      <c r="I6164">
        <v>2</v>
      </c>
      <c r="J6164" t="s">
        <v>109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23</v>
      </c>
      <c r="R6164">
        <v>0</v>
      </c>
    </row>
    <row r="6165" spans="1:18">
      <c r="A6165" s="4">
        <v>5254190000000</v>
      </c>
      <c r="B6165" t="s">
        <v>28</v>
      </c>
      <c r="C6165">
        <v>7</v>
      </c>
      <c r="D6165" t="s">
        <v>31</v>
      </c>
      <c r="E6165" t="s">
        <v>59</v>
      </c>
      <c r="F6165" s="1">
        <v>42522</v>
      </c>
      <c r="G6165" s="1">
        <v>42524</v>
      </c>
      <c r="H6165" t="s">
        <v>21</v>
      </c>
      <c r="I6165">
        <v>2</v>
      </c>
      <c r="J6165" t="s">
        <v>109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 t="s">
        <v>23</v>
      </c>
      <c r="R6165">
        <v>0</v>
      </c>
    </row>
    <row r="6166" spans="1:18">
      <c r="A6166" s="4">
        <v>585762000000000</v>
      </c>
      <c r="B6166" t="s">
        <v>18</v>
      </c>
      <c r="C6166">
        <v>51</v>
      </c>
      <c r="D6166" t="s">
        <v>35</v>
      </c>
      <c r="E6166" t="s">
        <v>91</v>
      </c>
      <c r="F6166" s="1">
        <v>42522</v>
      </c>
      <c r="G6166" s="1">
        <v>42524</v>
      </c>
      <c r="H6166" t="s">
        <v>21</v>
      </c>
      <c r="I6166">
        <v>2</v>
      </c>
      <c r="J6166" t="s">
        <v>109</v>
      </c>
      <c r="K6166">
        <v>0</v>
      </c>
      <c r="L6166">
        <v>1</v>
      </c>
      <c r="M6166">
        <v>0</v>
      </c>
      <c r="N6166">
        <v>0</v>
      </c>
      <c r="O6166">
        <v>0</v>
      </c>
      <c r="P6166">
        <v>0</v>
      </c>
      <c r="Q6166" t="s">
        <v>26</v>
      </c>
      <c r="R6166">
        <v>1</v>
      </c>
    </row>
    <row r="6167" spans="1:18">
      <c r="A6167" s="4">
        <v>4486580000000</v>
      </c>
      <c r="B6167" t="s">
        <v>18</v>
      </c>
      <c r="C6167">
        <v>3</v>
      </c>
      <c r="D6167" t="s">
        <v>31</v>
      </c>
      <c r="E6167" t="s">
        <v>101</v>
      </c>
      <c r="F6167" s="1">
        <v>42522</v>
      </c>
      <c r="G6167" s="1">
        <v>42524</v>
      </c>
      <c r="H6167" t="s">
        <v>21</v>
      </c>
      <c r="I6167">
        <v>2</v>
      </c>
      <c r="J6167" t="s">
        <v>109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 t="s">
        <v>23</v>
      </c>
      <c r="R6167">
        <v>0</v>
      </c>
    </row>
    <row r="6168" spans="1:18">
      <c r="A6168" s="4">
        <v>677874000000000</v>
      </c>
      <c r="B6168" t="s">
        <v>18</v>
      </c>
      <c r="C6168">
        <v>61</v>
      </c>
      <c r="D6168" t="s">
        <v>35</v>
      </c>
      <c r="E6168" t="s">
        <v>47</v>
      </c>
      <c r="F6168" s="1">
        <v>42522</v>
      </c>
      <c r="G6168" s="1">
        <v>42524</v>
      </c>
      <c r="H6168" t="s">
        <v>21</v>
      </c>
      <c r="I6168">
        <v>2</v>
      </c>
      <c r="J6168" t="s">
        <v>109</v>
      </c>
      <c r="K6168">
        <v>0</v>
      </c>
      <c r="L6168">
        <v>1</v>
      </c>
      <c r="M6168">
        <v>0</v>
      </c>
      <c r="N6168">
        <v>0</v>
      </c>
      <c r="O6168">
        <v>0</v>
      </c>
      <c r="P6168">
        <v>0</v>
      </c>
      <c r="Q6168" t="s">
        <v>23</v>
      </c>
      <c r="R6168">
        <v>0</v>
      </c>
    </row>
    <row r="6169" spans="1:18">
      <c r="A6169" s="4">
        <v>51775200000000</v>
      </c>
      <c r="B6169" t="s">
        <v>18</v>
      </c>
      <c r="C6169">
        <v>54</v>
      </c>
      <c r="D6169" t="s">
        <v>35</v>
      </c>
      <c r="E6169" t="s">
        <v>75</v>
      </c>
      <c r="F6169" s="1">
        <v>42522</v>
      </c>
      <c r="G6169" s="1">
        <v>42524</v>
      </c>
      <c r="H6169" t="s">
        <v>21</v>
      </c>
      <c r="I6169">
        <v>2</v>
      </c>
      <c r="J6169" t="s">
        <v>109</v>
      </c>
      <c r="K6169">
        <v>0</v>
      </c>
      <c r="L6169">
        <v>1</v>
      </c>
      <c r="M6169">
        <v>0</v>
      </c>
      <c r="N6169">
        <v>0</v>
      </c>
      <c r="O6169">
        <v>0</v>
      </c>
      <c r="P6169">
        <v>0</v>
      </c>
      <c r="Q6169" t="s">
        <v>23</v>
      </c>
      <c r="R6169">
        <v>0</v>
      </c>
    </row>
    <row r="6170" spans="1:18">
      <c r="A6170" s="4">
        <v>678412000000000</v>
      </c>
      <c r="B6170" t="s">
        <v>18</v>
      </c>
      <c r="C6170">
        <v>70</v>
      </c>
      <c r="D6170" t="s">
        <v>19</v>
      </c>
      <c r="E6170" t="s">
        <v>84</v>
      </c>
      <c r="F6170" s="1">
        <v>42522</v>
      </c>
      <c r="G6170" s="1">
        <v>42524</v>
      </c>
      <c r="H6170" t="s">
        <v>21</v>
      </c>
      <c r="I6170">
        <v>2</v>
      </c>
      <c r="J6170" t="s">
        <v>109</v>
      </c>
      <c r="K6170">
        <v>0</v>
      </c>
      <c r="L6170">
        <v>1</v>
      </c>
      <c r="M6170">
        <v>1</v>
      </c>
      <c r="N6170">
        <v>0</v>
      </c>
      <c r="O6170">
        <v>0</v>
      </c>
      <c r="P6170">
        <v>0</v>
      </c>
      <c r="Q6170" t="s">
        <v>23</v>
      </c>
      <c r="R6170">
        <v>0</v>
      </c>
    </row>
    <row r="6171" spans="1:18">
      <c r="A6171" s="4">
        <v>85512124252</v>
      </c>
      <c r="B6171" t="s">
        <v>18</v>
      </c>
      <c r="C6171">
        <v>15</v>
      </c>
      <c r="D6171" t="s">
        <v>60</v>
      </c>
      <c r="E6171" t="s">
        <v>20</v>
      </c>
      <c r="F6171" s="1">
        <v>42522</v>
      </c>
      <c r="G6171" s="1">
        <v>42522</v>
      </c>
      <c r="H6171" t="s">
        <v>25</v>
      </c>
      <c r="I6171">
        <v>0</v>
      </c>
      <c r="J6171" t="s">
        <v>111</v>
      </c>
      <c r="K6171">
        <v>1</v>
      </c>
      <c r="L6171">
        <v>0</v>
      </c>
      <c r="M6171">
        <v>0</v>
      </c>
      <c r="N6171">
        <v>0</v>
      </c>
      <c r="O6171">
        <v>0</v>
      </c>
      <c r="P6171">
        <v>0</v>
      </c>
      <c r="Q6171" t="s">
        <v>23</v>
      </c>
      <c r="R6171">
        <v>0</v>
      </c>
    </row>
    <row r="6172" spans="1:18">
      <c r="A6172" s="4">
        <v>9756930000000</v>
      </c>
      <c r="B6172" t="s">
        <v>18</v>
      </c>
      <c r="C6172">
        <v>30</v>
      </c>
      <c r="D6172" t="s">
        <v>37</v>
      </c>
      <c r="E6172" t="s">
        <v>57</v>
      </c>
      <c r="F6172" s="1">
        <v>42522</v>
      </c>
      <c r="G6172" s="1">
        <v>42522</v>
      </c>
      <c r="H6172" t="s">
        <v>25</v>
      </c>
      <c r="I6172">
        <v>0</v>
      </c>
      <c r="J6172" t="s">
        <v>111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 t="s">
        <v>23</v>
      </c>
      <c r="R6172">
        <v>0</v>
      </c>
    </row>
    <row r="6173" spans="1:18">
      <c r="A6173" s="4">
        <v>269619000000</v>
      </c>
      <c r="B6173" t="s">
        <v>18</v>
      </c>
      <c r="C6173">
        <v>3</v>
      </c>
      <c r="D6173" t="s">
        <v>31</v>
      </c>
      <c r="E6173" t="s">
        <v>20</v>
      </c>
      <c r="F6173" s="1">
        <v>42522</v>
      </c>
      <c r="G6173" s="1">
        <v>42522</v>
      </c>
      <c r="H6173" t="s">
        <v>25</v>
      </c>
      <c r="I6173">
        <v>0</v>
      </c>
      <c r="J6173" t="s">
        <v>111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 t="s">
        <v>23</v>
      </c>
      <c r="R6173">
        <v>0</v>
      </c>
    </row>
    <row r="6174" spans="1:18">
      <c r="A6174" s="4">
        <v>878316000000000</v>
      </c>
      <c r="B6174" t="s">
        <v>18</v>
      </c>
      <c r="C6174">
        <v>38</v>
      </c>
      <c r="D6174" t="s">
        <v>27</v>
      </c>
      <c r="E6174" t="s">
        <v>93</v>
      </c>
      <c r="F6174" s="1">
        <v>42522</v>
      </c>
      <c r="G6174" s="1">
        <v>42522</v>
      </c>
      <c r="H6174" t="s">
        <v>25</v>
      </c>
      <c r="I6174">
        <v>0</v>
      </c>
      <c r="J6174" t="s">
        <v>111</v>
      </c>
      <c r="K6174">
        <v>1</v>
      </c>
      <c r="L6174">
        <v>0</v>
      </c>
      <c r="M6174">
        <v>1</v>
      </c>
      <c r="N6174">
        <v>0</v>
      </c>
      <c r="O6174">
        <v>0</v>
      </c>
      <c r="P6174">
        <v>0</v>
      </c>
      <c r="Q6174" t="s">
        <v>23</v>
      </c>
      <c r="R6174">
        <v>0</v>
      </c>
    </row>
    <row r="6175" spans="1:18">
      <c r="A6175" s="4">
        <v>727255000000000</v>
      </c>
      <c r="B6175" t="s">
        <v>18</v>
      </c>
      <c r="C6175">
        <v>4</v>
      </c>
      <c r="D6175" t="s">
        <v>31</v>
      </c>
      <c r="E6175" t="s">
        <v>90</v>
      </c>
      <c r="F6175" s="1">
        <v>42522</v>
      </c>
      <c r="G6175" s="1">
        <v>42522</v>
      </c>
      <c r="H6175" t="s">
        <v>25</v>
      </c>
      <c r="I6175">
        <v>0</v>
      </c>
      <c r="J6175" t="s">
        <v>111</v>
      </c>
      <c r="K6175">
        <v>1</v>
      </c>
      <c r="L6175">
        <v>0</v>
      </c>
      <c r="M6175">
        <v>0</v>
      </c>
      <c r="N6175">
        <v>0</v>
      </c>
      <c r="O6175">
        <v>0</v>
      </c>
      <c r="P6175">
        <v>0</v>
      </c>
      <c r="Q6175" t="s">
        <v>23</v>
      </c>
      <c r="R6175">
        <v>0</v>
      </c>
    </row>
    <row r="6176" spans="1:18">
      <c r="A6176" s="4">
        <v>27595700000000</v>
      </c>
      <c r="B6176" t="s">
        <v>18</v>
      </c>
      <c r="C6176">
        <v>20</v>
      </c>
      <c r="D6176" t="s">
        <v>37</v>
      </c>
      <c r="E6176" t="s">
        <v>87</v>
      </c>
      <c r="F6176" s="1">
        <v>42522</v>
      </c>
      <c r="G6176" s="1">
        <v>42522</v>
      </c>
      <c r="H6176" t="s">
        <v>25</v>
      </c>
      <c r="I6176">
        <v>0</v>
      </c>
      <c r="J6176" t="s">
        <v>111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 t="s">
        <v>23</v>
      </c>
      <c r="R6176">
        <v>0</v>
      </c>
    </row>
    <row r="6177" spans="1:18">
      <c r="A6177" s="4">
        <v>61387322596</v>
      </c>
      <c r="B6177" t="s">
        <v>18</v>
      </c>
      <c r="C6177">
        <v>46</v>
      </c>
      <c r="D6177" t="s">
        <v>27</v>
      </c>
      <c r="E6177" t="s">
        <v>58</v>
      </c>
      <c r="F6177" s="1">
        <v>42522</v>
      </c>
      <c r="G6177" s="1">
        <v>42522</v>
      </c>
      <c r="H6177" t="s">
        <v>25</v>
      </c>
      <c r="I6177">
        <v>0</v>
      </c>
      <c r="J6177" t="s">
        <v>111</v>
      </c>
      <c r="K6177">
        <v>0</v>
      </c>
      <c r="L6177">
        <v>1</v>
      </c>
      <c r="M6177">
        <v>0</v>
      </c>
      <c r="N6177">
        <v>0</v>
      </c>
      <c r="O6177">
        <v>0</v>
      </c>
      <c r="P6177">
        <v>0</v>
      </c>
      <c r="Q6177" t="s">
        <v>23</v>
      </c>
      <c r="R6177">
        <v>0</v>
      </c>
    </row>
    <row r="6178" spans="1:18">
      <c r="A6178" s="4">
        <v>23295300000000</v>
      </c>
      <c r="B6178" t="s">
        <v>18</v>
      </c>
      <c r="C6178">
        <v>62</v>
      </c>
      <c r="D6178" t="s">
        <v>35</v>
      </c>
      <c r="E6178" t="s">
        <v>34</v>
      </c>
      <c r="F6178" s="1">
        <v>42522</v>
      </c>
      <c r="G6178" s="1">
        <v>42523</v>
      </c>
      <c r="H6178" t="s">
        <v>33</v>
      </c>
      <c r="I6178">
        <v>1</v>
      </c>
      <c r="J6178" t="s">
        <v>109</v>
      </c>
      <c r="K6178">
        <v>0</v>
      </c>
      <c r="L6178">
        <v>1</v>
      </c>
      <c r="M6178">
        <v>0</v>
      </c>
      <c r="N6178">
        <v>0</v>
      </c>
      <c r="O6178">
        <v>0</v>
      </c>
      <c r="P6178">
        <v>0</v>
      </c>
      <c r="Q6178" t="s">
        <v>23</v>
      </c>
      <c r="R6178">
        <v>0</v>
      </c>
    </row>
    <row r="6179" spans="1:18">
      <c r="A6179" s="4">
        <v>1375870000000</v>
      </c>
      <c r="B6179" t="s">
        <v>28</v>
      </c>
      <c r="C6179">
        <v>62</v>
      </c>
      <c r="D6179" t="s">
        <v>35</v>
      </c>
      <c r="E6179" t="s">
        <v>38</v>
      </c>
      <c r="F6179" s="1">
        <v>42522</v>
      </c>
      <c r="G6179" s="1">
        <v>42522</v>
      </c>
      <c r="H6179" t="s">
        <v>25</v>
      </c>
      <c r="I6179">
        <v>0</v>
      </c>
      <c r="J6179" t="s">
        <v>111</v>
      </c>
      <c r="K6179">
        <v>0</v>
      </c>
      <c r="L6179">
        <v>1</v>
      </c>
      <c r="M6179">
        <v>0</v>
      </c>
      <c r="N6179">
        <v>0</v>
      </c>
      <c r="O6179">
        <v>1</v>
      </c>
      <c r="P6179">
        <v>0</v>
      </c>
      <c r="Q6179" t="s">
        <v>23</v>
      </c>
      <c r="R6179">
        <v>0</v>
      </c>
    </row>
    <row r="6180" spans="1:18">
      <c r="A6180" s="4">
        <v>2594180000000</v>
      </c>
      <c r="B6180" t="s">
        <v>28</v>
      </c>
      <c r="C6180">
        <v>11</v>
      </c>
      <c r="D6180" t="s">
        <v>31</v>
      </c>
      <c r="E6180" t="s">
        <v>90</v>
      </c>
      <c r="F6180" s="1">
        <v>42522</v>
      </c>
      <c r="G6180" s="1">
        <v>42522</v>
      </c>
      <c r="H6180" t="s">
        <v>25</v>
      </c>
      <c r="I6180">
        <v>0</v>
      </c>
      <c r="J6180" t="s">
        <v>111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 t="s">
        <v>23</v>
      </c>
      <c r="R6180">
        <v>0</v>
      </c>
    </row>
    <row r="6181" spans="1:18">
      <c r="A6181" s="4">
        <v>9568630000000</v>
      </c>
      <c r="B6181" t="s">
        <v>28</v>
      </c>
      <c r="C6181">
        <v>0</v>
      </c>
      <c r="D6181" t="s">
        <v>31</v>
      </c>
      <c r="E6181" t="s">
        <v>82</v>
      </c>
      <c r="F6181" s="1">
        <v>42522</v>
      </c>
      <c r="G6181" s="1">
        <v>42522</v>
      </c>
      <c r="H6181" t="s">
        <v>25</v>
      </c>
      <c r="I6181">
        <v>0</v>
      </c>
      <c r="J6181" t="s">
        <v>111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 t="s">
        <v>23</v>
      </c>
      <c r="R6181">
        <v>0</v>
      </c>
    </row>
    <row r="6182" spans="1:18">
      <c r="A6182" s="4">
        <v>28998200000000</v>
      </c>
      <c r="B6182" t="s">
        <v>18</v>
      </c>
      <c r="C6182">
        <v>84</v>
      </c>
      <c r="D6182" t="s">
        <v>19</v>
      </c>
      <c r="E6182" t="s">
        <v>54</v>
      </c>
      <c r="F6182" s="1">
        <v>42522</v>
      </c>
      <c r="G6182" s="1">
        <v>42522</v>
      </c>
      <c r="H6182" t="s">
        <v>25</v>
      </c>
      <c r="I6182">
        <v>0</v>
      </c>
      <c r="J6182" t="s">
        <v>111</v>
      </c>
      <c r="K6182">
        <v>0</v>
      </c>
      <c r="L6182">
        <v>1</v>
      </c>
      <c r="M6182">
        <v>1</v>
      </c>
      <c r="N6182">
        <v>0</v>
      </c>
      <c r="O6182">
        <v>0</v>
      </c>
      <c r="P6182">
        <v>0</v>
      </c>
      <c r="Q6182" t="s">
        <v>23</v>
      </c>
      <c r="R6182">
        <v>0</v>
      </c>
    </row>
    <row r="6183" spans="1:18">
      <c r="A6183" s="4">
        <v>387964000000000</v>
      </c>
      <c r="B6183" t="s">
        <v>18</v>
      </c>
      <c r="C6183">
        <v>67</v>
      </c>
      <c r="D6183" t="s">
        <v>19</v>
      </c>
      <c r="E6183" t="s">
        <v>32</v>
      </c>
      <c r="F6183" s="1">
        <v>42522</v>
      </c>
      <c r="G6183" s="1">
        <v>42522</v>
      </c>
      <c r="H6183" t="s">
        <v>25</v>
      </c>
      <c r="I6183">
        <v>0</v>
      </c>
      <c r="J6183" t="s">
        <v>111</v>
      </c>
      <c r="K6183">
        <v>0</v>
      </c>
      <c r="L6183">
        <v>1</v>
      </c>
      <c r="M6183">
        <v>1</v>
      </c>
      <c r="N6183">
        <v>0</v>
      </c>
      <c r="O6183">
        <v>0</v>
      </c>
      <c r="P6183">
        <v>0</v>
      </c>
      <c r="Q6183" t="s">
        <v>23</v>
      </c>
      <c r="R6183">
        <v>0</v>
      </c>
    </row>
    <row r="6184" spans="1:18">
      <c r="A6184" s="4">
        <v>532393000000</v>
      </c>
      <c r="B6184" t="s">
        <v>28</v>
      </c>
      <c r="C6184">
        <v>1</v>
      </c>
      <c r="D6184" t="s">
        <v>31</v>
      </c>
      <c r="E6184" t="s">
        <v>86</v>
      </c>
      <c r="F6184" s="1">
        <v>42522</v>
      </c>
      <c r="G6184" s="1">
        <v>42522</v>
      </c>
      <c r="H6184" t="s">
        <v>25</v>
      </c>
      <c r="I6184">
        <v>0</v>
      </c>
      <c r="J6184" t="s">
        <v>111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 t="s">
        <v>23</v>
      </c>
      <c r="R6184">
        <v>0</v>
      </c>
    </row>
    <row r="6185" spans="1:18">
      <c r="A6185" s="4">
        <v>71196900000000</v>
      </c>
      <c r="B6185" t="s">
        <v>18</v>
      </c>
      <c r="C6185">
        <v>16</v>
      </c>
      <c r="D6185" t="s">
        <v>60</v>
      </c>
      <c r="E6185" t="s">
        <v>40</v>
      </c>
      <c r="F6185" s="1">
        <v>42522</v>
      </c>
      <c r="G6185" s="1">
        <v>42522</v>
      </c>
      <c r="H6185" t="s">
        <v>25</v>
      </c>
      <c r="I6185">
        <v>0</v>
      </c>
      <c r="J6185" t="s">
        <v>111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 t="s">
        <v>23</v>
      </c>
      <c r="R6185">
        <v>0</v>
      </c>
    </row>
    <row r="6186" spans="1:18">
      <c r="A6186" s="4">
        <v>56416424429</v>
      </c>
      <c r="B6186" t="s">
        <v>18</v>
      </c>
      <c r="C6186">
        <v>70</v>
      </c>
      <c r="D6186" t="s">
        <v>19</v>
      </c>
      <c r="E6186" t="s">
        <v>96</v>
      </c>
      <c r="F6186" s="1">
        <v>42522</v>
      </c>
      <c r="G6186" s="1">
        <v>42529</v>
      </c>
      <c r="H6186" t="s">
        <v>25</v>
      </c>
      <c r="I6186">
        <v>7</v>
      </c>
      <c r="J6186" t="s">
        <v>107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1</v>
      </c>
      <c r="Q6186" t="s">
        <v>23</v>
      </c>
      <c r="R6186">
        <v>0</v>
      </c>
    </row>
    <row r="6187" spans="1:18">
      <c r="A6187" s="4">
        <v>155421000000000</v>
      </c>
      <c r="B6187" t="s">
        <v>18</v>
      </c>
      <c r="C6187">
        <v>15</v>
      </c>
      <c r="D6187" t="s">
        <v>60</v>
      </c>
      <c r="E6187" t="s">
        <v>59</v>
      </c>
      <c r="F6187" s="1">
        <v>42522</v>
      </c>
      <c r="G6187" s="1">
        <v>42522</v>
      </c>
      <c r="H6187" t="s">
        <v>25</v>
      </c>
      <c r="I6187">
        <v>0</v>
      </c>
      <c r="J6187" t="s">
        <v>111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 t="s">
        <v>23</v>
      </c>
      <c r="R6187">
        <v>0</v>
      </c>
    </row>
    <row r="6188" spans="1:18">
      <c r="A6188" s="4">
        <v>912662000000</v>
      </c>
      <c r="B6188" t="s">
        <v>28</v>
      </c>
      <c r="C6188">
        <v>37</v>
      </c>
      <c r="D6188" t="s">
        <v>27</v>
      </c>
      <c r="E6188" t="s">
        <v>43</v>
      </c>
      <c r="F6188" s="1">
        <v>42522</v>
      </c>
      <c r="G6188" s="1">
        <v>42522</v>
      </c>
      <c r="H6188" t="s">
        <v>25</v>
      </c>
      <c r="I6188">
        <v>0</v>
      </c>
      <c r="J6188" t="s">
        <v>111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23</v>
      </c>
      <c r="R6188">
        <v>0</v>
      </c>
    </row>
    <row r="6189" spans="1:18">
      <c r="A6189" s="4">
        <v>7824580000000</v>
      </c>
      <c r="B6189" t="s">
        <v>28</v>
      </c>
      <c r="C6189">
        <v>30</v>
      </c>
      <c r="D6189" t="s">
        <v>37</v>
      </c>
      <c r="E6189" t="s">
        <v>75</v>
      </c>
      <c r="F6189" s="1">
        <v>42522</v>
      </c>
      <c r="G6189" s="1">
        <v>42522</v>
      </c>
      <c r="H6189" t="s">
        <v>25</v>
      </c>
      <c r="I6189">
        <v>0</v>
      </c>
      <c r="J6189" t="s">
        <v>111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 t="s">
        <v>23</v>
      </c>
      <c r="R6189">
        <v>0</v>
      </c>
    </row>
    <row r="6190" spans="1:18">
      <c r="A6190" s="4">
        <v>288199000000000</v>
      </c>
      <c r="B6190" t="s">
        <v>18</v>
      </c>
      <c r="C6190">
        <v>79</v>
      </c>
      <c r="D6190" t="s">
        <v>19</v>
      </c>
      <c r="E6190" t="s">
        <v>63</v>
      </c>
      <c r="F6190" s="1">
        <v>42522</v>
      </c>
      <c r="G6190" s="1">
        <v>42524</v>
      </c>
      <c r="H6190" t="s">
        <v>21</v>
      </c>
      <c r="I6190">
        <v>2</v>
      </c>
      <c r="J6190" t="s">
        <v>109</v>
      </c>
      <c r="K6190">
        <v>0</v>
      </c>
      <c r="L6190">
        <v>1</v>
      </c>
      <c r="M6190">
        <v>1</v>
      </c>
      <c r="N6190">
        <v>0</v>
      </c>
      <c r="O6190">
        <v>0</v>
      </c>
      <c r="P6190">
        <v>0</v>
      </c>
      <c r="Q6190" t="s">
        <v>23</v>
      </c>
      <c r="R6190">
        <v>0</v>
      </c>
    </row>
    <row r="6191" spans="1:18">
      <c r="A6191" s="4">
        <v>927597000000</v>
      </c>
      <c r="B6191" t="s">
        <v>18</v>
      </c>
      <c r="C6191">
        <v>35</v>
      </c>
      <c r="D6191" t="s">
        <v>37</v>
      </c>
      <c r="E6191" t="s">
        <v>29</v>
      </c>
      <c r="F6191" s="1">
        <v>42522</v>
      </c>
      <c r="G6191" s="1">
        <v>42522</v>
      </c>
      <c r="H6191" t="s">
        <v>25</v>
      </c>
      <c r="I6191">
        <v>0</v>
      </c>
      <c r="J6191" t="s">
        <v>111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 t="s">
        <v>23</v>
      </c>
      <c r="R6191">
        <v>0</v>
      </c>
    </row>
    <row r="6192" spans="1:18">
      <c r="A6192" s="4">
        <v>853440000000000</v>
      </c>
      <c r="B6192" t="s">
        <v>18</v>
      </c>
      <c r="C6192">
        <v>37</v>
      </c>
      <c r="D6192" t="s">
        <v>27</v>
      </c>
      <c r="E6192" t="s">
        <v>43</v>
      </c>
      <c r="F6192" s="1">
        <v>42522</v>
      </c>
      <c r="G6192" s="1">
        <v>42522</v>
      </c>
      <c r="H6192" t="s">
        <v>25</v>
      </c>
      <c r="I6192">
        <v>0</v>
      </c>
      <c r="J6192" t="s">
        <v>111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 t="s">
        <v>23</v>
      </c>
      <c r="R6192">
        <v>0</v>
      </c>
    </row>
    <row r="6193" spans="1:18">
      <c r="A6193" s="4">
        <v>258424000000</v>
      </c>
      <c r="B6193" t="s">
        <v>28</v>
      </c>
      <c r="C6193">
        <v>50</v>
      </c>
      <c r="D6193" t="s">
        <v>27</v>
      </c>
      <c r="E6193" t="s">
        <v>68</v>
      </c>
      <c r="F6193" s="1">
        <v>42522</v>
      </c>
      <c r="G6193" s="1">
        <v>42522</v>
      </c>
      <c r="H6193" t="s">
        <v>25</v>
      </c>
      <c r="I6193">
        <v>0</v>
      </c>
      <c r="J6193" t="s">
        <v>111</v>
      </c>
      <c r="K6193">
        <v>0</v>
      </c>
      <c r="L6193">
        <v>1</v>
      </c>
      <c r="M6193">
        <v>0</v>
      </c>
      <c r="N6193">
        <v>1</v>
      </c>
      <c r="O6193">
        <v>0</v>
      </c>
      <c r="P6193">
        <v>0</v>
      </c>
      <c r="Q6193" t="s">
        <v>23</v>
      </c>
      <c r="R6193">
        <v>0</v>
      </c>
    </row>
    <row r="6194" spans="1:18">
      <c r="A6194" s="4">
        <v>43465300000000</v>
      </c>
      <c r="B6194" t="s">
        <v>18</v>
      </c>
      <c r="C6194">
        <v>66</v>
      </c>
      <c r="D6194" t="s">
        <v>19</v>
      </c>
      <c r="E6194" t="s">
        <v>103</v>
      </c>
      <c r="F6194" s="1">
        <v>42522</v>
      </c>
      <c r="G6194" s="1">
        <v>42523</v>
      </c>
      <c r="H6194" t="s">
        <v>33</v>
      </c>
      <c r="I6194">
        <v>1</v>
      </c>
      <c r="J6194" t="s">
        <v>109</v>
      </c>
      <c r="K6194">
        <v>0</v>
      </c>
      <c r="L6194">
        <v>1</v>
      </c>
      <c r="M6194">
        <v>0</v>
      </c>
      <c r="N6194">
        <v>0</v>
      </c>
      <c r="O6194">
        <v>0</v>
      </c>
      <c r="P6194">
        <v>0</v>
      </c>
      <c r="Q6194" t="s">
        <v>23</v>
      </c>
      <c r="R6194">
        <v>0</v>
      </c>
    </row>
    <row r="6195" spans="1:18">
      <c r="A6195" s="4">
        <v>31849200000000</v>
      </c>
      <c r="B6195" t="s">
        <v>18</v>
      </c>
      <c r="C6195">
        <v>81</v>
      </c>
      <c r="D6195" t="s">
        <v>19</v>
      </c>
      <c r="E6195" t="s">
        <v>50</v>
      </c>
      <c r="F6195" s="1">
        <v>42522</v>
      </c>
      <c r="G6195" s="1">
        <v>42522</v>
      </c>
      <c r="H6195" t="s">
        <v>25</v>
      </c>
      <c r="I6195">
        <v>0</v>
      </c>
      <c r="J6195" t="s">
        <v>111</v>
      </c>
      <c r="K6195">
        <v>0</v>
      </c>
      <c r="L6195">
        <v>1</v>
      </c>
      <c r="M6195">
        <v>0</v>
      </c>
      <c r="N6195">
        <v>0</v>
      </c>
      <c r="O6195">
        <v>1</v>
      </c>
      <c r="P6195">
        <v>0</v>
      </c>
      <c r="Q6195" t="s">
        <v>23</v>
      </c>
      <c r="R6195">
        <v>0</v>
      </c>
    </row>
    <row r="6196" spans="1:18">
      <c r="A6196" s="4">
        <v>2847260000000</v>
      </c>
      <c r="B6196" t="s">
        <v>18</v>
      </c>
      <c r="C6196">
        <v>12</v>
      </c>
      <c r="D6196" t="s">
        <v>31</v>
      </c>
      <c r="E6196" t="s">
        <v>57</v>
      </c>
      <c r="F6196" s="1">
        <v>42522</v>
      </c>
      <c r="G6196" s="1">
        <v>42522</v>
      </c>
      <c r="H6196" t="s">
        <v>25</v>
      </c>
      <c r="I6196">
        <v>0</v>
      </c>
      <c r="J6196" t="s">
        <v>111</v>
      </c>
      <c r="K6196">
        <v>1</v>
      </c>
      <c r="L6196">
        <v>0</v>
      </c>
      <c r="M6196">
        <v>0</v>
      </c>
      <c r="N6196">
        <v>0</v>
      </c>
      <c r="O6196">
        <v>0</v>
      </c>
      <c r="P6196">
        <v>0</v>
      </c>
      <c r="Q6196" t="s">
        <v>23</v>
      </c>
      <c r="R6196">
        <v>0</v>
      </c>
    </row>
    <row r="6197" spans="1:18">
      <c r="A6197" s="4">
        <v>714731000000</v>
      </c>
      <c r="B6197" t="s">
        <v>18</v>
      </c>
      <c r="C6197">
        <v>55</v>
      </c>
      <c r="D6197" t="s">
        <v>35</v>
      </c>
      <c r="E6197" t="s">
        <v>44</v>
      </c>
      <c r="F6197" s="1">
        <v>42522</v>
      </c>
      <c r="G6197" s="1">
        <v>42523</v>
      </c>
      <c r="H6197" t="s">
        <v>33</v>
      </c>
      <c r="I6197">
        <v>1</v>
      </c>
      <c r="J6197" t="s">
        <v>109</v>
      </c>
      <c r="K6197">
        <v>0</v>
      </c>
      <c r="L6197">
        <v>1</v>
      </c>
      <c r="M6197">
        <v>1</v>
      </c>
      <c r="N6197">
        <v>0</v>
      </c>
      <c r="O6197">
        <v>0</v>
      </c>
      <c r="P6197">
        <v>0</v>
      </c>
      <c r="Q6197" t="s">
        <v>23</v>
      </c>
      <c r="R6197">
        <v>0</v>
      </c>
    </row>
    <row r="6198" spans="1:18">
      <c r="A6198" s="4">
        <v>52292300000000</v>
      </c>
      <c r="B6198" t="s">
        <v>28</v>
      </c>
      <c r="C6198">
        <v>2</v>
      </c>
      <c r="D6198" t="s">
        <v>31</v>
      </c>
      <c r="E6198" t="s">
        <v>72</v>
      </c>
      <c r="F6198" s="1">
        <v>42522</v>
      </c>
      <c r="G6198" s="1">
        <v>42522</v>
      </c>
      <c r="H6198" t="s">
        <v>25</v>
      </c>
      <c r="I6198">
        <v>0</v>
      </c>
      <c r="J6198" t="s">
        <v>111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 t="s">
        <v>23</v>
      </c>
      <c r="R6198">
        <v>0</v>
      </c>
    </row>
    <row r="6199" spans="1:18">
      <c r="A6199" s="4">
        <v>456582000000</v>
      </c>
      <c r="B6199" t="s">
        <v>18</v>
      </c>
      <c r="C6199">
        <v>59</v>
      </c>
      <c r="D6199" t="s">
        <v>35</v>
      </c>
      <c r="E6199" t="s">
        <v>50</v>
      </c>
      <c r="F6199" s="1">
        <v>42522</v>
      </c>
      <c r="G6199" s="1">
        <v>42522</v>
      </c>
      <c r="H6199" t="s">
        <v>25</v>
      </c>
      <c r="I6199">
        <v>0</v>
      </c>
      <c r="J6199" t="s">
        <v>111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23</v>
      </c>
      <c r="R6199">
        <v>0</v>
      </c>
    </row>
    <row r="6200" spans="1:18">
      <c r="A6200" s="4">
        <v>4932330000000</v>
      </c>
      <c r="B6200" t="s">
        <v>18</v>
      </c>
      <c r="C6200">
        <v>4</v>
      </c>
      <c r="D6200" t="s">
        <v>31</v>
      </c>
      <c r="E6200" t="s">
        <v>59</v>
      </c>
      <c r="F6200" s="1">
        <v>42522</v>
      </c>
      <c r="G6200" s="1">
        <v>42524</v>
      </c>
      <c r="H6200" t="s">
        <v>21</v>
      </c>
      <c r="I6200">
        <v>2</v>
      </c>
      <c r="J6200" t="s">
        <v>109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 t="s">
        <v>26</v>
      </c>
      <c r="R6200">
        <v>1</v>
      </c>
    </row>
    <row r="6201" spans="1:18">
      <c r="A6201" s="4">
        <v>677472000000000</v>
      </c>
      <c r="B6201" t="s">
        <v>28</v>
      </c>
      <c r="C6201">
        <v>79</v>
      </c>
      <c r="D6201" t="s">
        <v>19</v>
      </c>
      <c r="E6201" t="s">
        <v>68</v>
      </c>
      <c r="F6201" s="1">
        <v>42522</v>
      </c>
      <c r="G6201" s="1">
        <v>42522</v>
      </c>
      <c r="H6201" t="s">
        <v>25</v>
      </c>
      <c r="I6201">
        <v>0</v>
      </c>
      <c r="J6201" t="s">
        <v>111</v>
      </c>
      <c r="K6201">
        <v>0</v>
      </c>
      <c r="L6201">
        <v>1</v>
      </c>
      <c r="M6201">
        <v>1</v>
      </c>
      <c r="N6201">
        <v>0</v>
      </c>
      <c r="O6201">
        <v>1</v>
      </c>
      <c r="P6201">
        <v>0</v>
      </c>
      <c r="Q6201" t="s">
        <v>23</v>
      </c>
      <c r="R6201">
        <v>0</v>
      </c>
    </row>
    <row r="6202" spans="1:18">
      <c r="A6202" s="4">
        <v>39811600000000</v>
      </c>
      <c r="B6202" t="s">
        <v>18</v>
      </c>
      <c r="C6202">
        <v>65</v>
      </c>
      <c r="D6202" t="s">
        <v>35</v>
      </c>
      <c r="E6202" t="s">
        <v>32</v>
      </c>
      <c r="F6202" s="1">
        <v>42522</v>
      </c>
      <c r="G6202" s="1">
        <v>42528</v>
      </c>
      <c r="H6202" t="s">
        <v>41</v>
      </c>
      <c r="I6202">
        <v>6</v>
      </c>
      <c r="J6202" t="s">
        <v>107</v>
      </c>
      <c r="K6202">
        <v>0</v>
      </c>
      <c r="L6202">
        <v>1</v>
      </c>
      <c r="M6202">
        <v>0</v>
      </c>
      <c r="N6202">
        <v>0</v>
      </c>
      <c r="O6202">
        <v>0</v>
      </c>
      <c r="P6202">
        <v>1</v>
      </c>
      <c r="Q6202" t="s">
        <v>23</v>
      </c>
      <c r="R6202">
        <v>0</v>
      </c>
    </row>
    <row r="6203" spans="1:18">
      <c r="A6203" s="4">
        <v>31633000000000</v>
      </c>
      <c r="B6203" t="s">
        <v>18</v>
      </c>
      <c r="C6203">
        <v>11</v>
      </c>
      <c r="D6203" t="s">
        <v>31</v>
      </c>
      <c r="E6203" t="s">
        <v>96</v>
      </c>
      <c r="F6203" s="1">
        <v>42522</v>
      </c>
      <c r="G6203" s="1">
        <v>42528</v>
      </c>
      <c r="H6203" t="s">
        <v>41</v>
      </c>
      <c r="I6203">
        <v>6</v>
      </c>
      <c r="J6203" t="s">
        <v>107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 t="s">
        <v>23</v>
      </c>
      <c r="R6203">
        <v>0</v>
      </c>
    </row>
    <row r="6204" spans="1:18">
      <c r="A6204" s="4">
        <v>26459200000000</v>
      </c>
      <c r="B6204" t="s">
        <v>18</v>
      </c>
      <c r="C6204">
        <v>61</v>
      </c>
      <c r="D6204" t="s">
        <v>35</v>
      </c>
      <c r="E6204" t="s">
        <v>36</v>
      </c>
      <c r="F6204" s="1">
        <v>42522</v>
      </c>
      <c r="G6204" s="1">
        <v>42522</v>
      </c>
      <c r="H6204" t="s">
        <v>25</v>
      </c>
      <c r="I6204">
        <v>0</v>
      </c>
      <c r="J6204" t="s">
        <v>111</v>
      </c>
      <c r="K6204">
        <v>0</v>
      </c>
      <c r="L6204">
        <v>1</v>
      </c>
      <c r="M6204">
        <v>0</v>
      </c>
      <c r="N6204">
        <v>0</v>
      </c>
      <c r="O6204">
        <v>0</v>
      </c>
      <c r="P6204">
        <v>0</v>
      </c>
      <c r="Q6204" t="s">
        <v>23</v>
      </c>
      <c r="R6204">
        <v>0</v>
      </c>
    </row>
    <row r="6205" spans="1:18">
      <c r="A6205" s="4">
        <v>88344500000000</v>
      </c>
      <c r="B6205" t="s">
        <v>18</v>
      </c>
      <c r="C6205">
        <v>79</v>
      </c>
      <c r="D6205" t="s">
        <v>19</v>
      </c>
      <c r="E6205" t="s">
        <v>49</v>
      </c>
      <c r="F6205" s="1">
        <v>42522</v>
      </c>
      <c r="G6205" s="1">
        <v>42527</v>
      </c>
      <c r="H6205" t="s">
        <v>30</v>
      </c>
      <c r="I6205">
        <v>5</v>
      </c>
      <c r="J6205" t="s">
        <v>107</v>
      </c>
      <c r="K6205">
        <v>0</v>
      </c>
      <c r="L6205">
        <v>1</v>
      </c>
      <c r="M6205">
        <v>1</v>
      </c>
      <c r="N6205">
        <v>0</v>
      </c>
      <c r="O6205">
        <v>0</v>
      </c>
      <c r="P6205">
        <v>1</v>
      </c>
      <c r="Q6205" t="s">
        <v>23</v>
      </c>
      <c r="R6205">
        <v>0</v>
      </c>
    </row>
    <row r="6206" spans="1:18">
      <c r="A6206" s="4">
        <v>6119230000000</v>
      </c>
      <c r="B6206" t="s">
        <v>28</v>
      </c>
      <c r="C6206">
        <v>84</v>
      </c>
      <c r="D6206" t="s">
        <v>19</v>
      </c>
      <c r="E6206" t="s">
        <v>29</v>
      </c>
      <c r="F6206" s="1">
        <v>42522</v>
      </c>
      <c r="G6206" s="1">
        <v>42522</v>
      </c>
      <c r="H6206" t="s">
        <v>25</v>
      </c>
      <c r="I6206">
        <v>0</v>
      </c>
      <c r="J6206" t="s">
        <v>111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 t="s">
        <v>23</v>
      </c>
      <c r="R6206">
        <v>0</v>
      </c>
    </row>
    <row r="6207" spans="1:18">
      <c r="A6207" s="4">
        <v>6349671815</v>
      </c>
      <c r="B6207" t="s">
        <v>28</v>
      </c>
      <c r="C6207">
        <v>2</v>
      </c>
      <c r="D6207" t="s">
        <v>31</v>
      </c>
      <c r="E6207" t="s">
        <v>59</v>
      </c>
      <c r="F6207" s="1">
        <v>42522</v>
      </c>
      <c r="G6207" s="1">
        <v>42523</v>
      </c>
      <c r="H6207" t="s">
        <v>33</v>
      </c>
      <c r="I6207">
        <v>1</v>
      </c>
      <c r="J6207" t="s">
        <v>109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 t="s">
        <v>26</v>
      </c>
      <c r="R6207">
        <v>1</v>
      </c>
    </row>
    <row r="6208" spans="1:18">
      <c r="A6208" s="4">
        <v>2571230000000</v>
      </c>
      <c r="B6208" t="s">
        <v>28</v>
      </c>
      <c r="C6208">
        <v>61</v>
      </c>
      <c r="D6208" t="s">
        <v>35</v>
      </c>
      <c r="E6208" t="s">
        <v>50</v>
      </c>
      <c r="F6208" s="1">
        <v>42522</v>
      </c>
      <c r="G6208" s="1">
        <v>42522</v>
      </c>
      <c r="H6208" t="s">
        <v>25</v>
      </c>
      <c r="I6208">
        <v>0</v>
      </c>
      <c r="J6208" t="s">
        <v>111</v>
      </c>
      <c r="K6208">
        <v>0</v>
      </c>
      <c r="L6208">
        <v>1</v>
      </c>
      <c r="M6208">
        <v>1</v>
      </c>
      <c r="N6208">
        <v>0</v>
      </c>
      <c r="O6208">
        <v>0</v>
      </c>
      <c r="P6208">
        <v>0</v>
      </c>
      <c r="Q6208" t="s">
        <v>23</v>
      </c>
      <c r="R6208">
        <v>0</v>
      </c>
    </row>
    <row r="6209" spans="1:18">
      <c r="A6209" s="4">
        <v>1238980000000</v>
      </c>
      <c r="B6209" t="s">
        <v>18</v>
      </c>
      <c r="C6209">
        <v>87</v>
      </c>
      <c r="D6209" t="s">
        <v>19</v>
      </c>
      <c r="E6209" t="s">
        <v>50</v>
      </c>
      <c r="F6209" s="1">
        <v>42522</v>
      </c>
      <c r="G6209" s="1">
        <v>42522</v>
      </c>
      <c r="H6209" t="s">
        <v>25</v>
      </c>
      <c r="I6209">
        <v>0</v>
      </c>
      <c r="J6209" t="s">
        <v>111</v>
      </c>
      <c r="K6209">
        <v>0</v>
      </c>
      <c r="L6209">
        <v>1</v>
      </c>
      <c r="M6209">
        <v>0</v>
      </c>
      <c r="N6209">
        <v>0</v>
      </c>
      <c r="O6209">
        <v>0</v>
      </c>
      <c r="P6209">
        <v>0</v>
      </c>
      <c r="Q6209" t="s">
        <v>23</v>
      </c>
      <c r="R6209">
        <v>0</v>
      </c>
    </row>
    <row r="6210" spans="1:18">
      <c r="A6210" s="4">
        <v>31478375542</v>
      </c>
      <c r="B6210" t="s">
        <v>18</v>
      </c>
      <c r="C6210">
        <v>62</v>
      </c>
      <c r="D6210" t="s">
        <v>35</v>
      </c>
      <c r="E6210" t="s">
        <v>67</v>
      </c>
      <c r="F6210" s="1">
        <v>42522</v>
      </c>
      <c r="G6210" s="1">
        <v>42522</v>
      </c>
      <c r="H6210" t="s">
        <v>25</v>
      </c>
      <c r="I6210">
        <v>0</v>
      </c>
      <c r="J6210" t="s">
        <v>111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 t="s">
        <v>23</v>
      </c>
      <c r="R6210">
        <v>0</v>
      </c>
    </row>
    <row r="6211" spans="1:18">
      <c r="A6211" s="4">
        <v>2488840000000</v>
      </c>
      <c r="B6211" t="s">
        <v>18</v>
      </c>
      <c r="C6211">
        <v>46</v>
      </c>
      <c r="D6211" t="s">
        <v>27</v>
      </c>
      <c r="E6211" t="s">
        <v>39</v>
      </c>
      <c r="F6211" s="1">
        <v>42522</v>
      </c>
      <c r="G6211" s="1">
        <v>42522</v>
      </c>
      <c r="H6211" t="s">
        <v>25</v>
      </c>
      <c r="I6211">
        <v>0</v>
      </c>
      <c r="J6211" t="s">
        <v>111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 t="s">
        <v>23</v>
      </c>
      <c r="R6211">
        <v>0</v>
      </c>
    </row>
    <row r="6212" spans="1:18">
      <c r="A6212" s="4">
        <v>252548000000000</v>
      </c>
      <c r="B6212" t="s">
        <v>18</v>
      </c>
      <c r="C6212">
        <v>44</v>
      </c>
      <c r="D6212" t="s">
        <v>27</v>
      </c>
      <c r="E6212" t="s">
        <v>55</v>
      </c>
      <c r="F6212" s="1">
        <v>42522</v>
      </c>
      <c r="G6212" s="1">
        <v>42522</v>
      </c>
      <c r="H6212" t="s">
        <v>25</v>
      </c>
      <c r="I6212">
        <v>0</v>
      </c>
      <c r="J6212" t="s">
        <v>111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 t="s">
        <v>23</v>
      </c>
      <c r="R6212">
        <v>0</v>
      </c>
    </row>
    <row r="6213" spans="1:18">
      <c r="A6213" s="4">
        <v>77575000000000</v>
      </c>
      <c r="B6213" t="s">
        <v>28</v>
      </c>
      <c r="C6213">
        <v>28</v>
      </c>
      <c r="D6213" t="s">
        <v>37</v>
      </c>
      <c r="E6213" t="s">
        <v>53</v>
      </c>
      <c r="F6213" s="1">
        <v>42522</v>
      </c>
      <c r="G6213" s="1">
        <v>42522</v>
      </c>
      <c r="H6213" t="s">
        <v>25</v>
      </c>
      <c r="I6213">
        <v>0</v>
      </c>
      <c r="J6213" t="s">
        <v>111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 t="s">
        <v>23</v>
      </c>
      <c r="R6213">
        <v>0</v>
      </c>
    </row>
    <row r="6214" spans="1:18">
      <c r="A6214" s="4">
        <v>94959900000000</v>
      </c>
      <c r="B6214" t="s">
        <v>18</v>
      </c>
      <c r="C6214">
        <v>60</v>
      </c>
      <c r="D6214" t="s">
        <v>35</v>
      </c>
      <c r="E6214" t="s">
        <v>63</v>
      </c>
      <c r="F6214" s="1">
        <v>42522</v>
      </c>
      <c r="G6214" s="1">
        <v>42524</v>
      </c>
      <c r="H6214" t="s">
        <v>21</v>
      </c>
      <c r="I6214">
        <v>2</v>
      </c>
      <c r="J6214" t="s">
        <v>109</v>
      </c>
      <c r="K6214">
        <v>0</v>
      </c>
      <c r="L6214">
        <v>1</v>
      </c>
      <c r="M6214">
        <v>1</v>
      </c>
      <c r="N6214">
        <v>0</v>
      </c>
      <c r="O6214">
        <v>1</v>
      </c>
      <c r="P6214">
        <v>0</v>
      </c>
      <c r="Q6214" t="s">
        <v>23</v>
      </c>
      <c r="R6214">
        <v>0</v>
      </c>
    </row>
    <row r="6215" spans="1:18">
      <c r="A6215" s="4">
        <v>34778400000000</v>
      </c>
      <c r="B6215" t="s">
        <v>18</v>
      </c>
      <c r="C6215">
        <v>29</v>
      </c>
      <c r="D6215" t="s">
        <v>37</v>
      </c>
      <c r="E6215" t="s">
        <v>58</v>
      </c>
      <c r="F6215" s="1">
        <v>42522</v>
      </c>
      <c r="G6215" s="1">
        <v>42524</v>
      </c>
      <c r="H6215" t="s">
        <v>21</v>
      </c>
      <c r="I6215">
        <v>2</v>
      </c>
      <c r="J6215" t="s">
        <v>109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 t="s">
        <v>23</v>
      </c>
      <c r="R6215">
        <v>0</v>
      </c>
    </row>
    <row r="6216" spans="1:18">
      <c r="A6216" s="4">
        <v>631622000000000</v>
      </c>
      <c r="B6216" t="s">
        <v>28</v>
      </c>
      <c r="C6216">
        <v>17</v>
      </c>
      <c r="D6216" t="s">
        <v>60</v>
      </c>
      <c r="E6216" t="s">
        <v>43</v>
      </c>
      <c r="F6216" s="1">
        <v>42522</v>
      </c>
      <c r="G6216" s="1">
        <v>42524</v>
      </c>
      <c r="H6216" t="s">
        <v>21</v>
      </c>
      <c r="I6216">
        <v>2</v>
      </c>
      <c r="J6216" t="s">
        <v>109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 t="s">
        <v>23</v>
      </c>
      <c r="R6216">
        <v>0</v>
      </c>
    </row>
    <row r="6217" spans="1:18">
      <c r="A6217" s="4">
        <v>826388000000000</v>
      </c>
      <c r="B6217" t="s">
        <v>28</v>
      </c>
      <c r="C6217">
        <v>41</v>
      </c>
      <c r="D6217" t="s">
        <v>27</v>
      </c>
      <c r="E6217" t="s">
        <v>75</v>
      </c>
      <c r="F6217" s="1">
        <v>42522</v>
      </c>
      <c r="G6217" s="1">
        <v>42522</v>
      </c>
      <c r="H6217" t="s">
        <v>25</v>
      </c>
      <c r="I6217">
        <v>0</v>
      </c>
      <c r="J6217" t="s">
        <v>111</v>
      </c>
      <c r="K6217">
        <v>0</v>
      </c>
      <c r="L6217">
        <v>0</v>
      </c>
      <c r="M6217">
        <v>0</v>
      </c>
      <c r="N6217">
        <v>1</v>
      </c>
      <c r="O6217">
        <v>0</v>
      </c>
      <c r="P6217">
        <v>0</v>
      </c>
      <c r="Q6217" t="s">
        <v>23</v>
      </c>
      <c r="R6217">
        <v>0</v>
      </c>
    </row>
    <row r="6218" spans="1:18">
      <c r="A6218" s="4">
        <v>7978940000000</v>
      </c>
      <c r="B6218" t="s">
        <v>18</v>
      </c>
      <c r="C6218">
        <v>42</v>
      </c>
      <c r="D6218" t="s">
        <v>27</v>
      </c>
      <c r="E6218" t="s">
        <v>50</v>
      </c>
      <c r="F6218" s="1">
        <v>42522</v>
      </c>
      <c r="G6218" s="1">
        <v>42522</v>
      </c>
      <c r="H6218" t="s">
        <v>25</v>
      </c>
      <c r="I6218">
        <v>0</v>
      </c>
      <c r="J6218" t="s">
        <v>111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 t="s">
        <v>23</v>
      </c>
      <c r="R6218">
        <v>0</v>
      </c>
    </row>
    <row r="6219" spans="1:18">
      <c r="A6219" s="4">
        <v>54799400000000</v>
      </c>
      <c r="B6219" t="s">
        <v>28</v>
      </c>
      <c r="C6219">
        <v>12</v>
      </c>
      <c r="D6219" t="s">
        <v>31</v>
      </c>
      <c r="E6219" t="s">
        <v>57</v>
      </c>
      <c r="F6219" s="1">
        <v>42522</v>
      </c>
      <c r="G6219" s="1">
        <v>42522</v>
      </c>
      <c r="H6219" t="s">
        <v>25</v>
      </c>
      <c r="I6219">
        <v>0</v>
      </c>
      <c r="J6219" t="s">
        <v>111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 t="s">
        <v>23</v>
      </c>
      <c r="R6219">
        <v>0</v>
      </c>
    </row>
    <row r="6220" spans="1:18">
      <c r="A6220" s="4">
        <v>27452000000000</v>
      </c>
      <c r="B6220" t="s">
        <v>28</v>
      </c>
      <c r="C6220">
        <v>68</v>
      </c>
      <c r="D6220" t="s">
        <v>19</v>
      </c>
      <c r="E6220" t="s">
        <v>40</v>
      </c>
      <c r="F6220" s="1">
        <v>42522</v>
      </c>
      <c r="G6220" s="1">
        <v>42522</v>
      </c>
      <c r="H6220" t="s">
        <v>25</v>
      </c>
      <c r="I6220">
        <v>0</v>
      </c>
      <c r="J6220" t="s">
        <v>111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 t="s">
        <v>23</v>
      </c>
      <c r="R6220">
        <v>0</v>
      </c>
    </row>
    <row r="6221" spans="1:18">
      <c r="A6221" s="4">
        <v>9733470000000</v>
      </c>
      <c r="B6221" t="s">
        <v>18</v>
      </c>
      <c r="C6221">
        <v>30</v>
      </c>
      <c r="D6221" t="s">
        <v>37</v>
      </c>
      <c r="E6221" t="s">
        <v>50</v>
      </c>
      <c r="F6221" s="1">
        <v>42522</v>
      </c>
      <c r="G6221" s="1">
        <v>42523</v>
      </c>
      <c r="H6221" t="s">
        <v>33</v>
      </c>
      <c r="I6221">
        <v>1</v>
      </c>
      <c r="J6221" t="s">
        <v>109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 t="s">
        <v>23</v>
      </c>
      <c r="R6221">
        <v>0</v>
      </c>
    </row>
    <row r="6222" spans="1:18">
      <c r="A6222" s="4">
        <v>226285000000000</v>
      </c>
      <c r="B6222" t="s">
        <v>28</v>
      </c>
      <c r="C6222">
        <v>67</v>
      </c>
      <c r="D6222" t="s">
        <v>19</v>
      </c>
      <c r="E6222" t="s">
        <v>62</v>
      </c>
      <c r="F6222" s="1">
        <v>42522</v>
      </c>
      <c r="G6222" s="1">
        <v>42527</v>
      </c>
      <c r="H6222" t="s">
        <v>30</v>
      </c>
      <c r="I6222">
        <v>5</v>
      </c>
      <c r="J6222" t="s">
        <v>107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1</v>
      </c>
      <c r="Q6222" t="s">
        <v>23</v>
      </c>
      <c r="R6222">
        <v>0</v>
      </c>
    </row>
    <row r="6223" spans="1:18">
      <c r="A6223" s="4">
        <v>7629960000000</v>
      </c>
      <c r="B6223" t="s">
        <v>28</v>
      </c>
      <c r="C6223">
        <v>22</v>
      </c>
      <c r="D6223" t="s">
        <v>37</v>
      </c>
      <c r="E6223" t="s">
        <v>32</v>
      </c>
      <c r="F6223" s="1">
        <v>42522</v>
      </c>
      <c r="G6223" s="1">
        <v>42522</v>
      </c>
      <c r="H6223" t="s">
        <v>25</v>
      </c>
      <c r="I6223">
        <v>0</v>
      </c>
      <c r="J6223" t="s">
        <v>111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 t="s">
        <v>23</v>
      </c>
      <c r="R6223">
        <v>0</v>
      </c>
    </row>
    <row r="6224" spans="1:18">
      <c r="A6224" s="4">
        <v>297859000000000</v>
      </c>
      <c r="B6224" t="s">
        <v>18</v>
      </c>
      <c r="C6224">
        <v>53</v>
      </c>
      <c r="D6224" t="s">
        <v>35</v>
      </c>
      <c r="E6224" t="s">
        <v>68</v>
      </c>
      <c r="F6224" s="1">
        <v>42522</v>
      </c>
      <c r="G6224" s="1">
        <v>42527</v>
      </c>
      <c r="H6224" t="s">
        <v>30</v>
      </c>
      <c r="I6224">
        <v>5</v>
      </c>
      <c r="J6224" t="s">
        <v>107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1</v>
      </c>
      <c r="Q6224" t="s">
        <v>23</v>
      </c>
      <c r="R6224">
        <v>0</v>
      </c>
    </row>
    <row r="6225" spans="1:18">
      <c r="A6225" s="4">
        <v>61174200000000</v>
      </c>
      <c r="B6225" t="s">
        <v>18</v>
      </c>
      <c r="C6225">
        <v>25</v>
      </c>
      <c r="D6225" t="s">
        <v>37</v>
      </c>
      <c r="E6225" t="s">
        <v>96</v>
      </c>
      <c r="F6225" s="1">
        <v>42522</v>
      </c>
      <c r="G6225" s="1">
        <v>42528</v>
      </c>
      <c r="H6225" t="s">
        <v>41</v>
      </c>
      <c r="I6225">
        <v>6</v>
      </c>
      <c r="J6225" t="s">
        <v>107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1</v>
      </c>
      <c r="Q6225" t="s">
        <v>23</v>
      </c>
      <c r="R6225">
        <v>0</v>
      </c>
    </row>
    <row r="6226" spans="1:18">
      <c r="A6226" s="4">
        <v>64948100000000</v>
      </c>
      <c r="B6226" t="s">
        <v>18</v>
      </c>
      <c r="C6226">
        <v>35</v>
      </c>
      <c r="D6226" t="s">
        <v>37</v>
      </c>
      <c r="E6226" t="s">
        <v>70</v>
      </c>
      <c r="F6226" s="1">
        <v>42522</v>
      </c>
      <c r="G6226" s="1">
        <v>42522</v>
      </c>
      <c r="H6226" t="s">
        <v>25</v>
      </c>
      <c r="I6226">
        <v>0</v>
      </c>
      <c r="J6226" t="s">
        <v>111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 t="s">
        <v>23</v>
      </c>
      <c r="R6226">
        <v>0</v>
      </c>
    </row>
    <row r="6227" spans="1:18">
      <c r="A6227" s="4">
        <v>68937600000000</v>
      </c>
      <c r="B6227" t="s">
        <v>28</v>
      </c>
      <c r="C6227">
        <v>26</v>
      </c>
      <c r="D6227" t="s">
        <v>37</v>
      </c>
      <c r="E6227" t="s">
        <v>81</v>
      </c>
      <c r="F6227" s="1">
        <v>42522</v>
      </c>
      <c r="G6227" s="1">
        <v>42523</v>
      </c>
      <c r="H6227" t="s">
        <v>33</v>
      </c>
      <c r="I6227">
        <v>1</v>
      </c>
      <c r="J6227" t="s">
        <v>109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 t="s">
        <v>26</v>
      </c>
      <c r="R6227">
        <v>1</v>
      </c>
    </row>
    <row r="6228" spans="1:18">
      <c r="A6228" s="4">
        <v>85686000000000</v>
      </c>
      <c r="B6228" t="s">
        <v>28</v>
      </c>
      <c r="C6228">
        <v>47</v>
      </c>
      <c r="D6228" t="s">
        <v>27</v>
      </c>
      <c r="E6228" t="s">
        <v>72</v>
      </c>
      <c r="F6228" s="1">
        <v>42522</v>
      </c>
      <c r="G6228" s="1">
        <v>42523</v>
      </c>
      <c r="H6228" t="s">
        <v>33</v>
      </c>
      <c r="I6228">
        <v>1</v>
      </c>
      <c r="J6228" t="s">
        <v>109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23</v>
      </c>
      <c r="R6228">
        <v>0</v>
      </c>
    </row>
    <row r="6229" spans="1:18">
      <c r="A6229" s="4">
        <v>445237000000</v>
      </c>
      <c r="B6229" t="s">
        <v>28</v>
      </c>
      <c r="C6229">
        <v>36</v>
      </c>
      <c r="D6229" t="s">
        <v>27</v>
      </c>
      <c r="E6229" t="s">
        <v>62</v>
      </c>
      <c r="F6229" s="1">
        <v>42522</v>
      </c>
      <c r="G6229" s="1">
        <v>42529</v>
      </c>
      <c r="H6229" t="s">
        <v>25</v>
      </c>
      <c r="I6229">
        <v>7</v>
      </c>
      <c r="J6229" t="s">
        <v>107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1</v>
      </c>
      <c r="Q6229" t="s">
        <v>26</v>
      </c>
      <c r="R6229">
        <v>1</v>
      </c>
    </row>
    <row r="6230" spans="1:18">
      <c r="A6230" s="4">
        <v>1198160000000</v>
      </c>
      <c r="B6230" t="s">
        <v>28</v>
      </c>
      <c r="C6230">
        <v>11</v>
      </c>
      <c r="D6230" t="s">
        <v>31</v>
      </c>
      <c r="E6230" t="s">
        <v>44</v>
      </c>
      <c r="F6230" s="1">
        <v>42522</v>
      </c>
      <c r="G6230" s="1">
        <v>42522</v>
      </c>
      <c r="H6230" t="s">
        <v>25</v>
      </c>
      <c r="I6230">
        <v>0</v>
      </c>
      <c r="J6230" t="s">
        <v>111</v>
      </c>
      <c r="K6230">
        <v>1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23</v>
      </c>
      <c r="R6230">
        <v>0</v>
      </c>
    </row>
    <row r="6231" spans="1:18">
      <c r="A6231" s="4">
        <v>94411900000000</v>
      </c>
      <c r="B6231" t="s">
        <v>18</v>
      </c>
      <c r="C6231">
        <v>88</v>
      </c>
      <c r="D6231" t="s">
        <v>19</v>
      </c>
      <c r="E6231" t="s">
        <v>106</v>
      </c>
      <c r="F6231" s="1">
        <v>42522</v>
      </c>
      <c r="G6231" s="1">
        <v>42529</v>
      </c>
      <c r="H6231" t="s">
        <v>25</v>
      </c>
      <c r="I6231">
        <v>7</v>
      </c>
      <c r="J6231" t="s">
        <v>107</v>
      </c>
      <c r="K6231">
        <v>0</v>
      </c>
      <c r="L6231">
        <v>1</v>
      </c>
      <c r="M6231">
        <v>0</v>
      </c>
      <c r="N6231">
        <v>0</v>
      </c>
      <c r="O6231">
        <v>0</v>
      </c>
      <c r="P6231">
        <v>1</v>
      </c>
      <c r="Q6231" t="s">
        <v>23</v>
      </c>
      <c r="R6231">
        <v>0</v>
      </c>
    </row>
    <row r="6232" spans="1:18">
      <c r="A6232" s="4">
        <v>37141300000000</v>
      </c>
      <c r="B6232" t="s">
        <v>18</v>
      </c>
      <c r="C6232">
        <v>53</v>
      </c>
      <c r="D6232" t="s">
        <v>35</v>
      </c>
      <c r="E6232" t="s">
        <v>55</v>
      </c>
      <c r="F6232" s="1">
        <v>42522</v>
      </c>
      <c r="G6232" s="1">
        <v>42529</v>
      </c>
      <c r="H6232" t="s">
        <v>25</v>
      </c>
      <c r="I6232">
        <v>7</v>
      </c>
      <c r="J6232" t="s">
        <v>107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1</v>
      </c>
      <c r="Q6232" t="s">
        <v>23</v>
      </c>
      <c r="R6232">
        <v>0</v>
      </c>
    </row>
    <row r="6233" spans="1:18">
      <c r="A6233" s="4">
        <v>52257800000000</v>
      </c>
      <c r="B6233" t="s">
        <v>18</v>
      </c>
      <c r="C6233">
        <v>33</v>
      </c>
      <c r="D6233" t="s">
        <v>37</v>
      </c>
      <c r="E6233" t="s">
        <v>55</v>
      </c>
      <c r="F6233" s="1">
        <v>42522</v>
      </c>
      <c r="G6233" s="1">
        <v>42529</v>
      </c>
      <c r="H6233" t="s">
        <v>25</v>
      </c>
      <c r="I6233">
        <v>7</v>
      </c>
      <c r="J6233" t="s">
        <v>107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1</v>
      </c>
      <c r="Q6233" t="s">
        <v>23</v>
      </c>
      <c r="R6233">
        <v>0</v>
      </c>
    </row>
    <row r="6234" spans="1:18">
      <c r="A6234" s="4">
        <v>4454580000000</v>
      </c>
      <c r="B6234" t="s">
        <v>28</v>
      </c>
      <c r="C6234">
        <v>8</v>
      </c>
      <c r="D6234" t="s">
        <v>31</v>
      </c>
      <c r="E6234" t="s">
        <v>71</v>
      </c>
      <c r="F6234" s="1">
        <v>42522</v>
      </c>
      <c r="G6234" s="1">
        <v>42523</v>
      </c>
      <c r="H6234" t="s">
        <v>33</v>
      </c>
      <c r="I6234">
        <v>1</v>
      </c>
      <c r="J6234" t="s">
        <v>109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23</v>
      </c>
      <c r="R6234">
        <v>0</v>
      </c>
    </row>
    <row r="6235" spans="1:18">
      <c r="A6235" s="4">
        <v>169952000000000</v>
      </c>
      <c r="B6235" t="s">
        <v>18</v>
      </c>
      <c r="C6235">
        <v>17</v>
      </c>
      <c r="D6235" t="s">
        <v>60</v>
      </c>
      <c r="E6235" t="s">
        <v>59</v>
      </c>
      <c r="F6235" s="1">
        <v>42522</v>
      </c>
      <c r="G6235" s="1">
        <v>42527</v>
      </c>
      <c r="H6235" t="s">
        <v>30</v>
      </c>
      <c r="I6235">
        <v>5</v>
      </c>
      <c r="J6235" t="s">
        <v>107</v>
      </c>
      <c r="K6235">
        <v>1</v>
      </c>
      <c r="L6235">
        <v>0</v>
      </c>
      <c r="M6235">
        <v>0</v>
      </c>
      <c r="N6235">
        <v>0</v>
      </c>
      <c r="O6235">
        <v>0</v>
      </c>
      <c r="P6235">
        <v>1</v>
      </c>
      <c r="Q6235" t="s">
        <v>23</v>
      </c>
      <c r="R6235">
        <v>0</v>
      </c>
    </row>
    <row r="6236" spans="1:18">
      <c r="A6236" s="4">
        <v>82145700000000</v>
      </c>
      <c r="B6236" t="s">
        <v>28</v>
      </c>
      <c r="C6236">
        <v>56</v>
      </c>
      <c r="D6236" t="s">
        <v>35</v>
      </c>
      <c r="E6236" t="s">
        <v>66</v>
      </c>
      <c r="F6236" s="1">
        <v>42522</v>
      </c>
      <c r="G6236" s="1">
        <v>42527</v>
      </c>
      <c r="H6236" t="s">
        <v>30</v>
      </c>
      <c r="I6236">
        <v>5</v>
      </c>
      <c r="J6236" t="s">
        <v>107</v>
      </c>
      <c r="K6236">
        <v>1</v>
      </c>
      <c r="L6236">
        <v>1</v>
      </c>
      <c r="M6236">
        <v>0</v>
      </c>
      <c r="N6236">
        <v>0</v>
      </c>
      <c r="O6236">
        <v>0</v>
      </c>
      <c r="P6236">
        <v>0</v>
      </c>
      <c r="Q6236" t="s">
        <v>23</v>
      </c>
      <c r="R6236">
        <v>0</v>
      </c>
    </row>
    <row r="6237" spans="1:18">
      <c r="A6237" s="4">
        <v>51888900000000</v>
      </c>
      <c r="B6237" t="s">
        <v>18</v>
      </c>
      <c r="C6237">
        <v>22</v>
      </c>
      <c r="D6237" t="s">
        <v>37</v>
      </c>
      <c r="E6237" t="s">
        <v>72</v>
      </c>
      <c r="F6237" s="1">
        <v>42522</v>
      </c>
      <c r="G6237" s="1">
        <v>42522</v>
      </c>
      <c r="H6237" t="s">
        <v>25</v>
      </c>
      <c r="I6237">
        <v>0</v>
      </c>
      <c r="J6237" t="s">
        <v>111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 t="s">
        <v>23</v>
      </c>
      <c r="R6237">
        <v>0</v>
      </c>
    </row>
    <row r="6238" spans="1:18">
      <c r="A6238" s="4">
        <v>59174300000000</v>
      </c>
      <c r="B6238" t="s">
        <v>28</v>
      </c>
      <c r="C6238">
        <v>6</v>
      </c>
      <c r="D6238" t="s">
        <v>31</v>
      </c>
      <c r="E6238" t="s">
        <v>32</v>
      </c>
      <c r="F6238" s="1">
        <v>42522</v>
      </c>
      <c r="G6238" s="1">
        <v>42524</v>
      </c>
      <c r="H6238" t="s">
        <v>21</v>
      </c>
      <c r="I6238">
        <v>2</v>
      </c>
      <c r="J6238" t="s">
        <v>109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 t="s">
        <v>23</v>
      </c>
      <c r="R6238">
        <v>0</v>
      </c>
    </row>
    <row r="6239" spans="1:18">
      <c r="A6239" s="4">
        <v>83552800000000</v>
      </c>
      <c r="B6239" t="s">
        <v>18</v>
      </c>
      <c r="C6239">
        <v>12</v>
      </c>
      <c r="D6239" t="s">
        <v>31</v>
      </c>
      <c r="E6239" t="s">
        <v>71</v>
      </c>
      <c r="F6239" s="1">
        <v>42522</v>
      </c>
      <c r="G6239" s="1">
        <v>42522</v>
      </c>
      <c r="H6239" t="s">
        <v>25</v>
      </c>
      <c r="I6239">
        <v>0</v>
      </c>
      <c r="J6239" t="s">
        <v>111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 t="s">
        <v>23</v>
      </c>
      <c r="R6239">
        <v>0</v>
      </c>
    </row>
    <row r="6240" spans="1:18">
      <c r="A6240" s="4">
        <v>78398900000000</v>
      </c>
      <c r="B6240" t="s">
        <v>28</v>
      </c>
      <c r="C6240">
        <v>10</v>
      </c>
      <c r="D6240" t="s">
        <v>31</v>
      </c>
      <c r="E6240" t="s">
        <v>50</v>
      </c>
      <c r="F6240" s="1">
        <v>42522</v>
      </c>
      <c r="G6240" s="1">
        <v>42522</v>
      </c>
      <c r="H6240" t="s">
        <v>25</v>
      </c>
      <c r="I6240">
        <v>0</v>
      </c>
      <c r="J6240" t="s">
        <v>111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 t="s">
        <v>26</v>
      </c>
      <c r="R6240">
        <v>1</v>
      </c>
    </row>
    <row r="6241" spans="1:18">
      <c r="A6241" s="4">
        <v>2529760000000</v>
      </c>
      <c r="B6241" t="s">
        <v>18</v>
      </c>
      <c r="C6241">
        <v>1</v>
      </c>
      <c r="D6241" t="s">
        <v>31</v>
      </c>
      <c r="E6241" t="s">
        <v>45</v>
      </c>
      <c r="F6241" s="1">
        <v>42522</v>
      </c>
      <c r="G6241" s="1">
        <v>42522</v>
      </c>
      <c r="H6241" t="s">
        <v>25</v>
      </c>
      <c r="I6241">
        <v>0</v>
      </c>
      <c r="J6241" t="s">
        <v>111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 t="s">
        <v>23</v>
      </c>
      <c r="R6241">
        <v>0</v>
      </c>
    </row>
    <row r="6242" spans="1:18">
      <c r="A6242" s="4">
        <v>751782000000000</v>
      </c>
      <c r="B6242" t="s">
        <v>18</v>
      </c>
      <c r="C6242">
        <v>5</v>
      </c>
      <c r="D6242" t="s">
        <v>31</v>
      </c>
      <c r="E6242" t="s">
        <v>54</v>
      </c>
      <c r="F6242" s="1">
        <v>42522</v>
      </c>
      <c r="G6242" s="1">
        <v>42522</v>
      </c>
      <c r="H6242" t="s">
        <v>25</v>
      </c>
      <c r="I6242">
        <v>0</v>
      </c>
      <c r="J6242" t="s">
        <v>111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 t="s">
        <v>23</v>
      </c>
      <c r="R6242">
        <v>0</v>
      </c>
    </row>
    <row r="6243" spans="1:18">
      <c r="A6243" s="4">
        <v>228432000000</v>
      </c>
      <c r="B6243" t="s">
        <v>28</v>
      </c>
      <c r="C6243">
        <v>0</v>
      </c>
      <c r="D6243" t="s">
        <v>31</v>
      </c>
      <c r="E6243" t="s">
        <v>50</v>
      </c>
      <c r="F6243" s="1">
        <v>42522</v>
      </c>
      <c r="G6243" s="1">
        <v>42522</v>
      </c>
      <c r="H6243" t="s">
        <v>25</v>
      </c>
      <c r="I6243">
        <v>0</v>
      </c>
      <c r="J6243" t="s">
        <v>111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 t="s">
        <v>23</v>
      </c>
      <c r="R6243">
        <v>0</v>
      </c>
    </row>
    <row r="6244" spans="1:18">
      <c r="A6244" s="4">
        <v>63717700000000</v>
      </c>
      <c r="B6244" t="s">
        <v>28</v>
      </c>
      <c r="C6244">
        <v>8</v>
      </c>
      <c r="D6244" t="s">
        <v>31</v>
      </c>
      <c r="E6244" t="s">
        <v>39</v>
      </c>
      <c r="F6244" s="1">
        <v>42522</v>
      </c>
      <c r="G6244" s="1">
        <v>42527</v>
      </c>
      <c r="H6244" t="s">
        <v>30</v>
      </c>
      <c r="I6244">
        <v>5</v>
      </c>
      <c r="J6244" t="s">
        <v>107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1</v>
      </c>
      <c r="Q6244" t="s">
        <v>23</v>
      </c>
      <c r="R6244">
        <v>0</v>
      </c>
    </row>
    <row r="6245" spans="1:18">
      <c r="A6245" s="4">
        <v>5999440000000</v>
      </c>
      <c r="B6245" t="s">
        <v>18</v>
      </c>
      <c r="C6245">
        <v>65</v>
      </c>
      <c r="D6245" t="s">
        <v>35</v>
      </c>
      <c r="E6245" t="s">
        <v>104</v>
      </c>
      <c r="F6245" s="1">
        <v>42522</v>
      </c>
      <c r="G6245" s="1">
        <v>42522</v>
      </c>
      <c r="H6245" t="s">
        <v>25</v>
      </c>
      <c r="I6245">
        <v>0</v>
      </c>
      <c r="J6245" t="s">
        <v>111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 t="s">
        <v>23</v>
      </c>
      <c r="R6245">
        <v>0</v>
      </c>
    </row>
    <row r="6246" spans="1:18">
      <c r="A6246" s="4">
        <v>59294300000000</v>
      </c>
      <c r="B6246" t="s">
        <v>28</v>
      </c>
      <c r="C6246">
        <v>27</v>
      </c>
      <c r="D6246" t="s">
        <v>37</v>
      </c>
      <c r="E6246" t="s">
        <v>32</v>
      </c>
      <c r="F6246" s="1">
        <v>42522</v>
      </c>
      <c r="G6246" s="1">
        <v>42528</v>
      </c>
      <c r="H6246" t="s">
        <v>41</v>
      </c>
      <c r="I6246">
        <v>6</v>
      </c>
      <c r="J6246" t="s">
        <v>107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1</v>
      </c>
      <c r="Q6246" t="s">
        <v>23</v>
      </c>
      <c r="R6246">
        <v>0</v>
      </c>
    </row>
    <row r="6247" spans="1:18">
      <c r="A6247" s="4">
        <v>59251300000000</v>
      </c>
      <c r="B6247" t="s">
        <v>18</v>
      </c>
      <c r="C6247">
        <v>33</v>
      </c>
      <c r="D6247" t="s">
        <v>37</v>
      </c>
      <c r="E6247" t="s">
        <v>68</v>
      </c>
      <c r="F6247" s="1">
        <v>42522</v>
      </c>
      <c r="G6247" s="1">
        <v>42527</v>
      </c>
      <c r="H6247" t="s">
        <v>30</v>
      </c>
      <c r="I6247">
        <v>5</v>
      </c>
      <c r="J6247" t="s">
        <v>107</v>
      </c>
      <c r="K6247">
        <v>1</v>
      </c>
      <c r="L6247">
        <v>1</v>
      </c>
      <c r="M6247">
        <v>0</v>
      </c>
      <c r="N6247">
        <v>0</v>
      </c>
      <c r="O6247">
        <v>0</v>
      </c>
      <c r="P6247">
        <v>1</v>
      </c>
      <c r="Q6247" t="s">
        <v>23</v>
      </c>
      <c r="R6247">
        <v>0</v>
      </c>
    </row>
    <row r="6248" spans="1:18">
      <c r="A6248" s="4">
        <v>75516200000000</v>
      </c>
      <c r="B6248" t="s">
        <v>28</v>
      </c>
      <c r="C6248">
        <v>2</v>
      </c>
      <c r="D6248" t="s">
        <v>31</v>
      </c>
      <c r="E6248" t="s">
        <v>39</v>
      </c>
      <c r="F6248" s="1">
        <v>42522</v>
      </c>
      <c r="G6248" s="1">
        <v>42522</v>
      </c>
      <c r="H6248" t="s">
        <v>25</v>
      </c>
      <c r="I6248">
        <v>0</v>
      </c>
      <c r="J6248" t="s">
        <v>111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 t="s">
        <v>23</v>
      </c>
      <c r="R6248">
        <v>0</v>
      </c>
    </row>
    <row r="6249" spans="1:18">
      <c r="A6249" s="4">
        <v>8434620000000</v>
      </c>
      <c r="B6249" t="s">
        <v>18</v>
      </c>
      <c r="C6249">
        <v>9</v>
      </c>
      <c r="D6249" t="s">
        <v>31</v>
      </c>
      <c r="E6249" t="s">
        <v>40</v>
      </c>
      <c r="F6249" s="1">
        <v>42522</v>
      </c>
      <c r="G6249" s="1">
        <v>42522</v>
      </c>
      <c r="H6249" t="s">
        <v>25</v>
      </c>
      <c r="I6249">
        <v>0</v>
      </c>
      <c r="J6249" t="s">
        <v>111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 t="s">
        <v>23</v>
      </c>
      <c r="R6249">
        <v>0</v>
      </c>
    </row>
    <row r="6250" spans="1:18">
      <c r="A6250" s="4">
        <v>197567000000</v>
      </c>
      <c r="B6250" t="s">
        <v>18</v>
      </c>
      <c r="C6250">
        <v>33</v>
      </c>
      <c r="D6250" t="s">
        <v>37</v>
      </c>
      <c r="E6250" t="s">
        <v>38</v>
      </c>
      <c r="F6250" s="1">
        <v>42522</v>
      </c>
      <c r="G6250" s="1">
        <v>42522</v>
      </c>
      <c r="H6250" t="s">
        <v>25</v>
      </c>
      <c r="I6250">
        <v>0</v>
      </c>
      <c r="J6250" t="s">
        <v>111</v>
      </c>
      <c r="K6250">
        <v>1</v>
      </c>
      <c r="L6250">
        <v>0</v>
      </c>
      <c r="M6250">
        <v>0</v>
      </c>
      <c r="N6250">
        <v>0</v>
      </c>
      <c r="O6250">
        <v>0</v>
      </c>
      <c r="P6250">
        <v>0</v>
      </c>
      <c r="Q6250" t="s">
        <v>23</v>
      </c>
      <c r="R6250">
        <v>0</v>
      </c>
    </row>
    <row r="6251" spans="1:18">
      <c r="A6251" s="4">
        <v>925816000000000</v>
      </c>
      <c r="B6251" t="s">
        <v>28</v>
      </c>
      <c r="C6251">
        <v>10</v>
      </c>
      <c r="D6251" t="s">
        <v>31</v>
      </c>
      <c r="E6251" t="s">
        <v>32</v>
      </c>
      <c r="F6251" s="1">
        <v>42522</v>
      </c>
      <c r="G6251" s="1">
        <v>42522</v>
      </c>
      <c r="H6251" t="s">
        <v>25</v>
      </c>
      <c r="I6251">
        <v>0</v>
      </c>
      <c r="J6251" t="s">
        <v>111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 t="s">
        <v>23</v>
      </c>
      <c r="R6251">
        <v>0</v>
      </c>
    </row>
    <row r="6252" spans="1:18">
      <c r="A6252" s="4">
        <v>489418000000</v>
      </c>
      <c r="B6252" t="s">
        <v>28</v>
      </c>
      <c r="C6252">
        <v>50</v>
      </c>
      <c r="D6252" t="s">
        <v>27</v>
      </c>
      <c r="E6252" t="s">
        <v>47</v>
      </c>
      <c r="F6252" s="1">
        <v>42522</v>
      </c>
      <c r="G6252" s="1">
        <v>42524</v>
      </c>
      <c r="H6252" t="s">
        <v>21</v>
      </c>
      <c r="I6252">
        <v>2</v>
      </c>
      <c r="J6252" t="s">
        <v>109</v>
      </c>
      <c r="K6252">
        <v>1</v>
      </c>
      <c r="L6252">
        <v>0</v>
      </c>
      <c r="M6252">
        <v>1</v>
      </c>
      <c r="N6252">
        <v>0</v>
      </c>
      <c r="O6252">
        <v>0</v>
      </c>
      <c r="P6252">
        <v>0</v>
      </c>
      <c r="Q6252" t="s">
        <v>23</v>
      </c>
      <c r="R6252">
        <v>0</v>
      </c>
    </row>
    <row r="6253" spans="1:18">
      <c r="A6253" s="4">
        <v>8191190000000</v>
      </c>
      <c r="B6253" t="s">
        <v>18</v>
      </c>
      <c r="C6253">
        <v>21</v>
      </c>
      <c r="D6253" t="s">
        <v>37</v>
      </c>
      <c r="E6253" t="s">
        <v>51</v>
      </c>
      <c r="F6253" s="1">
        <v>42522</v>
      </c>
      <c r="G6253" s="1">
        <v>42522</v>
      </c>
      <c r="H6253" t="s">
        <v>25</v>
      </c>
      <c r="I6253">
        <v>0</v>
      </c>
      <c r="J6253" t="s">
        <v>111</v>
      </c>
      <c r="K6253">
        <v>1</v>
      </c>
      <c r="L6253">
        <v>0</v>
      </c>
      <c r="M6253">
        <v>0</v>
      </c>
      <c r="N6253">
        <v>0</v>
      </c>
      <c r="O6253">
        <v>0</v>
      </c>
      <c r="P6253">
        <v>0</v>
      </c>
      <c r="Q6253" t="s">
        <v>23</v>
      </c>
      <c r="R6253">
        <v>0</v>
      </c>
    </row>
    <row r="6254" spans="1:18">
      <c r="A6254" s="4">
        <v>155170000000000</v>
      </c>
      <c r="B6254" t="s">
        <v>18</v>
      </c>
      <c r="C6254">
        <v>2</v>
      </c>
      <c r="D6254" t="s">
        <v>31</v>
      </c>
      <c r="E6254" t="s">
        <v>84</v>
      </c>
      <c r="F6254" s="1">
        <v>42522</v>
      </c>
      <c r="G6254" s="1">
        <v>42522</v>
      </c>
      <c r="H6254" t="s">
        <v>25</v>
      </c>
      <c r="I6254">
        <v>0</v>
      </c>
      <c r="J6254" t="s">
        <v>111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 t="s">
        <v>23</v>
      </c>
      <c r="R6254">
        <v>0</v>
      </c>
    </row>
    <row r="6255" spans="1:18">
      <c r="A6255" s="4">
        <v>62121700000000</v>
      </c>
      <c r="B6255" t="s">
        <v>18</v>
      </c>
      <c r="C6255">
        <v>63</v>
      </c>
      <c r="D6255" t="s">
        <v>35</v>
      </c>
      <c r="E6255" t="s">
        <v>38</v>
      </c>
      <c r="F6255" s="1">
        <v>42522</v>
      </c>
      <c r="G6255" s="1">
        <v>42529</v>
      </c>
      <c r="H6255" t="s">
        <v>25</v>
      </c>
      <c r="I6255">
        <v>7</v>
      </c>
      <c r="J6255" t="s">
        <v>107</v>
      </c>
      <c r="K6255">
        <v>0</v>
      </c>
      <c r="L6255">
        <v>1</v>
      </c>
      <c r="M6255">
        <v>0</v>
      </c>
      <c r="N6255">
        <v>0</v>
      </c>
      <c r="O6255">
        <v>0</v>
      </c>
      <c r="P6255">
        <v>1</v>
      </c>
      <c r="Q6255" t="s">
        <v>23</v>
      </c>
      <c r="R6255">
        <v>0</v>
      </c>
    </row>
    <row r="6256" spans="1:18">
      <c r="A6256" s="4">
        <v>317318000000</v>
      </c>
      <c r="B6256" t="s">
        <v>18</v>
      </c>
      <c r="C6256">
        <v>31</v>
      </c>
      <c r="D6256" t="s">
        <v>37</v>
      </c>
      <c r="E6256" t="s">
        <v>96</v>
      </c>
      <c r="F6256" s="1">
        <v>42522</v>
      </c>
      <c r="G6256" s="1">
        <v>42522</v>
      </c>
      <c r="H6256" t="s">
        <v>25</v>
      </c>
      <c r="I6256">
        <v>0</v>
      </c>
      <c r="J6256" t="s">
        <v>111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 t="s">
        <v>23</v>
      </c>
      <c r="R6256">
        <v>0</v>
      </c>
    </row>
    <row r="6257" spans="1:18">
      <c r="A6257" s="4">
        <v>853440000000000</v>
      </c>
      <c r="B6257" t="s">
        <v>18</v>
      </c>
      <c r="C6257">
        <v>37</v>
      </c>
      <c r="D6257" t="s">
        <v>27</v>
      </c>
      <c r="E6257" t="s">
        <v>43</v>
      </c>
      <c r="F6257" s="1">
        <v>42522</v>
      </c>
      <c r="G6257" s="1">
        <v>42522</v>
      </c>
      <c r="H6257" t="s">
        <v>25</v>
      </c>
      <c r="I6257">
        <v>0</v>
      </c>
      <c r="J6257" t="s">
        <v>111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 t="s">
        <v>23</v>
      </c>
      <c r="R6257">
        <v>0</v>
      </c>
    </row>
    <row r="6258" spans="1:18">
      <c r="A6258" s="4">
        <v>75613600000000</v>
      </c>
      <c r="B6258" t="s">
        <v>18</v>
      </c>
      <c r="C6258">
        <v>50</v>
      </c>
      <c r="D6258" t="s">
        <v>27</v>
      </c>
      <c r="E6258" t="s">
        <v>59</v>
      </c>
      <c r="F6258" s="1">
        <v>42522</v>
      </c>
      <c r="G6258" s="1">
        <v>42523</v>
      </c>
      <c r="H6258" t="s">
        <v>33</v>
      </c>
      <c r="I6258">
        <v>1</v>
      </c>
      <c r="J6258" t="s">
        <v>109</v>
      </c>
      <c r="K6258">
        <v>0</v>
      </c>
      <c r="L6258">
        <v>0</v>
      </c>
      <c r="M6258">
        <v>1</v>
      </c>
      <c r="N6258">
        <v>0</v>
      </c>
      <c r="O6258">
        <v>0</v>
      </c>
      <c r="P6258">
        <v>0</v>
      </c>
      <c r="Q6258" t="s">
        <v>23</v>
      </c>
      <c r="R6258">
        <v>0</v>
      </c>
    </row>
    <row r="6259" spans="1:18">
      <c r="A6259" s="4">
        <v>7328460000000</v>
      </c>
      <c r="B6259" t="s">
        <v>28</v>
      </c>
      <c r="C6259">
        <v>24</v>
      </c>
      <c r="D6259" t="s">
        <v>37</v>
      </c>
      <c r="E6259" t="s">
        <v>106</v>
      </c>
      <c r="F6259" s="1">
        <v>42522</v>
      </c>
      <c r="G6259" s="1">
        <v>42523</v>
      </c>
      <c r="H6259" t="s">
        <v>33</v>
      </c>
      <c r="I6259">
        <v>1</v>
      </c>
      <c r="J6259" t="s">
        <v>109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23</v>
      </c>
      <c r="R6259">
        <v>0</v>
      </c>
    </row>
    <row r="6260" spans="1:18">
      <c r="A6260" s="4">
        <v>872279000000</v>
      </c>
      <c r="B6260" t="s">
        <v>28</v>
      </c>
      <c r="C6260">
        <v>40</v>
      </c>
      <c r="D6260" t="s">
        <v>27</v>
      </c>
      <c r="E6260" t="s">
        <v>82</v>
      </c>
      <c r="F6260" s="1">
        <v>42522</v>
      </c>
      <c r="G6260" s="1">
        <v>42522</v>
      </c>
      <c r="H6260" t="s">
        <v>25</v>
      </c>
      <c r="I6260">
        <v>0</v>
      </c>
      <c r="J6260" t="s">
        <v>111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 t="s">
        <v>23</v>
      </c>
      <c r="R6260">
        <v>0</v>
      </c>
    </row>
    <row r="6261" spans="1:18">
      <c r="A6261" s="4">
        <v>9658250000000</v>
      </c>
      <c r="B6261" t="s">
        <v>18</v>
      </c>
      <c r="C6261">
        <v>48</v>
      </c>
      <c r="D6261" t="s">
        <v>27</v>
      </c>
      <c r="E6261" t="s">
        <v>32</v>
      </c>
      <c r="F6261" s="1">
        <v>42522</v>
      </c>
      <c r="G6261" s="1">
        <v>42522</v>
      </c>
      <c r="H6261" t="s">
        <v>25</v>
      </c>
      <c r="I6261">
        <v>0</v>
      </c>
      <c r="J6261" t="s">
        <v>111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 t="s">
        <v>23</v>
      </c>
      <c r="R6261">
        <v>0</v>
      </c>
    </row>
    <row r="6262" spans="1:18">
      <c r="A6262" s="4">
        <v>4512870000000</v>
      </c>
      <c r="B6262" t="s">
        <v>18</v>
      </c>
      <c r="C6262">
        <v>44</v>
      </c>
      <c r="D6262" t="s">
        <v>27</v>
      </c>
      <c r="E6262" t="s">
        <v>38</v>
      </c>
      <c r="F6262" s="1">
        <v>42522</v>
      </c>
      <c r="G6262" s="1">
        <v>42527</v>
      </c>
      <c r="H6262" t="s">
        <v>30</v>
      </c>
      <c r="I6262">
        <v>5</v>
      </c>
      <c r="J6262" t="s">
        <v>107</v>
      </c>
      <c r="K6262">
        <v>0</v>
      </c>
      <c r="L6262">
        <v>1</v>
      </c>
      <c r="M6262">
        <v>0</v>
      </c>
      <c r="N6262">
        <v>0</v>
      </c>
      <c r="O6262">
        <v>0</v>
      </c>
      <c r="P6262">
        <v>0</v>
      </c>
      <c r="Q6262" t="s">
        <v>23</v>
      </c>
      <c r="R6262">
        <v>0</v>
      </c>
    </row>
    <row r="6263" spans="1:18">
      <c r="A6263" s="4">
        <v>71559100000000</v>
      </c>
      <c r="B6263" t="s">
        <v>18</v>
      </c>
      <c r="C6263">
        <v>28</v>
      </c>
      <c r="D6263" t="s">
        <v>37</v>
      </c>
      <c r="E6263" t="s">
        <v>29</v>
      </c>
      <c r="F6263" s="1">
        <v>42522</v>
      </c>
      <c r="G6263" s="1">
        <v>42522</v>
      </c>
      <c r="H6263" t="s">
        <v>25</v>
      </c>
      <c r="I6263">
        <v>0</v>
      </c>
      <c r="J6263" t="s">
        <v>111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 t="s">
        <v>23</v>
      </c>
      <c r="R6263">
        <v>0</v>
      </c>
    </row>
    <row r="6264" spans="1:18">
      <c r="A6264" s="4">
        <v>9643390000000</v>
      </c>
      <c r="B6264" t="s">
        <v>18</v>
      </c>
      <c r="C6264">
        <v>72</v>
      </c>
      <c r="D6264" t="s">
        <v>19</v>
      </c>
      <c r="E6264" t="s">
        <v>73</v>
      </c>
      <c r="F6264" s="1">
        <v>42522</v>
      </c>
      <c r="G6264" s="1">
        <v>42523</v>
      </c>
      <c r="H6264" t="s">
        <v>33</v>
      </c>
      <c r="I6264">
        <v>1</v>
      </c>
      <c r="J6264" t="s">
        <v>109</v>
      </c>
      <c r="K6264">
        <v>0</v>
      </c>
      <c r="L6264">
        <v>1</v>
      </c>
      <c r="M6264">
        <v>0</v>
      </c>
      <c r="N6264">
        <v>0</v>
      </c>
      <c r="O6264">
        <v>0</v>
      </c>
      <c r="P6264">
        <v>0</v>
      </c>
      <c r="Q6264" t="s">
        <v>23</v>
      </c>
      <c r="R6264">
        <v>0</v>
      </c>
    </row>
    <row r="6265" spans="1:18">
      <c r="A6265" s="4">
        <v>822146000000000</v>
      </c>
      <c r="B6265" t="s">
        <v>28</v>
      </c>
      <c r="C6265">
        <v>38</v>
      </c>
      <c r="D6265" t="s">
        <v>27</v>
      </c>
      <c r="E6265" t="s">
        <v>64</v>
      </c>
      <c r="F6265" s="1">
        <v>42522</v>
      </c>
      <c r="G6265" s="1">
        <v>42522</v>
      </c>
      <c r="H6265" t="s">
        <v>25</v>
      </c>
      <c r="I6265">
        <v>0</v>
      </c>
      <c r="J6265" t="s">
        <v>111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 t="s">
        <v>23</v>
      </c>
      <c r="R6265">
        <v>0</v>
      </c>
    </row>
    <row r="6266" spans="1:18">
      <c r="A6266" s="4">
        <v>54164800000000</v>
      </c>
      <c r="B6266" t="s">
        <v>18</v>
      </c>
      <c r="C6266">
        <v>18</v>
      </c>
      <c r="D6266" t="s">
        <v>37</v>
      </c>
      <c r="E6266" t="s">
        <v>72</v>
      </c>
      <c r="F6266" s="1">
        <v>42522</v>
      </c>
      <c r="G6266" s="1">
        <v>42522</v>
      </c>
      <c r="H6266" t="s">
        <v>25</v>
      </c>
      <c r="I6266">
        <v>0</v>
      </c>
      <c r="J6266" t="s">
        <v>111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 t="s">
        <v>23</v>
      </c>
      <c r="R6266">
        <v>0</v>
      </c>
    </row>
    <row r="6267" spans="1:18">
      <c r="A6267" s="4">
        <v>27865200000000</v>
      </c>
      <c r="B6267" t="s">
        <v>28</v>
      </c>
      <c r="C6267">
        <v>39</v>
      </c>
      <c r="D6267" t="s">
        <v>27</v>
      </c>
      <c r="E6267" t="s">
        <v>70</v>
      </c>
      <c r="F6267" s="1">
        <v>42522</v>
      </c>
      <c r="G6267" s="1">
        <v>42527</v>
      </c>
      <c r="H6267" t="s">
        <v>30</v>
      </c>
      <c r="I6267">
        <v>5</v>
      </c>
      <c r="J6267" t="s">
        <v>107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1</v>
      </c>
      <c r="Q6267" t="s">
        <v>23</v>
      </c>
      <c r="R6267">
        <v>0</v>
      </c>
    </row>
    <row r="6268" spans="1:18">
      <c r="A6268" s="4">
        <v>9959300000000</v>
      </c>
      <c r="B6268" t="s">
        <v>18</v>
      </c>
      <c r="C6268">
        <v>12</v>
      </c>
      <c r="D6268" t="s">
        <v>31</v>
      </c>
      <c r="E6268" t="s">
        <v>42</v>
      </c>
      <c r="F6268" s="1">
        <v>42522</v>
      </c>
      <c r="G6268" s="1">
        <v>42528</v>
      </c>
      <c r="H6268" t="s">
        <v>41</v>
      </c>
      <c r="I6268">
        <v>6</v>
      </c>
      <c r="J6268" t="s">
        <v>107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1</v>
      </c>
      <c r="Q6268" t="s">
        <v>23</v>
      </c>
      <c r="R6268">
        <v>0</v>
      </c>
    </row>
    <row r="6269" spans="1:18">
      <c r="A6269" s="4">
        <v>62554300000000</v>
      </c>
      <c r="B6269" t="s">
        <v>28</v>
      </c>
      <c r="C6269">
        <v>6</v>
      </c>
      <c r="D6269" t="s">
        <v>31</v>
      </c>
      <c r="E6269" t="s">
        <v>47</v>
      </c>
      <c r="F6269" s="1">
        <v>42522</v>
      </c>
      <c r="G6269" s="1">
        <v>42522</v>
      </c>
      <c r="H6269" t="s">
        <v>25</v>
      </c>
      <c r="I6269">
        <v>0</v>
      </c>
      <c r="J6269" t="s">
        <v>111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 t="s">
        <v>23</v>
      </c>
      <c r="R6269">
        <v>0</v>
      </c>
    </row>
    <row r="6270" spans="1:18">
      <c r="A6270" s="4">
        <v>14335400000000</v>
      </c>
      <c r="B6270" t="s">
        <v>28</v>
      </c>
      <c r="C6270">
        <v>1</v>
      </c>
      <c r="D6270" t="s">
        <v>31</v>
      </c>
      <c r="E6270" t="s">
        <v>65</v>
      </c>
      <c r="F6270" s="1">
        <v>42522</v>
      </c>
      <c r="G6270" s="1">
        <v>42522</v>
      </c>
      <c r="H6270" t="s">
        <v>25</v>
      </c>
      <c r="I6270">
        <v>0</v>
      </c>
      <c r="J6270" t="s">
        <v>111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 t="s">
        <v>23</v>
      </c>
      <c r="R6270">
        <v>0</v>
      </c>
    </row>
    <row r="6271" spans="1:18">
      <c r="A6271" s="4">
        <v>31148000000000</v>
      </c>
      <c r="B6271" t="s">
        <v>18</v>
      </c>
      <c r="C6271">
        <v>18</v>
      </c>
      <c r="D6271" t="s">
        <v>37</v>
      </c>
      <c r="E6271" t="s">
        <v>29</v>
      </c>
      <c r="F6271" s="1">
        <v>42522</v>
      </c>
      <c r="G6271" s="1">
        <v>42522</v>
      </c>
      <c r="H6271" t="s">
        <v>25</v>
      </c>
      <c r="I6271">
        <v>0</v>
      </c>
      <c r="J6271" t="s">
        <v>111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 t="s">
        <v>23</v>
      </c>
      <c r="R6271">
        <v>0</v>
      </c>
    </row>
    <row r="6272" spans="1:18">
      <c r="A6272" s="4">
        <v>66197353628</v>
      </c>
      <c r="B6272" t="s">
        <v>28</v>
      </c>
      <c r="C6272">
        <v>24</v>
      </c>
      <c r="D6272" t="s">
        <v>37</v>
      </c>
      <c r="E6272" t="s">
        <v>100</v>
      </c>
      <c r="F6272" s="1">
        <v>42522</v>
      </c>
      <c r="G6272" s="1">
        <v>42524</v>
      </c>
      <c r="H6272" t="s">
        <v>21</v>
      </c>
      <c r="I6272">
        <v>2</v>
      </c>
      <c r="J6272" t="s">
        <v>109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 t="s">
        <v>26</v>
      </c>
      <c r="R6272">
        <v>1</v>
      </c>
    </row>
    <row r="6273" spans="1:18">
      <c r="A6273" s="4">
        <v>58519400000000</v>
      </c>
      <c r="B6273" t="s">
        <v>18</v>
      </c>
      <c r="C6273">
        <v>23</v>
      </c>
      <c r="D6273" t="s">
        <v>37</v>
      </c>
      <c r="E6273" t="s">
        <v>45</v>
      </c>
      <c r="F6273" s="1">
        <v>42522</v>
      </c>
      <c r="G6273" s="1">
        <v>42524</v>
      </c>
      <c r="H6273" t="s">
        <v>21</v>
      </c>
      <c r="I6273">
        <v>2</v>
      </c>
      <c r="J6273" t="s">
        <v>109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 t="s">
        <v>23</v>
      </c>
      <c r="R6273">
        <v>0</v>
      </c>
    </row>
    <row r="6274" spans="1:18">
      <c r="A6274" s="4">
        <v>6159290000000</v>
      </c>
      <c r="B6274" t="s">
        <v>28</v>
      </c>
      <c r="C6274">
        <v>2</v>
      </c>
      <c r="D6274" t="s">
        <v>31</v>
      </c>
      <c r="E6274" t="s">
        <v>87</v>
      </c>
      <c r="F6274" s="1">
        <v>42522</v>
      </c>
      <c r="G6274" s="1">
        <v>42522</v>
      </c>
      <c r="H6274" t="s">
        <v>25</v>
      </c>
      <c r="I6274">
        <v>0</v>
      </c>
      <c r="J6274" t="s">
        <v>111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 t="s">
        <v>23</v>
      </c>
      <c r="R6274">
        <v>0</v>
      </c>
    </row>
    <row r="6275" spans="1:18">
      <c r="A6275" s="4">
        <v>89646400000000</v>
      </c>
      <c r="B6275" t="s">
        <v>28</v>
      </c>
      <c r="C6275">
        <v>77</v>
      </c>
      <c r="D6275" t="s">
        <v>19</v>
      </c>
      <c r="E6275" t="s">
        <v>75</v>
      </c>
      <c r="F6275" s="1">
        <v>42522</v>
      </c>
      <c r="G6275" s="1">
        <v>42524</v>
      </c>
      <c r="H6275" t="s">
        <v>21</v>
      </c>
      <c r="I6275">
        <v>2</v>
      </c>
      <c r="J6275" t="s">
        <v>109</v>
      </c>
      <c r="K6275">
        <v>0</v>
      </c>
      <c r="L6275">
        <v>1</v>
      </c>
      <c r="M6275">
        <v>0</v>
      </c>
      <c r="N6275">
        <v>0</v>
      </c>
      <c r="O6275">
        <v>1</v>
      </c>
      <c r="P6275">
        <v>0</v>
      </c>
      <c r="Q6275" t="s">
        <v>23</v>
      </c>
      <c r="R6275">
        <v>0</v>
      </c>
    </row>
    <row r="6276" spans="1:18">
      <c r="A6276" s="4">
        <v>86711600000000</v>
      </c>
      <c r="B6276" t="s">
        <v>18</v>
      </c>
      <c r="C6276">
        <v>44</v>
      </c>
      <c r="D6276" t="s">
        <v>27</v>
      </c>
      <c r="E6276" t="s">
        <v>72</v>
      </c>
      <c r="F6276" s="1">
        <v>42522</v>
      </c>
      <c r="G6276" s="1">
        <v>42522</v>
      </c>
      <c r="H6276" t="s">
        <v>25</v>
      </c>
      <c r="I6276">
        <v>0</v>
      </c>
      <c r="J6276" t="s">
        <v>111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 t="s">
        <v>23</v>
      </c>
      <c r="R6276">
        <v>0</v>
      </c>
    </row>
    <row r="6277" spans="1:18">
      <c r="A6277" s="4">
        <v>45318100000000</v>
      </c>
      <c r="B6277" t="s">
        <v>28</v>
      </c>
      <c r="C6277">
        <v>72</v>
      </c>
      <c r="D6277" t="s">
        <v>19</v>
      </c>
      <c r="E6277" t="s">
        <v>63</v>
      </c>
      <c r="F6277" s="1">
        <v>42522</v>
      </c>
      <c r="G6277" s="1">
        <v>42522</v>
      </c>
      <c r="H6277" t="s">
        <v>25</v>
      </c>
      <c r="I6277">
        <v>0</v>
      </c>
      <c r="J6277" t="s">
        <v>111</v>
      </c>
      <c r="K6277">
        <v>0</v>
      </c>
      <c r="L6277">
        <v>1</v>
      </c>
      <c r="M6277">
        <v>1</v>
      </c>
      <c r="N6277">
        <v>0</v>
      </c>
      <c r="O6277">
        <v>0</v>
      </c>
      <c r="P6277">
        <v>0</v>
      </c>
      <c r="Q6277" t="s">
        <v>23</v>
      </c>
      <c r="R6277">
        <v>0</v>
      </c>
    </row>
    <row r="6278" spans="1:18">
      <c r="A6278" s="4">
        <v>28797100000000</v>
      </c>
      <c r="B6278" t="s">
        <v>18</v>
      </c>
      <c r="C6278">
        <v>20</v>
      </c>
      <c r="D6278" t="s">
        <v>37</v>
      </c>
      <c r="E6278" t="s">
        <v>29</v>
      </c>
      <c r="F6278" s="1">
        <v>42522</v>
      </c>
      <c r="G6278" s="1">
        <v>42522</v>
      </c>
      <c r="H6278" t="s">
        <v>25</v>
      </c>
      <c r="I6278">
        <v>0</v>
      </c>
      <c r="J6278" t="s">
        <v>111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 t="s">
        <v>23</v>
      </c>
      <c r="R6278">
        <v>0</v>
      </c>
    </row>
    <row r="6279" spans="1:18">
      <c r="A6279" s="4">
        <v>9842172587</v>
      </c>
      <c r="B6279" t="s">
        <v>18</v>
      </c>
      <c r="C6279">
        <v>25</v>
      </c>
      <c r="D6279" t="s">
        <v>37</v>
      </c>
      <c r="E6279" t="s">
        <v>49</v>
      </c>
      <c r="F6279" s="1">
        <v>42522</v>
      </c>
      <c r="G6279" s="1">
        <v>42522</v>
      </c>
      <c r="H6279" t="s">
        <v>25</v>
      </c>
      <c r="I6279">
        <v>0</v>
      </c>
      <c r="J6279" t="s">
        <v>111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 t="s">
        <v>26</v>
      </c>
      <c r="R6279">
        <v>1</v>
      </c>
    </row>
    <row r="6280" spans="1:18">
      <c r="A6280" s="4">
        <v>63268900000000</v>
      </c>
      <c r="B6280" t="s">
        <v>18</v>
      </c>
      <c r="C6280">
        <v>41</v>
      </c>
      <c r="D6280" t="s">
        <v>27</v>
      </c>
      <c r="E6280" t="s">
        <v>68</v>
      </c>
      <c r="F6280" s="1">
        <v>42522</v>
      </c>
      <c r="G6280" s="1">
        <v>42522</v>
      </c>
      <c r="H6280" t="s">
        <v>25</v>
      </c>
      <c r="I6280">
        <v>0</v>
      </c>
      <c r="J6280" t="s">
        <v>111</v>
      </c>
      <c r="K6280">
        <v>0</v>
      </c>
      <c r="L6280">
        <v>1</v>
      </c>
      <c r="M6280">
        <v>0</v>
      </c>
      <c r="N6280">
        <v>0</v>
      </c>
      <c r="O6280">
        <v>0</v>
      </c>
      <c r="P6280">
        <v>0</v>
      </c>
      <c r="Q6280" t="s">
        <v>23</v>
      </c>
      <c r="R6280">
        <v>0</v>
      </c>
    </row>
    <row r="6281" spans="1:18">
      <c r="A6281" s="4">
        <v>816986000000000</v>
      </c>
      <c r="B6281" t="s">
        <v>18</v>
      </c>
      <c r="C6281">
        <v>84</v>
      </c>
      <c r="D6281" t="s">
        <v>19</v>
      </c>
      <c r="E6281" t="s">
        <v>96</v>
      </c>
      <c r="F6281" s="1">
        <v>42522</v>
      </c>
      <c r="G6281" s="1">
        <v>42523</v>
      </c>
      <c r="H6281" t="s">
        <v>33</v>
      </c>
      <c r="I6281">
        <v>1</v>
      </c>
      <c r="J6281" t="s">
        <v>109</v>
      </c>
      <c r="K6281">
        <v>0</v>
      </c>
      <c r="L6281">
        <v>1</v>
      </c>
      <c r="M6281">
        <v>0</v>
      </c>
      <c r="N6281">
        <v>0</v>
      </c>
      <c r="O6281">
        <v>0</v>
      </c>
      <c r="P6281">
        <v>0</v>
      </c>
      <c r="Q6281" t="s">
        <v>23</v>
      </c>
      <c r="R6281">
        <v>0</v>
      </c>
    </row>
    <row r="6282" spans="1:18">
      <c r="A6282" s="4">
        <v>3933980000000</v>
      </c>
      <c r="B6282" t="s">
        <v>18</v>
      </c>
      <c r="C6282">
        <v>64</v>
      </c>
      <c r="D6282" t="s">
        <v>35</v>
      </c>
      <c r="E6282" t="s">
        <v>84</v>
      </c>
      <c r="F6282" s="1">
        <v>42522</v>
      </c>
      <c r="G6282" s="1">
        <v>42527</v>
      </c>
      <c r="H6282" t="s">
        <v>30</v>
      </c>
      <c r="I6282">
        <v>5</v>
      </c>
      <c r="J6282" t="s">
        <v>107</v>
      </c>
      <c r="K6282">
        <v>0</v>
      </c>
      <c r="L6282">
        <v>1</v>
      </c>
      <c r="M6282">
        <v>1</v>
      </c>
      <c r="N6282">
        <v>0</v>
      </c>
      <c r="O6282">
        <v>0</v>
      </c>
      <c r="P6282">
        <v>0</v>
      </c>
      <c r="Q6282" t="s">
        <v>26</v>
      </c>
      <c r="R6282">
        <v>1</v>
      </c>
    </row>
    <row r="6283" spans="1:18">
      <c r="A6283" s="4">
        <v>334125000000000</v>
      </c>
      <c r="B6283" t="s">
        <v>18</v>
      </c>
      <c r="C6283">
        <v>56</v>
      </c>
      <c r="D6283" t="s">
        <v>35</v>
      </c>
      <c r="E6283" t="s">
        <v>48</v>
      </c>
      <c r="F6283" s="1">
        <v>42522</v>
      </c>
      <c r="G6283" s="1">
        <v>42524</v>
      </c>
      <c r="H6283" t="s">
        <v>21</v>
      </c>
      <c r="I6283">
        <v>2</v>
      </c>
      <c r="J6283" t="s">
        <v>109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 t="s">
        <v>23</v>
      </c>
      <c r="R6283">
        <v>0</v>
      </c>
    </row>
    <row r="6284" spans="1:18">
      <c r="A6284" s="4">
        <v>353649000000000</v>
      </c>
      <c r="B6284" t="s">
        <v>18</v>
      </c>
      <c r="C6284">
        <v>64</v>
      </c>
      <c r="D6284" t="s">
        <v>35</v>
      </c>
      <c r="E6284" t="s">
        <v>108</v>
      </c>
      <c r="F6284" s="1">
        <v>42522</v>
      </c>
      <c r="G6284" s="1">
        <v>42524</v>
      </c>
      <c r="H6284" t="s">
        <v>21</v>
      </c>
      <c r="I6284">
        <v>2</v>
      </c>
      <c r="J6284" t="s">
        <v>109</v>
      </c>
      <c r="K6284">
        <v>0</v>
      </c>
      <c r="L6284">
        <v>1</v>
      </c>
      <c r="M6284">
        <v>1</v>
      </c>
      <c r="N6284">
        <v>0</v>
      </c>
      <c r="O6284">
        <v>0</v>
      </c>
      <c r="P6284">
        <v>0</v>
      </c>
      <c r="Q6284" t="s">
        <v>23</v>
      </c>
      <c r="R6284">
        <v>0</v>
      </c>
    </row>
    <row r="6285" spans="1:18">
      <c r="A6285" s="4">
        <v>729459000000000</v>
      </c>
      <c r="B6285" t="s">
        <v>18</v>
      </c>
      <c r="C6285">
        <v>64</v>
      </c>
      <c r="D6285" t="s">
        <v>35</v>
      </c>
      <c r="E6285" t="s">
        <v>54</v>
      </c>
      <c r="F6285" s="1">
        <v>42522</v>
      </c>
      <c r="G6285" s="1">
        <v>42522</v>
      </c>
      <c r="H6285" t="s">
        <v>25</v>
      </c>
      <c r="I6285">
        <v>0</v>
      </c>
      <c r="J6285" t="s">
        <v>111</v>
      </c>
      <c r="K6285">
        <v>0</v>
      </c>
      <c r="L6285">
        <v>1</v>
      </c>
      <c r="M6285">
        <v>1</v>
      </c>
      <c r="N6285">
        <v>0</v>
      </c>
      <c r="O6285">
        <v>0</v>
      </c>
      <c r="P6285">
        <v>0</v>
      </c>
      <c r="Q6285" t="s">
        <v>23</v>
      </c>
      <c r="R6285">
        <v>0</v>
      </c>
    </row>
    <row r="6286" spans="1:18">
      <c r="A6286" s="4">
        <v>54567900000000</v>
      </c>
      <c r="B6286" t="s">
        <v>28</v>
      </c>
      <c r="C6286">
        <v>0</v>
      </c>
      <c r="D6286" t="s">
        <v>31</v>
      </c>
      <c r="E6286" t="s">
        <v>84</v>
      </c>
      <c r="F6286" s="1">
        <v>42522</v>
      </c>
      <c r="G6286" s="1">
        <v>42522</v>
      </c>
      <c r="H6286" t="s">
        <v>25</v>
      </c>
      <c r="I6286">
        <v>0</v>
      </c>
      <c r="J6286" t="s">
        <v>111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 t="s">
        <v>23</v>
      </c>
      <c r="R6286">
        <v>0</v>
      </c>
    </row>
    <row r="6287" spans="1:18">
      <c r="A6287" s="4">
        <v>81237600000000</v>
      </c>
      <c r="B6287" t="s">
        <v>28</v>
      </c>
      <c r="C6287">
        <v>53</v>
      </c>
      <c r="D6287" t="s">
        <v>35</v>
      </c>
      <c r="E6287" t="s">
        <v>58</v>
      </c>
      <c r="F6287" s="1">
        <v>42522</v>
      </c>
      <c r="G6287" s="1">
        <v>42522</v>
      </c>
      <c r="H6287" t="s">
        <v>25</v>
      </c>
      <c r="I6287">
        <v>0</v>
      </c>
      <c r="J6287" t="s">
        <v>111</v>
      </c>
      <c r="K6287">
        <v>0</v>
      </c>
      <c r="L6287">
        <v>1</v>
      </c>
      <c r="M6287">
        <v>0</v>
      </c>
      <c r="N6287">
        <v>1</v>
      </c>
      <c r="O6287">
        <v>0</v>
      </c>
      <c r="P6287">
        <v>0</v>
      </c>
      <c r="Q6287" t="s">
        <v>23</v>
      </c>
      <c r="R6287">
        <v>0</v>
      </c>
    </row>
    <row r="6288" spans="1:18">
      <c r="A6288" s="4">
        <v>433263000000000</v>
      </c>
      <c r="B6288" t="s">
        <v>28</v>
      </c>
      <c r="C6288">
        <v>65</v>
      </c>
      <c r="D6288" t="s">
        <v>35</v>
      </c>
      <c r="E6288" t="s">
        <v>54</v>
      </c>
      <c r="F6288" s="1">
        <v>42522</v>
      </c>
      <c r="G6288" s="1">
        <v>42522</v>
      </c>
      <c r="H6288" t="s">
        <v>25</v>
      </c>
      <c r="I6288">
        <v>0</v>
      </c>
      <c r="J6288" t="s">
        <v>111</v>
      </c>
      <c r="K6288">
        <v>0</v>
      </c>
      <c r="L6288">
        <v>1</v>
      </c>
      <c r="M6288">
        <v>0</v>
      </c>
      <c r="N6288">
        <v>0</v>
      </c>
      <c r="O6288">
        <v>0</v>
      </c>
      <c r="P6288">
        <v>0</v>
      </c>
      <c r="Q6288" t="s">
        <v>23</v>
      </c>
      <c r="R6288">
        <v>0</v>
      </c>
    </row>
    <row r="6289" spans="1:18">
      <c r="A6289" s="4">
        <v>488493000000</v>
      </c>
      <c r="B6289" t="s">
        <v>18</v>
      </c>
      <c r="C6289">
        <v>44</v>
      </c>
      <c r="D6289" t="s">
        <v>27</v>
      </c>
      <c r="E6289" t="s">
        <v>45</v>
      </c>
      <c r="F6289" s="1">
        <v>42522</v>
      </c>
      <c r="G6289" s="1">
        <v>42524</v>
      </c>
      <c r="H6289" t="s">
        <v>21</v>
      </c>
      <c r="I6289">
        <v>2</v>
      </c>
      <c r="J6289" t="s">
        <v>109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 t="s">
        <v>23</v>
      </c>
      <c r="R6289">
        <v>0</v>
      </c>
    </row>
    <row r="6290" spans="1:18">
      <c r="A6290" s="4">
        <v>59346500000000</v>
      </c>
      <c r="B6290" t="s">
        <v>18</v>
      </c>
      <c r="C6290">
        <v>40</v>
      </c>
      <c r="D6290" t="s">
        <v>27</v>
      </c>
      <c r="E6290" t="s">
        <v>39</v>
      </c>
      <c r="F6290" s="1">
        <v>42522</v>
      </c>
      <c r="G6290" s="1">
        <v>42522</v>
      </c>
      <c r="H6290" t="s">
        <v>25</v>
      </c>
      <c r="I6290">
        <v>0</v>
      </c>
      <c r="J6290" t="s">
        <v>111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23</v>
      </c>
      <c r="R6290">
        <v>0</v>
      </c>
    </row>
    <row r="6291" spans="1:18">
      <c r="A6291" s="4">
        <v>78572100000000</v>
      </c>
      <c r="B6291" t="s">
        <v>28</v>
      </c>
      <c r="C6291">
        <v>39</v>
      </c>
      <c r="D6291" t="s">
        <v>27</v>
      </c>
      <c r="E6291" t="s">
        <v>32</v>
      </c>
      <c r="F6291" s="1">
        <v>42522</v>
      </c>
      <c r="G6291" s="1">
        <v>42522</v>
      </c>
      <c r="H6291" t="s">
        <v>25</v>
      </c>
      <c r="I6291">
        <v>0</v>
      </c>
      <c r="J6291" t="s">
        <v>111</v>
      </c>
      <c r="K6291">
        <v>0</v>
      </c>
      <c r="L6291">
        <v>0</v>
      </c>
      <c r="M6291">
        <v>0</v>
      </c>
      <c r="N6291">
        <v>0</v>
      </c>
      <c r="O6291">
        <v>1</v>
      </c>
      <c r="P6291">
        <v>0</v>
      </c>
      <c r="Q6291" t="s">
        <v>23</v>
      </c>
      <c r="R6291">
        <v>0</v>
      </c>
    </row>
    <row r="6292" spans="1:18">
      <c r="A6292" s="4">
        <v>3685320000000</v>
      </c>
      <c r="B6292" t="s">
        <v>18</v>
      </c>
      <c r="C6292">
        <v>6</v>
      </c>
      <c r="D6292" t="s">
        <v>31</v>
      </c>
      <c r="E6292" t="s">
        <v>66</v>
      </c>
      <c r="F6292" s="1">
        <v>42522</v>
      </c>
      <c r="G6292" s="1">
        <v>42523</v>
      </c>
      <c r="H6292" t="s">
        <v>33</v>
      </c>
      <c r="I6292">
        <v>1</v>
      </c>
      <c r="J6292" t="s">
        <v>109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 t="s">
        <v>23</v>
      </c>
      <c r="R6292">
        <v>0</v>
      </c>
    </row>
    <row r="6293" spans="1:18">
      <c r="A6293" s="4">
        <v>161542000000</v>
      </c>
      <c r="B6293" t="s">
        <v>18</v>
      </c>
      <c r="C6293">
        <v>80</v>
      </c>
      <c r="D6293" t="s">
        <v>19</v>
      </c>
      <c r="E6293" t="s">
        <v>81</v>
      </c>
      <c r="F6293" s="1">
        <v>42522</v>
      </c>
      <c r="G6293" s="1">
        <v>42522</v>
      </c>
      <c r="H6293" t="s">
        <v>25</v>
      </c>
      <c r="I6293">
        <v>0</v>
      </c>
      <c r="J6293" t="s">
        <v>111</v>
      </c>
      <c r="K6293">
        <v>0</v>
      </c>
      <c r="L6293">
        <v>1</v>
      </c>
      <c r="M6293">
        <v>0</v>
      </c>
      <c r="N6293">
        <v>0</v>
      </c>
      <c r="O6293">
        <v>0</v>
      </c>
      <c r="P6293">
        <v>0</v>
      </c>
      <c r="Q6293" t="s">
        <v>23</v>
      </c>
      <c r="R6293">
        <v>0</v>
      </c>
    </row>
    <row r="6294" spans="1:18">
      <c r="A6294" s="4">
        <v>866121000000000</v>
      </c>
      <c r="B6294" t="s">
        <v>18</v>
      </c>
      <c r="C6294">
        <v>8</v>
      </c>
      <c r="D6294" t="s">
        <v>31</v>
      </c>
      <c r="E6294" t="s">
        <v>32</v>
      </c>
      <c r="F6294" s="1">
        <v>42522</v>
      </c>
      <c r="G6294" s="1">
        <v>42522</v>
      </c>
      <c r="H6294" t="s">
        <v>25</v>
      </c>
      <c r="I6294">
        <v>0</v>
      </c>
      <c r="J6294" t="s">
        <v>111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 t="s">
        <v>23</v>
      </c>
      <c r="R6294">
        <v>0</v>
      </c>
    </row>
    <row r="6295" spans="1:18">
      <c r="A6295" s="4">
        <v>41171600000000</v>
      </c>
      <c r="B6295" t="s">
        <v>18</v>
      </c>
      <c r="C6295">
        <v>34</v>
      </c>
      <c r="D6295" t="s">
        <v>37</v>
      </c>
      <c r="E6295" t="s">
        <v>100</v>
      </c>
      <c r="F6295" s="1">
        <v>42522</v>
      </c>
      <c r="G6295" s="1">
        <v>42527</v>
      </c>
      <c r="H6295" t="s">
        <v>30</v>
      </c>
      <c r="I6295">
        <v>5</v>
      </c>
      <c r="J6295" t="s">
        <v>107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1</v>
      </c>
      <c r="Q6295" t="s">
        <v>23</v>
      </c>
      <c r="R6295">
        <v>0</v>
      </c>
    </row>
    <row r="6296" spans="1:18">
      <c r="A6296" s="4">
        <v>1399750000000</v>
      </c>
      <c r="B6296" t="s">
        <v>28</v>
      </c>
      <c r="C6296">
        <v>13</v>
      </c>
      <c r="D6296" t="s">
        <v>60</v>
      </c>
      <c r="E6296" t="s">
        <v>42</v>
      </c>
      <c r="F6296" s="1">
        <v>42522</v>
      </c>
      <c r="G6296" s="1">
        <v>42522</v>
      </c>
      <c r="H6296" t="s">
        <v>25</v>
      </c>
      <c r="I6296">
        <v>0</v>
      </c>
      <c r="J6296" t="s">
        <v>111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 t="s">
        <v>23</v>
      </c>
      <c r="R6296">
        <v>0</v>
      </c>
    </row>
    <row r="6297" spans="1:18">
      <c r="A6297" s="4">
        <v>13594900000000</v>
      </c>
      <c r="B6297" t="s">
        <v>18</v>
      </c>
      <c r="C6297">
        <v>80</v>
      </c>
      <c r="D6297" t="s">
        <v>19</v>
      </c>
      <c r="E6297" t="s">
        <v>72</v>
      </c>
      <c r="F6297" s="1">
        <v>42522</v>
      </c>
      <c r="G6297" s="1">
        <v>42522</v>
      </c>
      <c r="H6297" t="s">
        <v>25</v>
      </c>
      <c r="I6297">
        <v>0</v>
      </c>
      <c r="J6297" t="s">
        <v>111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 t="s">
        <v>23</v>
      </c>
      <c r="R6297">
        <v>0</v>
      </c>
    </row>
    <row r="6298" spans="1:18">
      <c r="A6298" s="4">
        <v>37926700000000</v>
      </c>
      <c r="B6298" t="s">
        <v>18</v>
      </c>
      <c r="C6298">
        <v>3</v>
      </c>
      <c r="D6298" t="s">
        <v>31</v>
      </c>
      <c r="E6298" t="s">
        <v>68</v>
      </c>
      <c r="F6298" s="1">
        <v>42522</v>
      </c>
      <c r="G6298" s="1">
        <v>42522</v>
      </c>
      <c r="H6298" t="s">
        <v>25</v>
      </c>
      <c r="I6298">
        <v>0</v>
      </c>
      <c r="J6298" t="s">
        <v>111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 t="s">
        <v>23</v>
      </c>
      <c r="R6298">
        <v>0</v>
      </c>
    </row>
    <row r="6299" spans="1:18">
      <c r="A6299" s="4">
        <v>6162420000000</v>
      </c>
      <c r="B6299" t="s">
        <v>28</v>
      </c>
      <c r="C6299">
        <v>2</v>
      </c>
      <c r="D6299" t="s">
        <v>31</v>
      </c>
      <c r="E6299" t="s">
        <v>75</v>
      </c>
      <c r="F6299" s="1">
        <v>42522</v>
      </c>
      <c r="G6299" s="1">
        <v>42523</v>
      </c>
      <c r="H6299" t="s">
        <v>33</v>
      </c>
      <c r="I6299">
        <v>1</v>
      </c>
      <c r="J6299" t="s">
        <v>109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 t="s">
        <v>23</v>
      </c>
      <c r="R6299">
        <v>0</v>
      </c>
    </row>
    <row r="6300" spans="1:18">
      <c r="A6300" s="4">
        <v>58488800000000</v>
      </c>
      <c r="B6300" t="s">
        <v>18</v>
      </c>
      <c r="C6300">
        <v>3</v>
      </c>
      <c r="D6300" t="s">
        <v>31</v>
      </c>
      <c r="E6300" t="s">
        <v>64</v>
      </c>
      <c r="F6300" s="1">
        <v>42522</v>
      </c>
      <c r="G6300" s="1">
        <v>42522</v>
      </c>
      <c r="H6300" t="s">
        <v>25</v>
      </c>
      <c r="I6300">
        <v>0</v>
      </c>
      <c r="J6300" t="s">
        <v>111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23</v>
      </c>
      <c r="R6300">
        <v>0</v>
      </c>
    </row>
    <row r="6301" spans="1:18">
      <c r="A6301" s="4">
        <v>41631427582</v>
      </c>
      <c r="B6301" t="s">
        <v>28</v>
      </c>
      <c r="C6301">
        <v>0</v>
      </c>
      <c r="D6301" t="s">
        <v>31</v>
      </c>
      <c r="E6301" t="s">
        <v>87</v>
      </c>
      <c r="F6301" s="1">
        <v>42522</v>
      </c>
      <c r="G6301" s="1">
        <v>42522</v>
      </c>
      <c r="H6301" t="s">
        <v>25</v>
      </c>
      <c r="I6301">
        <v>0</v>
      </c>
      <c r="J6301" t="s">
        <v>111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 t="s">
        <v>23</v>
      </c>
      <c r="R6301">
        <v>0</v>
      </c>
    </row>
    <row r="6302" spans="1:18">
      <c r="A6302" s="4">
        <v>61965400000000</v>
      </c>
      <c r="B6302" t="s">
        <v>18</v>
      </c>
      <c r="C6302">
        <v>22</v>
      </c>
      <c r="D6302" t="s">
        <v>37</v>
      </c>
      <c r="E6302" t="s">
        <v>44</v>
      </c>
      <c r="F6302" s="1">
        <v>42522</v>
      </c>
      <c r="G6302" s="1">
        <v>42529</v>
      </c>
      <c r="H6302" t="s">
        <v>25</v>
      </c>
      <c r="I6302">
        <v>7</v>
      </c>
      <c r="J6302" t="s">
        <v>107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1</v>
      </c>
      <c r="Q6302" t="s">
        <v>23</v>
      </c>
      <c r="R6302">
        <v>0</v>
      </c>
    </row>
    <row r="6303" spans="1:18">
      <c r="A6303" s="4">
        <v>129278000000</v>
      </c>
      <c r="B6303" t="s">
        <v>18</v>
      </c>
      <c r="C6303">
        <v>63</v>
      </c>
      <c r="D6303" t="s">
        <v>35</v>
      </c>
      <c r="E6303" t="s">
        <v>96</v>
      </c>
      <c r="F6303" s="1">
        <v>42522</v>
      </c>
      <c r="G6303" s="1">
        <v>42524</v>
      </c>
      <c r="H6303" t="s">
        <v>21</v>
      </c>
      <c r="I6303">
        <v>2</v>
      </c>
      <c r="J6303" t="s">
        <v>109</v>
      </c>
      <c r="K6303">
        <v>0</v>
      </c>
      <c r="L6303">
        <v>1</v>
      </c>
      <c r="M6303">
        <v>0</v>
      </c>
      <c r="N6303">
        <v>0</v>
      </c>
      <c r="O6303">
        <v>0</v>
      </c>
      <c r="P6303">
        <v>0</v>
      </c>
      <c r="Q6303" t="s">
        <v>23</v>
      </c>
      <c r="R6303">
        <v>0</v>
      </c>
    </row>
    <row r="6304" spans="1:18">
      <c r="A6304" s="4">
        <v>88979500000000</v>
      </c>
      <c r="B6304" t="s">
        <v>18</v>
      </c>
      <c r="C6304">
        <v>68</v>
      </c>
      <c r="D6304" t="s">
        <v>19</v>
      </c>
      <c r="E6304" t="s">
        <v>63</v>
      </c>
      <c r="F6304" s="1">
        <v>42522</v>
      </c>
      <c r="G6304" s="1">
        <v>42523</v>
      </c>
      <c r="H6304" t="s">
        <v>33</v>
      </c>
      <c r="I6304">
        <v>1</v>
      </c>
      <c r="J6304" t="s">
        <v>109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 t="s">
        <v>26</v>
      </c>
      <c r="R6304">
        <v>1</v>
      </c>
    </row>
    <row r="6305" spans="1:18">
      <c r="A6305" s="4">
        <v>78355800000000</v>
      </c>
      <c r="B6305" t="s">
        <v>18</v>
      </c>
      <c r="C6305">
        <v>43</v>
      </c>
      <c r="D6305" t="s">
        <v>27</v>
      </c>
      <c r="E6305" t="s">
        <v>78</v>
      </c>
      <c r="F6305" s="1">
        <v>42523</v>
      </c>
      <c r="G6305" s="1">
        <v>42527</v>
      </c>
      <c r="H6305" t="s">
        <v>30</v>
      </c>
      <c r="I6305">
        <v>4</v>
      </c>
      <c r="J6305" t="s">
        <v>107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1</v>
      </c>
      <c r="Q6305" t="s">
        <v>23</v>
      </c>
      <c r="R6305">
        <v>0</v>
      </c>
    </row>
    <row r="6306" spans="1:18">
      <c r="A6306" s="4">
        <v>7336720000000</v>
      </c>
      <c r="B6306" t="s">
        <v>18</v>
      </c>
      <c r="C6306">
        <v>10</v>
      </c>
      <c r="D6306" t="s">
        <v>31</v>
      </c>
      <c r="E6306" t="s">
        <v>32</v>
      </c>
      <c r="F6306" s="1">
        <v>42523</v>
      </c>
      <c r="G6306" s="1">
        <v>42527</v>
      </c>
      <c r="H6306" t="s">
        <v>30</v>
      </c>
      <c r="I6306">
        <v>4</v>
      </c>
      <c r="J6306" t="s">
        <v>107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1</v>
      </c>
      <c r="Q6306" t="s">
        <v>26</v>
      </c>
      <c r="R6306">
        <v>1</v>
      </c>
    </row>
    <row r="6307" spans="1:18">
      <c r="A6307" s="4">
        <v>932347000000000</v>
      </c>
      <c r="B6307" t="s">
        <v>18</v>
      </c>
      <c r="C6307">
        <v>43</v>
      </c>
      <c r="D6307" t="s">
        <v>27</v>
      </c>
      <c r="E6307" t="s">
        <v>73</v>
      </c>
      <c r="F6307" s="1">
        <v>42523</v>
      </c>
      <c r="G6307" s="1">
        <v>42523</v>
      </c>
      <c r="H6307" t="s">
        <v>33</v>
      </c>
      <c r="I6307">
        <v>0</v>
      </c>
      <c r="J6307" t="s">
        <v>111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 t="s">
        <v>23</v>
      </c>
      <c r="R6307">
        <v>0</v>
      </c>
    </row>
    <row r="6308" spans="1:18">
      <c r="A6308" s="4">
        <v>59323700000000</v>
      </c>
      <c r="B6308" t="s">
        <v>28</v>
      </c>
      <c r="C6308">
        <v>66</v>
      </c>
      <c r="D6308" t="s">
        <v>19</v>
      </c>
      <c r="E6308" t="s">
        <v>39</v>
      </c>
      <c r="F6308" s="1">
        <v>42523</v>
      </c>
      <c r="G6308" s="1">
        <v>42527</v>
      </c>
      <c r="H6308" t="s">
        <v>30</v>
      </c>
      <c r="I6308">
        <v>4</v>
      </c>
      <c r="J6308" t="s">
        <v>107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1</v>
      </c>
      <c r="Q6308" t="s">
        <v>23</v>
      </c>
      <c r="R6308">
        <v>0</v>
      </c>
    </row>
    <row r="6309" spans="1:18">
      <c r="A6309" s="4">
        <v>742778000000</v>
      </c>
      <c r="B6309" t="s">
        <v>18</v>
      </c>
      <c r="C6309">
        <v>25</v>
      </c>
      <c r="D6309" t="s">
        <v>37</v>
      </c>
      <c r="E6309" t="s">
        <v>29</v>
      </c>
      <c r="F6309" s="1">
        <v>42523</v>
      </c>
      <c r="G6309" s="1">
        <v>42527</v>
      </c>
      <c r="H6309" t="s">
        <v>30</v>
      </c>
      <c r="I6309">
        <v>4</v>
      </c>
      <c r="J6309" t="s">
        <v>107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1</v>
      </c>
      <c r="Q6309" t="s">
        <v>23</v>
      </c>
      <c r="R6309">
        <v>0</v>
      </c>
    </row>
    <row r="6310" spans="1:18">
      <c r="A6310" s="4">
        <v>9374560000000</v>
      </c>
      <c r="B6310" t="s">
        <v>18</v>
      </c>
      <c r="C6310">
        <v>49</v>
      </c>
      <c r="D6310" t="s">
        <v>27</v>
      </c>
      <c r="E6310" t="s">
        <v>59</v>
      </c>
      <c r="F6310" s="1">
        <v>42523</v>
      </c>
      <c r="G6310" s="1">
        <v>42523</v>
      </c>
      <c r="H6310" t="s">
        <v>33</v>
      </c>
      <c r="I6310">
        <v>0</v>
      </c>
      <c r="J6310" t="s">
        <v>111</v>
      </c>
      <c r="K6310">
        <v>1</v>
      </c>
      <c r="L6310">
        <v>0</v>
      </c>
      <c r="M6310">
        <v>0</v>
      </c>
      <c r="N6310">
        <v>0</v>
      </c>
      <c r="O6310">
        <v>0</v>
      </c>
      <c r="P6310">
        <v>0</v>
      </c>
      <c r="Q6310" t="s">
        <v>23</v>
      </c>
      <c r="R6310">
        <v>0</v>
      </c>
    </row>
    <row r="6311" spans="1:18">
      <c r="A6311" s="4">
        <v>627976000000</v>
      </c>
      <c r="B6311" t="s">
        <v>18</v>
      </c>
      <c r="C6311">
        <v>33</v>
      </c>
      <c r="D6311" t="s">
        <v>37</v>
      </c>
      <c r="E6311" t="s">
        <v>71</v>
      </c>
      <c r="F6311" s="1">
        <v>42523</v>
      </c>
      <c r="G6311" s="1">
        <v>42528</v>
      </c>
      <c r="H6311" t="s">
        <v>41</v>
      </c>
      <c r="I6311">
        <v>5</v>
      </c>
      <c r="J6311" t="s">
        <v>107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1</v>
      </c>
      <c r="Q6311" t="s">
        <v>26</v>
      </c>
      <c r="R6311">
        <v>1</v>
      </c>
    </row>
    <row r="6312" spans="1:18">
      <c r="A6312" s="4">
        <v>49725300000000</v>
      </c>
      <c r="B6312" t="s">
        <v>28</v>
      </c>
      <c r="C6312">
        <v>48</v>
      </c>
      <c r="D6312" t="s">
        <v>27</v>
      </c>
      <c r="E6312" t="s">
        <v>55</v>
      </c>
      <c r="F6312" s="1">
        <v>42523</v>
      </c>
      <c r="G6312" s="1">
        <v>42523</v>
      </c>
      <c r="H6312" t="s">
        <v>33</v>
      </c>
      <c r="I6312">
        <v>0</v>
      </c>
      <c r="J6312" t="s">
        <v>111</v>
      </c>
      <c r="K6312">
        <v>0</v>
      </c>
      <c r="L6312">
        <v>1</v>
      </c>
      <c r="M6312">
        <v>0</v>
      </c>
      <c r="N6312">
        <v>1</v>
      </c>
      <c r="O6312">
        <v>0</v>
      </c>
      <c r="P6312">
        <v>0</v>
      </c>
      <c r="Q6312" t="s">
        <v>23</v>
      </c>
      <c r="R6312">
        <v>0</v>
      </c>
    </row>
    <row r="6313" spans="1:18">
      <c r="A6313" s="4">
        <v>3419640000000</v>
      </c>
      <c r="B6313" t="s">
        <v>28</v>
      </c>
      <c r="C6313">
        <v>81</v>
      </c>
      <c r="D6313" t="s">
        <v>19</v>
      </c>
      <c r="E6313" t="s">
        <v>86</v>
      </c>
      <c r="F6313" s="1">
        <v>42523</v>
      </c>
      <c r="G6313" s="1">
        <v>42529</v>
      </c>
      <c r="H6313" t="s">
        <v>25</v>
      </c>
      <c r="I6313">
        <v>6</v>
      </c>
      <c r="J6313" t="s">
        <v>107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 t="s">
        <v>23</v>
      </c>
      <c r="R6313">
        <v>0</v>
      </c>
    </row>
    <row r="6314" spans="1:18">
      <c r="A6314" s="4">
        <v>4134840000000</v>
      </c>
      <c r="B6314" t="s">
        <v>18</v>
      </c>
      <c r="C6314">
        <v>21</v>
      </c>
      <c r="D6314" t="s">
        <v>37</v>
      </c>
      <c r="E6314" t="s">
        <v>68</v>
      </c>
      <c r="F6314" s="1">
        <v>42523</v>
      </c>
      <c r="G6314" s="1">
        <v>42527</v>
      </c>
      <c r="H6314" t="s">
        <v>30</v>
      </c>
      <c r="I6314">
        <v>4</v>
      </c>
      <c r="J6314" t="s">
        <v>107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1</v>
      </c>
      <c r="Q6314" t="s">
        <v>23</v>
      </c>
      <c r="R6314">
        <v>0</v>
      </c>
    </row>
    <row r="6315" spans="1:18">
      <c r="A6315" s="4">
        <v>5445650000000</v>
      </c>
      <c r="B6315" t="s">
        <v>18</v>
      </c>
      <c r="C6315">
        <v>73</v>
      </c>
      <c r="D6315" t="s">
        <v>19</v>
      </c>
      <c r="E6315" t="s">
        <v>100</v>
      </c>
      <c r="F6315" s="1">
        <v>42523</v>
      </c>
      <c r="G6315" s="1">
        <v>42527</v>
      </c>
      <c r="H6315" t="s">
        <v>30</v>
      </c>
      <c r="I6315">
        <v>4</v>
      </c>
      <c r="J6315" t="s">
        <v>107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 t="s">
        <v>23</v>
      </c>
      <c r="R6315">
        <v>0</v>
      </c>
    </row>
    <row r="6316" spans="1:18">
      <c r="A6316" s="4">
        <v>36932400000000</v>
      </c>
      <c r="B6316" t="s">
        <v>18</v>
      </c>
      <c r="C6316">
        <v>20</v>
      </c>
      <c r="D6316" t="s">
        <v>37</v>
      </c>
      <c r="E6316" t="s">
        <v>34</v>
      </c>
      <c r="F6316" s="1">
        <v>42523</v>
      </c>
      <c r="G6316" s="1">
        <v>42527</v>
      </c>
      <c r="H6316" t="s">
        <v>30</v>
      </c>
      <c r="I6316">
        <v>4</v>
      </c>
      <c r="J6316" t="s">
        <v>107</v>
      </c>
      <c r="K6316">
        <v>1</v>
      </c>
      <c r="L6316">
        <v>0</v>
      </c>
      <c r="M6316">
        <v>0</v>
      </c>
      <c r="N6316">
        <v>0</v>
      </c>
      <c r="O6316">
        <v>0</v>
      </c>
      <c r="P6316">
        <v>1</v>
      </c>
      <c r="Q6316" t="s">
        <v>26</v>
      </c>
      <c r="R6316">
        <v>1</v>
      </c>
    </row>
    <row r="6317" spans="1:18">
      <c r="A6317" s="4">
        <v>566165000000000</v>
      </c>
      <c r="B6317" t="s">
        <v>28</v>
      </c>
      <c r="C6317">
        <v>9</v>
      </c>
      <c r="D6317" t="s">
        <v>31</v>
      </c>
      <c r="E6317" t="s">
        <v>58</v>
      </c>
      <c r="F6317" s="1">
        <v>42523</v>
      </c>
      <c r="G6317" s="1">
        <v>42523</v>
      </c>
      <c r="H6317" t="s">
        <v>33</v>
      </c>
      <c r="I6317">
        <v>0</v>
      </c>
      <c r="J6317" t="s">
        <v>111</v>
      </c>
      <c r="K6317">
        <v>1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23</v>
      </c>
      <c r="R6317">
        <v>0</v>
      </c>
    </row>
    <row r="6318" spans="1:18">
      <c r="A6318" s="4">
        <v>81649900000000</v>
      </c>
      <c r="B6318" t="s">
        <v>28</v>
      </c>
      <c r="C6318">
        <v>14</v>
      </c>
      <c r="D6318" t="s">
        <v>60</v>
      </c>
      <c r="E6318" t="s">
        <v>58</v>
      </c>
      <c r="F6318" s="1">
        <v>42523</v>
      </c>
      <c r="G6318" s="1">
        <v>42523</v>
      </c>
      <c r="H6318" t="s">
        <v>33</v>
      </c>
      <c r="I6318">
        <v>0</v>
      </c>
      <c r="J6318" t="s">
        <v>111</v>
      </c>
      <c r="K6318">
        <v>1</v>
      </c>
      <c r="L6318">
        <v>0</v>
      </c>
      <c r="M6318">
        <v>0</v>
      </c>
      <c r="N6318">
        <v>0</v>
      </c>
      <c r="O6318">
        <v>0</v>
      </c>
      <c r="P6318">
        <v>0</v>
      </c>
      <c r="Q6318" t="s">
        <v>23</v>
      </c>
      <c r="R6318">
        <v>0</v>
      </c>
    </row>
    <row r="6319" spans="1:18">
      <c r="A6319" s="4">
        <v>49959300000000</v>
      </c>
      <c r="B6319" t="s">
        <v>18</v>
      </c>
      <c r="C6319">
        <v>77</v>
      </c>
      <c r="D6319" t="s">
        <v>19</v>
      </c>
      <c r="E6319" t="s">
        <v>75</v>
      </c>
      <c r="F6319" s="1">
        <v>42523</v>
      </c>
      <c r="G6319" s="1">
        <v>42528</v>
      </c>
      <c r="H6319" t="s">
        <v>41</v>
      </c>
      <c r="I6319">
        <v>5</v>
      </c>
      <c r="J6319" t="s">
        <v>107</v>
      </c>
      <c r="K6319">
        <v>0</v>
      </c>
      <c r="L6319">
        <v>1</v>
      </c>
      <c r="M6319">
        <v>0</v>
      </c>
      <c r="N6319">
        <v>0</v>
      </c>
      <c r="O6319">
        <v>0</v>
      </c>
      <c r="P6319">
        <v>1</v>
      </c>
      <c r="Q6319" t="s">
        <v>23</v>
      </c>
      <c r="R6319">
        <v>0</v>
      </c>
    </row>
    <row r="6320" spans="1:18">
      <c r="A6320" s="4">
        <v>96677500000000</v>
      </c>
      <c r="B6320" t="s">
        <v>28</v>
      </c>
      <c r="C6320">
        <v>5</v>
      </c>
      <c r="D6320" t="s">
        <v>31</v>
      </c>
      <c r="E6320" t="s">
        <v>58</v>
      </c>
      <c r="F6320" s="1">
        <v>42523</v>
      </c>
      <c r="G6320" s="1">
        <v>42523</v>
      </c>
      <c r="H6320" t="s">
        <v>33</v>
      </c>
      <c r="I6320">
        <v>0</v>
      </c>
      <c r="J6320" t="s">
        <v>111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 t="s">
        <v>23</v>
      </c>
      <c r="R6320">
        <v>0</v>
      </c>
    </row>
    <row r="6321" spans="1:18">
      <c r="A6321" s="4">
        <v>63443800000000</v>
      </c>
      <c r="B6321" t="s">
        <v>18</v>
      </c>
      <c r="C6321">
        <v>55</v>
      </c>
      <c r="D6321" t="s">
        <v>35</v>
      </c>
      <c r="E6321" t="s">
        <v>79</v>
      </c>
      <c r="F6321" s="1">
        <v>42523</v>
      </c>
      <c r="G6321" s="1">
        <v>42523</v>
      </c>
      <c r="H6321" t="s">
        <v>33</v>
      </c>
      <c r="I6321">
        <v>0</v>
      </c>
      <c r="J6321" t="s">
        <v>111</v>
      </c>
      <c r="K6321">
        <v>0</v>
      </c>
      <c r="L6321">
        <v>1</v>
      </c>
      <c r="M6321">
        <v>0</v>
      </c>
      <c r="N6321">
        <v>0</v>
      </c>
      <c r="O6321">
        <v>0</v>
      </c>
      <c r="P6321">
        <v>0</v>
      </c>
      <c r="Q6321" t="s">
        <v>23</v>
      </c>
      <c r="R6321">
        <v>0</v>
      </c>
    </row>
    <row r="6322" spans="1:18">
      <c r="A6322" s="4">
        <v>37769400000000</v>
      </c>
      <c r="B6322" t="s">
        <v>18</v>
      </c>
      <c r="C6322">
        <v>66</v>
      </c>
      <c r="D6322" t="s">
        <v>19</v>
      </c>
      <c r="E6322" t="s">
        <v>79</v>
      </c>
      <c r="F6322" s="1">
        <v>42523</v>
      </c>
      <c r="G6322" s="1">
        <v>42523</v>
      </c>
      <c r="H6322" t="s">
        <v>33</v>
      </c>
      <c r="I6322">
        <v>0</v>
      </c>
      <c r="J6322" t="s">
        <v>111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23</v>
      </c>
      <c r="R6322">
        <v>0</v>
      </c>
    </row>
    <row r="6323" spans="1:18">
      <c r="A6323" s="4">
        <v>211124677</v>
      </c>
      <c r="B6323" t="s">
        <v>28</v>
      </c>
      <c r="C6323">
        <v>56</v>
      </c>
      <c r="D6323" t="s">
        <v>35</v>
      </c>
      <c r="E6323" t="s">
        <v>86</v>
      </c>
      <c r="F6323" s="1">
        <v>42523</v>
      </c>
      <c r="G6323" s="1">
        <v>42529</v>
      </c>
      <c r="H6323" t="s">
        <v>25</v>
      </c>
      <c r="I6323">
        <v>6</v>
      </c>
      <c r="J6323" t="s">
        <v>107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1</v>
      </c>
      <c r="Q6323" t="s">
        <v>23</v>
      </c>
      <c r="R6323">
        <v>0</v>
      </c>
    </row>
    <row r="6324" spans="1:18">
      <c r="A6324" s="4">
        <v>9743880000000</v>
      </c>
      <c r="B6324" t="s">
        <v>18</v>
      </c>
      <c r="C6324">
        <v>20</v>
      </c>
      <c r="D6324" t="s">
        <v>37</v>
      </c>
      <c r="E6324" t="s">
        <v>84</v>
      </c>
      <c r="F6324" s="1">
        <v>42523</v>
      </c>
      <c r="G6324" s="1">
        <v>42529</v>
      </c>
      <c r="H6324" t="s">
        <v>25</v>
      </c>
      <c r="I6324">
        <v>6</v>
      </c>
      <c r="J6324" t="s">
        <v>107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1</v>
      </c>
      <c r="Q6324" t="s">
        <v>26</v>
      </c>
      <c r="R6324">
        <v>1</v>
      </c>
    </row>
    <row r="6325" spans="1:18">
      <c r="A6325" s="4">
        <v>7112270000000</v>
      </c>
      <c r="B6325" t="s">
        <v>28</v>
      </c>
      <c r="C6325">
        <v>34</v>
      </c>
      <c r="D6325" t="s">
        <v>37</v>
      </c>
      <c r="E6325" t="s">
        <v>54</v>
      </c>
      <c r="F6325" s="1">
        <v>42523</v>
      </c>
      <c r="G6325" s="1">
        <v>42527</v>
      </c>
      <c r="H6325" t="s">
        <v>30</v>
      </c>
      <c r="I6325">
        <v>4</v>
      </c>
      <c r="J6325" t="s">
        <v>107</v>
      </c>
      <c r="K6325">
        <v>0</v>
      </c>
      <c r="L6325">
        <v>0</v>
      </c>
      <c r="M6325">
        <v>0</v>
      </c>
      <c r="N6325">
        <v>1</v>
      </c>
      <c r="O6325">
        <v>0</v>
      </c>
      <c r="P6325">
        <v>1</v>
      </c>
      <c r="Q6325" t="s">
        <v>23</v>
      </c>
      <c r="R6325">
        <v>0</v>
      </c>
    </row>
    <row r="6326" spans="1:18">
      <c r="A6326" s="4">
        <v>754347000000</v>
      </c>
      <c r="B6326" t="s">
        <v>18</v>
      </c>
      <c r="C6326">
        <v>69</v>
      </c>
      <c r="D6326" t="s">
        <v>19</v>
      </c>
      <c r="E6326" t="s">
        <v>44</v>
      </c>
      <c r="F6326" s="1">
        <v>42523</v>
      </c>
      <c r="G6326" s="1">
        <v>42523</v>
      </c>
      <c r="H6326" t="s">
        <v>33</v>
      </c>
      <c r="I6326">
        <v>0</v>
      </c>
      <c r="J6326" t="s">
        <v>111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 t="s">
        <v>23</v>
      </c>
      <c r="R6326">
        <v>0</v>
      </c>
    </row>
    <row r="6327" spans="1:18">
      <c r="A6327" s="4">
        <v>54357600000000</v>
      </c>
      <c r="B6327" t="s">
        <v>28</v>
      </c>
      <c r="C6327">
        <v>14</v>
      </c>
      <c r="D6327" t="s">
        <v>60</v>
      </c>
      <c r="E6327" t="s">
        <v>86</v>
      </c>
      <c r="F6327" s="1">
        <v>42523</v>
      </c>
      <c r="G6327" s="1">
        <v>42527</v>
      </c>
      <c r="H6327" t="s">
        <v>30</v>
      </c>
      <c r="I6327">
        <v>4</v>
      </c>
      <c r="J6327" t="s">
        <v>107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1</v>
      </c>
      <c r="Q6327" t="s">
        <v>23</v>
      </c>
      <c r="R6327">
        <v>0</v>
      </c>
    </row>
    <row r="6328" spans="1:18">
      <c r="A6328" s="4">
        <v>745517000000000</v>
      </c>
      <c r="B6328" t="s">
        <v>18</v>
      </c>
      <c r="C6328">
        <v>41</v>
      </c>
      <c r="D6328" t="s">
        <v>27</v>
      </c>
      <c r="E6328" t="s">
        <v>47</v>
      </c>
      <c r="F6328" s="1">
        <v>42523</v>
      </c>
      <c r="G6328" s="1">
        <v>42523</v>
      </c>
      <c r="H6328" t="s">
        <v>33</v>
      </c>
      <c r="I6328">
        <v>0</v>
      </c>
      <c r="J6328" t="s">
        <v>111</v>
      </c>
      <c r="K6328">
        <v>1</v>
      </c>
      <c r="L6328">
        <v>1</v>
      </c>
      <c r="M6328">
        <v>0</v>
      </c>
      <c r="N6328">
        <v>0</v>
      </c>
      <c r="O6328">
        <v>0</v>
      </c>
      <c r="P6328">
        <v>0</v>
      </c>
      <c r="Q6328" t="s">
        <v>23</v>
      </c>
      <c r="R6328">
        <v>0</v>
      </c>
    </row>
    <row r="6329" spans="1:18">
      <c r="A6329" s="4">
        <v>2217650000000</v>
      </c>
      <c r="B6329" t="s">
        <v>18</v>
      </c>
      <c r="C6329">
        <v>56</v>
      </c>
      <c r="D6329" t="s">
        <v>35</v>
      </c>
      <c r="E6329" t="s">
        <v>96</v>
      </c>
      <c r="F6329" s="1">
        <v>42523</v>
      </c>
      <c r="G6329" s="1">
        <v>42523</v>
      </c>
      <c r="H6329" t="s">
        <v>33</v>
      </c>
      <c r="I6329">
        <v>0</v>
      </c>
      <c r="J6329" t="s">
        <v>111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 t="s">
        <v>23</v>
      </c>
      <c r="R6329">
        <v>0</v>
      </c>
    </row>
    <row r="6330" spans="1:18">
      <c r="A6330" s="4">
        <v>81595400000000</v>
      </c>
      <c r="B6330" t="s">
        <v>18</v>
      </c>
      <c r="C6330">
        <v>65</v>
      </c>
      <c r="D6330" t="s">
        <v>35</v>
      </c>
      <c r="E6330" t="s">
        <v>75</v>
      </c>
      <c r="F6330" s="1">
        <v>42523</v>
      </c>
      <c r="G6330" s="1">
        <v>42523</v>
      </c>
      <c r="H6330" t="s">
        <v>33</v>
      </c>
      <c r="I6330">
        <v>0</v>
      </c>
      <c r="J6330" t="s">
        <v>111</v>
      </c>
      <c r="K6330">
        <v>0</v>
      </c>
      <c r="L6330">
        <v>1</v>
      </c>
      <c r="M6330">
        <v>1</v>
      </c>
      <c r="N6330">
        <v>0</v>
      </c>
      <c r="O6330">
        <v>0</v>
      </c>
      <c r="P6330">
        <v>0</v>
      </c>
      <c r="Q6330" t="s">
        <v>23</v>
      </c>
      <c r="R6330">
        <v>0</v>
      </c>
    </row>
    <row r="6331" spans="1:18">
      <c r="A6331" s="4">
        <v>386654000000000</v>
      </c>
      <c r="B6331" t="s">
        <v>18</v>
      </c>
      <c r="C6331">
        <v>41</v>
      </c>
      <c r="D6331" t="s">
        <v>27</v>
      </c>
      <c r="E6331" t="s">
        <v>66</v>
      </c>
      <c r="F6331" s="1">
        <v>42523</v>
      </c>
      <c r="G6331" s="1">
        <v>42527</v>
      </c>
      <c r="H6331" t="s">
        <v>30</v>
      </c>
      <c r="I6331">
        <v>4</v>
      </c>
      <c r="J6331" t="s">
        <v>107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1</v>
      </c>
      <c r="Q6331" t="s">
        <v>26</v>
      </c>
      <c r="R6331">
        <v>1</v>
      </c>
    </row>
    <row r="6332" spans="1:18">
      <c r="A6332" s="4">
        <v>4336640000000</v>
      </c>
      <c r="B6332" t="s">
        <v>28</v>
      </c>
      <c r="C6332">
        <v>46</v>
      </c>
      <c r="D6332" t="s">
        <v>27</v>
      </c>
      <c r="E6332" t="s">
        <v>45</v>
      </c>
      <c r="F6332" s="1">
        <v>42523</v>
      </c>
      <c r="G6332" s="1">
        <v>42523</v>
      </c>
      <c r="H6332" t="s">
        <v>33</v>
      </c>
      <c r="I6332">
        <v>0</v>
      </c>
      <c r="J6332" t="s">
        <v>111</v>
      </c>
      <c r="K6332">
        <v>0</v>
      </c>
      <c r="L6332">
        <v>1</v>
      </c>
      <c r="M6332">
        <v>0</v>
      </c>
      <c r="N6332">
        <v>0</v>
      </c>
      <c r="O6332">
        <v>0</v>
      </c>
      <c r="P6332">
        <v>0</v>
      </c>
      <c r="Q6332" t="s">
        <v>23</v>
      </c>
      <c r="R6332">
        <v>0</v>
      </c>
    </row>
    <row r="6333" spans="1:18">
      <c r="A6333" s="4">
        <v>18249900000000</v>
      </c>
      <c r="B6333" t="s">
        <v>18</v>
      </c>
      <c r="C6333">
        <v>16</v>
      </c>
      <c r="D6333" t="s">
        <v>60</v>
      </c>
      <c r="E6333" t="s">
        <v>45</v>
      </c>
      <c r="F6333" s="1">
        <v>42523</v>
      </c>
      <c r="G6333" s="1">
        <v>42528</v>
      </c>
      <c r="H6333" t="s">
        <v>41</v>
      </c>
      <c r="I6333">
        <v>5</v>
      </c>
      <c r="J6333" t="s">
        <v>107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23</v>
      </c>
      <c r="R6333">
        <v>0</v>
      </c>
    </row>
    <row r="6334" spans="1:18">
      <c r="A6334" s="4">
        <v>56598000000000</v>
      </c>
      <c r="B6334" t="s">
        <v>18</v>
      </c>
      <c r="C6334">
        <v>25</v>
      </c>
      <c r="D6334" t="s">
        <v>37</v>
      </c>
      <c r="E6334" t="s">
        <v>54</v>
      </c>
      <c r="F6334" s="1">
        <v>42523</v>
      </c>
      <c r="G6334" s="1">
        <v>42529</v>
      </c>
      <c r="H6334" t="s">
        <v>25</v>
      </c>
      <c r="I6334">
        <v>6</v>
      </c>
      <c r="J6334" t="s">
        <v>107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1</v>
      </c>
      <c r="Q6334" t="s">
        <v>23</v>
      </c>
      <c r="R6334">
        <v>0</v>
      </c>
    </row>
    <row r="6335" spans="1:18">
      <c r="A6335" s="4">
        <v>882345000000</v>
      </c>
      <c r="B6335" t="s">
        <v>28</v>
      </c>
      <c r="C6335">
        <v>13</v>
      </c>
      <c r="D6335" t="s">
        <v>60</v>
      </c>
      <c r="E6335" t="s">
        <v>29</v>
      </c>
      <c r="F6335" s="1">
        <v>42523</v>
      </c>
      <c r="G6335" s="1">
        <v>42528</v>
      </c>
      <c r="H6335" t="s">
        <v>41</v>
      </c>
      <c r="I6335">
        <v>5</v>
      </c>
      <c r="J6335" t="s">
        <v>107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1</v>
      </c>
      <c r="Q6335" t="s">
        <v>26</v>
      </c>
      <c r="R6335">
        <v>1</v>
      </c>
    </row>
    <row r="6336" spans="1:18">
      <c r="A6336" s="4">
        <v>3312480000000</v>
      </c>
      <c r="B6336" t="s">
        <v>18</v>
      </c>
      <c r="C6336">
        <v>7</v>
      </c>
      <c r="D6336" t="s">
        <v>31</v>
      </c>
      <c r="E6336" t="s">
        <v>20</v>
      </c>
      <c r="F6336" s="1">
        <v>42523</v>
      </c>
      <c r="G6336" s="1">
        <v>42523</v>
      </c>
      <c r="H6336" t="s">
        <v>33</v>
      </c>
      <c r="I6336">
        <v>0</v>
      </c>
      <c r="J6336" t="s">
        <v>111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 t="s">
        <v>23</v>
      </c>
      <c r="R6336">
        <v>0</v>
      </c>
    </row>
    <row r="6337" spans="1:18">
      <c r="A6337" s="4">
        <v>6882840000000</v>
      </c>
      <c r="B6337" t="s">
        <v>18</v>
      </c>
      <c r="C6337">
        <v>38</v>
      </c>
      <c r="D6337" t="s">
        <v>27</v>
      </c>
      <c r="E6337" t="s">
        <v>45</v>
      </c>
      <c r="F6337" s="1">
        <v>42523</v>
      </c>
      <c r="G6337" s="1">
        <v>42523</v>
      </c>
      <c r="H6337" t="s">
        <v>33</v>
      </c>
      <c r="I6337">
        <v>0</v>
      </c>
      <c r="J6337" t="s">
        <v>111</v>
      </c>
      <c r="K6337">
        <v>0</v>
      </c>
      <c r="L6337">
        <v>1</v>
      </c>
      <c r="M6337">
        <v>0</v>
      </c>
      <c r="N6337">
        <v>0</v>
      </c>
      <c r="O6337">
        <v>0</v>
      </c>
      <c r="P6337">
        <v>0</v>
      </c>
      <c r="Q6337" t="s">
        <v>23</v>
      </c>
      <c r="R6337">
        <v>0</v>
      </c>
    </row>
    <row r="6338" spans="1:18">
      <c r="A6338" s="4">
        <v>3824720000000</v>
      </c>
      <c r="B6338" t="s">
        <v>28</v>
      </c>
      <c r="C6338">
        <v>2</v>
      </c>
      <c r="D6338" t="s">
        <v>31</v>
      </c>
      <c r="E6338" t="s">
        <v>32</v>
      </c>
      <c r="F6338" s="1">
        <v>42523</v>
      </c>
      <c r="G6338" s="1">
        <v>42523</v>
      </c>
      <c r="H6338" t="s">
        <v>33</v>
      </c>
      <c r="I6338">
        <v>0</v>
      </c>
      <c r="J6338" t="s">
        <v>111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 t="s">
        <v>23</v>
      </c>
      <c r="R6338">
        <v>0</v>
      </c>
    </row>
    <row r="6339" spans="1:18">
      <c r="A6339" s="4">
        <v>63617200000000</v>
      </c>
      <c r="B6339" t="s">
        <v>18</v>
      </c>
      <c r="C6339">
        <v>5</v>
      </c>
      <c r="D6339" t="s">
        <v>31</v>
      </c>
      <c r="E6339" t="s">
        <v>32</v>
      </c>
      <c r="F6339" s="1">
        <v>42523</v>
      </c>
      <c r="G6339" s="1">
        <v>42524</v>
      </c>
      <c r="H6339" t="s">
        <v>21</v>
      </c>
      <c r="I6339">
        <v>1</v>
      </c>
      <c r="J6339" t="s">
        <v>109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 t="s">
        <v>23</v>
      </c>
      <c r="R6339">
        <v>0</v>
      </c>
    </row>
    <row r="6340" spans="1:18">
      <c r="A6340" s="4">
        <v>415224000000000</v>
      </c>
      <c r="B6340" t="s">
        <v>18</v>
      </c>
      <c r="C6340">
        <v>5</v>
      </c>
      <c r="D6340" t="s">
        <v>31</v>
      </c>
      <c r="E6340" t="s">
        <v>62</v>
      </c>
      <c r="F6340" s="1">
        <v>42523</v>
      </c>
      <c r="G6340" s="1">
        <v>42524</v>
      </c>
      <c r="H6340" t="s">
        <v>21</v>
      </c>
      <c r="I6340">
        <v>1</v>
      </c>
      <c r="J6340" t="s">
        <v>109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 t="s">
        <v>26</v>
      </c>
      <c r="R6340">
        <v>1</v>
      </c>
    </row>
    <row r="6341" spans="1:18">
      <c r="A6341" s="4">
        <v>6287940000000</v>
      </c>
      <c r="B6341" t="s">
        <v>18</v>
      </c>
      <c r="C6341">
        <v>33</v>
      </c>
      <c r="D6341" t="s">
        <v>37</v>
      </c>
      <c r="E6341" t="s">
        <v>39</v>
      </c>
      <c r="F6341" s="1">
        <v>42523</v>
      </c>
      <c r="G6341" s="1">
        <v>42523</v>
      </c>
      <c r="H6341" t="s">
        <v>33</v>
      </c>
      <c r="I6341">
        <v>0</v>
      </c>
      <c r="J6341" t="s">
        <v>111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 t="s">
        <v>23</v>
      </c>
      <c r="R6341">
        <v>0</v>
      </c>
    </row>
    <row r="6342" spans="1:18">
      <c r="A6342" s="4">
        <v>484916000000</v>
      </c>
      <c r="B6342" t="s">
        <v>18</v>
      </c>
      <c r="C6342">
        <v>60</v>
      </c>
      <c r="D6342" t="s">
        <v>35</v>
      </c>
      <c r="E6342" t="s">
        <v>84</v>
      </c>
      <c r="F6342" s="1">
        <v>42523</v>
      </c>
      <c r="G6342" s="1">
        <v>42524</v>
      </c>
      <c r="H6342" t="s">
        <v>21</v>
      </c>
      <c r="I6342">
        <v>1</v>
      </c>
      <c r="J6342" t="s">
        <v>109</v>
      </c>
      <c r="K6342">
        <v>0</v>
      </c>
      <c r="L6342">
        <v>1</v>
      </c>
      <c r="M6342">
        <v>0</v>
      </c>
      <c r="N6342">
        <v>1</v>
      </c>
      <c r="O6342">
        <v>0</v>
      </c>
      <c r="P6342">
        <v>0</v>
      </c>
      <c r="Q6342" t="s">
        <v>23</v>
      </c>
      <c r="R6342">
        <v>0</v>
      </c>
    </row>
    <row r="6343" spans="1:18">
      <c r="A6343" s="4">
        <v>3462350000000</v>
      </c>
      <c r="B6343" t="s">
        <v>28</v>
      </c>
      <c r="C6343">
        <v>57</v>
      </c>
      <c r="D6343" t="s">
        <v>35</v>
      </c>
      <c r="E6343" t="s">
        <v>58</v>
      </c>
      <c r="F6343" s="1">
        <v>42523</v>
      </c>
      <c r="G6343" s="1">
        <v>42527</v>
      </c>
      <c r="H6343" t="s">
        <v>30</v>
      </c>
      <c r="I6343">
        <v>4</v>
      </c>
      <c r="J6343" t="s">
        <v>107</v>
      </c>
      <c r="K6343">
        <v>1</v>
      </c>
      <c r="L6343">
        <v>1</v>
      </c>
      <c r="M6343">
        <v>1</v>
      </c>
      <c r="N6343">
        <v>0</v>
      </c>
      <c r="O6343">
        <v>0</v>
      </c>
      <c r="P6343">
        <v>1</v>
      </c>
      <c r="Q6343" t="s">
        <v>23</v>
      </c>
      <c r="R6343">
        <v>0</v>
      </c>
    </row>
    <row r="6344" spans="1:18">
      <c r="A6344" s="4">
        <v>3884668671</v>
      </c>
      <c r="B6344" t="s">
        <v>18</v>
      </c>
      <c r="C6344">
        <v>66</v>
      </c>
      <c r="D6344" t="s">
        <v>19</v>
      </c>
      <c r="E6344" t="s">
        <v>58</v>
      </c>
      <c r="F6344" s="1">
        <v>42523</v>
      </c>
      <c r="G6344" s="1">
        <v>42527</v>
      </c>
      <c r="H6344" t="s">
        <v>30</v>
      </c>
      <c r="I6344">
        <v>4</v>
      </c>
      <c r="J6344" t="s">
        <v>107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1</v>
      </c>
      <c r="Q6344" t="s">
        <v>23</v>
      </c>
      <c r="R6344">
        <v>0</v>
      </c>
    </row>
    <row r="6345" spans="1:18">
      <c r="A6345" s="4">
        <v>2455290000000</v>
      </c>
      <c r="B6345" t="s">
        <v>28</v>
      </c>
      <c r="C6345">
        <v>21</v>
      </c>
      <c r="D6345" t="s">
        <v>37</v>
      </c>
      <c r="E6345" t="s">
        <v>69</v>
      </c>
      <c r="F6345" s="1">
        <v>42523</v>
      </c>
      <c r="G6345" s="1">
        <v>42523</v>
      </c>
      <c r="H6345" t="s">
        <v>33</v>
      </c>
      <c r="I6345">
        <v>0</v>
      </c>
      <c r="J6345" t="s">
        <v>111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 t="s">
        <v>23</v>
      </c>
      <c r="R6345">
        <v>0</v>
      </c>
    </row>
    <row r="6346" spans="1:18">
      <c r="A6346" s="4">
        <v>19388200000000</v>
      </c>
      <c r="B6346" t="s">
        <v>18</v>
      </c>
      <c r="C6346">
        <v>41</v>
      </c>
      <c r="D6346" t="s">
        <v>27</v>
      </c>
      <c r="E6346" t="s">
        <v>58</v>
      </c>
      <c r="F6346" s="1">
        <v>42523</v>
      </c>
      <c r="G6346" s="1">
        <v>42523</v>
      </c>
      <c r="H6346" t="s">
        <v>33</v>
      </c>
      <c r="I6346">
        <v>0</v>
      </c>
      <c r="J6346" t="s">
        <v>111</v>
      </c>
      <c r="K6346">
        <v>1</v>
      </c>
      <c r="L6346">
        <v>0</v>
      </c>
      <c r="M6346">
        <v>0</v>
      </c>
      <c r="N6346">
        <v>0</v>
      </c>
      <c r="O6346">
        <v>0</v>
      </c>
      <c r="P6346">
        <v>0</v>
      </c>
      <c r="Q6346" t="s">
        <v>23</v>
      </c>
      <c r="R6346">
        <v>0</v>
      </c>
    </row>
    <row r="6347" spans="1:18">
      <c r="A6347" s="4">
        <v>193361000000000</v>
      </c>
      <c r="B6347" t="s">
        <v>18</v>
      </c>
      <c r="C6347">
        <v>38</v>
      </c>
      <c r="D6347" t="s">
        <v>27</v>
      </c>
      <c r="E6347" t="s">
        <v>65</v>
      </c>
      <c r="F6347" s="1">
        <v>42523</v>
      </c>
      <c r="G6347" s="1">
        <v>42523</v>
      </c>
      <c r="H6347" t="s">
        <v>33</v>
      </c>
      <c r="I6347">
        <v>0</v>
      </c>
      <c r="J6347" t="s">
        <v>111</v>
      </c>
      <c r="K6347">
        <v>0</v>
      </c>
      <c r="L6347">
        <v>0</v>
      </c>
      <c r="M6347">
        <v>0</v>
      </c>
      <c r="N6347">
        <v>1</v>
      </c>
      <c r="O6347">
        <v>0</v>
      </c>
      <c r="P6347">
        <v>0</v>
      </c>
      <c r="Q6347" t="s">
        <v>23</v>
      </c>
      <c r="R6347">
        <v>0</v>
      </c>
    </row>
    <row r="6348" spans="1:18">
      <c r="A6348" s="4">
        <v>2594180000000</v>
      </c>
      <c r="B6348" t="s">
        <v>28</v>
      </c>
      <c r="C6348">
        <v>11</v>
      </c>
      <c r="D6348" t="s">
        <v>31</v>
      </c>
      <c r="E6348" t="s">
        <v>90</v>
      </c>
      <c r="F6348" s="1">
        <v>42523</v>
      </c>
      <c r="G6348" s="1">
        <v>42523</v>
      </c>
      <c r="H6348" t="s">
        <v>33</v>
      </c>
      <c r="I6348">
        <v>0</v>
      </c>
      <c r="J6348" t="s">
        <v>111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 t="s">
        <v>23</v>
      </c>
      <c r="R6348">
        <v>0</v>
      </c>
    </row>
    <row r="6349" spans="1:18">
      <c r="A6349" s="4">
        <v>37624200000000</v>
      </c>
      <c r="B6349" t="s">
        <v>28</v>
      </c>
      <c r="C6349">
        <v>3</v>
      </c>
      <c r="D6349" t="s">
        <v>31</v>
      </c>
      <c r="E6349" t="s">
        <v>72</v>
      </c>
      <c r="F6349" s="1">
        <v>42523</v>
      </c>
      <c r="G6349" s="1">
        <v>42523</v>
      </c>
      <c r="H6349" t="s">
        <v>33</v>
      </c>
      <c r="I6349">
        <v>0</v>
      </c>
      <c r="J6349" t="s">
        <v>111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 t="s">
        <v>23</v>
      </c>
      <c r="R6349">
        <v>0</v>
      </c>
    </row>
    <row r="6350" spans="1:18">
      <c r="A6350" s="4">
        <v>19763100000000</v>
      </c>
      <c r="B6350" t="s">
        <v>18</v>
      </c>
      <c r="C6350">
        <v>34</v>
      </c>
      <c r="D6350" t="s">
        <v>37</v>
      </c>
      <c r="E6350" t="s">
        <v>68</v>
      </c>
      <c r="F6350" s="1">
        <v>42523</v>
      </c>
      <c r="G6350" s="1">
        <v>42523</v>
      </c>
      <c r="H6350" t="s">
        <v>33</v>
      </c>
      <c r="I6350">
        <v>0</v>
      </c>
      <c r="J6350" t="s">
        <v>111</v>
      </c>
      <c r="K6350">
        <v>1</v>
      </c>
      <c r="L6350">
        <v>0</v>
      </c>
      <c r="M6350">
        <v>0</v>
      </c>
      <c r="N6350">
        <v>0</v>
      </c>
      <c r="O6350">
        <v>0</v>
      </c>
      <c r="P6350">
        <v>0</v>
      </c>
      <c r="Q6350" t="s">
        <v>23</v>
      </c>
      <c r="R6350">
        <v>0</v>
      </c>
    </row>
    <row r="6351" spans="1:18">
      <c r="A6351" s="4">
        <v>98276800000000</v>
      </c>
      <c r="B6351" t="s">
        <v>18</v>
      </c>
      <c r="C6351">
        <v>8</v>
      </c>
      <c r="D6351" t="s">
        <v>31</v>
      </c>
      <c r="E6351" t="s">
        <v>50</v>
      </c>
      <c r="F6351" s="1">
        <v>42523</v>
      </c>
      <c r="G6351" s="1">
        <v>42527</v>
      </c>
      <c r="H6351" t="s">
        <v>30</v>
      </c>
      <c r="I6351">
        <v>4</v>
      </c>
      <c r="J6351" t="s">
        <v>107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1</v>
      </c>
      <c r="Q6351" t="s">
        <v>23</v>
      </c>
      <c r="R6351">
        <v>0</v>
      </c>
    </row>
    <row r="6352" spans="1:18">
      <c r="A6352" s="4">
        <v>33575884379</v>
      </c>
      <c r="B6352" t="s">
        <v>18</v>
      </c>
      <c r="C6352">
        <v>48</v>
      </c>
      <c r="D6352" t="s">
        <v>27</v>
      </c>
      <c r="E6352" t="s">
        <v>57</v>
      </c>
      <c r="F6352" s="1">
        <v>42523</v>
      </c>
      <c r="G6352" s="1">
        <v>42527</v>
      </c>
      <c r="H6352" t="s">
        <v>30</v>
      </c>
      <c r="I6352">
        <v>4</v>
      </c>
      <c r="J6352" t="s">
        <v>107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1</v>
      </c>
      <c r="Q6352" t="s">
        <v>23</v>
      </c>
      <c r="R6352">
        <v>0</v>
      </c>
    </row>
    <row r="6353" spans="1:18">
      <c r="A6353" s="4">
        <v>58238549421</v>
      </c>
      <c r="B6353" t="s">
        <v>18</v>
      </c>
      <c r="C6353">
        <v>56</v>
      </c>
      <c r="D6353" t="s">
        <v>35</v>
      </c>
      <c r="E6353" t="s">
        <v>72</v>
      </c>
      <c r="F6353" s="1">
        <v>42523</v>
      </c>
      <c r="G6353" s="1">
        <v>42523</v>
      </c>
      <c r="H6353" t="s">
        <v>33</v>
      </c>
      <c r="I6353">
        <v>0</v>
      </c>
      <c r="J6353" t="s">
        <v>111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 t="s">
        <v>23</v>
      </c>
      <c r="R6353">
        <v>0</v>
      </c>
    </row>
    <row r="6354" spans="1:18">
      <c r="A6354" s="4">
        <v>4996260000000</v>
      </c>
      <c r="B6354" t="s">
        <v>18</v>
      </c>
      <c r="C6354">
        <v>16</v>
      </c>
      <c r="D6354" t="s">
        <v>60</v>
      </c>
      <c r="E6354" t="s">
        <v>53</v>
      </c>
      <c r="F6354" s="1">
        <v>42523</v>
      </c>
      <c r="G6354" s="1">
        <v>42527</v>
      </c>
      <c r="H6354" t="s">
        <v>30</v>
      </c>
      <c r="I6354">
        <v>4</v>
      </c>
      <c r="J6354" t="s">
        <v>107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1</v>
      </c>
      <c r="Q6354" t="s">
        <v>26</v>
      </c>
      <c r="R6354">
        <v>1</v>
      </c>
    </row>
    <row r="6355" spans="1:18">
      <c r="A6355" s="4">
        <v>138498000000000</v>
      </c>
      <c r="B6355" t="s">
        <v>28</v>
      </c>
      <c r="C6355">
        <v>41</v>
      </c>
      <c r="D6355" t="s">
        <v>27</v>
      </c>
      <c r="E6355" t="s">
        <v>67</v>
      </c>
      <c r="F6355" s="1">
        <v>42523</v>
      </c>
      <c r="G6355" s="1">
        <v>42524</v>
      </c>
      <c r="H6355" t="s">
        <v>21</v>
      </c>
      <c r="I6355">
        <v>1</v>
      </c>
      <c r="J6355" t="s">
        <v>109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26</v>
      </c>
      <c r="R6355">
        <v>1</v>
      </c>
    </row>
    <row r="6356" spans="1:18">
      <c r="A6356" s="4">
        <v>79369400000000</v>
      </c>
      <c r="B6356" t="s">
        <v>28</v>
      </c>
      <c r="C6356">
        <v>43</v>
      </c>
      <c r="D6356" t="s">
        <v>27</v>
      </c>
      <c r="E6356" t="s">
        <v>106</v>
      </c>
      <c r="F6356" s="1">
        <v>42523</v>
      </c>
      <c r="G6356" s="1">
        <v>42523</v>
      </c>
      <c r="H6356" t="s">
        <v>33</v>
      </c>
      <c r="I6356">
        <v>0</v>
      </c>
      <c r="J6356" t="s">
        <v>111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 t="s">
        <v>23</v>
      </c>
      <c r="R6356">
        <v>0</v>
      </c>
    </row>
    <row r="6357" spans="1:18">
      <c r="A6357" s="4">
        <v>2863390000000</v>
      </c>
      <c r="B6357" t="s">
        <v>18</v>
      </c>
      <c r="C6357">
        <v>37</v>
      </c>
      <c r="D6357" t="s">
        <v>27</v>
      </c>
      <c r="E6357" t="s">
        <v>105</v>
      </c>
      <c r="F6357" s="1">
        <v>42523</v>
      </c>
      <c r="G6357" s="1">
        <v>42523</v>
      </c>
      <c r="H6357" t="s">
        <v>33</v>
      </c>
      <c r="I6357">
        <v>0</v>
      </c>
      <c r="J6357" t="s">
        <v>111</v>
      </c>
      <c r="K6357">
        <v>1</v>
      </c>
      <c r="L6357">
        <v>0</v>
      </c>
      <c r="M6357">
        <v>0</v>
      </c>
      <c r="N6357">
        <v>0</v>
      </c>
      <c r="O6357">
        <v>0</v>
      </c>
      <c r="P6357">
        <v>0</v>
      </c>
      <c r="Q6357" t="s">
        <v>23</v>
      </c>
      <c r="R6357">
        <v>0</v>
      </c>
    </row>
    <row r="6358" spans="1:18">
      <c r="A6358" s="4">
        <v>13293800000000</v>
      </c>
      <c r="B6358" t="s">
        <v>28</v>
      </c>
      <c r="C6358">
        <v>3</v>
      </c>
      <c r="D6358" t="s">
        <v>31</v>
      </c>
      <c r="E6358" t="s">
        <v>20</v>
      </c>
      <c r="F6358" s="1">
        <v>42523</v>
      </c>
      <c r="G6358" s="1">
        <v>42523</v>
      </c>
      <c r="H6358" t="s">
        <v>33</v>
      </c>
      <c r="I6358">
        <v>0</v>
      </c>
      <c r="J6358" t="s">
        <v>111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 t="s">
        <v>23</v>
      </c>
      <c r="R6358">
        <v>0</v>
      </c>
    </row>
    <row r="6359" spans="1:18">
      <c r="A6359" s="4">
        <v>342977000000000</v>
      </c>
      <c r="B6359" t="s">
        <v>18</v>
      </c>
      <c r="C6359">
        <v>33</v>
      </c>
      <c r="D6359" t="s">
        <v>37</v>
      </c>
      <c r="E6359" t="s">
        <v>44</v>
      </c>
      <c r="F6359" s="1">
        <v>42523</v>
      </c>
      <c r="G6359" s="1">
        <v>42523</v>
      </c>
      <c r="H6359" t="s">
        <v>33</v>
      </c>
      <c r="I6359">
        <v>0</v>
      </c>
      <c r="J6359" t="s">
        <v>111</v>
      </c>
      <c r="K6359">
        <v>1</v>
      </c>
      <c r="L6359">
        <v>0</v>
      </c>
      <c r="M6359">
        <v>0</v>
      </c>
      <c r="N6359">
        <v>0</v>
      </c>
      <c r="O6359">
        <v>0</v>
      </c>
      <c r="P6359">
        <v>0</v>
      </c>
      <c r="Q6359" t="s">
        <v>23</v>
      </c>
      <c r="R6359">
        <v>0</v>
      </c>
    </row>
    <row r="6360" spans="1:18">
      <c r="A6360" s="4">
        <v>45798600000000</v>
      </c>
      <c r="B6360" t="s">
        <v>18</v>
      </c>
      <c r="C6360">
        <v>66</v>
      </c>
      <c r="D6360" t="s">
        <v>19</v>
      </c>
      <c r="E6360" t="s">
        <v>71</v>
      </c>
      <c r="F6360" s="1">
        <v>42523</v>
      </c>
      <c r="G6360" s="1">
        <v>42523</v>
      </c>
      <c r="H6360" t="s">
        <v>33</v>
      </c>
      <c r="I6360">
        <v>0</v>
      </c>
      <c r="J6360" t="s">
        <v>111</v>
      </c>
      <c r="K6360">
        <v>0</v>
      </c>
      <c r="L6360">
        <v>1</v>
      </c>
      <c r="M6360">
        <v>0</v>
      </c>
      <c r="N6360">
        <v>0</v>
      </c>
      <c r="O6360">
        <v>0</v>
      </c>
      <c r="P6360">
        <v>0</v>
      </c>
      <c r="Q6360" t="s">
        <v>23</v>
      </c>
      <c r="R6360">
        <v>0</v>
      </c>
    </row>
    <row r="6361" spans="1:18">
      <c r="A6361" s="4">
        <v>49286000000000</v>
      </c>
      <c r="B6361" t="s">
        <v>28</v>
      </c>
      <c r="C6361">
        <v>18</v>
      </c>
      <c r="D6361" t="s">
        <v>37</v>
      </c>
      <c r="E6361" t="s">
        <v>79</v>
      </c>
      <c r="F6361" s="1">
        <v>42523</v>
      </c>
      <c r="G6361" s="1">
        <v>42523</v>
      </c>
      <c r="H6361" t="s">
        <v>33</v>
      </c>
      <c r="I6361">
        <v>0</v>
      </c>
      <c r="J6361" t="s">
        <v>111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 t="s">
        <v>23</v>
      </c>
      <c r="R6361">
        <v>0</v>
      </c>
    </row>
    <row r="6362" spans="1:18">
      <c r="A6362" s="4">
        <v>19453471721</v>
      </c>
      <c r="B6362" t="s">
        <v>18</v>
      </c>
      <c r="C6362">
        <v>59</v>
      </c>
      <c r="D6362" t="s">
        <v>35</v>
      </c>
      <c r="E6362" t="s">
        <v>44</v>
      </c>
      <c r="F6362" s="1">
        <v>42523</v>
      </c>
      <c r="G6362" s="1">
        <v>42523</v>
      </c>
      <c r="H6362" t="s">
        <v>33</v>
      </c>
      <c r="I6362">
        <v>0</v>
      </c>
      <c r="J6362" t="s">
        <v>111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 t="s">
        <v>23</v>
      </c>
      <c r="R6362">
        <v>0</v>
      </c>
    </row>
    <row r="6363" spans="1:18">
      <c r="A6363" s="4">
        <v>272354000000000</v>
      </c>
      <c r="B6363" t="s">
        <v>28</v>
      </c>
      <c r="C6363">
        <v>15</v>
      </c>
      <c r="D6363" t="s">
        <v>60</v>
      </c>
      <c r="E6363" t="s">
        <v>43</v>
      </c>
      <c r="F6363" s="1">
        <v>42523</v>
      </c>
      <c r="G6363" s="1">
        <v>42523</v>
      </c>
      <c r="H6363" t="s">
        <v>33</v>
      </c>
      <c r="I6363">
        <v>0</v>
      </c>
      <c r="J6363" t="s">
        <v>111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 t="s">
        <v>23</v>
      </c>
      <c r="R6363">
        <v>0</v>
      </c>
    </row>
    <row r="6364" spans="1:18">
      <c r="A6364" s="4">
        <v>861618000000</v>
      </c>
      <c r="B6364" t="s">
        <v>28</v>
      </c>
      <c r="C6364">
        <v>12</v>
      </c>
      <c r="D6364" t="s">
        <v>31</v>
      </c>
      <c r="E6364" t="s">
        <v>44</v>
      </c>
      <c r="F6364" s="1">
        <v>42523</v>
      </c>
      <c r="G6364" s="1">
        <v>42523</v>
      </c>
      <c r="H6364" t="s">
        <v>33</v>
      </c>
      <c r="I6364">
        <v>0</v>
      </c>
      <c r="J6364" t="s">
        <v>111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 t="s">
        <v>23</v>
      </c>
      <c r="R6364">
        <v>0</v>
      </c>
    </row>
    <row r="6365" spans="1:18">
      <c r="A6365" s="4">
        <v>329787000000</v>
      </c>
      <c r="B6365" t="s">
        <v>28</v>
      </c>
      <c r="C6365">
        <v>1</v>
      </c>
      <c r="D6365" t="s">
        <v>31</v>
      </c>
      <c r="E6365" t="s">
        <v>68</v>
      </c>
      <c r="F6365" s="1">
        <v>42523</v>
      </c>
      <c r="G6365" s="1">
        <v>42523</v>
      </c>
      <c r="H6365" t="s">
        <v>33</v>
      </c>
      <c r="I6365">
        <v>0</v>
      </c>
      <c r="J6365" t="s">
        <v>111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23</v>
      </c>
      <c r="R6365">
        <v>0</v>
      </c>
    </row>
    <row r="6366" spans="1:18">
      <c r="A6366" s="4">
        <v>77467400000000</v>
      </c>
      <c r="B6366" t="s">
        <v>18</v>
      </c>
      <c r="C6366">
        <v>27</v>
      </c>
      <c r="D6366" t="s">
        <v>37</v>
      </c>
      <c r="E6366" t="s">
        <v>69</v>
      </c>
      <c r="F6366" s="1">
        <v>42523</v>
      </c>
      <c r="G6366" s="1">
        <v>42523</v>
      </c>
      <c r="H6366" t="s">
        <v>33</v>
      </c>
      <c r="I6366">
        <v>0</v>
      </c>
      <c r="J6366" t="s">
        <v>111</v>
      </c>
      <c r="K6366">
        <v>1</v>
      </c>
      <c r="L6366">
        <v>0</v>
      </c>
      <c r="M6366">
        <v>0</v>
      </c>
      <c r="N6366">
        <v>0</v>
      </c>
      <c r="O6366">
        <v>0</v>
      </c>
      <c r="P6366">
        <v>0</v>
      </c>
      <c r="Q6366" t="s">
        <v>23</v>
      </c>
      <c r="R6366">
        <v>0</v>
      </c>
    </row>
    <row r="6367" spans="1:18">
      <c r="A6367" s="4">
        <v>329884000000000</v>
      </c>
      <c r="B6367" t="s">
        <v>18</v>
      </c>
      <c r="C6367">
        <v>34</v>
      </c>
      <c r="D6367" t="s">
        <v>37</v>
      </c>
      <c r="E6367" t="s">
        <v>32</v>
      </c>
      <c r="F6367" s="1">
        <v>42523</v>
      </c>
      <c r="G6367" s="1">
        <v>42523</v>
      </c>
      <c r="H6367" t="s">
        <v>33</v>
      </c>
      <c r="I6367">
        <v>0</v>
      </c>
      <c r="J6367" t="s">
        <v>111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 t="s">
        <v>23</v>
      </c>
      <c r="R6367">
        <v>0</v>
      </c>
    </row>
    <row r="6368" spans="1:18">
      <c r="A6368" s="4">
        <v>916747000000</v>
      </c>
      <c r="B6368" t="s">
        <v>18</v>
      </c>
      <c r="C6368">
        <v>52</v>
      </c>
      <c r="D6368" t="s">
        <v>35</v>
      </c>
      <c r="E6368" t="s">
        <v>50</v>
      </c>
      <c r="F6368" s="1">
        <v>42523</v>
      </c>
      <c r="G6368" s="1">
        <v>42523</v>
      </c>
      <c r="H6368" t="s">
        <v>33</v>
      </c>
      <c r="I6368">
        <v>0</v>
      </c>
      <c r="J6368" t="s">
        <v>111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 t="s">
        <v>23</v>
      </c>
      <c r="R6368">
        <v>0</v>
      </c>
    </row>
    <row r="6369" spans="1:18">
      <c r="A6369" s="4">
        <v>41293400000000</v>
      </c>
      <c r="B6369" t="s">
        <v>18</v>
      </c>
      <c r="C6369">
        <v>1</v>
      </c>
      <c r="D6369" t="s">
        <v>31</v>
      </c>
      <c r="E6369" t="s">
        <v>86</v>
      </c>
      <c r="F6369" s="1">
        <v>42523</v>
      </c>
      <c r="G6369" s="1">
        <v>42523</v>
      </c>
      <c r="H6369" t="s">
        <v>33</v>
      </c>
      <c r="I6369">
        <v>0</v>
      </c>
      <c r="J6369" t="s">
        <v>111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 t="s">
        <v>23</v>
      </c>
      <c r="R6369">
        <v>0</v>
      </c>
    </row>
    <row r="6370" spans="1:18">
      <c r="A6370" s="4">
        <v>559266000000</v>
      </c>
      <c r="B6370" t="s">
        <v>28</v>
      </c>
      <c r="C6370">
        <v>92</v>
      </c>
      <c r="D6370" t="s">
        <v>19</v>
      </c>
      <c r="E6370" t="s">
        <v>63</v>
      </c>
      <c r="F6370" s="1">
        <v>42523</v>
      </c>
      <c r="G6370" s="1">
        <v>42523</v>
      </c>
      <c r="H6370" t="s">
        <v>33</v>
      </c>
      <c r="I6370">
        <v>0</v>
      </c>
      <c r="J6370" t="s">
        <v>111</v>
      </c>
      <c r="K6370">
        <v>0</v>
      </c>
      <c r="L6370">
        <v>1</v>
      </c>
      <c r="M6370">
        <v>0</v>
      </c>
      <c r="N6370">
        <v>0</v>
      </c>
      <c r="O6370">
        <v>0</v>
      </c>
      <c r="P6370">
        <v>0</v>
      </c>
      <c r="Q6370" t="s">
        <v>23</v>
      </c>
      <c r="R6370">
        <v>0</v>
      </c>
    </row>
    <row r="6371" spans="1:18">
      <c r="A6371" s="4">
        <v>26642300000000</v>
      </c>
      <c r="B6371" t="s">
        <v>28</v>
      </c>
      <c r="C6371">
        <v>18</v>
      </c>
      <c r="D6371" t="s">
        <v>37</v>
      </c>
      <c r="E6371" t="s">
        <v>72</v>
      </c>
      <c r="F6371" s="1">
        <v>42523</v>
      </c>
      <c r="G6371" s="1">
        <v>42523</v>
      </c>
      <c r="H6371" t="s">
        <v>33</v>
      </c>
      <c r="I6371">
        <v>0</v>
      </c>
      <c r="J6371" t="s">
        <v>111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 t="s">
        <v>23</v>
      </c>
      <c r="R6371">
        <v>0</v>
      </c>
    </row>
    <row r="6372" spans="1:18">
      <c r="A6372" s="4">
        <v>6962760000000</v>
      </c>
      <c r="B6372" t="s">
        <v>28</v>
      </c>
      <c r="C6372">
        <v>54</v>
      </c>
      <c r="D6372" t="s">
        <v>35</v>
      </c>
      <c r="E6372" t="s">
        <v>40</v>
      </c>
      <c r="F6372" s="1">
        <v>42523</v>
      </c>
      <c r="G6372" s="1">
        <v>42524</v>
      </c>
      <c r="H6372" t="s">
        <v>21</v>
      </c>
      <c r="I6372">
        <v>1</v>
      </c>
      <c r="J6372" t="s">
        <v>109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 t="s">
        <v>23</v>
      </c>
      <c r="R6372">
        <v>0</v>
      </c>
    </row>
    <row r="6373" spans="1:18">
      <c r="A6373" s="4">
        <v>8838180000000</v>
      </c>
      <c r="B6373" t="s">
        <v>28</v>
      </c>
      <c r="C6373">
        <v>36</v>
      </c>
      <c r="D6373" t="s">
        <v>27</v>
      </c>
      <c r="E6373" t="s">
        <v>57</v>
      </c>
      <c r="F6373" s="1">
        <v>42523</v>
      </c>
      <c r="G6373" s="1">
        <v>42523</v>
      </c>
      <c r="H6373" t="s">
        <v>33</v>
      </c>
      <c r="I6373">
        <v>0</v>
      </c>
      <c r="J6373" t="s">
        <v>111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 t="s">
        <v>23</v>
      </c>
      <c r="R6373">
        <v>0</v>
      </c>
    </row>
    <row r="6374" spans="1:18">
      <c r="A6374" s="4">
        <v>333343000000000</v>
      </c>
      <c r="B6374" t="s">
        <v>18</v>
      </c>
      <c r="C6374">
        <v>47</v>
      </c>
      <c r="D6374" t="s">
        <v>27</v>
      </c>
      <c r="E6374" t="s">
        <v>82</v>
      </c>
      <c r="F6374" s="1">
        <v>42523</v>
      </c>
      <c r="G6374" s="1">
        <v>42528</v>
      </c>
      <c r="H6374" t="s">
        <v>41</v>
      </c>
      <c r="I6374">
        <v>5</v>
      </c>
      <c r="J6374" t="s">
        <v>107</v>
      </c>
      <c r="K6374">
        <v>1</v>
      </c>
      <c r="L6374">
        <v>1</v>
      </c>
      <c r="M6374">
        <v>0</v>
      </c>
      <c r="N6374">
        <v>0</v>
      </c>
      <c r="O6374">
        <v>0</v>
      </c>
      <c r="P6374">
        <v>1</v>
      </c>
      <c r="Q6374" t="s">
        <v>23</v>
      </c>
      <c r="R6374">
        <v>0</v>
      </c>
    </row>
    <row r="6375" spans="1:18">
      <c r="A6375" s="4">
        <v>68975300000000</v>
      </c>
      <c r="B6375" t="s">
        <v>18</v>
      </c>
      <c r="C6375">
        <v>22</v>
      </c>
      <c r="D6375" t="s">
        <v>37</v>
      </c>
      <c r="E6375" t="s">
        <v>72</v>
      </c>
      <c r="F6375" s="1">
        <v>42523</v>
      </c>
      <c r="G6375" s="1">
        <v>42523</v>
      </c>
      <c r="H6375" t="s">
        <v>33</v>
      </c>
      <c r="I6375">
        <v>0</v>
      </c>
      <c r="J6375" t="s">
        <v>111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 t="s">
        <v>23</v>
      </c>
      <c r="R6375">
        <v>0</v>
      </c>
    </row>
    <row r="6376" spans="1:18">
      <c r="A6376" s="4">
        <v>86833400000000</v>
      </c>
      <c r="B6376" t="s">
        <v>18</v>
      </c>
      <c r="C6376">
        <v>30</v>
      </c>
      <c r="D6376" t="s">
        <v>37</v>
      </c>
      <c r="E6376" t="s">
        <v>87</v>
      </c>
      <c r="F6376" s="1">
        <v>42523</v>
      </c>
      <c r="G6376" s="1">
        <v>42527</v>
      </c>
      <c r="H6376" t="s">
        <v>30</v>
      </c>
      <c r="I6376">
        <v>4</v>
      </c>
      <c r="J6376" t="s">
        <v>107</v>
      </c>
      <c r="K6376">
        <v>1</v>
      </c>
      <c r="L6376">
        <v>0</v>
      </c>
      <c r="M6376">
        <v>0</v>
      </c>
      <c r="N6376">
        <v>0</v>
      </c>
      <c r="O6376">
        <v>0</v>
      </c>
      <c r="P6376">
        <v>1</v>
      </c>
      <c r="Q6376" t="s">
        <v>26</v>
      </c>
      <c r="R6376">
        <v>1</v>
      </c>
    </row>
    <row r="6377" spans="1:18">
      <c r="A6377" s="4">
        <v>45295500000000</v>
      </c>
      <c r="B6377" t="s">
        <v>18</v>
      </c>
      <c r="C6377">
        <v>39</v>
      </c>
      <c r="D6377" t="s">
        <v>27</v>
      </c>
      <c r="E6377" t="s">
        <v>64</v>
      </c>
      <c r="F6377" s="1">
        <v>42523</v>
      </c>
      <c r="G6377" s="1">
        <v>42523</v>
      </c>
      <c r="H6377" t="s">
        <v>33</v>
      </c>
      <c r="I6377">
        <v>0</v>
      </c>
      <c r="J6377" t="s">
        <v>111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 t="s">
        <v>23</v>
      </c>
      <c r="R6377">
        <v>0</v>
      </c>
    </row>
    <row r="6378" spans="1:18">
      <c r="A6378" s="4">
        <v>356386000000000</v>
      </c>
      <c r="B6378" t="s">
        <v>18</v>
      </c>
      <c r="C6378">
        <v>52</v>
      </c>
      <c r="D6378" t="s">
        <v>35</v>
      </c>
      <c r="E6378" t="s">
        <v>69</v>
      </c>
      <c r="F6378" s="1">
        <v>42523</v>
      </c>
      <c r="G6378" s="1">
        <v>42527</v>
      </c>
      <c r="H6378" t="s">
        <v>30</v>
      </c>
      <c r="I6378">
        <v>4</v>
      </c>
      <c r="J6378" t="s">
        <v>107</v>
      </c>
      <c r="K6378">
        <v>0</v>
      </c>
      <c r="L6378">
        <v>0</v>
      </c>
      <c r="M6378">
        <v>1</v>
      </c>
      <c r="N6378">
        <v>0</v>
      </c>
      <c r="O6378">
        <v>0</v>
      </c>
      <c r="P6378">
        <v>1</v>
      </c>
      <c r="Q6378" t="s">
        <v>23</v>
      </c>
      <c r="R6378">
        <v>0</v>
      </c>
    </row>
    <row r="6379" spans="1:18">
      <c r="A6379" s="4">
        <v>56517600000000</v>
      </c>
      <c r="B6379" t="s">
        <v>28</v>
      </c>
      <c r="C6379">
        <v>52</v>
      </c>
      <c r="D6379" t="s">
        <v>35</v>
      </c>
      <c r="E6379" t="s">
        <v>72</v>
      </c>
      <c r="F6379" s="1">
        <v>42523</v>
      </c>
      <c r="G6379" s="1">
        <v>42527</v>
      </c>
      <c r="H6379" t="s">
        <v>30</v>
      </c>
      <c r="I6379">
        <v>4</v>
      </c>
      <c r="J6379" t="s">
        <v>107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1</v>
      </c>
      <c r="Q6379" t="s">
        <v>23</v>
      </c>
      <c r="R6379">
        <v>0</v>
      </c>
    </row>
    <row r="6380" spans="1:18">
      <c r="A6380" s="4">
        <v>8923120000000</v>
      </c>
      <c r="B6380" t="s">
        <v>18</v>
      </c>
      <c r="C6380">
        <v>13</v>
      </c>
      <c r="D6380" t="s">
        <v>60</v>
      </c>
      <c r="E6380" t="s">
        <v>38</v>
      </c>
      <c r="F6380" s="1">
        <v>42523</v>
      </c>
      <c r="G6380" s="1">
        <v>42529</v>
      </c>
      <c r="H6380" t="s">
        <v>25</v>
      </c>
      <c r="I6380">
        <v>6</v>
      </c>
      <c r="J6380" t="s">
        <v>107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1</v>
      </c>
      <c r="Q6380" t="s">
        <v>26</v>
      </c>
      <c r="R6380">
        <v>1</v>
      </c>
    </row>
    <row r="6381" spans="1:18">
      <c r="A6381" s="4">
        <v>74222300000000</v>
      </c>
      <c r="B6381" t="s">
        <v>18</v>
      </c>
      <c r="C6381">
        <v>69</v>
      </c>
      <c r="D6381" t="s">
        <v>19</v>
      </c>
      <c r="E6381" t="s">
        <v>52</v>
      </c>
      <c r="F6381" s="1">
        <v>42523</v>
      </c>
      <c r="G6381" s="1">
        <v>42523</v>
      </c>
      <c r="H6381" t="s">
        <v>33</v>
      </c>
      <c r="I6381">
        <v>0</v>
      </c>
      <c r="J6381" t="s">
        <v>111</v>
      </c>
      <c r="K6381">
        <v>0</v>
      </c>
      <c r="L6381">
        <v>1</v>
      </c>
      <c r="M6381">
        <v>0</v>
      </c>
      <c r="N6381">
        <v>0</v>
      </c>
      <c r="O6381">
        <v>0</v>
      </c>
      <c r="P6381">
        <v>0</v>
      </c>
      <c r="Q6381" t="s">
        <v>26</v>
      </c>
      <c r="R6381">
        <v>1</v>
      </c>
    </row>
    <row r="6382" spans="1:18">
      <c r="A6382" s="4">
        <v>87514700000000</v>
      </c>
      <c r="B6382" t="s">
        <v>18</v>
      </c>
      <c r="C6382">
        <v>32</v>
      </c>
      <c r="D6382" t="s">
        <v>37</v>
      </c>
      <c r="E6382" t="s">
        <v>84</v>
      </c>
      <c r="F6382" s="1">
        <v>42523</v>
      </c>
      <c r="G6382" s="1">
        <v>42523</v>
      </c>
      <c r="H6382" t="s">
        <v>33</v>
      </c>
      <c r="I6382">
        <v>0</v>
      </c>
      <c r="J6382" t="s">
        <v>111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23</v>
      </c>
      <c r="R6382">
        <v>0</v>
      </c>
    </row>
    <row r="6383" spans="1:18">
      <c r="A6383" s="4">
        <v>24393400000000</v>
      </c>
      <c r="B6383" t="s">
        <v>18</v>
      </c>
      <c r="C6383">
        <v>21</v>
      </c>
      <c r="D6383" t="s">
        <v>37</v>
      </c>
      <c r="E6383" t="s">
        <v>29</v>
      </c>
      <c r="F6383" s="1">
        <v>42523</v>
      </c>
      <c r="G6383" s="1">
        <v>42523</v>
      </c>
      <c r="H6383" t="s">
        <v>33</v>
      </c>
      <c r="I6383">
        <v>0</v>
      </c>
      <c r="J6383" t="s">
        <v>111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 t="s">
        <v>23</v>
      </c>
      <c r="R6383">
        <v>0</v>
      </c>
    </row>
    <row r="6384" spans="1:18">
      <c r="A6384" s="4">
        <v>744219000000000</v>
      </c>
      <c r="B6384" t="s">
        <v>18</v>
      </c>
      <c r="C6384">
        <v>68</v>
      </c>
      <c r="D6384" t="s">
        <v>19</v>
      </c>
      <c r="E6384" t="s">
        <v>29</v>
      </c>
      <c r="F6384" s="1">
        <v>42523</v>
      </c>
      <c r="G6384" s="1">
        <v>42523</v>
      </c>
      <c r="H6384" t="s">
        <v>33</v>
      </c>
      <c r="I6384">
        <v>0</v>
      </c>
      <c r="J6384" t="s">
        <v>111</v>
      </c>
      <c r="K6384">
        <v>0</v>
      </c>
      <c r="L6384">
        <v>1</v>
      </c>
      <c r="M6384">
        <v>1</v>
      </c>
      <c r="N6384">
        <v>0</v>
      </c>
      <c r="O6384">
        <v>0</v>
      </c>
      <c r="P6384">
        <v>0</v>
      </c>
      <c r="Q6384" t="s">
        <v>23</v>
      </c>
      <c r="R6384">
        <v>0</v>
      </c>
    </row>
    <row r="6385" spans="1:18">
      <c r="A6385" s="4">
        <v>151632000000</v>
      </c>
      <c r="B6385" t="s">
        <v>28</v>
      </c>
      <c r="C6385">
        <v>56</v>
      </c>
      <c r="D6385" t="s">
        <v>35</v>
      </c>
      <c r="E6385" t="s">
        <v>57</v>
      </c>
      <c r="F6385" s="1">
        <v>42523</v>
      </c>
      <c r="G6385" s="1">
        <v>42523</v>
      </c>
      <c r="H6385" t="s">
        <v>33</v>
      </c>
      <c r="I6385">
        <v>0</v>
      </c>
      <c r="J6385" t="s">
        <v>111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23</v>
      </c>
      <c r="R6385">
        <v>0</v>
      </c>
    </row>
    <row r="6386" spans="1:18">
      <c r="A6386" s="4">
        <v>94488300000000</v>
      </c>
      <c r="B6386" t="s">
        <v>28</v>
      </c>
      <c r="C6386">
        <v>36</v>
      </c>
      <c r="D6386" t="s">
        <v>27</v>
      </c>
      <c r="E6386" t="s">
        <v>40</v>
      </c>
      <c r="F6386" s="1">
        <v>42523</v>
      </c>
      <c r="G6386" s="1">
        <v>42523</v>
      </c>
      <c r="H6386" t="s">
        <v>33</v>
      </c>
      <c r="I6386">
        <v>0</v>
      </c>
      <c r="J6386" t="s">
        <v>111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 t="s">
        <v>23</v>
      </c>
      <c r="R6386">
        <v>0</v>
      </c>
    </row>
    <row r="6387" spans="1:18">
      <c r="A6387" s="4">
        <v>36573186766</v>
      </c>
      <c r="B6387" t="s">
        <v>18</v>
      </c>
      <c r="C6387">
        <v>37</v>
      </c>
      <c r="D6387" t="s">
        <v>27</v>
      </c>
      <c r="E6387" t="s">
        <v>75</v>
      </c>
      <c r="F6387" s="1">
        <v>42523</v>
      </c>
      <c r="G6387" s="1">
        <v>42523</v>
      </c>
      <c r="H6387" t="s">
        <v>33</v>
      </c>
      <c r="I6387">
        <v>0</v>
      </c>
      <c r="J6387" t="s">
        <v>111</v>
      </c>
      <c r="K6387">
        <v>1</v>
      </c>
      <c r="L6387">
        <v>1</v>
      </c>
      <c r="M6387">
        <v>1</v>
      </c>
      <c r="N6387">
        <v>0</v>
      </c>
      <c r="O6387">
        <v>0</v>
      </c>
      <c r="P6387">
        <v>0</v>
      </c>
      <c r="Q6387" t="s">
        <v>23</v>
      </c>
      <c r="R6387">
        <v>0</v>
      </c>
    </row>
    <row r="6388" spans="1:18">
      <c r="A6388" s="4">
        <v>655485000000000</v>
      </c>
      <c r="B6388" t="s">
        <v>18</v>
      </c>
      <c r="C6388">
        <v>79</v>
      </c>
      <c r="D6388" t="s">
        <v>19</v>
      </c>
      <c r="E6388" t="s">
        <v>59</v>
      </c>
      <c r="F6388" s="1">
        <v>42523</v>
      </c>
      <c r="G6388" s="1">
        <v>42528</v>
      </c>
      <c r="H6388" t="s">
        <v>41</v>
      </c>
      <c r="I6388">
        <v>5</v>
      </c>
      <c r="J6388" t="s">
        <v>107</v>
      </c>
      <c r="K6388">
        <v>0</v>
      </c>
      <c r="L6388">
        <v>1</v>
      </c>
      <c r="M6388">
        <v>0</v>
      </c>
      <c r="N6388">
        <v>0</v>
      </c>
      <c r="O6388">
        <v>0</v>
      </c>
      <c r="P6388">
        <v>0</v>
      </c>
      <c r="Q6388" t="s">
        <v>26</v>
      </c>
      <c r="R6388">
        <v>1</v>
      </c>
    </row>
    <row r="6389" spans="1:18">
      <c r="A6389" s="4">
        <v>937320000000</v>
      </c>
      <c r="B6389" t="s">
        <v>18</v>
      </c>
      <c r="C6389">
        <v>78</v>
      </c>
      <c r="D6389" t="s">
        <v>19</v>
      </c>
      <c r="E6389" t="s">
        <v>64</v>
      </c>
      <c r="F6389" s="1">
        <v>42523</v>
      </c>
      <c r="G6389" s="1">
        <v>42523</v>
      </c>
      <c r="H6389" t="s">
        <v>33</v>
      </c>
      <c r="I6389">
        <v>0</v>
      </c>
      <c r="J6389" t="s">
        <v>111</v>
      </c>
      <c r="K6389">
        <v>0</v>
      </c>
      <c r="L6389">
        <v>1</v>
      </c>
      <c r="M6389">
        <v>1</v>
      </c>
      <c r="N6389">
        <v>0</v>
      </c>
      <c r="O6389">
        <v>1</v>
      </c>
      <c r="P6389">
        <v>0</v>
      </c>
      <c r="Q6389" t="s">
        <v>23</v>
      </c>
      <c r="R6389">
        <v>0</v>
      </c>
    </row>
    <row r="6390" spans="1:18">
      <c r="A6390" s="4">
        <v>3486420000000</v>
      </c>
      <c r="B6390" t="s">
        <v>28</v>
      </c>
      <c r="C6390">
        <v>56</v>
      </c>
      <c r="D6390" t="s">
        <v>35</v>
      </c>
      <c r="E6390" t="s">
        <v>50</v>
      </c>
      <c r="F6390" s="1">
        <v>42523</v>
      </c>
      <c r="G6390" s="1">
        <v>42523</v>
      </c>
      <c r="H6390" t="s">
        <v>33</v>
      </c>
      <c r="I6390">
        <v>0</v>
      </c>
      <c r="J6390" t="s">
        <v>111</v>
      </c>
      <c r="K6390">
        <v>0</v>
      </c>
      <c r="L6390">
        <v>1</v>
      </c>
      <c r="M6390">
        <v>0</v>
      </c>
      <c r="N6390">
        <v>0</v>
      </c>
      <c r="O6390">
        <v>0</v>
      </c>
      <c r="P6390">
        <v>0</v>
      </c>
      <c r="Q6390" t="s">
        <v>23</v>
      </c>
      <c r="R6390">
        <v>0</v>
      </c>
    </row>
    <row r="6391" spans="1:18">
      <c r="A6391" s="4">
        <v>21526200000000</v>
      </c>
      <c r="B6391" t="s">
        <v>28</v>
      </c>
      <c r="C6391">
        <v>55</v>
      </c>
      <c r="D6391" t="s">
        <v>35</v>
      </c>
      <c r="E6391" t="s">
        <v>43</v>
      </c>
      <c r="F6391" s="1">
        <v>42523</v>
      </c>
      <c r="G6391" s="1">
        <v>42524</v>
      </c>
      <c r="H6391" t="s">
        <v>21</v>
      </c>
      <c r="I6391">
        <v>1</v>
      </c>
      <c r="J6391" t="s">
        <v>109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 t="s">
        <v>23</v>
      </c>
      <c r="R6391">
        <v>0</v>
      </c>
    </row>
    <row r="6392" spans="1:18">
      <c r="A6392" s="4">
        <v>221358000000000</v>
      </c>
      <c r="B6392" t="s">
        <v>28</v>
      </c>
      <c r="C6392">
        <v>12</v>
      </c>
      <c r="D6392" t="s">
        <v>31</v>
      </c>
      <c r="E6392" t="s">
        <v>105</v>
      </c>
      <c r="F6392" s="1">
        <v>42523</v>
      </c>
      <c r="G6392" s="1">
        <v>42523</v>
      </c>
      <c r="H6392" t="s">
        <v>33</v>
      </c>
      <c r="I6392">
        <v>0</v>
      </c>
      <c r="J6392" t="s">
        <v>111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 t="s">
        <v>23</v>
      </c>
      <c r="R6392">
        <v>0</v>
      </c>
    </row>
    <row r="6393" spans="1:18">
      <c r="A6393" s="4">
        <v>5592920000000</v>
      </c>
      <c r="B6393" t="s">
        <v>28</v>
      </c>
      <c r="C6393">
        <v>34</v>
      </c>
      <c r="D6393" t="s">
        <v>37</v>
      </c>
      <c r="E6393" t="s">
        <v>43</v>
      </c>
      <c r="F6393" s="1">
        <v>42523</v>
      </c>
      <c r="G6393" s="1">
        <v>42523</v>
      </c>
      <c r="H6393" t="s">
        <v>33</v>
      </c>
      <c r="I6393">
        <v>0</v>
      </c>
      <c r="J6393" t="s">
        <v>111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 t="s">
        <v>23</v>
      </c>
      <c r="R6393">
        <v>0</v>
      </c>
    </row>
    <row r="6394" spans="1:18">
      <c r="A6394" s="4">
        <v>8875880000000</v>
      </c>
      <c r="B6394" t="s">
        <v>18</v>
      </c>
      <c r="C6394">
        <v>18</v>
      </c>
      <c r="D6394" t="s">
        <v>37</v>
      </c>
      <c r="E6394" t="s">
        <v>75</v>
      </c>
      <c r="F6394" s="1">
        <v>42523</v>
      </c>
      <c r="G6394" s="1">
        <v>42523</v>
      </c>
      <c r="H6394" t="s">
        <v>33</v>
      </c>
      <c r="I6394">
        <v>0</v>
      </c>
      <c r="J6394" t="s">
        <v>111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 t="s">
        <v>23</v>
      </c>
      <c r="R6394">
        <v>0</v>
      </c>
    </row>
    <row r="6395" spans="1:18">
      <c r="A6395" s="4">
        <v>61898729283</v>
      </c>
      <c r="B6395" t="s">
        <v>18</v>
      </c>
      <c r="C6395">
        <v>64</v>
      </c>
      <c r="D6395" t="s">
        <v>35</v>
      </c>
      <c r="E6395" t="s">
        <v>29</v>
      </c>
      <c r="F6395" s="1">
        <v>42523</v>
      </c>
      <c r="G6395" s="1">
        <v>42527</v>
      </c>
      <c r="H6395" t="s">
        <v>30</v>
      </c>
      <c r="I6395">
        <v>4</v>
      </c>
      <c r="J6395" t="s">
        <v>107</v>
      </c>
      <c r="K6395">
        <v>0</v>
      </c>
      <c r="L6395">
        <v>1</v>
      </c>
      <c r="M6395">
        <v>0</v>
      </c>
      <c r="N6395">
        <v>0</v>
      </c>
      <c r="O6395">
        <v>0</v>
      </c>
      <c r="P6395">
        <v>0</v>
      </c>
      <c r="Q6395" t="s">
        <v>23</v>
      </c>
      <c r="R6395">
        <v>0</v>
      </c>
    </row>
    <row r="6396" spans="1:18">
      <c r="A6396" s="4">
        <v>29688485855</v>
      </c>
      <c r="B6396" t="s">
        <v>18</v>
      </c>
      <c r="C6396">
        <v>12</v>
      </c>
      <c r="D6396" t="s">
        <v>31</v>
      </c>
      <c r="E6396" t="s">
        <v>43</v>
      </c>
      <c r="F6396" s="1">
        <v>42523</v>
      </c>
      <c r="G6396" s="1">
        <v>42529</v>
      </c>
      <c r="H6396" t="s">
        <v>25</v>
      </c>
      <c r="I6396">
        <v>6</v>
      </c>
      <c r="J6396" t="s">
        <v>107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1</v>
      </c>
      <c r="Q6396" t="s">
        <v>23</v>
      </c>
      <c r="R6396">
        <v>0</v>
      </c>
    </row>
    <row r="6397" spans="1:18">
      <c r="A6397" s="4">
        <v>329518000000000</v>
      </c>
      <c r="B6397" t="s">
        <v>18</v>
      </c>
      <c r="C6397">
        <v>21</v>
      </c>
      <c r="D6397" t="s">
        <v>37</v>
      </c>
      <c r="E6397" t="s">
        <v>44</v>
      </c>
      <c r="F6397" s="1">
        <v>42523</v>
      </c>
      <c r="G6397" s="1">
        <v>42523</v>
      </c>
      <c r="H6397" t="s">
        <v>33</v>
      </c>
      <c r="I6397">
        <v>0</v>
      </c>
      <c r="J6397" t="s">
        <v>111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23</v>
      </c>
      <c r="R6397">
        <v>0</v>
      </c>
    </row>
    <row r="6398" spans="1:18">
      <c r="A6398" s="4">
        <v>66172700000000</v>
      </c>
      <c r="B6398" t="s">
        <v>18</v>
      </c>
      <c r="C6398">
        <v>46</v>
      </c>
      <c r="D6398" t="s">
        <v>27</v>
      </c>
      <c r="E6398" t="s">
        <v>39</v>
      </c>
      <c r="F6398" s="1">
        <v>42523</v>
      </c>
      <c r="G6398" s="1">
        <v>42523</v>
      </c>
      <c r="H6398" t="s">
        <v>33</v>
      </c>
      <c r="I6398">
        <v>0</v>
      </c>
      <c r="J6398" t="s">
        <v>111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 t="s">
        <v>23</v>
      </c>
      <c r="R6398">
        <v>0</v>
      </c>
    </row>
    <row r="6399" spans="1:18">
      <c r="A6399" s="4">
        <v>89854900000000</v>
      </c>
      <c r="B6399" t="s">
        <v>28</v>
      </c>
      <c r="C6399">
        <v>14</v>
      </c>
      <c r="D6399" t="s">
        <v>60</v>
      </c>
      <c r="E6399" t="s">
        <v>44</v>
      </c>
      <c r="F6399" s="1">
        <v>42523</v>
      </c>
      <c r="G6399" s="1">
        <v>42523</v>
      </c>
      <c r="H6399" t="s">
        <v>33</v>
      </c>
      <c r="I6399">
        <v>0</v>
      </c>
      <c r="J6399" t="s">
        <v>111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23</v>
      </c>
      <c r="R6399">
        <v>0</v>
      </c>
    </row>
    <row r="6400" spans="1:18">
      <c r="A6400" s="4">
        <v>244138000000000</v>
      </c>
      <c r="B6400" t="s">
        <v>18</v>
      </c>
      <c r="C6400">
        <v>22</v>
      </c>
      <c r="D6400" t="s">
        <v>37</v>
      </c>
      <c r="E6400" t="s">
        <v>29</v>
      </c>
      <c r="F6400" s="1">
        <v>42523</v>
      </c>
      <c r="G6400" s="1">
        <v>42523</v>
      </c>
      <c r="H6400" t="s">
        <v>33</v>
      </c>
      <c r="I6400">
        <v>0</v>
      </c>
      <c r="J6400" t="s">
        <v>111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23</v>
      </c>
      <c r="R6400">
        <v>0</v>
      </c>
    </row>
    <row r="6401" spans="1:18">
      <c r="A6401" s="4">
        <v>86848800000000</v>
      </c>
      <c r="B6401" t="s">
        <v>28</v>
      </c>
      <c r="C6401">
        <v>66</v>
      </c>
      <c r="D6401" t="s">
        <v>19</v>
      </c>
      <c r="E6401" t="s">
        <v>91</v>
      </c>
      <c r="F6401" s="1">
        <v>42523</v>
      </c>
      <c r="G6401" s="1">
        <v>42523</v>
      </c>
      <c r="H6401" t="s">
        <v>33</v>
      </c>
      <c r="I6401">
        <v>0</v>
      </c>
      <c r="J6401" t="s">
        <v>111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 t="s">
        <v>23</v>
      </c>
      <c r="R6401">
        <v>0</v>
      </c>
    </row>
    <row r="6402" spans="1:18">
      <c r="A6402" s="4">
        <v>6341790000000</v>
      </c>
      <c r="B6402" t="s">
        <v>18</v>
      </c>
      <c r="C6402">
        <v>47</v>
      </c>
      <c r="D6402" t="s">
        <v>27</v>
      </c>
      <c r="E6402" t="s">
        <v>50</v>
      </c>
      <c r="F6402" s="1">
        <v>42523</v>
      </c>
      <c r="G6402" s="1">
        <v>42523</v>
      </c>
      <c r="H6402" t="s">
        <v>33</v>
      </c>
      <c r="I6402">
        <v>0</v>
      </c>
      <c r="J6402" t="s">
        <v>111</v>
      </c>
      <c r="K6402">
        <v>0</v>
      </c>
      <c r="L6402">
        <v>1</v>
      </c>
      <c r="M6402">
        <v>1</v>
      </c>
      <c r="N6402">
        <v>0</v>
      </c>
      <c r="O6402">
        <v>0</v>
      </c>
      <c r="P6402">
        <v>0</v>
      </c>
      <c r="Q6402" t="s">
        <v>23</v>
      </c>
      <c r="R6402">
        <v>0</v>
      </c>
    </row>
    <row r="6403" spans="1:18">
      <c r="A6403" s="4">
        <v>472745000000</v>
      </c>
      <c r="B6403" t="s">
        <v>18</v>
      </c>
      <c r="C6403">
        <v>47</v>
      </c>
      <c r="D6403" t="s">
        <v>27</v>
      </c>
      <c r="E6403" t="s">
        <v>72</v>
      </c>
      <c r="F6403" s="1">
        <v>42523</v>
      </c>
      <c r="G6403" s="1">
        <v>42523</v>
      </c>
      <c r="H6403" t="s">
        <v>33</v>
      </c>
      <c r="I6403">
        <v>0</v>
      </c>
      <c r="J6403" t="s">
        <v>111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 t="s">
        <v>23</v>
      </c>
      <c r="R6403">
        <v>0</v>
      </c>
    </row>
    <row r="6404" spans="1:18">
      <c r="A6404" s="4">
        <v>94232100000000</v>
      </c>
      <c r="B6404" t="s">
        <v>18</v>
      </c>
      <c r="C6404">
        <v>30</v>
      </c>
      <c r="D6404" t="s">
        <v>37</v>
      </c>
      <c r="E6404" t="s">
        <v>51</v>
      </c>
      <c r="F6404" s="1">
        <v>42523</v>
      </c>
      <c r="G6404" s="1">
        <v>42523</v>
      </c>
      <c r="H6404" t="s">
        <v>33</v>
      </c>
      <c r="I6404">
        <v>0</v>
      </c>
      <c r="J6404" t="s">
        <v>111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 t="s">
        <v>23</v>
      </c>
      <c r="R6404">
        <v>0</v>
      </c>
    </row>
    <row r="6405" spans="1:18">
      <c r="A6405" s="4">
        <v>461592000000000</v>
      </c>
      <c r="B6405" t="s">
        <v>18</v>
      </c>
      <c r="C6405">
        <v>3</v>
      </c>
      <c r="D6405" t="s">
        <v>31</v>
      </c>
      <c r="E6405" t="s">
        <v>84</v>
      </c>
      <c r="F6405" s="1">
        <v>42523</v>
      </c>
      <c r="G6405" s="1">
        <v>42523</v>
      </c>
      <c r="H6405" t="s">
        <v>33</v>
      </c>
      <c r="I6405">
        <v>0</v>
      </c>
      <c r="J6405" t="s">
        <v>111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23</v>
      </c>
      <c r="R6405">
        <v>0</v>
      </c>
    </row>
    <row r="6406" spans="1:18">
      <c r="A6406" s="4">
        <v>297339000000000</v>
      </c>
      <c r="B6406" t="s">
        <v>18</v>
      </c>
      <c r="C6406">
        <v>10</v>
      </c>
      <c r="D6406" t="s">
        <v>31</v>
      </c>
      <c r="E6406" t="s">
        <v>68</v>
      </c>
      <c r="F6406" s="1">
        <v>42523</v>
      </c>
      <c r="G6406" s="1">
        <v>42529</v>
      </c>
      <c r="H6406" t="s">
        <v>25</v>
      </c>
      <c r="I6406">
        <v>6</v>
      </c>
      <c r="J6406" t="s">
        <v>107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1</v>
      </c>
      <c r="Q6406" t="s">
        <v>26</v>
      </c>
      <c r="R6406">
        <v>1</v>
      </c>
    </row>
    <row r="6407" spans="1:18">
      <c r="A6407" s="4">
        <v>76329700000000</v>
      </c>
      <c r="B6407" t="s">
        <v>18</v>
      </c>
      <c r="C6407">
        <v>15</v>
      </c>
      <c r="D6407" t="s">
        <v>60</v>
      </c>
      <c r="E6407" t="s">
        <v>71</v>
      </c>
      <c r="F6407" s="1">
        <v>42523</v>
      </c>
      <c r="G6407" s="1">
        <v>42523</v>
      </c>
      <c r="H6407" t="s">
        <v>33</v>
      </c>
      <c r="I6407">
        <v>0</v>
      </c>
      <c r="J6407" t="s">
        <v>111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 t="s">
        <v>23</v>
      </c>
      <c r="R6407">
        <v>0</v>
      </c>
    </row>
    <row r="6408" spans="1:18">
      <c r="A6408" s="4">
        <v>4934440000000</v>
      </c>
      <c r="B6408" t="s">
        <v>28</v>
      </c>
      <c r="C6408">
        <v>45</v>
      </c>
      <c r="D6408" t="s">
        <v>27</v>
      </c>
      <c r="E6408" t="s">
        <v>63</v>
      </c>
      <c r="F6408" s="1">
        <v>42523</v>
      </c>
      <c r="G6408" s="1">
        <v>42527</v>
      </c>
      <c r="H6408" t="s">
        <v>30</v>
      </c>
      <c r="I6408">
        <v>4</v>
      </c>
      <c r="J6408" t="s">
        <v>107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1</v>
      </c>
      <c r="Q6408" t="s">
        <v>23</v>
      </c>
      <c r="R6408">
        <v>0</v>
      </c>
    </row>
    <row r="6409" spans="1:18">
      <c r="A6409" s="4">
        <v>59616600000000</v>
      </c>
      <c r="B6409" t="s">
        <v>18</v>
      </c>
      <c r="C6409">
        <v>16</v>
      </c>
      <c r="D6409" t="s">
        <v>60</v>
      </c>
      <c r="E6409" t="s">
        <v>56</v>
      </c>
      <c r="F6409" s="1">
        <v>42523</v>
      </c>
      <c r="G6409" s="1">
        <v>42524</v>
      </c>
      <c r="H6409" t="s">
        <v>21</v>
      </c>
      <c r="I6409">
        <v>1</v>
      </c>
      <c r="J6409" t="s">
        <v>109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 t="s">
        <v>23</v>
      </c>
      <c r="R6409">
        <v>0</v>
      </c>
    </row>
    <row r="6410" spans="1:18">
      <c r="A6410" s="4">
        <v>75382400000000</v>
      </c>
      <c r="B6410" t="s">
        <v>18</v>
      </c>
      <c r="C6410">
        <v>15</v>
      </c>
      <c r="D6410" t="s">
        <v>60</v>
      </c>
      <c r="E6410" t="s">
        <v>61</v>
      </c>
      <c r="F6410" s="1">
        <v>42523</v>
      </c>
      <c r="G6410" s="1">
        <v>42523</v>
      </c>
      <c r="H6410" t="s">
        <v>33</v>
      </c>
      <c r="I6410">
        <v>0</v>
      </c>
      <c r="J6410" t="s">
        <v>111</v>
      </c>
      <c r="K6410">
        <v>1</v>
      </c>
      <c r="L6410">
        <v>0</v>
      </c>
      <c r="M6410">
        <v>0</v>
      </c>
      <c r="N6410">
        <v>0</v>
      </c>
      <c r="O6410">
        <v>0</v>
      </c>
      <c r="P6410">
        <v>0</v>
      </c>
      <c r="Q6410" t="s">
        <v>23</v>
      </c>
      <c r="R6410">
        <v>0</v>
      </c>
    </row>
    <row r="6411" spans="1:18">
      <c r="A6411" s="4">
        <v>811459000000000</v>
      </c>
      <c r="B6411" t="s">
        <v>28</v>
      </c>
      <c r="C6411">
        <v>63</v>
      </c>
      <c r="D6411" t="s">
        <v>35</v>
      </c>
      <c r="E6411" t="s">
        <v>32</v>
      </c>
      <c r="F6411" s="1">
        <v>42523</v>
      </c>
      <c r="G6411" s="1">
        <v>42529</v>
      </c>
      <c r="H6411" t="s">
        <v>25</v>
      </c>
      <c r="I6411">
        <v>6</v>
      </c>
      <c r="J6411" t="s">
        <v>107</v>
      </c>
      <c r="K6411">
        <v>0</v>
      </c>
      <c r="L6411">
        <v>0</v>
      </c>
      <c r="M6411">
        <v>1</v>
      </c>
      <c r="N6411">
        <v>0</v>
      </c>
      <c r="O6411">
        <v>0</v>
      </c>
      <c r="P6411">
        <v>0</v>
      </c>
      <c r="Q6411" t="s">
        <v>23</v>
      </c>
      <c r="R6411">
        <v>0</v>
      </c>
    </row>
    <row r="6412" spans="1:18">
      <c r="A6412" s="4">
        <v>237854000000</v>
      </c>
      <c r="B6412" t="s">
        <v>28</v>
      </c>
      <c r="C6412">
        <v>46</v>
      </c>
      <c r="D6412" t="s">
        <v>27</v>
      </c>
      <c r="E6412" t="s">
        <v>43</v>
      </c>
      <c r="F6412" s="1">
        <v>42523</v>
      </c>
      <c r="G6412" s="1">
        <v>42529</v>
      </c>
      <c r="H6412" t="s">
        <v>25</v>
      </c>
      <c r="I6412">
        <v>6</v>
      </c>
      <c r="J6412" t="s">
        <v>107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 t="s">
        <v>23</v>
      </c>
      <c r="R6412">
        <v>0</v>
      </c>
    </row>
    <row r="6413" spans="1:18">
      <c r="A6413" s="4">
        <v>93712500000000</v>
      </c>
      <c r="B6413" t="s">
        <v>18</v>
      </c>
      <c r="C6413">
        <v>79</v>
      </c>
      <c r="D6413" t="s">
        <v>19</v>
      </c>
      <c r="E6413" t="s">
        <v>84</v>
      </c>
      <c r="F6413" s="1">
        <v>42523</v>
      </c>
      <c r="G6413" s="1">
        <v>42523</v>
      </c>
      <c r="H6413" t="s">
        <v>33</v>
      </c>
      <c r="I6413">
        <v>0</v>
      </c>
      <c r="J6413" t="s">
        <v>111</v>
      </c>
      <c r="K6413">
        <v>0</v>
      </c>
      <c r="L6413">
        <v>1</v>
      </c>
      <c r="M6413">
        <v>0</v>
      </c>
      <c r="N6413">
        <v>0</v>
      </c>
      <c r="O6413">
        <v>0</v>
      </c>
      <c r="P6413">
        <v>0</v>
      </c>
      <c r="Q6413" t="s">
        <v>23</v>
      </c>
      <c r="R6413">
        <v>0</v>
      </c>
    </row>
    <row r="6414" spans="1:18">
      <c r="A6414" s="4">
        <v>2143390000000</v>
      </c>
      <c r="B6414" t="s">
        <v>28</v>
      </c>
      <c r="C6414">
        <v>60</v>
      </c>
      <c r="D6414" t="s">
        <v>35</v>
      </c>
      <c r="E6414" t="s">
        <v>97</v>
      </c>
      <c r="F6414" s="1">
        <v>42523</v>
      </c>
      <c r="G6414" s="1">
        <v>42523</v>
      </c>
      <c r="H6414" t="s">
        <v>33</v>
      </c>
      <c r="I6414">
        <v>0</v>
      </c>
      <c r="J6414" t="s">
        <v>111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 t="s">
        <v>23</v>
      </c>
      <c r="R6414">
        <v>0</v>
      </c>
    </row>
    <row r="6415" spans="1:18">
      <c r="A6415" s="4">
        <v>496892000000000</v>
      </c>
      <c r="B6415" t="s">
        <v>18</v>
      </c>
      <c r="C6415">
        <v>63</v>
      </c>
      <c r="D6415" t="s">
        <v>35</v>
      </c>
      <c r="E6415" t="s">
        <v>39</v>
      </c>
      <c r="F6415" s="1">
        <v>42523</v>
      </c>
      <c r="G6415" s="1">
        <v>42527</v>
      </c>
      <c r="H6415" t="s">
        <v>30</v>
      </c>
      <c r="I6415">
        <v>4</v>
      </c>
      <c r="J6415" t="s">
        <v>107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1</v>
      </c>
      <c r="Q6415" t="s">
        <v>26</v>
      </c>
      <c r="R6415">
        <v>1</v>
      </c>
    </row>
    <row r="6416" spans="1:18">
      <c r="A6416" s="4">
        <v>115519000000000</v>
      </c>
      <c r="B6416" t="s">
        <v>18</v>
      </c>
      <c r="C6416">
        <v>30</v>
      </c>
      <c r="D6416" t="s">
        <v>37</v>
      </c>
      <c r="E6416" t="s">
        <v>71</v>
      </c>
      <c r="F6416" s="1">
        <v>42523</v>
      </c>
      <c r="G6416" s="1">
        <v>42523</v>
      </c>
      <c r="H6416" t="s">
        <v>33</v>
      </c>
      <c r="I6416">
        <v>0</v>
      </c>
      <c r="J6416" t="s">
        <v>111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 t="s">
        <v>23</v>
      </c>
      <c r="R6416">
        <v>0</v>
      </c>
    </row>
    <row r="6417" spans="1:18">
      <c r="A6417" s="4">
        <v>76896900000000</v>
      </c>
      <c r="B6417" t="s">
        <v>28</v>
      </c>
      <c r="C6417">
        <v>58</v>
      </c>
      <c r="D6417" t="s">
        <v>35</v>
      </c>
      <c r="E6417" t="s">
        <v>61</v>
      </c>
      <c r="F6417" s="1">
        <v>42523</v>
      </c>
      <c r="G6417" s="1">
        <v>42524</v>
      </c>
      <c r="H6417" t="s">
        <v>21</v>
      </c>
      <c r="I6417">
        <v>1</v>
      </c>
      <c r="J6417" t="s">
        <v>109</v>
      </c>
      <c r="K6417">
        <v>0</v>
      </c>
      <c r="L6417">
        <v>1</v>
      </c>
      <c r="M6417">
        <v>0</v>
      </c>
      <c r="N6417">
        <v>0</v>
      </c>
      <c r="O6417">
        <v>1</v>
      </c>
      <c r="P6417">
        <v>0</v>
      </c>
      <c r="Q6417" t="s">
        <v>23</v>
      </c>
      <c r="R6417">
        <v>0</v>
      </c>
    </row>
    <row r="6418" spans="1:18">
      <c r="A6418" s="4">
        <v>65912400000000</v>
      </c>
      <c r="B6418" t="s">
        <v>28</v>
      </c>
      <c r="C6418">
        <v>44</v>
      </c>
      <c r="D6418" t="s">
        <v>27</v>
      </c>
      <c r="E6418" t="s">
        <v>55</v>
      </c>
      <c r="F6418" s="1">
        <v>42523</v>
      </c>
      <c r="G6418" s="1">
        <v>42523</v>
      </c>
      <c r="H6418" t="s">
        <v>33</v>
      </c>
      <c r="I6418">
        <v>0</v>
      </c>
      <c r="J6418" t="s">
        <v>111</v>
      </c>
      <c r="K6418">
        <v>0</v>
      </c>
      <c r="L6418">
        <v>1</v>
      </c>
      <c r="M6418">
        <v>0</v>
      </c>
      <c r="N6418">
        <v>0</v>
      </c>
      <c r="O6418">
        <v>0</v>
      </c>
      <c r="P6418">
        <v>0</v>
      </c>
      <c r="Q6418" t="s">
        <v>23</v>
      </c>
      <c r="R6418">
        <v>0</v>
      </c>
    </row>
    <row r="6419" spans="1:18">
      <c r="A6419" s="4">
        <v>72514100000000</v>
      </c>
      <c r="B6419" t="s">
        <v>28</v>
      </c>
      <c r="C6419">
        <v>35</v>
      </c>
      <c r="D6419" t="s">
        <v>37</v>
      </c>
      <c r="E6419" t="s">
        <v>84</v>
      </c>
      <c r="F6419" s="1">
        <v>42523</v>
      </c>
      <c r="G6419" s="1">
        <v>42523</v>
      </c>
      <c r="H6419" t="s">
        <v>33</v>
      </c>
      <c r="I6419">
        <v>0</v>
      </c>
      <c r="J6419" t="s">
        <v>111</v>
      </c>
      <c r="K6419">
        <v>1</v>
      </c>
      <c r="L6419">
        <v>0</v>
      </c>
      <c r="M6419">
        <v>0</v>
      </c>
      <c r="N6419">
        <v>0</v>
      </c>
      <c r="O6419">
        <v>0</v>
      </c>
      <c r="P6419">
        <v>0</v>
      </c>
      <c r="Q6419" t="s">
        <v>23</v>
      </c>
      <c r="R6419">
        <v>0</v>
      </c>
    </row>
    <row r="6420" spans="1:18">
      <c r="A6420" s="4">
        <v>41239800000000</v>
      </c>
      <c r="B6420" t="s">
        <v>18</v>
      </c>
      <c r="C6420">
        <v>8</v>
      </c>
      <c r="D6420" t="s">
        <v>31</v>
      </c>
      <c r="E6420" t="s">
        <v>71</v>
      </c>
      <c r="F6420" s="1">
        <v>42523</v>
      </c>
      <c r="G6420" s="1">
        <v>42523</v>
      </c>
      <c r="H6420" t="s">
        <v>33</v>
      </c>
      <c r="I6420">
        <v>0</v>
      </c>
      <c r="J6420" t="s">
        <v>111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 t="s">
        <v>23</v>
      </c>
      <c r="R6420">
        <v>0</v>
      </c>
    </row>
    <row r="6421" spans="1:18">
      <c r="A6421" s="4">
        <v>1537430000000</v>
      </c>
      <c r="B6421" t="s">
        <v>18</v>
      </c>
      <c r="C6421">
        <v>27</v>
      </c>
      <c r="D6421" t="s">
        <v>37</v>
      </c>
      <c r="E6421" t="s">
        <v>71</v>
      </c>
      <c r="F6421" s="1">
        <v>42523</v>
      </c>
      <c r="G6421" s="1">
        <v>42523</v>
      </c>
      <c r="H6421" t="s">
        <v>33</v>
      </c>
      <c r="I6421">
        <v>0</v>
      </c>
      <c r="J6421" t="s">
        <v>111</v>
      </c>
      <c r="K6421">
        <v>1</v>
      </c>
      <c r="L6421">
        <v>0</v>
      </c>
      <c r="M6421">
        <v>0</v>
      </c>
      <c r="N6421">
        <v>0</v>
      </c>
      <c r="O6421">
        <v>0</v>
      </c>
      <c r="P6421">
        <v>0</v>
      </c>
      <c r="Q6421" t="s">
        <v>23</v>
      </c>
      <c r="R6421">
        <v>0</v>
      </c>
    </row>
    <row r="6422" spans="1:18">
      <c r="A6422" s="4">
        <v>32984600000000</v>
      </c>
      <c r="B6422" t="s">
        <v>18</v>
      </c>
      <c r="C6422">
        <v>59</v>
      </c>
      <c r="D6422" t="s">
        <v>35</v>
      </c>
      <c r="E6422" t="s">
        <v>50</v>
      </c>
      <c r="F6422" s="1">
        <v>42523</v>
      </c>
      <c r="G6422" s="1">
        <v>42523</v>
      </c>
      <c r="H6422" t="s">
        <v>33</v>
      </c>
      <c r="I6422">
        <v>0</v>
      </c>
      <c r="J6422" t="s">
        <v>111</v>
      </c>
      <c r="K6422">
        <v>0</v>
      </c>
      <c r="L6422">
        <v>1</v>
      </c>
      <c r="M6422">
        <v>0</v>
      </c>
      <c r="N6422">
        <v>0</v>
      </c>
      <c r="O6422">
        <v>0</v>
      </c>
      <c r="P6422">
        <v>0</v>
      </c>
      <c r="Q6422" t="s">
        <v>23</v>
      </c>
      <c r="R6422">
        <v>0</v>
      </c>
    </row>
    <row r="6423" spans="1:18">
      <c r="A6423" s="4">
        <v>65652000000000</v>
      </c>
      <c r="B6423" t="s">
        <v>18</v>
      </c>
      <c r="C6423">
        <v>74</v>
      </c>
      <c r="D6423" t="s">
        <v>19</v>
      </c>
      <c r="E6423" t="s">
        <v>108</v>
      </c>
      <c r="F6423" s="1">
        <v>42523</v>
      </c>
      <c r="G6423" s="1">
        <v>42523</v>
      </c>
      <c r="H6423" t="s">
        <v>33</v>
      </c>
      <c r="I6423">
        <v>0</v>
      </c>
      <c r="J6423" t="s">
        <v>111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 t="s">
        <v>23</v>
      </c>
      <c r="R6423">
        <v>0</v>
      </c>
    </row>
    <row r="6424" spans="1:18">
      <c r="A6424" s="4">
        <v>986163000000000</v>
      </c>
      <c r="B6424" t="s">
        <v>18</v>
      </c>
      <c r="C6424">
        <v>45</v>
      </c>
      <c r="D6424" t="s">
        <v>27</v>
      </c>
      <c r="E6424" t="s">
        <v>57</v>
      </c>
      <c r="F6424" s="1">
        <v>42523</v>
      </c>
      <c r="G6424" s="1">
        <v>42523</v>
      </c>
      <c r="H6424" t="s">
        <v>33</v>
      </c>
      <c r="I6424">
        <v>0</v>
      </c>
      <c r="J6424" t="s">
        <v>111</v>
      </c>
      <c r="K6424">
        <v>0</v>
      </c>
      <c r="L6424">
        <v>0</v>
      </c>
      <c r="M6424">
        <v>0</v>
      </c>
      <c r="N6424">
        <v>1</v>
      </c>
      <c r="O6424">
        <v>0</v>
      </c>
      <c r="P6424">
        <v>0</v>
      </c>
      <c r="Q6424" t="s">
        <v>23</v>
      </c>
      <c r="R6424">
        <v>0</v>
      </c>
    </row>
    <row r="6425" spans="1:18">
      <c r="A6425" s="4">
        <v>913558000000</v>
      </c>
      <c r="B6425" t="s">
        <v>18</v>
      </c>
      <c r="C6425">
        <v>7</v>
      </c>
      <c r="D6425" t="s">
        <v>31</v>
      </c>
      <c r="E6425" t="s">
        <v>72</v>
      </c>
      <c r="F6425" s="1">
        <v>42523</v>
      </c>
      <c r="G6425" s="1">
        <v>42523</v>
      </c>
      <c r="H6425" t="s">
        <v>33</v>
      </c>
      <c r="I6425">
        <v>0</v>
      </c>
      <c r="J6425" t="s">
        <v>111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 t="s">
        <v>23</v>
      </c>
      <c r="R6425">
        <v>0</v>
      </c>
    </row>
    <row r="6426" spans="1:18">
      <c r="A6426" s="4">
        <v>912886000000000</v>
      </c>
      <c r="B6426" t="s">
        <v>18</v>
      </c>
      <c r="C6426">
        <v>16</v>
      </c>
      <c r="D6426" t="s">
        <v>60</v>
      </c>
      <c r="E6426" t="s">
        <v>91</v>
      </c>
      <c r="F6426" s="1">
        <v>42523</v>
      </c>
      <c r="G6426" s="1">
        <v>42523</v>
      </c>
      <c r="H6426" t="s">
        <v>33</v>
      </c>
      <c r="I6426">
        <v>0</v>
      </c>
      <c r="J6426" t="s">
        <v>111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 t="s">
        <v>23</v>
      </c>
      <c r="R6426">
        <v>0</v>
      </c>
    </row>
    <row r="6427" spans="1:18">
      <c r="A6427" s="4">
        <v>5186220000000</v>
      </c>
      <c r="B6427" t="s">
        <v>18</v>
      </c>
      <c r="C6427">
        <v>5</v>
      </c>
      <c r="D6427" t="s">
        <v>31</v>
      </c>
      <c r="E6427" t="s">
        <v>62</v>
      </c>
      <c r="F6427" s="1">
        <v>42523</v>
      </c>
      <c r="G6427" s="1">
        <v>42529</v>
      </c>
      <c r="H6427" t="s">
        <v>25</v>
      </c>
      <c r="I6427">
        <v>6</v>
      </c>
      <c r="J6427" t="s">
        <v>107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1</v>
      </c>
      <c r="Q6427" t="s">
        <v>26</v>
      </c>
      <c r="R6427">
        <v>1</v>
      </c>
    </row>
    <row r="6428" spans="1:18">
      <c r="A6428" s="4">
        <v>483584000000000</v>
      </c>
      <c r="B6428" t="s">
        <v>18</v>
      </c>
      <c r="C6428">
        <v>11</v>
      </c>
      <c r="D6428" t="s">
        <v>31</v>
      </c>
      <c r="E6428" t="s">
        <v>44</v>
      </c>
      <c r="F6428" s="1">
        <v>42523</v>
      </c>
      <c r="G6428" s="1">
        <v>42523</v>
      </c>
      <c r="H6428" t="s">
        <v>33</v>
      </c>
      <c r="I6428">
        <v>0</v>
      </c>
      <c r="J6428" t="s">
        <v>111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 t="s">
        <v>23</v>
      </c>
      <c r="R6428">
        <v>0</v>
      </c>
    </row>
    <row r="6429" spans="1:18">
      <c r="A6429" s="4">
        <v>9554970000000</v>
      </c>
      <c r="B6429" t="s">
        <v>18</v>
      </c>
      <c r="C6429">
        <v>5</v>
      </c>
      <c r="D6429" t="s">
        <v>31</v>
      </c>
      <c r="E6429" t="s">
        <v>101</v>
      </c>
      <c r="F6429" s="1">
        <v>42523</v>
      </c>
      <c r="G6429" s="1">
        <v>42523</v>
      </c>
      <c r="H6429" t="s">
        <v>33</v>
      </c>
      <c r="I6429">
        <v>0</v>
      </c>
      <c r="J6429" t="s">
        <v>111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 t="s">
        <v>23</v>
      </c>
      <c r="R6429">
        <v>0</v>
      </c>
    </row>
    <row r="6430" spans="1:18">
      <c r="A6430" s="4">
        <v>1743530000000</v>
      </c>
      <c r="B6430" t="s">
        <v>28</v>
      </c>
      <c r="C6430">
        <v>24</v>
      </c>
      <c r="D6430" t="s">
        <v>37</v>
      </c>
      <c r="E6430" t="s">
        <v>42</v>
      </c>
      <c r="F6430" s="1">
        <v>42523</v>
      </c>
      <c r="G6430" s="1">
        <v>42527</v>
      </c>
      <c r="H6430" t="s">
        <v>30</v>
      </c>
      <c r="I6430">
        <v>4</v>
      </c>
      <c r="J6430" t="s">
        <v>107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1</v>
      </c>
      <c r="Q6430" t="s">
        <v>23</v>
      </c>
      <c r="R6430">
        <v>0</v>
      </c>
    </row>
    <row r="6431" spans="1:18">
      <c r="A6431" s="4">
        <v>4592300000000</v>
      </c>
      <c r="B6431" t="s">
        <v>18</v>
      </c>
      <c r="C6431">
        <v>34</v>
      </c>
      <c r="D6431" t="s">
        <v>37</v>
      </c>
      <c r="E6431" t="s">
        <v>29</v>
      </c>
      <c r="F6431" s="1">
        <v>42523</v>
      </c>
      <c r="G6431" s="1">
        <v>42528</v>
      </c>
      <c r="H6431" t="s">
        <v>41</v>
      </c>
      <c r="I6431">
        <v>5</v>
      </c>
      <c r="J6431" t="s">
        <v>107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1</v>
      </c>
      <c r="Q6431" t="s">
        <v>26</v>
      </c>
      <c r="R6431">
        <v>1</v>
      </c>
    </row>
    <row r="6432" spans="1:18">
      <c r="A6432" s="4">
        <v>62581900000000</v>
      </c>
      <c r="B6432" t="s">
        <v>18</v>
      </c>
      <c r="C6432">
        <v>59</v>
      </c>
      <c r="D6432" t="s">
        <v>35</v>
      </c>
      <c r="E6432" t="s">
        <v>108</v>
      </c>
      <c r="F6432" s="1">
        <v>42523</v>
      </c>
      <c r="G6432" s="1">
        <v>42523</v>
      </c>
      <c r="H6432" t="s">
        <v>33</v>
      </c>
      <c r="I6432">
        <v>0</v>
      </c>
      <c r="J6432" t="s">
        <v>111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 t="s">
        <v>23</v>
      </c>
      <c r="R6432">
        <v>0</v>
      </c>
    </row>
    <row r="6433" spans="1:18">
      <c r="A6433" s="4">
        <v>624788000000000</v>
      </c>
      <c r="B6433" t="s">
        <v>28</v>
      </c>
      <c r="C6433">
        <v>12</v>
      </c>
      <c r="D6433" t="s">
        <v>31</v>
      </c>
      <c r="E6433" t="s">
        <v>69</v>
      </c>
      <c r="F6433" s="1">
        <v>42523</v>
      </c>
      <c r="G6433" s="1">
        <v>42527</v>
      </c>
      <c r="H6433" t="s">
        <v>30</v>
      </c>
      <c r="I6433">
        <v>4</v>
      </c>
      <c r="J6433" t="s">
        <v>107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1</v>
      </c>
      <c r="Q6433" t="s">
        <v>26</v>
      </c>
      <c r="R6433">
        <v>1</v>
      </c>
    </row>
    <row r="6434" spans="1:18">
      <c r="A6434" s="4">
        <v>36349100000000</v>
      </c>
      <c r="B6434" t="s">
        <v>18</v>
      </c>
      <c r="C6434">
        <v>57</v>
      </c>
      <c r="D6434" t="s">
        <v>35</v>
      </c>
      <c r="E6434" t="s">
        <v>49</v>
      </c>
      <c r="F6434" s="1">
        <v>42523</v>
      </c>
      <c r="G6434" s="1">
        <v>42529</v>
      </c>
      <c r="H6434" t="s">
        <v>25</v>
      </c>
      <c r="I6434">
        <v>6</v>
      </c>
      <c r="J6434" t="s">
        <v>107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1</v>
      </c>
      <c r="Q6434" t="s">
        <v>23</v>
      </c>
      <c r="R6434">
        <v>0</v>
      </c>
    </row>
    <row r="6435" spans="1:18">
      <c r="A6435" s="4">
        <v>252315000000000</v>
      </c>
      <c r="B6435" t="s">
        <v>18</v>
      </c>
      <c r="C6435">
        <v>15</v>
      </c>
      <c r="D6435" t="s">
        <v>60</v>
      </c>
      <c r="E6435" t="s">
        <v>32</v>
      </c>
      <c r="F6435" s="1">
        <v>42523</v>
      </c>
      <c r="G6435" s="1">
        <v>42523</v>
      </c>
      <c r="H6435" t="s">
        <v>33</v>
      </c>
      <c r="I6435">
        <v>0</v>
      </c>
      <c r="J6435" t="s">
        <v>111</v>
      </c>
      <c r="K6435">
        <v>1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23</v>
      </c>
      <c r="R6435">
        <v>0</v>
      </c>
    </row>
    <row r="6436" spans="1:18">
      <c r="A6436" s="4">
        <v>25179700000000</v>
      </c>
      <c r="B6436" t="s">
        <v>18</v>
      </c>
      <c r="C6436">
        <v>29</v>
      </c>
      <c r="D6436" t="s">
        <v>37</v>
      </c>
      <c r="E6436" t="s">
        <v>43</v>
      </c>
      <c r="F6436" s="1">
        <v>42523</v>
      </c>
      <c r="G6436" s="1">
        <v>42523</v>
      </c>
      <c r="H6436" t="s">
        <v>33</v>
      </c>
      <c r="I6436">
        <v>0</v>
      </c>
      <c r="J6436" t="s">
        <v>111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23</v>
      </c>
      <c r="R6436">
        <v>0</v>
      </c>
    </row>
    <row r="6437" spans="1:18">
      <c r="A6437" s="4">
        <v>48738700000000</v>
      </c>
      <c r="B6437" t="s">
        <v>18</v>
      </c>
      <c r="C6437">
        <v>59</v>
      </c>
      <c r="D6437" t="s">
        <v>35</v>
      </c>
      <c r="E6437" t="s">
        <v>91</v>
      </c>
      <c r="F6437" s="1">
        <v>42523</v>
      </c>
      <c r="G6437" s="1">
        <v>42523</v>
      </c>
      <c r="H6437" t="s">
        <v>33</v>
      </c>
      <c r="I6437">
        <v>0</v>
      </c>
      <c r="J6437" t="s">
        <v>111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23</v>
      </c>
      <c r="R6437">
        <v>0</v>
      </c>
    </row>
    <row r="6438" spans="1:18">
      <c r="A6438" s="4">
        <v>74981200000000</v>
      </c>
      <c r="B6438" t="s">
        <v>18</v>
      </c>
      <c r="C6438">
        <v>66</v>
      </c>
      <c r="D6438" t="s">
        <v>19</v>
      </c>
      <c r="E6438" t="s">
        <v>95</v>
      </c>
      <c r="F6438" s="1">
        <v>42523</v>
      </c>
      <c r="G6438" s="1">
        <v>42523</v>
      </c>
      <c r="H6438" t="s">
        <v>33</v>
      </c>
      <c r="I6438">
        <v>0</v>
      </c>
      <c r="J6438" t="s">
        <v>111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 t="s">
        <v>26</v>
      </c>
      <c r="R6438">
        <v>1</v>
      </c>
    </row>
    <row r="6439" spans="1:18">
      <c r="A6439" s="4">
        <v>63137100000000</v>
      </c>
      <c r="B6439" t="s">
        <v>18</v>
      </c>
      <c r="C6439">
        <v>19</v>
      </c>
      <c r="D6439" t="s">
        <v>37</v>
      </c>
      <c r="E6439" t="s">
        <v>68</v>
      </c>
      <c r="F6439" s="1">
        <v>42523</v>
      </c>
      <c r="G6439" s="1">
        <v>42523</v>
      </c>
      <c r="H6439" t="s">
        <v>33</v>
      </c>
      <c r="I6439">
        <v>0</v>
      </c>
      <c r="J6439" t="s">
        <v>111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23</v>
      </c>
      <c r="R6439">
        <v>0</v>
      </c>
    </row>
    <row r="6440" spans="1:18">
      <c r="A6440" s="4">
        <v>9311670000000</v>
      </c>
      <c r="B6440" t="s">
        <v>28</v>
      </c>
      <c r="C6440">
        <v>0</v>
      </c>
      <c r="D6440" t="s">
        <v>31</v>
      </c>
      <c r="E6440" t="s">
        <v>65</v>
      </c>
      <c r="F6440" s="1">
        <v>42523</v>
      </c>
      <c r="G6440" s="1">
        <v>42523</v>
      </c>
      <c r="H6440" t="s">
        <v>33</v>
      </c>
      <c r="I6440">
        <v>0</v>
      </c>
      <c r="J6440" t="s">
        <v>111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23</v>
      </c>
      <c r="R6440">
        <v>0</v>
      </c>
    </row>
    <row r="6441" spans="1:18">
      <c r="A6441" s="4">
        <v>3381570000000</v>
      </c>
      <c r="B6441" t="s">
        <v>18</v>
      </c>
      <c r="C6441">
        <v>66</v>
      </c>
      <c r="D6441" t="s">
        <v>19</v>
      </c>
      <c r="E6441" t="s">
        <v>47</v>
      </c>
      <c r="F6441" s="1">
        <v>42523</v>
      </c>
      <c r="G6441" s="1">
        <v>42523</v>
      </c>
      <c r="H6441" t="s">
        <v>33</v>
      </c>
      <c r="I6441">
        <v>0</v>
      </c>
      <c r="J6441" t="s">
        <v>111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 t="s">
        <v>23</v>
      </c>
      <c r="R6441">
        <v>0</v>
      </c>
    </row>
    <row r="6442" spans="1:18">
      <c r="A6442" s="4">
        <v>89121300000000</v>
      </c>
      <c r="B6442" t="s">
        <v>18</v>
      </c>
      <c r="C6442">
        <v>72</v>
      </c>
      <c r="D6442" t="s">
        <v>19</v>
      </c>
      <c r="E6442" t="s">
        <v>91</v>
      </c>
      <c r="F6442" s="1">
        <v>42523</v>
      </c>
      <c r="G6442" s="1">
        <v>42523</v>
      </c>
      <c r="H6442" t="s">
        <v>33</v>
      </c>
      <c r="I6442">
        <v>0</v>
      </c>
      <c r="J6442" t="s">
        <v>111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 t="s">
        <v>23</v>
      </c>
      <c r="R6442">
        <v>0</v>
      </c>
    </row>
    <row r="6443" spans="1:18">
      <c r="A6443" s="4">
        <v>518124000000</v>
      </c>
      <c r="B6443" t="s">
        <v>18</v>
      </c>
      <c r="C6443">
        <v>0</v>
      </c>
      <c r="D6443" t="s">
        <v>31</v>
      </c>
      <c r="E6443" t="s">
        <v>47</v>
      </c>
      <c r="F6443" s="1">
        <v>42523</v>
      </c>
      <c r="G6443" s="1">
        <v>42523</v>
      </c>
      <c r="H6443" t="s">
        <v>33</v>
      </c>
      <c r="I6443">
        <v>0</v>
      </c>
      <c r="J6443" t="s">
        <v>111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23</v>
      </c>
      <c r="R6443">
        <v>0</v>
      </c>
    </row>
    <row r="6444" spans="1:18">
      <c r="A6444" s="4">
        <v>79151968748</v>
      </c>
      <c r="B6444" t="s">
        <v>28</v>
      </c>
      <c r="C6444">
        <v>27</v>
      </c>
      <c r="D6444" t="s">
        <v>37</v>
      </c>
      <c r="E6444" t="s">
        <v>72</v>
      </c>
      <c r="F6444" s="1">
        <v>42523</v>
      </c>
      <c r="G6444" s="1">
        <v>42523</v>
      </c>
      <c r="H6444" t="s">
        <v>33</v>
      </c>
      <c r="I6444">
        <v>0</v>
      </c>
      <c r="J6444" t="s">
        <v>111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23</v>
      </c>
      <c r="R6444">
        <v>0</v>
      </c>
    </row>
    <row r="6445" spans="1:18">
      <c r="A6445" s="4">
        <v>477638000000</v>
      </c>
      <c r="B6445" t="s">
        <v>18</v>
      </c>
      <c r="C6445">
        <v>81</v>
      </c>
      <c r="D6445" t="s">
        <v>19</v>
      </c>
      <c r="E6445" t="s">
        <v>43</v>
      </c>
      <c r="F6445" s="1">
        <v>42523</v>
      </c>
      <c r="G6445" s="1">
        <v>42523</v>
      </c>
      <c r="H6445" t="s">
        <v>33</v>
      </c>
      <c r="I6445">
        <v>0</v>
      </c>
      <c r="J6445" t="s">
        <v>111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23</v>
      </c>
      <c r="R6445">
        <v>0</v>
      </c>
    </row>
    <row r="6446" spans="1:18">
      <c r="A6446" s="4">
        <v>98346200000000</v>
      </c>
      <c r="B6446" t="s">
        <v>18</v>
      </c>
      <c r="C6446">
        <v>33</v>
      </c>
      <c r="D6446" t="s">
        <v>37</v>
      </c>
      <c r="E6446" t="s">
        <v>32</v>
      </c>
      <c r="F6446" s="1">
        <v>42523</v>
      </c>
      <c r="G6446" s="1">
        <v>42523</v>
      </c>
      <c r="H6446" t="s">
        <v>33</v>
      </c>
      <c r="I6446">
        <v>0</v>
      </c>
      <c r="J6446" t="s">
        <v>111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23</v>
      </c>
      <c r="R6446">
        <v>0</v>
      </c>
    </row>
    <row r="6447" spans="1:18">
      <c r="A6447" s="4">
        <v>985347000000</v>
      </c>
      <c r="B6447" t="s">
        <v>18</v>
      </c>
      <c r="C6447">
        <v>47</v>
      </c>
      <c r="D6447" t="s">
        <v>27</v>
      </c>
      <c r="E6447" t="s">
        <v>81</v>
      </c>
      <c r="F6447" s="1">
        <v>42523</v>
      </c>
      <c r="G6447" s="1">
        <v>42523</v>
      </c>
      <c r="H6447" t="s">
        <v>33</v>
      </c>
      <c r="I6447">
        <v>0</v>
      </c>
      <c r="J6447" t="s">
        <v>111</v>
      </c>
      <c r="K6447">
        <v>0</v>
      </c>
      <c r="L6447">
        <v>1</v>
      </c>
      <c r="M6447">
        <v>0</v>
      </c>
      <c r="N6447">
        <v>0</v>
      </c>
      <c r="O6447">
        <v>0</v>
      </c>
      <c r="P6447">
        <v>0</v>
      </c>
      <c r="Q6447" t="s">
        <v>23</v>
      </c>
      <c r="R6447">
        <v>0</v>
      </c>
    </row>
    <row r="6448" spans="1:18">
      <c r="A6448" s="4">
        <v>957545000000</v>
      </c>
      <c r="B6448" t="s">
        <v>28</v>
      </c>
      <c r="C6448">
        <v>40</v>
      </c>
      <c r="D6448" t="s">
        <v>27</v>
      </c>
      <c r="E6448" t="s">
        <v>66</v>
      </c>
      <c r="F6448" s="1">
        <v>42523</v>
      </c>
      <c r="G6448" s="1">
        <v>42523</v>
      </c>
      <c r="H6448" t="s">
        <v>33</v>
      </c>
      <c r="I6448">
        <v>0</v>
      </c>
      <c r="J6448" t="s">
        <v>111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 t="s">
        <v>23</v>
      </c>
      <c r="R6448">
        <v>0</v>
      </c>
    </row>
    <row r="6449" spans="1:18">
      <c r="A6449" s="4">
        <v>25422500000000</v>
      </c>
      <c r="B6449" t="s">
        <v>28</v>
      </c>
      <c r="C6449">
        <v>6</v>
      </c>
      <c r="D6449" t="s">
        <v>31</v>
      </c>
      <c r="E6449" t="s">
        <v>32</v>
      </c>
      <c r="F6449" s="1">
        <v>42523</v>
      </c>
      <c r="G6449" s="1">
        <v>42527</v>
      </c>
      <c r="H6449" t="s">
        <v>30</v>
      </c>
      <c r="I6449">
        <v>4</v>
      </c>
      <c r="J6449" t="s">
        <v>107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1</v>
      </c>
      <c r="Q6449" t="s">
        <v>23</v>
      </c>
      <c r="R6449">
        <v>0</v>
      </c>
    </row>
    <row r="6450" spans="1:18">
      <c r="A6450" s="4">
        <v>972567000000000</v>
      </c>
      <c r="B6450" t="s">
        <v>18</v>
      </c>
      <c r="C6450">
        <v>54</v>
      </c>
      <c r="D6450" t="s">
        <v>35</v>
      </c>
      <c r="E6450" t="s">
        <v>59</v>
      </c>
      <c r="F6450" s="1">
        <v>42523</v>
      </c>
      <c r="G6450" s="1">
        <v>42527</v>
      </c>
      <c r="H6450" t="s">
        <v>30</v>
      </c>
      <c r="I6450">
        <v>4</v>
      </c>
      <c r="J6450" t="s">
        <v>107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1</v>
      </c>
      <c r="Q6450" t="s">
        <v>23</v>
      </c>
      <c r="R6450">
        <v>0</v>
      </c>
    </row>
    <row r="6451" spans="1:18">
      <c r="A6451" s="4">
        <v>53515827671</v>
      </c>
      <c r="B6451" t="s">
        <v>18</v>
      </c>
      <c r="C6451">
        <v>26</v>
      </c>
      <c r="D6451" t="s">
        <v>37</v>
      </c>
      <c r="E6451" t="s">
        <v>47</v>
      </c>
      <c r="F6451" s="1">
        <v>42523</v>
      </c>
      <c r="G6451" s="1">
        <v>42527</v>
      </c>
      <c r="H6451" t="s">
        <v>30</v>
      </c>
      <c r="I6451">
        <v>4</v>
      </c>
      <c r="J6451" t="s">
        <v>107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1</v>
      </c>
      <c r="Q6451" t="s">
        <v>23</v>
      </c>
      <c r="R6451">
        <v>0</v>
      </c>
    </row>
    <row r="6452" spans="1:18">
      <c r="A6452" s="4">
        <v>3568850000000</v>
      </c>
      <c r="B6452" t="s">
        <v>18</v>
      </c>
      <c r="C6452">
        <v>20</v>
      </c>
      <c r="D6452" t="s">
        <v>37</v>
      </c>
      <c r="E6452" t="s">
        <v>48</v>
      </c>
      <c r="F6452" s="1">
        <v>42523</v>
      </c>
      <c r="G6452" s="1">
        <v>42527</v>
      </c>
      <c r="H6452" t="s">
        <v>30</v>
      </c>
      <c r="I6452">
        <v>4</v>
      </c>
      <c r="J6452" t="s">
        <v>107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1</v>
      </c>
      <c r="Q6452" t="s">
        <v>26</v>
      </c>
      <c r="R6452">
        <v>1</v>
      </c>
    </row>
    <row r="6453" spans="1:18">
      <c r="A6453" s="4">
        <v>1774750000000</v>
      </c>
      <c r="B6453" t="s">
        <v>28</v>
      </c>
      <c r="C6453">
        <v>70</v>
      </c>
      <c r="D6453" t="s">
        <v>19</v>
      </c>
      <c r="E6453" t="s">
        <v>39</v>
      </c>
      <c r="F6453" s="1">
        <v>42523</v>
      </c>
      <c r="G6453" s="1">
        <v>42527</v>
      </c>
      <c r="H6453" t="s">
        <v>30</v>
      </c>
      <c r="I6453">
        <v>4</v>
      </c>
      <c r="J6453" t="s">
        <v>107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1</v>
      </c>
      <c r="Q6453" t="s">
        <v>23</v>
      </c>
      <c r="R6453">
        <v>0</v>
      </c>
    </row>
    <row r="6454" spans="1:18">
      <c r="A6454" s="4">
        <v>6134840000000</v>
      </c>
      <c r="B6454" t="s">
        <v>18</v>
      </c>
      <c r="C6454">
        <v>88</v>
      </c>
      <c r="D6454" t="s">
        <v>19</v>
      </c>
      <c r="E6454" t="s">
        <v>84</v>
      </c>
      <c r="F6454" s="1">
        <v>42523</v>
      </c>
      <c r="G6454" s="1">
        <v>42527</v>
      </c>
      <c r="H6454" t="s">
        <v>30</v>
      </c>
      <c r="I6454">
        <v>4</v>
      </c>
      <c r="J6454" t="s">
        <v>107</v>
      </c>
      <c r="K6454">
        <v>0</v>
      </c>
      <c r="L6454">
        <v>1</v>
      </c>
      <c r="M6454">
        <v>1</v>
      </c>
      <c r="N6454">
        <v>0</v>
      </c>
      <c r="O6454">
        <v>1</v>
      </c>
      <c r="P6454">
        <v>1</v>
      </c>
      <c r="Q6454" t="s">
        <v>23</v>
      </c>
      <c r="R6454">
        <v>0</v>
      </c>
    </row>
    <row r="6455" spans="1:18">
      <c r="A6455" s="4">
        <v>46122200000000</v>
      </c>
      <c r="B6455" t="s">
        <v>28</v>
      </c>
      <c r="C6455">
        <v>66</v>
      </c>
      <c r="D6455" t="s">
        <v>19</v>
      </c>
      <c r="E6455" t="s">
        <v>68</v>
      </c>
      <c r="F6455" s="1">
        <v>42523</v>
      </c>
      <c r="G6455" s="1">
        <v>42524</v>
      </c>
      <c r="H6455" t="s">
        <v>21</v>
      </c>
      <c r="I6455">
        <v>1</v>
      </c>
      <c r="J6455" t="s">
        <v>109</v>
      </c>
      <c r="K6455">
        <v>0</v>
      </c>
      <c r="L6455">
        <v>1</v>
      </c>
      <c r="M6455">
        <v>1</v>
      </c>
      <c r="N6455">
        <v>0</v>
      </c>
      <c r="O6455">
        <v>0</v>
      </c>
      <c r="P6455">
        <v>0</v>
      </c>
      <c r="Q6455" t="s">
        <v>26</v>
      </c>
      <c r="R6455">
        <v>1</v>
      </c>
    </row>
    <row r="6456" spans="1:18">
      <c r="A6456" s="4">
        <v>1766180000000</v>
      </c>
      <c r="B6456" t="s">
        <v>18</v>
      </c>
      <c r="C6456">
        <v>37</v>
      </c>
      <c r="D6456" t="s">
        <v>27</v>
      </c>
      <c r="E6456" t="s">
        <v>50</v>
      </c>
      <c r="F6456" s="1">
        <v>42523</v>
      </c>
      <c r="G6456" s="1">
        <v>42529</v>
      </c>
      <c r="H6456" t="s">
        <v>25</v>
      </c>
      <c r="I6456">
        <v>6</v>
      </c>
      <c r="J6456" t="s">
        <v>107</v>
      </c>
      <c r="K6456">
        <v>1</v>
      </c>
      <c r="L6456">
        <v>0</v>
      </c>
      <c r="M6456">
        <v>0</v>
      </c>
      <c r="N6456">
        <v>0</v>
      </c>
      <c r="O6456">
        <v>0</v>
      </c>
      <c r="P6456">
        <v>1</v>
      </c>
      <c r="Q6456" t="s">
        <v>23</v>
      </c>
      <c r="R6456">
        <v>0</v>
      </c>
    </row>
    <row r="6457" spans="1:18">
      <c r="A6457" s="4">
        <v>71971200000000</v>
      </c>
      <c r="B6457" t="s">
        <v>18</v>
      </c>
      <c r="C6457">
        <v>36</v>
      </c>
      <c r="D6457" t="s">
        <v>27</v>
      </c>
      <c r="E6457" t="s">
        <v>74</v>
      </c>
      <c r="F6457" s="1">
        <v>42523</v>
      </c>
      <c r="G6457" s="1">
        <v>42529</v>
      </c>
      <c r="H6457" t="s">
        <v>25</v>
      </c>
      <c r="I6457">
        <v>6</v>
      </c>
      <c r="J6457" t="s">
        <v>107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1</v>
      </c>
      <c r="Q6457" t="s">
        <v>23</v>
      </c>
      <c r="R6457">
        <v>0</v>
      </c>
    </row>
    <row r="6458" spans="1:18">
      <c r="A6458" s="4">
        <v>181183000000000</v>
      </c>
      <c r="B6458" t="s">
        <v>28</v>
      </c>
      <c r="C6458">
        <v>70</v>
      </c>
      <c r="D6458" t="s">
        <v>19</v>
      </c>
      <c r="E6458" t="s">
        <v>40</v>
      </c>
      <c r="F6458" s="1">
        <v>42523</v>
      </c>
      <c r="G6458" s="1">
        <v>42524</v>
      </c>
      <c r="H6458" t="s">
        <v>21</v>
      </c>
      <c r="I6458">
        <v>1</v>
      </c>
      <c r="J6458" t="s">
        <v>109</v>
      </c>
      <c r="K6458">
        <v>0</v>
      </c>
      <c r="L6458">
        <v>1</v>
      </c>
      <c r="M6458">
        <v>0</v>
      </c>
      <c r="N6458">
        <v>0</v>
      </c>
      <c r="O6458">
        <v>0</v>
      </c>
      <c r="P6458">
        <v>0</v>
      </c>
      <c r="Q6458" t="s">
        <v>23</v>
      </c>
      <c r="R6458">
        <v>0</v>
      </c>
    </row>
    <row r="6459" spans="1:18">
      <c r="A6459" s="4">
        <v>99679785292</v>
      </c>
      <c r="B6459" t="s">
        <v>28</v>
      </c>
      <c r="C6459">
        <v>2</v>
      </c>
      <c r="D6459" t="s">
        <v>31</v>
      </c>
      <c r="E6459" t="s">
        <v>71</v>
      </c>
      <c r="F6459" s="1">
        <v>42523</v>
      </c>
      <c r="G6459" s="1">
        <v>42524</v>
      </c>
      <c r="H6459" t="s">
        <v>21</v>
      </c>
      <c r="I6459">
        <v>1</v>
      </c>
      <c r="J6459" t="s">
        <v>109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26</v>
      </c>
      <c r="R6459">
        <v>1</v>
      </c>
    </row>
    <row r="6460" spans="1:18">
      <c r="A6460" s="4">
        <v>75451400000000</v>
      </c>
      <c r="B6460" t="s">
        <v>18</v>
      </c>
      <c r="C6460">
        <v>41</v>
      </c>
      <c r="D6460" t="s">
        <v>27</v>
      </c>
      <c r="E6460" t="s">
        <v>84</v>
      </c>
      <c r="F6460" s="1">
        <v>42523</v>
      </c>
      <c r="G6460" s="1">
        <v>42523</v>
      </c>
      <c r="H6460" t="s">
        <v>33</v>
      </c>
      <c r="I6460">
        <v>0</v>
      </c>
      <c r="J6460" t="s">
        <v>111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23</v>
      </c>
      <c r="R6460">
        <v>0</v>
      </c>
    </row>
    <row r="6461" spans="1:18">
      <c r="A6461" s="4">
        <v>97185900000000</v>
      </c>
      <c r="B6461" t="s">
        <v>18</v>
      </c>
      <c r="C6461">
        <v>51</v>
      </c>
      <c r="D6461" t="s">
        <v>35</v>
      </c>
      <c r="E6461" t="s">
        <v>96</v>
      </c>
      <c r="F6461" s="1">
        <v>42523</v>
      </c>
      <c r="G6461" s="1">
        <v>42529</v>
      </c>
      <c r="H6461" t="s">
        <v>25</v>
      </c>
      <c r="I6461">
        <v>6</v>
      </c>
      <c r="J6461" t="s">
        <v>107</v>
      </c>
      <c r="K6461">
        <v>0</v>
      </c>
      <c r="L6461">
        <v>1</v>
      </c>
      <c r="M6461">
        <v>1</v>
      </c>
      <c r="N6461">
        <v>0</v>
      </c>
      <c r="O6461">
        <v>0</v>
      </c>
      <c r="P6461">
        <v>0</v>
      </c>
      <c r="Q6461" t="s">
        <v>26</v>
      </c>
      <c r="R6461">
        <v>1</v>
      </c>
    </row>
    <row r="6462" spans="1:18">
      <c r="A6462" s="4">
        <v>65365400000000</v>
      </c>
      <c r="B6462" t="s">
        <v>18</v>
      </c>
      <c r="C6462">
        <v>3</v>
      </c>
      <c r="D6462" t="s">
        <v>31</v>
      </c>
      <c r="E6462" t="s">
        <v>50</v>
      </c>
      <c r="F6462" s="1">
        <v>42523</v>
      </c>
      <c r="G6462" s="1">
        <v>42527</v>
      </c>
      <c r="H6462" t="s">
        <v>30</v>
      </c>
      <c r="I6462">
        <v>4</v>
      </c>
      <c r="J6462" t="s">
        <v>107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1</v>
      </c>
      <c r="Q6462" t="s">
        <v>23</v>
      </c>
      <c r="R6462">
        <v>0</v>
      </c>
    </row>
    <row r="6463" spans="1:18">
      <c r="A6463" s="4">
        <v>67724600000000</v>
      </c>
      <c r="B6463" t="s">
        <v>18</v>
      </c>
      <c r="C6463">
        <v>22</v>
      </c>
      <c r="D6463" t="s">
        <v>37</v>
      </c>
      <c r="E6463" t="s">
        <v>48</v>
      </c>
      <c r="F6463" s="1">
        <v>42523</v>
      </c>
      <c r="G6463" s="1">
        <v>42528</v>
      </c>
      <c r="H6463" t="s">
        <v>41</v>
      </c>
      <c r="I6463">
        <v>5</v>
      </c>
      <c r="J6463" t="s">
        <v>107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1</v>
      </c>
      <c r="Q6463" t="s">
        <v>23</v>
      </c>
      <c r="R6463">
        <v>0</v>
      </c>
    </row>
    <row r="6464" spans="1:18">
      <c r="A6464" s="4">
        <v>34793200000000</v>
      </c>
      <c r="B6464" t="s">
        <v>18</v>
      </c>
      <c r="C6464">
        <v>19</v>
      </c>
      <c r="D6464" t="s">
        <v>37</v>
      </c>
      <c r="E6464" t="s">
        <v>50</v>
      </c>
      <c r="F6464" s="1">
        <v>42523</v>
      </c>
      <c r="G6464" s="1">
        <v>42528</v>
      </c>
      <c r="H6464" t="s">
        <v>41</v>
      </c>
      <c r="I6464">
        <v>5</v>
      </c>
      <c r="J6464" t="s">
        <v>107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1</v>
      </c>
      <c r="Q6464" t="s">
        <v>26</v>
      </c>
      <c r="R6464">
        <v>1</v>
      </c>
    </row>
    <row r="6465" spans="1:18">
      <c r="A6465" s="4">
        <v>94586661272</v>
      </c>
      <c r="B6465" t="s">
        <v>18</v>
      </c>
      <c r="C6465">
        <v>29</v>
      </c>
      <c r="D6465" t="s">
        <v>37</v>
      </c>
      <c r="E6465" t="s">
        <v>105</v>
      </c>
      <c r="F6465" s="1">
        <v>42523</v>
      </c>
      <c r="G6465" s="1">
        <v>42523</v>
      </c>
      <c r="H6465" t="s">
        <v>33</v>
      </c>
      <c r="I6465">
        <v>0</v>
      </c>
      <c r="J6465" t="s">
        <v>111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23</v>
      </c>
      <c r="R6465">
        <v>0</v>
      </c>
    </row>
    <row r="6466" spans="1:18">
      <c r="A6466" s="4">
        <v>841397000000000</v>
      </c>
      <c r="B6466" t="s">
        <v>18</v>
      </c>
      <c r="C6466">
        <v>40</v>
      </c>
      <c r="D6466" t="s">
        <v>27</v>
      </c>
      <c r="E6466" t="s">
        <v>34</v>
      </c>
      <c r="F6466" s="1">
        <v>42523</v>
      </c>
      <c r="G6466" s="1">
        <v>42529</v>
      </c>
      <c r="H6466" t="s">
        <v>25</v>
      </c>
      <c r="I6466">
        <v>6</v>
      </c>
      <c r="J6466" t="s">
        <v>107</v>
      </c>
      <c r="K6466">
        <v>0</v>
      </c>
      <c r="L6466">
        <v>0</v>
      </c>
      <c r="M6466">
        <v>1</v>
      </c>
      <c r="N6466">
        <v>0</v>
      </c>
      <c r="O6466">
        <v>0</v>
      </c>
      <c r="P6466">
        <v>1</v>
      </c>
      <c r="Q6466" t="s">
        <v>23</v>
      </c>
      <c r="R6466">
        <v>0</v>
      </c>
    </row>
    <row r="6467" spans="1:18">
      <c r="A6467" s="4">
        <v>9381880000000</v>
      </c>
      <c r="B6467" t="s">
        <v>28</v>
      </c>
      <c r="C6467">
        <v>10</v>
      </c>
      <c r="D6467" t="s">
        <v>31</v>
      </c>
      <c r="E6467" t="s">
        <v>84</v>
      </c>
      <c r="F6467" s="1">
        <v>42523</v>
      </c>
      <c r="G6467" s="1">
        <v>42529</v>
      </c>
      <c r="H6467" t="s">
        <v>25</v>
      </c>
      <c r="I6467">
        <v>6</v>
      </c>
      <c r="J6467" t="s">
        <v>107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1</v>
      </c>
      <c r="Q6467" t="s">
        <v>23</v>
      </c>
      <c r="R6467">
        <v>0</v>
      </c>
    </row>
    <row r="6468" spans="1:18">
      <c r="A6468" s="4">
        <v>75224000000000</v>
      </c>
      <c r="B6468" t="s">
        <v>18</v>
      </c>
      <c r="C6468">
        <v>42</v>
      </c>
      <c r="D6468" t="s">
        <v>27</v>
      </c>
      <c r="E6468" t="s">
        <v>45</v>
      </c>
      <c r="F6468" s="1">
        <v>42523</v>
      </c>
      <c r="G6468" s="1">
        <v>42523</v>
      </c>
      <c r="H6468" t="s">
        <v>33</v>
      </c>
      <c r="I6468">
        <v>0</v>
      </c>
      <c r="J6468" t="s">
        <v>111</v>
      </c>
      <c r="K6468">
        <v>1</v>
      </c>
      <c r="L6468">
        <v>1</v>
      </c>
      <c r="M6468">
        <v>0</v>
      </c>
      <c r="N6468">
        <v>0</v>
      </c>
      <c r="O6468">
        <v>0</v>
      </c>
      <c r="P6468">
        <v>0</v>
      </c>
      <c r="Q6468" t="s">
        <v>26</v>
      </c>
      <c r="R6468">
        <v>1</v>
      </c>
    </row>
    <row r="6469" spans="1:18">
      <c r="A6469" s="4">
        <v>375659000000000</v>
      </c>
      <c r="B6469" t="s">
        <v>18</v>
      </c>
      <c r="C6469">
        <v>17</v>
      </c>
      <c r="D6469" t="s">
        <v>60</v>
      </c>
      <c r="E6469" t="s">
        <v>72</v>
      </c>
      <c r="F6469" s="1">
        <v>42523</v>
      </c>
      <c r="G6469" s="1">
        <v>42523</v>
      </c>
      <c r="H6469" t="s">
        <v>33</v>
      </c>
      <c r="I6469">
        <v>0</v>
      </c>
      <c r="J6469" t="s">
        <v>111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23</v>
      </c>
      <c r="R6469">
        <v>0</v>
      </c>
    </row>
    <row r="6470" spans="1:18">
      <c r="A6470" s="4">
        <v>1897260000000</v>
      </c>
      <c r="B6470" t="s">
        <v>28</v>
      </c>
      <c r="C6470">
        <v>62</v>
      </c>
      <c r="D6470" t="s">
        <v>35</v>
      </c>
      <c r="E6470" t="s">
        <v>39</v>
      </c>
      <c r="F6470" s="1">
        <v>42523</v>
      </c>
      <c r="G6470" s="1">
        <v>42524</v>
      </c>
      <c r="H6470" t="s">
        <v>21</v>
      </c>
      <c r="I6470">
        <v>1</v>
      </c>
      <c r="J6470" t="s">
        <v>109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 t="s">
        <v>23</v>
      </c>
      <c r="R6470">
        <v>0</v>
      </c>
    </row>
    <row r="6471" spans="1:18">
      <c r="A6471" s="4">
        <v>19314223565</v>
      </c>
      <c r="B6471" t="s">
        <v>18</v>
      </c>
      <c r="C6471">
        <v>55</v>
      </c>
      <c r="D6471" t="s">
        <v>35</v>
      </c>
      <c r="E6471" t="s">
        <v>39</v>
      </c>
      <c r="F6471" s="1">
        <v>42523</v>
      </c>
      <c r="G6471" s="1">
        <v>42528</v>
      </c>
      <c r="H6471" t="s">
        <v>41</v>
      </c>
      <c r="I6471">
        <v>5</v>
      </c>
      <c r="J6471" t="s">
        <v>107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1</v>
      </c>
      <c r="Q6471" t="s">
        <v>23</v>
      </c>
      <c r="R6471">
        <v>0</v>
      </c>
    </row>
    <row r="6472" spans="1:18">
      <c r="A6472" s="4">
        <v>629693000000000</v>
      </c>
      <c r="B6472" t="s">
        <v>18</v>
      </c>
      <c r="C6472">
        <v>59</v>
      </c>
      <c r="D6472" t="s">
        <v>35</v>
      </c>
      <c r="E6472" t="s">
        <v>39</v>
      </c>
      <c r="F6472" s="1">
        <v>42523</v>
      </c>
      <c r="G6472" s="1">
        <v>42528</v>
      </c>
      <c r="H6472" t="s">
        <v>41</v>
      </c>
      <c r="I6472">
        <v>5</v>
      </c>
      <c r="J6472" t="s">
        <v>107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1</v>
      </c>
      <c r="Q6472" t="s">
        <v>23</v>
      </c>
      <c r="R6472">
        <v>0</v>
      </c>
    </row>
    <row r="6473" spans="1:18">
      <c r="A6473" s="4">
        <v>2125170000000</v>
      </c>
      <c r="B6473" t="s">
        <v>28</v>
      </c>
      <c r="C6473">
        <v>57</v>
      </c>
      <c r="D6473" t="s">
        <v>35</v>
      </c>
      <c r="E6473" t="s">
        <v>29</v>
      </c>
      <c r="F6473" s="1">
        <v>42523</v>
      </c>
      <c r="G6473" s="1">
        <v>42527</v>
      </c>
      <c r="H6473" t="s">
        <v>30</v>
      </c>
      <c r="I6473">
        <v>4</v>
      </c>
      <c r="J6473" t="s">
        <v>107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1</v>
      </c>
      <c r="Q6473" t="s">
        <v>26</v>
      </c>
      <c r="R6473">
        <v>1</v>
      </c>
    </row>
    <row r="6474" spans="1:18">
      <c r="A6474" s="4">
        <v>3182560000000</v>
      </c>
      <c r="B6474" t="s">
        <v>18</v>
      </c>
      <c r="C6474">
        <v>61</v>
      </c>
      <c r="D6474" t="s">
        <v>35</v>
      </c>
      <c r="E6474" t="s">
        <v>39</v>
      </c>
      <c r="F6474" s="1">
        <v>42523</v>
      </c>
      <c r="G6474" s="1">
        <v>42528</v>
      </c>
      <c r="H6474" t="s">
        <v>41</v>
      </c>
      <c r="I6474">
        <v>5</v>
      </c>
      <c r="J6474" t="s">
        <v>107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1</v>
      </c>
      <c r="Q6474" t="s">
        <v>23</v>
      </c>
      <c r="R6474">
        <v>0</v>
      </c>
    </row>
    <row r="6475" spans="1:18">
      <c r="A6475" s="4">
        <v>39979500000000</v>
      </c>
      <c r="B6475" t="s">
        <v>28</v>
      </c>
      <c r="C6475">
        <v>82</v>
      </c>
      <c r="D6475" t="s">
        <v>19</v>
      </c>
      <c r="E6475" t="s">
        <v>39</v>
      </c>
      <c r="F6475" s="1">
        <v>42523</v>
      </c>
      <c r="G6475" s="1">
        <v>42523</v>
      </c>
      <c r="H6475" t="s">
        <v>33</v>
      </c>
      <c r="I6475">
        <v>0</v>
      </c>
      <c r="J6475" t="s">
        <v>111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 t="s">
        <v>23</v>
      </c>
      <c r="R6475">
        <v>0</v>
      </c>
    </row>
    <row r="6476" spans="1:18">
      <c r="A6476" s="4">
        <v>7694250000000</v>
      </c>
      <c r="B6476" t="s">
        <v>28</v>
      </c>
      <c r="C6476">
        <v>26</v>
      </c>
      <c r="D6476" t="s">
        <v>37</v>
      </c>
      <c r="E6476" t="s">
        <v>101</v>
      </c>
      <c r="F6476" s="1">
        <v>42523</v>
      </c>
      <c r="G6476" s="1">
        <v>42529</v>
      </c>
      <c r="H6476" t="s">
        <v>25</v>
      </c>
      <c r="I6476">
        <v>6</v>
      </c>
      <c r="J6476" t="s">
        <v>107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1</v>
      </c>
      <c r="Q6476" t="s">
        <v>26</v>
      </c>
      <c r="R6476">
        <v>1</v>
      </c>
    </row>
    <row r="6477" spans="1:18">
      <c r="A6477" s="4">
        <v>6455360000000</v>
      </c>
      <c r="B6477" t="s">
        <v>18</v>
      </c>
      <c r="C6477">
        <v>31</v>
      </c>
      <c r="D6477" t="s">
        <v>37</v>
      </c>
      <c r="E6477" t="s">
        <v>47</v>
      </c>
      <c r="F6477" s="1">
        <v>42523</v>
      </c>
      <c r="G6477" s="1">
        <v>42529</v>
      </c>
      <c r="H6477" t="s">
        <v>25</v>
      </c>
      <c r="I6477">
        <v>6</v>
      </c>
      <c r="J6477" t="s">
        <v>107</v>
      </c>
      <c r="K6477">
        <v>1</v>
      </c>
      <c r="L6477">
        <v>0</v>
      </c>
      <c r="M6477">
        <v>0</v>
      </c>
      <c r="N6477">
        <v>0</v>
      </c>
      <c r="O6477">
        <v>0</v>
      </c>
      <c r="P6477">
        <v>1</v>
      </c>
      <c r="Q6477" t="s">
        <v>23</v>
      </c>
      <c r="R6477">
        <v>0</v>
      </c>
    </row>
    <row r="6478" spans="1:18">
      <c r="A6478" s="4">
        <v>42174800000000</v>
      </c>
      <c r="B6478" t="s">
        <v>18</v>
      </c>
      <c r="C6478">
        <v>36</v>
      </c>
      <c r="D6478" t="s">
        <v>27</v>
      </c>
      <c r="E6478" t="s">
        <v>68</v>
      </c>
      <c r="F6478" s="1">
        <v>42523</v>
      </c>
      <c r="G6478" s="1">
        <v>42528</v>
      </c>
      <c r="H6478" t="s">
        <v>41</v>
      </c>
      <c r="I6478">
        <v>5</v>
      </c>
      <c r="J6478" t="s">
        <v>107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1</v>
      </c>
      <c r="Q6478" t="s">
        <v>23</v>
      </c>
      <c r="R6478">
        <v>0</v>
      </c>
    </row>
    <row r="6479" spans="1:18">
      <c r="A6479" s="4">
        <v>951924000000000</v>
      </c>
      <c r="B6479" t="s">
        <v>18</v>
      </c>
      <c r="C6479">
        <v>3</v>
      </c>
      <c r="D6479" t="s">
        <v>31</v>
      </c>
      <c r="E6479" t="s">
        <v>72</v>
      </c>
      <c r="F6479" s="1">
        <v>42523</v>
      </c>
      <c r="G6479" s="1">
        <v>42527</v>
      </c>
      <c r="H6479" t="s">
        <v>30</v>
      </c>
      <c r="I6479">
        <v>4</v>
      </c>
      <c r="J6479" t="s">
        <v>107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1</v>
      </c>
      <c r="Q6479" t="s">
        <v>23</v>
      </c>
      <c r="R6479">
        <v>0</v>
      </c>
    </row>
    <row r="6480" spans="1:18">
      <c r="A6480" s="4">
        <v>7914470000000</v>
      </c>
      <c r="B6480" t="s">
        <v>18</v>
      </c>
      <c r="C6480">
        <v>11</v>
      </c>
      <c r="D6480" t="s">
        <v>31</v>
      </c>
      <c r="E6480" t="s">
        <v>72</v>
      </c>
      <c r="F6480" s="1">
        <v>42523</v>
      </c>
      <c r="G6480" s="1">
        <v>42527</v>
      </c>
      <c r="H6480" t="s">
        <v>30</v>
      </c>
      <c r="I6480">
        <v>4</v>
      </c>
      <c r="J6480" t="s">
        <v>107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1</v>
      </c>
      <c r="Q6480" t="s">
        <v>23</v>
      </c>
      <c r="R6480">
        <v>0</v>
      </c>
    </row>
    <row r="6481" spans="1:18">
      <c r="A6481" s="4">
        <v>2488180000000</v>
      </c>
      <c r="B6481" t="s">
        <v>28</v>
      </c>
      <c r="C6481">
        <v>16</v>
      </c>
      <c r="D6481" t="s">
        <v>60</v>
      </c>
      <c r="E6481" t="s">
        <v>75</v>
      </c>
      <c r="F6481" s="1">
        <v>42523</v>
      </c>
      <c r="G6481" s="1">
        <v>42523</v>
      </c>
      <c r="H6481" t="s">
        <v>33</v>
      </c>
      <c r="I6481">
        <v>0</v>
      </c>
      <c r="J6481" t="s">
        <v>111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23</v>
      </c>
      <c r="R6481">
        <v>0</v>
      </c>
    </row>
    <row r="6482" spans="1:18">
      <c r="A6482" s="4">
        <v>18499500000000</v>
      </c>
      <c r="B6482" t="s">
        <v>18</v>
      </c>
      <c r="C6482">
        <v>69</v>
      </c>
      <c r="D6482" t="s">
        <v>19</v>
      </c>
      <c r="E6482" t="s">
        <v>39</v>
      </c>
      <c r="F6482" s="1">
        <v>42523</v>
      </c>
      <c r="G6482" s="1">
        <v>42528</v>
      </c>
      <c r="H6482" t="s">
        <v>41</v>
      </c>
      <c r="I6482">
        <v>5</v>
      </c>
      <c r="J6482" t="s">
        <v>107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1</v>
      </c>
      <c r="Q6482" t="s">
        <v>23</v>
      </c>
      <c r="R6482">
        <v>0</v>
      </c>
    </row>
    <row r="6483" spans="1:18">
      <c r="A6483" s="4">
        <v>47316100000000</v>
      </c>
      <c r="B6483" t="s">
        <v>18</v>
      </c>
      <c r="C6483">
        <v>54</v>
      </c>
      <c r="D6483" t="s">
        <v>35</v>
      </c>
      <c r="E6483" t="s">
        <v>32</v>
      </c>
      <c r="F6483" s="1">
        <v>42523</v>
      </c>
      <c r="G6483" s="1">
        <v>42527</v>
      </c>
      <c r="H6483" t="s">
        <v>30</v>
      </c>
      <c r="I6483">
        <v>4</v>
      </c>
      <c r="J6483" t="s">
        <v>107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1</v>
      </c>
      <c r="Q6483" t="s">
        <v>23</v>
      </c>
      <c r="R6483">
        <v>0</v>
      </c>
    </row>
    <row r="6484" spans="1:18">
      <c r="A6484" s="4">
        <v>26588200000000</v>
      </c>
      <c r="B6484" t="s">
        <v>28</v>
      </c>
      <c r="C6484">
        <v>68</v>
      </c>
      <c r="D6484" t="s">
        <v>19</v>
      </c>
      <c r="E6484" t="s">
        <v>99</v>
      </c>
      <c r="F6484" s="1">
        <v>42523</v>
      </c>
      <c r="G6484" s="1">
        <v>42527</v>
      </c>
      <c r="H6484" t="s">
        <v>30</v>
      </c>
      <c r="I6484">
        <v>4</v>
      </c>
      <c r="J6484" t="s">
        <v>107</v>
      </c>
      <c r="K6484">
        <v>0</v>
      </c>
      <c r="L6484">
        <v>1</v>
      </c>
      <c r="M6484">
        <v>0</v>
      </c>
      <c r="N6484">
        <v>0</v>
      </c>
      <c r="O6484">
        <v>0</v>
      </c>
      <c r="P6484">
        <v>1</v>
      </c>
      <c r="Q6484" t="s">
        <v>23</v>
      </c>
      <c r="R6484">
        <v>0</v>
      </c>
    </row>
    <row r="6485" spans="1:18">
      <c r="A6485" s="4">
        <v>3223760000000</v>
      </c>
      <c r="B6485" t="s">
        <v>28</v>
      </c>
      <c r="C6485">
        <v>45</v>
      </c>
      <c r="D6485" t="s">
        <v>27</v>
      </c>
      <c r="E6485" t="s">
        <v>39</v>
      </c>
      <c r="F6485" s="1">
        <v>42523</v>
      </c>
      <c r="G6485" s="1">
        <v>42528</v>
      </c>
      <c r="H6485" t="s">
        <v>41</v>
      </c>
      <c r="I6485">
        <v>5</v>
      </c>
      <c r="J6485" t="s">
        <v>107</v>
      </c>
      <c r="K6485">
        <v>0</v>
      </c>
      <c r="L6485">
        <v>1</v>
      </c>
      <c r="M6485">
        <v>0</v>
      </c>
      <c r="N6485">
        <v>0</v>
      </c>
      <c r="O6485">
        <v>0</v>
      </c>
      <c r="P6485">
        <v>1</v>
      </c>
      <c r="Q6485" t="s">
        <v>26</v>
      </c>
      <c r="R6485">
        <v>1</v>
      </c>
    </row>
    <row r="6486" spans="1:18">
      <c r="A6486" s="4">
        <v>76899900000000</v>
      </c>
      <c r="B6486" t="s">
        <v>28</v>
      </c>
      <c r="C6486">
        <v>54</v>
      </c>
      <c r="D6486" t="s">
        <v>35</v>
      </c>
      <c r="E6486" t="s">
        <v>61</v>
      </c>
      <c r="F6486" s="1">
        <v>42524</v>
      </c>
      <c r="G6486" s="1">
        <v>42528</v>
      </c>
      <c r="H6486" t="s">
        <v>41</v>
      </c>
      <c r="I6486">
        <v>4</v>
      </c>
      <c r="J6486" t="s">
        <v>107</v>
      </c>
      <c r="K6486">
        <v>0</v>
      </c>
      <c r="L6486">
        <v>1</v>
      </c>
      <c r="M6486">
        <v>1</v>
      </c>
      <c r="N6486">
        <v>0</v>
      </c>
      <c r="O6486">
        <v>0</v>
      </c>
      <c r="P6486">
        <v>1</v>
      </c>
      <c r="Q6486" t="s">
        <v>23</v>
      </c>
      <c r="R6486">
        <v>0</v>
      </c>
    </row>
    <row r="6487" spans="1:18">
      <c r="A6487" s="4">
        <v>91755500000000</v>
      </c>
      <c r="B6487" t="s">
        <v>18</v>
      </c>
      <c r="C6487">
        <v>66</v>
      </c>
      <c r="D6487" t="s">
        <v>19</v>
      </c>
      <c r="E6487" t="s">
        <v>71</v>
      </c>
      <c r="F6487" s="1">
        <v>42524</v>
      </c>
      <c r="G6487" s="1">
        <v>42528</v>
      </c>
      <c r="H6487" t="s">
        <v>41</v>
      </c>
      <c r="I6487">
        <v>4</v>
      </c>
      <c r="J6487" t="s">
        <v>107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1</v>
      </c>
      <c r="Q6487" t="s">
        <v>26</v>
      </c>
      <c r="R6487">
        <v>1</v>
      </c>
    </row>
    <row r="6488" spans="1:18">
      <c r="A6488" s="4">
        <v>5843850000000</v>
      </c>
      <c r="B6488" t="s">
        <v>18</v>
      </c>
      <c r="C6488">
        <v>53</v>
      </c>
      <c r="D6488" t="s">
        <v>35</v>
      </c>
      <c r="E6488" t="s">
        <v>43</v>
      </c>
      <c r="F6488" s="1">
        <v>42524</v>
      </c>
      <c r="G6488" s="1">
        <v>42528</v>
      </c>
      <c r="H6488" t="s">
        <v>41</v>
      </c>
      <c r="I6488">
        <v>4</v>
      </c>
      <c r="J6488" t="s">
        <v>107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1</v>
      </c>
      <c r="Q6488" t="s">
        <v>23</v>
      </c>
      <c r="R6488">
        <v>0</v>
      </c>
    </row>
    <row r="6489" spans="1:18">
      <c r="A6489" s="4">
        <v>32622346252</v>
      </c>
      <c r="B6489" t="s">
        <v>18</v>
      </c>
      <c r="C6489">
        <v>11</v>
      </c>
      <c r="D6489" t="s">
        <v>31</v>
      </c>
      <c r="E6489" t="s">
        <v>106</v>
      </c>
      <c r="F6489" s="1">
        <v>42524</v>
      </c>
      <c r="G6489" s="1">
        <v>42528</v>
      </c>
      <c r="H6489" t="s">
        <v>41</v>
      </c>
      <c r="I6489">
        <v>4</v>
      </c>
      <c r="J6489" t="s">
        <v>107</v>
      </c>
      <c r="K6489">
        <v>1</v>
      </c>
      <c r="L6489">
        <v>0</v>
      </c>
      <c r="M6489">
        <v>0</v>
      </c>
      <c r="N6489">
        <v>0</v>
      </c>
      <c r="O6489">
        <v>0</v>
      </c>
      <c r="P6489">
        <v>1</v>
      </c>
      <c r="Q6489" t="s">
        <v>23</v>
      </c>
      <c r="R6489">
        <v>0</v>
      </c>
    </row>
    <row r="6490" spans="1:18">
      <c r="A6490" s="4">
        <v>68444700000000</v>
      </c>
      <c r="B6490" t="s">
        <v>28</v>
      </c>
      <c r="C6490">
        <v>68</v>
      </c>
      <c r="D6490" t="s">
        <v>19</v>
      </c>
      <c r="E6490" t="s">
        <v>54</v>
      </c>
      <c r="F6490" s="1">
        <v>42524</v>
      </c>
      <c r="G6490" s="1">
        <v>42529</v>
      </c>
      <c r="H6490" t="s">
        <v>25</v>
      </c>
      <c r="I6490">
        <v>5</v>
      </c>
      <c r="J6490" t="s">
        <v>107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1</v>
      </c>
      <c r="Q6490" t="s">
        <v>23</v>
      </c>
      <c r="R6490">
        <v>0</v>
      </c>
    </row>
    <row r="6491" spans="1:18">
      <c r="A6491" s="4">
        <v>3881650000000</v>
      </c>
      <c r="B6491" t="s">
        <v>28</v>
      </c>
      <c r="C6491">
        <v>10</v>
      </c>
      <c r="D6491" t="s">
        <v>31</v>
      </c>
      <c r="E6491" t="s">
        <v>68</v>
      </c>
      <c r="F6491" s="1">
        <v>42524</v>
      </c>
      <c r="G6491" s="1">
        <v>42529</v>
      </c>
      <c r="H6491" t="s">
        <v>25</v>
      </c>
      <c r="I6491">
        <v>5</v>
      </c>
      <c r="J6491" t="s">
        <v>107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1</v>
      </c>
      <c r="Q6491" t="s">
        <v>23</v>
      </c>
      <c r="R6491">
        <v>0</v>
      </c>
    </row>
    <row r="6492" spans="1:18">
      <c r="A6492" s="4">
        <v>2522530000000</v>
      </c>
      <c r="B6492" t="s">
        <v>18</v>
      </c>
      <c r="C6492">
        <v>55</v>
      </c>
      <c r="D6492" t="s">
        <v>35</v>
      </c>
      <c r="E6492" t="s">
        <v>46</v>
      </c>
      <c r="F6492" s="1">
        <v>42524</v>
      </c>
      <c r="G6492" s="1">
        <v>42524</v>
      </c>
      <c r="H6492" t="s">
        <v>21</v>
      </c>
      <c r="I6492">
        <v>0</v>
      </c>
      <c r="J6492" t="s">
        <v>111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 t="s">
        <v>23</v>
      </c>
      <c r="R6492">
        <v>0</v>
      </c>
    </row>
    <row r="6493" spans="1:18">
      <c r="A6493" s="4">
        <v>311452000000</v>
      </c>
      <c r="B6493" t="s">
        <v>28</v>
      </c>
      <c r="C6493">
        <v>58</v>
      </c>
      <c r="D6493" t="s">
        <v>35</v>
      </c>
      <c r="E6493" t="s">
        <v>71</v>
      </c>
      <c r="F6493" s="1">
        <v>42524</v>
      </c>
      <c r="G6493" s="1">
        <v>42528</v>
      </c>
      <c r="H6493" t="s">
        <v>41</v>
      </c>
      <c r="I6493">
        <v>4</v>
      </c>
      <c r="J6493" t="s">
        <v>107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1</v>
      </c>
      <c r="Q6493" t="s">
        <v>23</v>
      </c>
      <c r="R6493">
        <v>0</v>
      </c>
    </row>
    <row r="6494" spans="1:18">
      <c r="A6494" s="4">
        <v>291298000000</v>
      </c>
      <c r="B6494" t="s">
        <v>18</v>
      </c>
      <c r="C6494">
        <v>60</v>
      </c>
      <c r="D6494" t="s">
        <v>35</v>
      </c>
      <c r="E6494" t="s">
        <v>71</v>
      </c>
      <c r="F6494" s="1">
        <v>42524</v>
      </c>
      <c r="G6494" s="1">
        <v>42527</v>
      </c>
      <c r="H6494" t="s">
        <v>30</v>
      </c>
      <c r="I6494">
        <v>3</v>
      </c>
      <c r="J6494" t="s">
        <v>109</v>
      </c>
      <c r="K6494">
        <v>1</v>
      </c>
      <c r="L6494">
        <v>0</v>
      </c>
      <c r="M6494">
        <v>0</v>
      </c>
      <c r="N6494">
        <v>0</v>
      </c>
      <c r="O6494">
        <v>0</v>
      </c>
      <c r="P6494">
        <v>1</v>
      </c>
      <c r="Q6494" t="s">
        <v>23</v>
      </c>
      <c r="R6494">
        <v>0</v>
      </c>
    </row>
    <row r="6495" spans="1:18">
      <c r="A6495" s="4">
        <v>871284000000000</v>
      </c>
      <c r="B6495" t="s">
        <v>28</v>
      </c>
      <c r="C6495">
        <v>16</v>
      </c>
      <c r="D6495" t="s">
        <v>60</v>
      </c>
      <c r="E6495" t="s">
        <v>54</v>
      </c>
      <c r="F6495" s="1">
        <v>42524</v>
      </c>
      <c r="G6495" s="1">
        <v>42524</v>
      </c>
      <c r="H6495" t="s">
        <v>21</v>
      </c>
      <c r="I6495">
        <v>0</v>
      </c>
      <c r="J6495" t="s">
        <v>111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 t="s">
        <v>23</v>
      </c>
      <c r="R6495">
        <v>0</v>
      </c>
    </row>
    <row r="6496" spans="1:18">
      <c r="A6496" s="4">
        <v>85877400000000</v>
      </c>
      <c r="B6496" t="s">
        <v>28</v>
      </c>
      <c r="C6496">
        <v>66</v>
      </c>
      <c r="D6496" t="s">
        <v>19</v>
      </c>
      <c r="E6496" t="s">
        <v>84</v>
      </c>
      <c r="F6496" s="1">
        <v>42524</v>
      </c>
      <c r="G6496" s="1">
        <v>42527</v>
      </c>
      <c r="H6496" t="s">
        <v>30</v>
      </c>
      <c r="I6496">
        <v>3</v>
      </c>
      <c r="J6496" t="s">
        <v>109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1</v>
      </c>
      <c r="Q6496" t="s">
        <v>23</v>
      </c>
      <c r="R6496">
        <v>0</v>
      </c>
    </row>
    <row r="6497" spans="1:18">
      <c r="A6497" s="4">
        <v>83537800000000</v>
      </c>
      <c r="B6497" t="s">
        <v>28</v>
      </c>
      <c r="C6497">
        <v>43</v>
      </c>
      <c r="D6497" t="s">
        <v>27</v>
      </c>
      <c r="E6497" t="s">
        <v>54</v>
      </c>
      <c r="F6497" s="1">
        <v>42524</v>
      </c>
      <c r="G6497" s="1">
        <v>42524</v>
      </c>
      <c r="H6497" t="s">
        <v>21</v>
      </c>
      <c r="I6497">
        <v>0</v>
      </c>
      <c r="J6497" t="s">
        <v>111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 t="s">
        <v>23</v>
      </c>
      <c r="R6497">
        <v>0</v>
      </c>
    </row>
    <row r="6498" spans="1:18">
      <c r="A6498" s="4">
        <v>78859000000000</v>
      </c>
      <c r="B6498" t="s">
        <v>18</v>
      </c>
      <c r="C6498">
        <v>10</v>
      </c>
      <c r="D6498" t="s">
        <v>31</v>
      </c>
      <c r="E6498" t="s">
        <v>43</v>
      </c>
      <c r="F6498" s="1">
        <v>42524</v>
      </c>
      <c r="G6498" s="1">
        <v>42524</v>
      </c>
      <c r="H6498" t="s">
        <v>21</v>
      </c>
      <c r="I6498">
        <v>0</v>
      </c>
      <c r="J6498" t="s">
        <v>111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23</v>
      </c>
      <c r="R6498">
        <v>0</v>
      </c>
    </row>
    <row r="6499" spans="1:18">
      <c r="A6499" s="4">
        <v>57157600000000</v>
      </c>
      <c r="B6499" t="s">
        <v>18</v>
      </c>
      <c r="C6499">
        <v>60</v>
      </c>
      <c r="D6499" t="s">
        <v>35</v>
      </c>
      <c r="E6499" t="s">
        <v>84</v>
      </c>
      <c r="F6499" s="1">
        <v>42524</v>
      </c>
      <c r="G6499" s="1">
        <v>42528</v>
      </c>
      <c r="H6499" t="s">
        <v>41</v>
      </c>
      <c r="I6499">
        <v>4</v>
      </c>
      <c r="J6499" t="s">
        <v>107</v>
      </c>
      <c r="K6499">
        <v>0</v>
      </c>
      <c r="L6499">
        <v>1</v>
      </c>
      <c r="M6499">
        <v>1</v>
      </c>
      <c r="N6499">
        <v>0</v>
      </c>
      <c r="O6499">
        <v>0</v>
      </c>
      <c r="P6499">
        <v>1</v>
      </c>
      <c r="Q6499" t="s">
        <v>23</v>
      </c>
      <c r="R6499">
        <v>0</v>
      </c>
    </row>
    <row r="6500" spans="1:18">
      <c r="A6500" s="4">
        <v>9124430000000</v>
      </c>
      <c r="B6500" t="s">
        <v>18</v>
      </c>
      <c r="C6500">
        <v>51</v>
      </c>
      <c r="D6500" t="s">
        <v>35</v>
      </c>
      <c r="E6500" t="s">
        <v>59</v>
      </c>
      <c r="F6500" s="1">
        <v>42524</v>
      </c>
      <c r="G6500" s="1">
        <v>42524</v>
      </c>
      <c r="H6500" t="s">
        <v>21</v>
      </c>
      <c r="I6500">
        <v>0</v>
      </c>
      <c r="J6500" t="s">
        <v>111</v>
      </c>
      <c r="K6500">
        <v>0</v>
      </c>
      <c r="L6500">
        <v>1</v>
      </c>
      <c r="M6500">
        <v>0</v>
      </c>
      <c r="N6500">
        <v>0</v>
      </c>
      <c r="O6500">
        <v>0</v>
      </c>
      <c r="P6500">
        <v>0</v>
      </c>
      <c r="Q6500" t="s">
        <v>23</v>
      </c>
      <c r="R6500">
        <v>0</v>
      </c>
    </row>
    <row r="6501" spans="1:18">
      <c r="A6501" s="4">
        <v>23177800000000</v>
      </c>
      <c r="B6501" t="s">
        <v>28</v>
      </c>
      <c r="C6501">
        <v>3</v>
      </c>
      <c r="D6501" t="s">
        <v>31</v>
      </c>
      <c r="E6501" t="s">
        <v>61</v>
      </c>
      <c r="F6501" s="1">
        <v>42524</v>
      </c>
      <c r="G6501" s="1">
        <v>42524</v>
      </c>
      <c r="H6501" t="s">
        <v>21</v>
      </c>
      <c r="I6501">
        <v>0</v>
      </c>
      <c r="J6501" t="s">
        <v>111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26</v>
      </c>
      <c r="R6501">
        <v>1</v>
      </c>
    </row>
    <row r="6502" spans="1:18">
      <c r="A6502" s="4">
        <v>869587000000000</v>
      </c>
      <c r="B6502" t="s">
        <v>18</v>
      </c>
      <c r="C6502">
        <v>55</v>
      </c>
      <c r="D6502" t="s">
        <v>35</v>
      </c>
      <c r="E6502" t="s">
        <v>39</v>
      </c>
      <c r="F6502" s="1">
        <v>42524</v>
      </c>
      <c r="G6502" s="1">
        <v>42524</v>
      </c>
      <c r="H6502" t="s">
        <v>21</v>
      </c>
      <c r="I6502">
        <v>0</v>
      </c>
      <c r="J6502" t="s">
        <v>111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23</v>
      </c>
      <c r="R6502">
        <v>0</v>
      </c>
    </row>
    <row r="6503" spans="1:18">
      <c r="A6503" s="4">
        <v>5963410000000</v>
      </c>
      <c r="B6503" t="s">
        <v>28</v>
      </c>
      <c r="C6503">
        <v>9</v>
      </c>
      <c r="D6503" t="s">
        <v>31</v>
      </c>
      <c r="E6503" t="s">
        <v>57</v>
      </c>
      <c r="F6503" s="1">
        <v>42524</v>
      </c>
      <c r="G6503" s="1">
        <v>42524</v>
      </c>
      <c r="H6503" t="s">
        <v>21</v>
      </c>
      <c r="I6503">
        <v>0</v>
      </c>
      <c r="J6503" t="s">
        <v>111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 t="s">
        <v>23</v>
      </c>
      <c r="R6503">
        <v>0</v>
      </c>
    </row>
    <row r="6504" spans="1:18">
      <c r="A6504" s="4">
        <v>81427500000000</v>
      </c>
      <c r="B6504" t="s">
        <v>18</v>
      </c>
      <c r="C6504">
        <v>38</v>
      </c>
      <c r="D6504" t="s">
        <v>27</v>
      </c>
      <c r="E6504" t="s">
        <v>32</v>
      </c>
      <c r="F6504" s="1">
        <v>42524</v>
      </c>
      <c r="G6504" s="1">
        <v>42524</v>
      </c>
      <c r="H6504" t="s">
        <v>21</v>
      </c>
      <c r="I6504">
        <v>0</v>
      </c>
      <c r="J6504" t="s">
        <v>111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23</v>
      </c>
      <c r="R6504">
        <v>0</v>
      </c>
    </row>
    <row r="6505" spans="1:18">
      <c r="A6505" s="4">
        <v>422365000000000</v>
      </c>
      <c r="B6505" t="s">
        <v>28</v>
      </c>
      <c r="C6505">
        <v>36</v>
      </c>
      <c r="D6505" t="s">
        <v>27</v>
      </c>
      <c r="E6505" t="s">
        <v>34</v>
      </c>
      <c r="F6505" s="1">
        <v>42524</v>
      </c>
      <c r="G6505" s="1">
        <v>42524</v>
      </c>
      <c r="H6505" t="s">
        <v>21</v>
      </c>
      <c r="I6505">
        <v>0</v>
      </c>
      <c r="J6505" t="s">
        <v>111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 t="s">
        <v>23</v>
      </c>
      <c r="R6505">
        <v>0</v>
      </c>
    </row>
    <row r="6506" spans="1:18">
      <c r="A6506" s="4">
        <v>7462770000000</v>
      </c>
      <c r="B6506" t="s">
        <v>28</v>
      </c>
      <c r="C6506">
        <v>9</v>
      </c>
      <c r="D6506" t="s">
        <v>31</v>
      </c>
      <c r="E6506" t="s">
        <v>48</v>
      </c>
      <c r="F6506" s="1">
        <v>42524</v>
      </c>
      <c r="G6506" s="1">
        <v>42528</v>
      </c>
      <c r="H6506" t="s">
        <v>41</v>
      </c>
      <c r="I6506">
        <v>4</v>
      </c>
      <c r="J6506" t="s">
        <v>107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23</v>
      </c>
      <c r="R6506">
        <v>0</v>
      </c>
    </row>
    <row r="6507" spans="1:18">
      <c r="A6507" s="4">
        <v>63832600000000</v>
      </c>
      <c r="B6507" t="s">
        <v>28</v>
      </c>
      <c r="C6507">
        <v>77</v>
      </c>
      <c r="D6507" t="s">
        <v>19</v>
      </c>
      <c r="E6507" t="s">
        <v>71</v>
      </c>
      <c r="F6507" s="1">
        <v>42524</v>
      </c>
      <c r="G6507" s="1">
        <v>42528</v>
      </c>
      <c r="H6507" t="s">
        <v>41</v>
      </c>
      <c r="I6507">
        <v>4</v>
      </c>
      <c r="J6507" t="s">
        <v>107</v>
      </c>
      <c r="K6507">
        <v>0</v>
      </c>
      <c r="L6507">
        <v>1</v>
      </c>
      <c r="M6507">
        <v>1</v>
      </c>
      <c r="N6507">
        <v>0</v>
      </c>
      <c r="O6507">
        <v>0</v>
      </c>
      <c r="P6507">
        <v>1</v>
      </c>
      <c r="Q6507" t="s">
        <v>23</v>
      </c>
      <c r="R6507">
        <v>0</v>
      </c>
    </row>
    <row r="6508" spans="1:18">
      <c r="A6508" s="4">
        <v>994872000000000</v>
      </c>
      <c r="B6508" t="s">
        <v>28</v>
      </c>
      <c r="C6508">
        <v>7</v>
      </c>
      <c r="D6508" t="s">
        <v>31</v>
      </c>
      <c r="E6508" t="s">
        <v>79</v>
      </c>
      <c r="F6508" s="1">
        <v>42524</v>
      </c>
      <c r="G6508" s="1">
        <v>42528</v>
      </c>
      <c r="H6508" t="s">
        <v>41</v>
      </c>
      <c r="I6508">
        <v>4</v>
      </c>
      <c r="J6508" t="s">
        <v>107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1</v>
      </c>
      <c r="Q6508" t="s">
        <v>23</v>
      </c>
      <c r="R6508">
        <v>0</v>
      </c>
    </row>
    <row r="6509" spans="1:18">
      <c r="A6509" s="4">
        <v>83847900000000</v>
      </c>
      <c r="B6509" t="s">
        <v>18</v>
      </c>
      <c r="C6509">
        <v>1</v>
      </c>
      <c r="D6509" t="s">
        <v>31</v>
      </c>
      <c r="E6509" t="s">
        <v>63</v>
      </c>
      <c r="F6509" s="1">
        <v>42524</v>
      </c>
      <c r="G6509" s="1">
        <v>42524</v>
      </c>
      <c r="H6509" t="s">
        <v>21</v>
      </c>
      <c r="I6509">
        <v>0</v>
      </c>
      <c r="J6509" t="s">
        <v>111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23</v>
      </c>
      <c r="R6509">
        <v>0</v>
      </c>
    </row>
    <row r="6510" spans="1:18">
      <c r="A6510" s="4">
        <v>17346400000000</v>
      </c>
      <c r="B6510" t="s">
        <v>28</v>
      </c>
      <c r="C6510">
        <v>40</v>
      </c>
      <c r="D6510" t="s">
        <v>27</v>
      </c>
      <c r="E6510" t="s">
        <v>84</v>
      </c>
      <c r="F6510" s="1">
        <v>42524</v>
      </c>
      <c r="G6510" s="1">
        <v>42528</v>
      </c>
      <c r="H6510" t="s">
        <v>41</v>
      </c>
      <c r="I6510">
        <v>4</v>
      </c>
      <c r="J6510" t="s">
        <v>107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1</v>
      </c>
      <c r="Q6510" t="s">
        <v>23</v>
      </c>
      <c r="R6510">
        <v>0</v>
      </c>
    </row>
    <row r="6511" spans="1:18">
      <c r="A6511" s="4">
        <v>4468880000000</v>
      </c>
      <c r="B6511" t="s">
        <v>18</v>
      </c>
      <c r="C6511">
        <v>4</v>
      </c>
      <c r="D6511" t="s">
        <v>31</v>
      </c>
      <c r="E6511" t="s">
        <v>62</v>
      </c>
      <c r="F6511" s="1">
        <v>42524</v>
      </c>
      <c r="G6511" s="1">
        <v>42529</v>
      </c>
      <c r="H6511" t="s">
        <v>25</v>
      </c>
      <c r="I6511">
        <v>5</v>
      </c>
      <c r="J6511" t="s">
        <v>107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1</v>
      </c>
      <c r="Q6511" t="s">
        <v>23</v>
      </c>
      <c r="R6511">
        <v>0</v>
      </c>
    </row>
    <row r="6512" spans="1:18">
      <c r="A6512" s="4">
        <v>51163700000000</v>
      </c>
      <c r="B6512" t="s">
        <v>18</v>
      </c>
      <c r="C6512">
        <v>46</v>
      </c>
      <c r="D6512" t="s">
        <v>27</v>
      </c>
      <c r="E6512" t="s">
        <v>82</v>
      </c>
      <c r="F6512" s="1">
        <v>42524</v>
      </c>
      <c r="G6512" s="1">
        <v>42528</v>
      </c>
      <c r="H6512" t="s">
        <v>41</v>
      </c>
      <c r="I6512">
        <v>4</v>
      </c>
      <c r="J6512" t="s">
        <v>107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1</v>
      </c>
      <c r="Q6512" t="s">
        <v>23</v>
      </c>
      <c r="R6512">
        <v>0</v>
      </c>
    </row>
    <row r="6513" spans="1:18">
      <c r="A6513" s="4">
        <v>168832000000000</v>
      </c>
      <c r="B6513" t="s">
        <v>18</v>
      </c>
      <c r="C6513">
        <v>14</v>
      </c>
      <c r="D6513" t="s">
        <v>60</v>
      </c>
      <c r="E6513" t="s">
        <v>54</v>
      </c>
      <c r="F6513" s="1">
        <v>42524</v>
      </c>
      <c r="G6513" s="1">
        <v>42528</v>
      </c>
      <c r="H6513" t="s">
        <v>41</v>
      </c>
      <c r="I6513">
        <v>4</v>
      </c>
      <c r="J6513" t="s">
        <v>107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1</v>
      </c>
      <c r="Q6513" t="s">
        <v>23</v>
      </c>
      <c r="R6513">
        <v>0</v>
      </c>
    </row>
    <row r="6514" spans="1:18">
      <c r="A6514" s="4">
        <v>431618000000</v>
      </c>
      <c r="B6514" t="s">
        <v>18</v>
      </c>
      <c r="C6514">
        <v>84</v>
      </c>
      <c r="D6514" t="s">
        <v>19</v>
      </c>
      <c r="E6514" t="s">
        <v>96</v>
      </c>
      <c r="F6514" s="1">
        <v>42524</v>
      </c>
      <c r="G6514" s="1">
        <v>42527</v>
      </c>
      <c r="H6514" t="s">
        <v>30</v>
      </c>
      <c r="I6514">
        <v>3</v>
      </c>
      <c r="J6514" t="s">
        <v>109</v>
      </c>
      <c r="K6514">
        <v>0</v>
      </c>
      <c r="L6514">
        <v>1</v>
      </c>
      <c r="M6514">
        <v>0</v>
      </c>
      <c r="N6514">
        <v>0</v>
      </c>
      <c r="O6514">
        <v>0</v>
      </c>
      <c r="P6514">
        <v>1</v>
      </c>
      <c r="Q6514" t="s">
        <v>23</v>
      </c>
      <c r="R6514">
        <v>0</v>
      </c>
    </row>
    <row r="6515" spans="1:18">
      <c r="A6515" s="4">
        <v>43483500000000</v>
      </c>
      <c r="B6515" t="s">
        <v>18</v>
      </c>
      <c r="C6515">
        <v>45</v>
      </c>
      <c r="D6515" t="s">
        <v>27</v>
      </c>
      <c r="E6515" t="s">
        <v>76</v>
      </c>
      <c r="F6515" s="1">
        <v>42524</v>
      </c>
      <c r="G6515" s="1">
        <v>42528</v>
      </c>
      <c r="H6515" t="s">
        <v>41</v>
      </c>
      <c r="I6515">
        <v>4</v>
      </c>
      <c r="J6515" t="s">
        <v>107</v>
      </c>
      <c r="K6515">
        <v>1</v>
      </c>
      <c r="L6515">
        <v>0</v>
      </c>
      <c r="M6515">
        <v>0</v>
      </c>
      <c r="N6515">
        <v>0</v>
      </c>
      <c r="O6515">
        <v>0</v>
      </c>
      <c r="P6515">
        <v>1</v>
      </c>
      <c r="Q6515" t="s">
        <v>23</v>
      </c>
      <c r="R6515">
        <v>0</v>
      </c>
    </row>
    <row r="6516" spans="1:18">
      <c r="A6516" s="4">
        <v>8764660000000</v>
      </c>
      <c r="B6516" t="s">
        <v>18</v>
      </c>
      <c r="C6516">
        <v>71</v>
      </c>
      <c r="D6516" t="s">
        <v>19</v>
      </c>
      <c r="E6516" t="s">
        <v>20</v>
      </c>
      <c r="F6516" s="1">
        <v>42524</v>
      </c>
      <c r="G6516" s="1">
        <v>42524</v>
      </c>
      <c r="H6516" t="s">
        <v>21</v>
      </c>
      <c r="I6516">
        <v>0</v>
      </c>
      <c r="J6516" t="s">
        <v>111</v>
      </c>
      <c r="K6516">
        <v>0</v>
      </c>
      <c r="L6516">
        <v>1</v>
      </c>
      <c r="M6516">
        <v>1</v>
      </c>
      <c r="N6516">
        <v>0</v>
      </c>
      <c r="O6516">
        <v>0</v>
      </c>
      <c r="P6516">
        <v>0</v>
      </c>
      <c r="Q6516" t="s">
        <v>23</v>
      </c>
      <c r="R6516">
        <v>0</v>
      </c>
    </row>
    <row r="6517" spans="1:18">
      <c r="A6517" s="4">
        <v>626347000000000</v>
      </c>
      <c r="B6517" t="s">
        <v>28</v>
      </c>
      <c r="C6517">
        <v>43</v>
      </c>
      <c r="D6517" t="s">
        <v>27</v>
      </c>
      <c r="E6517" t="s">
        <v>55</v>
      </c>
      <c r="F6517" s="1">
        <v>42524</v>
      </c>
      <c r="G6517" s="1">
        <v>42529</v>
      </c>
      <c r="H6517" t="s">
        <v>25</v>
      </c>
      <c r="I6517">
        <v>5</v>
      </c>
      <c r="J6517" t="s">
        <v>107</v>
      </c>
      <c r="K6517">
        <v>0</v>
      </c>
      <c r="L6517">
        <v>0</v>
      </c>
      <c r="M6517">
        <v>0</v>
      </c>
      <c r="N6517">
        <v>1</v>
      </c>
      <c r="O6517">
        <v>0</v>
      </c>
      <c r="P6517">
        <v>1</v>
      </c>
      <c r="Q6517" t="s">
        <v>23</v>
      </c>
      <c r="R6517">
        <v>0</v>
      </c>
    </row>
    <row r="6518" spans="1:18">
      <c r="A6518" s="4">
        <v>54591800000000</v>
      </c>
      <c r="B6518" t="s">
        <v>28</v>
      </c>
      <c r="C6518">
        <v>30</v>
      </c>
      <c r="D6518" t="s">
        <v>37</v>
      </c>
      <c r="E6518" t="s">
        <v>45</v>
      </c>
      <c r="F6518" s="1">
        <v>42524</v>
      </c>
      <c r="G6518" s="1">
        <v>42524</v>
      </c>
      <c r="H6518" t="s">
        <v>21</v>
      </c>
      <c r="I6518">
        <v>0</v>
      </c>
      <c r="J6518" t="s">
        <v>111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 t="s">
        <v>23</v>
      </c>
      <c r="R6518">
        <v>0</v>
      </c>
    </row>
    <row r="6519" spans="1:18">
      <c r="A6519" s="4">
        <v>86241700000000</v>
      </c>
      <c r="B6519" t="s">
        <v>18</v>
      </c>
      <c r="C6519">
        <v>50</v>
      </c>
      <c r="D6519" t="s">
        <v>27</v>
      </c>
      <c r="E6519" t="s">
        <v>32</v>
      </c>
      <c r="F6519" s="1">
        <v>42524</v>
      </c>
      <c r="G6519" s="1">
        <v>42529</v>
      </c>
      <c r="H6519" t="s">
        <v>25</v>
      </c>
      <c r="I6519">
        <v>5</v>
      </c>
      <c r="J6519" t="s">
        <v>107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1</v>
      </c>
      <c r="Q6519" t="s">
        <v>23</v>
      </c>
      <c r="R6519">
        <v>0</v>
      </c>
    </row>
    <row r="6520" spans="1:18">
      <c r="A6520" s="4">
        <v>969229000000000</v>
      </c>
      <c r="B6520" t="s">
        <v>18</v>
      </c>
      <c r="C6520">
        <v>66</v>
      </c>
      <c r="D6520" t="s">
        <v>19</v>
      </c>
      <c r="E6520" t="s">
        <v>32</v>
      </c>
      <c r="F6520" s="1">
        <v>42524</v>
      </c>
      <c r="G6520" s="1">
        <v>42527</v>
      </c>
      <c r="H6520" t="s">
        <v>30</v>
      </c>
      <c r="I6520">
        <v>3</v>
      </c>
      <c r="J6520" t="s">
        <v>109</v>
      </c>
      <c r="K6520">
        <v>0</v>
      </c>
      <c r="L6520">
        <v>1</v>
      </c>
      <c r="M6520">
        <v>0</v>
      </c>
      <c r="N6520">
        <v>0</v>
      </c>
      <c r="O6520">
        <v>0</v>
      </c>
      <c r="P6520">
        <v>1</v>
      </c>
      <c r="Q6520" t="s">
        <v>23</v>
      </c>
      <c r="R6520">
        <v>0</v>
      </c>
    </row>
    <row r="6521" spans="1:18">
      <c r="A6521" s="4">
        <v>4267930000000</v>
      </c>
      <c r="B6521" t="s">
        <v>18</v>
      </c>
      <c r="C6521">
        <v>33</v>
      </c>
      <c r="D6521" t="s">
        <v>37</v>
      </c>
      <c r="E6521" t="s">
        <v>72</v>
      </c>
      <c r="F6521" s="1">
        <v>42524</v>
      </c>
      <c r="G6521" s="1">
        <v>42524</v>
      </c>
      <c r="H6521" t="s">
        <v>21</v>
      </c>
      <c r="I6521">
        <v>0</v>
      </c>
      <c r="J6521" t="s">
        <v>111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23</v>
      </c>
      <c r="R6521">
        <v>0</v>
      </c>
    </row>
    <row r="6522" spans="1:18">
      <c r="A6522" s="4">
        <v>1974230000000</v>
      </c>
      <c r="B6522" t="s">
        <v>18</v>
      </c>
      <c r="C6522">
        <v>63</v>
      </c>
      <c r="D6522" t="s">
        <v>35</v>
      </c>
      <c r="E6522" t="s">
        <v>43</v>
      </c>
      <c r="F6522" s="1">
        <v>42524</v>
      </c>
      <c r="G6522" s="1">
        <v>42524</v>
      </c>
      <c r="H6522" t="s">
        <v>21</v>
      </c>
      <c r="I6522">
        <v>0</v>
      </c>
      <c r="J6522" t="s">
        <v>111</v>
      </c>
      <c r="K6522">
        <v>0</v>
      </c>
      <c r="L6522">
        <v>1</v>
      </c>
      <c r="M6522">
        <v>0</v>
      </c>
      <c r="N6522">
        <v>0</v>
      </c>
      <c r="O6522">
        <v>0</v>
      </c>
      <c r="P6522">
        <v>0</v>
      </c>
      <c r="Q6522" t="s">
        <v>23</v>
      </c>
      <c r="R6522">
        <v>0</v>
      </c>
    </row>
    <row r="6523" spans="1:18">
      <c r="A6523" s="4">
        <v>43529200000000</v>
      </c>
      <c r="B6523" t="s">
        <v>18</v>
      </c>
      <c r="C6523">
        <v>52</v>
      </c>
      <c r="D6523" t="s">
        <v>35</v>
      </c>
      <c r="E6523" t="s">
        <v>43</v>
      </c>
      <c r="F6523" s="1">
        <v>42524</v>
      </c>
      <c r="G6523" s="1">
        <v>42524</v>
      </c>
      <c r="H6523" t="s">
        <v>21</v>
      </c>
      <c r="I6523">
        <v>0</v>
      </c>
      <c r="J6523" t="s">
        <v>111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 t="s">
        <v>23</v>
      </c>
      <c r="R6523">
        <v>0</v>
      </c>
    </row>
    <row r="6524" spans="1:18">
      <c r="A6524" s="4">
        <v>8335980000000</v>
      </c>
      <c r="B6524" t="s">
        <v>18</v>
      </c>
      <c r="C6524">
        <v>50</v>
      </c>
      <c r="D6524" t="s">
        <v>27</v>
      </c>
      <c r="E6524" t="s">
        <v>32</v>
      </c>
      <c r="F6524" s="1">
        <v>42524</v>
      </c>
      <c r="G6524" s="1">
        <v>42528</v>
      </c>
      <c r="H6524" t="s">
        <v>41</v>
      </c>
      <c r="I6524">
        <v>4</v>
      </c>
      <c r="J6524" t="s">
        <v>107</v>
      </c>
      <c r="K6524">
        <v>1</v>
      </c>
      <c r="L6524">
        <v>1</v>
      </c>
      <c r="M6524">
        <v>0</v>
      </c>
      <c r="N6524">
        <v>1</v>
      </c>
      <c r="O6524">
        <v>0</v>
      </c>
      <c r="P6524">
        <v>1</v>
      </c>
      <c r="Q6524" t="s">
        <v>23</v>
      </c>
      <c r="R6524">
        <v>0</v>
      </c>
    </row>
    <row r="6525" spans="1:18">
      <c r="A6525" s="4">
        <v>22212200000000</v>
      </c>
      <c r="B6525" t="s">
        <v>28</v>
      </c>
      <c r="C6525">
        <v>13</v>
      </c>
      <c r="D6525" t="s">
        <v>60</v>
      </c>
      <c r="E6525" t="s">
        <v>69</v>
      </c>
      <c r="F6525" s="1">
        <v>42524</v>
      </c>
      <c r="G6525" s="1">
        <v>42528</v>
      </c>
      <c r="H6525" t="s">
        <v>41</v>
      </c>
      <c r="I6525">
        <v>4</v>
      </c>
      <c r="J6525" t="s">
        <v>107</v>
      </c>
      <c r="K6525">
        <v>1</v>
      </c>
      <c r="L6525">
        <v>0</v>
      </c>
      <c r="M6525">
        <v>0</v>
      </c>
      <c r="N6525">
        <v>0</v>
      </c>
      <c r="O6525">
        <v>0</v>
      </c>
      <c r="P6525">
        <v>1</v>
      </c>
      <c r="Q6525" t="s">
        <v>26</v>
      </c>
      <c r="R6525">
        <v>1</v>
      </c>
    </row>
    <row r="6526" spans="1:18">
      <c r="A6526" s="4">
        <v>78147400000000</v>
      </c>
      <c r="B6526" t="s">
        <v>18</v>
      </c>
      <c r="C6526">
        <v>60</v>
      </c>
      <c r="D6526" t="s">
        <v>35</v>
      </c>
      <c r="E6526" t="s">
        <v>49</v>
      </c>
      <c r="F6526" s="1">
        <v>42524</v>
      </c>
      <c r="G6526" s="1">
        <v>42524</v>
      </c>
      <c r="H6526" t="s">
        <v>21</v>
      </c>
      <c r="I6526">
        <v>0</v>
      </c>
      <c r="J6526" t="s">
        <v>111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23</v>
      </c>
      <c r="R6526">
        <v>0</v>
      </c>
    </row>
    <row r="6527" spans="1:18">
      <c r="A6527" s="4">
        <v>3542510000000</v>
      </c>
      <c r="B6527" t="s">
        <v>18</v>
      </c>
      <c r="C6527">
        <v>49</v>
      </c>
      <c r="D6527" t="s">
        <v>27</v>
      </c>
      <c r="E6527" t="s">
        <v>58</v>
      </c>
      <c r="F6527" s="1">
        <v>42524</v>
      </c>
      <c r="G6527" s="1">
        <v>42524</v>
      </c>
      <c r="H6527" t="s">
        <v>21</v>
      </c>
      <c r="I6527">
        <v>0</v>
      </c>
      <c r="J6527" t="s">
        <v>111</v>
      </c>
      <c r="K6527">
        <v>1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23</v>
      </c>
      <c r="R6527">
        <v>0</v>
      </c>
    </row>
    <row r="6528" spans="1:18">
      <c r="A6528" s="4">
        <v>566182000000</v>
      </c>
      <c r="B6528" t="s">
        <v>18</v>
      </c>
      <c r="C6528">
        <v>47</v>
      </c>
      <c r="D6528" t="s">
        <v>27</v>
      </c>
      <c r="E6528" t="s">
        <v>32</v>
      </c>
      <c r="F6528" s="1">
        <v>42524</v>
      </c>
      <c r="G6528" s="1">
        <v>42527</v>
      </c>
      <c r="H6528" t="s">
        <v>30</v>
      </c>
      <c r="I6528">
        <v>3</v>
      </c>
      <c r="J6528" t="s">
        <v>109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23</v>
      </c>
      <c r="R6528">
        <v>0</v>
      </c>
    </row>
    <row r="6529" spans="1:18">
      <c r="A6529" s="4">
        <v>1166650000000</v>
      </c>
      <c r="B6529" t="s">
        <v>18</v>
      </c>
      <c r="C6529">
        <v>41</v>
      </c>
      <c r="D6529" t="s">
        <v>27</v>
      </c>
      <c r="E6529" t="s">
        <v>69</v>
      </c>
      <c r="F6529" s="1">
        <v>42524</v>
      </c>
      <c r="G6529" s="1">
        <v>42524</v>
      </c>
      <c r="H6529" t="s">
        <v>21</v>
      </c>
      <c r="I6529">
        <v>0</v>
      </c>
      <c r="J6529" t="s">
        <v>111</v>
      </c>
      <c r="K6529">
        <v>0</v>
      </c>
      <c r="L6529">
        <v>1</v>
      </c>
      <c r="M6529">
        <v>0</v>
      </c>
      <c r="N6529">
        <v>0</v>
      </c>
      <c r="O6529">
        <v>0</v>
      </c>
      <c r="P6529">
        <v>0</v>
      </c>
      <c r="Q6529" t="s">
        <v>23</v>
      </c>
      <c r="R6529">
        <v>0</v>
      </c>
    </row>
    <row r="6530" spans="1:18">
      <c r="A6530" s="4">
        <v>6229160000000</v>
      </c>
      <c r="B6530" t="s">
        <v>18</v>
      </c>
      <c r="C6530">
        <v>45</v>
      </c>
      <c r="D6530" t="s">
        <v>27</v>
      </c>
      <c r="E6530" t="s">
        <v>32</v>
      </c>
      <c r="F6530" s="1">
        <v>42524</v>
      </c>
      <c r="G6530" s="1">
        <v>42529</v>
      </c>
      <c r="H6530" t="s">
        <v>25</v>
      </c>
      <c r="I6530">
        <v>5</v>
      </c>
      <c r="J6530" t="s">
        <v>107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1</v>
      </c>
      <c r="Q6530" t="s">
        <v>23</v>
      </c>
      <c r="R6530">
        <v>0</v>
      </c>
    </row>
    <row r="6531" spans="1:18">
      <c r="A6531" s="4">
        <v>564615000000000</v>
      </c>
      <c r="B6531" t="s">
        <v>28</v>
      </c>
      <c r="C6531">
        <v>17</v>
      </c>
      <c r="D6531" t="s">
        <v>60</v>
      </c>
      <c r="E6531" t="s">
        <v>56</v>
      </c>
      <c r="F6531" s="1">
        <v>42524</v>
      </c>
      <c r="G6531" s="1">
        <v>42524</v>
      </c>
      <c r="H6531" t="s">
        <v>21</v>
      </c>
      <c r="I6531">
        <v>0</v>
      </c>
      <c r="J6531" t="s">
        <v>111</v>
      </c>
      <c r="K6531">
        <v>1</v>
      </c>
      <c r="L6531">
        <v>0</v>
      </c>
      <c r="M6531">
        <v>0</v>
      </c>
      <c r="N6531">
        <v>0</v>
      </c>
      <c r="O6531">
        <v>0</v>
      </c>
      <c r="P6531">
        <v>0</v>
      </c>
      <c r="Q6531" t="s">
        <v>23</v>
      </c>
      <c r="R6531">
        <v>0</v>
      </c>
    </row>
    <row r="6532" spans="1:18">
      <c r="A6532" s="4">
        <v>86887600000000</v>
      </c>
      <c r="B6532" t="s">
        <v>28</v>
      </c>
      <c r="C6532">
        <v>37</v>
      </c>
      <c r="D6532" t="s">
        <v>27</v>
      </c>
      <c r="E6532" t="s">
        <v>58</v>
      </c>
      <c r="F6532" s="1">
        <v>42524</v>
      </c>
      <c r="G6532" s="1">
        <v>42524</v>
      </c>
      <c r="H6532" t="s">
        <v>21</v>
      </c>
      <c r="I6532">
        <v>0</v>
      </c>
      <c r="J6532" t="s">
        <v>111</v>
      </c>
      <c r="K6532">
        <v>1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23</v>
      </c>
      <c r="R6532">
        <v>0</v>
      </c>
    </row>
    <row r="6533" spans="1:18">
      <c r="A6533" s="4">
        <v>1513670000000</v>
      </c>
      <c r="B6533" t="s">
        <v>18</v>
      </c>
      <c r="C6533">
        <v>48</v>
      </c>
      <c r="D6533" t="s">
        <v>27</v>
      </c>
      <c r="E6533" t="s">
        <v>56</v>
      </c>
      <c r="F6533" s="1">
        <v>42524</v>
      </c>
      <c r="G6533" s="1">
        <v>42524</v>
      </c>
      <c r="H6533" t="s">
        <v>21</v>
      </c>
      <c r="I6533">
        <v>0</v>
      </c>
      <c r="J6533" t="s">
        <v>111</v>
      </c>
      <c r="K6533">
        <v>0</v>
      </c>
      <c r="L6533">
        <v>1</v>
      </c>
      <c r="M6533">
        <v>0</v>
      </c>
      <c r="N6533">
        <v>0</v>
      </c>
      <c r="O6533">
        <v>0</v>
      </c>
      <c r="P6533">
        <v>0</v>
      </c>
      <c r="Q6533" t="s">
        <v>23</v>
      </c>
      <c r="R6533">
        <v>0</v>
      </c>
    </row>
    <row r="6534" spans="1:18">
      <c r="A6534" s="4">
        <v>425426000000000</v>
      </c>
      <c r="B6534" t="s">
        <v>18</v>
      </c>
      <c r="C6534">
        <v>31</v>
      </c>
      <c r="D6534" t="s">
        <v>37</v>
      </c>
      <c r="E6534" t="s">
        <v>65</v>
      </c>
      <c r="F6534" s="1">
        <v>42524</v>
      </c>
      <c r="G6534" s="1">
        <v>42524</v>
      </c>
      <c r="H6534" t="s">
        <v>21</v>
      </c>
      <c r="I6534">
        <v>0</v>
      </c>
      <c r="J6534" t="s">
        <v>111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 t="s">
        <v>23</v>
      </c>
      <c r="R6534">
        <v>0</v>
      </c>
    </row>
    <row r="6535" spans="1:18">
      <c r="A6535" s="4">
        <v>346994000000000</v>
      </c>
      <c r="B6535" t="s">
        <v>18</v>
      </c>
      <c r="C6535">
        <v>20</v>
      </c>
      <c r="D6535" t="s">
        <v>37</v>
      </c>
      <c r="E6535" t="s">
        <v>69</v>
      </c>
      <c r="F6535" s="1">
        <v>42524</v>
      </c>
      <c r="G6535" s="1">
        <v>42524</v>
      </c>
      <c r="H6535" t="s">
        <v>21</v>
      </c>
      <c r="I6535">
        <v>0</v>
      </c>
      <c r="J6535" t="s">
        <v>111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23</v>
      </c>
      <c r="R6535">
        <v>0</v>
      </c>
    </row>
    <row r="6536" spans="1:18">
      <c r="A6536" s="4">
        <v>983416000000</v>
      </c>
      <c r="B6536" t="s">
        <v>18</v>
      </c>
      <c r="C6536">
        <v>19</v>
      </c>
      <c r="D6536" t="s">
        <v>37</v>
      </c>
      <c r="E6536" t="s">
        <v>84</v>
      </c>
      <c r="F6536" s="1">
        <v>42524</v>
      </c>
      <c r="G6536" s="1">
        <v>42528</v>
      </c>
      <c r="H6536" t="s">
        <v>41</v>
      </c>
      <c r="I6536">
        <v>4</v>
      </c>
      <c r="J6536" t="s">
        <v>107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1</v>
      </c>
      <c r="Q6536" t="s">
        <v>26</v>
      </c>
      <c r="R6536">
        <v>1</v>
      </c>
    </row>
    <row r="6537" spans="1:18">
      <c r="A6537" s="4">
        <v>5254730000000</v>
      </c>
      <c r="B6537" t="s">
        <v>18</v>
      </c>
      <c r="C6537">
        <v>44</v>
      </c>
      <c r="D6537" t="s">
        <v>27</v>
      </c>
      <c r="E6537" t="s">
        <v>32</v>
      </c>
      <c r="F6537" s="1">
        <v>42524</v>
      </c>
      <c r="G6537" s="1">
        <v>42528</v>
      </c>
      <c r="H6537" t="s">
        <v>41</v>
      </c>
      <c r="I6537">
        <v>4</v>
      </c>
      <c r="J6537" t="s">
        <v>107</v>
      </c>
      <c r="K6537">
        <v>0</v>
      </c>
      <c r="L6537">
        <v>1</v>
      </c>
      <c r="M6537">
        <v>0</v>
      </c>
      <c r="N6537">
        <v>0</v>
      </c>
      <c r="O6537">
        <v>0</v>
      </c>
      <c r="P6537">
        <v>1</v>
      </c>
      <c r="Q6537" t="s">
        <v>23</v>
      </c>
      <c r="R6537">
        <v>0</v>
      </c>
    </row>
    <row r="6538" spans="1:18">
      <c r="A6538" s="4">
        <v>7948500000000</v>
      </c>
      <c r="B6538" t="s">
        <v>28</v>
      </c>
      <c r="C6538">
        <v>71</v>
      </c>
      <c r="D6538" t="s">
        <v>19</v>
      </c>
      <c r="E6538" t="s">
        <v>39</v>
      </c>
      <c r="F6538" s="1">
        <v>42524</v>
      </c>
      <c r="G6538" s="1">
        <v>42524</v>
      </c>
      <c r="H6538" t="s">
        <v>21</v>
      </c>
      <c r="I6538">
        <v>0</v>
      </c>
      <c r="J6538" t="s">
        <v>111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23</v>
      </c>
      <c r="R6538">
        <v>0</v>
      </c>
    </row>
    <row r="6539" spans="1:18">
      <c r="A6539" s="4">
        <v>324285000000000</v>
      </c>
      <c r="B6539" t="s">
        <v>28</v>
      </c>
      <c r="C6539">
        <v>4</v>
      </c>
      <c r="D6539" t="s">
        <v>31</v>
      </c>
      <c r="E6539" t="s">
        <v>86</v>
      </c>
      <c r="F6539" s="1">
        <v>42524</v>
      </c>
      <c r="G6539" s="1">
        <v>42524</v>
      </c>
      <c r="H6539" t="s">
        <v>21</v>
      </c>
      <c r="I6539">
        <v>0</v>
      </c>
      <c r="J6539" t="s">
        <v>111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23</v>
      </c>
      <c r="R6539">
        <v>0</v>
      </c>
    </row>
    <row r="6540" spans="1:18">
      <c r="A6540" s="4">
        <v>683629000000000</v>
      </c>
      <c r="B6540" t="s">
        <v>18</v>
      </c>
      <c r="C6540">
        <v>29</v>
      </c>
      <c r="D6540" t="s">
        <v>37</v>
      </c>
      <c r="E6540" t="s">
        <v>46</v>
      </c>
      <c r="F6540" s="1">
        <v>42524</v>
      </c>
      <c r="G6540" s="1">
        <v>42524</v>
      </c>
      <c r="H6540" t="s">
        <v>21</v>
      </c>
      <c r="I6540">
        <v>0</v>
      </c>
      <c r="J6540" t="s">
        <v>111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23</v>
      </c>
      <c r="R6540">
        <v>0</v>
      </c>
    </row>
    <row r="6541" spans="1:18">
      <c r="A6541" s="4">
        <v>376123000000</v>
      </c>
      <c r="B6541" t="s">
        <v>18</v>
      </c>
      <c r="C6541">
        <v>47</v>
      </c>
      <c r="D6541" t="s">
        <v>27</v>
      </c>
      <c r="E6541" t="s">
        <v>64</v>
      </c>
      <c r="F6541" s="1">
        <v>42524</v>
      </c>
      <c r="G6541" s="1">
        <v>42524</v>
      </c>
      <c r="H6541" t="s">
        <v>21</v>
      </c>
      <c r="I6541">
        <v>0</v>
      </c>
      <c r="J6541" t="s">
        <v>111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 t="s">
        <v>23</v>
      </c>
      <c r="R6541">
        <v>0</v>
      </c>
    </row>
    <row r="6542" spans="1:18">
      <c r="A6542" s="4">
        <v>71855500000000</v>
      </c>
      <c r="B6542" t="s">
        <v>18</v>
      </c>
      <c r="C6542">
        <v>29</v>
      </c>
      <c r="D6542" t="s">
        <v>37</v>
      </c>
      <c r="E6542" t="s">
        <v>50</v>
      </c>
      <c r="F6542" s="1">
        <v>42524</v>
      </c>
      <c r="G6542" s="1">
        <v>42524</v>
      </c>
      <c r="H6542" t="s">
        <v>21</v>
      </c>
      <c r="I6542">
        <v>0</v>
      </c>
      <c r="J6542" t="s">
        <v>111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23</v>
      </c>
      <c r="R6542">
        <v>0</v>
      </c>
    </row>
    <row r="6543" spans="1:18">
      <c r="A6543" s="4">
        <v>1411300000000</v>
      </c>
      <c r="B6543" t="s">
        <v>18</v>
      </c>
      <c r="C6543">
        <v>15</v>
      </c>
      <c r="D6543" t="s">
        <v>60</v>
      </c>
      <c r="E6543" t="s">
        <v>57</v>
      </c>
      <c r="F6543" s="1">
        <v>42524</v>
      </c>
      <c r="G6543" s="1">
        <v>42524</v>
      </c>
      <c r="H6543" t="s">
        <v>21</v>
      </c>
      <c r="I6543">
        <v>0</v>
      </c>
      <c r="J6543" t="s">
        <v>111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23</v>
      </c>
      <c r="R6543">
        <v>0</v>
      </c>
    </row>
    <row r="6544" spans="1:18">
      <c r="A6544" s="4">
        <v>28844500000000</v>
      </c>
      <c r="B6544" t="s">
        <v>28</v>
      </c>
      <c r="C6544">
        <v>63</v>
      </c>
      <c r="D6544" t="s">
        <v>35</v>
      </c>
      <c r="E6544" t="s">
        <v>69</v>
      </c>
      <c r="F6544" s="1">
        <v>42524</v>
      </c>
      <c r="G6544" s="1">
        <v>42524</v>
      </c>
      <c r="H6544" t="s">
        <v>21</v>
      </c>
      <c r="I6544">
        <v>0</v>
      </c>
      <c r="J6544" t="s">
        <v>111</v>
      </c>
      <c r="K6544">
        <v>0</v>
      </c>
      <c r="L6544">
        <v>1</v>
      </c>
      <c r="M6544">
        <v>0</v>
      </c>
      <c r="N6544">
        <v>0</v>
      </c>
      <c r="O6544">
        <v>0</v>
      </c>
      <c r="P6544">
        <v>0</v>
      </c>
      <c r="Q6544" t="s">
        <v>23</v>
      </c>
      <c r="R6544">
        <v>0</v>
      </c>
    </row>
    <row r="6545" spans="1:18">
      <c r="A6545" s="4">
        <v>8779660000000</v>
      </c>
      <c r="B6545" t="s">
        <v>18</v>
      </c>
      <c r="C6545">
        <v>39</v>
      </c>
      <c r="D6545" t="s">
        <v>27</v>
      </c>
      <c r="E6545" t="s">
        <v>86</v>
      </c>
      <c r="F6545" s="1">
        <v>42524</v>
      </c>
      <c r="G6545" s="1">
        <v>42527</v>
      </c>
      <c r="H6545" t="s">
        <v>30</v>
      </c>
      <c r="I6545">
        <v>3</v>
      </c>
      <c r="J6545" t="s">
        <v>109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26</v>
      </c>
      <c r="R6545">
        <v>1</v>
      </c>
    </row>
    <row r="6546" spans="1:18">
      <c r="A6546" s="4">
        <v>58289200000000</v>
      </c>
      <c r="B6546" t="s">
        <v>28</v>
      </c>
      <c r="C6546">
        <v>19</v>
      </c>
      <c r="D6546" t="s">
        <v>37</v>
      </c>
      <c r="E6546" t="s">
        <v>48</v>
      </c>
      <c r="F6546" s="1">
        <v>42524</v>
      </c>
      <c r="G6546" s="1">
        <v>42524</v>
      </c>
      <c r="H6546" t="s">
        <v>21</v>
      </c>
      <c r="I6546">
        <v>0</v>
      </c>
      <c r="J6546" t="s">
        <v>111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 t="s">
        <v>26</v>
      </c>
      <c r="R6546">
        <v>1</v>
      </c>
    </row>
    <row r="6547" spans="1:18">
      <c r="A6547" s="4">
        <v>34316000000000</v>
      </c>
      <c r="B6547" t="s">
        <v>18</v>
      </c>
      <c r="C6547">
        <v>78</v>
      </c>
      <c r="D6547" t="s">
        <v>19</v>
      </c>
      <c r="E6547" t="s">
        <v>29</v>
      </c>
      <c r="F6547" s="1">
        <v>42524</v>
      </c>
      <c r="G6547" s="1">
        <v>42524</v>
      </c>
      <c r="H6547" t="s">
        <v>21</v>
      </c>
      <c r="I6547">
        <v>0</v>
      </c>
      <c r="J6547" t="s">
        <v>111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23</v>
      </c>
      <c r="R6547">
        <v>0</v>
      </c>
    </row>
    <row r="6548" spans="1:18">
      <c r="A6548" s="4">
        <v>13364900000000</v>
      </c>
      <c r="B6548" t="s">
        <v>28</v>
      </c>
      <c r="C6548">
        <v>59</v>
      </c>
      <c r="D6548" t="s">
        <v>35</v>
      </c>
      <c r="E6548" t="s">
        <v>72</v>
      </c>
      <c r="F6548" s="1">
        <v>42524</v>
      </c>
      <c r="G6548" s="1">
        <v>42524</v>
      </c>
      <c r="H6548" t="s">
        <v>21</v>
      </c>
      <c r="I6548">
        <v>0</v>
      </c>
      <c r="J6548" t="s">
        <v>111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 t="s">
        <v>23</v>
      </c>
      <c r="R6548">
        <v>0</v>
      </c>
    </row>
    <row r="6549" spans="1:18">
      <c r="A6549" s="4">
        <v>4716910000000</v>
      </c>
      <c r="B6549" t="s">
        <v>18</v>
      </c>
      <c r="C6549">
        <v>3</v>
      </c>
      <c r="D6549" t="s">
        <v>31</v>
      </c>
      <c r="E6549" t="s">
        <v>38</v>
      </c>
      <c r="F6549" s="1">
        <v>42524</v>
      </c>
      <c r="G6549" s="1">
        <v>42528</v>
      </c>
      <c r="H6549" t="s">
        <v>41</v>
      </c>
      <c r="I6549">
        <v>4</v>
      </c>
      <c r="J6549" t="s">
        <v>107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1</v>
      </c>
      <c r="Q6549" t="s">
        <v>23</v>
      </c>
      <c r="R6549">
        <v>0</v>
      </c>
    </row>
    <row r="6550" spans="1:18">
      <c r="A6550" s="4">
        <v>9169270000000</v>
      </c>
      <c r="B6550" t="s">
        <v>28</v>
      </c>
      <c r="C6550">
        <v>11</v>
      </c>
      <c r="D6550" t="s">
        <v>31</v>
      </c>
      <c r="E6550" t="s">
        <v>82</v>
      </c>
      <c r="F6550" s="1">
        <v>42524</v>
      </c>
      <c r="G6550" s="1">
        <v>42528</v>
      </c>
      <c r="H6550" t="s">
        <v>41</v>
      </c>
      <c r="I6550">
        <v>4</v>
      </c>
      <c r="J6550" t="s">
        <v>107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23</v>
      </c>
      <c r="R6550">
        <v>0</v>
      </c>
    </row>
    <row r="6551" spans="1:18">
      <c r="A6551" s="4">
        <v>865313000000</v>
      </c>
      <c r="B6551" t="s">
        <v>18</v>
      </c>
      <c r="C6551">
        <v>8</v>
      </c>
      <c r="D6551" t="s">
        <v>31</v>
      </c>
      <c r="E6551" t="s">
        <v>75</v>
      </c>
      <c r="F6551" s="1">
        <v>42524</v>
      </c>
      <c r="G6551" s="1">
        <v>42527</v>
      </c>
      <c r="H6551" t="s">
        <v>30</v>
      </c>
      <c r="I6551">
        <v>3</v>
      </c>
      <c r="J6551" t="s">
        <v>109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23</v>
      </c>
      <c r="R6551">
        <v>0</v>
      </c>
    </row>
    <row r="6552" spans="1:18">
      <c r="A6552" s="4">
        <v>2277370000000</v>
      </c>
      <c r="B6552" t="s">
        <v>18</v>
      </c>
      <c r="C6552">
        <v>17</v>
      </c>
      <c r="D6552" t="s">
        <v>60</v>
      </c>
      <c r="E6552" t="s">
        <v>71</v>
      </c>
      <c r="F6552" s="1">
        <v>42524</v>
      </c>
      <c r="G6552" s="1">
        <v>42524</v>
      </c>
      <c r="H6552" t="s">
        <v>21</v>
      </c>
      <c r="I6552">
        <v>0</v>
      </c>
      <c r="J6552" t="s">
        <v>111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23</v>
      </c>
      <c r="R6552">
        <v>0</v>
      </c>
    </row>
    <row r="6553" spans="1:18">
      <c r="A6553" s="4">
        <v>842270000000000</v>
      </c>
      <c r="B6553" t="s">
        <v>28</v>
      </c>
      <c r="C6553">
        <v>10</v>
      </c>
      <c r="D6553" t="s">
        <v>31</v>
      </c>
      <c r="E6553" t="s">
        <v>29</v>
      </c>
      <c r="F6553" s="1">
        <v>42524</v>
      </c>
      <c r="G6553" s="1">
        <v>42524</v>
      </c>
      <c r="H6553" t="s">
        <v>21</v>
      </c>
      <c r="I6553">
        <v>0</v>
      </c>
      <c r="J6553" t="s">
        <v>111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 t="s">
        <v>23</v>
      </c>
      <c r="R6553">
        <v>0</v>
      </c>
    </row>
    <row r="6554" spans="1:18">
      <c r="A6554" s="4">
        <v>622924000000000</v>
      </c>
      <c r="B6554" t="s">
        <v>18</v>
      </c>
      <c r="C6554">
        <v>59</v>
      </c>
      <c r="D6554" t="s">
        <v>35</v>
      </c>
      <c r="E6554" t="s">
        <v>40</v>
      </c>
      <c r="F6554" s="1">
        <v>42524</v>
      </c>
      <c r="G6554" s="1">
        <v>42524</v>
      </c>
      <c r="H6554" t="s">
        <v>21</v>
      </c>
      <c r="I6554">
        <v>0</v>
      </c>
      <c r="J6554" t="s">
        <v>111</v>
      </c>
      <c r="K6554">
        <v>0</v>
      </c>
      <c r="L6554">
        <v>1</v>
      </c>
      <c r="M6554">
        <v>1</v>
      </c>
      <c r="N6554">
        <v>0</v>
      </c>
      <c r="O6554">
        <v>0</v>
      </c>
      <c r="P6554">
        <v>0</v>
      </c>
      <c r="Q6554" t="s">
        <v>23</v>
      </c>
      <c r="R6554">
        <v>0</v>
      </c>
    </row>
    <row r="6555" spans="1:18">
      <c r="A6555" s="4">
        <v>28718838678</v>
      </c>
      <c r="B6555" t="s">
        <v>18</v>
      </c>
      <c r="C6555">
        <v>59</v>
      </c>
      <c r="D6555" t="s">
        <v>35</v>
      </c>
      <c r="E6555" t="s">
        <v>44</v>
      </c>
      <c r="F6555" s="1">
        <v>42524</v>
      </c>
      <c r="G6555" s="1">
        <v>42524</v>
      </c>
      <c r="H6555" t="s">
        <v>21</v>
      </c>
      <c r="I6555">
        <v>0</v>
      </c>
      <c r="J6555" t="s">
        <v>111</v>
      </c>
      <c r="K6555">
        <v>0</v>
      </c>
      <c r="L6555">
        <v>1</v>
      </c>
      <c r="M6555">
        <v>0</v>
      </c>
      <c r="N6555">
        <v>1</v>
      </c>
      <c r="O6555">
        <v>0</v>
      </c>
      <c r="P6555">
        <v>0</v>
      </c>
      <c r="Q6555" t="s">
        <v>23</v>
      </c>
      <c r="R6555">
        <v>0</v>
      </c>
    </row>
    <row r="6556" spans="1:18">
      <c r="A6556" s="4">
        <v>7466290000000</v>
      </c>
      <c r="B6556" t="s">
        <v>28</v>
      </c>
      <c r="C6556">
        <v>4</v>
      </c>
      <c r="D6556" t="s">
        <v>31</v>
      </c>
      <c r="E6556" t="s">
        <v>59</v>
      </c>
      <c r="F6556" s="1">
        <v>42524</v>
      </c>
      <c r="G6556" s="1">
        <v>42524</v>
      </c>
      <c r="H6556" t="s">
        <v>21</v>
      </c>
      <c r="I6556">
        <v>0</v>
      </c>
      <c r="J6556" t="s">
        <v>111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 t="s">
        <v>23</v>
      </c>
      <c r="R6556">
        <v>0</v>
      </c>
    </row>
    <row r="6557" spans="1:18">
      <c r="A6557" s="4">
        <v>247639000000000</v>
      </c>
      <c r="B6557" t="s">
        <v>18</v>
      </c>
      <c r="C6557">
        <v>30</v>
      </c>
      <c r="D6557" t="s">
        <v>37</v>
      </c>
      <c r="E6557" t="s">
        <v>84</v>
      </c>
      <c r="F6557" s="1">
        <v>42524</v>
      </c>
      <c r="G6557" s="1">
        <v>42524</v>
      </c>
      <c r="H6557" t="s">
        <v>21</v>
      </c>
      <c r="I6557">
        <v>0</v>
      </c>
      <c r="J6557" t="s">
        <v>111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 t="s">
        <v>23</v>
      </c>
      <c r="R6557">
        <v>0</v>
      </c>
    </row>
    <row r="6558" spans="1:18">
      <c r="A6558" s="4">
        <v>386920000000000</v>
      </c>
      <c r="B6558" t="s">
        <v>18</v>
      </c>
      <c r="C6558">
        <v>49</v>
      </c>
      <c r="D6558" t="s">
        <v>27</v>
      </c>
      <c r="E6558" t="s">
        <v>72</v>
      </c>
      <c r="F6558" s="1">
        <v>42524</v>
      </c>
      <c r="G6558" s="1">
        <v>42524</v>
      </c>
      <c r="H6558" t="s">
        <v>21</v>
      </c>
      <c r="I6558">
        <v>0</v>
      </c>
      <c r="J6558" t="s">
        <v>111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23</v>
      </c>
      <c r="R6558">
        <v>0</v>
      </c>
    </row>
    <row r="6559" spans="1:18">
      <c r="A6559" s="4">
        <v>74158100000000</v>
      </c>
      <c r="B6559" t="s">
        <v>28</v>
      </c>
      <c r="C6559">
        <v>3</v>
      </c>
      <c r="D6559" t="s">
        <v>31</v>
      </c>
      <c r="E6559" t="s">
        <v>71</v>
      </c>
      <c r="F6559" s="1">
        <v>42524</v>
      </c>
      <c r="G6559" s="1">
        <v>42528</v>
      </c>
      <c r="H6559" t="s">
        <v>41</v>
      </c>
      <c r="I6559">
        <v>4</v>
      </c>
      <c r="J6559" t="s">
        <v>107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 t="s">
        <v>23</v>
      </c>
      <c r="R6559">
        <v>0</v>
      </c>
    </row>
    <row r="6560" spans="1:18">
      <c r="A6560" s="4">
        <v>424239000000</v>
      </c>
      <c r="B6560" t="s">
        <v>28</v>
      </c>
      <c r="C6560">
        <v>0</v>
      </c>
      <c r="D6560" t="s">
        <v>31</v>
      </c>
      <c r="E6560" t="s">
        <v>72</v>
      </c>
      <c r="F6560" s="1">
        <v>42524</v>
      </c>
      <c r="G6560" s="1">
        <v>42529</v>
      </c>
      <c r="H6560" t="s">
        <v>25</v>
      </c>
      <c r="I6560">
        <v>5</v>
      </c>
      <c r="J6560" t="s">
        <v>107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1</v>
      </c>
      <c r="Q6560" t="s">
        <v>23</v>
      </c>
      <c r="R6560">
        <v>0</v>
      </c>
    </row>
    <row r="6561" spans="1:18">
      <c r="A6561" s="4">
        <v>29254600000000</v>
      </c>
      <c r="B6561" t="s">
        <v>18</v>
      </c>
      <c r="C6561">
        <v>10</v>
      </c>
      <c r="D6561" t="s">
        <v>31</v>
      </c>
      <c r="E6561" t="s">
        <v>59</v>
      </c>
      <c r="F6561" s="1">
        <v>42524</v>
      </c>
      <c r="G6561" s="1">
        <v>42527</v>
      </c>
      <c r="H6561" t="s">
        <v>30</v>
      </c>
      <c r="I6561">
        <v>3</v>
      </c>
      <c r="J6561" t="s">
        <v>109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1</v>
      </c>
      <c r="Q6561" t="s">
        <v>23</v>
      </c>
      <c r="R6561">
        <v>0</v>
      </c>
    </row>
    <row r="6562" spans="1:18">
      <c r="A6562" s="4">
        <v>91677657172</v>
      </c>
      <c r="B6562" t="s">
        <v>18</v>
      </c>
      <c r="C6562">
        <v>65</v>
      </c>
      <c r="D6562" t="s">
        <v>35</v>
      </c>
      <c r="E6562" t="s">
        <v>78</v>
      </c>
      <c r="F6562" s="1">
        <v>42524</v>
      </c>
      <c r="G6562" s="1">
        <v>42524</v>
      </c>
      <c r="H6562" t="s">
        <v>21</v>
      </c>
      <c r="I6562">
        <v>0</v>
      </c>
      <c r="J6562" t="s">
        <v>111</v>
      </c>
      <c r="K6562">
        <v>0</v>
      </c>
      <c r="L6562">
        <v>1</v>
      </c>
      <c r="M6562">
        <v>1</v>
      </c>
      <c r="N6562">
        <v>0</v>
      </c>
      <c r="O6562">
        <v>0</v>
      </c>
      <c r="P6562">
        <v>0</v>
      </c>
      <c r="Q6562" t="s">
        <v>23</v>
      </c>
      <c r="R6562">
        <v>0</v>
      </c>
    </row>
    <row r="6563" spans="1:18">
      <c r="A6563" s="4">
        <v>398244000000000</v>
      </c>
      <c r="B6563" t="s">
        <v>18</v>
      </c>
      <c r="C6563">
        <v>27</v>
      </c>
      <c r="D6563" t="s">
        <v>37</v>
      </c>
      <c r="E6563" t="s">
        <v>29</v>
      </c>
      <c r="F6563" s="1">
        <v>42524</v>
      </c>
      <c r="G6563" s="1">
        <v>42524</v>
      </c>
      <c r="H6563" t="s">
        <v>21</v>
      </c>
      <c r="I6563">
        <v>0</v>
      </c>
      <c r="J6563" t="s">
        <v>111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 t="s">
        <v>23</v>
      </c>
      <c r="R6563">
        <v>0</v>
      </c>
    </row>
    <row r="6564" spans="1:18">
      <c r="A6564" s="4">
        <v>646357000000</v>
      </c>
      <c r="B6564" t="s">
        <v>28</v>
      </c>
      <c r="C6564">
        <v>15</v>
      </c>
      <c r="D6564" t="s">
        <v>60</v>
      </c>
      <c r="E6564" t="s">
        <v>48</v>
      </c>
      <c r="F6564" s="1">
        <v>42524</v>
      </c>
      <c r="G6564" s="1">
        <v>42524</v>
      </c>
      <c r="H6564" t="s">
        <v>21</v>
      </c>
      <c r="I6564">
        <v>0</v>
      </c>
      <c r="J6564" t="s">
        <v>111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 t="s">
        <v>23</v>
      </c>
      <c r="R6564">
        <v>0</v>
      </c>
    </row>
    <row r="6565" spans="1:18">
      <c r="A6565" s="4">
        <v>5344130000000</v>
      </c>
      <c r="B6565" t="s">
        <v>18</v>
      </c>
      <c r="C6565">
        <v>84</v>
      </c>
      <c r="D6565" t="s">
        <v>19</v>
      </c>
      <c r="E6565" t="s">
        <v>83</v>
      </c>
      <c r="F6565" s="1">
        <v>42524</v>
      </c>
      <c r="G6565" s="1">
        <v>42527</v>
      </c>
      <c r="H6565" t="s">
        <v>30</v>
      </c>
      <c r="I6565">
        <v>3</v>
      </c>
      <c r="J6565" t="s">
        <v>109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 t="s">
        <v>23</v>
      </c>
      <c r="R6565">
        <v>0</v>
      </c>
    </row>
    <row r="6566" spans="1:18">
      <c r="A6566" s="4">
        <v>93119400000000</v>
      </c>
      <c r="B6566" t="s">
        <v>28</v>
      </c>
      <c r="C6566">
        <v>0</v>
      </c>
      <c r="D6566" t="s">
        <v>31</v>
      </c>
      <c r="E6566" t="s">
        <v>84</v>
      </c>
      <c r="F6566" s="1">
        <v>42524</v>
      </c>
      <c r="G6566" s="1">
        <v>42524</v>
      </c>
      <c r="H6566" t="s">
        <v>21</v>
      </c>
      <c r="I6566">
        <v>0</v>
      </c>
      <c r="J6566" t="s">
        <v>111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 t="s">
        <v>26</v>
      </c>
      <c r="R6566">
        <v>1</v>
      </c>
    </row>
    <row r="6567" spans="1:18">
      <c r="A6567" s="4">
        <v>3231600000000</v>
      </c>
      <c r="B6567" t="s">
        <v>28</v>
      </c>
      <c r="C6567">
        <v>25</v>
      </c>
      <c r="D6567" t="s">
        <v>37</v>
      </c>
      <c r="E6567" t="s">
        <v>20</v>
      </c>
      <c r="F6567" s="1">
        <v>42524</v>
      </c>
      <c r="G6567" s="1">
        <v>42524</v>
      </c>
      <c r="H6567" t="s">
        <v>21</v>
      </c>
      <c r="I6567">
        <v>0</v>
      </c>
      <c r="J6567" t="s">
        <v>111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23</v>
      </c>
      <c r="R6567">
        <v>0</v>
      </c>
    </row>
    <row r="6568" spans="1:18">
      <c r="A6568" s="4">
        <v>869462000000000</v>
      </c>
      <c r="B6568" t="s">
        <v>18</v>
      </c>
      <c r="C6568">
        <v>15</v>
      </c>
      <c r="D6568" t="s">
        <v>60</v>
      </c>
      <c r="E6568" t="s">
        <v>71</v>
      </c>
      <c r="F6568" s="1">
        <v>42524</v>
      </c>
      <c r="G6568" s="1">
        <v>42524</v>
      </c>
      <c r="H6568" t="s">
        <v>21</v>
      </c>
      <c r="I6568">
        <v>0</v>
      </c>
      <c r="J6568" t="s">
        <v>111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 t="s">
        <v>23</v>
      </c>
      <c r="R6568">
        <v>0</v>
      </c>
    </row>
    <row r="6569" spans="1:18">
      <c r="A6569" s="4">
        <v>585347000000000</v>
      </c>
      <c r="B6569" t="s">
        <v>28</v>
      </c>
      <c r="C6569">
        <v>3</v>
      </c>
      <c r="D6569" t="s">
        <v>31</v>
      </c>
      <c r="E6569" t="s">
        <v>96</v>
      </c>
      <c r="F6569" s="1">
        <v>42524</v>
      </c>
      <c r="G6569" s="1">
        <v>42524</v>
      </c>
      <c r="H6569" t="s">
        <v>21</v>
      </c>
      <c r="I6569">
        <v>0</v>
      </c>
      <c r="J6569" t="s">
        <v>111</v>
      </c>
      <c r="K6569">
        <v>1</v>
      </c>
      <c r="L6569">
        <v>0</v>
      </c>
      <c r="M6569">
        <v>0</v>
      </c>
      <c r="N6569">
        <v>0</v>
      </c>
      <c r="O6569">
        <v>0</v>
      </c>
      <c r="P6569">
        <v>0</v>
      </c>
      <c r="Q6569" t="s">
        <v>23</v>
      </c>
      <c r="R6569">
        <v>0</v>
      </c>
    </row>
    <row r="6570" spans="1:18">
      <c r="A6570" s="4">
        <v>742231000000000</v>
      </c>
      <c r="B6570" t="s">
        <v>18</v>
      </c>
      <c r="C6570">
        <v>30</v>
      </c>
      <c r="D6570" t="s">
        <v>37</v>
      </c>
      <c r="E6570" t="s">
        <v>29</v>
      </c>
      <c r="F6570" s="1">
        <v>42524</v>
      </c>
      <c r="G6570" s="1">
        <v>42524</v>
      </c>
      <c r="H6570" t="s">
        <v>21</v>
      </c>
      <c r="I6570">
        <v>0</v>
      </c>
      <c r="J6570" t="s">
        <v>111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23</v>
      </c>
      <c r="R6570">
        <v>0</v>
      </c>
    </row>
    <row r="6571" spans="1:18">
      <c r="A6571" s="4">
        <v>3973310000000</v>
      </c>
      <c r="B6571" t="s">
        <v>28</v>
      </c>
      <c r="C6571">
        <v>53</v>
      </c>
      <c r="D6571" t="s">
        <v>35</v>
      </c>
      <c r="E6571" t="s">
        <v>65</v>
      </c>
      <c r="F6571" s="1">
        <v>42524</v>
      </c>
      <c r="G6571" s="1">
        <v>42528</v>
      </c>
      <c r="H6571" t="s">
        <v>41</v>
      </c>
      <c r="I6571">
        <v>4</v>
      </c>
      <c r="J6571" t="s">
        <v>107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1</v>
      </c>
      <c r="Q6571" t="s">
        <v>23</v>
      </c>
      <c r="R6571">
        <v>0</v>
      </c>
    </row>
    <row r="6572" spans="1:18">
      <c r="A6572" s="4">
        <v>6141830000000</v>
      </c>
      <c r="B6572" t="s">
        <v>28</v>
      </c>
      <c r="C6572">
        <v>28</v>
      </c>
      <c r="D6572" t="s">
        <v>37</v>
      </c>
      <c r="E6572" t="s">
        <v>39</v>
      </c>
      <c r="F6572" s="1">
        <v>42524</v>
      </c>
      <c r="G6572" s="1">
        <v>42524</v>
      </c>
      <c r="H6572" t="s">
        <v>21</v>
      </c>
      <c r="I6572">
        <v>0</v>
      </c>
      <c r="J6572" t="s">
        <v>111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26</v>
      </c>
      <c r="R6572">
        <v>1</v>
      </c>
    </row>
    <row r="6573" spans="1:18">
      <c r="A6573" s="4">
        <v>46986300000000</v>
      </c>
      <c r="B6573" t="s">
        <v>18</v>
      </c>
      <c r="C6573">
        <v>70</v>
      </c>
      <c r="D6573" t="s">
        <v>19</v>
      </c>
      <c r="E6573" t="s">
        <v>78</v>
      </c>
      <c r="F6573" s="1">
        <v>42524</v>
      </c>
      <c r="G6573" s="1">
        <v>42524</v>
      </c>
      <c r="H6573" t="s">
        <v>21</v>
      </c>
      <c r="I6573">
        <v>0</v>
      </c>
      <c r="J6573" t="s">
        <v>111</v>
      </c>
      <c r="K6573">
        <v>0</v>
      </c>
      <c r="L6573">
        <v>1</v>
      </c>
      <c r="M6573">
        <v>1</v>
      </c>
      <c r="N6573">
        <v>0</v>
      </c>
      <c r="O6573">
        <v>0</v>
      </c>
      <c r="P6573">
        <v>0</v>
      </c>
      <c r="Q6573" t="s">
        <v>23</v>
      </c>
      <c r="R6573">
        <v>0</v>
      </c>
    </row>
    <row r="6574" spans="1:18">
      <c r="A6574" s="4">
        <v>349523000000</v>
      </c>
      <c r="B6574" t="s">
        <v>28</v>
      </c>
      <c r="C6574">
        <v>36</v>
      </c>
      <c r="D6574" t="s">
        <v>27</v>
      </c>
      <c r="E6574" t="s">
        <v>95</v>
      </c>
      <c r="F6574" s="1">
        <v>42524</v>
      </c>
      <c r="G6574" s="1">
        <v>42524</v>
      </c>
      <c r="H6574" t="s">
        <v>21</v>
      </c>
      <c r="I6574">
        <v>0</v>
      </c>
      <c r="J6574" t="s">
        <v>111</v>
      </c>
      <c r="K6574">
        <v>0</v>
      </c>
      <c r="L6574">
        <v>0</v>
      </c>
      <c r="M6574">
        <v>0</v>
      </c>
      <c r="N6574">
        <v>1</v>
      </c>
      <c r="O6574">
        <v>0</v>
      </c>
      <c r="P6574">
        <v>0</v>
      </c>
      <c r="Q6574" t="s">
        <v>23</v>
      </c>
      <c r="R6574">
        <v>0</v>
      </c>
    </row>
    <row r="6575" spans="1:18">
      <c r="A6575" s="4">
        <v>725739000000000</v>
      </c>
      <c r="B6575" t="s">
        <v>18</v>
      </c>
      <c r="C6575">
        <v>55</v>
      </c>
      <c r="D6575" t="s">
        <v>35</v>
      </c>
      <c r="E6575" t="s">
        <v>38</v>
      </c>
      <c r="F6575" s="1">
        <v>42524</v>
      </c>
      <c r="G6575" s="1">
        <v>42524</v>
      </c>
      <c r="H6575" t="s">
        <v>21</v>
      </c>
      <c r="I6575">
        <v>0</v>
      </c>
      <c r="J6575" t="s">
        <v>111</v>
      </c>
      <c r="K6575">
        <v>0</v>
      </c>
      <c r="L6575">
        <v>1</v>
      </c>
      <c r="M6575">
        <v>0</v>
      </c>
      <c r="N6575">
        <v>0</v>
      </c>
      <c r="O6575">
        <v>0</v>
      </c>
      <c r="P6575">
        <v>0</v>
      </c>
      <c r="Q6575" t="s">
        <v>23</v>
      </c>
      <c r="R6575">
        <v>0</v>
      </c>
    </row>
    <row r="6576" spans="1:18">
      <c r="A6576" s="4">
        <v>55973500000000</v>
      </c>
      <c r="B6576" t="s">
        <v>18</v>
      </c>
      <c r="C6576">
        <v>53</v>
      </c>
      <c r="D6576" t="s">
        <v>35</v>
      </c>
      <c r="E6576" t="s">
        <v>57</v>
      </c>
      <c r="F6576" s="1">
        <v>42524</v>
      </c>
      <c r="G6576" s="1">
        <v>42524</v>
      </c>
      <c r="H6576" t="s">
        <v>21</v>
      </c>
      <c r="I6576">
        <v>0</v>
      </c>
      <c r="J6576" t="s">
        <v>111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23</v>
      </c>
      <c r="R6576">
        <v>0</v>
      </c>
    </row>
    <row r="6577" spans="1:18">
      <c r="A6577" s="4">
        <v>35544000000000</v>
      </c>
      <c r="B6577" t="s">
        <v>18</v>
      </c>
      <c r="C6577">
        <v>36</v>
      </c>
      <c r="D6577" t="s">
        <v>27</v>
      </c>
      <c r="E6577" t="s">
        <v>44</v>
      </c>
      <c r="F6577" s="1">
        <v>42524</v>
      </c>
      <c r="G6577" s="1">
        <v>42527</v>
      </c>
      <c r="H6577" t="s">
        <v>30</v>
      </c>
      <c r="I6577">
        <v>3</v>
      </c>
      <c r="J6577" t="s">
        <v>109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 t="s">
        <v>26</v>
      </c>
      <c r="R6577">
        <v>1</v>
      </c>
    </row>
    <row r="6578" spans="1:18">
      <c r="A6578" s="4">
        <v>3922880000000</v>
      </c>
      <c r="B6578" t="s">
        <v>28</v>
      </c>
      <c r="C6578">
        <v>64</v>
      </c>
      <c r="D6578" t="s">
        <v>35</v>
      </c>
      <c r="E6578" t="s">
        <v>52</v>
      </c>
      <c r="F6578" s="1">
        <v>42524</v>
      </c>
      <c r="G6578" s="1">
        <v>42524</v>
      </c>
      <c r="H6578" t="s">
        <v>21</v>
      </c>
      <c r="I6578">
        <v>0</v>
      </c>
      <c r="J6578" t="s">
        <v>111</v>
      </c>
      <c r="K6578">
        <v>0</v>
      </c>
      <c r="L6578">
        <v>1</v>
      </c>
      <c r="M6578">
        <v>1</v>
      </c>
      <c r="N6578">
        <v>0</v>
      </c>
      <c r="O6578">
        <v>0</v>
      </c>
      <c r="P6578">
        <v>0</v>
      </c>
      <c r="Q6578" t="s">
        <v>23</v>
      </c>
      <c r="R6578">
        <v>0</v>
      </c>
    </row>
    <row r="6579" spans="1:18">
      <c r="A6579" s="4">
        <v>94416800000000</v>
      </c>
      <c r="B6579" t="s">
        <v>28</v>
      </c>
      <c r="C6579">
        <v>6</v>
      </c>
      <c r="D6579" t="s">
        <v>31</v>
      </c>
      <c r="E6579" t="s">
        <v>72</v>
      </c>
      <c r="F6579" s="1">
        <v>42524</v>
      </c>
      <c r="G6579" s="1">
        <v>42524</v>
      </c>
      <c r="H6579" t="s">
        <v>21</v>
      </c>
      <c r="I6579">
        <v>0</v>
      </c>
      <c r="J6579" t="s">
        <v>111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 t="s">
        <v>23</v>
      </c>
      <c r="R6579">
        <v>0</v>
      </c>
    </row>
    <row r="6580" spans="1:18">
      <c r="A6580" s="4">
        <v>9316750000000</v>
      </c>
      <c r="B6580" t="s">
        <v>18</v>
      </c>
      <c r="C6580">
        <v>32</v>
      </c>
      <c r="D6580" t="s">
        <v>37</v>
      </c>
      <c r="E6580" t="s">
        <v>84</v>
      </c>
      <c r="F6580" s="1">
        <v>42524</v>
      </c>
      <c r="G6580" s="1">
        <v>42524</v>
      </c>
      <c r="H6580" t="s">
        <v>21</v>
      </c>
      <c r="I6580">
        <v>0</v>
      </c>
      <c r="J6580" t="s">
        <v>111</v>
      </c>
      <c r="K6580">
        <v>1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23</v>
      </c>
      <c r="R6580">
        <v>0</v>
      </c>
    </row>
    <row r="6581" spans="1:18">
      <c r="A6581" s="4">
        <v>8433770000000</v>
      </c>
      <c r="B6581" t="s">
        <v>18</v>
      </c>
      <c r="C6581">
        <v>65</v>
      </c>
      <c r="D6581" t="s">
        <v>35</v>
      </c>
      <c r="E6581" t="s">
        <v>39</v>
      </c>
      <c r="F6581" s="1">
        <v>42524</v>
      </c>
      <c r="G6581" s="1">
        <v>42524</v>
      </c>
      <c r="H6581" t="s">
        <v>21</v>
      </c>
      <c r="I6581">
        <v>0</v>
      </c>
      <c r="J6581" t="s">
        <v>111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23</v>
      </c>
      <c r="R6581">
        <v>0</v>
      </c>
    </row>
    <row r="6582" spans="1:18">
      <c r="A6582" s="4">
        <v>426114000000</v>
      </c>
      <c r="B6582" t="s">
        <v>18</v>
      </c>
      <c r="C6582">
        <v>76</v>
      </c>
      <c r="D6582" t="s">
        <v>19</v>
      </c>
      <c r="E6582" t="s">
        <v>39</v>
      </c>
      <c r="F6582" s="1">
        <v>42524</v>
      </c>
      <c r="G6582" s="1">
        <v>42528</v>
      </c>
      <c r="H6582" t="s">
        <v>41</v>
      </c>
      <c r="I6582">
        <v>4</v>
      </c>
      <c r="J6582" t="s">
        <v>107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1</v>
      </c>
      <c r="Q6582" t="s">
        <v>26</v>
      </c>
      <c r="R6582">
        <v>1</v>
      </c>
    </row>
    <row r="6583" spans="1:18">
      <c r="A6583" s="4">
        <v>2318390000000</v>
      </c>
      <c r="B6583" t="s">
        <v>18</v>
      </c>
      <c r="C6583">
        <v>70</v>
      </c>
      <c r="D6583" t="s">
        <v>19</v>
      </c>
      <c r="E6583" t="s">
        <v>91</v>
      </c>
      <c r="F6583" s="1">
        <v>42524</v>
      </c>
      <c r="G6583" s="1">
        <v>42524</v>
      </c>
      <c r="H6583" t="s">
        <v>21</v>
      </c>
      <c r="I6583">
        <v>0</v>
      </c>
      <c r="J6583" t="s">
        <v>111</v>
      </c>
      <c r="K6583">
        <v>0</v>
      </c>
      <c r="L6583">
        <v>1</v>
      </c>
      <c r="M6583">
        <v>1</v>
      </c>
      <c r="N6583">
        <v>0</v>
      </c>
      <c r="O6583">
        <v>0</v>
      </c>
      <c r="P6583">
        <v>0</v>
      </c>
      <c r="Q6583" t="s">
        <v>23</v>
      </c>
      <c r="R6583">
        <v>0</v>
      </c>
    </row>
    <row r="6584" spans="1:18">
      <c r="A6584" s="4">
        <v>627719000000</v>
      </c>
      <c r="B6584" t="s">
        <v>28</v>
      </c>
      <c r="C6584">
        <v>37</v>
      </c>
      <c r="D6584" t="s">
        <v>27</v>
      </c>
      <c r="E6584" t="s">
        <v>66</v>
      </c>
      <c r="F6584" s="1">
        <v>42524</v>
      </c>
      <c r="G6584" s="1">
        <v>42524</v>
      </c>
      <c r="H6584" t="s">
        <v>21</v>
      </c>
      <c r="I6584">
        <v>0</v>
      </c>
      <c r="J6584" t="s">
        <v>111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23</v>
      </c>
      <c r="R6584">
        <v>0</v>
      </c>
    </row>
    <row r="6585" spans="1:18">
      <c r="A6585" s="4">
        <v>22752800000000</v>
      </c>
      <c r="B6585" t="s">
        <v>28</v>
      </c>
      <c r="C6585">
        <v>7</v>
      </c>
      <c r="D6585" t="s">
        <v>31</v>
      </c>
      <c r="E6585" t="s">
        <v>75</v>
      </c>
      <c r="F6585" s="1">
        <v>42524</v>
      </c>
      <c r="G6585" s="1">
        <v>42524</v>
      </c>
      <c r="H6585" t="s">
        <v>21</v>
      </c>
      <c r="I6585">
        <v>0</v>
      </c>
      <c r="J6585" t="s">
        <v>111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 t="s">
        <v>23</v>
      </c>
      <c r="R6585">
        <v>0</v>
      </c>
    </row>
    <row r="6586" spans="1:18">
      <c r="A6586" s="4">
        <v>45872600000000</v>
      </c>
      <c r="B6586" t="s">
        <v>18</v>
      </c>
      <c r="C6586">
        <v>43</v>
      </c>
      <c r="D6586" t="s">
        <v>27</v>
      </c>
      <c r="E6586" t="s">
        <v>103</v>
      </c>
      <c r="F6586" s="1">
        <v>42524</v>
      </c>
      <c r="G6586" s="1">
        <v>42529</v>
      </c>
      <c r="H6586" t="s">
        <v>25</v>
      </c>
      <c r="I6586">
        <v>5</v>
      </c>
      <c r="J6586" t="s">
        <v>107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1</v>
      </c>
      <c r="Q6586" t="s">
        <v>23</v>
      </c>
      <c r="R6586">
        <v>0</v>
      </c>
    </row>
    <row r="6587" spans="1:18">
      <c r="A6587" s="4">
        <v>516422000000000</v>
      </c>
      <c r="B6587" t="s">
        <v>28</v>
      </c>
      <c r="C6587">
        <v>42</v>
      </c>
      <c r="D6587" t="s">
        <v>27</v>
      </c>
      <c r="E6587" t="s">
        <v>106</v>
      </c>
      <c r="F6587" s="1">
        <v>42524</v>
      </c>
      <c r="G6587" s="1">
        <v>42529</v>
      </c>
      <c r="H6587" t="s">
        <v>25</v>
      </c>
      <c r="I6587">
        <v>5</v>
      </c>
      <c r="J6587" t="s">
        <v>107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1</v>
      </c>
      <c r="Q6587" t="s">
        <v>23</v>
      </c>
      <c r="R6587">
        <v>0</v>
      </c>
    </row>
    <row r="6588" spans="1:18">
      <c r="A6588" s="4">
        <v>7887880000000</v>
      </c>
      <c r="B6588" t="s">
        <v>18</v>
      </c>
      <c r="C6588">
        <v>36</v>
      </c>
      <c r="D6588" t="s">
        <v>27</v>
      </c>
      <c r="E6588" t="s">
        <v>75</v>
      </c>
      <c r="F6588" s="1">
        <v>42524</v>
      </c>
      <c r="G6588" s="1">
        <v>42527</v>
      </c>
      <c r="H6588" t="s">
        <v>30</v>
      </c>
      <c r="I6588">
        <v>3</v>
      </c>
      <c r="J6588" t="s">
        <v>109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 t="s">
        <v>23</v>
      </c>
      <c r="R6588">
        <v>0</v>
      </c>
    </row>
    <row r="6589" spans="1:18">
      <c r="A6589" s="4">
        <v>68954500000000</v>
      </c>
      <c r="B6589" t="s">
        <v>18</v>
      </c>
      <c r="C6589">
        <v>42</v>
      </c>
      <c r="D6589" t="s">
        <v>27</v>
      </c>
      <c r="E6589" t="s">
        <v>61</v>
      </c>
      <c r="F6589" s="1">
        <v>42524</v>
      </c>
      <c r="G6589" s="1">
        <v>42527</v>
      </c>
      <c r="H6589" t="s">
        <v>30</v>
      </c>
      <c r="I6589">
        <v>3</v>
      </c>
      <c r="J6589" t="s">
        <v>109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 t="s">
        <v>26</v>
      </c>
      <c r="R6589">
        <v>1</v>
      </c>
    </row>
    <row r="6590" spans="1:18">
      <c r="A6590" s="4">
        <v>79236700000000</v>
      </c>
      <c r="B6590" t="s">
        <v>18</v>
      </c>
      <c r="C6590">
        <v>53</v>
      </c>
      <c r="D6590" t="s">
        <v>35</v>
      </c>
      <c r="E6590" t="s">
        <v>108</v>
      </c>
      <c r="F6590" s="1">
        <v>42524</v>
      </c>
      <c r="G6590" s="1">
        <v>42528</v>
      </c>
      <c r="H6590" t="s">
        <v>41</v>
      </c>
      <c r="I6590">
        <v>4</v>
      </c>
      <c r="J6590" t="s">
        <v>107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1</v>
      </c>
      <c r="Q6590" t="s">
        <v>23</v>
      </c>
      <c r="R6590">
        <v>0</v>
      </c>
    </row>
    <row r="6591" spans="1:18">
      <c r="A6591" s="4">
        <v>998178000000000</v>
      </c>
      <c r="B6591" t="s">
        <v>18</v>
      </c>
      <c r="C6591">
        <v>67</v>
      </c>
      <c r="D6591" t="s">
        <v>19</v>
      </c>
      <c r="E6591" t="s">
        <v>20</v>
      </c>
      <c r="F6591" s="1">
        <v>42524</v>
      </c>
      <c r="G6591" s="1">
        <v>42528</v>
      </c>
      <c r="H6591" t="s">
        <v>41</v>
      </c>
      <c r="I6591">
        <v>4</v>
      </c>
      <c r="J6591" t="s">
        <v>107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1</v>
      </c>
      <c r="Q6591" t="s">
        <v>23</v>
      </c>
      <c r="R6591">
        <v>0</v>
      </c>
    </row>
    <row r="6592" spans="1:18">
      <c r="A6592" s="4">
        <v>12169600000000</v>
      </c>
      <c r="B6592" t="s">
        <v>28</v>
      </c>
      <c r="C6592">
        <v>37</v>
      </c>
      <c r="D6592" t="s">
        <v>27</v>
      </c>
      <c r="E6592" t="s">
        <v>65</v>
      </c>
      <c r="F6592" s="1">
        <v>42524</v>
      </c>
      <c r="G6592" s="1">
        <v>42529</v>
      </c>
      <c r="H6592" t="s">
        <v>25</v>
      </c>
      <c r="I6592">
        <v>5</v>
      </c>
      <c r="J6592" t="s">
        <v>107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1</v>
      </c>
      <c r="Q6592" t="s">
        <v>23</v>
      </c>
      <c r="R6592">
        <v>0</v>
      </c>
    </row>
    <row r="6593" spans="1:18">
      <c r="A6593" s="4">
        <v>9735330000000</v>
      </c>
      <c r="B6593" t="s">
        <v>18</v>
      </c>
      <c r="C6593">
        <v>29</v>
      </c>
      <c r="D6593" t="s">
        <v>37</v>
      </c>
      <c r="E6593" t="s">
        <v>54</v>
      </c>
      <c r="F6593" s="1">
        <v>42524</v>
      </c>
      <c r="G6593" s="1">
        <v>42529</v>
      </c>
      <c r="H6593" t="s">
        <v>25</v>
      </c>
      <c r="I6593">
        <v>5</v>
      </c>
      <c r="J6593" t="s">
        <v>107</v>
      </c>
      <c r="K6593">
        <v>1</v>
      </c>
      <c r="L6593">
        <v>0</v>
      </c>
      <c r="M6593">
        <v>0</v>
      </c>
      <c r="N6593">
        <v>0</v>
      </c>
      <c r="O6593">
        <v>0</v>
      </c>
      <c r="P6593">
        <v>1</v>
      </c>
      <c r="Q6593" t="s">
        <v>23</v>
      </c>
      <c r="R6593">
        <v>0</v>
      </c>
    </row>
    <row r="6594" spans="1:18">
      <c r="A6594" s="4">
        <v>4821730000000</v>
      </c>
      <c r="B6594" t="s">
        <v>28</v>
      </c>
      <c r="C6594">
        <v>9</v>
      </c>
      <c r="D6594" t="s">
        <v>31</v>
      </c>
      <c r="E6594" t="s">
        <v>79</v>
      </c>
      <c r="F6594" s="1">
        <v>42524</v>
      </c>
      <c r="G6594" s="1">
        <v>42528</v>
      </c>
      <c r="H6594" t="s">
        <v>41</v>
      </c>
      <c r="I6594">
        <v>4</v>
      </c>
      <c r="J6594" t="s">
        <v>107</v>
      </c>
      <c r="K6594">
        <v>1</v>
      </c>
      <c r="L6594">
        <v>0</v>
      </c>
      <c r="M6594">
        <v>0</v>
      </c>
      <c r="N6594">
        <v>0</v>
      </c>
      <c r="O6594">
        <v>0</v>
      </c>
      <c r="P6594">
        <v>1</v>
      </c>
      <c r="Q6594" t="s">
        <v>26</v>
      </c>
      <c r="R6594">
        <v>1</v>
      </c>
    </row>
    <row r="6595" spans="1:18">
      <c r="A6595" s="4">
        <v>62812800000000</v>
      </c>
      <c r="B6595" t="s">
        <v>18</v>
      </c>
      <c r="C6595">
        <v>39</v>
      </c>
      <c r="D6595" t="s">
        <v>27</v>
      </c>
      <c r="E6595" t="s">
        <v>40</v>
      </c>
      <c r="F6595" s="1">
        <v>42524</v>
      </c>
      <c r="G6595" s="1">
        <v>42524</v>
      </c>
      <c r="H6595" t="s">
        <v>21</v>
      </c>
      <c r="I6595">
        <v>0</v>
      </c>
      <c r="J6595" t="s">
        <v>111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 t="s">
        <v>23</v>
      </c>
      <c r="R6595">
        <v>0</v>
      </c>
    </row>
    <row r="6596" spans="1:18">
      <c r="A6596" s="4">
        <v>765249000000000</v>
      </c>
      <c r="B6596" t="s">
        <v>18</v>
      </c>
      <c r="C6596">
        <v>2</v>
      </c>
      <c r="D6596" t="s">
        <v>31</v>
      </c>
      <c r="E6596" t="s">
        <v>48</v>
      </c>
      <c r="F6596" s="1">
        <v>42524</v>
      </c>
      <c r="G6596" s="1">
        <v>42528</v>
      </c>
      <c r="H6596" t="s">
        <v>41</v>
      </c>
      <c r="I6596">
        <v>4</v>
      </c>
      <c r="J6596" t="s">
        <v>107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1</v>
      </c>
      <c r="Q6596" t="s">
        <v>23</v>
      </c>
      <c r="R6596">
        <v>0</v>
      </c>
    </row>
    <row r="6597" spans="1:18">
      <c r="A6597" s="4">
        <v>428475000000000</v>
      </c>
      <c r="B6597" t="s">
        <v>18</v>
      </c>
      <c r="C6597">
        <v>68</v>
      </c>
      <c r="D6597" t="s">
        <v>19</v>
      </c>
      <c r="E6597" t="s">
        <v>39</v>
      </c>
      <c r="F6597" s="1">
        <v>42524</v>
      </c>
      <c r="G6597" s="1">
        <v>42528</v>
      </c>
      <c r="H6597" t="s">
        <v>41</v>
      </c>
      <c r="I6597">
        <v>4</v>
      </c>
      <c r="J6597" t="s">
        <v>107</v>
      </c>
      <c r="K6597">
        <v>0</v>
      </c>
      <c r="L6597">
        <v>1</v>
      </c>
      <c r="M6597">
        <v>1</v>
      </c>
      <c r="N6597">
        <v>0</v>
      </c>
      <c r="O6597">
        <v>0</v>
      </c>
      <c r="P6597">
        <v>1</v>
      </c>
      <c r="Q6597" t="s">
        <v>23</v>
      </c>
      <c r="R6597">
        <v>0</v>
      </c>
    </row>
    <row r="6598" spans="1:18">
      <c r="A6598" s="4">
        <v>26749100000000</v>
      </c>
      <c r="B6598" t="s">
        <v>28</v>
      </c>
      <c r="C6598">
        <v>69</v>
      </c>
      <c r="D6598" t="s">
        <v>19</v>
      </c>
      <c r="E6598" t="s">
        <v>58</v>
      </c>
      <c r="F6598" s="1">
        <v>42524</v>
      </c>
      <c r="G6598" s="1">
        <v>42527</v>
      </c>
      <c r="H6598" t="s">
        <v>30</v>
      </c>
      <c r="I6598">
        <v>3</v>
      </c>
      <c r="J6598" t="s">
        <v>109</v>
      </c>
      <c r="K6598">
        <v>0</v>
      </c>
      <c r="L6598">
        <v>1</v>
      </c>
      <c r="M6598">
        <v>0</v>
      </c>
      <c r="N6598">
        <v>0</v>
      </c>
      <c r="O6598">
        <v>0</v>
      </c>
      <c r="P6598">
        <v>1</v>
      </c>
      <c r="Q6598" t="s">
        <v>23</v>
      </c>
      <c r="R6598">
        <v>0</v>
      </c>
    </row>
    <row r="6599" spans="1:18">
      <c r="A6599" s="4">
        <v>32943477221</v>
      </c>
      <c r="B6599" t="s">
        <v>28</v>
      </c>
      <c r="C6599">
        <v>37</v>
      </c>
      <c r="D6599" t="s">
        <v>27</v>
      </c>
      <c r="E6599" t="s">
        <v>39</v>
      </c>
      <c r="F6599" s="1">
        <v>42524</v>
      </c>
      <c r="G6599" s="1">
        <v>42527</v>
      </c>
      <c r="H6599" t="s">
        <v>30</v>
      </c>
      <c r="I6599">
        <v>3</v>
      </c>
      <c r="J6599" t="s">
        <v>109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 t="s">
        <v>23</v>
      </c>
      <c r="R6599">
        <v>0</v>
      </c>
    </row>
    <row r="6600" spans="1:18">
      <c r="A6600" s="4">
        <v>4951110000000</v>
      </c>
      <c r="B6600" t="s">
        <v>18</v>
      </c>
      <c r="C6600">
        <v>68</v>
      </c>
      <c r="D6600" t="s">
        <v>19</v>
      </c>
      <c r="E6600" t="s">
        <v>72</v>
      </c>
      <c r="F6600" s="1">
        <v>42524</v>
      </c>
      <c r="G6600" s="1">
        <v>42528</v>
      </c>
      <c r="H6600" t="s">
        <v>41</v>
      </c>
      <c r="I6600">
        <v>4</v>
      </c>
      <c r="J6600" t="s">
        <v>107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 t="s">
        <v>26</v>
      </c>
      <c r="R6600">
        <v>1</v>
      </c>
    </row>
    <row r="6601" spans="1:18">
      <c r="A6601" s="4">
        <v>74374000000000</v>
      </c>
      <c r="B6601" t="s">
        <v>28</v>
      </c>
      <c r="C6601">
        <v>9</v>
      </c>
      <c r="D6601" t="s">
        <v>31</v>
      </c>
      <c r="E6601" t="s">
        <v>84</v>
      </c>
      <c r="F6601" s="1">
        <v>42524</v>
      </c>
      <c r="G6601" s="1">
        <v>42524</v>
      </c>
      <c r="H6601" t="s">
        <v>21</v>
      </c>
      <c r="I6601">
        <v>0</v>
      </c>
      <c r="J6601" t="s">
        <v>111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 t="s">
        <v>23</v>
      </c>
      <c r="R6601">
        <v>0</v>
      </c>
    </row>
    <row r="6602" spans="1:18">
      <c r="A6602" s="4">
        <v>34393200000000</v>
      </c>
      <c r="B6602" t="s">
        <v>18</v>
      </c>
      <c r="C6602">
        <v>49</v>
      </c>
      <c r="D6602" t="s">
        <v>27</v>
      </c>
      <c r="E6602" t="s">
        <v>58</v>
      </c>
      <c r="F6602" s="1">
        <v>42524</v>
      </c>
      <c r="G6602" s="1">
        <v>42524</v>
      </c>
      <c r="H6602" t="s">
        <v>21</v>
      </c>
      <c r="I6602">
        <v>0</v>
      </c>
      <c r="J6602" t="s">
        <v>111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23</v>
      </c>
      <c r="R6602">
        <v>0</v>
      </c>
    </row>
    <row r="6603" spans="1:18">
      <c r="A6603" s="4">
        <v>3943450000000</v>
      </c>
      <c r="B6603" t="s">
        <v>18</v>
      </c>
      <c r="C6603">
        <v>32</v>
      </c>
      <c r="D6603" t="s">
        <v>37</v>
      </c>
      <c r="E6603" t="s">
        <v>57</v>
      </c>
      <c r="F6603" s="1">
        <v>42524</v>
      </c>
      <c r="G6603" s="1">
        <v>42524</v>
      </c>
      <c r="H6603" t="s">
        <v>21</v>
      </c>
      <c r="I6603">
        <v>0</v>
      </c>
      <c r="J6603" t="s">
        <v>111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 t="s">
        <v>23</v>
      </c>
      <c r="R6603">
        <v>0</v>
      </c>
    </row>
    <row r="6604" spans="1:18">
      <c r="A6604" s="4">
        <v>42418600000000</v>
      </c>
      <c r="B6604" t="s">
        <v>18</v>
      </c>
      <c r="C6604">
        <v>8</v>
      </c>
      <c r="D6604" t="s">
        <v>31</v>
      </c>
      <c r="E6604" t="s">
        <v>74</v>
      </c>
      <c r="F6604" s="1">
        <v>42524</v>
      </c>
      <c r="G6604" s="1">
        <v>42524</v>
      </c>
      <c r="H6604" t="s">
        <v>21</v>
      </c>
      <c r="I6604">
        <v>0</v>
      </c>
      <c r="J6604" t="s">
        <v>111</v>
      </c>
      <c r="K6604">
        <v>0</v>
      </c>
      <c r="L6604">
        <v>0</v>
      </c>
      <c r="M6604">
        <v>0</v>
      </c>
      <c r="N6604">
        <v>0</v>
      </c>
      <c r="O6604">
        <v>1</v>
      </c>
      <c r="P6604">
        <v>0</v>
      </c>
      <c r="Q6604" t="s">
        <v>23</v>
      </c>
      <c r="R6604">
        <v>0</v>
      </c>
    </row>
    <row r="6605" spans="1:18">
      <c r="A6605" s="4">
        <v>61485696469</v>
      </c>
      <c r="B6605" t="s">
        <v>18</v>
      </c>
      <c r="C6605">
        <v>7</v>
      </c>
      <c r="D6605" t="s">
        <v>31</v>
      </c>
      <c r="E6605" t="s">
        <v>45</v>
      </c>
      <c r="F6605" s="1">
        <v>42524</v>
      </c>
      <c r="G6605" s="1">
        <v>42527</v>
      </c>
      <c r="H6605" t="s">
        <v>30</v>
      </c>
      <c r="I6605">
        <v>3</v>
      </c>
      <c r="J6605" t="s">
        <v>109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1</v>
      </c>
      <c r="Q6605" t="s">
        <v>23</v>
      </c>
      <c r="R6605">
        <v>0</v>
      </c>
    </row>
    <row r="6606" spans="1:18">
      <c r="A6606" s="4">
        <v>3554350000000</v>
      </c>
      <c r="B6606" t="s">
        <v>28</v>
      </c>
      <c r="C6606">
        <v>0</v>
      </c>
      <c r="D6606" t="s">
        <v>31</v>
      </c>
      <c r="E6606" t="s">
        <v>59</v>
      </c>
      <c r="F6606" s="1">
        <v>42524</v>
      </c>
      <c r="G6606" s="1">
        <v>42529</v>
      </c>
      <c r="H6606" t="s">
        <v>25</v>
      </c>
      <c r="I6606">
        <v>5</v>
      </c>
      <c r="J6606" t="s">
        <v>107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 t="s">
        <v>23</v>
      </c>
      <c r="R6606">
        <v>0</v>
      </c>
    </row>
    <row r="6607" spans="1:18">
      <c r="A6607" s="4">
        <v>98266800000000</v>
      </c>
      <c r="B6607" t="s">
        <v>18</v>
      </c>
      <c r="C6607">
        <v>14</v>
      </c>
      <c r="D6607" t="s">
        <v>60</v>
      </c>
      <c r="E6607" t="s">
        <v>36</v>
      </c>
      <c r="F6607" s="1">
        <v>42524</v>
      </c>
      <c r="G6607" s="1">
        <v>42527</v>
      </c>
      <c r="H6607" t="s">
        <v>30</v>
      </c>
      <c r="I6607">
        <v>3</v>
      </c>
      <c r="J6607" t="s">
        <v>109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23</v>
      </c>
      <c r="R6607">
        <v>0</v>
      </c>
    </row>
    <row r="6608" spans="1:18">
      <c r="A6608" s="4">
        <v>32348600000000</v>
      </c>
      <c r="B6608" t="s">
        <v>18</v>
      </c>
      <c r="C6608">
        <v>38</v>
      </c>
      <c r="D6608" t="s">
        <v>27</v>
      </c>
      <c r="E6608" t="s">
        <v>47</v>
      </c>
      <c r="F6608" s="1">
        <v>42524</v>
      </c>
      <c r="G6608" s="1">
        <v>42524</v>
      </c>
      <c r="H6608" t="s">
        <v>21</v>
      </c>
      <c r="I6608">
        <v>0</v>
      </c>
      <c r="J6608" t="s">
        <v>111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 t="s">
        <v>23</v>
      </c>
      <c r="R6608">
        <v>0</v>
      </c>
    </row>
    <row r="6609" spans="1:18">
      <c r="A6609" s="4">
        <v>3878740000000</v>
      </c>
      <c r="B6609" t="s">
        <v>18</v>
      </c>
      <c r="C6609">
        <v>67</v>
      </c>
      <c r="D6609" t="s">
        <v>19</v>
      </c>
      <c r="E6609" t="s">
        <v>32</v>
      </c>
      <c r="F6609" s="1">
        <v>42524</v>
      </c>
      <c r="G6609" s="1">
        <v>42524</v>
      </c>
      <c r="H6609" t="s">
        <v>21</v>
      </c>
      <c r="I6609">
        <v>0</v>
      </c>
      <c r="J6609" t="s">
        <v>111</v>
      </c>
      <c r="K6609">
        <v>0</v>
      </c>
      <c r="L6609">
        <v>1</v>
      </c>
      <c r="M6609">
        <v>1</v>
      </c>
      <c r="N6609">
        <v>0</v>
      </c>
      <c r="O6609">
        <v>0</v>
      </c>
      <c r="P6609">
        <v>0</v>
      </c>
      <c r="Q6609" t="s">
        <v>23</v>
      </c>
      <c r="R6609">
        <v>0</v>
      </c>
    </row>
    <row r="6610" spans="1:18">
      <c r="A6610" s="4">
        <v>716625000000</v>
      </c>
      <c r="B6610" t="s">
        <v>18</v>
      </c>
      <c r="C6610">
        <v>1</v>
      </c>
      <c r="D6610" t="s">
        <v>31</v>
      </c>
      <c r="E6610" t="s">
        <v>34</v>
      </c>
      <c r="F6610" s="1">
        <v>42524</v>
      </c>
      <c r="G6610" s="1">
        <v>42527</v>
      </c>
      <c r="H6610" t="s">
        <v>30</v>
      </c>
      <c r="I6610">
        <v>3</v>
      </c>
      <c r="J6610" t="s">
        <v>109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 t="s">
        <v>23</v>
      </c>
      <c r="R6610">
        <v>0</v>
      </c>
    </row>
    <row r="6611" spans="1:18">
      <c r="A6611" s="4">
        <v>41694500000000</v>
      </c>
      <c r="B6611" t="s">
        <v>18</v>
      </c>
      <c r="C6611">
        <v>3</v>
      </c>
      <c r="D6611" t="s">
        <v>31</v>
      </c>
      <c r="E6611" t="s">
        <v>32</v>
      </c>
      <c r="F6611" s="1">
        <v>42524</v>
      </c>
      <c r="G6611" s="1">
        <v>42524</v>
      </c>
      <c r="H6611" t="s">
        <v>21</v>
      </c>
      <c r="I6611">
        <v>0</v>
      </c>
      <c r="J6611" t="s">
        <v>111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 t="s">
        <v>23</v>
      </c>
      <c r="R6611">
        <v>0</v>
      </c>
    </row>
    <row r="6612" spans="1:18">
      <c r="A6612" s="4">
        <v>915190000000</v>
      </c>
      <c r="B6612" t="s">
        <v>28</v>
      </c>
      <c r="C6612">
        <v>61</v>
      </c>
      <c r="D6612" t="s">
        <v>35</v>
      </c>
      <c r="E6612" t="s">
        <v>72</v>
      </c>
      <c r="F6612" s="1">
        <v>42524</v>
      </c>
      <c r="G6612" s="1">
        <v>42524</v>
      </c>
      <c r="H6612" t="s">
        <v>21</v>
      </c>
      <c r="I6612">
        <v>0</v>
      </c>
      <c r="J6612" t="s">
        <v>111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 t="s">
        <v>23</v>
      </c>
      <c r="R6612">
        <v>0</v>
      </c>
    </row>
    <row r="6613" spans="1:18">
      <c r="A6613" s="4">
        <v>8299660000000</v>
      </c>
      <c r="B6613" t="s">
        <v>28</v>
      </c>
      <c r="C6613">
        <v>84</v>
      </c>
      <c r="D6613" t="s">
        <v>19</v>
      </c>
      <c r="E6613" t="s">
        <v>72</v>
      </c>
      <c r="F6613" s="1">
        <v>42524</v>
      </c>
      <c r="G6613" s="1">
        <v>42524</v>
      </c>
      <c r="H6613" t="s">
        <v>21</v>
      </c>
      <c r="I6613">
        <v>0</v>
      </c>
      <c r="J6613" t="s">
        <v>111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 t="s">
        <v>23</v>
      </c>
      <c r="R6613">
        <v>0</v>
      </c>
    </row>
    <row r="6614" spans="1:18">
      <c r="A6614" s="4">
        <v>44635600000000</v>
      </c>
      <c r="B6614" t="s">
        <v>28</v>
      </c>
      <c r="C6614">
        <v>51</v>
      </c>
      <c r="D6614" t="s">
        <v>35</v>
      </c>
      <c r="E6614" t="s">
        <v>57</v>
      </c>
      <c r="F6614" s="1">
        <v>42524</v>
      </c>
      <c r="G6614" s="1">
        <v>42524</v>
      </c>
      <c r="H6614" t="s">
        <v>21</v>
      </c>
      <c r="I6614">
        <v>0</v>
      </c>
      <c r="J6614" t="s">
        <v>111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 t="s">
        <v>23</v>
      </c>
      <c r="R6614">
        <v>0</v>
      </c>
    </row>
    <row r="6615" spans="1:18">
      <c r="A6615" s="4">
        <v>631833000000000</v>
      </c>
      <c r="B6615" t="s">
        <v>18</v>
      </c>
      <c r="C6615">
        <v>21</v>
      </c>
      <c r="D6615" t="s">
        <v>37</v>
      </c>
      <c r="E6615" t="s">
        <v>72</v>
      </c>
      <c r="F6615" s="1">
        <v>42524</v>
      </c>
      <c r="G6615" s="1">
        <v>42524</v>
      </c>
      <c r="H6615" t="s">
        <v>21</v>
      </c>
      <c r="I6615">
        <v>0</v>
      </c>
      <c r="J6615" t="s">
        <v>111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 t="s">
        <v>23</v>
      </c>
      <c r="R6615">
        <v>0</v>
      </c>
    </row>
    <row r="6616" spans="1:18">
      <c r="A6616" s="4">
        <v>14226223512</v>
      </c>
      <c r="B6616" t="s">
        <v>28</v>
      </c>
      <c r="C6616">
        <v>17</v>
      </c>
      <c r="D6616" t="s">
        <v>60</v>
      </c>
      <c r="E6616" t="s">
        <v>61</v>
      </c>
      <c r="F6616" s="1">
        <v>42524</v>
      </c>
      <c r="G6616" s="1">
        <v>42524</v>
      </c>
      <c r="H6616" t="s">
        <v>21</v>
      </c>
      <c r="I6616">
        <v>0</v>
      </c>
      <c r="J6616" t="s">
        <v>111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26</v>
      </c>
      <c r="R6616">
        <v>1</v>
      </c>
    </row>
    <row r="6617" spans="1:18">
      <c r="A6617" s="4">
        <v>4914460000000</v>
      </c>
      <c r="B6617" t="s">
        <v>18</v>
      </c>
      <c r="C6617">
        <v>21</v>
      </c>
      <c r="D6617" t="s">
        <v>37</v>
      </c>
      <c r="E6617" t="s">
        <v>75</v>
      </c>
      <c r="F6617" s="1">
        <v>42524</v>
      </c>
      <c r="G6617" s="1">
        <v>42524</v>
      </c>
      <c r="H6617" t="s">
        <v>21</v>
      </c>
      <c r="I6617">
        <v>0</v>
      </c>
      <c r="J6617" t="s">
        <v>111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 t="s">
        <v>23</v>
      </c>
      <c r="R6617">
        <v>0</v>
      </c>
    </row>
    <row r="6618" spans="1:18">
      <c r="A6618" s="4">
        <v>38247915222</v>
      </c>
      <c r="B6618" t="s">
        <v>18</v>
      </c>
      <c r="C6618">
        <v>29</v>
      </c>
      <c r="D6618" t="s">
        <v>37</v>
      </c>
      <c r="E6618" t="s">
        <v>113</v>
      </c>
      <c r="F6618" s="1">
        <v>42524</v>
      </c>
      <c r="G6618" s="1">
        <v>42529</v>
      </c>
      <c r="H6618" t="s">
        <v>25</v>
      </c>
      <c r="I6618">
        <v>5</v>
      </c>
      <c r="J6618" t="s">
        <v>107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1</v>
      </c>
      <c r="Q6618" t="s">
        <v>23</v>
      </c>
      <c r="R6618">
        <v>0</v>
      </c>
    </row>
    <row r="6619" spans="1:18">
      <c r="A6619" s="4">
        <v>96149200000000</v>
      </c>
      <c r="B6619" t="s">
        <v>18</v>
      </c>
      <c r="C6619">
        <v>48</v>
      </c>
      <c r="D6619" t="s">
        <v>27</v>
      </c>
      <c r="E6619" t="s">
        <v>67</v>
      </c>
      <c r="F6619" s="1">
        <v>42524</v>
      </c>
      <c r="G6619" s="1">
        <v>42524</v>
      </c>
      <c r="H6619" t="s">
        <v>21</v>
      </c>
      <c r="I6619">
        <v>0</v>
      </c>
      <c r="J6619" t="s">
        <v>111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 t="s">
        <v>23</v>
      </c>
      <c r="R6619">
        <v>0</v>
      </c>
    </row>
    <row r="6620" spans="1:18">
      <c r="A6620" s="4">
        <v>839574000000000</v>
      </c>
      <c r="B6620" t="s">
        <v>18</v>
      </c>
      <c r="C6620">
        <v>60</v>
      </c>
      <c r="D6620" t="s">
        <v>35</v>
      </c>
      <c r="E6620" t="s">
        <v>68</v>
      </c>
      <c r="F6620" s="1">
        <v>42524</v>
      </c>
      <c r="G6620" s="1">
        <v>42524</v>
      </c>
      <c r="H6620" t="s">
        <v>21</v>
      </c>
      <c r="I6620">
        <v>0</v>
      </c>
      <c r="J6620" t="s">
        <v>111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 t="s">
        <v>23</v>
      </c>
      <c r="R6620">
        <v>0</v>
      </c>
    </row>
    <row r="6621" spans="1:18">
      <c r="A6621" s="4">
        <v>9716120000000</v>
      </c>
      <c r="B6621" t="s">
        <v>18</v>
      </c>
      <c r="C6621">
        <v>31</v>
      </c>
      <c r="D6621" t="s">
        <v>37</v>
      </c>
      <c r="E6621" t="s">
        <v>96</v>
      </c>
      <c r="F6621" s="1">
        <v>42524</v>
      </c>
      <c r="G6621" s="1">
        <v>42524</v>
      </c>
      <c r="H6621" t="s">
        <v>21</v>
      </c>
      <c r="I6621">
        <v>0</v>
      </c>
      <c r="J6621" t="s">
        <v>111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 t="s">
        <v>23</v>
      </c>
      <c r="R6621">
        <v>0</v>
      </c>
    </row>
    <row r="6622" spans="1:18">
      <c r="A6622" s="4">
        <v>4852740000000</v>
      </c>
      <c r="B6622" t="s">
        <v>18</v>
      </c>
      <c r="C6622">
        <v>4</v>
      </c>
      <c r="D6622" t="s">
        <v>31</v>
      </c>
      <c r="E6622" t="s">
        <v>67</v>
      </c>
      <c r="F6622" s="1">
        <v>42524</v>
      </c>
      <c r="G6622" s="1">
        <v>42524</v>
      </c>
      <c r="H6622" t="s">
        <v>21</v>
      </c>
      <c r="I6622">
        <v>0</v>
      </c>
      <c r="J6622" t="s">
        <v>111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23</v>
      </c>
      <c r="R6622">
        <v>0</v>
      </c>
    </row>
    <row r="6623" spans="1:18">
      <c r="A6623" s="4">
        <v>8498180000000</v>
      </c>
      <c r="B6623" t="s">
        <v>18</v>
      </c>
      <c r="C6623">
        <v>33</v>
      </c>
      <c r="D6623" t="s">
        <v>37</v>
      </c>
      <c r="E6623" t="s">
        <v>57</v>
      </c>
      <c r="F6623" s="1">
        <v>42524</v>
      </c>
      <c r="G6623" s="1">
        <v>42528</v>
      </c>
      <c r="H6623" t="s">
        <v>41</v>
      </c>
      <c r="I6623">
        <v>4</v>
      </c>
      <c r="J6623" t="s">
        <v>107</v>
      </c>
      <c r="K6623">
        <v>1</v>
      </c>
      <c r="L6623">
        <v>0</v>
      </c>
      <c r="M6623">
        <v>0</v>
      </c>
      <c r="N6623">
        <v>0</v>
      </c>
      <c r="O6623">
        <v>0</v>
      </c>
      <c r="P6623">
        <v>1</v>
      </c>
      <c r="Q6623" t="s">
        <v>23</v>
      </c>
      <c r="R6623">
        <v>0</v>
      </c>
    </row>
    <row r="6624" spans="1:18">
      <c r="A6624" s="4">
        <v>91371300000000</v>
      </c>
      <c r="B6624" t="s">
        <v>18</v>
      </c>
      <c r="C6624">
        <v>15</v>
      </c>
      <c r="D6624" t="s">
        <v>60</v>
      </c>
      <c r="E6624" t="s">
        <v>45</v>
      </c>
      <c r="F6624" s="1">
        <v>42524</v>
      </c>
      <c r="G6624" s="1">
        <v>42528</v>
      </c>
      <c r="H6624" t="s">
        <v>41</v>
      </c>
      <c r="I6624">
        <v>4</v>
      </c>
      <c r="J6624" t="s">
        <v>107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1</v>
      </c>
      <c r="Q6624" t="s">
        <v>23</v>
      </c>
      <c r="R6624">
        <v>0</v>
      </c>
    </row>
    <row r="6625" spans="1:18">
      <c r="A6625" s="4">
        <v>26269300000000</v>
      </c>
      <c r="B6625" t="s">
        <v>18</v>
      </c>
      <c r="C6625">
        <v>88</v>
      </c>
      <c r="D6625" t="s">
        <v>19</v>
      </c>
      <c r="E6625" t="s">
        <v>40</v>
      </c>
      <c r="F6625" s="1">
        <v>42524</v>
      </c>
      <c r="G6625" s="1">
        <v>42524</v>
      </c>
      <c r="H6625" t="s">
        <v>21</v>
      </c>
      <c r="I6625">
        <v>0</v>
      </c>
      <c r="J6625" t="s">
        <v>111</v>
      </c>
      <c r="K6625">
        <v>0</v>
      </c>
      <c r="L6625">
        <v>0</v>
      </c>
      <c r="M6625">
        <v>1</v>
      </c>
      <c r="N6625">
        <v>0</v>
      </c>
      <c r="O6625">
        <v>0</v>
      </c>
      <c r="P6625">
        <v>0</v>
      </c>
      <c r="Q6625" t="s">
        <v>23</v>
      </c>
      <c r="R6625">
        <v>0</v>
      </c>
    </row>
    <row r="6626" spans="1:18">
      <c r="A6626" s="4">
        <v>3189140000000</v>
      </c>
      <c r="B6626" t="s">
        <v>28</v>
      </c>
      <c r="C6626">
        <v>54</v>
      </c>
      <c r="D6626" t="s">
        <v>35</v>
      </c>
      <c r="E6626" t="s">
        <v>108</v>
      </c>
      <c r="F6626" s="1">
        <v>42524</v>
      </c>
      <c r="G6626" s="1">
        <v>42528</v>
      </c>
      <c r="H6626" t="s">
        <v>41</v>
      </c>
      <c r="I6626">
        <v>4</v>
      </c>
      <c r="J6626" t="s">
        <v>107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1</v>
      </c>
      <c r="Q6626" t="s">
        <v>23</v>
      </c>
      <c r="R6626">
        <v>0</v>
      </c>
    </row>
    <row r="6627" spans="1:18">
      <c r="A6627" s="4">
        <v>44567900000000</v>
      </c>
      <c r="B6627" t="s">
        <v>18</v>
      </c>
      <c r="C6627">
        <v>71</v>
      </c>
      <c r="D6627" t="s">
        <v>19</v>
      </c>
      <c r="E6627" t="s">
        <v>84</v>
      </c>
      <c r="F6627" s="1">
        <v>42524</v>
      </c>
      <c r="G6627" s="1">
        <v>42528</v>
      </c>
      <c r="H6627" t="s">
        <v>41</v>
      </c>
      <c r="I6627">
        <v>4</v>
      </c>
      <c r="J6627" t="s">
        <v>107</v>
      </c>
      <c r="K6627">
        <v>0</v>
      </c>
      <c r="L6627">
        <v>1</v>
      </c>
      <c r="M6627">
        <v>0</v>
      </c>
      <c r="N6627">
        <v>0</v>
      </c>
      <c r="O6627">
        <v>0</v>
      </c>
      <c r="P6627">
        <v>0</v>
      </c>
      <c r="Q6627" t="s">
        <v>23</v>
      </c>
      <c r="R6627">
        <v>0</v>
      </c>
    </row>
    <row r="6628" spans="1:18">
      <c r="A6628" s="4">
        <v>545136000000000</v>
      </c>
      <c r="B6628" t="s">
        <v>18</v>
      </c>
      <c r="C6628">
        <v>53</v>
      </c>
      <c r="D6628" t="s">
        <v>35</v>
      </c>
      <c r="E6628" t="s">
        <v>39</v>
      </c>
      <c r="F6628" s="1">
        <v>42524</v>
      </c>
      <c r="G6628" s="1">
        <v>42529</v>
      </c>
      <c r="H6628" t="s">
        <v>25</v>
      </c>
      <c r="I6628">
        <v>5</v>
      </c>
      <c r="J6628" t="s">
        <v>107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 t="s">
        <v>23</v>
      </c>
      <c r="R6628">
        <v>0</v>
      </c>
    </row>
    <row r="6629" spans="1:18">
      <c r="A6629" s="4">
        <v>7582520000000</v>
      </c>
      <c r="B6629" t="s">
        <v>28</v>
      </c>
      <c r="C6629">
        <v>52</v>
      </c>
      <c r="D6629" t="s">
        <v>35</v>
      </c>
      <c r="E6629" t="s">
        <v>103</v>
      </c>
      <c r="F6629" s="1">
        <v>42524</v>
      </c>
      <c r="G6629" s="1">
        <v>42528</v>
      </c>
      <c r="H6629" t="s">
        <v>41</v>
      </c>
      <c r="I6629">
        <v>4</v>
      </c>
      <c r="J6629" t="s">
        <v>107</v>
      </c>
      <c r="K6629">
        <v>0</v>
      </c>
      <c r="L6629">
        <v>0</v>
      </c>
      <c r="M6629">
        <v>1</v>
      </c>
      <c r="N6629">
        <v>0</v>
      </c>
      <c r="O6629">
        <v>0</v>
      </c>
      <c r="P6629">
        <v>0</v>
      </c>
      <c r="Q6629" t="s">
        <v>23</v>
      </c>
      <c r="R6629">
        <v>0</v>
      </c>
    </row>
    <row r="6630" spans="1:18">
      <c r="A6630" s="4">
        <v>46232700000000</v>
      </c>
      <c r="B6630" t="s">
        <v>18</v>
      </c>
      <c r="C6630">
        <v>86</v>
      </c>
      <c r="D6630" t="s">
        <v>19</v>
      </c>
      <c r="E6630" t="s">
        <v>32</v>
      </c>
      <c r="F6630" s="1">
        <v>42524</v>
      </c>
      <c r="G6630" s="1">
        <v>42524</v>
      </c>
      <c r="H6630" t="s">
        <v>21</v>
      </c>
      <c r="I6630">
        <v>0</v>
      </c>
      <c r="J6630" t="s">
        <v>111</v>
      </c>
      <c r="K6630">
        <v>0</v>
      </c>
      <c r="L6630">
        <v>1</v>
      </c>
      <c r="M6630">
        <v>0</v>
      </c>
      <c r="N6630">
        <v>0</v>
      </c>
      <c r="O6630">
        <v>0</v>
      </c>
      <c r="P6630">
        <v>0</v>
      </c>
      <c r="Q6630" t="s">
        <v>23</v>
      </c>
      <c r="R6630">
        <v>0</v>
      </c>
    </row>
    <row r="6631" spans="1:18">
      <c r="A6631" s="4">
        <v>3834870000000</v>
      </c>
      <c r="B6631" t="s">
        <v>18</v>
      </c>
      <c r="C6631">
        <v>37</v>
      </c>
      <c r="D6631" t="s">
        <v>27</v>
      </c>
      <c r="E6631" t="s">
        <v>54</v>
      </c>
      <c r="F6631" s="1">
        <v>42524</v>
      </c>
      <c r="G6631" s="1">
        <v>42524</v>
      </c>
      <c r="H6631" t="s">
        <v>21</v>
      </c>
      <c r="I6631">
        <v>0</v>
      </c>
      <c r="J6631" t="s">
        <v>111</v>
      </c>
      <c r="K6631">
        <v>1</v>
      </c>
      <c r="L6631">
        <v>1</v>
      </c>
      <c r="M6631">
        <v>0</v>
      </c>
      <c r="N6631">
        <v>0</v>
      </c>
      <c r="O6631">
        <v>0</v>
      </c>
      <c r="P6631">
        <v>0</v>
      </c>
      <c r="Q6631" t="s">
        <v>23</v>
      </c>
      <c r="R6631">
        <v>0</v>
      </c>
    </row>
    <row r="6632" spans="1:18">
      <c r="A6632" s="4">
        <v>454134000000</v>
      </c>
      <c r="B6632" t="s">
        <v>28</v>
      </c>
      <c r="C6632">
        <v>70</v>
      </c>
      <c r="D6632" t="s">
        <v>19</v>
      </c>
      <c r="E6632" t="s">
        <v>81</v>
      </c>
      <c r="F6632" s="1">
        <v>42524</v>
      </c>
      <c r="G6632" s="1">
        <v>42524</v>
      </c>
      <c r="H6632" t="s">
        <v>21</v>
      </c>
      <c r="I6632">
        <v>0</v>
      </c>
      <c r="J6632" t="s">
        <v>111</v>
      </c>
      <c r="K6632">
        <v>0</v>
      </c>
      <c r="L6632">
        <v>1</v>
      </c>
      <c r="M6632">
        <v>0</v>
      </c>
      <c r="N6632">
        <v>0</v>
      </c>
      <c r="O6632">
        <v>0</v>
      </c>
      <c r="P6632">
        <v>0</v>
      </c>
      <c r="Q6632" t="s">
        <v>23</v>
      </c>
      <c r="R6632">
        <v>0</v>
      </c>
    </row>
    <row r="6633" spans="1:18">
      <c r="A6633" s="4">
        <v>37533500000000</v>
      </c>
      <c r="B6633" t="s">
        <v>18</v>
      </c>
      <c r="C6633">
        <v>40</v>
      </c>
      <c r="D6633" t="s">
        <v>27</v>
      </c>
      <c r="E6633" t="s">
        <v>84</v>
      </c>
      <c r="F6633" s="1">
        <v>42524</v>
      </c>
      <c r="G6633" s="1">
        <v>42528</v>
      </c>
      <c r="H6633" t="s">
        <v>41</v>
      </c>
      <c r="I6633">
        <v>4</v>
      </c>
      <c r="J6633" t="s">
        <v>107</v>
      </c>
      <c r="K6633">
        <v>0</v>
      </c>
      <c r="L6633">
        <v>1</v>
      </c>
      <c r="M6633">
        <v>0</v>
      </c>
      <c r="N6633">
        <v>0</v>
      </c>
      <c r="O6633">
        <v>0</v>
      </c>
      <c r="P6633">
        <v>1</v>
      </c>
      <c r="Q6633" t="s">
        <v>26</v>
      </c>
      <c r="R6633">
        <v>1</v>
      </c>
    </row>
    <row r="6634" spans="1:18">
      <c r="A6634" s="4">
        <v>5375120000000</v>
      </c>
      <c r="B6634" t="s">
        <v>28</v>
      </c>
      <c r="C6634">
        <v>43</v>
      </c>
      <c r="D6634" t="s">
        <v>27</v>
      </c>
      <c r="E6634" t="s">
        <v>49</v>
      </c>
      <c r="F6634" s="1">
        <v>42524</v>
      </c>
      <c r="G6634" s="1">
        <v>42528</v>
      </c>
      <c r="H6634" t="s">
        <v>41</v>
      </c>
      <c r="I6634">
        <v>4</v>
      </c>
      <c r="J6634" t="s">
        <v>107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1</v>
      </c>
      <c r="Q6634" t="s">
        <v>23</v>
      </c>
      <c r="R6634">
        <v>0</v>
      </c>
    </row>
    <row r="6635" spans="1:18">
      <c r="A6635" s="4">
        <v>134322000000000</v>
      </c>
      <c r="B6635" t="s">
        <v>18</v>
      </c>
      <c r="C6635">
        <v>76</v>
      </c>
      <c r="D6635" t="s">
        <v>19</v>
      </c>
      <c r="E6635" t="s">
        <v>45</v>
      </c>
      <c r="F6635" s="1">
        <v>42524</v>
      </c>
      <c r="G6635" s="1">
        <v>42524</v>
      </c>
      <c r="H6635" t="s">
        <v>21</v>
      </c>
      <c r="I6635">
        <v>0</v>
      </c>
      <c r="J6635" t="s">
        <v>111</v>
      </c>
      <c r="K6635">
        <v>0</v>
      </c>
      <c r="L6635">
        <v>1</v>
      </c>
      <c r="M6635">
        <v>1</v>
      </c>
      <c r="N6635">
        <v>0</v>
      </c>
      <c r="O6635">
        <v>0</v>
      </c>
      <c r="P6635">
        <v>0</v>
      </c>
      <c r="Q6635" t="s">
        <v>23</v>
      </c>
      <c r="R6635">
        <v>0</v>
      </c>
    </row>
    <row r="6636" spans="1:18">
      <c r="A6636" s="4">
        <v>95488300000000</v>
      </c>
      <c r="B6636" t="s">
        <v>28</v>
      </c>
      <c r="C6636">
        <v>0</v>
      </c>
      <c r="D6636" t="s">
        <v>31</v>
      </c>
      <c r="E6636" t="s">
        <v>61</v>
      </c>
      <c r="F6636" s="1">
        <v>42524</v>
      </c>
      <c r="G6636" s="1">
        <v>42524</v>
      </c>
      <c r="H6636" t="s">
        <v>21</v>
      </c>
      <c r="I6636">
        <v>0</v>
      </c>
      <c r="J6636" t="s">
        <v>111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 t="s">
        <v>23</v>
      </c>
      <c r="R6636">
        <v>0</v>
      </c>
    </row>
    <row r="6637" spans="1:18">
      <c r="A6637" s="4">
        <v>17823600000000</v>
      </c>
      <c r="B6637" t="s">
        <v>28</v>
      </c>
      <c r="C6637">
        <v>34</v>
      </c>
      <c r="D6637" t="s">
        <v>37</v>
      </c>
      <c r="E6637" t="s">
        <v>70</v>
      </c>
      <c r="F6637" s="1">
        <v>42524</v>
      </c>
      <c r="G6637" s="1">
        <v>42528</v>
      </c>
      <c r="H6637" t="s">
        <v>41</v>
      </c>
      <c r="I6637">
        <v>4</v>
      </c>
      <c r="J6637" t="s">
        <v>107</v>
      </c>
      <c r="K6637">
        <v>0</v>
      </c>
      <c r="L6637">
        <v>0</v>
      </c>
      <c r="M6637">
        <v>0</v>
      </c>
      <c r="N6637">
        <v>0</v>
      </c>
      <c r="O6637">
        <v>1</v>
      </c>
      <c r="P6637">
        <v>1</v>
      </c>
      <c r="Q6637" t="s">
        <v>23</v>
      </c>
      <c r="R6637">
        <v>0</v>
      </c>
    </row>
    <row r="6638" spans="1:18">
      <c r="A6638" s="4">
        <v>573423000000000</v>
      </c>
      <c r="B6638" t="s">
        <v>18</v>
      </c>
      <c r="C6638">
        <v>21</v>
      </c>
      <c r="D6638" t="s">
        <v>37</v>
      </c>
      <c r="E6638" t="s">
        <v>79</v>
      </c>
      <c r="F6638" s="1">
        <v>42524</v>
      </c>
      <c r="G6638" s="1">
        <v>42527</v>
      </c>
      <c r="H6638" t="s">
        <v>30</v>
      </c>
      <c r="I6638">
        <v>3</v>
      </c>
      <c r="J6638" t="s">
        <v>109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 t="s">
        <v>23</v>
      </c>
      <c r="R6638">
        <v>0</v>
      </c>
    </row>
    <row r="6639" spans="1:18">
      <c r="A6639" s="4">
        <v>44397900000000</v>
      </c>
      <c r="B6639" t="s">
        <v>18</v>
      </c>
      <c r="C6639">
        <v>17</v>
      </c>
      <c r="D6639" t="s">
        <v>60</v>
      </c>
      <c r="E6639" t="s">
        <v>44</v>
      </c>
      <c r="F6639" s="1">
        <v>42524</v>
      </c>
      <c r="G6639" s="1">
        <v>42527</v>
      </c>
      <c r="H6639" t="s">
        <v>30</v>
      </c>
      <c r="I6639">
        <v>3</v>
      </c>
      <c r="J6639" t="s">
        <v>109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23</v>
      </c>
      <c r="R6639">
        <v>0</v>
      </c>
    </row>
    <row r="6640" spans="1:18">
      <c r="A6640" s="4">
        <v>33316800000000</v>
      </c>
      <c r="B6640" t="s">
        <v>28</v>
      </c>
      <c r="C6640">
        <v>57</v>
      </c>
      <c r="D6640" t="s">
        <v>35</v>
      </c>
      <c r="E6640" t="s">
        <v>29</v>
      </c>
      <c r="F6640" s="1">
        <v>42524</v>
      </c>
      <c r="G6640" s="1">
        <v>42528</v>
      </c>
      <c r="H6640" t="s">
        <v>41</v>
      </c>
      <c r="I6640">
        <v>4</v>
      </c>
      <c r="J6640" t="s">
        <v>107</v>
      </c>
      <c r="K6640">
        <v>0</v>
      </c>
      <c r="L6640">
        <v>1</v>
      </c>
      <c r="M6640">
        <v>0</v>
      </c>
      <c r="N6640">
        <v>0</v>
      </c>
      <c r="O6640">
        <v>0</v>
      </c>
      <c r="P6640">
        <v>1</v>
      </c>
      <c r="Q6640" t="s">
        <v>23</v>
      </c>
      <c r="R6640">
        <v>0</v>
      </c>
    </row>
    <row r="6641" spans="1:18">
      <c r="A6641" s="4">
        <v>4656370000000</v>
      </c>
      <c r="B6641" t="s">
        <v>18</v>
      </c>
      <c r="C6641">
        <v>36</v>
      </c>
      <c r="D6641" t="s">
        <v>27</v>
      </c>
      <c r="E6641" t="s">
        <v>69</v>
      </c>
      <c r="F6641" s="1">
        <v>42525</v>
      </c>
      <c r="G6641" s="1">
        <v>42528</v>
      </c>
      <c r="H6641" t="s">
        <v>41</v>
      </c>
      <c r="I6641">
        <v>3</v>
      </c>
      <c r="J6641" t="s">
        <v>109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1</v>
      </c>
      <c r="Q6641" t="s">
        <v>23</v>
      </c>
      <c r="R6641">
        <v>0</v>
      </c>
    </row>
    <row r="6642" spans="1:18">
      <c r="A6642" s="4">
        <v>72665400000000</v>
      </c>
      <c r="B6642" t="s">
        <v>18</v>
      </c>
      <c r="C6642">
        <v>86</v>
      </c>
      <c r="D6642" t="s">
        <v>19</v>
      </c>
      <c r="E6642" t="s">
        <v>47</v>
      </c>
      <c r="F6642" s="1">
        <v>42527</v>
      </c>
      <c r="G6642" s="1">
        <v>42529</v>
      </c>
      <c r="H6642" t="s">
        <v>25</v>
      </c>
      <c r="I6642">
        <v>2</v>
      </c>
      <c r="J6642" t="s">
        <v>109</v>
      </c>
      <c r="K6642">
        <v>0</v>
      </c>
      <c r="L6642">
        <v>1</v>
      </c>
      <c r="M6642">
        <v>0</v>
      </c>
      <c r="N6642">
        <v>0</v>
      </c>
      <c r="O6642">
        <v>0</v>
      </c>
      <c r="P6642">
        <v>0</v>
      </c>
      <c r="Q6642" t="s">
        <v>26</v>
      </c>
      <c r="R6642">
        <v>1</v>
      </c>
    </row>
    <row r="6643" spans="1:18">
      <c r="A6643" s="4">
        <v>3733700000000</v>
      </c>
      <c r="B6643" t="s">
        <v>28</v>
      </c>
      <c r="C6643">
        <v>73</v>
      </c>
      <c r="D6643" t="s">
        <v>19</v>
      </c>
      <c r="E6643" t="s">
        <v>52</v>
      </c>
      <c r="F6643" s="1">
        <v>42527</v>
      </c>
      <c r="G6643" s="1">
        <v>42527</v>
      </c>
      <c r="H6643" t="s">
        <v>30</v>
      </c>
      <c r="I6643">
        <v>0</v>
      </c>
      <c r="J6643" t="s">
        <v>111</v>
      </c>
      <c r="K6643">
        <v>0</v>
      </c>
      <c r="L6643">
        <v>1</v>
      </c>
      <c r="M6643">
        <v>1</v>
      </c>
      <c r="N6643">
        <v>0</v>
      </c>
      <c r="O6643">
        <v>0</v>
      </c>
      <c r="P6643">
        <v>0</v>
      </c>
      <c r="Q6643" t="s">
        <v>23</v>
      </c>
      <c r="R6643">
        <v>0</v>
      </c>
    </row>
    <row r="6644" spans="1:18">
      <c r="A6644" s="4">
        <v>979674000000000</v>
      </c>
      <c r="B6644" t="s">
        <v>18</v>
      </c>
      <c r="C6644">
        <v>67</v>
      </c>
      <c r="D6644" t="s">
        <v>19</v>
      </c>
      <c r="E6644" t="s">
        <v>51</v>
      </c>
      <c r="F6644" s="1">
        <v>42527</v>
      </c>
      <c r="G6644" s="1">
        <v>42529</v>
      </c>
      <c r="H6644" t="s">
        <v>25</v>
      </c>
      <c r="I6644">
        <v>2</v>
      </c>
      <c r="J6644" t="s">
        <v>109</v>
      </c>
      <c r="K6644">
        <v>0</v>
      </c>
      <c r="L6644">
        <v>1</v>
      </c>
      <c r="M6644">
        <v>1</v>
      </c>
      <c r="N6644">
        <v>0</v>
      </c>
      <c r="O6644">
        <v>0</v>
      </c>
      <c r="P6644">
        <v>0</v>
      </c>
      <c r="Q6644" t="s">
        <v>23</v>
      </c>
      <c r="R6644">
        <v>0</v>
      </c>
    </row>
    <row r="6645" spans="1:18">
      <c r="A6645" s="4">
        <v>36156700000000</v>
      </c>
      <c r="B6645" t="s">
        <v>18</v>
      </c>
      <c r="C6645">
        <v>42</v>
      </c>
      <c r="D6645" t="s">
        <v>27</v>
      </c>
      <c r="E6645" t="s">
        <v>32</v>
      </c>
      <c r="F6645" s="1">
        <v>42527</v>
      </c>
      <c r="G6645" s="1">
        <v>42529</v>
      </c>
      <c r="H6645" t="s">
        <v>25</v>
      </c>
      <c r="I6645">
        <v>2</v>
      </c>
      <c r="J6645" t="s">
        <v>109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 t="s">
        <v>26</v>
      </c>
      <c r="R6645">
        <v>1</v>
      </c>
    </row>
    <row r="6646" spans="1:18">
      <c r="A6646" s="4">
        <v>21716700000000</v>
      </c>
      <c r="B6646" t="s">
        <v>18</v>
      </c>
      <c r="C6646">
        <v>59</v>
      </c>
      <c r="D6646" t="s">
        <v>35</v>
      </c>
      <c r="E6646" t="s">
        <v>69</v>
      </c>
      <c r="F6646" s="1">
        <v>42527</v>
      </c>
      <c r="G6646" s="1">
        <v>42529</v>
      </c>
      <c r="H6646" t="s">
        <v>25</v>
      </c>
      <c r="I6646">
        <v>2</v>
      </c>
      <c r="J6646" t="s">
        <v>109</v>
      </c>
      <c r="K6646">
        <v>0</v>
      </c>
      <c r="L6646">
        <v>1</v>
      </c>
      <c r="M6646">
        <v>1</v>
      </c>
      <c r="N6646">
        <v>0</v>
      </c>
      <c r="O6646">
        <v>0</v>
      </c>
      <c r="P6646">
        <v>0</v>
      </c>
      <c r="Q6646" t="s">
        <v>23</v>
      </c>
      <c r="R6646">
        <v>0</v>
      </c>
    </row>
    <row r="6647" spans="1:18">
      <c r="A6647" s="4">
        <v>376324000000000</v>
      </c>
      <c r="B6647" t="s">
        <v>28</v>
      </c>
      <c r="C6647">
        <v>11</v>
      </c>
      <c r="D6647" t="s">
        <v>31</v>
      </c>
      <c r="E6647" t="s">
        <v>90</v>
      </c>
      <c r="F6647" s="1">
        <v>42527</v>
      </c>
      <c r="G6647" s="1">
        <v>42527</v>
      </c>
      <c r="H6647" t="s">
        <v>30</v>
      </c>
      <c r="I6647">
        <v>0</v>
      </c>
      <c r="J6647" t="s">
        <v>111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 t="s">
        <v>23</v>
      </c>
      <c r="R6647">
        <v>0</v>
      </c>
    </row>
    <row r="6648" spans="1:18">
      <c r="A6648" s="4">
        <v>7722990000000</v>
      </c>
      <c r="B6648" t="s">
        <v>18</v>
      </c>
      <c r="C6648">
        <v>53</v>
      </c>
      <c r="D6648" t="s">
        <v>35</v>
      </c>
      <c r="E6648" t="s">
        <v>56</v>
      </c>
      <c r="F6648" s="1">
        <v>42527</v>
      </c>
      <c r="G6648" s="1">
        <v>42529</v>
      </c>
      <c r="H6648" t="s">
        <v>25</v>
      </c>
      <c r="I6648">
        <v>2</v>
      </c>
      <c r="J6648" t="s">
        <v>109</v>
      </c>
      <c r="K6648">
        <v>0</v>
      </c>
      <c r="L6648">
        <v>0</v>
      </c>
      <c r="M6648">
        <v>1</v>
      </c>
      <c r="N6648">
        <v>0</v>
      </c>
      <c r="O6648">
        <v>0</v>
      </c>
      <c r="P6648">
        <v>0</v>
      </c>
      <c r="Q6648" t="s">
        <v>23</v>
      </c>
      <c r="R6648">
        <v>0</v>
      </c>
    </row>
    <row r="6649" spans="1:18">
      <c r="A6649" s="4">
        <v>56535400000000</v>
      </c>
      <c r="B6649" t="s">
        <v>18</v>
      </c>
      <c r="C6649">
        <v>51</v>
      </c>
      <c r="D6649" t="s">
        <v>35</v>
      </c>
      <c r="E6649" t="s">
        <v>39</v>
      </c>
      <c r="F6649" s="1">
        <v>42527</v>
      </c>
      <c r="G6649" s="1">
        <v>42529</v>
      </c>
      <c r="H6649" t="s">
        <v>25</v>
      </c>
      <c r="I6649">
        <v>2</v>
      </c>
      <c r="J6649" t="s">
        <v>109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 t="s">
        <v>23</v>
      </c>
      <c r="R6649">
        <v>0</v>
      </c>
    </row>
    <row r="6650" spans="1:18">
      <c r="A6650" s="4">
        <v>678617000000000</v>
      </c>
      <c r="B6650" t="s">
        <v>18</v>
      </c>
      <c r="C6650">
        <v>66</v>
      </c>
      <c r="D6650" t="s">
        <v>19</v>
      </c>
      <c r="E6650" t="s">
        <v>52</v>
      </c>
      <c r="F6650" s="1">
        <v>42527</v>
      </c>
      <c r="G6650" s="1">
        <v>42529</v>
      </c>
      <c r="H6650" t="s">
        <v>25</v>
      </c>
      <c r="I6650">
        <v>2</v>
      </c>
      <c r="J6650" t="s">
        <v>109</v>
      </c>
      <c r="K6650">
        <v>0</v>
      </c>
      <c r="L6650">
        <v>1</v>
      </c>
      <c r="M6650">
        <v>1</v>
      </c>
      <c r="N6650">
        <v>0</v>
      </c>
      <c r="O6650">
        <v>0</v>
      </c>
      <c r="P6650">
        <v>0</v>
      </c>
      <c r="Q6650" t="s">
        <v>23</v>
      </c>
      <c r="R6650">
        <v>0</v>
      </c>
    </row>
    <row r="6651" spans="1:18">
      <c r="A6651" s="4">
        <v>83248100000000</v>
      </c>
      <c r="B6651" t="s">
        <v>18</v>
      </c>
      <c r="C6651">
        <v>54</v>
      </c>
      <c r="D6651" t="s">
        <v>35</v>
      </c>
      <c r="E6651" t="s">
        <v>57</v>
      </c>
      <c r="F6651" s="1">
        <v>42527</v>
      </c>
      <c r="G6651" s="1">
        <v>42527</v>
      </c>
      <c r="H6651" t="s">
        <v>30</v>
      </c>
      <c r="I6651">
        <v>0</v>
      </c>
      <c r="J6651" t="s">
        <v>111</v>
      </c>
      <c r="K6651">
        <v>0</v>
      </c>
      <c r="L6651">
        <v>1</v>
      </c>
      <c r="M6651">
        <v>1</v>
      </c>
      <c r="N6651">
        <v>0</v>
      </c>
      <c r="O6651">
        <v>1</v>
      </c>
      <c r="P6651">
        <v>0</v>
      </c>
      <c r="Q6651" t="s">
        <v>23</v>
      </c>
      <c r="R6651">
        <v>0</v>
      </c>
    </row>
    <row r="6652" spans="1:18">
      <c r="A6652" s="4">
        <v>516863000000000</v>
      </c>
      <c r="B6652" t="s">
        <v>28</v>
      </c>
      <c r="C6652">
        <v>5</v>
      </c>
      <c r="D6652" t="s">
        <v>31</v>
      </c>
      <c r="E6652" t="s">
        <v>59</v>
      </c>
      <c r="F6652" s="1">
        <v>42527</v>
      </c>
      <c r="G6652" s="1">
        <v>42527</v>
      </c>
      <c r="H6652" t="s">
        <v>30</v>
      </c>
      <c r="I6652">
        <v>0</v>
      </c>
      <c r="J6652" t="s">
        <v>111</v>
      </c>
      <c r="K6652">
        <v>1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23</v>
      </c>
      <c r="R6652">
        <v>0</v>
      </c>
    </row>
    <row r="6653" spans="1:18">
      <c r="A6653" s="4">
        <v>22737400000000</v>
      </c>
      <c r="B6653" t="s">
        <v>28</v>
      </c>
      <c r="C6653">
        <v>61</v>
      </c>
      <c r="D6653" t="s">
        <v>35</v>
      </c>
      <c r="E6653" t="s">
        <v>39</v>
      </c>
      <c r="F6653" s="1">
        <v>42527</v>
      </c>
      <c r="G6653" s="1">
        <v>42527</v>
      </c>
      <c r="H6653" t="s">
        <v>30</v>
      </c>
      <c r="I6653">
        <v>0</v>
      </c>
      <c r="J6653" t="s">
        <v>111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 t="s">
        <v>23</v>
      </c>
      <c r="R6653">
        <v>0</v>
      </c>
    </row>
    <row r="6654" spans="1:18">
      <c r="A6654" s="4">
        <v>5937370000000</v>
      </c>
      <c r="B6654" t="s">
        <v>18</v>
      </c>
      <c r="C6654">
        <v>61</v>
      </c>
      <c r="D6654" t="s">
        <v>35</v>
      </c>
      <c r="E6654" t="s">
        <v>61</v>
      </c>
      <c r="F6654" s="1">
        <v>42527</v>
      </c>
      <c r="G6654" s="1">
        <v>42527</v>
      </c>
      <c r="H6654" t="s">
        <v>30</v>
      </c>
      <c r="I6654">
        <v>0</v>
      </c>
      <c r="J6654" t="s">
        <v>111</v>
      </c>
      <c r="K6654">
        <v>0</v>
      </c>
      <c r="L6654">
        <v>1</v>
      </c>
      <c r="M6654">
        <v>1</v>
      </c>
      <c r="N6654">
        <v>0</v>
      </c>
      <c r="O6654">
        <v>0</v>
      </c>
      <c r="P6654">
        <v>0</v>
      </c>
      <c r="Q6654" t="s">
        <v>23</v>
      </c>
      <c r="R6654">
        <v>0</v>
      </c>
    </row>
    <row r="6655" spans="1:18">
      <c r="A6655" s="4">
        <v>2768870000000</v>
      </c>
      <c r="B6655" t="s">
        <v>18</v>
      </c>
      <c r="C6655">
        <v>38</v>
      </c>
      <c r="D6655" t="s">
        <v>27</v>
      </c>
      <c r="E6655" t="s">
        <v>45</v>
      </c>
      <c r="F6655" s="1">
        <v>42527</v>
      </c>
      <c r="G6655" s="1">
        <v>42527</v>
      </c>
      <c r="H6655" t="s">
        <v>30</v>
      </c>
      <c r="I6655">
        <v>0</v>
      </c>
      <c r="J6655" t="s">
        <v>111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 t="s">
        <v>23</v>
      </c>
      <c r="R6655">
        <v>0</v>
      </c>
    </row>
    <row r="6656" spans="1:18">
      <c r="A6656" s="4">
        <v>91834300000000</v>
      </c>
      <c r="B6656" t="s">
        <v>28</v>
      </c>
      <c r="C6656">
        <v>72</v>
      </c>
      <c r="D6656" t="s">
        <v>19</v>
      </c>
      <c r="E6656" t="s">
        <v>68</v>
      </c>
      <c r="F6656" s="1">
        <v>42527</v>
      </c>
      <c r="G6656" s="1">
        <v>42527</v>
      </c>
      <c r="H6656" t="s">
        <v>30</v>
      </c>
      <c r="I6656">
        <v>0</v>
      </c>
      <c r="J6656" t="s">
        <v>111</v>
      </c>
      <c r="K6656">
        <v>0</v>
      </c>
      <c r="L6656">
        <v>1</v>
      </c>
      <c r="M6656">
        <v>0</v>
      </c>
      <c r="N6656">
        <v>0</v>
      </c>
      <c r="O6656">
        <v>1</v>
      </c>
      <c r="P6656">
        <v>0</v>
      </c>
      <c r="Q6656" t="s">
        <v>23</v>
      </c>
      <c r="R6656">
        <v>0</v>
      </c>
    </row>
    <row r="6657" spans="1:18">
      <c r="A6657" s="4">
        <v>4726760000000</v>
      </c>
      <c r="B6657" t="s">
        <v>18</v>
      </c>
      <c r="C6657">
        <v>31</v>
      </c>
      <c r="D6657" t="s">
        <v>37</v>
      </c>
      <c r="E6657" t="s">
        <v>52</v>
      </c>
      <c r="F6657" s="1">
        <v>42527</v>
      </c>
      <c r="G6657" s="1">
        <v>42529</v>
      </c>
      <c r="H6657" t="s">
        <v>25</v>
      </c>
      <c r="I6657">
        <v>2</v>
      </c>
      <c r="J6657" t="s">
        <v>109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23</v>
      </c>
      <c r="R6657">
        <v>0</v>
      </c>
    </row>
    <row r="6658" spans="1:18">
      <c r="A6658" s="4">
        <v>68996500000000</v>
      </c>
      <c r="B6658" t="s">
        <v>28</v>
      </c>
      <c r="C6658">
        <v>0</v>
      </c>
      <c r="D6658" t="s">
        <v>31</v>
      </c>
      <c r="E6658" t="s">
        <v>68</v>
      </c>
      <c r="F6658" s="1">
        <v>42527</v>
      </c>
      <c r="G6658" s="1">
        <v>42527</v>
      </c>
      <c r="H6658" t="s">
        <v>30</v>
      </c>
      <c r="I6658">
        <v>0</v>
      </c>
      <c r="J6658" t="s">
        <v>111</v>
      </c>
      <c r="K6658">
        <v>1</v>
      </c>
      <c r="L6658">
        <v>0</v>
      </c>
      <c r="M6658">
        <v>0</v>
      </c>
      <c r="N6658">
        <v>0</v>
      </c>
      <c r="O6658">
        <v>0</v>
      </c>
      <c r="P6658">
        <v>0</v>
      </c>
      <c r="Q6658" t="s">
        <v>23</v>
      </c>
      <c r="R6658">
        <v>0</v>
      </c>
    </row>
    <row r="6659" spans="1:18">
      <c r="A6659" s="4">
        <v>2848650000000</v>
      </c>
      <c r="B6659" t="s">
        <v>28</v>
      </c>
      <c r="C6659">
        <v>1</v>
      </c>
      <c r="D6659" t="s">
        <v>31</v>
      </c>
      <c r="E6659" t="s">
        <v>108</v>
      </c>
      <c r="F6659" s="1">
        <v>42527</v>
      </c>
      <c r="G6659" s="1">
        <v>42527</v>
      </c>
      <c r="H6659" t="s">
        <v>30</v>
      </c>
      <c r="I6659">
        <v>0</v>
      </c>
      <c r="J6659" t="s">
        <v>111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23</v>
      </c>
      <c r="R6659">
        <v>0</v>
      </c>
    </row>
    <row r="6660" spans="1:18">
      <c r="A6660" s="4">
        <v>616654000000000</v>
      </c>
      <c r="B6660" t="s">
        <v>18</v>
      </c>
      <c r="C6660">
        <v>76</v>
      </c>
      <c r="D6660" t="s">
        <v>19</v>
      </c>
      <c r="E6660" t="s">
        <v>39</v>
      </c>
      <c r="F6660" s="1">
        <v>42527</v>
      </c>
      <c r="G6660" s="1">
        <v>42527</v>
      </c>
      <c r="H6660" t="s">
        <v>30</v>
      </c>
      <c r="I6660">
        <v>0</v>
      </c>
      <c r="J6660" t="s">
        <v>111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 t="s">
        <v>23</v>
      </c>
      <c r="R6660">
        <v>0</v>
      </c>
    </row>
    <row r="6661" spans="1:18">
      <c r="A6661" s="4">
        <v>421536000000000</v>
      </c>
      <c r="B6661" t="s">
        <v>18</v>
      </c>
      <c r="C6661">
        <v>47</v>
      </c>
      <c r="D6661" t="s">
        <v>27</v>
      </c>
      <c r="E6661" t="s">
        <v>51</v>
      </c>
      <c r="F6661" s="1">
        <v>42527</v>
      </c>
      <c r="G6661" s="1">
        <v>42527</v>
      </c>
      <c r="H6661" t="s">
        <v>30</v>
      </c>
      <c r="I6661">
        <v>0</v>
      </c>
      <c r="J6661" t="s">
        <v>111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 t="s">
        <v>23</v>
      </c>
      <c r="R6661">
        <v>0</v>
      </c>
    </row>
    <row r="6662" spans="1:18">
      <c r="A6662" s="4">
        <v>397121000000000</v>
      </c>
      <c r="B6662" t="s">
        <v>18</v>
      </c>
      <c r="C6662">
        <v>40</v>
      </c>
      <c r="D6662" t="s">
        <v>27</v>
      </c>
      <c r="E6662" t="s">
        <v>61</v>
      </c>
      <c r="F6662" s="1">
        <v>42527</v>
      </c>
      <c r="G6662" s="1">
        <v>42527</v>
      </c>
      <c r="H6662" t="s">
        <v>30</v>
      </c>
      <c r="I6662">
        <v>0</v>
      </c>
      <c r="J6662" t="s">
        <v>111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23</v>
      </c>
      <c r="R6662">
        <v>0</v>
      </c>
    </row>
    <row r="6663" spans="1:18">
      <c r="A6663" s="4">
        <v>98991300000000</v>
      </c>
      <c r="B6663" t="s">
        <v>18</v>
      </c>
      <c r="C6663">
        <v>60</v>
      </c>
      <c r="D6663" t="s">
        <v>35</v>
      </c>
      <c r="E6663" t="s">
        <v>81</v>
      </c>
      <c r="F6663" s="1">
        <v>42527</v>
      </c>
      <c r="G6663" s="1">
        <v>42529</v>
      </c>
      <c r="H6663" t="s">
        <v>25</v>
      </c>
      <c r="I6663">
        <v>2</v>
      </c>
      <c r="J6663" t="s">
        <v>109</v>
      </c>
      <c r="K6663">
        <v>0</v>
      </c>
      <c r="L6663">
        <v>1</v>
      </c>
      <c r="M6663">
        <v>1</v>
      </c>
      <c r="N6663">
        <v>0</v>
      </c>
      <c r="O6663">
        <v>0</v>
      </c>
      <c r="P6663">
        <v>0</v>
      </c>
      <c r="Q6663" t="s">
        <v>23</v>
      </c>
      <c r="R6663">
        <v>0</v>
      </c>
    </row>
    <row r="6664" spans="1:18">
      <c r="A6664" s="4">
        <v>11952669811</v>
      </c>
      <c r="B6664" t="s">
        <v>18</v>
      </c>
      <c r="C6664">
        <v>21</v>
      </c>
      <c r="D6664" t="s">
        <v>37</v>
      </c>
      <c r="E6664" t="s">
        <v>51</v>
      </c>
      <c r="F6664" s="1">
        <v>42527</v>
      </c>
      <c r="G6664" s="1">
        <v>42529</v>
      </c>
      <c r="H6664" t="s">
        <v>25</v>
      </c>
      <c r="I6664">
        <v>2</v>
      </c>
      <c r="J6664" t="s">
        <v>109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 t="s">
        <v>23</v>
      </c>
      <c r="R6664">
        <v>0</v>
      </c>
    </row>
    <row r="6665" spans="1:18">
      <c r="A6665" s="4">
        <v>55684174459</v>
      </c>
      <c r="B6665" t="s">
        <v>18</v>
      </c>
      <c r="C6665">
        <v>57</v>
      </c>
      <c r="D6665" t="s">
        <v>35</v>
      </c>
      <c r="E6665" t="s">
        <v>29</v>
      </c>
      <c r="F6665" s="1">
        <v>42527</v>
      </c>
      <c r="G6665" s="1">
        <v>42527</v>
      </c>
      <c r="H6665" t="s">
        <v>30</v>
      </c>
      <c r="I6665">
        <v>0</v>
      </c>
      <c r="J6665" t="s">
        <v>111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23</v>
      </c>
      <c r="R6665">
        <v>0</v>
      </c>
    </row>
    <row r="6666" spans="1:18">
      <c r="A6666" s="4">
        <v>64168600000000</v>
      </c>
      <c r="B6666" t="s">
        <v>28</v>
      </c>
      <c r="C6666">
        <v>39</v>
      </c>
      <c r="D6666" t="s">
        <v>27</v>
      </c>
      <c r="E6666" t="s">
        <v>70</v>
      </c>
      <c r="F6666" s="1">
        <v>42527</v>
      </c>
      <c r="G6666" s="1">
        <v>42527</v>
      </c>
      <c r="H6666" t="s">
        <v>30</v>
      </c>
      <c r="I6666">
        <v>0</v>
      </c>
      <c r="J6666" t="s">
        <v>111</v>
      </c>
      <c r="K6666">
        <v>0</v>
      </c>
      <c r="L6666">
        <v>0</v>
      </c>
      <c r="M6666">
        <v>0</v>
      </c>
      <c r="N6666">
        <v>0</v>
      </c>
      <c r="O6666">
        <v>1</v>
      </c>
      <c r="P6666">
        <v>0</v>
      </c>
      <c r="Q6666" t="s">
        <v>23</v>
      </c>
      <c r="R6666">
        <v>0</v>
      </c>
    </row>
    <row r="6667" spans="1:18">
      <c r="A6667" s="4">
        <v>43679400000000</v>
      </c>
      <c r="B6667" t="s">
        <v>28</v>
      </c>
      <c r="C6667">
        <v>0</v>
      </c>
      <c r="D6667" t="s">
        <v>31</v>
      </c>
      <c r="E6667" t="s">
        <v>66</v>
      </c>
      <c r="F6667" s="1">
        <v>42527</v>
      </c>
      <c r="G6667" s="1">
        <v>42527</v>
      </c>
      <c r="H6667" t="s">
        <v>30</v>
      </c>
      <c r="I6667">
        <v>0</v>
      </c>
      <c r="J6667" t="s">
        <v>111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 t="s">
        <v>23</v>
      </c>
      <c r="R6667">
        <v>0</v>
      </c>
    </row>
    <row r="6668" spans="1:18">
      <c r="A6668" s="4">
        <v>1486870000000</v>
      </c>
      <c r="B6668" t="s">
        <v>28</v>
      </c>
      <c r="C6668">
        <v>48</v>
      </c>
      <c r="D6668" t="s">
        <v>27</v>
      </c>
      <c r="E6668" t="s">
        <v>68</v>
      </c>
      <c r="F6668" s="1">
        <v>42527</v>
      </c>
      <c r="G6668" s="1">
        <v>42528</v>
      </c>
      <c r="H6668" t="s">
        <v>41</v>
      </c>
      <c r="I6668">
        <v>1</v>
      </c>
      <c r="J6668" t="s">
        <v>109</v>
      </c>
      <c r="K6668">
        <v>0</v>
      </c>
      <c r="L6668">
        <v>0</v>
      </c>
      <c r="M6668">
        <v>0</v>
      </c>
      <c r="N6668">
        <v>0</v>
      </c>
      <c r="O6668">
        <v>1</v>
      </c>
      <c r="P6668">
        <v>0</v>
      </c>
      <c r="Q6668" t="s">
        <v>23</v>
      </c>
      <c r="R6668">
        <v>0</v>
      </c>
    </row>
    <row r="6669" spans="1:18">
      <c r="A6669" s="4">
        <v>55749700000000</v>
      </c>
      <c r="B6669" t="s">
        <v>18</v>
      </c>
      <c r="C6669">
        <v>2</v>
      </c>
      <c r="D6669" t="s">
        <v>31</v>
      </c>
      <c r="E6669" t="s">
        <v>57</v>
      </c>
      <c r="F6669" s="1">
        <v>42527</v>
      </c>
      <c r="G6669" s="1">
        <v>42527</v>
      </c>
      <c r="H6669" t="s">
        <v>30</v>
      </c>
      <c r="I6669">
        <v>0</v>
      </c>
      <c r="J6669" t="s">
        <v>111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23</v>
      </c>
      <c r="R6669">
        <v>0</v>
      </c>
    </row>
    <row r="6670" spans="1:18">
      <c r="A6670" s="4">
        <v>855868000000000</v>
      </c>
      <c r="B6670" t="s">
        <v>28</v>
      </c>
      <c r="C6670">
        <v>2</v>
      </c>
      <c r="D6670" t="s">
        <v>31</v>
      </c>
      <c r="E6670" t="s">
        <v>38</v>
      </c>
      <c r="F6670" s="1">
        <v>42527</v>
      </c>
      <c r="G6670" s="1">
        <v>42527</v>
      </c>
      <c r="H6670" t="s">
        <v>30</v>
      </c>
      <c r="I6670">
        <v>0</v>
      </c>
      <c r="J6670" t="s">
        <v>111</v>
      </c>
      <c r="K6670">
        <v>1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23</v>
      </c>
      <c r="R6670">
        <v>0</v>
      </c>
    </row>
    <row r="6671" spans="1:18">
      <c r="A6671" s="4">
        <v>7998276278</v>
      </c>
      <c r="B6671" t="s">
        <v>18</v>
      </c>
      <c r="C6671">
        <v>54</v>
      </c>
      <c r="D6671" t="s">
        <v>35</v>
      </c>
      <c r="E6671" t="s">
        <v>57</v>
      </c>
      <c r="F6671" s="1">
        <v>42527</v>
      </c>
      <c r="G6671" s="1">
        <v>42527</v>
      </c>
      <c r="H6671" t="s">
        <v>30</v>
      </c>
      <c r="I6671">
        <v>0</v>
      </c>
      <c r="J6671" t="s">
        <v>111</v>
      </c>
      <c r="K6671">
        <v>0</v>
      </c>
      <c r="L6671">
        <v>1</v>
      </c>
      <c r="M6671">
        <v>1</v>
      </c>
      <c r="N6671">
        <v>0</v>
      </c>
      <c r="O6671">
        <v>0</v>
      </c>
      <c r="P6671">
        <v>0</v>
      </c>
      <c r="Q6671" t="s">
        <v>23</v>
      </c>
      <c r="R6671">
        <v>0</v>
      </c>
    </row>
    <row r="6672" spans="1:18">
      <c r="A6672" s="4">
        <v>4443120000000</v>
      </c>
      <c r="B6672" t="s">
        <v>28</v>
      </c>
      <c r="C6672">
        <v>0</v>
      </c>
      <c r="D6672" t="s">
        <v>31</v>
      </c>
      <c r="E6672" t="s">
        <v>34</v>
      </c>
      <c r="F6672" s="1">
        <v>42527</v>
      </c>
      <c r="G6672" s="1">
        <v>42527</v>
      </c>
      <c r="H6672" t="s">
        <v>30</v>
      </c>
      <c r="I6672">
        <v>0</v>
      </c>
      <c r="J6672" t="s">
        <v>111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 t="s">
        <v>23</v>
      </c>
      <c r="R6672">
        <v>0</v>
      </c>
    </row>
    <row r="6673" spans="1:18">
      <c r="A6673" s="4">
        <v>43272800000000</v>
      </c>
      <c r="B6673" t="s">
        <v>18</v>
      </c>
      <c r="C6673">
        <v>0</v>
      </c>
      <c r="D6673" t="s">
        <v>31</v>
      </c>
      <c r="E6673" t="s">
        <v>105</v>
      </c>
      <c r="F6673" s="1">
        <v>42527</v>
      </c>
      <c r="G6673" s="1">
        <v>42527</v>
      </c>
      <c r="H6673" t="s">
        <v>30</v>
      </c>
      <c r="I6673">
        <v>0</v>
      </c>
      <c r="J6673" t="s">
        <v>111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 t="s">
        <v>23</v>
      </c>
      <c r="R6673">
        <v>0</v>
      </c>
    </row>
    <row r="6674" spans="1:18">
      <c r="A6674" s="4">
        <v>862670000000000</v>
      </c>
      <c r="B6674" t="s">
        <v>28</v>
      </c>
      <c r="C6674">
        <v>42</v>
      </c>
      <c r="D6674" t="s">
        <v>27</v>
      </c>
      <c r="E6674" t="s">
        <v>32</v>
      </c>
      <c r="F6674" s="1">
        <v>42527</v>
      </c>
      <c r="G6674" s="1">
        <v>42528</v>
      </c>
      <c r="H6674" t="s">
        <v>41</v>
      </c>
      <c r="I6674">
        <v>1</v>
      </c>
      <c r="J6674" t="s">
        <v>109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23</v>
      </c>
      <c r="R6674">
        <v>0</v>
      </c>
    </row>
    <row r="6675" spans="1:18">
      <c r="A6675" s="4">
        <v>88631100000000</v>
      </c>
      <c r="B6675" t="s">
        <v>18</v>
      </c>
      <c r="C6675">
        <v>24</v>
      </c>
      <c r="D6675" t="s">
        <v>37</v>
      </c>
      <c r="E6675" t="s">
        <v>50</v>
      </c>
      <c r="F6675" s="1">
        <v>42527</v>
      </c>
      <c r="G6675" s="1">
        <v>42527</v>
      </c>
      <c r="H6675" t="s">
        <v>30</v>
      </c>
      <c r="I6675">
        <v>0</v>
      </c>
      <c r="J6675" t="s">
        <v>111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 t="s">
        <v>23</v>
      </c>
      <c r="R6675">
        <v>0</v>
      </c>
    </row>
    <row r="6676" spans="1:18">
      <c r="A6676" s="4">
        <v>82334736979</v>
      </c>
      <c r="B6676" t="s">
        <v>18</v>
      </c>
      <c r="C6676">
        <v>33</v>
      </c>
      <c r="D6676" t="s">
        <v>37</v>
      </c>
      <c r="E6676" t="s">
        <v>40</v>
      </c>
      <c r="F6676" s="1">
        <v>42527</v>
      </c>
      <c r="G6676" s="1">
        <v>42527</v>
      </c>
      <c r="H6676" t="s">
        <v>30</v>
      </c>
      <c r="I6676">
        <v>0</v>
      </c>
      <c r="J6676" t="s">
        <v>111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 t="s">
        <v>23</v>
      </c>
      <c r="R6676">
        <v>0</v>
      </c>
    </row>
    <row r="6677" spans="1:18">
      <c r="A6677" s="4">
        <v>23399200000000</v>
      </c>
      <c r="B6677" t="s">
        <v>18</v>
      </c>
      <c r="C6677">
        <v>30</v>
      </c>
      <c r="D6677" t="s">
        <v>37</v>
      </c>
      <c r="E6677" t="s">
        <v>39</v>
      </c>
      <c r="F6677" s="1">
        <v>42527</v>
      </c>
      <c r="G6677" s="1">
        <v>42527</v>
      </c>
      <c r="H6677" t="s">
        <v>30</v>
      </c>
      <c r="I6677">
        <v>0</v>
      </c>
      <c r="J6677" t="s">
        <v>111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23</v>
      </c>
      <c r="R6677">
        <v>0</v>
      </c>
    </row>
    <row r="6678" spans="1:18">
      <c r="A6678" s="4">
        <v>7179800000000</v>
      </c>
      <c r="B6678" t="s">
        <v>18</v>
      </c>
      <c r="C6678">
        <v>67</v>
      </c>
      <c r="D6678" t="s">
        <v>19</v>
      </c>
      <c r="E6678" t="s">
        <v>39</v>
      </c>
      <c r="F6678" s="1">
        <v>42527</v>
      </c>
      <c r="G6678" s="1">
        <v>42527</v>
      </c>
      <c r="H6678" t="s">
        <v>30</v>
      </c>
      <c r="I6678">
        <v>0</v>
      </c>
      <c r="J6678" t="s">
        <v>111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23</v>
      </c>
      <c r="R6678">
        <v>0</v>
      </c>
    </row>
    <row r="6679" spans="1:18">
      <c r="A6679" s="4">
        <v>955771000000000</v>
      </c>
      <c r="B6679" t="s">
        <v>18</v>
      </c>
      <c r="C6679">
        <v>49</v>
      </c>
      <c r="D6679" t="s">
        <v>27</v>
      </c>
      <c r="E6679" t="s">
        <v>36</v>
      </c>
      <c r="F6679" s="1">
        <v>42527</v>
      </c>
      <c r="G6679" s="1">
        <v>42527</v>
      </c>
      <c r="H6679" t="s">
        <v>30</v>
      </c>
      <c r="I6679">
        <v>0</v>
      </c>
      <c r="J6679" t="s">
        <v>111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 t="s">
        <v>23</v>
      </c>
      <c r="R6679">
        <v>0</v>
      </c>
    </row>
    <row r="6680" spans="1:18">
      <c r="A6680" s="4">
        <v>57396400000000</v>
      </c>
      <c r="B6680" t="s">
        <v>18</v>
      </c>
      <c r="C6680">
        <v>42</v>
      </c>
      <c r="D6680" t="s">
        <v>27</v>
      </c>
      <c r="E6680" t="s">
        <v>38</v>
      </c>
      <c r="F6680" s="1">
        <v>42527</v>
      </c>
      <c r="G6680" s="1">
        <v>42527</v>
      </c>
      <c r="H6680" t="s">
        <v>30</v>
      </c>
      <c r="I6680">
        <v>0</v>
      </c>
      <c r="J6680" t="s">
        <v>111</v>
      </c>
      <c r="K6680">
        <v>1</v>
      </c>
      <c r="L6680">
        <v>1</v>
      </c>
      <c r="M6680">
        <v>0</v>
      </c>
      <c r="N6680">
        <v>0</v>
      </c>
      <c r="O6680">
        <v>0</v>
      </c>
      <c r="P6680">
        <v>0</v>
      </c>
      <c r="Q6680" t="s">
        <v>23</v>
      </c>
      <c r="R6680">
        <v>0</v>
      </c>
    </row>
    <row r="6681" spans="1:18">
      <c r="A6681" s="4">
        <v>5498250000000</v>
      </c>
      <c r="B6681" t="s">
        <v>28</v>
      </c>
      <c r="C6681">
        <v>42</v>
      </c>
      <c r="D6681" t="s">
        <v>27</v>
      </c>
      <c r="E6681" t="s">
        <v>48</v>
      </c>
      <c r="F6681" s="1">
        <v>42527</v>
      </c>
      <c r="G6681" s="1">
        <v>42527</v>
      </c>
      <c r="H6681" t="s">
        <v>30</v>
      </c>
      <c r="I6681">
        <v>0</v>
      </c>
      <c r="J6681" t="s">
        <v>111</v>
      </c>
      <c r="K6681">
        <v>0</v>
      </c>
      <c r="L6681">
        <v>0</v>
      </c>
      <c r="M6681">
        <v>0</v>
      </c>
      <c r="N6681">
        <v>1</v>
      </c>
      <c r="O6681">
        <v>0</v>
      </c>
      <c r="P6681">
        <v>0</v>
      </c>
      <c r="Q6681" t="s">
        <v>23</v>
      </c>
      <c r="R6681">
        <v>0</v>
      </c>
    </row>
    <row r="6682" spans="1:18">
      <c r="A6682" s="4">
        <v>8413500000000</v>
      </c>
      <c r="B6682" t="s">
        <v>18</v>
      </c>
      <c r="C6682">
        <v>55</v>
      </c>
      <c r="D6682" t="s">
        <v>35</v>
      </c>
      <c r="E6682" t="s">
        <v>84</v>
      </c>
      <c r="F6682" s="1">
        <v>42527</v>
      </c>
      <c r="G6682" s="1">
        <v>42529</v>
      </c>
      <c r="H6682" t="s">
        <v>25</v>
      </c>
      <c r="I6682">
        <v>2</v>
      </c>
      <c r="J6682" t="s">
        <v>109</v>
      </c>
      <c r="K6682">
        <v>0</v>
      </c>
      <c r="L6682">
        <v>1</v>
      </c>
      <c r="M6682">
        <v>1</v>
      </c>
      <c r="N6682">
        <v>0</v>
      </c>
      <c r="O6682">
        <v>0</v>
      </c>
      <c r="P6682">
        <v>0</v>
      </c>
      <c r="Q6682" t="s">
        <v>23</v>
      </c>
      <c r="R6682">
        <v>0</v>
      </c>
    </row>
    <row r="6683" spans="1:18">
      <c r="A6683" s="4">
        <v>28346500000000</v>
      </c>
      <c r="B6683" t="s">
        <v>18</v>
      </c>
      <c r="C6683">
        <v>46</v>
      </c>
      <c r="D6683" t="s">
        <v>27</v>
      </c>
      <c r="E6683" t="s">
        <v>87</v>
      </c>
      <c r="F6683" s="1">
        <v>42527</v>
      </c>
      <c r="G6683" s="1">
        <v>42529</v>
      </c>
      <c r="H6683" t="s">
        <v>25</v>
      </c>
      <c r="I6683">
        <v>2</v>
      </c>
      <c r="J6683" t="s">
        <v>109</v>
      </c>
      <c r="K6683">
        <v>0</v>
      </c>
      <c r="L6683">
        <v>1</v>
      </c>
      <c r="M6683">
        <v>0</v>
      </c>
      <c r="N6683">
        <v>0</v>
      </c>
      <c r="O6683">
        <v>0</v>
      </c>
      <c r="P6683">
        <v>0</v>
      </c>
      <c r="Q6683" t="s">
        <v>23</v>
      </c>
      <c r="R6683">
        <v>0</v>
      </c>
    </row>
    <row r="6684" spans="1:18">
      <c r="A6684" s="4">
        <v>66671500000000</v>
      </c>
      <c r="B6684" t="s">
        <v>28</v>
      </c>
      <c r="C6684">
        <v>41</v>
      </c>
      <c r="D6684" t="s">
        <v>27</v>
      </c>
      <c r="E6684" t="s">
        <v>71</v>
      </c>
      <c r="F6684" s="1">
        <v>42527</v>
      </c>
      <c r="G6684" s="1">
        <v>42529</v>
      </c>
      <c r="H6684" t="s">
        <v>25</v>
      </c>
      <c r="I6684">
        <v>2</v>
      </c>
      <c r="J6684" t="s">
        <v>109</v>
      </c>
      <c r="K6684">
        <v>0</v>
      </c>
      <c r="L6684">
        <v>1</v>
      </c>
      <c r="M6684">
        <v>1</v>
      </c>
      <c r="N6684">
        <v>0</v>
      </c>
      <c r="O6684">
        <v>0</v>
      </c>
      <c r="P6684">
        <v>0</v>
      </c>
      <c r="Q6684" t="s">
        <v>23</v>
      </c>
      <c r="R6684">
        <v>0</v>
      </c>
    </row>
    <row r="6685" spans="1:18">
      <c r="A6685" s="4">
        <v>643994000000000</v>
      </c>
      <c r="B6685" t="s">
        <v>28</v>
      </c>
      <c r="C6685">
        <v>2</v>
      </c>
      <c r="D6685" t="s">
        <v>31</v>
      </c>
      <c r="E6685" t="s">
        <v>40</v>
      </c>
      <c r="F6685" s="1">
        <v>42527</v>
      </c>
      <c r="G6685" s="1">
        <v>42527</v>
      </c>
      <c r="H6685" t="s">
        <v>30</v>
      </c>
      <c r="I6685">
        <v>0</v>
      </c>
      <c r="J6685" t="s">
        <v>111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23</v>
      </c>
      <c r="R6685">
        <v>0</v>
      </c>
    </row>
    <row r="6686" spans="1:18">
      <c r="A6686" s="4">
        <v>257115000000000</v>
      </c>
      <c r="B6686" t="s">
        <v>18</v>
      </c>
      <c r="C6686">
        <v>39</v>
      </c>
      <c r="D6686" t="s">
        <v>27</v>
      </c>
      <c r="E6686" t="s">
        <v>61</v>
      </c>
      <c r="F6686" s="1">
        <v>42527</v>
      </c>
      <c r="G6686" s="1">
        <v>42527</v>
      </c>
      <c r="H6686" t="s">
        <v>30</v>
      </c>
      <c r="I6686">
        <v>0</v>
      </c>
      <c r="J6686" t="s">
        <v>111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23</v>
      </c>
      <c r="R6686">
        <v>0</v>
      </c>
    </row>
    <row r="6687" spans="1:18">
      <c r="A6687" s="4">
        <v>54976800000000</v>
      </c>
      <c r="B6687" t="s">
        <v>28</v>
      </c>
      <c r="C6687">
        <v>19</v>
      </c>
      <c r="D6687" t="s">
        <v>37</v>
      </c>
      <c r="E6687" t="s">
        <v>38</v>
      </c>
      <c r="F6687" s="1">
        <v>42527</v>
      </c>
      <c r="G6687" s="1">
        <v>42527</v>
      </c>
      <c r="H6687" t="s">
        <v>30</v>
      </c>
      <c r="I6687">
        <v>0</v>
      </c>
      <c r="J6687" t="s">
        <v>111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23</v>
      </c>
      <c r="R6687">
        <v>0</v>
      </c>
    </row>
    <row r="6688" spans="1:18">
      <c r="A6688" s="4">
        <v>13595900000000</v>
      </c>
      <c r="B6688" t="s">
        <v>18</v>
      </c>
      <c r="C6688">
        <v>5</v>
      </c>
      <c r="D6688" t="s">
        <v>31</v>
      </c>
      <c r="E6688" t="s">
        <v>45</v>
      </c>
      <c r="F6688" s="1">
        <v>42527</v>
      </c>
      <c r="G6688" s="1">
        <v>42528</v>
      </c>
      <c r="H6688" t="s">
        <v>41</v>
      </c>
      <c r="I6688">
        <v>1</v>
      </c>
      <c r="J6688" t="s">
        <v>109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23</v>
      </c>
      <c r="R6688">
        <v>0</v>
      </c>
    </row>
    <row r="6689" spans="1:18">
      <c r="A6689" s="4">
        <v>92117600000000</v>
      </c>
      <c r="B6689" t="s">
        <v>18</v>
      </c>
      <c r="C6689">
        <v>23</v>
      </c>
      <c r="D6689" t="s">
        <v>37</v>
      </c>
      <c r="E6689" t="s">
        <v>45</v>
      </c>
      <c r="F6689" s="1">
        <v>42527</v>
      </c>
      <c r="G6689" s="1">
        <v>42529</v>
      </c>
      <c r="H6689" t="s">
        <v>25</v>
      </c>
      <c r="I6689">
        <v>2</v>
      </c>
      <c r="J6689" t="s">
        <v>109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26</v>
      </c>
      <c r="R6689">
        <v>1</v>
      </c>
    </row>
    <row r="6690" spans="1:18">
      <c r="A6690" s="4">
        <v>81478000000000</v>
      </c>
      <c r="B6690" t="s">
        <v>28</v>
      </c>
      <c r="C6690">
        <v>6</v>
      </c>
      <c r="D6690" t="s">
        <v>31</v>
      </c>
      <c r="E6690" t="s">
        <v>61</v>
      </c>
      <c r="F6690" s="1">
        <v>42527</v>
      </c>
      <c r="G6690" s="1">
        <v>42528</v>
      </c>
      <c r="H6690" t="s">
        <v>41</v>
      </c>
      <c r="I6690">
        <v>1</v>
      </c>
      <c r="J6690" t="s">
        <v>109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 t="s">
        <v>23</v>
      </c>
      <c r="R6690">
        <v>0</v>
      </c>
    </row>
    <row r="6691" spans="1:18">
      <c r="A6691" s="4">
        <v>67878900000000</v>
      </c>
      <c r="B6691" t="s">
        <v>18</v>
      </c>
      <c r="C6691">
        <v>22</v>
      </c>
      <c r="D6691" t="s">
        <v>37</v>
      </c>
      <c r="E6691" t="s">
        <v>59</v>
      </c>
      <c r="F6691" s="1">
        <v>42527</v>
      </c>
      <c r="G6691" s="1">
        <v>42527</v>
      </c>
      <c r="H6691" t="s">
        <v>30</v>
      </c>
      <c r="I6691">
        <v>0</v>
      </c>
      <c r="J6691" t="s">
        <v>111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23</v>
      </c>
      <c r="R6691">
        <v>0</v>
      </c>
    </row>
    <row r="6692" spans="1:18">
      <c r="A6692" s="4">
        <v>22524200000000</v>
      </c>
      <c r="B6692" t="s">
        <v>18</v>
      </c>
      <c r="C6692">
        <v>27</v>
      </c>
      <c r="D6692" t="s">
        <v>37</v>
      </c>
      <c r="E6692" t="s">
        <v>45</v>
      </c>
      <c r="F6692" s="1">
        <v>42527</v>
      </c>
      <c r="G6692" s="1">
        <v>42527</v>
      </c>
      <c r="H6692" t="s">
        <v>30</v>
      </c>
      <c r="I6692">
        <v>0</v>
      </c>
      <c r="J6692" t="s">
        <v>111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 t="s">
        <v>23</v>
      </c>
      <c r="R6692">
        <v>0</v>
      </c>
    </row>
    <row r="6693" spans="1:18">
      <c r="A6693" s="4">
        <v>69898500000000</v>
      </c>
      <c r="B6693" t="s">
        <v>18</v>
      </c>
      <c r="C6693">
        <v>16</v>
      </c>
      <c r="D6693" t="s">
        <v>60</v>
      </c>
      <c r="E6693" t="s">
        <v>86</v>
      </c>
      <c r="F6693" s="1">
        <v>42527</v>
      </c>
      <c r="G6693" s="1">
        <v>42527</v>
      </c>
      <c r="H6693" t="s">
        <v>30</v>
      </c>
      <c r="I6693">
        <v>0</v>
      </c>
      <c r="J6693" t="s">
        <v>111</v>
      </c>
      <c r="K6693">
        <v>1</v>
      </c>
      <c r="L6693">
        <v>0</v>
      </c>
      <c r="M6693">
        <v>0</v>
      </c>
      <c r="N6693">
        <v>0</v>
      </c>
      <c r="O6693">
        <v>0</v>
      </c>
      <c r="P6693">
        <v>0</v>
      </c>
      <c r="Q6693" t="s">
        <v>23</v>
      </c>
      <c r="R6693">
        <v>0</v>
      </c>
    </row>
    <row r="6694" spans="1:18">
      <c r="A6694" s="4">
        <v>461466000000000</v>
      </c>
      <c r="B6694" t="s">
        <v>18</v>
      </c>
      <c r="C6694">
        <v>76</v>
      </c>
      <c r="D6694" t="s">
        <v>19</v>
      </c>
      <c r="E6694" t="s">
        <v>58</v>
      </c>
      <c r="F6694" s="1">
        <v>42527</v>
      </c>
      <c r="G6694" s="1">
        <v>42528</v>
      </c>
      <c r="H6694" t="s">
        <v>41</v>
      </c>
      <c r="I6694">
        <v>1</v>
      </c>
      <c r="J6694" t="s">
        <v>109</v>
      </c>
      <c r="K6694">
        <v>0</v>
      </c>
      <c r="L6694">
        <v>1</v>
      </c>
      <c r="M6694">
        <v>1</v>
      </c>
      <c r="N6694">
        <v>0</v>
      </c>
      <c r="O6694">
        <v>0</v>
      </c>
      <c r="P6694">
        <v>0</v>
      </c>
      <c r="Q6694" t="s">
        <v>23</v>
      </c>
      <c r="R6694">
        <v>0</v>
      </c>
    </row>
    <row r="6695" spans="1:18">
      <c r="A6695" s="4">
        <v>814991000000000</v>
      </c>
      <c r="B6695" t="s">
        <v>18</v>
      </c>
      <c r="C6695">
        <v>0</v>
      </c>
      <c r="D6695" t="s">
        <v>31</v>
      </c>
      <c r="E6695" t="s">
        <v>55</v>
      </c>
      <c r="F6695" s="1">
        <v>42527</v>
      </c>
      <c r="G6695" s="1">
        <v>42527</v>
      </c>
      <c r="H6695" t="s">
        <v>30</v>
      </c>
      <c r="I6695">
        <v>0</v>
      </c>
      <c r="J6695" t="s">
        <v>111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23</v>
      </c>
      <c r="R6695">
        <v>0</v>
      </c>
    </row>
    <row r="6696" spans="1:18">
      <c r="A6696" s="4">
        <v>17798900000000</v>
      </c>
      <c r="B6696" t="s">
        <v>18</v>
      </c>
      <c r="C6696">
        <v>39</v>
      </c>
      <c r="D6696" t="s">
        <v>27</v>
      </c>
      <c r="E6696" t="s">
        <v>96</v>
      </c>
      <c r="F6696" s="1">
        <v>42527</v>
      </c>
      <c r="G6696" s="1">
        <v>42529</v>
      </c>
      <c r="H6696" t="s">
        <v>25</v>
      </c>
      <c r="I6696">
        <v>2</v>
      </c>
      <c r="J6696" t="s">
        <v>109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23</v>
      </c>
      <c r="R6696">
        <v>0</v>
      </c>
    </row>
    <row r="6697" spans="1:18">
      <c r="A6697" s="4">
        <v>2572930000000</v>
      </c>
      <c r="B6697" t="s">
        <v>18</v>
      </c>
      <c r="C6697">
        <v>72</v>
      </c>
      <c r="D6697" t="s">
        <v>19</v>
      </c>
      <c r="E6697" t="s">
        <v>59</v>
      </c>
      <c r="F6697" s="1">
        <v>42527</v>
      </c>
      <c r="G6697" s="1">
        <v>42528</v>
      </c>
      <c r="H6697" t="s">
        <v>41</v>
      </c>
      <c r="I6697">
        <v>1</v>
      </c>
      <c r="J6697" t="s">
        <v>109</v>
      </c>
      <c r="K6697">
        <v>1</v>
      </c>
      <c r="L6697">
        <v>1</v>
      </c>
      <c r="M6697">
        <v>0</v>
      </c>
      <c r="N6697">
        <v>0</v>
      </c>
      <c r="O6697">
        <v>0</v>
      </c>
      <c r="P6697">
        <v>0</v>
      </c>
      <c r="Q6697" t="s">
        <v>23</v>
      </c>
      <c r="R6697">
        <v>0</v>
      </c>
    </row>
    <row r="6698" spans="1:18">
      <c r="A6698" s="4">
        <v>863267000000000</v>
      </c>
      <c r="B6698" t="s">
        <v>18</v>
      </c>
      <c r="C6698">
        <v>53</v>
      </c>
      <c r="D6698" t="s">
        <v>35</v>
      </c>
      <c r="E6698" t="s">
        <v>71</v>
      </c>
      <c r="F6698" s="1">
        <v>42527</v>
      </c>
      <c r="G6698" s="1">
        <v>42529</v>
      </c>
      <c r="H6698" t="s">
        <v>25</v>
      </c>
      <c r="I6698">
        <v>2</v>
      </c>
      <c r="J6698" t="s">
        <v>109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 t="s">
        <v>23</v>
      </c>
      <c r="R6698">
        <v>0</v>
      </c>
    </row>
    <row r="6699" spans="1:18">
      <c r="A6699" s="4">
        <v>647579000000000</v>
      </c>
      <c r="B6699" t="s">
        <v>18</v>
      </c>
      <c r="C6699">
        <v>51</v>
      </c>
      <c r="D6699" t="s">
        <v>35</v>
      </c>
      <c r="E6699" t="s">
        <v>70</v>
      </c>
      <c r="F6699" s="1">
        <v>42527</v>
      </c>
      <c r="G6699" s="1">
        <v>42527</v>
      </c>
      <c r="H6699" t="s">
        <v>30</v>
      </c>
      <c r="I6699">
        <v>0</v>
      </c>
      <c r="J6699" t="s">
        <v>111</v>
      </c>
      <c r="K6699">
        <v>0</v>
      </c>
      <c r="L6699">
        <v>1</v>
      </c>
      <c r="M6699">
        <v>0</v>
      </c>
      <c r="N6699">
        <v>0</v>
      </c>
      <c r="O6699">
        <v>0</v>
      </c>
      <c r="P6699">
        <v>0</v>
      </c>
      <c r="Q6699" t="s">
        <v>23</v>
      </c>
      <c r="R6699">
        <v>0</v>
      </c>
    </row>
    <row r="6700" spans="1:18">
      <c r="A6700" s="4">
        <v>226435000000000</v>
      </c>
      <c r="B6700" t="s">
        <v>18</v>
      </c>
      <c r="C6700">
        <v>52</v>
      </c>
      <c r="D6700" t="s">
        <v>35</v>
      </c>
      <c r="E6700" t="s">
        <v>44</v>
      </c>
      <c r="F6700" s="1">
        <v>42527</v>
      </c>
      <c r="G6700" s="1">
        <v>42528</v>
      </c>
      <c r="H6700" t="s">
        <v>41</v>
      </c>
      <c r="I6700">
        <v>1</v>
      </c>
      <c r="J6700" t="s">
        <v>109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 t="s">
        <v>23</v>
      </c>
      <c r="R6700">
        <v>0</v>
      </c>
    </row>
    <row r="6701" spans="1:18">
      <c r="A6701" s="4">
        <v>58132800000000</v>
      </c>
      <c r="B6701" t="s">
        <v>18</v>
      </c>
      <c r="C6701">
        <v>17</v>
      </c>
      <c r="D6701" t="s">
        <v>60</v>
      </c>
      <c r="E6701" t="s">
        <v>44</v>
      </c>
      <c r="F6701" s="1">
        <v>42527</v>
      </c>
      <c r="G6701" s="1">
        <v>42527</v>
      </c>
      <c r="H6701" t="s">
        <v>30</v>
      </c>
      <c r="I6701">
        <v>0</v>
      </c>
      <c r="J6701" t="s">
        <v>111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 t="s">
        <v>23</v>
      </c>
      <c r="R6701">
        <v>0</v>
      </c>
    </row>
    <row r="6702" spans="1:18">
      <c r="A6702" s="4">
        <v>3712220000000</v>
      </c>
      <c r="B6702" t="s">
        <v>18</v>
      </c>
      <c r="C6702">
        <v>38</v>
      </c>
      <c r="D6702" t="s">
        <v>27</v>
      </c>
      <c r="E6702" t="s">
        <v>82</v>
      </c>
      <c r="F6702" s="1">
        <v>42527</v>
      </c>
      <c r="G6702" s="1">
        <v>42529</v>
      </c>
      <c r="H6702" t="s">
        <v>25</v>
      </c>
      <c r="I6702">
        <v>2</v>
      </c>
      <c r="J6702" t="s">
        <v>109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23</v>
      </c>
      <c r="R6702">
        <v>0</v>
      </c>
    </row>
    <row r="6703" spans="1:18">
      <c r="A6703" s="4">
        <v>63129800000000</v>
      </c>
      <c r="B6703" t="s">
        <v>18</v>
      </c>
      <c r="C6703">
        <v>22</v>
      </c>
      <c r="D6703" t="s">
        <v>37</v>
      </c>
      <c r="E6703" t="s">
        <v>55</v>
      </c>
      <c r="F6703" s="1">
        <v>42527</v>
      </c>
      <c r="G6703" s="1">
        <v>42529</v>
      </c>
      <c r="H6703" t="s">
        <v>25</v>
      </c>
      <c r="I6703">
        <v>2</v>
      </c>
      <c r="J6703" t="s">
        <v>109</v>
      </c>
      <c r="K6703">
        <v>1</v>
      </c>
      <c r="L6703">
        <v>0</v>
      </c>
      <c r="M6703">
        <v>0</v>
      </c>
      <c r="N6703">
        <v>0</v>
      </c>
      <c r="O6703">
        <v>0</v>
      </c>
      <c r="P6703">
        <v>0</v>
      </c>
      <c r="Q6703" t="s">
        <v>23</v>
      </c>
      <c r="R6703">
        <v>0</v>
      </c>
    </row>
    <row r="6704" spans="1:18">
      <c r="A6704" s="4">
        <v>9942330000000</v>
      </c>
      <c r="B6704" t="s">
        <v>18</v>
      </c>
      <c r="C6704">
        <v>48</v>
      </c>
      <c r="D6704" t="s">
        <v>27</v>
      </c>
      <c r="E6704" t="s">
        <v>44</v>
      </c>
      <c r="F6704" s="1">
        <v>42527</v>
      </c>
      <c r="G6704" s="1">
        <v>42527</v>
      </c>
      <c r="H6704" t="s">
        <v>30</v>
      </c>
      <c r="I6704">
        <v>0</v>
      </c>
      <c r="J6704" t="s">
        <v>111</v>
      </c>
      <c r="K6704">
        <v>0</v>
      </c>
      <c r="L6704">
        <v>1</v>
      </c>
      <c r="M6704">
        <v>0</v>
      </c>
      <c r="N6704">
        <v>0</v>
      </c>
      <c r="O6704">
        <v>0</v>
      </c>
      <c r="P6704">
        <v>0</v>
      </c>
      <c r="Q6704" t="s">
        <v>23</v>
      </c>
      <c r="R6704">
        <v>0</v>
      </c>
    </row>
    <row r="6705" spans="1:18">
      <c r="A6705" s="4">
        <v>74693500000000</v>
      </c>
      <c r="B6705" t="s">
        <v>28</v>
      </c>
      <c r="C6705">
        <v>6</v>
      </c>
      <c r="D6705" t="s">
        <v>31</v>
      </c>
      <c r="E6705" t="s">
        <v>68</v>
      </c>
      <c r="F6705" s="1">
        <v>42527</v>
      </c>
      <c r="G6705" s="1">
        <v>42527</v>
      </c>
      <c r="H6705" t="s">
        <v>30</v>
      </c>
      <c r="I6705">
        <v>0</v>
      </c>
      <c r="J6705" t="s">
        <v>111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 t="s">
        <v>23</v>
      </c>
      <c r="R6705">
        <v>0</v>
      </c>
    </row>
    <row r="6706" spans="1:18">
      <c r="A6706" s="4">
        <v>14328800000000</v>
      </c>
      <c r="B6706" t="s">
        <v>18</v>
      </c>
      <c r="C6706">
        <v>18</v>
      </c>
      <c r="D6706" t="s">
        <v>37</v>
      </c>
      <c r="E6706" t="s">
        <v>32</v>
      </c>
      <c r="F6706" s="1">
        <v>42527</v>
      </c>
      <c r="G6706" s="1">
        <v>42527</v>
      </c>
      <c r="H6706" t="s">
        <v>30</v>
      </c>
      <c r="I6706">
        <v>0</v>
      </c>
      <c r="J6706" t="s">
        <v>111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 t="s">
        <v>23</v>
      </c>
      <c r="R6706">
        <v>0</v>
      </c>
    </row>
    <row r="6707" spans="1:18">
      <c r="A6707" s="4">
        <v>9111440000000</v>
      </c>
      <c r="B6707" t="s">
        <v>18</v>
      </c>
      <c r="C6707">
        <v>35</v>
      </c>
      <c r="D6707" t="s">
        <v>37</v>
      </c>
      <c r="E6707" t="s">
        <v>50</v>
      </c>
      <c r="F6707" s="1">
        <v>42527</v>
      </c>
      <c r="G6707" s="1">
        <v>42527</v>
      </c>
      <c r="H6707" t="s">
        <v>30</v>
      </c>
      <c r="I6707">
        <v>0</v>
      </c>
      <c r="J6707" t="s">
        <v>111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23</v>
      </c>
      <c r="R6707">
        <v>0</v>
      </c>
    </row>
    <row r="6708" spans="1:18">
      <c r="A6708" s="4">
        <v>878482000000000</v>
      </c>
      <c r="B6708" t="s">
        <v>28</v>
      </c>
      <c r="C6708">
        <v>1</v>
      </c>
      <c r="D6708" t="s">
        <v>31</v>
      </c>
      <c r="E6708" t="s">
        <v>50</v>
      </c>
      <c r="F6708" s="1">
        <v>42527</v>
      </c>
      <c r="G6708" s="1">
        <v>42527</v>
      </c>
      <c r="H6708" t="s">
        <v>30</v>
      </c>
      <c r="I6708">
        <v>0</v>
      </c>
      <c r="J6708" t="s">
        <v>111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23</v>
      </c>
      <c r="R6708">
        <v>0</v>
      </c>
    </row>
    <row r="6709" spans="1:18">
      <c r="A6709" s="4">
        <v>7672180000000</v>
      </c>
      <c r="B6709" t="s">
        <v>18</v>
      </c>
      <c r="C6709">
        <v>42</v>
      </c>
      <c r="D6709" t="s">
        <v>27</v>
      </c>
      <c r="E6709" t="s">
        <v>50</v>
      </c>
      <c r="F6709" s="1">
        <v>42527</v>
      </c>
      <c r="G6709" s="1">
        <v>42527</v>
      </c>
      <c r="H6709" t="s">
        <v>30</v>
      </c>
      <c r="I6709">
        <v>0</v>
      </c>
      <c r="J6709" t="s">
        <v>111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 t="s">
        <v>23</v>
      </c>
      <c r="R6709">
        <v>0</v>
      </c>
    </row>
    <row r="6710" spans="1:18">
      <c r="A6710" s="4">
        <v>19984400000000</v>
      </c>
      <c r="B6710" t="s">
        <v>18</v>
      </c>
      <c r="C6710">
        <v>4</v>
      </c>
      <c r="D6710" t="s">
        <v>31</v>
      </c>
      <c r="E6710" t="s">
        <v>98</v>
      </c>
      <c r="F6710" s="1">
        <v>42527</v>
      </c>
      <c r="G6710" s="1">
        <v>42527</v>
      </c>
      <c r="H6710" t="s">
        <v>30</v>
      </c>
      <c r="I6710">
        <v>0</v>
      </c>
      <c r="J6710" t="s">
        <v>111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 t="s">
        <v>23</v>
      </c>
      <c r="R6710">
        <v>0</v>
      </c>
    </row>
    <row r="6711" spans="1:18">
      <c r="A6711" s="4">
        <v>126286000000</v>
      </c>
      <c r="B6711" t="s">
        <v>18</v>
      </c>
      <c r="C6711">
        <v>0</v>
      </c>
      <c r="D6711" t="s">
        <v>31</v>
      </c>
      <c r="E6711" t="s">
        <v>86</v>
      </c>
      <c r="F6711" s="1">
        <v>42527</v>
      </c>
      <c r="G6711" s="1">
        <v>42527</v>
      </c>
      <c r="H6711" t="s">
        <v>30</v>
      </c>
      <c r="I6711">
        <v>0</v>
      </c>
      <c r="J6711" t="s">
        <v>111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 t="s">
        <v>23</v>
      </c>
      <c r="R6711">
        <v>0</v>
      </c>
    </row>
    <row r="6712" spans="1:18">
      <c r="A6712" s="4">
        <v>499729000000</v>
      </c>
      <c r="B6712" t="s">
        <v>18</v>
      </c>
      <c r="C6712">
        <v>61</v>
      </c>
      <c r="D6712" t="s">
        <v>35</v>
      </c>
      <c r="E6712" t="s">
        <v>40</v>
      </c>
      <c r="F6712" s="1">
        <v>42527</v>
      </c>
      <c r="G6712" s="1">
        <v>42527</v>
      </c>
      <c r="H6712" t="s">
        <v>30</v>
      </c>
      <c r="I6712">
        <v>0</v>
      </c>
      <c r="J6712" t="s">
        <v>111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 t="s">
        <v>23</v>
      </c>
      <c r="R6712">
        <v>0</v>
      </c>
    </row>
    <row r="6713" spans="1:18">
      <c r="A6713" s="4">
        <v>17346400000000</v>
      </c>
      <c r="B6713" t="s">
        <v>28</v>
      </c>
      <c r="C6713">
        <v>40</v>
      </c>
      <c r="D6713" t="s">
        <v>27</v>
      </c>
      <c r="E6713" t="s">
        <v>84</v>
      </c>
      <c r="F6713" s="1">
        <v>42527</v>
      </c>
      <c r="G6713" s="1">
        <v>42529</v>
      </c>
      <c r="H6713" t="s">
        <v>25</v>
      </c>
      <c r="I6713">
        <v>2</v>
      </c>
      <c r="J6713" t="s">
        <v>109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 t="s">
        <v>23</v>
      </c>
      <c r="R6713">
        <v>0</v>
      </c>
    </row>
    <row r="6714" spans="1:18">
      <c r="A6714" s="4">
        <v>61598900000000</v>
      </c>
      <c r="B6714" t="s">
        <v>18</v>
      </c>
      <c r="C6714">
        <v>62</v>
      </c>
      <c r="D6714" t="s">
        <v>35</v>
      </c>
      <c r="E6714" t="s">
        <v>97</v>
      </c>
      <c r="F6714" s="1">
        <v>42527</v>
      </c>
      <c r="G6714" s="1">
        <v>42527</v>
      </c>
      <c r="H6714" t="s">
        <v>30</v>
      </c>
      <c r="I6714">
        <v>0</v>
      </c>
      <c r="J6714" t="s">
        <v>111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23</v>
      </c>
      <c r="R6714">
        <v>0</v>
      </c>
    </row>
    <row r="6715" spans="1:18">
      <c r="A6715" s="4">
        <v>532955000000</v>
      </c>
      <c r="B6715" t="s">
        <v>18</v>
      </c>
      <c r="C6715">
        <v>29</v>
      </c>
      <c r="D6715" t="s">
        <v>37</v>
      </c>
      <c r="E6715" t="s">
        <v>32</v>
      </c>
      <c r="F6715" s="1">
        <v>42527</v>
      </c>
      <c r="G6715" s="1">
        <v>42527</v>
      </c>
      <c r="H6715" t="s">
        <v>30</v>
      </c>
      <c r="I6715">
        <v>0</v>
      </c>
      <c r="J6715" t="s">
        <v>111</v>
      </c>
      <c r="K6715">
        <v>0</v>
      </c>
      <c r="L6715">
        <v>0</v>
      </c>
      <c r="M6715">
        <v>0</v>
      </c>
      <c r="N6715">
        <v>1</v>
      </c>
      <c r="O6715">
        <v>1</v>
      </c>
      <c r="P6715">
        <v>0</v>
      </c>
      <c r="Q6715" t="s">
        <v>23</v>
      </c>
      <c r="R6715">
        <v>0</v>
      </c>
    </row>
    <row r="6716" spans="1:18">
      <c r="A6716" s="4">
        <v>98166900000000</v>
      </c>
      <c r="B6716" t="s">
        <v>18</v>
      </c>
      <c r="C6716">
        <v>36</v>
      </c>
      <c r="D6716" t="s">
        <v>27</v>
      </c>
      <c r="E6716" t="s">
        <v>71</v>
      </c>
      <c r="F6716" s="1">
        <v>42527</v>
      </c>
      <c r="G6716" s="1">
        <v>42527</v>
      </c>
      <c r="H6716" t="s">
        <v>30</v>
      </c>
      <c r="I6716">
        <v>0</v>
      </c>
      <c r="J6716" t="s">
        <v>111</v>
      </c>
      <c r="K6716">
        <v>1</v>
      </c>
      <c r="L6716">
        <v>0</v>
      </c>
      <c r="M6716">
        <v>0</v>
      </c>
      <c r="N6716">
        <v>0</v>
      </c>
      <c r="O6716">
        <v>0</v>
      </c>
      <c r="P6716">
        <v>0</v>
      </c>
      <c r="Q6716" t="s">
        <v>23</v>
      </c>
      <c r="R6716">
        <v>0</v>
      </c>
    </row>
    <row r="6717" spans="1:18">
      <c r="A6717" s="4">
        <v>988653000000000</v>
      </c>
      <c r="B6717" t="s">
        <v>18</v>
      </c>
      <c r="C6717">
        <v>32</v>
      </c>
      <c r="D6717" t="s">
        <v>37</v>
      </c>
      <c r="E6717" t="s">
        <v>71</v>
      </c>
      <c r="F6717" s="1">
        <v>42527</v>
      </c>
      <c r="G6717" s="1">
        <v>42527</v>
      </c>
      <c r="H6717" t="s">
        <v>30</v>
      </c>
      <c r="I6717">
        <v>0</v>
      </c>
      <c r="J6717" t="s">
        <v>111</v>
      </c>
      <c r="K6717">
        <v>1</v>
      </c>
      <c r="L6717">
        <v>0</v>
      </c>
      <c r="M6717">
        <v>0</v>
      </c>
      <c r="N6717">
        <v>0</v>
      </c>
      <c r="O6717">
        <v>0</v>
      </c>
      <c r="P6717">
        <v>0</v>
      </c>
      <c r="Q6717" t="s">
        <v>23</v>
      </c>
      <c r="R6717">
        <v>0</v>
      </c>
    </row>
    <row r="6718" spans="1:18">
      <c r="A6718" s="4">
        <v>366854000000</v>
      </c>
      <c r="B6718" t="s">
        <v>28</v>
      </c>
      <c r="C6718">
        <v>6</v>
      </c>
      <c r="D6718" t="s">
        <v>31</v>
      </c>
      <c r="E6718" t="s">
        <v>38</v>
      </c>
      <c r="F6718" s="1">
        <v>42527</v>
      </c>
      <c r="G6718" s="1">
        <v>42528</v>
      </c>
      <c r="H6718" t="s">
        <v>41</v>
      </c>
      <c r="I6718">
        <v>1</v>
      </c>
      <c r="J6718" t="s">
        <v>109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 t="s">
        <v>26</v>
      </c>
      <c r="R6718">
        <v>1</v>
      </c>
    </row>
    <row r="6719" spans="1:18">
      <c r="A6719" s="4">
        <v>57625200000000</v>
      </c>
      <c r="B6719" t="s">
        <v>18</v>
      </c>
      <c r="C6719">
        <v>53</v>
      </c>
      <c r="D6719" t="s">
        <v>35</v>
      </c>
      <c r="E6719" t="s">
        <v>72</v>
      </c>
      <c r="F6719" s="1">
        <v>42527</v>
      </c>
      <c r="G6719" s="1">
        <v>42527</v>
      </c>
      <c r="H6719" t="s">
        <v>30</v>
      </c>
      <c r="I6719">
        <v>0</v>
      </c>
      <c r="J6719" t="s">
        <v>111</v>
      </c>
      <c r="K6719">
        <v>0</v>
      </c>
      <c r="L6719">
        <v>1</v>
      </c>
      <c r="M6719">
        <v>0</v>
      </c>
      <c r="N6719">
        <v>0</v>
      </c>
      <c r="O6719">
        <v>0</v>
      </c>
      <c r="P6719">
        <v>0</v>
      </c>
      <c r="Q6719" t="s">
        <v>23</v>
      </c>
      <c r="R6719">
        <v>0</v>
      </c>
    </row>
    <row r="6720" spans="1:18">
      <c r="A6720" s="4">
        <v>11474200000000</v>
      </c>
      <c r="B6720" t="s">
        <v>28</v>
      </c>
      <c r="C6720">
        <v>44</v>
      </c>
      <c r="D6720" t="s">
        <v>27</v>
      </c>
      <c r="E6720" t="s">
        <v>40</v>
      </c>
      <c r="F6720" s="1">
        <v>42527</v>
      </c>
      <c r="G6720" s="1">
        <v>42527</v>
      </c>
      <c r="H6720" t="s">
        <v>30</v>
      </c>
      <c r="I6720">
        <v>0</v>
      </c>
      <c r="J6720" t="s">
        <v>111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23</v>
      </c>
      <c r="R6720">
        <v>0</v>
      </c>
    </row>
    <row r="6721" spans="1:18">
      <c r="A6721" s="4">
        <v>91936500000000</v>
      </c>
      <c r="B6721" t="s">
        <v>28</v>
      </c>
      <c r="C6721">
        <v>7</v>
      </c>
      <c r="D6721" t="s">
        <v>31</v>
      </c>
      <c r="E6721" t="s">
        <v>66</v>
      </c>
      <c r="F6721" s="1">
        <v>42527</v>
      </c>
      <c r="G6721" s="1">
        <v>42529</v>
      </c>
      <c r="H6721" t="s">
        <v>25</v>
      </c>
      <c r="I6721">
        <v>2</v>
      </c>
      <c r="J6721" t="s">
        <v>109</v>
      </c>
      <c r="K6721">
        <v>1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23</v>
      </c>
      <c r="R6721">
        <v>0</v>
      </c>
    </row>
    <row r="6722" spans="1:18">
      <c r="A6722" s="4">
        <v>93686200000000</v>
      </c>
      <c r="B6722" t="s">
        <v>28</v>
      </c>
      <c r="C6722">
        <v>53</v>
      </c>
      <c r="D6722" t="s">
        <v>35</v>
      </c>
      <c r="E6722" t="s">
        <v>54</v>
      </c>
      <c r="F6722" s="1">
        <v>42527</v>
      </c>
      <c r="G6722" s="1">
        <v>42527</v>
      </c>
      <c r="H6722" t="s">
        <v>30</v>
      </c>
      <c r="I6722">
        <v>0</v>
      </c>
      <c r="J6722" t="s">
        <v>111</v>
      </c>
      <c r="K6722">
        <v>0</v>
      </c>
      <c r="L6722">
        <v>1</v>
      </c>
      <c r="M6722">
        <v>0</v>
      </c>
      <c r="N6722">
        <v>0</v>
      </c>
      <c r="O6722">
        <v>0</v>
      </c>
      <c r="P6722">
        <v>0</v>
      </c>
      <c r="Q6722" t="s">
        <v>23</v>
      </c>
      <c r="R6722">
        <v>0</v>
      </c>
    </row>
    <row r="6723" spans="1:18">
      <c r="A6723" s="4">
        <v>4397170000000</v>
      </c>
      <c r="B6723" t="s">
        <v>28</v>
      </c>
      <c r="C6723">
        <v>66</v>
      </c>
      <c r="D6723" t="s">
        <v>19</v>
      </c>
      <c r="E6723" t="s">
        <v>91</v>
      </c>
      <c r="F6723" s="1">
        <v>42527</v>
      </c>
      <c r="G6723" s="1">
        <v>42527</v>
      </c>
      <c r="H6723" t="s">
        <v>30</v>
      </c>
      <c r="I6723">
        <v>0</v>
      </c>
      <c r="J6723" t="s">
        <v>111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 t="s">
        <v>23</v>
      </c>
      <c r="R6723">
        <v>0</v>
      </c>
    </row>
    <row r="6724" spans="1:18">
      <c r="A6724" s="4">
        <v>771190000000000</v>
      </c>
      <c r="B6724" t="s">
        <v>28</v>
      </c>
      <c r="C6724">
        <v>20</v>
      </c>
      <c r="D6724" t="s">
        <v>37</v>
      </c>
      <c r="E6724" t="s">
        <v>51</v>
      </c>
      <c r="F6724" s="1">
        <v>42527</v>
      </c>
      <c r="G6724" s="1">
        <v>42527</v>
      </c>
      <c r="H6724" t="s">
        <v>30</v>
      </c>
      <c r="I6724">
        <v>0</v>
      </c>
      <c r="J6724" t="s">
        <v>111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 t="s">
        <v>23</v>
      </c>
      <c r="R6724">
        <v>0</v>
      </c>
    </row>
    <row r="6725" spans="1:18">
      <c r="A6725" s="4">
        <v>47772700000000</v>
      </c>
      <c r="B6725" t="s">
        <v>18</v>
      </c>
      <c r="C6725">
        <v>15</v>
      </c>
      <c r="D6725" t="s">
        <v>60</v>
      </c>
      <c r="E6725" t="s">
        <v>55</v>
      </c>
      <c r="F6725" s="1">
        <v>42527</v>
      </c>
      <c r="G6725" s="1">
        <v>42527</v>
      </c>
      <c r="H6725" t="s">
        <v>30</v>
      </c>
      <c r="I6725">
        <v>0</v>
      </c>
      <c r="J6725" t="s">
        <v>111</v>
      </c>
      <c r="K6725">
        <v>1</v>
      </c>
      <c r="L6725">
        <v>0</v>
      </c>
      <c r="M6725">
        <v>0</v>
      </c>
      <c r="N6725">
        <v>0</v>
      </c>
      <c r="O6725">
        <v>1</v>
      </c>
      <c r="P6725">
        <v>0</v>
      </c>
      <c r="Q6725" t="s">
        <v>23</v>
      </c>
      <c r="R6725">
        <v>0</v>
      </c>
    </row>
    <row r="6726" spans="1:18">
      <c r="A6726" s="4">
        <v>636130000000000</v>
      </c>
      <c r="B6726" t="s">
        <v>18</v>
      </c>
      <c r="C6726">
        <v>7</v>
      </c>
      <c r="D6726" t="s">
        <v>31</v>
      </c>
      <c r="E6726" t="s">
        <v>100</v>
      </c>
      <c r="F6726" s="1">
        <v>42527</v>
      </c>
      <c r="G6726" s="1">
        <v>42527</v>
      </c>
      <c r="H6726" t="s">
        <v>30</v>
      </c>
      <c r="I6726">
        <v>0</v>
      </c>
      <c r="J6726" t="s">
        <v>111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23</v>
      </c>
      <c r="R6726">
        <v>0</v>
      </c>
    </row>
    <row r="6727" spans="1:18">
      <c r="A6727" s="4">
        <v>691644000000000</v>
      </c>
      <c r="B6727" t="s">
        <v>18</v>
      </c>
      <c r="C6727">
        <v>86</v>
      </c>
      <c r="D6727" t="s">
        <v>19</v>
      </c>
      <c r="E6727" t="s">
        <v>103</v>
      </c>
      <c r="F6727" s="1">
        <v>42527</v>
      </c>
      <c r="G6727" s="1">
        <v>42527</v>
      </c>
      <c r="H6727" t="s">
        <v>30</v>
      </c>
      <c r="I6727">
        <v>0</v>
      </c>
      <c r="J6727" t="s">
        <v>111</v>
      </c>
      <c r="K6727">
        <v>0</v>
      </c>
      <c r="L6727">
        <v>1</v>
      </c>
      <c r="M6727">
        <v>0</v>
      </c>
      <c r="N6727">
        <v>0</v>
      </c>
      <c r="O6727">
        <v>0</v>
      </c>
      <c r="P6727">
        <v>0</v>
      </c>
      <c r="Q6727" t="s">
        <v>23</v>
      </c>
      <c r="R6727">
        <v>0</v>
      </c>
    </row>
    <row r="6728" spans="1:18">
      <c r="A6728" s="4">
        <v>6999240000000</v>
      </c>
      <c r="B6728" t="s">
        <v>28</v>
      </c>
      <c r="C6728">
        <v>38</v>
      </c>
      <c r="D6728" t="s">
        <v>27</v>
      </c>
      <c r="E6728" t="s">
        <v>38</v>
      </c>
      <c r="F6728" s="1">
        <v>42527</v>
      </c>
      <c r="G6728" s="1">
        <v>42527</v>
      </c>
      <c r="H6728" t="s">
        <v>30</v>
      </c>
      <c r="I6728">
        <v>0</v>
      </c>
      <c r="J6728" t="s">
        <v>111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 t="s">
        <v>23</v>
      </c>
      <c r="R6728">
        <v>0</v>
      </c>
    </row>
    <row r="6729" spans="1:18">
      <c r="A6729" s="4">
        <v>66687900000000</v>
      </c>
      <c r="B6729" t="s">
        <v>18</v>
      </c>
      <c r="C6729">
        <v>17</v>
      </c>
      <c r="D6729" t="s">
        <v>60</v>
      </c>
      <c r="E6729" t="s">
        <v>36</v>
      </c>
      <c r="F6729" s="1">
        <v>42527</v>
      </c>
      <c r="G6729" s="1">
        <v>42527</v>
      </c>
      <c r="H6729" t="s">
        <v>30</v>
      </c>
      <c r="I6729">
        <v>0</v>
      </c>
      <c r="J6729" t="s">
        <v>111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23</v>
      </c>
      <c r="R6729">
        <v>0</v>
      </c>
    </row>
    <row r="6730" spans="1:18">
      <c r="A6730" s="4">
        <v>6972620000000</v>
      </c>
      <c r="B6730" t="s">
        <v>18</v>
      </c>
      <c r="C6730">
        <v>35</v>
      </c>
      <c r="D6730" t="s">
        <v>37</v>
      </c>
      <c r="E6730" t="s">
        <v>68</v>
      </c>
      <c r="F6730" s="1">
        <v>42527</v>
      </c>
      <c r="G6730" s="1">
        <v>42527</v>
      </c>
      <c r="H6730" t="s">
        <v>30</v>
      </c>
      <c r="I6730">
        <v>0</v>
      </c>
      <c r="J6730" t="s">
        <v>111</v>
      </c>
      <c r="K6730">
        <v>0</v>
      </c>
      <c r="L6730">
        <v>1</v>
      </c>
      <c r="M6730">
        <v>1</v>
      </c>
      <c r="N6730">
        <v>1</v>
      </c>
      <c r="O6730">
        <v>0</v>
      </c>
      <c r="P6730">
        <v>0</v>
      </c>
      <c r="Q6730" t="s">
        <v>23</v>
      </c>
      <c r="R6730">
        <v>0</v>
      </c>
    </row>
    <row r="6731" spans="1:18">
      <c r="A6731" s="4">
        <v>354198000000</v>
      </c>
      <c r="B6731" t="s">
        <v>28</v>
      </c>
      <c r="C6731">
        <v>0</v>
      </c>
      <c r="D6731" t="s">
        <v>31</v>
      </c>
      <c r="E6731" t="s">
        <v>71</v>
      </c>
      <c r="F6731" s="1">
        <v>42527</v>
      </c>
      <c r="G6731" s="1">
        <v>42527</v>
      </c>
      <c r="H6731" t="s">
        <v>30</v>
      </c>
      <c r="I6731">
        <v>0</v>
      </c>
      <c r="J6731" t="s">
        <v>111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23</v>
      </c>
      <c r="R6731">
        <v>0</v>
      </c>
    </row>
    <row r="6732" spans="1:18">
      <c r="A6732" s="4">
        <v>6195920000000</v>
      </c>
      <c r="B6732" t="s">
        <v>28</v>
      </c>
      <c r="C6732">
        <v>32</v>
      </c>
      <c r="D6732" t="s">
        <v>37</v>
      </c>
      <c r="E6732" t="s">
        <v>86</v>
      </c>
      <c r="F6732" s="1">
        <v>42527</v>
      </c>
      <c r="G6732" s="1">
        <v>42529</v>
      </c>
      <c r="H6732" t="s">
        <v>25</v>
      </c>
      <c r="I6732">
        <v>2</v>
      </c>
      <c r="J6732" t="s">
        <v>109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23</v>
      </c>
      <c r="R6732">
        <v>0</v>
      </c>
    </row>
    <row r="6733" spans="1:18">
      <c r="A6733" s="4">
        <v>66197353628</v>
      </c>
      <c r="B6733" t="s">
        <v>28</v>
      </c>
      <c r="C6733">
        <v>24</v>
      </c>
      <c r="D6733" t="s">
        <v>37</v>
      </c>
      <c r="E6733" t="s">
        <v>100</v>
      </c>
      <c r="F6733" s="1">
        <v>42527</v>
      </c>
      <c r="G6733" s="1">
        <v>42529</v>
      </c>
      <c r="H6733" t="s">
        <v>25</v>
      </c>
      <c r="I6733">
        <v>2</v>
      </c>
      <c r="J6733" t="s">
        <v>109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26</v>
      </c>
      <c r="R6733">
        <v>1</v>
      </c>
    </row>
    <row r="6734" spans="1:18">
      <c r="A6734" s="4">
        <v>686656000000</v>
      </c>
      <c r="B6734" t="s">
        <v>18</v>
      </c>
      <c r="C6734">
        <v>42</v>
      </c>
      <c r="D6734" t="s">
        <v>27</v>
      </c>
      <c r="E6734" t="s">
        <v>78</v>
      </c>
      <c r="F6734" s="1">
        <v>42527</v>
      </c>
      <c r="G6734" s="1">
        <v>42529</v>
      </c>
      <c r="H6734" t="s">
        <v>25</v>
      </c>
      <c r="I6734">
        <v>2</v>
      </c>
      <c r="J6734" t="s">
        <v>109</v>
      </c>
      <c r="K6734">
        <v>0</v>
      </c>
      <c r="L6734">
        <v>1</v>
      </c>
      <c r="M6734">
        <v>0</v>
      </c>
      <c r="N6734">
        <v>0</v>
      </c>
      <c r="O6734">
        <v>0</v>
      </c>
      <c r="P6734">
        <v>0</v>
      </c>
      <c r="Q6734" t="s">
        <v>23</v>
      </c>
      <c r="R6734">
        <v>0</v>
      </c>
    </row>
    <row r="6735" spans="1:18">
      <c r="A6735" s="4">
        <v>627455000000000</v>
      </c>
      <c r="B6735" t="s">
        <v>18</v>
      </c>
      <c r="C6735">
        <v>14</v>
      </c>
      <c r="D6735" t="s">
        <v>60</v>
      </c>
      <c r="E6735" t="s">
        <v>58</v>
      </c>
      <c r="F6735" s="1">
        <v>42527</v>
      </c>
      <c r="G6735" s="1">
        <v>42527</v>
      </c>
      <c r="H6735" t="s">
        <v>30</v>
      </c>
      <c r="I6735">
        <v>0</v>
      </c>
      <c r="J6735" t="s">
        <v>111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23</v>
      </c>
      <c r="R6735">
        <v>0</v>
      </c>
    </row>
    <row r="6736" spans="1:18">
      <c r="A6736" s="4">
        <v>45582300000000</v>
      </c>
      <c r="B6736" t="s">
        <v>18</v>
      </c>
      <c r="C6736">
        <v>76</v>
      </c>
      <c r="D6736" t="s">
        <v>19</v>
      </c>
      <c r="E6736" t="s">
        <v>29</v>
      </c>
      <c r="F6736" s="1">
        <v>42527</v>
      </c>
      <c r="G6736" s="1">
        <v>42529</v>
      </c>
      <c r="H6736" t="s">
        <v>25</v>
      </c>
      <c r="I6736">
        <v>2</v>
      </c>
      <c r="J6736" t="s">
        <v>109</v>
      </c>
      <c r="K6736">
        <v>0</v>
      </c>
      <c r="L6736">
        <v>1</v>
      </c>
      <c r="M6736">
        <v>0</v>
      </c>
      <c r="N6736">
        <v>0</v>
      </c>
      <c r="O6736">
        <v>0</v>
      </c>
      <c r="P6736">
        <v>0</v>
      </c>
      <c r="Q6736" t="s">
        <v>23</v>
      </c>
      <c r="R6736">
        <v>0</v>
      </c>
    </row>
    <row r="6737" spans="1:18">
      <c r="A6737" s="4">
        <v>2511170000000</v>
      </c>
      <c r="B6737" t="s">
        <v>18</v>
      </c>
      <c r="C6737">
        <v>17</v>
      </c>
      <c r="D6737" t="s">
        <v>60</v>
      </c>
      <c r="E6737" t="s">
        <v>32</v>
      </c>
      <c r="F6737" s="1">
        <v>42527</v>
      </c>
      <c r="G6737" s="1">
        <v>42527</v>
      </c>
      <c r="H6737" t="s">
        <v>30</v>
      </c>
      <c r="I6737">
        <v>0</v>
      </c>
      <c r="J6737" t="s">
        <v>111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23</v>
      </c>
      <c r="R6737">
        <v>0</v>
      </c>
    </row>
    <row r="6738" spans="1:18">
      <c r="A6738" s="4">
        <v>8986500000000</v>
      </c>
      <c r="B6738" t="s">
        <v>18</v>
      </c>
      <c r="C6738">
        <v>35</v>
      </c>
      <c r="D6738" t="s">
        <v>37</v>
      </c>
      <c r="E6738" t="s">
        <v>82</v>
      </c>
      <c r="F6738" s="1">
        <v>42527</v>
      </c>
      <c r="G6738" s="1">
        <v>42527</v>
      </c>
      <c r="H6738" t="s">
        <v>30</v>
      </c>
      <c r="I6738">
        <v>0</v>
      </c>
      <c r="J6738" t="s">
        <v>111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 t="s">
        <v>23</v>
      </c>
      <c r="R6738">
        <v>0</v>
      </c>
    </row>
    <row r="6739" spans="1:18">
      <c r="A6739" s="4">
        <v>2326450000000</v>
      </c>
      <c r="B6739" t="s">
        <v>18</v>
      </c>
      <c r="C6739">
        <v>43</v>
      </c>
      <c r="D6739" t="s">
        <v>27</v>
      </c>
      <c r="E6739" t="s">
        <v>94</v>
      </c>
      <c r="F6739" s="1">
        <v>42527</v>
      </c>
      <c r="G6739" s="1">
        <v>42527</v>
      </c>
      <c r="H6739" t="s">
        <v>30</v>
      </c>
      <c r="I6739">
        <v>0</v>
      </c>
      <c r="J6739" t="s">
        <v>111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23</v>
      </c>
      <c r="R6739">
        <v>0</v>
      </c>
    </row>
    <row r="6740" spans="1:18">
      <c r="A6740" s="4">
        <v>9615300000000</v>
      </c>
      <c r="B6740" t="s">
        <v>18</v>
      </c>
      <c r="C6740">
        <v>49</v>
      </c>
      <c r="D6740" t="s">
        <v>27</v>
      </c>
      <c r="E6740" t="s">
        <v>50</v>
      </c>
      <c r="F6740" s="1">
        <v>42527</v>
      </c>
      <c r="G6740" s="1">
        <v>42527</v>
      </c>
      <c r="H6740" t="s">
        <v>30</v>
      </c>
      <c r="I6740">
        <v>0</v>
      </c>
      <c r="J6740" t="s">
        <v>111</v>
      </c>
      <c r="K6740">
        <v>1</v>
      </c>
      <c r="L6740">
        <v>1</v>
      </c>
      <c r="M6740">
        <v>0</v>
      </c>
      <c r="N6740">
        <v>0</v>
      </c>
      <c r="O6740">
        <v>0</v>
      </c>
      <c r="P6740">
        <v>0</v>
      </c>
      <c r="Q6740" t="s">
        <v>23</v>
      </c>
      <c r="R6740">
        <v>0</v>
      </c>
    </row>
    <row r="6741" spans="1:18">
      <c r="A6741" s="4">
        <v>281768000000</v>
      </c>
      <c r="B6741" t="s">
        <v>18</v>
      </c>
      <c r="C6741">
        <v>58</v>
      </c>
      <c r="D6741" t="s">
        <v>35</v>
      </c>
      <c r="E6741" t="s">
        <v>39</v>
      </c>
      <c r="F6741" s="1">
        <v>42527</v>
      </c>
      <c r="G6741" s="1">
        <v>42527</v>
      </c>
      <c r="H6741" t="s">
        <v>30</v>
      </c>
      <c r="I6741">
        <v>0</v>
      </c>
      <c r="J6741" t="s">
        <v>111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 t="s">
        <v>23</v>
      </c>
      <c r="R6741">
        <v>0</v>
      </c>
    </row>
    <row r="6742" spans="1:18">
      <c r="A6742" s="4">
        <v>7979450000000</v>
      </c>
      <c r="B6742" t="s">
        <v>18</v>
      </c>
      <c r="C6742">
        <v>26</v>
      </c>
      <c r="D6742" t="s">
        <v>37</v>
      </c>
      <c r="E6742" t="s">
        <v>69</v>
      </c>
      <c r="F6742" s="1">
        <v>42527</v>
      </c>
      <c r="G6742" s="1">
        <v>42527</v>
      </c>
      <c r="H6742" t="s">
        <v>30</v>
      </c>
      <c r="I6742">
        <v>0</v>
      </c>
      <c r="J6742" t="s">
        <v>111</v>
      </c>
      <c r="K6742">
        <v>1</v>
      </c>
      <c r="L6742">
        <v>0</v>
      </c>
      <c r="M6742">
        <v>0</v>
      </c>
      <c r="N6742">
        <v>0</v>
      </c>
      <c r="O6742">
        <v>0</v>
      </c>
      <c r="P6742">
        <v>0</v>
      </c>
      <c r="Q6742" t="s">
        <v>23</v>
      </c>
      <c r="R6742">
        <v>0</v>
      </c>
    </row>
    <row r="6743" spans="1:18">
      <c r="A6743" s="4">
        <v>532955000000</v>
      </c>
      <c r="B6743" t="s">
        <v>18</v>
      </c>
      <c r="C6743">
        <v>29</v>
      </c>
      <c r="D6743" t="s">
        <v>37</v>
      </c>
      <c r="E6743" t="s">
        <v>32</v>
      </c>
      <c r="F6743" s="1">
        <v>42527</v>
      </c>
      <c r="G6743" s="1">
        <v>42527</v>
      </c>
      <c r="H6743" t="s">
        <v>30</v>
      </c>
      <c r="I6743">
        <v>0</v>
      </c>
      <c r="J6743" t="s">
        <v>111</v>
      </c>
      <c r="K6743">
        <v>0</v>
      </c>
      <c r="L6743">
        <v>0</v>
      </c>
      <c r="M6743">
        <v>0</v>
      </c>
      <c r="N6743">
        <v>1</v>
      </c>
      <c r="O6743">
        <v>1</v>
      </c>
      <c r="P6743">
        <v>0</v>
      </c>
      <c r="Q6743" t="s">
        <v>23</v>
      </c>
      <c r="R6743">
        <v>0</v>
      </c>
    </row>
    <row r="6744" spans="1:18">
      <c r="A6744" s="4">
        <v>8179670000000</v>
      </c>
      <c r="B6744" t="s">
        <v>28</v>
      </c>
      <c r="C6744">
        <v>54</v>
      </c>
      <c r="D6744" t="s">
        <v>35</v>
      </c>
      <c r="E6744" t="s">
        <v>67</v>
      </c>
      <c r="F6744" s="1">
        <v>42527</v>
      </c>
      <c r="G6744" s="1">
        <v>42527</v>
      </c>
      <c r="H6744" t="s">
        <v>30</v>
      </c>
      <c r="I6744">
        <v>0</v>
      </c>
      <c r="J6744" t="s">
        <v>111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23</v>
      </c>
      <c r="R6744">
        <v>0</v>
      </c>
    </row>
    <row r="6745" spans="1:18">
      <c r="A6745" s="4">
        <v>3723740000000</v>
      </c>
      <c r="B6745" t="s">
        <v>28</v>
      </c>
      <c r="C6745">
        <v>46</v>
      </c>
      <c r="D6745" t="s">
        <v>27</v>
      </c>
      <c r="E6745" t="s">
        <v>36</v>
      </c>
      <c r="F6745" s="1">
        <v>42527</v>
      </c>
      <c r="G6745" s="1">
        <v>42527</v>
      </c>
      <c r="H6745" t="s">
        <v>30</v>
      </c>
      <c r="I6745">
        <v>0</v>
      </c>
      <c r="J6745" t="s">
        <v>111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 t="s">
        <v>26</v>
      </c>
      <c r="R6745">
        <v>1</v>
      </c>
    </row>
    <row r="6746" spans="1:18">
      <c r="A6746" s="4">
        <v>78413200000000</v>
      </c>
      <c r="B6746" t="s">
        <v>18</v>
      </c>
      <c r="C6746">
        <v>65</v>
      </c>
      <c r="D6746" t="s">
        <v>35</v>
      </c>
      <c r="E6746" t="s">
        <v>72</v>
      </c>
      <c r="F6746" s="1">
        <v>42527</v>
      </c>
      <c r="G6746" s="1">
        <v>42528</v>
      </c>
      <c r="H6746" t="s">
        <v>41</v>
      </c>
      <c r="I6746">
        <v>1</v>
      </c>
      <c r="J6746" t="s">
        <v>109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 t="s">
        <v>23</v>
      </c>
      <c r="R6746">
        <v>0</v>
      </c>
    </row>
    <row r="6747" spans="1:18">
      <c r="A6747" s="4">
        <v>23729000000000</v>
      </c>
      <c r="B6747" t="s">
        <v>18</v>
      </c>
      <c r="C6747">
        <v>31</v>
      </c>
      <c r="D6747" t="s">
        <v>37</v>
      </c>
      <c r="E6747" t="s">
        <v>72</v>
      </c>
      <c r="F6747" s="1">
        <v>42527</v>
      </c>
      <c r="G6747" s="1">
        <v>42528</v>
      </c>
      <c r="H6747" t="s">
        <v>41</v>
      </c>
      <c r="I6747">
        <v>1</v>
      </c>
      <c r="J6747" t="s">
        <v>109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23</v>
      </c>
      <c r="R6747">
        <v>0</v>
      </c>
    </row>
    <row r="6748" spans="1:18">
      <c r="A6748" s="4">
        <v>6871350000000</v>
      </c>
      <c r="B6748" t="s">
        <v>18</v>
      </c>
      <c r="C6748">
        <v>17</v>
      </c>
      <c r="D6748" t="s">
        <v>60</v>
      </c>
      <c r="E6748" t="s">
        <v>43</v>
      </c>
      <c r="F6748" s="1">
        <v>42527</v>
      </c>
      <c r="G6748" s="1">
        <v>42527</v>
      </c>
      <c r="H6748" t="s">
        <v>30</v>
      </c>
      <c r="I6748">
        <v>0</v>
      </c>
      <c r="J6748" t="s">
        <v>111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 t="s">
        <v>23</v>
      </c>
      <c r="R6748">
        <v>0</v>
      </c>
    </row>
    <row r="6749" spans="1:18">
      <c r="A6749" s="4">
        <v>36933400000000</v>
      </c>
      <c r="B6749" t="s">
        <v>18</v>
      </c>
      <c r="C6749">
        <v>21</v>
      </c>
      <c r="D6749" t="s">
        <v>37</v>
      </c>
      <c r="E6749" t="s">
        <v>72</v>
      </c>
      <c r="F6749" s="1">
        <v>42527</v>
      </c>
      <c r="G6749" s="1">
        <v>42528</v>
      </c>
      <c r="H6749" t="s">
        <v>41</v>
      </c>
      <c r="I6749">
        <v>1</v>
      </c>
      <c r="J6749" t="s">
        <v>109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 t="s">
        <v>23</v>
      </c>
      <c r="R6749">
        <v>0</v>
      </c>
    </row>
    <row r="6750" spans="1:18">
      <c r="A6750" s="4">
        <v>94786600000000</v>
      </c>
      <c r="B6750" t="s">
        <v>28</v>
      </c>
      <c r="C6750">
        <v>4</v>
      </c>
      <c r="D6750" t="s">
        <v>31</v>
      </c>
      <c r="E6750" t="s">
        <v>79</v>
      </c>
      <c r="F6750" s="1">
        <v>42527</v>
      </c>
      <c r="G6750" s="1">
        <v>42527</v>
      </c>
      <c r="H6750" t="s">
        <v>30</v>
      </c>
      <c r="I6750">
        <v>0</v>
      </c>
      <c r="J6750" t="s">
        <v>111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23</v>
      </c>
      <c r="R6750">
        <v>0</v>
      </c>
    </row>
    <row r="6751" spans="1:18">
      <c r="A6751" s="4">
        <v>9447710000000</v>
      </c>
      <c r="B6751" t="s">
        <v>18</v>
      </c>
      <c r="C6751">
        <v>38</v>
      </c>
      <c r="D6751" t="s">
        <v>27</v>
      </c>
      <c r="E6751" t="s">
        <v>115</v>
      </c>
      <c r="F6751" s="1">
        <v>42527</v>
      </c>
      <c r="G6751" s="1">
        <v>42527</v>
      </c>
      <c r="H6751" t="s">
        <v>30</v>
      </c>
      <c r="I6751">
        <v>0</v>
      </c>
      <c r="J6751" t="s">
        <v>111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 t="s">
        <v>23</v>
      </c>
      <c r="R6751">
        <v>0</v>
      </c>
    </row>
    <row r="6752" spans="1:18">
      <c r="A6752" s="4">
        <v>53629700000000</v>
      </c>
      <c r="B6752" t="s">
        <v>28</v>
      </c>
      <c r="C6752">
        <v>66</v>
      </c>
      <c r="D6752" t="s">
        <v>19</v>
      </c>
      <c r="E6752" t="s">
        <v>76</v>
      </c>
      <c r="F6752" s="1">
        <v>42527</v>
      </c>
      <c r="G6752" s="1">
        <v>42527</v>
      </c>
      <c r="H6752" t="s">
        <v>30</v>
      </c>
      <c r="I6752">
        <v>0</v>
      </c>
      <c r="J6752" t="s">
        <v>111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 t="s">
        <v>23</v>
      </c>
      <c r="R6752">
        <v>0</v>
      </c>
    </row>
    <row r="6753" spans="1:18">
      <c r="A6753" s="4">
        <v>74536900000000</v>
      </c>
      <c r="B6753" t="s">
        <v>18</v>
      </c>
      <c r="C6753">
        <v>43</v>
      </c>
      <c r="D6753" t="s">
        <v>27</v>
      </c>
      <c r="E6753" t="s">
        <v>105</v>
      </c>
      <c r="F6753" s="1">
        <v>42527</v>
      </c>
      <c r="G6753" s="1">
        <v>42527</v>
      </c>
      <c r="H6753" t="s">
        <v>30</v>
      </c>
      <c r="I6753">
        <v>0</v>
      </c>
      <c r="J6753" t="s">
        <v>111</v>
      </c>
      <c r="K6753">
        <v>0</v>
      </c>
      <c r="L6753">
        <v>1</v>
      </c>
      <c r="M6753">
        <v>0</v>
      </c>
      <c r="N6753">
        <v>0</v>
      </c>
      <c r="O6753">
        <v>0</v>
      </c>
      <c r="P6753">
        <v>0</v>
      </c>
      <c r="Q6753" t="s">
        <v>23</v>
      </c>
      <c r="R6753">
        <v>0</v>
      </c>
    </row>
    <row r="6754" spans="1:18">
      <c r="A6754" s="4">
        <v>769912000000</v>
      </c>
      <c r="B6754" t="s">
        <v>28</v>
      </c>
      <c r="C6754">
        <v>45</v>
      </c>
      <c r="D6754" t="s">
        <v>27</v>
      </c>
      <c r="E6754" t="s">
        <v>66</v>
      </c>
      <c r="F6754" s="1">
        <v>42527</v>
      </c>
      <c r="G6754" s="1">
        <v>42527</v>
      </c>
      <c r="H6754" t="s">
        <v>30</v>
      </c>
      <c r="I6754">
        <v>0</v>
      </c>
      <c r="J6754" t="s">
        <v>111</v>
      </c>
      <c r="K6754">
        <v>0</v>
      </c>
      <c r="L6754">
        <v>1</v>
      </c>
      <c r="M6754">
        <v>0</v>
      </c>
      <c r="N6754">
        <v>0</v>
      </c>
      <c r="O6754">
        <v>0</v>
      </c>
      <c r="P6754">
        <v>0</v>
      </c>
      <c r="Q6754" t="s">
        <v>23</v>
      </c>
      <c r="R6754">
        <v>0</v>
      </c>
    </row>
    <row r="6755" spans="1:18">
      <c r="A6755" s="4">
        <v>296834000000000</v>
      </c>
      <c r="B6755" t="s">
        <v>18</v>
      </c>
      <c r="C6755">
        <v>4</v>
      </c>
      <c r="D6755" t="s">
        <v>31</v>
      </c>
      <c r="E6755" t="s">
        <v>89</v>
      </c>
      <c r="F6755" s="1">
        <v>42527</v>
      </c>
      <c r="G6755" s="1">
        <v>42528</v>
      </c>
      <c r="H6755" t="s">
        <v>41</v>
      </c>
      <c r="I6755">
        <v>1</v>
      </c>
      <c r="J6755" t="s">
        <v>109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 t="s">
        <v>23</v>
      </c>
      <c r="R6755">
        <v>0</v>
      </c>
    </row>
    <row r="6756" spans="1:18">
      <c r="A6756" s="4">
        <v>81647400000000</v>
      </c>
      <c r="B6756" t="s">
        <v>18</v>
      </c>
      <c r="C6756">
        <v>19</v>
      </c>
      <c r="D6756" t="s">
        <v>37</v>
      </c>
      <c r="E6756" t="s">
        <v>58</v>
      </c>
      <c r="F6756" s="1">
        <v>42527</v>
      </c>
      <c r="G6756" s="1">
        <v>42528</v>
      </c>
      <c r="H6756" t="s">
        <v>41</v>
      </c>
      <c r="I6756">
        <v>1</v>
      </c>
      <c r="J6756" t="s">
        <v>109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 t="s">
        <v>23</v>
      </c>
      <c r="R6756">
        <v>0</v>
      </c>
    </row>
    <row r="6757" spans="1:18">
      <c r="A6757" s="4">
        <v>522832000000000</v>
      </c>
      <c r="B6757" t="s">
        <v>18</v>
      </c>
      <c r="C6757">
        <v>20</v>
      </c>
      <c r="D6757" t="s">
        <v>37</v>
      </c>
      <c r="E6757" t="s">
        <v>94</v>
      </c>
      <c r="F6757" s="1">
        <v>42527</v>
      </c>
      <c r="G6757" s="1">
        <v>42527</v>
      </c>
      <c r="H6757" t="s">
        <v>30</v>
      </c>
      <c r="I6757">
        <v>0</v>
      </c>
      <c r="J6757" t="s">
        <v>111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23</v>
      </c>
      <c r="R6757">
        <v>0</v>
      </c>
    </row>
    <row r="6758" spans="1:18">
      <c r="A6758" s="4">
        <v>4649720000000</v>
      </c>
      <c r="B6758" t="s">
        <v>18</v>
      </c>
      <c r="C6758">
        <v>22</v>
      </c>
      <c r="D6758" t="s">
        <v>37</v>
      </c>
      <c r="E6758" t="s">
        <v>61</v>
      </c>
      <c r="F6758" s="1">
        <v>42527</v>
      </c>
      <c r="G6758" s="1">
        <v>42527</v>
      </c>
      <c r="H6758" t="s">
        <v>30</v>
      </c>
      <c r="I6758">
        <v>0</v>
      </c>
      <c r="J6758" t="s">
        <v>111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 t="s">
        <v>23</v>
      </c>
      <c r="R6758">
        <v>0</v>
      </c>
    </row>
    <row r="6759" spans="1:18">
      <c r="A6759" s="4">
        <v>8621820000000</v>
      </c>
      <c r="B6759" t="s">
        <v>18</v>
      </c>
      <c r="C6759">
        <v>11</v>
      </c>
      <c r="D6759" t="s">
        <v>31</v>
      </c>
      <c r="E6759" t="s">
        <v>47</v>
      </c>
      <c r="F6759" s="1">
        <v>42527</v>
      </c>
      <c r="G6759" s="1">
        <v>42527</v>
      </c>
      <c r="H6759" t="s">
        <v>30</v>
      </c>
      <c r="I6759">
        <v>0</v>
      </c>
      <c r="J6759" t="s">
        <v>111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 t="s">
        <v>23</v>
      </c>
      <c r="R6759">
        <v>0</v>
      </c>
    </row>
    <row r="6760" spans="1:18">
      <c r="A6760" s="4">
        <v>384677000000</v>
      </c>
      <c r="B6760" t="s">
        <v>18</v>
      </c>
      <c r="C6760">
        <v>26</v>
      </c>
      <c r="D6760" t="s">
        <v>37</v>
      </c>
      <c r="E6760" t="s">
        <v>68</v>
      </c>
      <c r="F6760" s="1">
        <v>42527</v>
      </c>
      <c r="G6760" s="1">
        <v>42529</v>
      </c>
      <c r="H6760" t="s">
        <v>25</v>
      </c>
      <c r="I6760">
        <v>2</v>
      </c>
      <c r="J6760" t="s">
        <v>109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 t="s">
        <v>23</v>
      </c>
      <c r="R6760">
        <v>0</v>
      </c>
    </row>
    <row r="6761" spans="1:18">
      <c r="A6761" s="4">
        <v>839519000000000</v>
      </c>
      <c r="B6761" t="s">
        <v>28</v>
      </c>
      <c r="C6761">
        <v>2</v>
      </c>
      <c r="D6761" t="s">
        <v>31</v>
      </c>
      <c r="E6761" t="s">
        <v>68</v>
      </c>
      <c r="F6761" s="1">
        <v>42527</v>
      </c>
      <c r="G6761" s="1">
        <v>42527</v>
      </c>
      <c r="H6761" t="s">
        <v>30</v>
      </c>
      <c r="I6761">
        <v>0</v>
      </c>
      <c r="J6761" t="s">
        <v>111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 t="s">
        <v>23</v>
      </c>
      <c r="R6761">
        <v>0</v>
      </c>
    </row>
    <row r="6762" spans="1:18">
      <c r="A6762" s="4">
        <v>8168110000000</v>
      </c>
      <c r="B6762" t="s">
        <v>18</v>
      </c>
      <c r="C6762">
        <v>53</v>
      </c>
      <c r="D6762" t="s">
        <v>35</v>
      </c>
      <c r="E6762" t="s">
        <v>83</v>
      </c>
      <c r="F6762" s="1">
        <v>42527</v>
      </c>
      <c r="G6762" s="1">
        <v>42527</v>
      </c>
      <c r="H6762" t="s">
        <v>30</v>
      </c>
      <c r="I6762">
        <v>0</v>
      </c>
      <c r="J6762" t="s">
        <v>111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 t="s">
        <v>23</v>
      </c>
      <c r="R6762">
        <v>0</v>
      </c>
    </row>
    <row r="6763" spans="1:18">
      <c r="A6763" s="4">
        <v>688834000000</v>
      </c>
      <c r="B6763" t="s">
        <v>28</v>
      </c>
      <c r="C6763">
        <v>38</v>
      </c>
      <c r="D6763" t="s">
        <v>27</v>
      </c>
      <c r="E6763" t="s">
        <v>58</v>
      </c>
      <c r="F6763" s="1">
        <v>42527</v>
      </c>
      <c r="G6763" s="1">
        <v>42529</v>
      </c>
      <c r="H6763" t="s">
        <v>25</v>
      </c>
      <c r="I6763">
        <v>2</v>
      </c>
      <c r="J6763" t="s">
        <v>109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 t="s">
        <v>26</v>
      </c>
      <c r="R6763">
        <v>1</v>
      </c>
    </row>
    <row r="6764" spans="1:18">
      <c r="A6764" s="4">
        <v>78621900000000</v>
      </c>
      <c r="B6764" t="s">
        <v>18</v>
      </c>
      <c r="C6764">
        <v>34</v>
      </c>
      <c r="D6764" t="s">
        <v>37</v>
      </c>
      <c r="E6764" t="s">
        <v>40</v>
      </c>
      <c r="F6764" s="1">
        <v>42527</v>
      </c>
      <c r="G6764" s="1">
        <v>42527</v>
      </c>
      <c r="H6764" t="s">
        <v>30</v>
      </c>
      <c r="I6764">
        <v>0</v>
      </c>
      <c r="J6764" t="s">
        <v>111</v>
      </c>
      <c r="K6764">
        <v>1</v>
      </c>
      <c r="L6764">
        <v>0</v>
      </c>
      <c r="M6764">
        <v>0</v>
      </c>
      <c r="N6764">
        <v>0</v>
      </c>
      <c r="O6764">
        <v>0</v>
      </c>
      <c r="P6764">
        <v>0</v>
      </c>
      <c r="Q6764" t="s">
        <v>23</v>
      </c>
      <c r="R6764">
        <v>0</v>
      </c>
    </row>
    <row r="6765" spans="1:18">
      <c r="A6765" s="4">
        <v>35566700000000</v>
      </c>
      <c r="B6765" t="s">
        <v>28</v>
      </c>
      <c r="C6765">
        <v>15</v>
      </c>
      <c r="D6765" t="s">
        <v>60</v>
      </c>
      <c r="E6765" t="s">
        <v>99</v>
      </c>
      <c r="F6765" s="1">
        <v>42527</v>
      </c>
      <c r="G6765" s="1">
        <v>42527</v>
      </c>
      <c r="H6765" t="s">
        <v>30</v>
      </c>
      <c r="I6765">
        <v>0</v>
      </c>
      <c r="J6765" t="s">
        <v>111</v>
      </c>
      <c r="K6765">
        <v>1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23</v>
      </c>
      <c r="R6765">
        <v>0</v>
      </c>
    </row>
    <row r="6766" spans="1:18">
      <c r="A6766" s="4">
        <v>111927000000000</v>
      </c>
      <c r="B6766" t="s">
        <v>18</v>
      </c>
      <c r="C6766">
        <v>70</v>
      </c>
      <c r="D6766" t="s">
        <v>19</v>
      </c>
      <c r="E6766" t="s">
        <v>39</v>
      </c>
      <c r="F6766" s="1">
        <v>42527</v>
      </c>
      <c r="G6766" s="1">
        <v>42527</v>
      </c>
      <c r="H6766" t="s">
        <v>30</v>
      </c>
      <c r="I6766">
        <v>0</v>
      </c>
      <c r="J6766" t="s">
        <v>111</v>
      </c>
      <c r="K6766">
        <v>0</v>
      </c>
      <c r="L6766">
        <v>1</v>
      </c>
      <c r="M6766">
        <v>1</v>
      </c>
      <c r="N6766">
        <v>0</v>
      </c>
      <c r="O6766">
        <v>0</v>
      </c>
      <c r="P6766">
        <v>0</v>
      </c>
      <c r="Q6766" t="s">
        <v>23</v>
      </c>
      <c r="R6766">
        <v>0</v>
      </c>
    </row>
    <row r="6767" spans="1:18">
      <c r="A6767" s="4">
        <v>514620000000000</v>
      </c>
      <c r="B6767" t="s">
        <v>28</v>
      </c>
      <c r="C6767">
        <v>32</v>
      </c>
      <c r="D6767" t="s">
        <v>37</v>
      </c>
      <c r="E6767" t="s">
        <v>36</v>
      </c>
      <c r="F6767" s="1">
        <v>42527</v>
      </c>
      <c r="G6767" s="1">
        <v>42527</v>
      </c>
      <c r="H6767" t="s">
        <v>30</v>
      </c>
      <c r="I6767">
        <v>0</v>
      </c>
      <c r="J6767" t="s">
        <v>111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23</v>
      </c>
      <c r="R6767">
        <v>0</v>
      </c>
    </row>
    <row r="6768" spans="1:18">
      <c r="A6768" s="4">
        <v>87114800000000</v>
      </c>
      <c r="B6768" t="s">
        <v>18</v>
      </c>
      <c r="C6768">
        <v>24</v>
      </c>
      <c r="D6768" t="s">
        <v>37</v>
      </c>
      <c r="E6768" t="s">
        <v>39</v>
      </c>
      <c r="F6768" s="1">
        <v>42527</v>
      </c>
      <c r="G6768" s="1">
        <v>42529</v>
      </c>
      <c r="H6768" t="s">
        <v>25</v>
      </c>
      <c r="I6768">
        <v>2</v>
      </c>
      <c r="J6768" t="s">
        <v>109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23</v>
      </c>
      <c r="R6768">
        <v>0</v>
      </c>
    </row>
    <row r="6769" spans="1:18">
      <c r="A6769" s="4">
        <v>77139300000000</v>
      </c>
      <c r="B6769" t="s">
        <v>18</v>
      </c>
      <c r="C6769">
        <v>37</v>
      </c>
      <c r="D6769" t="s">
        <v>27</v>
      </c>
      <c r="E6769" t="s">
        <v>72</v>
      </c>
      <c r="F6769" s="1">
        <v>42527</v>
      </c>
      <c r="G6769" s="1">
        <v>42527</v>
      </c>
      <c r="H6769" t="s">
        <v>30</v>
      </c>
      <c r="I6769">
        <v>0</v>
      </c>
      <c r="J6769" t="s">
        <v>111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23</v>
      </c>
      <c r="R6769">
        <v>0</v>
      </c>
    </row>
    <row r="6770" spans="1:18">
      <c r="A6770" s="4">
        <v>574543000000000</v>
      </c>
      <c r="B6770" t="s">
        <v>18</v>
      </c>
      <c r="C6770">
        <v>35</v>
      </c>
      <c r="D6770" t="s">
        <v>37</v>
      </c>
      <c r="E6770" t="s">
        <v>93</v>
      </c>
      <c r="F6770" s="1">
        <v>42527</v>
      </c>
      <c r="G6770" s="1">
        <v>42528</v>
      </c>
      <c r="H6770" t="s">
        <v>41</v>
      </c>
      <c r="I6770">
        <v>1</v>
      </c>
      <c r="J6770" t="s">
        <v>109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 t="s">
        <v>23</v>
      </c>
      <c r="R6770">
        <v>0</v>
      </c>
    </row>
    <row r="6771" spans="1:18">
      <c r="A6771" s="4">
        <v>854625000000000</v>
      </c>
      <c r="B6771" t="s">
        <v>18</v>
      </c>
      <c r="C6771">
        <v>34</v>
      </c>
      <c r="D6771" t="s">
        <v>37</v>
      </c>
      <c r="E6771" t="s">
        <v>20</v>
      </c>
      <c r="F6771" s="1">
        <v>42527</v>
      </c>
      <c r="G6771" s="1">
        <v>42529</v>
      </c>
      <c r="H6771" t="s">
        <v>25</v>
      </c>
      <c r="I6771">
        <v>2</v>
      </c>
      <c r="J6771" t="s">
        <v>109</v>
      </c>
      <c r="K6771">
        <v>0</v>
      </c>
      <c r="L6771">
        <v>1</v>
      </c>
      <c r="M6771">
        <v>0</v>
      </c>
      <c r="N6771">
        <v>0</v>
      </c>
      <c r="O6771">
        <v>0</v>
      </c>
      <c r="P6771">
        <v>0</v>
      </c>
      <c r="Q6771" t="s">
        <v>23</v>
      </c>
      <c r="R6771">
        <v>0</v>
      </c>
    </row>
    <row r="6772" spans="1:18">
      <c r="A6772" s="4">
        <v>2917940000000</v>
      </c>
      <c r="B6772" t="s">
        <v>18</v>
      </c>
      <c r="C6772">
        <v>54</v>
      </c>
      <c r="D6772" t="s">
        <v>35</v>
      </c>
      <c r="E6772" t="s">
        <v>66</v>
      </c>
      <c r="F6772" s="1">
        <v>42527</v>
      </c>
      <c r="G6772" s="1">
        <v>42528</v>
      </c>
      <c r="H6772" t="s">
        <v>41</v>
      </c>
      <c r="I6772">
        <v>1</v>
      </c>
      <c r="J6772" t="s">
        <v>109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 t="s">
        <v>23</v>
      </c>
      <c r="R6772">
        <v>0</v>
      </c>
    </row>
    <row r="6773" spans="1:18">
      <c r="A6773" s="4">
        <v>656391000000000</v>
      </c>
      <c r="B6773" t="s">
        <v>18</v>
      </c>
      <c r="C6773">
        <v>1</v>
      </c>
      <c r="D6773" t="s">
        <v>31</v>
      </c>
      <c r="E6773" t="s">
        <v>50</v>
      </c>
      <c r="F6773" s="1">
        <v>42527</v>
      </c>
      <c r="G6773" s="1">
        <v>42527</v>
      </c>
      <c r="H6773" t="s">
        <v>30</v>
      </c>
      <c r="I6773">
        <v>0</v>
      </c>
      <c r="J6773" t="s">
        <v>111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 t="s">
        <v>23</v>
      </c>
      <c r="R6773">
        <v>0</v>
      </c>
    </row>
    <row r="6774" spans="1:18">
      <c r="A6774" s="4">
        <v>81894500000000</v>
      </c>
      <c r="B6774" t="s">
        <v>28</v>
      </c>
      <c r="C6774">
        <v>35</v>
      </c>
      <c r="D6774" t="s">
        <v>37</v>
      </c>
      <c r="E6774" t="s">
        <v>54</v>
      </c>
      <c r="F6774" s="1">
        <v>42527</v>
      </c>
      <c r="G6774" s="1">
        <v>42527</v>
      </c>
      <c r="H6774" t="s">
        <v>30</v>
      </c>
      <c r="I6774">
        <v>0</v>
      </c>
      <c r="J6774" t="s">
        <v>111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 t="s">
        <v>23</v>
      </c>
      <c r="R6774">
        <v>0</v>
      </c>
    </row>
    <row r="6775" spans="1:18">
      <c r="A6775" s="4">
        <v>826516000000000</v>
      </c>
      <c r="B6775" t="s">
        <v>28</v>
      </c>
      <c r="C6775">
        <v>2</v>
      </c>
      <c r="D6775" t="s">
        <v>31</v>
      </c>
      <c r="E6775" t="s">
        <v>72</v>
      </c>
      <c r="F6775" s="1">
        <v>42527</v>
      </c>
      <c r="G6775" s="1">
        <v>42527</v>
      </c>
      <c r="H6775" t="s">
        <v>30</v>
      </c>
      <c r="I6775">
        <v>0</v>
      </c>
      <c r="J6775" t="s">
        <v>111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23</v>
      </c>
      <c r="R6775">
        <v>0</v>
      </c>
    </row>
    <row r="6776" spans="1:18">
      <c r="A6776" s="4">
        <v>5159760000000</v>
      </c>
      <c r="B6776" t="s">
        <v>18</v>
      </c>
      <c r="C6776">
        <v>69</v>
      </c>
      <c r="D6776" t="s">
        <v>19</v>
      </c>
      <c r="E6776" t="s">
        <v>39</v>
      </c>
      <c r="F6776" s="1">
        <v>42527</v>
      </c>
      <c r="G6776" s="1">
        <v>42528</v>
      </c>
      <c r="H6776" t="s">
        <v>41</v>
      </c>
      <c r="I6776">
        <v>1</v>
      </c>
      <c r="J6776" t="s">
        <v>109</v>
      </c>
      <c r="K6776">
        <v>0</v>
      </c>
      <c r="L6776">
        <v>1</v>
      </c>
      <c r="M6776">
        <v>0</v>
      </c>
      <c r="N6776">
        <v>0</v>
      </c>
      <c r="O6776">
        <v>0</v>
      </c>
      <c r="P6776">
        <v>0</v>
      </c>
      <c r="Q6776" t="s">
        <v>26</v>
      </c>
      <c r="R6776">
        <v>1</v>
      </c>
    </row>
    <row r="6777" spans="1:18">
      <c r="A6777" s="4">
        <v>17737300000000</v>
      </c>
      <c r="B6777" t="s">
        <v>18</v>
      </c>
      <c r="C6777">
        <v>21</v>
      </c>
      <c r="D6777" t="s">
        <v>37</v>
      </c>
      <c r="E6777" t="s">
        <v>71</v>
      </c>
      <c r="F6777" s="1">
        <v>42527</v>
      </c>
      <c r="G6777" s="1">
        <v>42528</v>
      </c>
      <c r="H6777" t="s">
        <v>41</v>
      </c>
      <c r="I6777">
        <v>1</v>
      </c>
      <c r="J6777" t="s">
        <v>109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 t="s">
        <v>23</v>
      </c>
      <c r="R6777">
        <v>0</v>
      </c>
    </row>
    <row r="6778" spans="1:18">
      <c r="A6778" s="4">
        <v>826516000000000</v>
      </c>
      <c r="B6778" t="s">
        <v>28</v>
      </c>
      <c r="C6778">
        <v>2</v>
      </c>
      <c r="D6778" t="s">
        <v>31</v>
      </c>
      <c r="E6778" t="s">
        <v>72</v>
      </c>
      <c r="F6778" s="1">
        <v>42527</v>
      </c>
      <c r="G6778" s="1">
        <v>42529</v>
      </c>
      <c r="H6778" t="s">
        <v>25</v>
      </c>
      <c r="I6778">
        <v>2</v>
      </c>
      <c r="J6778" t="s">
        <v>109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23</v>
      </c>
      <c r="R6778">
        <v>0</v>
      </c>
    </row>
    <row r="6779" spans="1:18">
      <c r="A6779" s="4">
        <v>5793960000000</v>
      </c>
      <c r="B6779" t="s">
        <v>18</v>
      </c>
      <c r="C6779">
        <v>39</v>
      </c>
      <c r="D6779" t="s">
        <v>27</v>
      </c>
      <c r="E6779" t="s">
        <v>55</v>
      </c>
      <c r="F6779" s="1">
        <v>42527</v>
      </c>
      <c r="G6779" s="1">
        <v>42529</v>
      </c>
      <c r="H6779" t="s">
        <v>25</v>
      </c>
      <c r="I6779">
        <v>2</v>
      </c>
      <c r="J6779" t="s">
        <v>109</v>
      </c>
      <c r="K6779">
        <v>1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23</v>
      </c>
      <c r="R6779">
        <v>0</v>
      </c>
    </row>
    <row r="6780" spans="1:18">
      <c r="A6780" s="4">
        <v>13586000000000</v>
      </c>
      <c r="B6780" t="s">
        <v>18</v>
      </c>
      <c r="C6780">
        <v>23</v>
      </c>
      <c r="D6780" t="s">
        <v>37</v>
      </c>
      <c r="E6780" t="s">
        <v>36</v>
      </c>
      <c r="F6780" s="1">
        <v>42527</v>
      </c>
      <c r="G6780" s="1">
        <v>42529</v>
      </c>
      <c r="H6780" t="s">
        <v>25</v>
      </c>
      <c r="I6780">
        <v>2</v>
      </c>
      <c r="J6780" t="s">
        <v>109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 t="s">
        <v>26</v>
      </c>
      <c r="R6780">
        <v>1</v>
      </c>
    </row>
    <row r="6781" spans="1:18">
      <c r="A6781" s="4">
        <v>289582000000000</v>
      </c>
      <c r="B6781" t="s">
        <v>18</v>
      </c>
      <c r="C6781">
        <v>38</v>
      </c>
      <c r="D6781" t="s">
        <v>27</v>
      </c>
      <c r="E6781" t="s">
        <v>72</v>
      </c>
      <c r="F6781" s="1">
        <v>42527</v>
      </c>
      <c r="G6781" s="1">
        <v>42529</v>
      </c>
      <c r="H6781" t="s">
        <v>25</v>
      </c>
      <c r="I6781">
        <v>2</v>
      </c>
      <c r="J6781" t="s">
        <v>109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 t="s">
        <v>23</v>
      </c>
      <c r="R6781">
        <v>0</v>
      </c>
    </row>
    <row r="6782" spans="1:18">
      <c r="A6782" s="4">
        <v>411485000000</v>
      </c>
      <c r="B6782" t="s">
        <v>28</v>
      </c>
      <c r="C6782">
        <v>58</v>
      </c>
      <c r="D6782" t="s">
        <v>35</v>
      </c>
      <c r="E6782" t="s">
        <v>67</v>
      </c>
      <c r="F6782" s="1">
        <v>42527</v>
      </c>
      <c r="G6782" s="1">
        <v>42529</v>
      </c>
      <c r="H6782" t="s">
        <v>25</v>
      </c>
      <c r="I6782">
        <v>2</v>
      </c>
      <c r="J6782" t="s">
        <v>109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 t="s">
        <v>26</v>
      </c>
      <c r="R6782">
        <v>1</v>
      </c>
    </row>
    <row r="6783" spans="1:18">
      <c r="A6783" s="4">
        <v>861495000000000</v>
      </c>
      <c r="B6783" t="s">
        <v>18</v>
      </c>
      <c r="C6783">
        <v>48</v>
      </c>
      <c r="D6783" t="s">
        <v>27</v>
      </c>
      <c r="E6783" t="s">
        <v>61</v>
      </c>
      <c r="F6783" s="1">
        <v>42527</v>
      </c>
      <c r="G6783" s="1">
        <v>42529</v>
      </c>
      <c r="H6783" t="s">
        <v>25</v>
      </c>
      <c r="I6783">
        <v>2</v>
      </c>
      <c r="J6783" t="s">
        <v>109</v>
      </c>
      <c r="K6783">
        <v>0</v>
      </c>
      <c r="L6783">
        <v>1</v>
      </c>
      <c r="M6783">
        <v>1</v>
      </c>
      <c r="N6783">
        <v>0</v>
      </c>
      <c r="O6783">
        <v>0</v>
      </c>
      <c r="P6783">
        <v>0</v>
      </c>
      <c r="Q6783" t="s">
        <v>23</v>
      </c>
      <c r="R6783">
        <v>0</v>
      </c>
    </row>
    <row r="6784" spans="1:18">
      <c r="A6784" s="4">
        <v>19768000000000</v>
      </c>
      <c r="B6784" t="s">
        <v>18</v>
      </c>
      <c r="C6784">
        <v>49</v>
      </c>
      <c r="D6784" t="s">
        <v>27</v>
      </c>
      <c r="E6784" t="s">
        <v>67</v>
      </c>
      <c r="F6784" s="1">
        <v>42527</v>
      </c>
      <c r="G6784" s="1">
        <v>42529</v>
      </c>
      <c r="H6784" t="s">
        <v>25</v>
      </c>
      <c r="I6784">
        <v>2</v>
      </c>
      <c r="J6784" t="s">
        <v>109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 t="s">
        <v>23</v>
      </c>
      <c r="R6784">
        <v>0</v>
      </c>
    </row>
    <row r="6785" spans="1:18">
      <c r="A6785" s="4">
        <v>9411530000000</v>
      </c>
      <c r="B6785" t="s">
        <v>28</v>
      </c>
      <c r="C6785">
        <v>67</v>
      </c>
      <c r="D6785" t="s">
        <v>19</v>
      </c>
      <c r="E6785" t="s">
        <v>29</v>
      </c>
      <c r="F6785" s="1">
        <v>42527</v>
      </c>
      <c r="G6785" s="1">
        <v>42529</v>
      </c>
      <c r="H6785" t="s">
        <v>25</v>
      </c>
      <c r="I6785">
        <v>2</v>
      </c>
      <c r="J6785" t="s">
        <v>109</v>
      </c>
      <c r="K6785">
        <v>0</v>
      </c>
      <c r="L6785">
        <v>1</v>
      </c>
      <c r="M6785">
        <v>0</v>
      </c>
      <c r="N6785">
        <v>0</v>
      </c>
      <c r="O6785">
        <v>0</v>
      </c>
      <c r="P6785">
        <v>0</v>
      </c>
      <c r="Q6785" t="s">
        <v>23</v>
      </c>
      <c r="R6785">
        <v>0</v>
      </c>
    </row>
    <row r="6786" spans="1:18">
      <c r="A6786" s="4">
        <v>91521400000000</v>
      </c>
      <c r="B6786" t="s">
        <v>18</v>
      </c>
      <c r="C6786">
        <v>65</v>
      </c>
      <c r="D6786" t="s">
        <v>35</v>
      </c>
      <c r="E6786" t="s">
        <v>39</v>
      </c>
      <c r="F6786" s="1">
        <v>42527</v>
      </c>
      <c r="G6786" s="1">
        <v>42528</v>
      </c>
      <c r="H6786" t="s">
        <v>41</v>
      </c>
      <c r="I6786">
        <v>1</v>
      </c>
      <c r="J6786" t="s">
        <v>109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23</v>
      </c>
      <c r="R6786">
        <v>0</v>
      </c>
    </row>
    <row r="6787" spans="1:18">
      <c r="A6787" s="4">
        <v>78839349359</v>
      </c>
      <c r="B6787" t="s">
        <v>18</v>
      </c>
      <c r="C6787">
        <v>30</v>
      </c>
      <c r="D6787" t="s">
        <v>37</v>
      </c>
      <c r="E6787" t="s">
        <v>20</v>
      </c>
      <c r="F6787" s="1">
        <v>42527</v>
      </c>
      <c r="G6787" s="1">
        <v>42529</v>
      </c>
      <c r="H6787" t="s">
        <v>25</v>
      </c>
      <c r="I6787">
        <v>2</v>
      </c>
      <c r="J6787" t="s">
        <v>109</v>
      </c>
      <c r="K6787">
        <v>1</v>
      </c>
      <c r="L6787">
        <v>0</v>
      </c>
      <c r="M6787">
        <v>0</v>
      </c>
      <c r="N6787">
        <v>0</v>
      </c>
      <c r="O6787">
        <v>0</v>
      </c>
      <c r="P6787">
        <v>0</v>
      </c>
      <c r="Q6787" t="s">
        <v>23</v>
      </c>
      <c r="R6787">
        <v>0</v>
      </c>
    </row>
    <row r="6788" spans="1:18">
      <c r="A6788" s="4">
        <v>91537600000000</v>
      </c>
      <c r="B6788" t="s">
        <v>28</v>
      </c>
      <c r="C6788">
        <v>55</v>
      </c>
      <c r="D6788" t="s">
        <v>35</v>
      </c>
      <c r="E6788" t="s">
        <v>105</v>
      </c>
      <c r="F6788" s="1">
        <v>42528</v>
      </c>
      <c r="G6788" s="1">
        <v>42528</v>
      </c>
      <c r="H6788" t="s">
        <v>41</v>
      </c>
      <c r="I6788">
        <v>0</v>
      </c>
      <c r="J6788" t="s">
        <v>111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23</v>
      </c>
      <c r="R6788">
        <v>0</v>
      </c>
    </row>
    <row r="6789" spans="1:18">
      <c r="A6789" s="4">
        <v>987788000000</v>
      </c>
      <c r="B6789" t="s">
        <v>28</v>
      </c>
      <c r="C6789">
        <v>47</v>
      </c>
      <c r="D6789" t="s">
        <v>27</v>
      </c>
      <c r="E6789" t="s">
        <v>42</v>
      </c>
      <c r="F6789" s="1">
        <v>42528</v>
      </c>
      <c r="G6789" s="1">
        <v>42528</v>
      </c>
      <c r="H6789" t="s">
        <v>41</v>
      </c>
      <c r="I6789">
        <v>0</v>
      </c>
      <c r="J6789" t="s">
        <v>111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 t="s">
        <v>23</v>
      </c>
      <c r="R6789">
        <v>0</v>
      </c>
    </row>
    <row r="6790" spans="1:18">
      <c r="A6790" s="4">
        <v>23223200000000</v>
      </c>
      <c r="B6790" t="s">
        <v>28</v>
      </c>
      <c r="C6790">
        <v>16</v>
      </c>
      <c r="D6790" t="s">
        <v>60</v>
      </c>
      <c r="E6790" t="s">
        <v>57</v>
      </c>
      <c r="F6790" s="1">
        <v>42528</v>
      </c>
      <c r="G6790" s="1">
        <v>42528</v>
      </c>
      <c r="H6790" t="s">
        <v>41</v>
      </c>
      <c r="I6790">
        <v>0</v>
      </c>
      <c r="J6790" t="s">
        <v>111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 t="s">
        <v>23</v>
      </c>
      <c r="R6790">
        <v>0</v>
      </c>
    </row>
    <row r="6791" spans="1:18">
      <c r="A6791" s="4">
        <v>94147978161</v>
      </c>
      <c r="B6791" t="s">
        <v>18</v>
      </c>
      <c r="C6791">
        <v>53</v>
      </c>
      <c r="D6791" t="s">
        <v>35</v>
      </c>
      <c r="E6791" t="s">
        <v>54</v>
      </c>
      <c r="F6791" s="1">
        <v>42528</v>
      </c>
      <c r="G6791" s="1">
        <v>42528</v>
      </c>
      <c r="H6791" t="s">
        <v>41</v>
      </c>
      <c r="I6791">
        <v>0</v>
      </c>
      <c r="J6791" t="s">
        <v>111</v>
      </c>
      <c r="K6791">
        <v>1</v>
      </c>
      <c r="L6791">
        <v>1</v>
      </c>
      <c r="M6791">
        <v>1</v>
      </c>
      <c r="N6791">
        <v>0</v>
      </c>
      <c r="O6791">
        <v>0</v>
      </c>
      <c r="P6791">
        <v>0</v>
      </c>
      <c r="Q6791" t="s">
        <v>23</v>
      </c>
      <c r="R6791">
        <v>0</v>
      </c>
    </row>
    <row r="6792" spans="1:18">
      <c r="A6792" s="4">
        <v>98388617733</v>
      </c>
      <c r="B6792" t="s">
        <v>18</v>
      </c>
      <c r="C6792">
        <v>29</v>
      </c>
      <c r="D6792" t="s">
        <v>37</v>
      </c>
      <c r="E6792" t="s">
        <v>45</v>
      </c>
      <c r="F6792" s="1">
        <v>42528</v>
      </c>
      <c r="G6792" s="1">
        <v>42528</v>
      </c>
      <c r="H6792" t="s">
        <v>41</v>
      </c>
      <c r="I6792">
        <v>0</v>
      </c>
      <c r="J6792" t="s">
        <v>111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 t="s">
        <v>23</v>
      </c>
      <c r="R6792">
        <v>0</v>
      </c>
    </row>
    <row r="6793" spans="1:18">
      <c r="A6793" s="4">
        <v>34998800000000</v>
      </c>
      <c r="B6793" t="s">
        <v>28</v>
      </c>
      <c r="C6793">
        <v>8</v>
      </c>
      <c r="D6793" t="s">
        <v>31</v>
      </c>
      <c r="E6793" t="s">
        <v>58</v>
      </c>
      <c r="F6793" s="1">
        <v>42528</v>
      </c>
      <c r="G6793" s="1">
        <v>42528</v>
      </c>
      <c r="H6793" t="s">
        <v>41</v>
      </c>
      <c r="I6793">
        <v>0</v>
      </c>
      <c r="J6793" t="s">
        <v>111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 t="s">
        <v>23</v>
      </c>
      <c r="R6793">
        <v>0</v>
      </c>
    </row>
    <row r="6794" spans="1:18">
      <c r="A6794" s="4">
        <v>638126000000000</v>
      </c>
      <c r="B6794" t="s">
        <v>18</v>
      </c>
      <c r="C6794">
        <v>60</v>
      </c>
      <c r="D6794" t="s">
        <v>35</v>
      </c>
      <c r="E6794" t="s">
        <v>32</v>
      </c>
      <c r="F6794" s="1">
        <v>42528</v>
      </c>
      <c r="G6794" s="1">
        <v>42528</v>
      </c>
      <c r="H6794" t="s">
        <v>41</v>
      </c>
      <c r="I6794">
        <v>0</v>
      </c>
      <c r="J6794" t="s">
        <v>111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23</v>
      </c>
      <c r="R6794">
        <v>0</v>
      </c>
    </row>
    <row r="6795" spans="1:18">
      <c r="A6795" s="4">
        <v>156661000000</v>
      </c>
      <c r="B6795" t="s">
        <v>18</v>
      </c>
      <c r="C6795">
        <v>48</v>
      </c>
      <c r="D6795" t="s">
        <v>27</v>
      </c>
      <c r="E6795" t="s">
        <v>70</v>
      </c>
      <c r="F6795" s="1">
        <v>42528</v>
      </c>
      <c r="G6795" s="1">
        <v>42528</v>
      </c>
      <c r="H6795" t="s">
        <v>41</v>
      </c>
      <c r="I6795">
        <v>0</v>
      </c>
      <c r="J6795" t="s">
        <v>111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 t="s">
        <v>23</v>
      </c>
      <c r="R6795">
        <v>0</v>
      </c>
    </row>
    <row r="6796" spans="1:18">
      <c r="A6796" s="4">
        <v>54216400000000</v>
      </c>
      <c r="B6796" t="s">
        <v>28</v>
      </c>
      <c r="C6796">
        <v>3</v>
      </c>
      <c r="D6796" t="s">
        <v>31</v>
      </c>
      <c r="E6796" t="s">
        <v>32</v>
      </c>
      <c r="F6796" s="1">
        <v>42528</v>
      </c>
      <c r="G6796" s="1">
        <v>42528</v>
      </c>
      <c r="H6796" t="s">
        <v>41</v>
      </c>
      <c r="I6796">
        <v>0</v>
      </c>
      <c r="J6796" t="s">
        <v>111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 t="s">
        <v>23</v>
      </c>
      <c r="R6796">
        <v>0</v>
      </c>
    </row>
    <row r="6797" spans="1:18">
      <c r="A6797" s="4">
        <v>81613500000000</v>
      </c>
      <c r="B6797" t="s">
        <v>18</v>
      </c>
      <c r="C6797">
        <v>58</v>
      </c>
      <c r="D6797" t="s">
        <v>35</v>
      </c>
      <c r="E6797" t="s">
        <v>75</v>
      </c>
      <c r="F6797" s="1">
        <v>42528</v>
      </c>
      <c r="G6797" s="1">
        <v>42528</v>
      </c>
      <c r="H6797" t="s">
        <v>41</v>
      </c>
      <c r="I6797">
        <v>0</v>
      </c>
      <c r="J6797" t="s">
        <v>111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 t="s">
        <v>23</v>
      </c>
      <c r="R6797">
        <v>0</v>
      </c>
    </row>
    <row r="6798" spans="1:18">
      <c r="A6798" s="4">
        <v>385566000000</v>
      </c>
      <c r="B6798" t="s">
        <v>18</v>
      </c>
      <c r="C6798">
        <v>58</v>
      </c>
      <c r="D6798" t="s">
        <v>35</v>
      </c>
      <c r="E6798" t="s">
        <v>105</v>
      </c>
      <c r="F6798" s="1">
        <v>42528</v>
      </c>
      <c r="G6798" s="1">
        <v>42528</v>
      </c>
      <c r="H6798" t="s">
        <v>41</v>
      </c>
      <c r="I6798">
        <v>0</v>
      </c>
      <c r="J6798" t="s">
        <v>111</v>
      </c>
      <c r="K6798">
        <v>0</v>
      </c>
      <c r="L6798">
        <v>1</v>
      </c>
      <c r="M6798">
        <v>0</v>
      </c>
      <c r="N6798">
        <v>0</v>
      </c>
      <c r="O6798">
        <v>0</v>
      </c>
      <c r="P6798">
        <v>0</v>
      </c>
      <c r="Q6798" t="s">
        <v>23</v>
      </c>
      <c r="R6798">
        <v>0</v>
      </c>
    </row>
    <row r="6799" spans="1:18">
      <c r="A6799" s="4">
        <v>49183400000000</v>
      </c>
      <c r="B6799" t="s">
        <v>18</v>
      </c>
      <c r="C6799">
        <v>32</v>
      </c>
      <c r="D6799" t="s">
        <v>37</v>
      </c>
      <c r="E6799" t="s">
        <v>73</v>
      </c>
      <c r="F6799" s="1">
        <v>42528</v>
      </c>
      <c r="G6799" s="1">
        <v>42528</v>
      </c>
      <c r="H6799" t="s">
        <v>41</v>
      </c>
      <c r="I6799">
        <v>0</v>
      </c>
      <c r="J6799" t="s">
        <v>111</v>
      </c>
      <c r="K6799">
        <v>1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23</v>
      </c>
      <c r="R6799">
        <v>0</v>
      </c>
    </row>
    <row r="6800" spans="1:18">
      <c r="A6800" s="4">
        <v>32561300000000</v>
      </c>
      <c r="B6800" t="s">
        <v>28</v>
      </c>
      <c r="C6800">
        <v>63</v>
      </c>
      <c r="D6800" t="s">
        <v>35</v>
      </c>
      <c r="E6800" t="s">
        <v>29</v>
      </c>
      <c r="F6800" s="1">
        <v>42528</v>
      </c>
      <c r="G6800" s="1">
        <v>42528</v>
      </c>
      <c r="H6800" t="s">
        <v>41</v>
      </c>
      <c r="I6800">
        <v>0</v>
      </c>
      <c r="J6800" t="s">
        <v>111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 t="s">
        <v>23</v>
      </c>
      <c r="R6800">
        <v>0</v>
      </c>
    </row>
    <row r="6801" spans="1:18">
      <c r="A6801" s="4">
        <v>45277700000000</v>
      </c>
      <c r="B6801" t="s">
        <v>28</v>
      </c>
      <c r="C6801">
        <v>64</v>
      </c>
      <c r="D6801" t="s">
        <v>35</v>
      </c>
      <c r="E6801" t="s">
        <v>68</v>
      </c>
      <c r="F6801" s="1">
        <v>42528</v>
      </c>
      <c r="G6801" s="1">
        <v>42528</v>
      </c>
      <c r="H6801" t="s">
        <v>41</v>
      </c>
      <c r="I6801">
        <v>0</v>
      </c>
      <c r="J6801" t="s">
        <v>111</v>
      </c>
      <c r="K6801">
        <v>0</v>
      </c>
      <c r="L6801">
        <v>1</v>
      </c>
      <c r="M6801">
        <v>1</v>
      </c>
      <c r="N6801">
        <v>0</v>
      </c>
      <c r="O6801">
        <v>0</v>
      </c>
      <c r="P6801">
        <v>0</v>
      </c>
      <c r="Q6801" t="s">
        <v>23</v>
      </c>
      <c r="R6801">
        <v>0</v>
      </c>
    </row>
    <row r="6802" spans="1:18">
      <c r="A6802" s="4">
        <v>974784000000000</v>
      </c>
      <c r="B6802" t="s">
        <v>18</v>
      </c>
      <c r="C6802">
        <v>4</v>
      </c>
      <c r="D6802" t="s">
        <v>31</v>
      </c>
      <c r="E6802" t="s">
        <v>57</v>
      </c>
      <c r="F6802" s="1">
        <v>42528</v>
      </c>
      <c r="G6802" s="1">
        <v>42528</v>
      </c>
      <c r="H6802" t="s">
        <v>41</v>
      </c>
      <c r="I6802">
        <v>0</v>
      </c>
      <c r="J6802" t="s">
        <v>111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23</v>
      </c>
      <c r="R6802">
        <v>0</v>
      </c>
    </row>
    <row r="6803" spans="1:18">
      <c r="A6803" s="4">
        <v>96492500000000</v>
      </c>
      <c r="B6803" t="s">
        <v>18</v>
      </c>
      <c r="C6803">
        <v>1</v>
      </c>
      <c r="D6803" t="s">
        <v>31</v>
      </c>
      <c r="E6803" t="s">
        <v>75</v>
      </c>
      <c r="F6803" s="1">
        <v>42528</v>
      </c>
      <c r="G6803" s="1">
        <v>42528</v>
      </c>
      <c r="H6803" t="s">
        <v>41</v>
      </c>
      <c r="I6803">
        <v>0</v>
      </c>
      <c r="J6803" t="s">
        <v>111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23</v>
      </c>
      <c r="R6803">
        <v>0</v>
      </c>
    </row>
    <row r="6804" spans="1:18">
      <c r="A6804" s="4">
        <v>2721730000000</v>
      </c>
      <c r="B6804" t="s">
        <v>18</v>
      </c>
      <c r="C6804">
        <v>22</v>
      </c>
      <c r="D6804" t="s">
        <v>37</v>
      </c>
      <c r="E6804" t="s">
        <v>45</v>
      </c>
      <c r="F6804" s="1">
        <v>42528</v>
      </c>
      <c r="G6804" s="1">
        <v>42528</v>
      </c>
      <c r="H6804" t="s">
        <v>41</v>
      </c>
      <c r="I6804">
        <v>0</v>
      </c>
      <c r="J6804" t="s">
        <v>111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 t="s">
        <v>23</v>
      </c>
      <c r="R6804">
        <v>0</v>
      </c>
    </row>
    <row r="6805" spans="1:18">
      <c r="A6805" s="4">
        <v>84761500000000</v>
      </c>
      <c r="B6805" t="s">
        <v>18</v>
      </c>
      <c r="C6805">
        <v>21</v>
      </c>
      <c r="D6805" t="s">
        <v>37</v>
      </c>
      <c r="E6805" t="s">
        <v>105</v>
      </c>
      <c r="F6805" s="1">
        <v>42528</v>
      </c>
      <c r="G6805" s="1">
        <v>42528</v>
      </c>
      <c r="H6805" t="s">
        <v>41</v>
      </c>
      <c r="I6805">
        <v>0</v>
      </c>
      <c r="J6805" t="s">
        <v>111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23</v>
      </c>
      <c r="R6805">
        <v>0</v>
      </c>
    </row>
    <row r="6806" spans="1:18">
      <c r="A6806" s="4">
        <v>44563200000000</v>
      </c>
      <c r="B6806" t="s">
        <v>28</v>
      </c>
      <c r="C6806">
        <v>67</v>
      </c>
      <c r="D6806" t="s">
        <v>19</v>
      </c>
      <c r="E6806" t="s">
        <v>72</v>
      </c>
      <c r="F6806" s="1">
        <v>42528</v>
      </c>
      <c r="G6806" s="1">
        <v>42528</v>
      </c>
      <c r="H6806" t="s">
        <v>41</v>
      </c>
      <c r="I6806">
        <v>0</v>
      </c>
      <c r="J6806" t="s">
        <v>111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23</v>
      </c>
      <c r="R6806">
        <v>0</v>
      </c>
    </row>
    <row r="6807" spans="1:18">
      <c r="A6807" s="4">
        <v>87751600000000</v>
      </c>
      <c r="B6807" t="s">
        <v>28</v>
      </c>
      <c r="C6807">
        <v>7</v>
      </c>
      <c r="D6807" t="s">
        <v>31</v>
      </c>
      <c r="E6807" t="s">
        <v>55</v>
      </c>
      <c r="F6807" s="1">
        <v>42528</v>
      </c>
      <c r="G6807" s="1">
        <v>42528</v>
      </c>
      <c r="H6807" t="s">
        <v>41</v>
      </c>
      <c r="I6807">
        <v>0</v>
      </c>
      <c r="J6807" t="s">
        <v>111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23</v>
      </c>
      <c r="R6807">
        <v>0</v>
      </c>
    </row>
    <row r="6808" spans="1:18">
      <c r="A6808" s="4">
        <v>137952000000000</v>
      </c>
      <c r="B6808" t="s">
        <v>18</v>
      </c>
      <c r="C6808">
        <v>8</v>
      </c>
      <c r="D6808" t="s">
        <v>31</v>
      </c>
      <c r="E6808" t="s">
        <v>68</v>
      </c>
      <c r="F6808" s="1">
        <v>42528</v>
      </c>
      <c r="G6808" s="1">
        <v>42528</v>
      </c>
      <c r="H6808" t="s">
        <v>41</v>
      </c>
      <c r="I6808">
        <v>0</v>
      </c>
      <c r="J6808" t="s">
        <v>111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23</v>
      </c>
      <c r="R6808">
        <v>0</v>
      </c>
    </row>
    <row r="6809" spans="1:18">
      <c r="A6809" s="4">
        <v>16871900000000</v>
      </c>
      <c r="B6809" t="s">
        <v>18</v>
      </c>
      <c r="C6809">
        <v>25</v>
      </c>
      <c r="D6809" t="s">
        <v>37</v>
      </c>
      <c r="E6809" t="s">
        <v>69</v>
      </c>
      <c r="F6809" s="1">
        <v>42528</v>
      </c>
      <c r="G6809" s="1">
        <v>42528</v>
      </c>
      <c r="H6809" t="s">
        <v>41</v>
      </c>
      <c r="I6809">
        <v>0</v>
      </c>
      <c r="J6809" t="s">
        <v>111</v>
      </c>
      <c r="K6809">
        <v>1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23</v>
      </c>
      <c r="R6809">
        <v>0</v>
      </c>
    </row>
    <row r="6810" spans="1:18">
      <c r="A6810" s="4">
        <v>6223980000000</v>
      </c>
      <c r="B6810" t="s">
        <v>18</v>
      </c>
      <c r="C6810">
        <v>29</v>
      </c>
      <c r="D6810" t="s">
        <v>37</v>
      </c>
      <c r="E6810" t="s">
        <v>38</v>
      </c>
      <c r="F6810" s="1">
        <v>42528</v>
      </c>
      <c r="G6810" s="1">
        <v>42528</v>
      </c>
      <c r="H6810" t="s">
        <v>41</v>
      </c>
      <c r="I6810">
        <v>0</v>
      </c>
      <c r="J6810" t="s">
        <v>111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 t="s">
        <v>23</v>
      </c>
      <c r="R6810">
        <v>0</v>
      </c>
    </row>
    <row r="6811" spans="1:18">
      <c r="A6811" s="4">
        <v>4551140000000</v>
      </c>
      <c r="B6811" t="s">
        <v>18</v>
      </c>
      <c r="C6811">
        <v>41</v>
      </c>
      <c r="D6811" t="s">
        <v>27</v>
      </c>
      <c r="E6811" t="s">
        <v>45</v>
      </c>
      <c r="F6811" s="1">
        <v>42528</v>
      </c>
      <c r="G6811" s="1">
        <v>42528</v>
      </c>
      <c r="H6811" t="s">
        <v>41</v>
      </c>
      <c r="I6811">
        <v>0</v>
      </c>
      <c r="J6811" t="s">
        <v>111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 t="s">
        <v>23</v>
      </c>
      <c r="R6811">
        <v>0</v>
      </c>
    </row>
    <row r="6812" spans="1:18">
      <c r="A6812" s="4">
        <v>852557000000000</v>
      </c>
      <c r="B6812" t="s">
        <v>18</v>
      </c>
      <c r="C6812">
        <v>48</v>
      </c>
      <c r="D6812" t="s">
        <v>27</v>
      </c>
      <c r="E6812" t="s">
        <v>63</v>
      </c>
      <c r="F6812" s="1">
        <v>42528</v>
      </c>
      <c r="G6812" s="1">
        <v>42528</v>
      </c>
      <c r="H6812" t="s">
        <v>41</v>
      </c>
      <c r="I6812">
        <v>0</v>
      </c>
      <c r="J6812" t="s">
        <v>111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23</v>
      </c>
      <c r="R6812">
        <v>0</v>
      </c>
    </row>
    <row r="6813" spans="1:18">
      <c r="A6813" s="4">
        <v>9119650000000</v>
      </c>
      <c r="B6813" t="s">
        <v>18</v>
      </c>
      <c r="C6813">
        <v>0</v>
      </c>
      <c r="D6813" t="s">
        <v>31</v>
      </c>
      <c r="E6813" t="s">
        <v>57</v>
      </c>
      <c r="F6813" s="1">
        <v>42528</v>
      </c>
      <c r="G6813" s="1">
        <v>42528</v>
      </c>
      <c r="H6813" t="s">
        <v>41</v>
      </c>
      <c r="I6813">
        <v>0</v>
      </c>
      <c r="J6813" t="s">
        <v>111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 t="s">
        <v>23</v>
      </c>
      <c r="R6813">
        <v>0</v>
      </c>
    </row>
    <row r="6814" spans="1:18">
      <c r="A6814" s="4">
        <v>22893000000000</v>
      </c>
      <c r="B6814" t="s">
        <v>18</v>
      </c>
      <c r="C6814">
        <v>41</v>
      </c>
      <c r="D6814" t="s">
        <v>27</v>
      </c>
      <c r="E6814" t="s">
        <v>47</v>
      </c>
      <c r="F6814" s="1">
        <v>42528</v>
      </c>
      <c r="G6814" s="1">
        <v>42528</v>
      </c>
      <c r="H6814" t="s">
        <v>41</v>
      </c>
      <c r="I6814">
        <v>0</v>
      </c>
      <c r="J6814" t="s">
        <v>111</v>
      </c>
      <c r="K6814">
        <v>0</v>
      </c>
      <c r="L6814">
        <v>1</v>
      </c>
      <c r="M6814">
        <v>1</v>
      </c>
      <c r="N6814">
        <v>0</v>
      </c>
      <c r="O6814">
        <v>0</v>
      </c>
      <c r="P6814">
        <v>0</v>
      </c>
      <c r="Q6814" t="s">
        <v>23</v>
      </c>
      <c r="R6814">
        <v>0</v>
      </c>
    </row>
    <row r="6815" spans="1:18">
      <c r="A6815" s="4">
        <v>58341900000000</v>
      </c>
      <c r="B6815" t="s">
        <v>28</v>
      </c>
      <c r="C6815">
        <v>38</v>
      </c>
      <c r="D6815" t="s">
        <v>27</v>
      </c>
      <c r="E6815" t="s">
        <v>63</v>
      </c>
      <c r="F6815" s="1">
        <v>42528</v>
      </c>
      <c r="G6815" s="1">
        <v>42528</v>
      </c>
      <c r="H6815" t="s">
        <v>41</v>
      </c>
      <c r="I6815">
        <v>0</v>
      </c>
      <c r="J6815" t="s">
        <v>111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 t="s">
        <v>23</v>
      </c>
      <c r="R6815">
        <v>0</v>
      </c>
    </row>
    <row r="6816" spans="1:18">
      <c r="A6816" s="4">
        <v>3753600000000</v>
      </c>
      <c r="B6816" t="s">
        <v>18</v>
      </c>
      <c r="C6816">
        <v>31</v>
      </c>
      <c r="D6816" t="s">
        <v>37</v>
      </c>
      <c r="E6816" t="s">
        <v>44</v>
      </c>
      <c r="F6816" s="1">
        <v>42528</v>
      </c>
      <c r="G6816" s="1">
        <v>42528</v>
      </c>
      <c r="H6816" t="s">
        <v>41</v>
      </c>
      <c r="I6816">
        <v>0</v>
      </c>
      <c r="J6816" t="s">
        <v>111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 t="s">
        <v>23</v>
      </c>
      <c r="R6816">
        <v>0</v>
      </c>
    </row>
    <row r="6817" spans="1:18">
      <c r="A6817" s="4">
        <v>44732600000000</v>
      </c>
      <c r="B6817" t="s">
        <v>18</v>
      </c>
      <c r="C6817">
        <v>45</v>
      </c>
      <c r="D6817" t="s">
        <v>27</v>
      </c>
      <c r="E6817" t="s">
        <v>55</v>
      </c>
      <c r="F6817" s="1">
        <v>42528</v>
      </c>
      <c r="G6817" s="1">
        <v>42528</v>
      </c>
      <c r="H6817" t="s">
        <v>41</v>
      </c>
      <c r="I6817">
        <v>0</v>
      </c>
      <c r="J6817" t="s">
        <v>111</v>
      </c>
      <c r="K6817">
        <v>1</v>
      </c>
      <c r="L6817">
        <v>0</v>
      </c>
      <c r="M6817">
        <v>0</v>
      </c>
      <c r="N6817">
        <v>0</v>
      </c>
      <c r="O6817">
        <v>0</v>
      </c>
      <c r="P6817">
        <v>0</v>
      </c>
      <c r="Q6817" t="s">
        <v>23</v>
      </c>
      <c r="R6817">
        <v>0</v>
      </c>
    </row>
    <row r="6818" spans="1:18">
      <c r="A6818" s="4">
        <v>92644700000000</v>
      </c>
      <c r="B6818" t="s">
        <v>18</v>
      </c>
      <c r="C6818">
        <v>50</v>
      </c>
      <c r="D6818" t="s">
        <v>27</v>
      </c>
      <c r="E6818" t="s">
        <v>57</v>
      </c>
      <c r="F6818" s="1">
        <v>42528</v>
      </c>
      <c r="G6818" s="1">
        <v>42529</v>
      </c>
      <c r="H6818" t="s">
        <v>25</v>
      </c>
      <c r="I6818">
        <v>1</v>
      </c>
      <c r="J6818" t="s">
        <v>109</v>
      </c>
      <c r="K6818">
        <v>0</v>
      </c>
      <c r="L6818">
        <v>1</v>
      </c>
      <c r="M6818">
        <v>0</v>
      </c>
      <c r="N6818">
        <v>0</v>
      </c>
      <c r="O6818">
        <v>0</v>
      </c>
      <c r="P6818">
        <v>0</v>
      </c>
      <c r="Q6818" t="s">
        <v>23</v>
      </c>
      <c r="R6818">
        <v>0</v>
      </c>
    </row>
    <row r="6819" spans="1:18">
      <c r="A6819" s="4">
        <v>4168480000000</v>
      </c>
      <c r="B6819" t="s">
        <v>28</v>
      </c>
      <c r="C6819">
        <v>56</v>
      </c>
      <c r="D6819" t="s">
        <v>35</v>
      </c>
      <c r="E6819" t="s">
        <v>72</v>
      </c>
      <c r="F6819" s="1">
        <v>42528</v>
      </c>
      <c r="G6819" s="1">
        <v>42528</v>
      </c>
      <c r="H6819" t="s">
        <v>41</v>
      </c>
      <c r="I6819">
        <v>0</v>
      </c>
      <c r="J6819" t="s">
        <v>111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 t="s">
        <v>23</v>
      </c>
      <c r="R6819">
        <v>0</v>
      </c>
    </row>
    <row r="6820" spans="1:18">
      <c r="A6820" s="4">
        <v>75999600000000</v>
      </c>
      <c r="B6820" t="s">
        <v>18</v>
      </c>
      <c r="C6820">
        <v>60</v>
      </c>
      <c r="D6820" t="s">
        <v>35</v>
      </c>
      <c r="E6820" t="s">
        <v>39</v>
      </c>
      <c r="F6820" s="1">
        <v>42528</v>
      </c>
      <c r="G6820" s="1">
        <v>42528</v>
      </c>
      <c r="H6820" t="s">
        <v>41</v>
      </c>
      <c r="I6820">
        <v>0</v>
      </c>
      <c r="J6820" t="s">
        <v>111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23</v>
      </c>
      <c r="R6820">
        <v>0</v>
      </c>
    </row>
    <row r="6821" spans="1:18">
      <c r="A6821" s="4">
        <v>18979700000000</v>
      </c>
      <c r="B6821" t="s">
        <v>18</v>
      </c>
      <c r="C6821">
        <v>54</v>
      </c>
      <c r="D6821" t="s">
        <v>35</v>
      </c>
      <c r="E6821" t="s">
        <v>62</v>
      </c>
      <c r="F6821" s="1">
        <v>42528</v>
      </c>
      <c r="G6821" s="1">
        <v>42528</v>
      </c>
      <c r="H6821" t="s">
        <v>41</v>
      </c>
      <c r="I6821">
        <v>0</v>
      </c>
      <c r="J6821" t="s">
        <v>111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23</v>
      </c>
      <c r="R6821">
        <v>0</v>
      </c>
    </row>
    <row r="6822" spans="1:18">
      <c r="A6822" s="4">
        <v>453825000000000</v>
      </c>
      <c r="B6822" t="s">
        <v>18</v>
      </c>
      <c r="C6822">
        <v>39</v>
      </c>
      <c r="D6822" t="s">
        <v>27</v>
      </c>
      <c r="E6822" t="s">
        <v>36</v>
      </c>
      <c r="F6822" s="1">
        <v>42528</v>
      </c>
      <c r="G6822" s="1">
        <v>42528</v>
      </c>
      <c r="H6822" t="s">
        <v>41</v>
      </c>
      <c r="I6822">
        <v>0</v>
      </c>
      <c r="J6822" t="s">
        <v>111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23</v>
      </c>
      <c r="R6822">
        <v>0</v>
      </c>
    </row>
    <row r="6823" spans="1:18">
      <c r="A6823" s="4">
        <v>27782400000000</v>
      </c>
      <c r="B6823" t="s">
        <v>28</v>
      </c>
      <c r="C6823">
        <v>30</v>
      </c>
      <c r="D6823" t="s">
        <v>37</v>
      </c>
      <c r="E6823" t="s">
        <v>78</v>
      </c>
      <c r="F6823" s="1">
        <v>42528</v>
      </c>
      <c r="G6823" s="1">
        <v>42528</v>
      </c>
      <c r="H6823" t="s">
        <v>41</v>
      </c>
      <c r="I6823">
        <v>0</v>
      </c>
      <c r="J6823" t="s">
        <v>111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23</v>
      </c>
      <c r="R6823">
        <v>0</v>
      </c>
    </row>
    <row r="6824" spans="1:18">
      <c r="A6824" s="4">
        <v>6344450000000</v>
      </c>
      <c r="B6824" t="s">
        <v>18</v>
      </c>
      <c r="C6824">
        <v>1</v>
      </c>
      <c r="D6824" t="s">
        <v>31</v>
      </c>
      <c r="E6824" t="s">
        <v>61</v>
      </c>
      <c r="F6824" s="1">
        <v>42528</v>
      </c>
      <c r="G6824" s="1">
        <v>42528</v>
      </c>
      <c r="H6824" t="s">
        <v>41</v>
      </c>
      <c r="I6824">
        <v>0</v>
      </c>
      <c r="J6824" t="s">
        <v>111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 t="s">
        <v>23</v>
      </c>
      <c r="R6824">
        <v>0</v>
      </c>
    </row>
    <row r="6825" spans="1:18">
      <c r="A6825" s="4">
        <v>2477790000000</v>
      </c>
      <c r="B6825" t="s">
        <v>18</v>
      </c>
      <c r="C6825">
        <v>64</v>
      </c>
      <c r="D6825" t="s">
        <v>35</v>
      </c>
      <c r="E6825" t="s">
        <v>44</v>
      </c>
      <c r="F6825" s="1">
        <v>42528</v>
      </c>
      <c r="G6825" s="1">
        <v>42528</v>
      </c>
      <c r="H6825" t="s">
        <v>41</v>
      </c>
      <c r="I6825">
        <v>0</v>
      </c>
      <c r="J6825" t="s">
        <v>111</v>
      </c>
      <c r="K6825">
        <v>0</v>
      </c>
      <c r="L6825">
        <v>1</v>
      </c>
      <c r="M6825">
        <v>0</v>
      </c>
      <c r="N6825">
        <v>0</v>
      </c>
      <c r="O6825">
        <v>0</v>
      </c>
      <c r="P6825">
        <v>0</v>
      </c>
      <c r="Q6825" t="s">
        <v>23</v>
      </c>
      <c r="R6825">
        <v>0</v>
      </c>
    </row>
    <row r="6826" spans="1:18">
      <c r="A6826" s="4">
        <v>36229314812</v>
      </c>
      <c r="B6826" t="s">
        <v>18</v>
      </c>
      <c r="C6826">
        <v>18</v>
      </c>
      <c r="D6826" t="s">
        <v>37</v>
      </c>
      <c r="E6826" t="s">
        <v>44</v>
      </c>
      <c r="F6826" s="1">
        <v>42528</v>
      </c>
      <c r="G6826" s="1">
        <v>42528</v>
      </c>
      <c r="H6826" t="s">
        <v>41</v>
      </c>
      <c r="I6826">
        <v>0</v>
      </c>
      <c r="J6826" t="s">
        <v>111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23</v>
      </c>
      <c r="R6826">
        <v>0</v>
      </c>
    </row>
    <row r="6827" spans="1:18">
      <c r="A6827" s="4">
        <v>81852800000000</v>
      </c>
      <c r="B6827" t="s">
        <v>28</v>
      </c>
      <c r="C6827">
        <v>70</v>
      </c>
      <c r="D6827" t="s">
        <v>19</v>
      </c>
      <c r="E6827" t="s">
        <v>72</v>
      </c>
      <c r="F6827" s="1">
        <v>42528</v>
      </c>
      <c r="G6827" s="1">
        <v>42528</v>
      </c>
      <c r="H6827" t="s">
        <v>41</v>
      </c>
      <c r="I6827">
        <v>0</v>
      </c>
      <c r="J6827" t="s">
        <v>111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23</v>
      </c>
      <c r="R6827">
        <v>0</v>
      </c>
    </row>
    <row r="6828" spans="1:18">
      <c r="A6828" s="4">
        <v>947888000000000</v>
      </c>
      <c r="B6828" t="s">
        <v>18</v>
      </c>
      <c r="C6828">
        <v>18</v>
      </c>
      <c r="D6828" t="s">
        <v>37</v>
      </c>
      <c r="E6828" t="s">
        <v>87</v>
      </c>
      <c r="F6828" s="1">
        <v>42528</v>
      </c>
      <c r="G6828" s="1">
        <v>42529</v>
      </c>
      <c r="H6828" t="s">
        <v>25</v>
      </c>
      <c r="I6828">
        <v>1</v>
      </c>
      <c r="J6828" t="s">
        <v>109</v>
      </c>
      <c r="K6828">
        <v>1</v>
      </c>
      <c r="L6828">
        <v>0</v>
      </c>
      <c r="M6828">
        <v>0</v>
      </c>
      <c r="N6828">
        <v>0</v>
      </c>
      <c r="O6828">
        <v>0</v>
      </c>
      <c r="P6828">
        <v>0</v>
      </c>
      <c r="Q6828" t="s">
        <v>23</v>
      </c>
      <c r="R6828">
        <v>0</v>
      </c>
    </row>
    <row r="6829" spans="1:18">
      <c r="A6829" s="4">
        <v>28416300000000</v>
      </c>
      <c r="B6829" t="s">
        <v>18</v>
      </c>
      <c r="C6829">
        <v>33</v>
      </c>
      <c r="D6829" t="s">
        <v>37</v>
      </c>
      <c r="E6829" t="s">
        <v>44</v>
      </c>
      <c r="F6829" s="1">
        <v>42528</v>
      </c>
      <c r="G6829" s="1">
        <v>42528</v>
      </c>
      <c r="H6829" t="s">
        <v>41</v>
      </c>
      <c r="I6829">
        <v>0</v>
      </c>
      <c r="J6829" t="s">
        <v>111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 t="s">
        <v>23</v>
      </c>
      <c r="R6829">
        <v>0</v>
      </c>
    </row>
    <row r="6830" spans="1:18">
      <c r="A6830" s="4">
        <v>94653900000000</v>
      </c>
      <c r="B6830" t="s">
        <v>18</v>
      </c>
      <c r="C6830">
        <v>34</v>
      </c>
      <c r="D6830" t="s">
        <v>37</v>
      </c>
      <c r="E6830" t="s">
        <v>39</v>
      </c>
      <c r="F6830" s="1">
        <v>42528</v>
      </c>
      <c r="G6830" s="1">
        <v>42528</v>
      </c>
      <c r="H6830" t="s">
        <v>41</v>
      </c>
      <c r="I6830">
        <v>0</v>
      </c>
      <c r="J6830" t="s">
        <v>111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 t="s">
        <v>23</v>
      </c>
      <c r="R6830">
        <v>0</v>
      </c>
    </row>
    <row r="6831" spans="1:18">
      <c r="A6831" s="4">
        <v>554616000000000</v>
      </c>
      <c r="B6831" t="s">
        <v>18</v>
      </c>
      <c r="C6831">
        <v>31</v>
      </c>
      <c r="D6831" t="s">
        <v>37</v>
      </c>
      <c r="E6831" t="s">
        <v>51</v>
      </c>
      <c r="F6831" s="1">
        <v>42528</v>
      </c>
      <c r="G6831" s="1">
        <v>42528</v>
      </c>
      <c r="H6831" t="s">
        <v>41</v>
      </c>
      <c r="I6831">
        <v>0</v>
      </c>
      <c r="J6831" t="s">
        <v>111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 t="s">
        <v>23</v>
      </c>
      <c r="R6831">
        <v>0</v>
      </c>
    </row>
    <row r="6832" spans="1:18">
      <c r="A6832" s="4">
        <v>47151300000000</v>
      </c>
      <c r="B6832" t="s">
        <v>18</v>
      </c>
      <c r="C6832">
        <v>19</v>
      </c>
      <c r="D6832" t="s">
        <v>37</v>
      </c>
      <c r="E6832" t="s">
        <v>50</v>
      </c>
      <c r="F6832" s="1">
        <v>42528</v>
      </c>
      <c r="G6832" s="1">
        <v>42529</v>
      </c>
      <c r="H6832" t="s">
        <v>25</v>
      </c>
      <c r="I6832">
        <v>1</v>
      </c>
      <c r="J6832" t="s">
        <v>109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 t="s">
        <v>23</v>
      </c>
      <c r="R6832">
        <v>0</v>
      </c>
    </row>
    <row r="6833" spans="1:18">
      <c r="A6833" s="4">
        <v>22781800000000</v>
      </c>
      <c r="B6833" t="s">
        <v>28</v>
      </c>
      <c r="C6833">
        <v>0</v>
      </c>
      <c r="D6833" t="s">
        <v>31</v>
      </c>
      <c r="E6833" t="s">
        <v>65</v>
      </c>
      <c r="F6833" s="1">
        <v>42528</v>
      </c>
      <c r="G6833" s="1">
        <v>42528</v>
      </c>
      <c r="H6833" t="s">
        <v>41</v>
      </c>
      <c r="I6833">
        <v>0</v>
      </c>
      <c r="J6833" t="s">
        <v>111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 t="s">
        <v>23</v>
      </c>
      <c r="R6833">
        <v>0</v>
      </c>
    </row>
    <row r="6834" spans="1:18">
      <c r="A6834" s="4">
        <v>5881650000000</v>
      </c>
      <c r="B6834" t="s">
        <v>28</v>
      </c>
      <c r="C6834">
        <v>0</v>
      </c>
      <c r="D6834" t="s">
        <v>31</v>
      </c>
      <c r="E6834" t="s">
        <v>39</v>
      </c>
      <c r="F6834" s="1">
        <v>42528</v>
      </c>
      <c r="G6834" s="1">
        <v>42528</v>
      </c>
      <c r="H6834" t="s">
        <v>41</v>
      </c>
      <c r="I6834">
        <v>0</v>
      </c>
      <c r="J6834" t="s">
        <v>111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 t="s">
        <v>23</v>
      </c>
      <c r="R6834">
        <v>0</v>
      </c>
    </row>
    <row r="6835" spans="1:18">
      <c r="A6835" s="4">
        <v>17264900000000</v>
      </c>
      <c r="B6835" t="s">
        <v>28</v>
      </c>
      <c r="C6835">
        <v>21</v>
      </c>
      <c r="D6835" t="s">
        <v>37</v>
      </c>
      <c r="E6835" t="s">
        <v>84</v>
      </c>
      <c r="F6835" s="1">
        <v>42528</v>
      </c>
      <c r="G6835" s="1">
        <v>42528</v>
      </c>
      <c r="H6835" t="s">
        <v>41</v>
      </c>
      <c r="I6835">
        <v>0</v>
      </c>
      <c r="J6835" t="s">
        <v>111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 t="s">
        <v>26</v>
      </c>
      <c r="R6835">
        <v>1</v>
      </c>
    </row>
    <row r="6836" spans="1:18">
      <c r="A6836" s="4">
        <v>17146200000000</v>
      </c>
      <c r="B6836" t="s">
        <v>18</v>
      </c>
      <c r="C6836">
        <v>69</v>
      </c>
      <c r="D6836" t="s">
        <v>19</v>
      </c>
      <c r="E6836" t="s">
        <v>59</v>
      </c>
      <c r="F6836" s="1">
        <v>42528</v>
      </c>
      <c r="G6836" s="1">
        <v>42528</v>
      </c>
      <c r="H6836" t="s">
        <v>41</v>
      </c>
      <c r="I6836">
        <v>0</v>
      </c>
      <c r="J6836" t="s">
        <v>111</v>
      </c>
      <c r="K6836">
        <v>0</v>
      </c>
      <c r="L6836">
        <v>1</v>
      </c>
      <c r="M6836">
        <v>1</v>
      </c>
      <c r="N6836">
        <v>0</v>
      </c>
      <c r="O6836">
        <v>0</v>
      </c>
      <c r="P6836">
        <v>0</v>
      </c>
      <c r="Q6836" t="s">
        <v>23</v>
      </c>
      <c r="R6836">
        <v>0</v>
      </c>
    </row>
    <row r="6837" spans="1:18">
      <c r="A6837" s="4">
        <v>745123000000000</v>
      </c>
      <c r="B6837" t="s">
        <v>28</v>
      </c>
      <c r="C6837">
        <v>55</v>
      </c>
      <c r="D6837" t="s">
        <v>35</v>
      </c>
      <c r="E6837" t="s">
        <v>91</v>
      </c>
      <c r="F6837" s="1">
        <v>42528</v>
      </c>
      <c r="G6837" s="1">
        <v>42528</v>
      </c>
      <c r="H6837" t="s">
        <v>41</v>
      </c>
      <c r="I6837">
        <v>0</v>
      </c>
      <c r="J6837" t="s">
        <v>111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 t="s">
        <v>23</v>
      </c>
      <c r="R6837">
        <v>0</v>
      </c>
    </row>
    <row r="6838" spans="1:18">
      <c r="A6838" s="4">
        <v>745123000000000</v>
      </c>
      <c r="B6838" t="s">
        <v>28</v>
      </c>
      <c r="C6838">
        <v>55</v>
      </c>
      <c r="D6838" t="s">
        <v>35</v>
      </c>
      <c r="E6838" t="s">
        <v>91</v>
      </c>
      <c r="F6838" s="1">
        <v>42528</v>
      </c>
      <c r="G6838" s="1">
        <v>42529</v>
      </c>
      <c r="H6838" t="s">
        <v>25</v>
      </c>
      <c r="I6838">
        <v>1</v>
      </c>
      <c r="J6838" t="s">
        <v>109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 t="s">
        <v>23</v>
      </c>
      <c r="R6838">
        <v>0</v>
      </c>
    </row>
    <row r="6839" spans="1:18">
      <c r="A6839" s="4">
        <v>672622000000000</v>
      </c>
      <c r="B6839" t="s">
        <v>18</v>
      </c>
      <c r="C6839">
        <v>46</v>
      </c>
      <c r="D6839" t="s">
        <v>27</v>
      </c>
      <c r="E6839" t="s">
        <v>68</v>
      </c>
      <c r="F6839" s="1">
        <v>42528</v>
      </c>
      <c r="G6839" s="1">
        <v>42528</v>
      </c>
      <c r="H6839" t="s">
        <v>41</v>
      </c>
      <c r="I6839">
        <v>0</v>
      </c>
      <c r="J6839" t="s">
        <v>111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 t="s">
        <v>23</v>
      </c>
      <c r="R6839">
        <v>0</v>
      </c>
    </row>
    <row r="6840" spans="1:18">
      <c r="A6840" s="4">
        <v>9813290000000</v>
      </c>
      <c r="B6840" t="s">
        <v>18</v>
      </c>
      <c r="C6840">
        <v>22</v>
      </c>
      <c r="D6840" t="s">
        <v>37</v>
      </c>
      <c r="E6840" t="s">
        <v>52</v>
      </c>
      <c r="F6840" s="1">
        <v>42528</v>
      </c>
      <c r="G6840" s="1">
        <v>42528</v>
      </c>
      <c r="H6840" t="s">
        <v>41</v>
      </c>
      <c r="I6840">
        <v>0</v>
      </c>
      <c r="J6840" t="s">
        <v>111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 t="s">
        <v>23</v>
      </c>
      <c r="R6840">
        <v>0</v>
      </c>
    </row>
    <row r="6841" spans="1:18">
      <c r="A6841" s="4">
        <v>166418000000000</v>
      </c>
      <c r="B6841" t="s">
        <v>18</v>
      </c>
      <c r="C6841">
        <v>44</v>
      </c>
      <c r="D6841" t="s">
        <v>27</v>
      </c>
      <c r="E6841" t="s">
        <v>32</v>
      </c>
      <c r="F6841" s="1">
        <v>42528</v>
      </c>
      <c r="G6841" s="1">
        <v>42529</v>
      </c>
      <c r="H6841" t="s">
        <v>25</v>
      </c>
      <c r="I6841">
        <v>1</v>
      </c>
      <c r="J6841" t="s">
        <v>109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 t="s">
        <v>26</v>
      </c>
      <c r="R6841">
        <v>1</v>
      </c>
    </row>
    <row r="6842" spans="1:18">
      <c r="A6842" s="4">
        <v>46739700000000</v>
      </c>
      <c r="B6842" t="s">
        <v>28</v>
      </c>
      <c r="C6842">
        <v>68</v>
      </c>
      <c r="D6842" t="s">
        <v>19</v>
      </c>
      <c r="E6842" t="s">
        <v>44</v>
      </c>
      <c r="F6842" s="1">
        <v>42528</v>
      </c>
      <c r="G6842" s="1">
        <v>42528</v>
      </c>
      <c r="H6842" t="s">
        <v>41</v>
      </c>
      <c r="I6842">
        <v>0</v>
      </c>
      <c r="J6842" t="s">
        <v>111</v>
      </c>
      <c r="K6842">
        <v>0</v>
      </c>
      <c r="L6842">
        <v>1</v>
      </c>
      <c r="M6842">
        <v>1</v>
      </c>
      <c r="N6842">
        <v>0</v>
      </c>
      <c r="O6842">
        <v>1</v>
      </c>
      <c r="P6842">
        <v>0</v>
      </c>
      <c r="Q6842" t="s">
        <v>23</v>
      </c>
      <c r="R6842">
        <v>0</v>
      </c>
    </row>
    <row r="6843" spans="1:18">
      <c r="A6843" s="4">
        <v>48332300000000</v>
      </c>
      <c r="B6843" t="s">
        <v>18</v>
      </c>
      <c r="C6843">
        <v>72</v>
      </c>
      <c r="D6843" t="s">
        <v>19</v>
      </c>
      <c r="E6843" t="s">
        <v>57</v>
      </c>
      <c r="F6843" s="1">
        <v>42528</v>
      </c>
      <c r="G6843" s="1">
        <v>42528</v>
      </c>
      <c r="H6843" t="s">
        <v>41</v>
      </c>
      <c r="I6843">
        <v>0</v>
      </c>
      <c r="J6843" t="s">
        <v>111</v>
      </c>
      <c r="K6843">
        <v>0</v>
      </c>
      <c r="L6843">
        <v>1</v>
      </c>
      <c r="M6843">
        <v>0</v>
      </c>
      <c r="N6843">
        <v>0</v>
      </c>
      <c r="O6843">
        <v>0</v>
      </c>
      <c r="P6843">
        <v>0</v>
      </c>
      <c r="Q6843" t="s">
        <v>23</v>
      </c>
      <c r="R6843">
        <v>0</v>
      </c>
    </row>
    <row r="6844" spans="1:18">
      <c r="A6844" s="4">
        <v>61286900000000</v>
      </c>
      <c r="B6844" t="s">
        <v>18</v>
      </c>
      <c r="C6844">
        <v>67</v>
      </c>
      <c r="D6844" t="s">
        <v>19</v>
      </c>
      <c r="E6844" t="s">
        <v>101</v>
      </c>
      <c r="F6844" s="1">
        <v>42528</v>
      </c>
      <c r="G6844" s="1">
        <v>42528</v>
      </c>
      <c r="H6844" t="s">
        <v>41</v>
      </c>
      <c r="I6844">
        <v>0</v>
      </c>
      <c r="J6844" t="s">
        <v>111</v>
      </c>
      <c r="K6844">
        <v>0</v>
      </c>
      <c r="L6844">
        <v>1</v>
      </c>
      <c r="M6844">
        <v>0</v>
      </c>
      <c r="N6844">
        <v>0</v>
      </c>
      <c r="O6844">
        <v>0</v>
      </c>
      <c r="P6844">
        <v>0</v>
      </c>
      <c r="Q6844" t="s">
        <v>23</v>
      </c>
      <c r="R6844">
        <v>0</v>
      </c>
    </row>
    <row r="6845" spans="1:18">
      <c r="A6845" s="4">
        <v>1534530000000</v>
      </c>
      <c r="B6845" t="s">
        <v>28</v>
      </c>
      <c r="C6845">
        <v>88</v>
      </c>
      <c r="D6845" t="s">
        <v>19</v>
      </c>
      <c r="E6845" t="s">
        <v>69</v>
      </c>
      <c r="F6845" s="1">
        <v>42528</v>
      </c>
      <c r="G6845" s="1">
        <v>42528</v>
      </c>
      <c r="H6845" t="s">
        <v>41</v>
      </c>
      <c r="I6845">
        <v>0</v>
      </c>
      <c r="J6845" t="s">
        <v>111</v>
      </c>
      <c r="K6845">
        <v>0</v>
      </c>
      <c r="L6845">
        <v>1</v>
      </c>
      <c r="M6845">
        <v>0</v>
      </c>
      <c r="N6845">
        <v>0</v>
      </c>
      <c r="O6845">
        <v>0</v>
      </c>
      <c r="P6845">
        <v>0</v>
      </c>
      <c r="Q6845" t="s">
        <v>23</v>
      </c>
      <c r="R6845">
        <v>0</v>
      </c>
    </row>
    <row r="6846" spans="1:18">
      <c r="A6846" s="4">
        <v>89499996932</v>
      </c>
      <c r="B6846" t="s">
        <v>28</v>
      </c>
      <c r="C6846">
        <v>53</v>
      </c>
      <c r="D6846" t="s">
        <v>35</v>
      </c>
      <c r="E6846" t="s">
        <v>57</v>
      </c>
      <c r="F6846" s="1">
        <v>42528</v>
      </c>
      <c r="G6846" s="1">
        <v>42528</v>
      </c>
      <c r="H6846" t="s">
        <v>41</v>
      </c>
      <c r="I6846">
        <v>0</v>
      </c>
      <c r="J6846" t="s">
        <v>111</v>
      </c>
      <c r="K6846">
        <v>0</v>
      </c>
      <c r="L6846">
        <v>1</v>
      </c>
      <c r="M6846">
        <v>0</v>
      </c>
      <c r="N6846">
        <v>0</v>
      </c>
      <c r="O6846">
        <v>0</v>
      </c>
      <c r="P6846">
        <v>0</v>
      </c>
      <c r="Q6846" t="s">
        <v>23</v>
      </c>
      <c r="R6846">
        <v>0</v>
      </c>
    </row>
    <row r="6847" spans="1:18">
      <c r="A6847" s="4">
        <v>57461600000000</v>
      </c>
      <c r="B6847" t="s">
        <v>18</v>
      </c>
      <c r="C6847">
        <v>76</v>
      </c>
      <c r="D6847" t="s">
        <v>19</v>
      </c>
      <c r="E6847" t="s">
        <v>65</v>
      </c>
      <c r="F6847" s="1">
        <v>42528</v>
      </c>
      <c r="G6847" s="1">
        <v>42528</v>
      </c>
      <c r="H6847" t="s">
        <v>41</v>
      </c>
      <c r="I6847">
        <v>0</v>
      </c>
      <c r="J6847" t="s">
        <v>111</v>
      </c>
      <c r="K6847">
        <v>0</v>
      </c>
      <c r="L6847">
        <v>0</v>
      </c>
      <c r="M6847">
        <v>1</v>
      </c>
      <c r="N6847">
        <v>0</v>
      </c>
      <c r="O6847">
        <v>0</v>
      </c>
      <c r="P6847">
        <v>0</v>
      </c>
      <c r="Q6847" t="s">
        <v>23</v>
      </c>
      <c r="R6847">
        <v>0</v>
      </c>
    </row>
    <row r="6848" spans="1:18">
      <c r="A6848" s="4">
        <v>2487660000000</v>
      </c>
      <c r="B6848" t="s">
        <v>18</v>
      </c>
      <c r="C6848">
        <v>35</v>
      </c>
      <c r="D6848" t="s">
        <v>37</v>
      </c>
      <c r="E6848" t="s">
        <v>32</v>
      </c>
      <c r="F6848" s="1">
        <v>42528</v>
      </c>
      <c r="G6848" s="1">
        <v>42528</v>
      </c>
      <c r="H6848" t="s">
        <v>41</v>
      </c>
      <c r="I6848">
        <v>0</v>
      </c>
      <c r="J6848" t="s">
        <v>111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 t="s">
        <v>23</v>
      </c>
      <c r="R6848">
        <v>0</v>
      </c>
    </row>
    <row r="6849" spans="1:18">
      <c r="A6849" s="4">
        <v>86371200000000</v>
      </c>
      <c r="B6849" t="s">
        <v>18</v>
      </c>
      <c r="C6849">
        <v>4</v>
      </c>
      <c r="D6849" t="s">
        <v>31</v>
      </c>
      <c r="E6849" t="s">
        <v>32</v>
      </c>
      <c r="F6849" s="1">
        <v>42528</v>
      </c>
      <c r="G6849" s="1">
        <v>42528</v>
      </c>
      <c r="H6849" t="s">
        <v>41</v>
      </c>
      <c r="I6849">
        <v>0</v>
      </c>
      <c r="J6849" t="s">
        <v>111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 t="s">
        <v>23</v>
      </c>
      <c r="R6849">
        <v>0</v>
      </c>
    </row>
    <row r="6850" spans="1:18">
      <c r="A6850" s="4">
        <v>313927000000000</v>
      </c>
      <c r="B6850" t="s">
        <v>28</v>
      </c>
      <c r="C6850">
        <v>2</v>
      </c>
      <c r="D6850" t="s">
        <v>31</v>
      </c>
      <c r="E6850" t="s">
        <v>61</v>
      </c>
      <c r="F6850" s="1">
        <v>42528</v>
      </c>
      <c r="G6850" s="1">
        <v>42528</v>
      </c>
      <c r="H6850" t="s">
        <v>41</v>
      </c>
      <c r="I6850">
        <v>0</v>
      </c>
      <c r="J6850" t="s">
        <v>111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 t="s">
        <v>26</v>
      </c>
      <c r="R6850">
        <v>1</v>
      </c>
    </row>
    <row r="6851" spans="1:18">
      <c r="A6851" s="4">
        <v>725984000000</v>
      </c>
      <c r="B6851" t="s">
        <v>18</v>
      </c>
      <c r="C6851">
        <v>19</v>
      </c>
      <c r="D6851" t="s">
        <v>37</v>
      </c>
      <c r="E6851" t="s">
        <v>69</v>
      </c>
      <c r="F6851" s="1">
        <v>42528</v>
      </c>
      <c r="G6851" s="1">
        <v>42528</v>
      </c>
      <c r="H6851" t="s">
        <v>41</v>
      </c>
      <c r="I6851">
        <v>0</v>
      </c>
      <c r="J6851" t="s">
        <v>111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 t="s">
        <v>23</v>
      </c>
      <c r="R6851">
        <v>0</v>
      </c>
    </row>
    <row r="6852" spans="1:18">
      <c r="A6852" s="4">
        <v>217774000000000</v>
      </c>
      <c r="B6852" t="s">
        <v>28</v>
      </c>
      <c r="C6852">
        <v>8</v>
      </c>
      <c r="D6852" t="s">
        <v>31</v>
      </c>
      <c r="E6852" t="s">
        <v>32</v>
      </c>
      <c r="F6852" s="1">
        <v>42528</v>
      </c>
      <c r="G6852" s="1">
        <v>42528</v>
      </c>
      <c r="H6852" t="s">
        <v>41</v>
      </c>
      <c r="I6852">
        <v>0</v>
      </c>
      <c r="J6852" t="s">
        <v>111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 t="s">
        <v>23</v>
      </c>
      <c r="R6852">
        <v>0</v>
      </c>
    </row>
    <row r="6853" spans="1:18">
      <c r="A6853" s="4">
        <v>5128700000000</v>
      </c>
      <c r="B6853" t="s">
        <v>28</v>
      </c>
      <c r="C6853">
        <v>5</v>
      </c>
      <c r="D6853" t="s">
        <v>31</v>
      </c>
      <c r="E6853" t="s">
        <v>58</v>
      </c>
      <c r="F6853" s="1">
        <v>42528</v>
      </c>
      <c r="G6853" s="1">
        <v>42529</v>
      </c>
      <c r="H6853" t="s">
        <v>25</v>
      </c>
      <c r="I6853">
        <v>1</v>
      </c>
      <c r="J6853" t="s">
        <v>109</v>
      </c>
      <c r="K6853">
        <v>1</v>
      </c>
      <c r="L6853">
        <v>0</v>
      </c>
      <c r="M6853">
        <v>0</v>
      </c>
      <c r="N6853">
        <v>0</v>
      </c>
      <c r="O6853">
        <v>0</v>
      </c>
      <c r="P6853">
        <v>0</v>
      </c>
      <c r="Q6853" t="s">
        <v>26</v>
      </c>
      <c r="R6853">
        <v>1</v>
      </c>
    </row>
    <row r="6854" spans="1:18">
      <c r="A6854" s="4">
        <v>674648000000000</v>
      </c>
      <c r="B6854" t="s">
        <v>28</v>
      </c>
      <c r="C6854">
        <v>0</v>
      </c>
      <c r="D6854" t="s">
        <v>31</v>
      </c>
      <c r="E6854" t="s">
        <v>84</v>
      </c>
      <c r="F6854" s="1">
        <v>42528</v>
      </c>
      <c r="G6854" s="1">
        <v>42528</v>
      </c>
      <c r="H6854" t="s">
        <v>41</v>
      </c>
      <c r="I6854">
        <v>0</v>
      </c>
      <c r="J6854" t="s">
        <v>111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 t="s">
        <v>23</v>
      </c>
      <c r="R6854">
        <v>0</v>
      </c>
    </row>
    <row r="6855" spans="1:18">
      <c r="A6855" s="4">
        <v>22462900000000</v>
      </c>
      <c r="B6855" t="s">
        <v>28</v>
      </c>
      <c r="C6855">
        <v>33</v>
      </c>
      <c r="D6855" t="s">
        <v>37</v>
      </c>
      <c r="E6855" t="s">
        <v>40</v>
      </c>
      <c r="F6855" s="1">
        <v>42528</v>
      </c>
      <c r="G6855" s="1">
        <v>42528</v>
      </c>
      <c r="H6855" t="s">
        <v>41</v>
      </c>
      <c r="I6855">
        <v>0</v>
      </c>
      <c r="J6855" t="s">
        <v>111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 t="s">
        <v>23</v>
      </c>
      <c r="R6855">
        <v>0</v>
      </c>
    </row>
    <row r="6856" spans="1:18">
      <c r="A6856" s="4">
        <v>99671900000000</v>
      </c>
      <c r="B6856" t="s">
        <v>18</v>
      </c>
      <c r="C6856">
        <v>53</v>
      </c>
      <c r="D6856" t="s">
        <v>35</v>
      </c>
      <c r="E6856" t="s">
        <v>50</v>
      </c>
      <c r="F6856" s="1">
        <v>42528</v>
      </c>
      <c r="G6856" s="1">
        <v>42528</v>
      </c>
      <c r="H6856" t="s">
        <v>41</v>
      </c>
      <c r="I6856">
        <v>0</v>
      </c>
      <c r="J6856" t="s">
        <v>111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 t="s">
        <v>23</v>
      </c>
      <c r="R6856">
        <v>0</v>
      </c>
    </row>
    <row r="6857" spans="1:18">
      <c r="A6857" s="4">
        <v>182214000000000</v>
      </c>
      <c r="B6857" t="s">
        <v>18</v>
      </c>
      <c r="C6857">
        <v>87</v>
      </c>
      <c r="D6857" t="s">
        <v>19</v>
      </c>
      <c r="E6857" t="s">
        <v>66</v>
      </c>
      <c r="F6857" s="1">
        <v>42528</v>
      </c>
      <c r="G6857" s="1">
        <v>42528</v>
      </c>
      <c r="H6857" t="s">
        <v>41</v>
      </c>
      <c r="I6857">
        <v>0</v>
      </c>
      <c r="J6857" t="s">
        <v>111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 t="s">
        <v>23</v>
      </c>
      <c r="R6857">
        <v>0</v>
      </c>
    </row>
    <row r="6858" spans="1:18">
      <c r="A6858" s="4">
        <v>36848500000000</v>
      </c>
      <c r="B6858" t="s">
        <v>18</v>
      </c>
      <c r="C6858">
        <v>33</v>
      </c>
      <c r="D6858" t="s">
        <v>37</v>
      </c>
      <c r="E6858" t="s">
        <v>89</v>
      </c>
      <c r="F6858" s="1">
        <v>42528</v>
      </c>
      <c r="G6858" s="1">
        <v>42528</v>
      </c>
      <c r="H6858" t="s">
        <v>41</v>
      </c>
      <c r="I6858">
        <v>0</v>
      </c>
      <c r="J6858" t="s">
        <v>111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 t="s">
        <v>23</v>
      </c>
      <c r="R6858">
        <v>0</v>
      </c>
    </row>
    <row r="6859" spans="1:18">
      <c r="A6859" s="4">
        <v>785592000000000</v>
      </c>
      <c r="B6859" t="s">
        <v>28</v>
      </c>
      <c r="C6859">
        <v>31</v>
      </c>
      <c r="D6859" t="s">
        <v>37</v>
      </c>
      <c r="E6859" t="s">
        <v>44</v>
      </c>
      <c r="F6859" s="1">
        <v>42528</v>
      </c>
      <c r="G6859" s="1">
        <v>42528</v>
      </c>
      <c r="H6859" t="s">
        <v>41</v>
      </c>
      <c r="I6859">
        <v>0</v>
      </c>
      <c r="J6859" t="s">
        <v>111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 t="s">
        <v>23</v>
      </c>
      <c r="R6859">
        <v>0</v>
      </c>
    </row>
    <row r="6860" spans="1:18">
      <c r="A6860" s="4">
        <v>22532000000000</v>
      </c>
      <c r="B6860" t="s">
        <v>18</v>
      </c>
      <c r="C6860">
        <v>31</v>
      </c>
      <c r="D6860" t="s">
        <v>37</v>
      </c>
      <c r="E6860" t="s">
        <v>48</v>
      </c>
      <c r="F6860" s="1">
        <v>42528</v>
      </c>
      <c r="G6860" s="1">
        <v>42528</v>
      </c>
      <c r="H6860" t="s">
        <v>41</v>
      </c>
      <c r="I6860">
        <v>0</v>
      </c>
      <c r="J6860" t="s">
        <v>111</v>
      </c>
      <c r="K6860">
        <v>1</v>
      </c>
      <c r="L6860">
        <v>1</v>
      </c>
      <c r="M6860">
        <v>0</v>
      </c>
      <c r="N6860">
        <v>0</v>
      </c>
      <c r="O6860">
        <v>0</v>
      </c>
      <c r="P6860">
        <v>0</v>
      </c>
      <c r="Q6860" t="s">
        <v>26</v>
      </c>
      <c r="R6860">
        <v>1</v>
      </c>
    </row>
    <row r="6861" spans="1:18">
      <c r="A6861" s="4">
        <v>63247400000000</v>
      </c>
      <c r="B6861" t="s">
        <v>18</v>
      </c>
      <c r="C6861">
        <v>17</v>
      </c>
      <c r="D6861" t="s">
        <v>60</v>
      </c>
      <c r="E6861" t="s">
        <v>53</v>
      </c>
      <c r="F6861" s="1">
        <v>42528</v>
      </c>
      <c r="G6861" s="1">
        <v>42529</v>
      </c>
      <c r="H6861" t="s">
        <v>25</v>
      </c>
      <c r="I6861">
        <v>1</v>
      </c>
      <c r="J6861" t="s">
        <v>109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 t="s">
        <v>26</v>
      </c>
      <c r="R6861">
        <v>1</v>
      </c>
    </row>
    <row r="6862" spans="1:18">
      <c r="A6862" s="4">
        <v>65253900000000</v>
      </c>
      <c r="B6862" t="s">
        <v>28</v>
      </c>
      <c r="C6862">
        <v>56</v>
      </c>
      <c r="D6862" t="s">
        <v>35</v>
      </c>
      <c r="E6862" t="s">
        <v>48</v>
      </c>
      <c r="F6862" s="1">
        <v>42528</v>
      </c>
      <c r="G6862" s="1">
        <v>42528</v>
      </c>
      <c r="H6862" t="s">
        <v>41</v>
      </c>
      <c r="I6862">
        <v>0</v>
      </c>
      <c r="J6862" t="s">
        <v>111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 t="s">
        <v>26</v>
      </c>
      <c r="R6862">
        <v>1</v>
      </c>
    </row>
    <row r="6863" spans="1:18">
      <c r="A6863" s="4">
        <v>23196800000000</v>
      </c>
      <c r="B6863" t="s">
        <v>28</v>
      </c>
      <c r="C6863">
        <v>47</v>
      </c>
      <c r="D6863" t="s">
        <v>27</v>
      </c>
      <c r="E6863" t="s">
        <v>32</v>
      </c>
      <c r="F6863" s="1">
        <v>42528</v>
      </c>
      <c r="G6863" s="1">
        <v>42528</v>
      </c>
      <c r="H6863" t="s">
        <v>41</v>
      </c>
      <c r="I6863">
        <v>0</v>
      </c>
      <c r="J6863" t="s">
        <v>111</v>
      </c>
      <c r="K6863">
        <v>0</v>
      </c>
      <c r="L6863">
        <v>1</v>
      </c>
      <c r="M6863">
        <v>0</v>
      </c>
      <c r="N6863">
        <v>0</v>
      </c>
      <c r="O6863">
        <v>0</v>
      </c>
      <c r="P6863">
        <v>0</v>
      </c>
      <c r="Q6863" t="s">
        <v>23</v>
      </c>
      <c r="R6863">
        <v>0</v>
      </c>
    </row>
    <row r="6864" spans="1:18">
      <c r="A6864" s="4">
        <v>224466000000000</v>
      </c>
      <c r="B6864" t="s">
        <v>18</v>
      </c>
      <c r="C6864">
        <v>29</v>
      </c>
      <c r="D6864" t="s">
        <v>37</v>
      </c>
      <c r="E6864" t="s">
        <v>63</v>
      </c>
      <c r="F6864" s="1">
        <v>42528</v>
      </c>
      <c r="G6864" s="1">
        <v>42528</v>
      </c>
      <c r="H6864" t="s">
        <v>41</v>
      </c>
      <c r="I6864">
        <v>0</v>
      </c>
      <c r="J6864" t="s">
        <v>111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23</v>
      </c>
      <c r="R6864">
        <v>0</v>
      </c>
    </row>
    <row r="6865" spans="1:18">
      <c r="A6865" s="4">
        <v>2585680000000</v>
      </c>
      <c r="B6865" t="s">
        <v>28</v>
      </c>
      <c r="C6865">
        <v>38</v>
      </c>
      <c r="D6865" t="s">
        <v>27</v>
      </c>
      <c r="E6865" t="s">
        <v>67</v>
      </c>
      <c r="F6865" s="1">
        <v>42528</v>
      </c>
      <c r="G6865" s="1">
        <v>42528</v>
      </c>
      <c r="H6865" t="s">
        <v>41</v>
      </c>
      <c r="I6865">
        <v>0</v>
      </c>
      <c r="J6865" t="s">
        <v>111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 t="s">
        <v>23</v>
      </c>
      <c r="R6865">
        <v>0</v>
      </c>
    </row>
    <row r="6866" spans="1:18">
      <c r="A6866" s="4">
        <v>77479600000000</v>
      </c>
      <c r="B6866" t="s">
        <v>18</v>
      </c>
      <c r="C6866">
        <v>27</v>
      </c>
      <c r="D6866" t="s">
        <v>37</v>
      </c>
      <c r="E6866" t="s">
        <v>95</v>
      </c>
      <c r="F6866" s="1">
        <v>42528</v>
      </c>
      <c r="G6866" s="1">
        <v>42528</v>
      </c>
      <c r="H6866" t="s">
        <v>41</v>
      </c>
      <c r="I6866">
        <v>0</v>
      </c>
      <c r="J6866" t="s">
        <v>111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 t="s">
        <v>23</v>
      </c>
      <c r="R6866">
        <v>0</v>
      </c>
    </row>
    <row r="6867" spans="1:18">
      <c r="A6867" s="4">
        <v>1894640000000</v>
      </c>
      <c r="B6867" t="s">
        <v>28</v>
      </c>
      <c r="C6867">
        <v>46</v>
      </c>
      <c r="D6867" t="s">
        <v>27</v>
      </c>
      <c r="E6867" t="s">
        <v>87</v>
      </c>
      <c r="F6867" s="1">
        <v>42528</v>
      </c>
      <c r="G6867" s="1">
        <v>42528</v>
      </c>
      <c r="H6867" t="s">
        <v>41</v>
      </c>
      <c r="I6867">
        <v>0</v>
      </c>
      <c r="J6867" t="s">
        <v>111</v>
      </c>
      <c r="K6867">
        <v>0</v>
      </c>
      <c r="L6867">
        <v>1</v>
      </c>
      <c r="M6867">
        <v>1</v>
      </c>
      <c r="N6867">
        <v>0</v>
      </c>
      <c r="O6867">
        <v>0</v>
      </c>
      <c r="P6867">
        <v>0</v>
      </c>
      <c r="Q6867" t="s">
        <v>26</v>
      </c>
      <c r="R6867">
        <v>1</v>
      </c>
    </row>
    <row r="6868" spans="1:18">
      <c r="A6868" s="4">
        <v>89194500000000</v>
      </c>
      <c r="B6868" t="s">
        <v>18</v>
      </c>
      <c r="C6868">
        <v>67</v>
      </c>
      <c r="D6868" t="s">
        <v>19</v>
      </c>
      <c r="E6868" t="s">
        <v>32</v>
      </c>
      <c r="F6868" s="1">
        <v>42528</v>
      </c>
      <c r="G6868" s="1">
        <v>42528</v>
      </c>
      <c r="H6868" t="s">
        <v>41</v>
      </c>
      <c r="I6868">
        <v>0</v>
      </c>
      <c r="J6868" t="s">
        <v>111</v>
      </c>
      <c r="K6868">
        <v>0</v>
      </c>
      <c r="L6868">
        <v>1</v>
      </c>
      <c r="M6868">
        <v>1</v>
      </c>
      <c r="N6868">
        <v>0</v>
      </c>
      <c r="O6868">
        <v>0</v>
      </c>
      <c r="P6868">
        <v>0</v>
      </c>
      <c r="Q6868" t="s">
        <v>23</v>
      </c>
      <c r="R6868">
        <v>0</v>
      </c>
    </row>
    <row r="6869" spans="1:18">
      <c r="A6869" s="4">
        <v>33924700000000</v>
      </c>
      <c r="B6869" t="s">
        <v>18</v>
      </c>
      <c r="C6869">
        <v>23</v>
      </c>
      <c r="D6869" t="s">
        <v>37</v>
      </c>
      <c r="E6869" t="s">
        <v>94</v>
      </c>
      <c r="F6869" s="1">
        <v>42528</v>
      </c>
      <c r="G6869" s="1">
        <v>42528</v>
      </c>
      <c r="H6869" t="s">
        <v>41</v>
      </c>
      <c r="I6869">
        <v>0</v>
      </c>
      <c r="J6869" t="s">
        <v>111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 t="s">
        <v>23</v>
      </c>
      <c r="R6869">
        <v>0</v>
      </c>
    </row>
    <row r="6870" spans="1:18">
      <c r="A6870" s="4">
        <v>392665000000000</v>
      </c>
      <c r="B6870" t="s">
        <v>28</v>
      </c>
      <c r="C6870">
        <v>29</v>
      </c>
      <c r="D6870" t="s">
        <v>37</v>
      </c>
      <c r="E6870" t="s">
        <v>54</v>
      </c>
      <c r="F6870" s="1">
        <v>42528</v>
      </c>
      <c r="G6870" s="1">
        <v>42528</v>
      </c>
      <c r="H6870" t="s">
        <v>41</v>
      </c>
      <c r="I6870">
        <v>0</v>
      </c>
      <c r="J6870" t="s">
        <v>111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 t="s">
        <v>23</v>
      </c>
      <c r="R6870">
        <v>0</v>
      </c>
    </row>
    <row r="6871" spans="1:18">
      <c r="A6871" s="4">
        <v>26829200000000</v>
      </c>
      <c r="B6871" t="s">
        <v>28</v>
      </c>
      <c r="C6871">
        <v>32</v>
      </c>
      <c r="D6871" t="s">
        <v>37</v>
      </c>
      <c r="E6871" t="s">
        <v>67</v>
      </c>
      <c r="F6871" s="1">
        <v>42528</v>
      </c>
      <c r="G6871" s="1">
        <v>42529</v>
      </c>
      <c r="H6871" t="s">
        <v>25</v>
      </c>
      <c r="I6871">
        <v>1</v>
      </c>
      <c r="J6871" t="s">
        <v>109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26</v>
      </c>
      <c r="R6871">
        <v>1</v>
      </c>
    </row>
    <row r="6872" spans="1:18">
      <c r="A6872" s="4">
        <v>91871500000000</v>
      </c>
      <c r="B6872" t="s">
        <v>18</v>
      </c>
      <c r="C6872">
        <v>88</v>
      </c>
      <c r="D6872" t="s">
        <v>19</v>
      </c>
      <c r="E6872" t="s">
        <v>39</v>
      </c>
      <c r="F6872" s="1">
        <v>42528</v>
      </c>
      <c r="G6872" s="1">
        <v>42528</v>
      </c>
      <c r="H6872" t="s">
        <v>41</v>
      </c>
      <c r="I6872">
        <v>0</v>
      </c>
      <c r="J6872" t="s">
        <v>111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 t="s">
        <v>23</v>
      </c>
      <c r="R6872">
        <v>0</v>
      </c>
    </row>
    <row r="6873" spans="1:18">
      <c r="A6873" s="4">
        <v>73321600000000</v>
      </c>
      <c r="B6873" t="s">
        <v>18</v>
      </c>
      <c r="C6873">
        <v>72</v>
      </c>
      <c r="D6873" t="s">
        <v>19</v>
      </c>
      <c r="E6873" t="s">
        <v>85</v>
      </c>
      <c r="F6873" s="1">
        <v>42528</v>
      </c>
      <c r="G6873" s="1">
        <v>42528</v>
      </c>
      <c r="H6873" t="s">
        <v>41</v>
      </c>
      <c r="I6873">
        <v>0</v>
      </c>
      <c r="J6873" t="s">
        <v>111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 t="s">
        <v>23</v>
      </c>
      <c r="R6873">
        <v>0</v>
      </c>
    </row>
    <row r="6874" spans="1:18">
      <c r="A6874" s="4">
        <v>5159740000000</v>
      </c>
      <c r="B6874" t="s">
        <v>18</v>
      </c>
      <c r="C6874">
        <v>11</v>
      </c>
      <c r="D6874" t="s">
        <v>31</v>
      </c>
      <c r="E6874" t="s">
        <v>71</v>
      </c>
      <c r="F6874" s="1">
        <v>42528</v>
      </c>
      <c r="G6874" s="1">
        <v>42528</v>
      </c>
      <c r="H6874" t="s">
        <v>41</v>
      </c>
      <c r="I6874">
        <v>0</v>
      </c>
      <c r="J6874" t="s">
        <v>111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 t="s">
        <v>23</v>
      </c>
      <c r="R6874">
        <v>0</v>
      </c>
    </row>
    <row r="6875" spans="1:18">
      <c r="A6875" s="4">
        <v>83782200000000</v>
      </c>
      <c r="B6875" t="s">
        <v>18</v>
      </c>
      <c r="C6875">
        <v>33</v>
      </c>
      <c r="D6875" t="s">
        <v>37</v>
      </c>
      <c r="E6875" t="s">
        <v>69</v>
      </c>
      <c r="F6875" s="1">
        <v>42528</v>
      </c>
      <c r="G6875" s="1">
        <v>42529</v>
      </c>
      <c r="H6875" t="s">
        <v>25</v>
      </c>
      <c r="I6875">
        <v>1</v>
      </c>
      <c r="J6875" t="s">
        <v>109</v>
      </c>
      <c r="K6875">
        <v>1</v>
      </c>
      <c r="L6875">
        <v>0</v>
      </c>
      <c r="M6875">
        <v>0</v>
      </c>
      <c r="N6875">
        <v>0</v>
      </c>
      <c r="O6875">
        <v>0</v>
      </c>
      <c r="P6875">
        <v>0</v>
      </c>
      <c r="Q6875" t="s">
        <v>26</v>
      </c>
      <c r="R6875">
        <v>1</v>
      </c>
    </row>
    <row r="6876" spans="1:18">
      <c r="A6876" s="4">
        <v>11861700000000</v>
      </c>
      <c r="B6876" t="s">
        <v>18</v>
      </c>
      <c r="C6876">
        <v>41</v>
      </c>
      <c r="D6876" t="s">
        <v>27</v>
      </c>
      <c r="E6876" t="s">
        <v>53</v>
      </c>
      <c r="F6876" s="1">
        <v>42528</v>
      </c>
      <c r="G6876" s="1">
        <v>42528</v>
      </c>
      <c r="H6876" t="s">
        <v>41</v>
      </c>
      <c r="I6876">
        <v>0</v>
      </c>
      <c r="J6876" t="s">
        <v>111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 t="s">
        <v>23</v>
      </c>
      <c r="R6876">
        <v>0</v>
      </c>
    </row>
    <row r="6877" spans="1:18">
      <c r="A6877" s="4">
        <v>8876280000000</v>
      </c>
      <c r="B6877" t="s">
        <v>28</v>
      </c>
      <c r="C6877">
        <v>5</v>
      </c>
      <c r="D6877" t="s">
        <v>31</v>
      </c>
      <c r="E6877" t="s">
        <v>32</v>
      </c>
      <c r="F6877" s="1">
        <v>42528</v>
      </c>
      <c r="G6877" s="1">
        <v>42528</v>
      </c>
      <c r="H6877" t="s">
        <v>41</v>
      </c>
      <c r="I6877">
        <v>0</v>
      </c>
      <c r="J6877" t="s">
        <v>111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 t="s">
        <v>23</v>
      </c>
      <c r="R6877">
        <v>0</v>
      </c>
    </row>
    <row r="6878" spans="1:18">
      <c r="A6878" s="4">
        <v>283765000000</v>
      </c>
      <c r="B6878" t="s">
        <v>18</v>
      </c>
      <c r="C6878">
        <v>7</v>
      </c>
      <c r="D6878" t="s">
        <v>31</v>
      </c>
      <c r="E6878" t="s">
        <v>64</v>
      </c>
      <c r="F6878" s="1">
        <v>42528</v>
      </c>
      <c r="G6878" s="1">
        <v>42528</v>
      </c>
      <c r="H6878" t="s">
        <v>41</v>
      </c>
      <c r="I6878">
        <v>0</v>
      </c>
      <c r="J6878" t="s">
        <v>111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23</v>
      </c>
      <c r="R6878">
        <v>0</v>
      </c>
    </row>
    <row r="6879" spans="1:18">
      <c r="A6879" s="4">
        <v>3153620000000</v>
      </c>
      <c r="B6879" t="s">
        <v>28</v>
      </c>
      <c r="C6879">
        <v>5</v>
      </c>
      <c r="D6879" t="s">
        <v>31</v>
      </c>
      <c r="E6879" t="s">
        <v>64</v>
      </c>
      <c r="F6879" s="1">
        <v>42528</v>
      </c>
      <c r="G6879" s="1">
        <v>42528</v>
      </c>
      <c r="H6879" t="s">
        <v>41</v>
      </c>
      <c r="I6879">
        <v>0</v>
      </c>
      <c r="J6879" t="s">
        <v>111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 t="s">
        <v>23</v>
      </c>
      <c r="R6879">
        <v>0</v>
      </c>
    </row>
    <row r="6880" spans="1:18">
      <c r="A6880" s="4">
        <v>713233000000000</v>
      </c>
      <c r="B6880" t="s">
        <v>18</v>
      </c>
      <c r="C6880">
        <v>24</v>
      </c>
      <c r="D6880" t="s">
        <v>37</v>
      </c>
      <c r="E6880" t="s">
        <v>57</v>
      </c>
      <c r="F6880" s="1">
        <v>42528</v>
      </c>
      <c r="G6880" s="1">
        <v>42529</v>
      </c>
      <c r="H6880" t="s">
        <v>25</v>
      </c>
      <c r="I6880">
        <v>1</v>
      </c>
      <c r="J6880" t="s">
        <v>109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 t="s">
        <v>23</v>
      </c>
      <c r="R6880">
        <v>0</v>
      </c>
    </row>
    <row r="6881" spans="1:18">
      <c r="A6881" s="4">
        <v>9119650000000</v>
      </c>
      <c r="B6881" t="s">
        <v>18</v>
      </c>
      <c r="C6881">
        <v>0</v>
      </c>
      <c r="D6881" t="s">
        <v>31</v>
      </c>
      <c r="E6881" t="s">
        <v>57</v>
      </c>
      <c r="F6881" s="1">
        <v>42528</v>
      </c>
      <c r="G6881" s="1">
        <v>42529</v>
      </c>
      <c r="H6881" t="s">
        <v>25</v>
      </c>
      <c r="I6881">
        <v>1</v>
      </c>
      <c r="J6881" t="s">
        <v>109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 t="s">
        <v>23</v>
      </c>
      <c r="R6881">
        <v>0</v>
      </c>
    </row>
    <row r="6882" spans="1:18">
      <c r="A6882" s="4">
        <v>63315100000000</v>
      </c>
      <c r="B6882" t="s">
        <v>18</v>
      </c>
      <c r="C6882">
        <v>27</v>
      </c>
      <c r="D6882" t="s">
        <v>37</v>
      </c>
      <c r="E6882" t="s">
        <v>64</v>
      </c>
      <c r="F6882" s="1">
        <v>42528</v>
      </c>
      <c r="G6882" s="1">
        <v>42528</v>
      </c>
      <c r="H6882" t="s">
        <v>41</v>
      </c>
      <c r="I6882">
        <v>0</v>
      </c>
      <c r="J6882" t="s">
        <v>111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 t="s">
        <v>23</v>
      </c>
      <c r="R6882">
        <v>0</v>
      </c>
    </row>
    <row r="6883" spans="1:18">
      <c r="A6883" s="4">
        <v>7335800000000</v>
      </c>
      <c r="B6883" t="s">
        <v>28</v>
      </c>
      <c r="C6883">
        <v>6</v>
      </c>
      <c r="D6883" t="s">
        <v>31</v>
      </c>
      <c r="E6883" t="s">
        <v>69</v>
      </c>
      <c r="F6883" s="1">
        <v>42528</v>
      </c>
      <c r="G6883" s="1">
        <v>42529</v>
      </c>
      <c r="H6883" t="s">
        <v>25</v>
      </c>
      <c r="I6883">
        <v>1</v>
      </c>
      <c r="J6883" t="s">
        <v>109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 t="s">
        <v>23</v>
      </c>
      <c r="R6883">
        <v>0</v>
      </c>
    </row>
    <row r="6884" spans="1:18">
      <c r="A6884" s="4">
        <v>61714300000000</v>
      </c>
      <c r="B6884" t="s">
        <v>18</v>
      </c>
      <c r="C6884">
        <v>41</v>
      </c>
      <c r="D6884" t="s">
        <v>27</v>
      </c>
      <c r="E6884" t="s">
        <v>40</v>
      </c>
      <c r="F6884" s="1">
        <v>42528</v>
      </c>
      <c r="G6884" s="1">
        <v>42528</v>
      </c>
      <c r="H6884" t="s">
        <v>41</v>
      </c>
      <c r="I6884">
        <v>0</v>
      </c>
      <c r="J6884" t="s">
        <v>111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 t="s">
        <v>23</v>
      </c>
      <c r="R6884">
        <v>0</v>
      </c>
    </row>
    <row r="6885" spans="1:18">
      <c r="A6885" s="4">
        <v>59191600000000</v>
      </c>
      <c r="B6885" t="s">
        <v>18</v>
      </c>
      <c r="C6885">
        <v>20</v>
      </c>
      <c r="D6885" t="s">
        <v>37</v>
      </c>
      <c r="E6885" t="s">
        <v>57</v>
      </c>
      <c r="F6885" s="1">
        <v>42528</v>
      </c>
      <c r="G6885" s="1">
        <v>42528</v>
      </c>
      <c r="H6885" t="s">
        <v>41</v>
      </c>
      <c r="I6885">
        <v>0</v>
      </c>
      <c r="J6885" t="s">
        <v>111</v>
      </c>
      <c r="K6885">
        <v>1</v>
      </c>
      <c r="L6885">
        <v>0</v>
      </c>
      <c r="M6885">
        <v>0</v>
      </c>
      <c r="N6885">
        <v>0</v>
      </c>
      <c r="O6885">
        <v>0</v>
      </c>
      <c r="P6885">
        <v>0</v>
      </c>
      <c r="Q6885" t="s">
        <v>23</v>
      </c>
      <c r="R6885">
        <v>0</v>
      </c>
    </row>
    <row r="6886" spans="1:18">
      <c r="A6886" s="4">
        <v>1577980000000</v>
      </c>
      <c r="B6886" t="s">
        <v>18</v>
      </c>
      <c r="C6886">
        <v>23</v>
      </c>
      <c r="D6886" t="s">
        <v>37</v>
      </c>
      <c r="E6886" t="s">
        <v>29</v>
      </c>
      <c r="F6886" s="1">
        <v>42528</v>
      </c>
      <c r="G6886" s="1">
        <v>42528</v>
      </c>
      <c r="H6886" t="s">
        <v>41</v>
      </c>
      <c r="I6886">
        <v>0</v>
      </c>
      <c r="J6886" t="s">
        <v>111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 t="s">
        <v>23</v>
      </c>
      <c r="R6886">
        <v>0</v>
      </c>
    </row>
    <row r="6887" spans="1:18">
      <c r="A6887" s="4">
        <v>31758300000000</v>
      </c>
      <c r="B6887" t="s">
        <v>18</v>
      </c>
      <c r="C6887">
        <v>67</v>
      </c>
      <c r="D6887" t="s">
        <v>19</v>
      </c>
      <c r="E6887" t="s">
        <v>32</v>
      </c>
      <c r="F6887" s="1">
        <v>42528</v>
      </c>
      <c r="G6887" s="1">
        <v>42528</v>
      </c>
      <c r="H6887" t="s">
        <v>41</v>
      </c>
      <c r="I6887">
        <v>0</v>
      </c>
      <c r="J6887" t="s">
        <v>111</v>
      </c>
      <c r="K6887">
        <v>0</v>
      </c>
      <c r="L6887">
        <v>1</v>
      </c>
      <c r="M6887">
        <v>0</v>
      </c>
      <c r="N6887">
        <v>0</v>
      </c>
      <c r="O6887">
        <v>0</v>
      </c>
      <c r="P6887">
        <v>0</v>
      </c>
      <c r="Q6887" t="s">
        <v>23</v>
      </c>
      <c r="R6887">
        <v>0</v>
      </c>
    </row>
    <row r="6888" spans="1:18">
      <c r="A6888" s="4">
        <v>146284000000000</v>
      </c>
      <c r="B6888" t="s">
        <v>18</v>
      </c>
      <c r="C6888">
        <v>55</v>
      </c>
      <c r="D6888" t="s">
        <v>35</v>
      </c>
      <c r="E6888" t="s">
        <v>64</v>
      </c>
      <c r="F6888" s="1">
        <v>42528</v>
      </c>
      <c r="G6888" s="1">
        <v>42528</v>
      </c>
      <c r="H6888" t="s">
        <v>41</v>
      </c>
      <c r="I6888">
        <v>0</v>
      </c>
      <c r="J6888" t="s">
        <v>111</v>
      </c>
      <c r="K6888">
        <v>1</v>
      </c>
      <c r="L6888">
        <v>1</v>
      </c>
      <c r="M6888">
        <v>1</v>
      </c>
      <c r="N6888">
        <v>0</v>
      </c>
      <c r="O6888">
        <v>0</v>
      </c>
      <c r="P6888">
        <v>0</v>
      </c>
      <c r="Q6888" t="s">
        <v>23</v>
      </c>
      <c r="R6888">
        <v>0</v>
      </c>
    </row>
    <row r="6889" spans="1:18">
      <c r="A6889" s="4">
        <v>749918000000000</v>
      </c>
      <c r="B6889" t="s">
        <v>18</v>
      </c>
      <c r="C6889">
        <v>11</v>
      </c>
      <c r="D6889" t="s">
        <v>31</v>
      </c>
      <c r="E6889" t="s">
        <v>64</v>
      </c>
      <c r="F6889" s="1">
        <v>42528</v>
      </c>
      <c r="G6889" s="1">
        <v>42528</v>
      </c>
      <c r="H6889" t="s">
        <v>41</v>
      </c>
      <c r="I6889">
        <v>0</v>
      </c>
      <c r="J6889" t="s">
        <v>111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 t="s">
        <v>23</v>
      </c>
      <c r="R6889">
        <v>0</v>
      </c>
    </row>
    <row r="6890" spans="1:18">
      <c r="A6890" s="4">
        <v>1512650000000</v>
      </c>
      <c r="B6890" t="s">
        <v>18</v>
      </c>
      <c r="C6890">
        <v>59</v>
      </c>
      <c r="D6890" t="s">
        <v>35</v>
      </c>
      <c r="E6890" t="s">
        <v>108</v>
      </c>
      <c r="F6890" s="1">
        <v>42528</v>
      </c>
      <c r="G6890" s="1">
        <v>42528</v>
      </c>
      <c r="H6890" t="s">
        <v>41</v>
      </c>
      <c r="I6890">
        <v>0</v>
      </c>
      <c r="J6890" t="s">
        <v>111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23</v>
      </c>
      <c r="R6890">
        <v>0</v>
      </c>
    </row>
    <row r="6891" spans="1:18">
      <c r="A6891" s="4">
        <v>44116300000000</v>
      </c>
      <c r="B6891" t="s">
        <v>18</v>
      </c>
      <c r="C6891">
        <v>82</v>
      </c>
      <c r="D6891" t="s">
        <v>19</v>
      </c>
      <c r="E6891" t="s">
        <v>47</v>
      </c>
      <c r="F6891" s="1">
        <v>42528</v>
      </c>
      <c r="G6891" s="1">
        <v>42529</v>
      </c>
      <c r="H6891" t="s">
        <v>25</v>
      </c>
      <c r="I6891">
        <v>1</v>
      </c>
      <c r="J6891" t="s">
        <v>109</v>
      </c>
      <c r="K6891">
        <v>0</v>
      </c>
      <c r="L6891">
        <v>1</v>
      </c>
      <c r="M6891">
        <v>0</v>
      </c>
      <c r="N6891">
        <v>0</v>
      </c>
      <c r="O6891">
        <v>0</v>
      </c>
      <c r="P6891">
        <v>0</v>
      </c>
      <c r="Q6891" t="s">
        <v>23</v>
      </c>
      <c r="R6891">
        <v>0</v>
      </c>
    </row>
    <row r="6892" spans="1:18">
      <c r="A6892" s="4">
        <v>483227000000000</v>
      </c>
      <c r="B6892" t="s">
        <v>18</v>
      </c>
      <c r="C6892">
        <v>15</v>
      </c>
      <c r="D6892" t="s">
        <v>60</v>
      </c>
      <c r="E6892" t="s">
        <v>71</v>
      </c>
      <c r="F6892" s="1">
        <v>42528</v>
      </c>
      <c r="G6892" s="1">
        <v>42528</v>
      </c>
      <c r="H6892" t="s">
        <v>41</v>
      </c>
      <c r="I6892">
        <v>0</v>
      </c>
      <c r="J6892" t="s">
        <v>111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 t="s">
        <v>23</v>
      </c>
      <c r="R6892">
        <v>0</v>
      </c>
    </row>
    <row r="6893" spans="1:18">
      <c r="A6893" s="4">
        <v>5717580000000</v>
      </c>
      <c r="B6893" t="s">
        <v>18</v>
      </c>
      <c r="C6893">
        <v>45</v>
      </c>
      <c r="D6893" t="s">
        <v>27</v>
      </c>
      <c r="E6893" t="s">
        <v>106</v>
      </c>
      <c r="F6893" s="1">
        <v>42528</v>
      </c>
      <c r="G6893" s="1">
        <v>42528</v>
      </c>
      <c r="H6893" t="s">
        <v>41</v>
      </c>
      <c r="I6893">
        <v>0</v>
      </c>
      <c r="J6893" t="s">
        <v>111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 t="s">
        <v>23</v>
      </c>
      <c r="R6893">
        <v>0</v>
      </c>
    </row>
    <row r="6894" spans="1:18">
      <c r="A6894" s="4">
        <v>4865240000000</v>
      </c>
      <c r="B6894" t="s">
        <v>28</v>
      </c>
      <c r="C6894">
        <v>18</v>
      </c>
      <c r="D6894" t="s">
        <v>37</v>
      </c>
      <c r="E6894" t="s">
        <v>40</v>
      </c>
      <c r="F6894" s="1">
        <v>42528</v>
      </c>
      <c r="G6894" s="1">
        <v>42528</v>
      </c>
      <c r="H6894" t="s">
        <v>41</v>
      </c>
      <c r="I6894">
        <v>0</v>
      </c>
      <c r="J6894" t="s">
        <v>111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23</v>
      </c>
      <c r="R6894">
        <v>0</v>
      </c>
    </row>
    <row r="6895" spans="1:18">
      <c r="A6895" s="4">
        <v>785579000000</v>
      </c>
      <c r="B6895" t="s">
        <v>18</v>
      </c>
      <c r="C6895">
        <v>36</v>
      </c>
      <c r="D6895" t="s">
        <v>27</v>
      </c>
      <c r="E6895" t="s">
        <v>57</v>
      </c>
      <c r="F6895" s="1">
        <v>42528</v>
      </c>
      <c r="G6895" s="1">
        <v>42528</v>
      </c>
      <c r="H6895" t="s">
        <v>41</v>
      </c>
      <c r="I6895">
        <v>0</v>
      </c>
      <c r="J6895" t="s">
        <v>111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 t="s">
        <v>23</v>
      </c>
      <c r="R6895">
        <v>0</v>
      </c>
    </row>
    <row r="6896" spans="1:18">
      <c r="A6896" s="4">
        <v>51881300000000</v>
      </c>
      <c r="B6896" t="s">
        <v>18</v>
      </c>
      <c r="C6896">
        <v>18</v>
      </c>
      <c r="D6896" t="s">
        <v>37</v>
      </c>
      <c r="E6896" t="s">
        <v>38</v>
      </c>
      <c r="F6896" s="1">
        <v>42528</v>
      </c>
      <c r="G6896" s="1">
        <v>42528</v>
      </c>
      <c r="H6896" t="s">
        <v>41</v>
      </c>
      <c r="I6896">
        <v>0</v>
      </c>
      <c r="J6896" t="s">
        <v>111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 t="s">
        <v>23</v>
      </c>
      <c r="R6896">
        <v>0</v>
      </c>
    </row>
    <row r="6897" spans="1:18">
      <c r="A6897" s="4">
        <v>741424000000</v>
      </c>
      <c r="B6897" t="s">
        <v>18</v>
      </c>
      <c r="C6897">
        <v>21</v>
      </c>
      <c r="D6897" t="s">
        <v>37</v>
      </c>
      <c r="E6897" t="s">
        <v>39</v>
      </c>
      <c r="F6897" s="1">
        <v>42528</v>
      </c>
      <c r="G6897" s="1">
        <v>42528</v>
      </c>
      <c r="H6897" t="s">
        <v>41</v>
      </c>
      <c r="I6897">
        <v>0</v>
      </c>
      <c r="J6897" t="s">
        <v>111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 t="s">
        <v>23</v>
      </c>
      <c r="R6897">
        <v>0</v>
      </c>
    </row>
    <row r="6898" spans="1:18">
      <c r="A6898" s="4">
        <v>56785000000000</v>
      </c>
      <c r="B6898" t="s">
        <v>18</v>
      </c>
      <c r="C6898">
        <v>39</v>
      </c>
      <c r="D6898" t="s">
        <v>27</v>
      </c>
      <c r="E6898" t="s">
        <v>39</v>
      </c>
      <c r="F6898" s="1">
        <v>42529</v>
      </c>
      <c r="G6898" s="1">
        <v>42529</v>
      </c>
      <c r="H6898" t="s">
        <v>25</v>
      </c>
      <c r="I6898">
        <v>0</v>
      </c>
      <c r="J6898" t="s">
        <v>111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 t="s">
        <v>23</v>
      </c>
      <c r="R6898">
        <v>0</v>
      </c>
    </row>
    <row r="6899" spans="1:18">
      <c r="A6899" s="4">
        <v>57768700000000</v>
      </c>
      <c r="B6899" t="s">
        <v>18</v>
      </c>
      <c r="C6899">
        <v>87</v>
      </c>
      <c r="D6899" t="s">
        <v>19</v>
      </c>
      <c r="E6899" t="s">
        <v>44</v>
      </c>
      <c r="F6899" s="1">
        <v>42529</v>
      </c>
      <c r="G6899" s="1">
        <v>42529</v>
      </c>
      <c r="H6899" t="s">
        <v>25</v>
      </c>
      <c r="I6899">
        <v>0</v>
      </c>
      <c r="J6899" t="s">
        <v>111</v>
      </c>
      <c r="K6899">
        <v>0</v>
      </c>
      <c r="L6899">
        <v>1</v>
      </c>
      <c r="M6899">
        <v>1</v>
      </c>
      <c r="N6899">
        <v>0</v>
      </c>
      <c r="O6899">
        <v>0</v>
      </c>
      <c r="P6899">
        <v>0</v>
      </c>
      <c r="Q6899" t="s">
        <v>23</v>
      </c>
      <c r="R6899">
        <v>0</v>
      </c>
    </row>
    <row r="6900" spans="1:18">
      <c r="A6900" s="4">
        <v>935378000000000</v>
      </c>
      <c r="B6900" t="s">
        <v>18</v>
      </c>
      <c r="C6900">
        <v>26</v>
      </c>
      <c r="D6900" t="s">
        <v>37</v>
      </c>
      <c r="E6900" t="s">
        <v>36</v>
      </c>
      <c r="F6900" s="1">
        <v>42529</v>
      </c>
      <c r="G6900" s="1">
        <v>42529</v>
      </c>
      <c r="H6900" t="s">
        <v>25</v>
      </c>
      <c r="I6900">
        <v>0</v>
      </c>
      <c r="J6900" t="s">
        <v>111</v>
      </c>
      <c r="K6900">
        <v>1</v>
      </c>
      <c r="L6900">
        <v>1</v>
      </c>
      <c r="M6900">
        <v>0</v>
      </c>
      <c r="N6900">
        <v>1</v>
      </c>
      <c r="O6900">
        <v>0</v>
      </c>
      <c r="P6900">
        <v>0</v>
      </c>
      <c r="Q6900" t="s">
        <v>23</v>
      </c>
      <c r="R6900">
        <v>0</v>
      </c>
    </row>
    <row r="6901" spans="1:18">
      <c r="A6901" s="4">
        <v>1783670000000</v>
      </c>
      <c r="B6901" t="s">
        <v>28</v>
      </c>
      <c r="C6901">
        <v>1</v>
      </c>
      <c r="D6901" t="s">
        <v>31</v>
      </c>
      <c r="E6901" t="s">
        <v>62</v>
      </c>
      <c r="F6901" s="1">
        <v>42529</v>
      </c>
      <c r="G6901" s="1">
        <v>42529</v>
      </c>
      <c r="H6901" t="s">
        <v>25</v>
      </c>
      <c r="I6901">
        <v>0</v>
      </c>
      <c r="J6901" t="s">
        <v>111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 t="s">
        <v>23</v>
      </c>
      <c r="R6901">
        <v>0</v>
      </c>
    </row>
    <row r="6902" spans="1:18">
      <c r="A6902" s="4">
        <v>725878000000000</v>
      </c>
      <c r="B6902" t="s">
        <v>18</v>
      </c>
      <c r="C6902">
        <v>29</v>
      </c>
      <c r="D6902" t="s">
        <v>37</v>
      </c>
      <c r="E6902" t="s">
        <v>82</v>
      </c>
      <c r="F6902" s="1">
        <v>42529</v>
      </c>
      <c r="G6902" s="1">
        <v>42529</v>
      </c>
      <c r="H6902" t="s">
        <v>25</v>
      </c>
      <c r="I6902">
        <v>0</v>
      </c>
      <c r="J6902" t="s">
        <v>111</v>
      </c>
      <c r="K6902">
        <v>0</v>
      </c>
      <c r="L6902">
        <v>0</v>
      </c>
      <c r="M6902">
        <v>1</v>
      </c>
      <c r="N6902">
        <v>0</v>
      </c>
      <c r="O6902">
        <v>0</v>
      </c>
      <c r="P6902">
        <v>0</v>
      </c>
      <c r="Q6902" t="s">
        <v>23</v>
      </c>
      <c r="R6902">
        <v>0</v>
      </c>
    </row>
    <row r="6903" spans="1:18">
      <c r="A6903" s="4">
        <v>32526900000000</v>
      </c>
      <c r="B6903" t="s">
        <v>18</v>
      </c>
      <c r="C6903">
        <v>47</v>
      </c>
      <c r="D6903" t="s">
        <v>27</v>
      </c>
      <c r="E6903" t="s">
        <v>75</v>
      </c>
      <c r="F6903" s="1">
        <v>42529</v>
      </c>
      <c r="G6903" s="1">
        <v>42529</v>
      </c>
      <c r="H6903" t="s">
        <v>25</v>
      </c>
      <c r="I6903">
        <v>0</v>
      </c>
      <c r="J6903" t="s">
        <v>111</v>
      </c>
      <c r="K6903">
        <v>0</v>
      </c>
      <c r="L6903">
        <v>0</v>
      </c>
      <c r="M6903">
        <v>0</v>
      </c>
      <c r="N6903">
        <v>1</v>
      </c>
      <c r="O6903">
        <v>0</v>
      </c>
      <c r="P6903">
        <v>0</v>
      </c>
      <c r="Q6903" t="s">
        <v>23</v>
      </c>
      <c r="R6903">
        <v>0</v>
      </c>
    </row>
    <row r="6904" spans="1:18">
      <c r="A6904" s="4">
        <v>9157970000000</v>
      </c>
      <c r="B6904" t="s">
        <v>18</v>
      </c>
      <c r="C6904">
        <v>13</v>
      </c>
      <c r="D6904" t="s">
        <v>60</v>
      </c>
      <c r="E6904" t="s">
        <v>64</v>
      </c>
      <c r="F6904" s="1">
        <v>42529</v>
      </c>
      <c r="G6904" s="1">
        <v>42529</v>
      </c>
      <c r="H6904" t="s">
        <v>25</v>
      </c>
      <c r="I6904">
        <v>0</v>
      </c>
      <c r="J6904" t="s">
        <v>111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 t="s">
        <v>23</v>
      </c>
      <c r="R6904">
        <v>0</v>
      </c>
    </row>
    <row r="6905" spans="1:18">
      <c r="A6905" s="4">
        <v>8857760000000</v>
      </c>
      <c r="B6905" t="s">
        <v>18</v>
      </c>
      <c r="C6905">
        <v>24</v>
      </c>
      <c r="D6905" t="s">
        <v>37</v>
      </c>
      <c r="E6905" t="s">
        <v>40</v>
      </c>
      <c r="F6905" s="1">
        <v>42529</v>
      </c>
      <c r="G6905" s="1">
        <v>42529</v>
      </c>
      <c r="H6905" t="s">
        <v>25</v>
      </c>
      <c r="I6905">
        <v>0</v>
      </c>
      <c r="J6905" t="s">
        <v>111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 t="s">
        <v>23</v>
      </c>
      <c r="R6905">
        <v>0</v>
      </c>
    </row>
    <row r="6906" spans="1:18">
      <c r="A6906" s="4">
        <v>7196470000000</v>
      </c>
      <c r="B6906" t="s">
        <v>18</v>
      </c>
      <c r="C6906">
        <v>3</v>
      </c>
      <c r="D6906" t="s">
        <v>31</v>
      </c>
      <c r="E6906" t="s">
        <v>108</v>
      </c>
      <c r="F6906" s="1">
        <v>42529</v>
      </c>
      <c r="G6906" s="1">
        <v>42529</v>
      </c>
      <c r="H6906" t="s">
        <v>25</v>
      </c>
      <c r="I6906">
        <v>0</v>
      </c>
      <c r="J6906" t="s">
        <v>111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 t="s">
        <v>23</v>
      </c>
      <c r="R6906">
        <v>0</v>
      </c>
    </row>
    <row r="6907" spans="1:18">
      <c r="A6907" s="4">
        <v>5696180000000</v>
      </c>
      <c r="B6907" t="s">
        <v>18</v>
      </c>
      <c r="C6907">
        <v>28</v>
      </c>
      <c r="D6907" t="s">
        <v>37</v>
      </c>
      <c r="E6907" t="s">
        <v>40</v>
      </c>
      <c r="F6907" s="1">
        <v>42529</v>
      </c>
      <c r="G6907" s="1">
        <v>42529</v>
      </c>
      <c r="H6907" t="s">
        <v>25</v>
      </c>
      <c r="I6907">
        <v>0</v>
      </c>
      <c r="J6907" t="s">
        <v>111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 t="s">
        <v>23</v>
      </c>
      <c r="R6907">
        <v>0</v>
      </c>
    </row>
    <row r="6908" spans="1:18">
      <c r="A6908" s="4">
        <v>833666000000000</v>
      </c>
      <c r="B6908" t="s">
        <v>28</v>
      </c>
      <c r="C6908">
        <v>43</v>
      </c>
      <c r="D6908" t="s">
        <v>27</v>
      </c>
      <c r="E6908" t="s">
        <v>66</v>
      </c>
      <c r="F6908" s="1">
        <v>42529</v>
      </c>
      <c r="G6908" s="1">
        <v>42529</v>
      </c>
      <c r="H6908" t="s">
        <v>25</v>
      </c>
      <c r="I6908">
        <v>0</v>
      </c>
      <c r="J6908" t="s">
        <v>111</v>
      </c>
      <c r="K6908">
        <v>0</v>
      </c>
      <c r="L6908">
        <v>0</v>
      </c>
      <c r="M6908">
        <v>0</v>
      </c>
      <c r="N6908">
        <v>1</v>
      </c>
      <c r="O6908">
        <v>0</v>
      </c>
      <c r="P6908">
        <v>0</v>
      </c>
      <c r="Q6908" t="s">
        <v>23</v>
      </c>
      <c r="R6908">
        <v>0</v>
      </c>
    </row>
    <row r="6909" spans="1:18">
      <c r="A6909" s="4">
        <v>23758200000000</v>
      </c>
      <c r="B6909" t="s">
        <v>28</v>
      </c>
      <c r="C6909">
        <v>55</v>
      </c>
      <c r="D6909" t="s">
        <v>35</v>
      </c>
      <c r="E6909" t="s">
        <v>57</v>
      </c>
      <c r="F6909" s="1">
        <v>42529</v>
      </c>
      <c r="G6909" s="1">
        <v>42529</v>
      </c>
      <c r="H6909" t="s">
        <v>25</v>
      </c>
      <c r="I6909">
        <v>0</v>
      </c>
      <c r="J6909" t="s">
        <v>111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23</v>
      </c>
      <c r="R6909">
        <v>0</v>
      </c>
    </row>
    <row r="6910" spans="1:18">
      <c r="A6910" s="4">
        <v>4951320000000</v>
      </c>
      <c r="B6910" t="s">
        <v>18</v>
      </c>
      <c r="C6910">
        <v>55</v>
      </c>
      <c r="D6910" t="s">
        <v>35</v>
      </c>
      <c r="E6910" t="s">
        <v>44</v>
      </c>
      <c r="F6910" s="1">
        <v>42529</v>
      </c>
      <c r="G6910" s="1">
        <v>42529</v>
      </c>
      <c r="H6910" t="s">
        <v>25</v>
      </c>
      <c r="I6910">
        <v>0</v>
      </c>
      <c r="J6910" t="s">
        <v>111</v>
      </c>
      <c r="K6910">
        <v>0</v>
      </c>
      <c r="L6910">
        <v>1</v>
      </c>
      <c r="M6910">
        <v>1</v>
      </c>
      <c r="N6910">
        <v>0</v>
      </c>
      <c r="O6910">
        <v>0</v>
      </c>
      <c r="P6910">
        <v>0</v>
      </c>
      <c r="Q6910" t="s">
        <v>23</v>
      </c>
      <c r="R6910">
        <v>0</v>
      </c>
    </row>
    <row r="6911" spans="1:18">
      <c r="A6911" s="4">
        <v>591734000000000</v>
      </c>
      <c r="B6911" t="s">
        <v>28</v>
      </c>
      <c r="C6911">
        <v>1</v>
      </c>
      <c r="D6911" t="s">
        <v>31</v>
      </c>
      <c r="E6911" t="s">
        <v>72</v>
      </c>
      <c r="F6911" s="1">
        <v>42529</v>
      </c>
      <c r="G6911" s="1">
        <v>42529</v>
      </c>
      <c r="H6911" t="s">
        <v>25</v>
      </c>
      <c r="I6911">
        <v>0</v>
      </c>
      <c r="J6911" t="s">
        <v>111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 t="s">
        <v>23</v>
      </c>
      <c r="R6911">
        <v>0</v>
      </c>
    </row>
    <row r="6912" spans="1:18">
      <c r="A6912" s="4">
        <v>772147000000000</v>
      </c>
      <c r="B6912" t="s">
        <v>18</v>
      </c>
      <c r="C6912">
        <v>3</v>
      </c>
      <c r="D6912" t="s">
        <v>31</v>
      </c>
      <c r="E6912" t="s">
        <v>75</v>
      </c>
      <c r="F6912" s="1">
        <v>42529</v>
      </c>
      <c r="G6912" s="1">
        <v>42529</v>
      </c>
      <c r="H6912" t="s">
        <v>25</v>
      </c>
      <c r="I6912">
        <v>0</v>
      </c>
      <c r="J6912" t="s">
        <v>111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 t="s">
        <v>23</v>
      </c>
      <c r="R6912">
        <v>0</v>
      </c>
    </row>
    <row r="6913" spans="1:18">
      <c r="A6913" s="4">
        <v>224352000000000</v>
      </c>
      <c r="B6913" t="s">
        <v>28</v>
      </c>
      <c r="C6913">
        <v>5</v>
      </c>
      <c r="D6913" t="s">
        <v>31</v>
      </c>
      <c r="E6913" t="s">
        <v>99</v>
      </c>
      <c r="F6913" s="1">
        <v>42529</v>
      </c>
      <c r="G6913" s="1">
        <v>42529</v>
      </c>
      <c r="H6913" t="s">
        <v>25</v>
      </c>
      <c r="I6913">
        <v>0</v>
      </c>
      <c r="J6913" t="s">
        <v>111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23</v>
      </c>
      <c r="R6913">
        <v>0</v>
      </c>
    </row>
    <row r="6914" spans="1:18">
      <c r="A6914" s="4">
        <v>52812300000000</v>
      </c>
      <c r="B6914" t="s">
        <v>28</v>
      </c>
      <c r="C6914">
        <v>7</v>
      </c>
      <c r="D6914" t="s">
        <v>31</v>
      </c>
      <c r="E6914" t="s">
        <v>39</v>
      </c>
      <c r="F6914" s="1">
        <v>42529</v>
      </c>
      <c r="G6914" s="1">
        <v>42529</v>
      </c>
      <c r="H6914" t="s">
        <v>25</v>
      </c>
      <c r="I6914">
        <v>0</v>
      </c>
      <c r="J6914" t="s">
        <v>111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 t="s">
        <v>26</v>
      </c>
      <c r="R6914">
        <v>1</v>
      </c>
    </row>
    <row r="6915" spans="1:18">
      <c r="A6915" s="4">
        <v>817232000000000</v>
      </c>
      <c r="B6915" t="s">
        <v>18</v>
      </c>
      <c r="C6915">
        <v>41</v>
      </c>
      <c r="D6915" t="s">
        <v>27</v>
      </c>
      <c r="E6915" t="s">
        <v>67</v>
      </c>
      <c r="F6915" s="1">
        <v>42529</v>
      </c>
      <c r="G6915" s="1">
        <v>42529</v>
      </c>
      <c r="H6915" t="s">
        <v>25</v>
      </c>
      <c r="I6915">
        <v>0</v>
      </c>
      <c r="J6915" t="s">
        <v>111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 t="s">
        <v>23</v>
      </c>
      <c r="R6915">
        <v>0</v>
      </c>
    </row>
    <row r="6916" spans="1:18">
      <c r="A6916" s="4">
        <v>356926000000</v>
      </c>
      <c r="B6916" t="s">
        <v>18</v>
      </c>
      <c r="C6916">
        <v>37</v>
      </c>
      <c r="D6916" t="s">
        <v>27</v>
      </c>
      <c r="E6916" t="s">
        <v>73</v>
      </c>
      <c r="F6916" s="1">
        <v>42529</v>
      </c>
      <c r="G6916" s="1">
        <v>42529</v>
      </c>
      <c r="H6916" t="s">
        <v>25</v>
      </c>
      <c r="I6916">
        <v>0</v>
      </c>
      <c r="J6916" t="s">
        <v>111</v>
      </c>
      <c r="K6916">
        <v>1</v>
      </c>
      <c r="L6916">
        <v>0</v>
      </c>
      <c r="M6916">
        <v>0</v>
      </c>
      <c r="N6916">
        <v>0</v>
      </c>
      <c r="O6916">
        <v>0</v>
      </c>
      <c r="P6916">
        <v>0</v>
      </c>
      <c r="Q6916" t="s">
        <v>23</v>
      </c>
      <c r="R6916">
        <v>0</v>
      </c>
    </row>
    <row r="6917" spans="1:18">
      <c r="A6917" s="4">
        <v>8586620000000</v>
      </c>
      <c r="B6917" t="s">
        <v>28</v>
      </c>
      <c r="C6917">
        <v>5</v>
      </c>
      <c r="D6917" t="s">
        <v>31</v>
      </c>
      <c r="E6917" t="s">
        <v>32</v>
      </c>
      <c r="F6917" s="1">
        <v>42529</v>
      </c>
      <c r="G6917" s="1">
        <v>42529</v>
      </c>
      <c r="H6917" t="s">
        <v>25</v>
      </c>
      <c r="I6917">
        <v>0</v>
      </c>
      <c r="J6917" t="s">
        <v>111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 t="s">
        <v>23</v>
      </c>
      <c r="R6917">
        <v>0</v>
      </c>
    </row>
    <row r="6918" spans="1:18">
      <c r="A6918" s="4">
        <v>9449450000000</v>
      </c>
      <c r="B6918" t="s">
        <v>18</v>
      </c>
      <c r="C6918">
        <v>26</v>
      </c>
      <c r="D6918" t="s">
        <v>37</v>
      </c>
      <c r="E6918" t="s">
        <v>63</v>
      </c>
      <c r="F6918" s="1">
        <v>42529</v>
      </c>
      <c r="G6918" s="1">
        <v>42529</v>
      </c>
      <c r="H6918" t="s">
        <v>25</v>
      </c>
      <c r="I6918">
        <v>0</v>
      </c>
      <c r="J6918" t="s">
        <v>111</v>
      </c>
      <c r="K6918">
        <v>1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23</v>
      </c>
      <c r="R6918">
        <v>0</v>
      </c>
    </row>
    <row r="6919" spans="1:18">
      <c r="A6919" s="4">
        <v>46784200000000</v>
      </c>
      <c r="B6919" t="s">
        <v>28</v>
      </c>
      <c r="C6919">
        <v>15</v>
      </c>
      <c r="D6919" t="s">
        <v>60</v>
      </c>
      <c r="E6919" t="s">
        <v>36</v>
      </c>
      <c r="F6919" s="1">
        <v>42529</v>
      </c>
      <c r="G6919" s="1">
        <v>42529</v>
      </c>
      <c r="H6919" t="s">
        <v>25</v>
      </c>
      <c r="I6919">
        <v>0</v>
      </c>
      <c r="J6919" t="s">
        <v>111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 t="s">
        <v>26</v>
      </c>
      <c r="R6919">
        <v>1</v>
      </c>
    </row>
    <row r="6920" spans="1:18">
      <c r="A6920" s="4">
        <v>994470000000000</v>
      </c>
      <c r="B6920" t="s">
        <v>28</v>
      </c>
      <c r="C6920">
        <v>40</v>
      </c>
      <c r="D6920" t="s">
        <v>27</v>
      </c>
      <c r="E6920" t="s">
        <v>108</v>
      </c>
      <c r="F6920" s="1">
        <v>42529</v>
      </c>
      <c r="G6920" s="1">
        <v>42529</v>
      </c>
      <c r="H6920" t="s">
        <v>25</v>
      </c>
      <c r="I6920">
        <v>0</v>
      </c>
      <c r="J6920" t="s">
        <v>111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 t="s">
        <v>23</v>
      </c>
      <c r="R6920">
        <v>0</v>
      </c>
    </row>
    <row r="6921" spans="1:18">
      <c r="A6921" s="4">
        <v>866121000000000</v>
      </c>
      <c r="B6921" t="s">
        <v>18</v>
      </c>
      <c r="C6921">
        <v>8</v>
      </c>
      <c r="D6921" t="s">
        <v>31</v>
      </c>
      <c r="E6921" t="s">
        <v>32</v>
      </c>
      <c r="F6921" s="1">
        <v>42529</v>
      </c>
      <c r="G6921" s="1">
        <v>42529</v>
      </c>
      <c r="H6921" t="s">
        <v>25</v>
      </c>
      <c r="I6921">
        <v>0</v>
      </c>
      <c r="J6921" t="s">
        <v>111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23</v>
      </c>
      <c r="R6921">
        <v>0</v>
      </c>
    </row>
    <row r="6922" spans="1:18">
      <c r="A6922" s="4">
        <v>76969400000000</v>
      </c>
      <c r="B6922" t="s">
        <v>28</v>
      </c>
      <c r="C6922">
        <v>16</v>
      </c>
      <c r="D6922" t="s">
        <v>60</v>
      </c>
      <c r="E6922" t="s">
        <v>58</v>
      </c>
      <c r="F6922" s="1">
        <v>42529</v>
      </c>
      <c r="G6922" s="1">
        <v>42529</v>
      </c>
      <c r="H6922" t="s">
        <v>25</v>
      </c>
      <c r="I6922">
        <v>0</v>
      </c>
      <c r="J6922" t="s">
        <v>111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 t="s">
        <v>23</v>
      </c>
      <c r="R6922">
        <v>0</v>
      </c>
    </row>
    <row r="6923" spans="1:18">
      <c r="A6923" s="4">
        <v>514249000000</v>
      </c>
      <c r="B6923" t="s">
        <v>28</v>
      </c>
      <c r="C6923">
        <v>23</v>
      </c>
      <c r="D6923" t="s">
        <v>37</v>
      </c>
      <c r="E6923" t="s">
        <v>72</v>
      </c>
      <c r="F6923" s="1">
        <v>42529</v>
      </c>
      <c r="G6923" s="1">
        <v>42529</v>
      </c>
      <c r="H6923" t="s">
        <v>25</v>
      </c>
      <c r="I6923">
        <v>0</v>
      </c>
      <c r="J6923" t="s">
        <v>111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 t="s">
        <v>23</v>
      </c>
      <c r="R6923">
        <v>0</v>
      </c>
    </row>
    <row r="6924" spans="1:18">
      <c r="A6924" s="4">
        <v>81972300000000</v>
      </c>
      <c r="B6924" t="s">
        <v>28</v>
      </c>
      <c r="C6924">
        <v>18</v>
      </c>
      <c r="D6924" t="s">
        <v>37</v>
      </c>
      <c r="E6924" t="s">
        <v>75</v>
      </c>
      <c r="F6924" s="1">
        <v>42529</v>
      </c>
      <c r="G6924" s="1">
        <v>42529</v>
      </c>
      <c r="H6924" t="s">
        <v>25</v>
      </c>
      <c r="I6924">
        <v>0</v>
      </c>
      <c r="J6924" t="s">
        <v>111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 t="s">
        <v>23</v>
      </c>
      <c r="R6924">
        <v>0</v>
      </c>
    </row>
    <row r="6925" spans="1:18">
      <c r="A6925" s="4">
        <v>7413570000000</v>
      </c>
      <c r="B6925" t="s">
        <v>28</v>
      </c>
      <c r="C6925">
        <v>8</v>
      </c>
      <c r="D6925" t="s">
        <v>31</v>
      </c>
      <c r="E6925" t="s">
        <v>71</v>
      </c>
      <c r="F6925" s="1">
        <v>42529</v>
      </c>
      <c r="G6925" s="1">
        <v>42529</v>
      </c>
      <c r="H6925" t="s">
        <v>25</v>
      </c>
      <c r="I6925">
        <v>0</v>
      </c>
      <c r="J6925" t="s">
        <v>111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 t="s">
        <v>23</v>
      </c>
      <c r="R6925">
        <v>0</v>
      </c>
    </row>
    <row r="6926" spans="1:18">
      <c r="A6926" s="4">
        <v>921717000000000</v>
      </c>
      <c r="B6926" t="s">
        <v>28</v>
      </c>
      <c r="C6926">
        <v>9</v>
      </c>
      <c r="D6926" t="s">
        <v>31</v>
      </c>
      <c r="E6926" t="s">
        <v>68</v>
      </c>
      <c r="F6926" s="1">
        <v>42529</v>
      </c>
      <c r="G6926" s="1">
        <v>42529</v>
      </c>
      <c r="H6926" t="s">
        <v>25</v>
      </c>
      <c r="I6926">
        <v>0</v>
      </c>
      <c r="J6926" t="s">
        <v>111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 t="s">
        <v>23</v>
      </c>
      <c r="R6926">
        <v>0</v>
      </c>
    </row>
    <row r="6927" spans="1:18">
      <c r="A6927" s="4">
        <v>8621960000000</v>
      </c>
      <c r="B6927" t="s">
        <v>28</v>
      </c>
      <c r="C6927">
        <v>11</v>
      </c>
      <c r="D6927" t="s">
        <v>31</v>
      </c>
      <c r="E6927" t="s">
        <v>39</v>
      </c>
      <c r="F6927" s="1">
        <v>42529</v>
      </c>
      <c r="G6927" s="1">
        <v>42529</v>
      </c>
      <c r="H6927" t="s">
        <v>25</v>
      </c>
      <c r="I6927">
        <v>0</v>
      </c>
      <c r="J6927" t="s">
        <v>111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 t="s">
        <v>26</v>
      </c>
      <c r="R6927">
        <v>1</v>
      </c>
    </row>
    <row r="6928" spans="1:18">
      <c r="A6928" s="4">
        <v>23851200000000</v>
      </c>
      <c r="B6928" t="s">
        <v>18</v>
      </c>
      <c r="C6928">
        <v>48</v>
      </c>
      <c r="D6928" t="s">
        <v>27</v>
      </c>
      <c r="E6928" t="s">
        <v>45</v>
      </c>
      <c r="F6928" s="1">
        <v>42529</v>
      </c>
      <c r="G6928" s="1">
        <v>42529</v>
      </c>
      <c r="H6928" t="s">
        <v>25</v>
      </c>
      <c r="I6928">
        <v>0</v>
      </c>
      <c r="J6928" t="s">
        <v>111</v>
      </c>
      <c r="K6928">
        <v>0</v>
      </c>
      <c r="L6928">
        <v>1</v>
      </c>
      <c r="M6928">
        <v>0</v>
      </c>
      <c r="N6928">
        <v>0</v>
      </c>
      <c r="O6928">
        <v>0</v>
      </c>
      <c r="P6928">
        <v>0</v>
      </c>
      <c r="Q6928" t="s">
        <v>23</v>
      </c>
      <c r="R6928">
        <v>0</v>
      </c>
    </row>
    <row r="6929" spans="1:18">
      <c r="A6929" s="4">
        <v>69621700000000</v>
      </c>
      <c r="B6929" t="s">
        <v>28</v>
      </c>
      <c r="C6929">
        <v>30</v>
      </c>
      <c r="D6929" t="s">
        <v>37</v>
      </c>
      <c r="E6929" t="s">
        <v>106</v>
      </c>
      <c r="F6929" s="1">
        <v>42529</v>
      </c>
      <c r="G6929" s="1">
        <v>42529</v>
      </c>
      <c r="H6929" t="s">
        <v>25</v>
      </c>
      <c r="I6929">
        <v>0</v>
      </c>
      <c r="J6929" t="s">
        <v>111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 t="s">
        <v>23</v>
      </c>
      <c r="R6929">
        <v>0</v>
      </c>
    </row>
    <row r="6930" spans="1:18">
      <c r="A6930" s="4">
        <v>145798000000000</v>
      </c>
      <c r="B6930" t="s">
        <v>18</v>
      </c>
      <c r="C6930">
        <v>12</v>
      </c>
      <c r="D6930" t="s">
        <v>31</v>
      </c>
      <c r="E6930" t="s">
        <v>65</v>
      </c>
      <c r="F6930" s="1">
        <v>42529</v>
      </c>
      <c r="G6930" s="1">
        <v>42529</v>
      </c>
      <c r="H6930" t="s">
        <v>25</v>
      </c>
      <c r="I6930">
        <v>0</v>
      </c>
      <c r="J6930" t="s">
        <v>111</v>
      </c>
      <c r="K6930">
        <v>1</v>
      </c>
      <c r="L6930">
        <v>0</v>
      </c>
      <c r="M6930">
        <v>0</v>
      </c>
      <c r="N6930">
        <v>0</v>
      </c>
      <c r="O6930">
        <v>0</v>
      </c>
      <c r="P6930">
        <v>0</v>
      </c>
      <c r="Q6930" t="s">
        <v>23</v>
      </c>
      <c r="R6930">
        <v>0</v>
      </c>
    </row>
    <row r="6931" spans="1:18">
      <c r="A6931" s="4">
        <v>9735330000000</v>
      </c>
      <c r="B6931" t="s">
        <v>18</v>
      </c>
      <c r="C6931">
        <v>29</v>
      </c>
      <c r="D6931" t="s">
        <v>37</v>
      </c>
      <c r="E6931" t="s">
        <v>54</v>
      </c>
      <c r="F6931" s="1">
        <v>42529</v>
      </c>
      <c r="G6931" s="1">
        <v>42529</v>
      </c>
      <c r="H6931" t="s">
        <v>25</v>
      </c>
      <c r="I6931">
        <v>0</v>
      </c>
      <c r="J6931" t="s">
        <v>111</v>
      </c>
      <c r="K6931">
        <v>1</v>
      </c>
      <c r="L6931">
        <v>0</v>
      </c>
      <c r="M6931">
        <v>0</v>
      </c>
      <c r="N6931">
        <v>0</v>
      </c>
      <c r="O6931">
        <v>0</v>
      </c>
      <c r="P6931">
        <v>0</v>
      </c>
      <c r="Q6931" t="s">
        <v>23</v>
      </c>
      <c r="R6931">
        <v>0</v>
      </c>
    </row>
    <row r="6932" spans="1:18">
      <c r="A6932" s="4">
        <v>669255000000000</v>
      </c>
      <c r="B6932" t="s">
        <v>18</v>
      </c>
      <c r="C6932">
        <v>30</v>
      </c>
      <c r="D6932" t="s">
        <v>37</v>
      </c>
      <c r="E6932" t="s">
        <v>50</v>
      </c>
      <c r="F6932" s="1">
        <v>42529</v>
      </c>
      <c r="G6932" s="1">
        <v>42529</v>
      </c>
      <c r="H6932" t="s">
        <v>25</v>
      </c>
      <c r="I6932">
        <v>0</v>
      </c>
      <c r="J6932" t="s">
        <v>111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 t="s">
        <v>23</v>
      </c>
      <c r="R6932">
        <v>0</v>
      </c>
    </row>
    <row r="6933" spans="1:18">
      <c r="A6933" s="4">
        <v>655642000000000</v>
      </c>
      <c r="B6933" t="s">
        <v>18</v>
      </c>
      <c r="C6933">
        <v>47</v>
      </c>
      <c r="D6933" t="s">
        <v>27</v>
      </c>
      <c r="E6933" t="s">
        <v>105</v>
      </c>
      <c r="F6933" s="1">
        <v>42529</v>
      </c>
      <c r="G6933" s="1">
        <v>42529</v>
      </c>
      <c r="H6933" t="s">
        <v>25</v>
      </c>
      <c r="I6933">
        <v>0</v>
      </c>
      <c r="J6933" t="s">
        <v>111</v>
      </c>
      <c r="K6933">
        <v>1</v>
      </c>
      <c r="L6933">
        <v>0</v>
      </c>
      <c r="M6933">
        <v>0</v>
      </c>
      <c r="N6933">
        <v>0</v>
      </c>
      <c r="O6933">
        <v>0</v>
      </c>
      <c r="P6933">
        <v>0</v>
      </c>
      <c r="Q6933" t="s">
        <v>23</v>
      </c>
      <c r="R6933">
        <v>0</v>
      </c>
    </row>
    <row r="6934" spans="1:18">
      <c r="A6934" s="4">
        <v>99637671331</v>
      </c>
      <c r="B6934" t="s">
        <v>28</v>
      </c>
      <c r="C6934">
        <v>46</v>
      </c>
      <c r="D6934" t="s">
        <v>27</v>
      </c>
      <c r="E6934" t="s">
        <v>67</v>
      </c>
      <c r="F6934" s="1">
        <v>42529</v>
      </c>
      <c r="G6934" s="1">
        <v>42529</v>
      </c>
      <c r="H6934" t="s">
        <v>25</v>
      </c>
      <c r="I6934">
        <v>0</v>
      </c>
      <c r="J6934" t="s">
        <v>111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23</v>
      </c>
      <c r="R6934">
        <v>0</v>
      </c>
    </row>
    <row r="6935" spans="1:18">
      <c r="A6935" s="4">
        <v>532864000000</v>
      </c>
      <c r="B6935" t="s">
        <v>18</v>
      </c>
      <c r="C6935">
        <v>9</v>
      </c>
      <c r="D6935" t="s">
        <v>31</v>
      </c>
      <c r="E6935" t="s">
        <v>29</v>
      </c>
      <c r="F6935" s="1">
        <v>42529</v>
      </c>
      <c r="G6935" s="1">
        <v>42529</v>
      </c>
      <c r="H6935" t="s">
        <v>25</v>
      </c>
      <c r="I6935">
        <v>0</v>
      </c>
      <c r="J6935" t="s">
        <v>111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 t="s">
        <v>23</v>
      </c>
      <c r="R6935">
        <v>0</v>
      </c>
    </row>
    <row r="6936" spans="1:18">
      <c r="A6936" s="4">
        <v>8527990000000</v>
      </c>
      <c r="B6936" t="s">
        <v>18</v>
      </c>
      <c r="C6936">
        <v>63</v>
      </c>
      <c r="D6936" t="s">
        <v>35</v>
      </c>
      <c r="E6936" t="s">
        <v>64</v>
      </c>
      <c r="F6936" s="1">
        <v>42529</v>
      </c>
      <c r="G6936" s="1">
        <v>42529</v>
      </c>
      <c r="H6936" t="s">
        <v>25</v>
      </c>
      <c r="I6936">
        <v>0</v>
      </c>
      <c r="J6936" t="s">
        <v>111</v>
      </c>
      <c r="K6936">
        <v>0</v>
      </c>
      <c r="L6936">
        <v>1</v>
      </c>
      <c r="M6936">
        <v>1</v>
      </c>
      <c r="N6936">
        <v>0</v>
      </c>
      <c r="O6936">
        <v>0</v>
      </c>
      <c r="P6936">
        <v>0</v>
      </c>
      <c r="Q6936" t="s">
        <v>23</v>
      </c>
      <c r="R6936">
        <v>0</v>
      </c>
    </row>
    <row r="6937" spans="1:18">
      <c r="A6937" s="4">
        <v>689167000000000</v>
      </c>
      <c r="B6937" t="s">
        <v>18</v>
      </c>
      <c r="C6937">
        <v>33</v>
      </c>
      <c r="D6937" t="s">
        <v>37</v>
      </c>
      <c r="E6937" t="s">
        <v>64</v>
      </c>
      <c r="F6937" s="1">
        <v>42529</v>
      </c>
      <c r="G6937" s="1">
        <v>42529</v>
      </c>
      <c r="H6937" t="s">
        <v>25</v>
      </c>
      <c r="I6937">
        <v>0</v>
      </c>
      <c r="J6937" t="s">
        <v>111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 t="s">
        <v>23</v>
      </c>
      <c r="R6937">
        <v>0</v>
      </c>
    </row>
    <row r="6938" spans="1:18">
      <c r="A6938" s="4">
        <v>55155900000000</v>
      </c>
      <c r="B6938" t="s">
        <v>28</v>
      </c>
      <c r="C6938">
        <v>23</v>
      </c>
      <c r="D6938" t="s">
        <v>37</v>
      </c>
      <c r="E6938" t="s">
        <v>29</v>
      </c>
      <c r="F6938" s="1">
        <v>42529</v>
      </c>
      <c r="G6938" s="1">
        <v>42529</v>
      </c>
      <c r="H6938" t="s">
        <v>25</v>
      </c>
      <c r="I6938">
        <v>0</v>
      </c>
      <c r="J6938" t="s">
        <v>111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 t="s">
        <v>23</v>
      </c>
      <c r="R6938">
        <v>0</v>
      </c>
    </row>
    <row r="6939" spans="1:18">
      <c r="A6939" s="4">
        <v>87781828847</v>
      </c>
      <c r="B6939" t="s">
        <v>28</v>
      </c>
      <c r="C6939">
        <v>11</v>
      </c>
      <c r="D6939" t="s">
        <v>31</v>
      </c>
      <c r="E6939" t="s">
        <v>112</v>
      </c>
      <c r="F6939" s="1">
        <v>42529</v>
      </c>
      <c r="G6939" s="1">
        <v>42529</v>
      </c>
      <c r="H6939" t="s">
        <v>25</v>
      </c>
      <c r="I6939">
        <v>0</v>
      </c>
      <c r="J6939" t="s">
        <v>111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23</v>
      </c>
      <c r="R6939">
        <v>0</v>
      </c>
    </row>
    <row r="6940" spans="1:18">
      <c r="A6940" s="4">
        <v>495297000000000</v>
      </c>
      <c r="B6940" t="s">
        <v>28</v>
      </c>
      <c r="C6940">
        <v>33</v>
      </c>
      <c r="D6940" t="s">
        <v>37</v>
      </c>
      <c r="E6940" t="s">
        <v>72</v>
      </c>
      <c r="F6940" s="1">
        <v>42529</v>
      </c>
      <c r="G6940" s="1">
        <v>42529</v>
      </c>
      <c r="H6940" t="s">
        <v>25</v>
      </c>
      <c r="I6940">
        <v>0</v>
      </c>
      <c r="J6940" t="s">
        <v>111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 t="s">
        <v>23</v>
      </c>
      <c r="R6940">
        <v>0</v>
      </c>
    </row>
    <row r="6941" spans="1:18">
      <c r="A6941" s="4">
        <v>145553000000000</v>
      </c>
      <c r="B6941" t="s">
        <v>28</v>
      </c>
      <c r="C6941">
        <v>48</v>
      </c>
      <c r="D6941" t="s">
        <v>27</v>
      </c>
      <c r="E6941" t="s">
        <v>29</v>
      </c>
      <c r="F6941" s="1">
        <v>42529</v>
      </c>
      <c r="G6941" s="1">
        <v>42529</v>
      </c>
      <c r="H6941" t="s">
        <v>25</v>
      </c>
      <c r="I6941">
        <v>0</v>
      </c>
      <c r="J6941" t="s">
        <v>111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 t="s">
        <v>23</v>
      </c>
      <c r="R6941">
        <v>0</v>
      </c>
    </row>
    <row r="6942" spans="1:18">
      <c r="A6942" s="4">
        <v>355689000000</v>
      </c>
      <c r="B6942" t="s">
        <v>18</v>
      </c>
      <c r="C6942">
        <v>51</v>
      </c>
      <c r="D6942" t="s">
        <v>35</v>
      </c>
      <c r="E6942" t="s">
        <v>67</v>
      </c>
      <c r="F6942" s="1">
        <v>42529</v>
      </c>
      <c r="G6942" s="1">
        <v>42529</v>
      </c>
      <c r="H6942" t="s">
        <v>25</v>
      </c>
      <c r="I6942">
        <v>0</v>
      </c>
      <c r="J6942" t="s">
        <v>111</v>
      </c>
      <c r="K6942">
        <v>0</v>
      </c>
      <c r="L6942">
        <v>1</v>
      </c>
      <c r="M6942">
        <v>0</v>
      </c>
      <c r="N6942">
        <v>0</v>
      </c>
      <c r="O6942">
        <v>0</v>
      </c>
      <c r="P6942">
        <v>0</v>
      </c>
      <c r="Q6942" t="s">
        <v>23</v>
      </c>
      <c r="R6942">
        <v>0</v>
      </c>
    </row>
    <row r="6943" spans="1:18">
      <c r="A6943" s="4">
        <v>151548000000000</v>
      </c>
      <c r="B6943" t="s">
        <v>28</v>
      </c>
      <c r="C6943">
        <v>6</v>
      </c>
      <c r="D6943" t="s">
        <v>31</v>
      </c>
      <c r="E6943" t="s">
        <v>50</v>
      </c>
      <c r="F6943" s="1">
        <v>42529</v>
      </c>
      <c r="G6943" s="1">
        <v>42529</v>
      </c>
      <c r="H6943" t="s">
        <v>25</v>
      </c>
      <c r="I6943">
        <v>0</v>
      </c>
      <c r="J6943" t="s">
        <v>111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23</v>
      </c>
      <c r="R6943">
        <v>0</v>
      </c>
    </row>
    <row r="6944" spans="1:18">
      <c r="A6944" s="4">
        <v>523976000000000</v>
      </c>
      <c r="B6944" t="s">
        <v>18</v>
      </c>
      <c r="C6944">
        <v>23</v>
      </c>
      <c r="D6944" t="s">
        <v>37</v>
      </c>
      <c r="E6944" t="s">
        <v>68</v>
      </c>
      <c r="F6944" s="1">
        <v>42529</v>
      </c>
      <c r="G6944" s="1">
        <v>42529</v>
      </c>
      <c r="H6944" t="s">
        <v>25</v>
      </c>
      <c r="I6944">
        <v>0</v>
      </c>
      <c r="J6944" t="s">
        <v>111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 t="s">
        <v>23</v>
      </c>
      <c r="R6944">
        <v>0</v>
      </c>
    </row>
    <row r="6945" spans="1:18">
      <c r="A6945" s="4">
        <v>58164700000000</v>
      </c>
      <c r="B6945" t="s">
        <v>18</v>
      </c>
      <c r="C6945">
        <v>0</v>
      </c>
      <c r="D6945" t="s">
        <v>31</v>
      </c>
      <c r="E6945" t="s">
        <v>48</v>
      </c>
      <c r="F6945" s="1">
        <v>42529</v>
      </c>
      <c r="G6945" s="1">
        <v>42529</v>
      </c>
      <c r="H6945" t="s">
        <v>25</v>
      </c>
      <c r="I6945">
        <v>0</v>
      </c>
      <c r="J6945" t="s">
        <v>111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 t="s">
        <v>23</v>
      </c>
      <c r="R6945">
        <v>0</v>
      </c>
    </row>
    <row r="6946" spans="1:18">
      <c r="A6946" s="4">
        <v>631833000000000</v>
      </c>
      <c r="B6946" t="s">
        <v>18</v>
      </c>
      <c r="C6946">
        <v>21</v>
      </c>
      <c r="D6946" t="s">
        <v>37</v>
      </c>
      <c r="E6946" t="s">
        <v>72</v>
      </c>
      <c r="F6946" s="1">
        <v>42529</v>
      </c>
      <c r="G6946" s="1">
        <v>42529</v>
      </c>
      <c r="H6946" t="s">
        <v>25</v>
      </c>
      <c r="I6946">
        <v>0</v>
      </c>
      <c r="J6946" t="s">
        <v>111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 t="s">
        <v>23</v>
      </c>
      <c r="R6946">
        <v>0</v>
      </c>
    </row>
    <row r="6947" spans="1:18">
      <c r="A6947" s="4">
        <v>134917000000</v>
      </c>
      <c r="B6947" t="s">
        <v>18</v>
      </c>
      <c r="C6947">
        <v>2</v>
      </c>
      <c r="D6947" t="s">
        <v>31</v>
      </c>
      <c r="E6947" t="s">
        <v>72</v>
      </c>
      <c r="F6947" s="1">
        <v>42529</v>
      </c>
      <c r="G6947" s="1">
        <v>42529</v>
      </c>
      <c r="H6947" t="s">
        <v>25</v>
      </c>
      <c r="I6947">
        <v>0</v>
      </c>
      <c r="J6947" t="s">
        <v>111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 t="s">
        <v>23</v>
      </c>
      <c r="R6947">
        <v>0</v>
      </c>
    </row>
    <row r="6948" spans="1:18">
      <c r="A6948" s="4">
        <v>891543000000000</v>
      </c>
      <c r="B6948" t="s">
        <v>28</v>
      </c>
      <c r="C6948">
        <v>44</v>
      </c>
      <c r="D6948" t="s">
        <v>27</v>
      </c>
      <c r="E6948" t="s">
        <v>29</v>
      </c>
      <c r="F6948" s="1">
        <v>42529</v>
      </c>
      <c r="G6948" s="1">
        <v>42529</v>
      </c>
      <c r="H6948" t="s">
        <v>25</v>
      </c>
      <c r="I6948">
        <v>0</v>
      </c>
      <c r="J6948" t="s">
        <v>111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 t="s">
        <v>23</v>
      </c>
      <c r="R6948">
        <v>0</v>
      </c>
    </row>
    <row r="6949" spans="1:18">
      <c r="A6949" s="4">
        <v>235676000000000</v>
      </c>
      <c r="B6949" t="s">
        <v>18</v>
      </c>
      <c r="C6949">
        <v>72</v>
      </c>
      <c r="D6949" t="s">
        <v>19</v>
      </c>
      <c r="E6949" t="s">
        <v>76</v>
      </c>
      <c r="F6949" s="1">
        <v>42529</v>
      </c>
      <c r="G6949" s="1">
        <v>42529</v>
      </c>
      <c r="H6949" t="s">
        <v>25</v>
      </c>
      <c r="I6949">
        <v>0</v>
      </c>
      <c r="J6949" t="s">
        <v>111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 t="s">
        <v>23</v>
      </c>
      <c r="R6949">
        <v>0</v>
      </c>
    </row>
    <row r="6950" spans="1:18">
      <c r="A6950" s="4">
        <v>964399000000000</v>
      </c>
      <c r="B6950" t="s">
        <v>28</v>
      </c>
      <c r="C6950">
        <v>13</v>
      </c>
      <c r="D6950" t="s">
        <v>60</v>
      </c>
      <c r="E6950" t="s">
        <v>39</v>
      </c>
      <c r="F6950" s="1">
        <v>42529</v>
      </c>
      <c r="G6950" s="1">
        <v>42529</v>
      </c>
      <c r="H6950" t="s">
        <v>25</v>
      </c>
      <c r="I6950">
        <v>0</v>
      </c>
      <c r="J6950" t="s">
        <v>111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 t="s">
        <v>23</v>
      </c>
      <c r="R6950">
        <v>0</v>
      </c>
    </row>
    <row r="6951" spans="1:18">
      <c r="A6951" s="4">
        <v>191422000000000</v>
      </c>
      <c r="B6951" t="s">
        <v>18</v>
      </c>
      <c r="C6951">
        <v>20</v>
      </c>
      <c r="D6951" t="s">
        <v>37</v>
      </c>
      <c r="E6951" t="s">
        <v>64</v>
      </c>
      <c r="F6951" s="1">
        <v>42529</v>
      </c>
      <c r="G6951" s="1">
        <v>42529</v>
      </c>
      <c r="H6951" t="s">
        <v>25</v>
      </c>
      <c r="I6951">
        <v>0</v>
      </c>
      <c r="J6951" t="s">
        <v>111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 t="s">
        <v>23</v>
      </c>
      <c r="R6951">
        <v>0</v>
      </c>
    </row>
    <row r="6952" spans="1:18">
      <c r="A6952" s="4">
        <v>68885600000000</v>
      </c>
      <c r="B6952" t="s">
        <v>18</v>
      </c>
      <c r="C6952">
        <v>45</v>
      </c>
      <c r="D6952" t="s">
        <v>27</v>
      </c>
      <c r="E6952" t="s">
        <v>36</v>
      </c>
      <c r="F6952" s="1">
        <v>42529</v>
      </c>
      <c r="G6952" s="1">
        <v>42529</v>
      </c>
      <c r="H6952" t="s">
        <v>25</v>
      </c>
      <c r="I6952">
        <v>0</v>
      </c>
      <c r="J6952" t="s">
        <v>111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 t="s">
        <v>23</v>
      </c>
      <c r="R6952">
        <v>0</v>
      </c>
    </row>
    <row r="6953" spans="1:18">
      <c r="A6953" s="4">
        <v>871883000000000</v>
      </c>
      <c r="B6953" t="s">
        <v>18</v>
      </c>
      <c r="C6953">
        <v>49</v>
      </c>
      <c r="D6953" t="s">
        <v>27</v>
      </c>
      <c r="E6953" t="s">
        <v>29</v>
      </c>
      <c r="F6953" s="1">
        <v>42529</v>
      </c>
      <c r="G6953" s="1">
        <v>42529</v>
      </c>
      <c r="H6953" t="s">
        <v>25</v>
      </c>
      <c r="I6953">
        <v>0</v>
      </c>
      <c r="J6953" t="s">
        <v>111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 t="s">
        <v>23</v>
      </c>
      <c r="R6953">
        <v>0</v>
      </c>
    </row>
    <row r="6954" spans="1:18">
      <c r="A6954" s="4">
        <v>88575812353</v>
      </c>
      <c r="B6954" t="s">
        <v>28</v>
      </c>
      <c r="C6954">
        <v>8</v>
      </c>
      <c r="D6954" t="s">
        <v>31</v>
      </c>
      <c r="E6954" t="s">
        <v>72</v>
      </c>
      <c r="F6954" s="1">
        <v>42529</v>
      </c>
      <c r="G6954" s="1">
        <v>42529</v>
      </c>
      <c r="H6954" t="s">
        <v>25</v>
      </c>
      <c r="I6954">
        <v>0</v>
      </c>
      <c r="J6954" t="s">
        <v>111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 t="s">
        <v>23</v>
      </c>
      <c r="R6954">
        <v>0</v>
      </c>
    </row>
    <row r="6955" spans="1:18">
      <c r="A6955" s="4">
        <v>57635800000000</v>
      </c>
      <c r="B6955" t="s">
        <v>18</v>
      </c>
      <c r="C6955">
        <v>48</v>
      </c>
      <c r="D6955" t="s">
        <v>27</v>
      </c>
      <c r="E6955" t="s">
        <v>55</v>
      </c>
      <c r="F6955" s="1">
        <v>42529</v>
      </c>
      <c r="G6955" s="1">
        <v>42529</v>
      </c>
      <c r="H6955" t="s">
        <v>25</v>
      </c>
      <c r="I6955">
        <v>0</v>
      </c>
      <c r="J6955" t="s">
        <v>111</v>
      </c>
      <c r="K6955">
        <v>0</v>
      </c>
      <c r="L6955">
        <v>1</v>
      </c>
      <c r="M6955">
        <v>0</v>
      </c>
      <c r="N6955">
        <v>0</v>
      </c>
      <c r="O6955">
        <v>0</v>
      </c>
      <c r="P6955">
        <v>0</v>
      </c>
      <c r="Q6955" t="s">
        <v>23</v>
      </c>
      <c r="R6955">
        <v>0</v>
      </c>
    </row>
    <row r="6956" spans="1:18">
      <c r="A6956" s="4">
        <v>887441000000000</v>
      </c>
      <c r="B6956" t="s">
        <v>18</v>
      </c>
      <c r="C6956">
        <v>20</v>
      </c>
      <c r="D6956" t="s">
        <v>37</v>
      </c>
      <c r="E6956" t="s">
        <v>58</v>
      </c>
      <c r="F6956" s="1">
        <v>42529</v>
      </c>
      <c r="G6956" s="1">
        <v>42529</v>
      </c>
      <c r="H6956" t="s">
        <v>25</v>
      </c>
      <c r="I6956">
        <v>0</v>
      </c>
      <c r="J6956" t="s">
        <v>111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23</v>
      </c>
      <c r="R6956">
        <v>0</v>
      </c>
    </row>
    <row r="6957" spans="1:18">
      <c r="A6957" s="4">
        <v>9258420000000</v>
      </c>
      <c r="B6957" t="s">
        <v>18</v>
      </c>
      <c r="C6957">
        <v>67</v>
      </c>
      <c r="D6957" t="s">
        <v>19</v>
      </c>
      <c r="E6957" t="s">
        <v>32</v>
      </c>
      <c r="F6957" s="1">
        <v>42529</v>
      </c>
      <c r="G6957" s="1">
        <v>42529</v>
      </c>
      <c r="H6957" t="s">
        <v>25</v>
      </c>
      <c r="I6957">
        <v>0</v>
      </c>
      <c r="J6957" t="s">
        <v>111</v>
      </c>
      <c r="K6957">
        <v>0</v>
      </c>
      <c r="L6957">
        <v>1</v>
      </c>
      <c r="M6957">
        <v>0</v>
      </c>
      <c r="N6957">
        <v>0</v>
      </c>
      <c r="O6957">
        <v>0</v>
      </c>
      <c r="P6957">
        <v>0</v>
      </c>
      <c r="Q6957" t="s">
        <v>23</v>
      </c>
      <c r="R6957">
        <v>0</v>
      </c>
    </row>
    <row r="6958" spans="1:18">
      <c r="A6958" s="4">
        <v>89993200000000</v>
      </c>
      <c r="B6958" t="s">
        <v>18</v>
      </c>
      <c r="C6958">
        <v>1</v>
      </c>
      <c r="D6958" t="s">
        <v>31</v>
      </c>
      <c r="E6958" t="s">
        <v>96</v>
      </c>
      <c r="F6958" s="1">
        <v>42529</v>
      </c>
      <c r="G6958" s="1">
        <v>42529</v>
      </c>
      <c r="H6958" t="s">
        <v>25</v>
      </c>
      <c r="I6958">
        <v>0</v>
      </c>
      <c r="J6958" t="s">
        <v>111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 t="s">
        <v>23</v>
      </c>
      <c r="R6958">
        <v>0</v>
      </c>
    </row>
    <row r="6959" spans="1:18">
      <c r="A6959" s="4">
        <v>72239200000000</v>
      </c>
      <c r="B6959" t="s">
        <v>18</v>
      </c>
      <c r="C6959">
        <v>20</v>
      </c>
      <c r="D6959" t="s">
        <v>37</v>
      </c>
      <c r="E6959" t="s">
        <v>38</v>
      </c>
      <c r="F6959" s="1">
        <v>42529</v>
      </c>
      <c r="G6959" s="1">
        <v>42529</v>
      </c>
      <c r="H6959" t="s">
        <v>25</v>
      </c>
      <c r="I6959">
        <v>0</v>
      </c>
      <c r="J6959" t="s">
        <v>111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 t="s">
        <v>23</v>
      </c>
      <c r="R6959">
        <v>0</v>
      </c>
    </row>
    <row r="6960" spans="1:18">
      <c r="A6960" s="4">
        <v>88287300000000</v>
      </c>
      <c r="B6960" t="s">
        <v>18</v>
      </c>
      <c r="C6960">
        <v>71</v>
      </c>
      <c r="D6960" t="s">
        <v>19</v>
      </c>
      <c r="E6960" t="s">
        <v>29</v>
      </c>
      <c r="F6960" s="1">
        <v>42529</v>
      </c>
      <c r="G6960" s="1">
        <v>42529</v>
      </c>
      <c r="H6960" t="s">
        <v>25</v>
      </c>
      <c r="I6960">
        <v>0</v>
      </c>
      <c r="J6960" t="s">
        <v>111</v>
      </c>
      <c r="K6960">
        <v>0</v>
      </c>
      <c r="L6960">
        <v>1</v>
      </c>
      <c r="M6960">
        <v>1</v>
      </c>
      <c r="N6960">
        <v>0</v>
      </c>
      <c r="O6960">
        <v>0</v>
      </c>
      <c r="P6960">
        <v>0</v>
      </c>
      <c r="Q6960" t="s">
        <v>23</v>
      </c>
      <c r="R6960">
        <v>0</v>
      </c>
    </row>
    <row r="6961" spans="1:18">
      <c r="A6961" s="4">
        <v>38313200000000</v>
      </c>
      <c r="B6961" t="s">
        <v>28</v>
      </c>
      <c r="C6961">
        <v>20</v>
      </c>
      <c r="D6961" t="s">
        <v>37</v>
      </c>
      <c r="E6961" t="s">
        <v>99</v>
      </c>
      <c r="F6961" s="1">
        <v>42529</v>
      </c>
      <c r="G6961" s="1">
        <v>42529</v>
      </c>
      <c r="H6961" t="s">
        <v>25</v>
      </c>
      <c r="I6961">
        <v>0</v>
      </c>
      <c r="J6961" t="s">
        <v>111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 t="s">
        <v>23</v>
      </c>
      <c r="R6961">
        <v>0</v>
      </c>
    </row>
    <row r="6962" spans="1:18">
      <c r="A6962" s="4">
        <v>159927000000000</v>
      </c>
      <c r="B6962" t="s">
        <v>18</v>
      </c>
      <c r="C6962">
        <v>0</v>
      </c>
      <c r="D6962" t="s">
        <v>31</v>
      </c>
      <c r="E6962" t="s">
        <v>36</v>
      </c>
      <c r="F6962" s="1">
        <v>42529</v>
      </c>
      <c r="G6962" s="1">
        <v>42529</v>
      </c>
      <c r="H6962" t="s">
        <v>25</v>
      </c>
      <c r="I6962">
        <v>0</v>
      </c>
      <c r="J6962" t="s">
        <v>111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 t="s">
        <v>23</v>
      </c>
      <c r="R6962">
        <v>0</v>
      </c>
    </row>
    <row r="6963" spans="1:18">
      <c r="A6963" s="4">
        <v>8115850000000</v>
      </c>
      <c r="B6963" t="s">
        <v>28</v>
      </c>
      <c r="C6963">
        <v>50</v>
      </c>
      <c r="D6963" t="s">
        <v>27</v>
      </c>
      <c r="E6963" t="s">
        <v>68</v>
      </c>
      <c r="F6963" s="1">
        <v>42529</v>
      </c>
      <c r="G6963" s="1">
        <v>42529</v>
      </c>
      <c r="H6963" t="s">
        <v>25</v>
      </c>
      <c r="I6963">
        <v>0</v>
      </c>
      <c r="J6963" t="s">
        <v>111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 t="s">
        <v>26</v>
      </c>
      <c r="R6963">
        <v>1</v>
      </c>
    </row>
    <row r="6964" spans="1:18">
      <c r="A6964" s="4">
        <v>656198000000</v>
      </c>
      <c r="B6964" t="s">
        <v>18</v>
      </c>
      <c r="C6964">
        <v>72</v>
      </c>
      <c r="D6964" t="s">
        <v>19</v>
      </c>
      <c r="E6964" t="s">
        <v>55</v>
      </c>
      <c r="F6964" s="1">
        <v>42529</v>
      </c>
      <c r="G6964" s="1">
        <v>42529</v>
      </c>
      <c r="H6964" t="s">
        <v>25</v>
      </c>
      <c r="I6964">
        <v>0</v>
      </c>
      <c r="J6964" t="s">
        <v>111</v>
      </c>
      <c r="K6964">
        <v>0</v>
      </c>
      <c r="L6964">
        <v>1</v>
      </c>
      <c r="M6964">
        <v>0</v>
      </c>
      <c r="N6964">
        <v>0</v>
      </c>
      <c r="O6964">
        <v>0</v>
      </c>
      <c r="P6964">
        <v>0</v>
      </c>
      <c r="Q6964" t="s">
        <v>23</v>
      </c>
      <c r="R6964">
        <v>0</v>
      </c>
    </row>
    <row r="6965" spans="1:18">
      <c r="A6965" s="4">
        <v>978426000000</v>
      </c>
      <c r="B6965" t="s">
        <v>18</v>
      </c>
      <c r="C6965">
        <v>57</v>
      </c>
      <c r="D6965" t="s">
        <v>35</v>
      </c>
      <c r="E6965" t="s">
        <v>39</v>
      </c>
      <c r="F6965" s="1">
        <v>42529</v>
      </c>
      <c r="G6965" s="1">
        <v>42529</v>
      </c>
      <c r="H6965" t="s">
        <v>25</v>
      </c>
      <c r="I6965">
        <v>0</v>
      </c>
      <c r="J6965" t="s">
        <v>111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 t="s">
        <v>23</v>
      </c>
      <c r="R6965">
        <v>0</v>
      </c>
    </row>
    <row r="6966" spans="1:18">
      <c r="A6966" s="4">
        <v>325262000000000</v>
      </c>
      <c r="B6966" t="s">
        <v>28</v>
      </c>
      <c r="C6966">
        <v>51</v>
      </c>
      <c r="D6966" t="s">
        <v>35</v>
      </c>
      <c r="E6966" t="s">
        <v>72</v>
      </c>
      <c r="F6966" s="1">
        <v>42529</v>
      </c>
      <c r="G6966" s="1">
        <v>42529</v>
      </c>
      <c r="H6966" t="s">
        <v>25</v>
      </c>
      <c r="I6966">
        <v>0</v>
      </c>
      <c r="J6966" t="s">
        <v>111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 t="s">
        <v>23</v>
      </c>
      <c r="R6966">
        <v>0</v>
      </c>
    </row>
    <row r="6967" spans="1:18">
      <c r="A6967" s="4">
        <v>295341000000000</v>
      </c>
      <c r="B6967" t="s">
        <v>18</v>
      </c>
      <c r="C6967">
        <v>36</v>
      </c>
      <c r="D6967" t="s">
        <v>27</v>
      </c>
      <c r="E6967" t="s">
        <v>54</v>
      </c>
      <c r="F6967" s="1">
        <v>42529</v>
      </c>
      <c r="G6967" s="1">
        <v>42529</v>
      </c>
      <c r="H6967" t="s">
        <v>25</v>
      </c>
      <c r="I6967">
        <v>0</v>
      </c>
      <c r="J6967" t="s">
        <v>111</v>
      </c>
      <c r="K6967">
        <v>0</v>
      </c>
      <c r="L6967">
        <v>0</v>
      </c>
      <c r="M6967">
        <v>0</v>
      </c>
      <c r="N6967">
        <v>1</v>
      </c>
      <c r="O6967">
        <v>0</v>
      </c>
      <c r="P6967">
        <v>0</v>
      </c>
      <c r="Q6967" t="s">
        <v>23</v>
      </c>
      <c r="R6967">
        <v>0</v>
      </c>
    </row>
    <row r="6968" spans="1:18">
      <c r="A6968" s="4">
        <v>226774000000</v>
      </c>
      <c r="B6968" t="s">
        <v>28</v>
      </c>
      <c r="C6968">
        <v>63</v>
      </c>
      <c r="D6968" t="s">
        <v>35</v>
      </c>
      <c r="E6968" t="s">
        <v>74</v>
      </c>
      <c r="F6968" s="1">
        <v>42529</v>
      </c>
      <c r="G6968" s="1">
        <v>42529</v>
      </c>
      <c r="H6968" t="s">
        <v>25</v>
      </c>
      <c r="I6968">
        <v>0</v>
      </c>
      <c r="J6968" t="s">
        <v>111</v>
      </c>
      <c r="K6968">
        <v>0</v>
      </c>
      <c r="L6968">
        <v>1</v>
      </c>
      <c r="M6968">
        <v>0</v>
      </c>
      <c r="N6968">
        <v>0</v>
      </c>
      <c r="O6968">
        <v>0</v>
      </c>
      <c r="P6968">
        <v>0</v>
      </c>
      <c r="Q6968" t="s">
        <v>23</v>
      </c>
      <c r="R6968">
        <v>0</v>
      </c>
    </row>
    <row r="6969" spans="1:18">
      <c r="A6969" s="4">
        <v>754178000000</v>
      </c>
      <c r="B6969" t="s">
        <v>28</v>
      </c>
      <c r="C6969">
        <v>21</v>
      </c>
      <c r="D6969" t="s">
        <v>37</v>
      </c>
      <c r="E6969" t="s">
        <v>32</v>
      </c>
      <c r="F6969" s="1">
        <v>42529</v>
      </c>
      <c r="G6969" s="1">
        <v>42529</v>
      </c>
      <c r="H6969" t="s">
        <v>25</v>
      </c>
      <c r="I6969">
        <v>0</v>
      </c>
      <c r="J6969" t="s">
        <v>111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 t="s">
        <v>23</v>
      </c>
      <c r="R6969">
        <v>0</v>
      </c>
    </row>
    <row r="6970" spans="1:18">
      <c r="A6970" s="4">
        <v>13364900000000</v>
      </c>
      <c r="B6970" t="s">
        <v>28</v>
      </c>
      <c r="C6970">
        <v>59</v>
      </c>
      <c r="D6970" t="s">
        <v>35</v>
      </c>
      <c r="E6970" t="s">
        <v>72</v>
      </c>
      <c r="F6970" s="1">
        <v>42529</v>
      </c>
      <c r="G6970" s="1">
        <v>42529</v>
      </c>
      <c r="H6970" t="s">
        <v>25</v>
      </c>
      <c r="I6970">
        <v>0</v>
      </c>
      <c r="J6970" t="s">
        <v>111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 t="s">
        <v>23</v>
      </c>
      <c r="R6970">
        <v>0</v>
      </c>
    </row>
    <row r="6971" spans="1:18">
      <c r="A6971" s="4">
        <v>986163000000000</v>
      </c>
      <c r="B6971" t="s">
        <v>18</v>
      </c>
      <c r="C6971">
        <v>45</v>
      </c>
      <c r="D6971" t="s">
        <v>27</v>
      </c>
      <c r="E6971" t="s">
        <v>57</v>
      </c>
      <c r="F6971" s="1">
        <v>42529</v>
      </c>
      <c r="G6971" s="1">
        <v>42529</v>
      </c>
      <c r="H6971" t="s">
        <v>25</v>
      </c>
      <c r="I6971">
        <v>0</v>
      </c>
      <c r="J6971" t="s">
        <v>111</v>
      </c>
      <c r="K6971">
        <v>0</v>
      </c>
      <c r="L6971">
        <v>0</v>
      </c>
      <c r="M6971">
        <v>0</v>
      </c>
      <c r="N6971">
        <v>1</v>
      </c>
      <c r="O6971">
        <v>0</v>
      </c>
      <c r="P6971">
        <v>0</v>
      </c>
      <c r="Q6971" t="s">
        <v>23</v>
      </c>
      <c r="R6971">
        <v>0</v>
      </c>
    </row>
    <row r="6972" spans="1:18">
      <c r="A6972" s="4">
        <v>7379820000000</v>
      </c>
      <c r="B6972" t="s">
        <v>18</v>
      </c>
      <c r="C6972">
        <v>31</v>
      </c>
      <c r="D6972" t="s">
        <v>37</v>
      </c>
      <c r="E6972" t="s">
        <v>57</v>
      </c>
      <c r="F6972" s="1">
        <v>42529</v>
      </c>
      <c r="G6972" s="1">
        <v>42529</v>
      </c>
      <c r="H6972" t="s">
        <v>25</v>
      </c>
      <c r="I6972">
        <v>0</v>
      </c>
      <c r="J6972" t="s">
        <v>111</v>
      </c>
      <c r="K6972">
        <v>0</v>
      </c>
      <c r="L6972">
        <v>0</v>
      </c>
      <c r="M6972">
        <v>0</v>
      </c>
      <c r="N6972">
        <v>1</v>
      </c>
      <c r="O6972">
        <v>0</v>
      </c>
      <c r="P6972">
        <v>0</v>
      </c>
      <c r="Q6972" t="s">
        <v>23</v>
      </c>
      <c r="R6972">
        <v>0</v>
      </c>
    </row>
    <row r="6973" spans="1:18">
      <c r="A6973" s="4">
        <v>257172000000</v>
      </c>
      <c r="B6973" t="s">
        <v>28</v>
      </c>
      <c r="C6973">
        <v>9</v>
      </c>
      <c r="D6973" t="s">
        <v>31</v>
      </c>
      <c r="E6973" t="s">
        <v>29</v>
      </c>
      <c r="F6973" s="1">
        <v>42529</v>
      </c>
      <c r="G6973" s="1">
        <v>42529</v>
      </c>
      <c r="H6973" t="s">
        <v>25</v>
      </c>
      <c r="I6973">
        <v>0</v>
      </c>
      <c r="J6973" t="s">
        <v>111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 t="s">
        <v>23</v>
      </c>
      <c r="R6973">
        <v>0</v>
      </c>
    </row>
    <row r="6974" spans="1:18">
      <c r="A6974" s="4">
        <v>8714390000000</v>
      </c>
      <c r="B6974" t="s">
        <v>18</v>
      </c>
      <c r="C6974">
        <v>48</v>
      </c>
      <c r="D6974" t="s">
        <v>27</v>
      </c>
      <c r="E6974" t="s">
        <v>85</v>
      </c>
      <c r="F6974" s="1">
        <v>42529</v>
      </c>
      <c r="G6974" s="1">
        <v>42529</v>
      </c>
      <c r="H6974" t="s">
        <v>25</v>
      </c>
      <c r="I6974">
        <v>0</v>
      </c>
      <c r="J6974" t="s">
        <v>111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 t="s">
        <v>23</v>
      </c>
      <c r="R6974">
        <v>0</v>
      </c>
    </row>
    <row r="6975" spans="1:18">
      <c r="A6975" s="4">
        <v>92244400000000</v>
      </c>
      <c r="B6975" t="s">
        <v>28</v>
      </c>
      <c r="C6975">
        <v>40</v>
      </c>
      <c r="D6975" t="s">
        <v>27</v>
      </c>
      <c r="E6975" t="s">
        <v>78</v>
      </c>
      <c r="F6975" s="1">
        <v>42529</v>
      </c>
      <c r="G6975" s="1">
        <v>42529</v>
      </c>
      <c r="H6975" t="s">
        <v>25</v>
      </c>
      <c r="I6975">
        <v>0</v>
      </c>
      <c r="J6975" t="s">
        <v>111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23</v>
      </c>
      <c r="R6975">
        <v>0</v>
      </c>
    </row>
    <row r="6976" spans="1:18">
      <c r="A6976" s="4">
        <v>3352570000000</v>
      </c>
      <c r="B6976" t="s">
        <v>18</v>
      </c>
      <c r="C6976">
        <v>31</v>
      </c>
      <c r="D6976" t="s">
        <v>37</v>
      </c>
      <c r="E6976" t="s">
        <v>50</v>
      </c>
      <c r="F6976" s="1">
        <v>42529</v>
      </c>
      <c r="G6976" s="1">
        <v>42529</v>
      </c>
      <c r="H6976" t="s">
        <v>25</v>
      </c>
      <c r="I6976">
        <v>0</v>
      </c>
      <c r="J6976" t="s">
        <v>111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 t="s">
        <v>23</v>
      </c>
      <c r="R6976">
        <v>0</v>
      </c>
    </row>
    <row r="6977" spans="1:18">
      <c r="A6977" s="4">
        <v>4346760000000</v>
      </c>
      <c r="B6977" t="s">
        <v>28</v>
      </c>
      <c r="C6977">
        <v>15</v>
      </c>
      <c r="D6977" t="s">
        <v>60</v>
      </c>
      <c r="E6977" t="s">
        <v>65</v>
      </c>
      <c r="F6977" s="1">
        <v>42529</v>
      </c>
      <c r="G6977" s="1">
        <v>42529</v>
      </c>
      <c r="H6977" t="s">
        <v>25</v>
      </c>
      <c r="I6977">
        <v>0</v>
      </c>
      <c r="J6977" t="s">
        <v>111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 t="s">
        <v>23</v>
      </c>
      <c r="R6977">
        <v>0</v>
      </c>
    </row>
    <row r="6978" spans="1:18">
      <c r="A6978" s="4">
        <v>6555230000000</v>
      </c>
      <c r="B6978" t="s">
        <v>28</v>
      </c>
      <c r="C6978">
        <v>11</v>
      </c>
      <c r="D6978" t="s">
        <v>31</v>
      </c>
      <c r="E6978" t="s">
        <v>61</v>
      </c>
      <c r="F6978" s="1">
        <v>42529</v>
      </c>
      <c r="G6978" s="1">
        <v>42529</v>
      </c>
      <c r="H6978" t="s">
        <v>25</v>
      </c>
      <c r="I6978">
        <v>0</v>
      </c>
      <c r="J6978" t="s">
        <v>111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 t="s">
        <v>23</v>
      </c>
      <c r="R6978">
        <v>0</v>
      </c>
    </row>
    <row r="6979" spans="1:18">
      <c r="A6979" s="4">
        <v>66388600000000</v>
      </c>
      <c r="B6979" t="s">
        <v>18</v>
      </c>
      <c r="C6979">
        <v>17</v>
      </c>
      <c r="D6979" t="s">
        <v>60</v>
      </c>
      <c r="E6979" t="s">
        <v>32</v>
      </c>
      <c r="F6979" s="1">
        <v>42529</v>
      </c>
      <c r="G6979" s="1">
        <v>42529</v>
      </c>
      <c r="H6979" t="s">
        <v>25</v>
      </c>
      <c r="I6979">
        <v>0</v>
      </c>
      <c r="J6979" t="s">
        <v>111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 t="s">
        <v>23</v>
      </c>
      <c r="R6979">
        <v>0</v>
      </c>
    </row>
    <row r="6980" spans="1:18">
      <c r="A6980" s="4">
        <v>23792400000000</v>
      </c>
      <c r="B6980" t="s">
        <v>18</v>
      </c>
      <c r="C6980">
        <v>0</v>
      </c>
      <c r="D6980" t="s">
        <v>31</v>
      </c>
      <c r="E6980" t="s">
        <v>39</v>
      </c>
      <c r="F6980" s="1">
        <v>42529</v>
      </c>
      <c r="G6980" s="1">
        <v>42529</v>
      </c>
      <c r="H6980" t="s">
        <v>25</v>
      </c>
      <c r="I6980">
        <v>0</v>
      </c>
      <c r="J6980" t="s">
        <v>111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23</v>
      </c>
      <c r="R6980">
        <v>0</v>
      </c>
    </row>
    <row r="6981" spans="1:18">
      <c r="A6981" s="4">
        <v>979654000000</v>
      </c>
      <c r="B6981" t="s">
        <v>18</v>
      </c>
      <c r="C6981">
        <v>17</v>
      </c>
      <c r="D6981" t="s">
        <v>60</v>
      </c>
      <c r="E6981" t="s">
        <v>38</v>
      </c>
      <c r="F6981" s="1">
        <v>42529</v>
      </c>
      <c r="G6981" s="1">
        <v>42529</v>
      </c>
      <c r="H6981" t="s">
        <v>25</v>
      </c>
      <c r="I6981">
        <v>0</v>
      </c>
      <c r="J6981" t="s">
        <v>111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 t="s">
        <v>23</v>
      </c>
      <c r="R6981">
        <v>0</v>
      </c>
    </row>
    <row r="6982" spans="1:18">
      <c r="A6982" s="4">
        <v>9253480000000</v>
      </c>
      <c r="B6982" t="s">
        <v>18</v>
      </c>
      <c r="C6982">
        <v>17</v>
      </c>
      <c r="D6982" t="s">
        <v>60</v>
      </c>
      <c r="E6982" t="s">
        <v>96</v>
      </c>
      <c r="F6982" s="1">
        <v>42529</v>
      </c>
      <c r="G6982" s="1">
        <v>42529</v>
      </c>
      <c r="H6982" t="s">
        <v>25</v>
      </c>
      <c r="I6982">
        <v>0</v>
      </c>
      <c r="J6982" t="s">
        <v>111</v>
      </c>
      <c r="K6982">
        <v>1</v>
      </c>
      <c r="L6982">
        <v>0</v>
      </c>
      <c r="M6982">
        <v>0</v>
      </c>
      <c r="N6982">
        <v>0</v>
      </c>
      <c r="O6982">
        <v>0</v>
      </c>
      <c r="P6982">
        <v>0</v>
      </c>
      <c r="Q6982" t="s">
        <v>23</v>
      </c>
      <c r="R6982">
        <v>0</v>
      </c>
    </row>
    <row r="6983" spans="1:18">
      <c r="A6983" s="4">
        <v>784324000000000</v>
      </c>
      <c r="B6983" t="s">
        <v>18</v>
      </c>
      <c r="C6983">
        <v>16</v>
      </c>
      <c r="D6983" t="s">
        <v>60</v>
      </c>
      <c r="E6983" t="s">
        <v>66</v>
      </c>
      <c r="F6983" s="1">
        <v>42529</v>
      </c>
      <c r="G6983" s="1">
        <v>42529</v>
      </c>
      <c r="H6983" t="s">
        <v>25</v>
      </c>
      <c r="I6983">
        <v>0</v>
      </c>
      <c r="J6983" t="s">
        <v>111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 t="s">
        <v>23</v>
      </c>
      <c r="R6983">
        <v>0</v>
      </c>
    </row>
    <row r="6984" spans="1:18">
      <c r="A6984" s="4">
        <v>638126000000000</v>
      </c>
      <c r="B6984" t="s">
        <v>18</v>
      </c>
      <c r="C6984">
        <v>60</v>
      </c>
      <c r="D6984" t="s">
        <v>35</v>
      </c>
      <c r="E6984" t="s">
        <v>32</v>
      </c>
      <c r="F6984" s="1">
        <v>42529</v>
      </c>
      <c r="G6984" s="1">
        <v>42529</v>
      </c>
      <c r="H6984" t="s">
        <v>25</v>
      </c>
      <c r="I6984">
        <v>0</v>
      </c>
      <c r="J6984" t="s">
        <v>111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 t="s">
        <v>23</v>
      </c>
      <c r="R6984">
        <v>0</v>
      </c>
    </row>
    <row r="6985" spans="1:18">
      <c r="A6985" s="4">
        <v>56927200000000</v>
      </c>
      <c r="B6985" t="s">
        <v>18</v>
      </c>
      <c r="C6985">
        <v>42</v>
      </c>
      <c r="D6985" t="s">
        <v>27</v>
      </c>
      <c r="E6985" t="s">
        <v>46</v>
      </c>
      <c r="F6985" s="1">
        <v>42529</v>
      </c>
      <c r="G6985" s="1">
        <v>42529</v>
      </c>
      <c r="H6985" t="s">
        <v>25</v>
      </c>
      <c r="I6985">
        <v>0</v>
      </c>
      <c r="J6985" t="s">
        <v>111</v>
      </c>
      <c r="K6985">
        <v>0</v>
      </c>
      <c r="L6985">
        <v>0</v>
      </c>
      <c r="M6985">
        <v>0</v>
      </c>
      <c r="N6985">
        <v>0</v>
      </c>
      <c r="O6985">
        <v>1</v>
      </c>
      <c r="P6985">
        <v>0</v>
      </c>
      <c r="Q6985" t="s">
        <v>23</v>
      </c>
      <c r="R6985">
        <v>0</v>
      </c>
    </row>
    <row r="6986" spans="1:18">
      <c r="A6986" s="4">
        <v>44852900000000</v>
      </c>
      <c r="B6986" t="s">
        <v>18</v>
      </c>
      <c r="C6986">
        <v>22</v>
      </c>
      <c r="D6986" t="s">
        <v>37</v>
      </c>
      <c r="E6986" t="s">
        <v>51</v>
      </c>
      <c r="F6986" s="1">
        <v>42529</v>
      </c>
      <c r="G6986" s="1">
        <v>42529</v>
      </c>
      <c r="H6986" t="s">
        <v>25</v>
      </c>
      <c r="I6986">
        <v>0</v>
      </c>
      <c r="J6986" t="s">
        <v>111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 t="s">
        <v>23</v>
      </c>
      <c r="R6986">
        <v>0</v>
      </c>
    </row>
    <row r="6987" spans="1:18">
      <c r="A6987" s="4">
        <v>13364900000000</v>
      </c>
      <c r="B6987" t="s">
        <v>28</v>
      </c>
      <c r="C6987">
        <v>59</v>
      </c>
      <c r="D6987" t="s">
        <v>35</v>
      </c>
      <c r="E6987" t="s">
        <v>72</v>
      </c>
      <c r="F6987" s="1">
        <v>42529</v>
      </c>
      <c r="G6987" s="1">
        <v>42529</v>
      </c>
      <c r="H6987" t="s">
        <v>25</v>
      </c>
      <c r="I6987">
        <v>0</v>
      </c>
      <c r="J6987" t="s">
        <v>111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 t="s">
        <v>23</v>
      </c>
      <c r="R6987">
        <v>0</v>
      </c>
    </row>
    <row r="6988" spans="1:18">
      <c r="A6988" s="4">
        <v>1483460000000</v>
      </c>
      <c r="B6988" t="s">
        <v>18</v>
      </c>
      <c r="C6988">
        <v>39</v>
      </c>
      <c r="D6988" t="s">
        <v>27</v>
      </c>
      <c r="E6988" t="s">
        <v>72</v>
      </c>
      <c r="F6988" s="1">
        <v>42529</v>
      </c>
      <c r="G6988" s="1">
        <v>42529</v>
      </c>
      <c r="H6988" t="s">
        <v>25</v>
      </c>
      <c r="I6988">
        <v>0</v>
      </c>
      <c r="J6988" t="s">
        <v>111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 t="s">
        <v>23</v>
      </c>
      <c r="R6988">
        <v>0</v>
      </c>
    </row>
    <row r="6989" spans="1:18">
      <c r="A6989" s="4">
        <v>43836500000000</v>
      </c>
      <c r="B6989" t="s">
        <v>18</v>
      </c>
      <c r="C6989">
        <v>20</v>
      </c>
      <c r="D6989" t="s">
        <v>37</v>
      </c>
      <c r="E6989" t="s">
        <v>80</v>
      </c>
      <c r="F6989" s="1">
        <v>42529</v>
      </c>
      <c r="G6989" s="1">
        <v>42529</v>
      </c>
      <c r="H6989" t="s">
        <v>25</v>
      </c>
      <c r="I6989">
        <v>0</v>
      </c>
      <c r="J6989" t="s">
        <v>111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 t="s">
        <v>23</v>
      </c>
      <c r="R6989">
        <v>0</v>
      </c>
    </row>
    <row r="6990" spans="1:18">
      <c r="A6990" s="4">
        <v>6688980000000</v>
      </c>
      <c r="B6990" t="s">
        <v>18</v>
      </c>
      <c r="C6990">
        <v>86</v>
      </c>
      <c r="D6990" t="s">
        <v>19</v>
      </c>
      <c r="E6990" t="s">
        <v>53</v>
      </c>
      <c r="F6990" s="1">
        <v>42529</v>
      </c>
      <c r="G6990" s="1">
        <v>42529</v>
      </c>
      <c r="H6990" t="s">
        <v>25</v>
      </c>
      <c r="I6990">
        <v>0</v>
      </c>
      <c r="J6990" t="s">
        <v>111</v>
      </c>
      <c r="K6990">
        <v>0</v>
      </c>
      <c r="L6990">
        <v>1</v>
      </c>
      <c r="M6990">
        <v>0</v>
      </c>
      <c r="N6990">
        <v>0</v>
      </c>
      <c r="O6990">
        <v>0</v>
      </c>
      <c r="P6990">
        <v>0</v>
      </c>
      <c r="Q6990" t="s">
        <v>23</v>
      </c>
      <c r="R6990">
        <v>0</v>
      </c>
    </row>
    <row r="6991" spans="1:18">
      <c r="A6991" s="4">
        <v>12295925299</v>
      </c>
      <c r="B6991" t="s">
        <v>28</v>
      </c>
      <c r="C6991">
        <v>14</v>
      </c>
      <c r="D6991" t="s">
        <v>60</v>
      </c>
      <c r="E6991" t="s">
        <v>86</v>
      </c>
      <c r="F6991" s="1">
        <v>42529</v>
      </c>
      <c r="G6991" s="1">
        <v>42529</v>
      </c>
      <c r="H6991" t="s">
        <v>25</v>
      </c>
      <c r="I6991">
        <v>0</v>
      </c>
      <c r="J6991" t="s">
        <v>111</v>
      </c>
      <c r="K6991">
        <v>1</v>
      </c>
      <c r="L6991">
        <v>0</v>
      </c>
      <c r="M6991">
        <v>0</v>
      </c>
      <c r="N6991">
        <v>0</v>
      </c>
      <c r="O6991">
        <v>0</v>
      </c>
      <c r="P6991">
        <v>0</v>
      </c>
      <c r="Q6991" t="s">
        <v>23</v>
      </c>
      <c r="R6991">
        <v>0</v>
      </c>
    </row>
    <row r="6992" spans="1:18">
      <c r="A6992" s="4">
        <v>99572600000000</v>
      </c>
      <c r="B6992" t="s">
        <v>28</v>
      </c>
      <c r="C6992">
        <v>33</v>
      </c>
      <c r="D6992" t="s">
        <v>37</v>
      </c>
      <c r="E6992" t="s">
        <v>66</v>
      </c>
      <c r="F6992" s="1">
        <v>42529</v>
      </c>
      <c r="G6992" s="1">
        <v>42529</v>
      </c>
      <c r="H6992" t="s">
        <v>25</v>
      </c>
      <c r="I6992">
        <v>0</v>
      </c>
      <c r="J6992" t="s">
        <v>111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 t="s">
        <v>23</v>
      </c>
      <c r="R6992">
        <v>0</v>
      </c>
    </row>
    <row r="6993" spans="1:18">
      <c r="A6993" s="4">
        <v>449367000000</v>
      </c>
      <c r="B6993" t="s">
        <v>28</v>
      </c>
      <c r="C6993">
        <v>30</v>
      </c>
      <c r="D6993" t="s">
        <v>37</v>
      </c>
      <c r="E6993" t="s">
        <v>98</v>
      </c>
      <c r="F6993" s="1">
        <v>42529</v>
      </c>
      <c r="G6993" s="1">
        <v>42529</v>
      </c>
      <c r="H6993" t="s">
        <v>25</v>
      </c>
      <c r="I6993">
        <v>0</v>
      </c>
      <c r="J6993" t="s">
        <v>111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23</v>
      </c>
      <c r="R6993">
        <v>0</v>
      </c>
    </row>
    <row r="6994" spans="1:18">
      <c r="A6994" s="4">
        <v>64654300000000</v>
      </c>
      <c r="B6994" t="s">
        <v>28</v>
      </c>
      <c r="C6994">
        <v>37</v>
      </c>
      <c r="D6994" t="s">
        <v>27</v>
      </c>
      <c r="E6994" t="s">
        <v>69</v>
      </c>
      <c r="F6994" s="1">
        <v>42529</v>
      </c>
      <c r="G6994" s="1">
        <v>42529</v>
      </c>
      <c r="H6994" t="s">
        <v>25</v>
      </c>
      <c r="I6994">
        <v>0</v>
      </c>
      <c r="J6994" t="s">
        <v>111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 t="s">
        <v>23</v>
      </c>
      <c r="R6994">
        <v>0</v>
      </c>
    </row>
    <row r="6995" spans="1:18">
      <c r="A6995" s="4">
        <v>88258400000000</v>
      </c>
      <c r="B6995" t="s">
        <v>28</v>
      </c>
      <c r="C6995">
        <v>51</v>
      </c>
      <c r="D6995" t="s">
        <v>35</v>
      </c>
      <c r="E6995" t="s">
        <v>71</v>
      </c>
      <c r="F6995" s="1">
        <v>42529</v>
      </c>
      <c r="G6995" s="1">
        <v>42529</v>
      </c>
      <c r="H6995" t="s">
        <v>25</v>
      </c>
      <c r="I6995">
        <v>0</v>
      </c>
      <c r="J6995" t="s">
        <v>111</v>
      </c>
      <c r="K6995">
        <v>0</v>
      </c>
      <c r="L6995">
        <v>1</v>
      </c>
      <c r="M6995">
        <v>0</v>
      </c>
      <c r="N6995">
        <v>1</v>
      </c>
      <c r="O6995">
        <v>0</v>
      </c>
      <c r="P6995">
        <v>0</v>
      </c>
      <c r="Q6995" t="s">
        <v>23</v>
      </c>
      <c r="R6995">
        <v>0</v>
      </c>
    </row>
    <row r="6996" spans="1:18">
      <c r="A6996" s="4">
        <v>88685100000000</v>
      </c>
      <c r="B6996" t="s">
        <v>18</v>
      </c>
      <c r="C6996">
        <v>65</v>
      </c>
      <c r="D6996" t="s">
        <v>35</v>
      </c>
      <c r="E6996" t="s">
        <v>39</v>
      </c>
      <c r="F6996" s="1">
        <v>42529</v>
      </c>
      <c r="G6996" s="1">
        <v>42529</v>
      </c>
      <c r="H6996" t="s">
        <v>25</v>
      </c>
      <c r="I6996">
        <v>0</v>
      </c>
      <c r="J6996" t="s">
        <v>111</v>
      </c>
      <c r="K6996">
        <v>0</v>
      </c>
      <c r="L6996">
        <v>0</v>
      </c>
      <c r="M6996">
        <v>1</v>
      </c>
      <c r="N6996">
        <v>0</v>
      </c>
      <c r="O6996">
        <v>0</v>
      </c>
      <c r="P6996">
        <v>0</v>
      </c>
      <c r="Q6996" t="s">
        <v>23</v>
      </c>
      <c r="R6996">
        <v>0</v>
      </c>
    </row>
    <row r="6997" spans="1:18">
      <c r="A6997" s="4">
        <v>33564500000000</v>
      </c>
      <c r="B6997" t="s">
        <v>18</v>
      </c>
      <c r="C6997">
        <v>34</v>
      </c>
      <c r="D6997" t="s">
        <v>37</v>
      </c>
      <c r="E6997" t="s">
        <v>68</v>
      </c>
      <c r="F6997" s="1">
        <v>42529</v>
      </c>
      <c r="G6997" s="1">
        <v>42529</v>
      </c>
      <c r="H6997" t="s">
        <v>25</v>
      </c>
      <c r="I6997">
        <v>0</v>
      </c>
      <c r="J6997" t="s">
        <v>111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 t="s">
        <v>23</v>
      </c>
      <c r="R6997">
        <v>0</v>
      </c>
    </row>
    <row r="6998" spans="1:18">
      <c r="A6998" s="4">
        <v>37756400000000</v>
      </c>
      <c r="B6998" t="s">
        <v>18</v>
      </c>
      <c r="C6998">
        <v>65</v>
      </c>
      <c r="D6998" t="s">
        <v>35</v>
      </c>
      <c r="E6998" t="s">
        <v>59</v>
      </c>
      <c r="F6998" s="1">
        <v>42529</v>
      </c>
      <c r="G6998" s="1">
        <v>42529</v>
      </c>
      <c r="H6998" t="s">
        <v>25</v>
      </c>
      <c r="I6998">
        <v>0</v>
      </c>
      <c r="J6998" t="s">
        <v>111</v>
      </c>
      <c r="K6998">
        <v>0</v>
      </c>
      <c r="L6998">
        <v>1</v>
      </c>
      <c r="M6998">
        <v>0</v>
      </c>
      <c r="N6998">
        <v>0</v>
      </c>
      <c r="O6998">
        <v>0</v>
      </c>
      <c r="P6998">
        <v>0</v>
      </c>
      <c r="Q6998" t="s">
        <v>23</v>
      </c>
      <c r="R6998">
        <v>0</v>
      </c>
    </row>
    <row r="6999" spans="1:18">
      <c r="A6999" s="4">
        <v>75797500000000</v>
      </c>
      <c r="B6999" t="s">
        <v>28</v>
      </c>
      <c r="C6999">
        <v>49</v>
      </c>
      <c r="D6999" t="s">
        <v>27</v>
      </c>
      <c r="E6999" t="s">
        <v>39</v>
      </c>
      <c r="F6999" s="1">
        <v>42529</v>
      </c>
      <c r="G6999" s="1">
        <v>42529</v>
      </c>
      <c r="H6999" t="s">
        <v>25</v>
      </c>
      <c r="I6999">
        <v>0</v>
      </c>
      <c r="J6999" t="s">
        <v>111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 t="s">
        <v>23</v>
      </c>
      <c r="R6999">
        <v>0</v>
      </c>
    </row>
    <row r="7000" spans="1:18">
      <c r="A7000" s="4">
        <v>958585000000</v>
      </c>
      <c r="B7000" t="s">
        <v>28</v>
      </c>
      <c r="C7000">
        <v>32</v>
      </c>
      <c r="D7000" t="s">
        <v>37</v>
      </c>
      <c r="E7000" t="s">
        <v>72</v>
      </c>
      <c r="F7000" s="1">
        <v>42529</v>
      </c>
      <c r="G7000" s="1">
        <v>42529</v>
      </c>
      <c r="H7000" t="s">
        <v>25</v>
      </c>
      <c r="I7000">
        <v>0</v>
      </c>
      <c r="J7000" t="s">
        <v>111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 t="s">
        <v>23</v>
      </c>
      <c r="R7000">
        <v>0</v>
      </c>
    </row>
    <row r="7001" spans="1:18">
      <c r="A7001" s="4">
        <v>5237160000000</v>
      </c>
      <c r="B7001" t="s">
        <v>18</v>
      </c>
      <c r="C7001">
        <v>27</v>
      </c>
      <c r="D7001" t="s">
        <v>37</v>
      </c>
      <c r="E7001" t="s">
        <v>39</v>
      </c>
      <c r="F7001" s="1">
        <v>42529</v>
      </c>
      <c r="G7001" s="1">
        <v>42529</v>
      </c>
      <c r="H7001" t="s">
        <v>25</v>
      </c>
      <c r="I7001">
        <v>0</v>
      </c>
      <c r="J7001" t="s">
        <v>111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23</v>
      </c>
      <c r="R700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EA0B-67C5-423A-AAA7-C1B4DC99D60C}">
  <dimension ref="A3:L39"/>
  <sheetViews>
    <sheetView tabSelected="1" topLeftCell="A20" workbookViewId="0">
      <selection activeCell="F46" sqref="F46"/>
    </sheetView>
  </sheetViews>
  <sheetFormatPr defaultRowHeight="14.4"/>
  <cols>
    <col min="1" max="1" width="20.33203125" customWidth="1"/>
    <col min="2" max="2" width="18.21875" customWidth="1"/>
    <col min="4" max="4" width="15.88671875" customWidth="1"/>
    <col min="12" max="12" width="10" customWidth="1"/>
    <col min="13" max="13" width="8.88671875" customWidth="1"/>
  </cols>
  <sheetData>
    <row r="3" spans="1:4">
      <c r="A3" t="s">
        <v>3</v>
      </c>
      <c r="B3" t="s">
        <v>118</v>
      </c>
      <c r="C3" t="s">
        <v>119</v>
      </c>
      <c r="D3" t="s">
        <v>120</v>
      </c>
    </row>
    <row r="4" spans="1:4">
      <c r="A4" t="str" cm="1">
        <f t="array" ref="A4:A9">_xlfn._xlws.SORT(_xlfn.UNIQUE(appointments[age_group]))</f>
        <v>0-12 Child</v>
      </c>
      <c r="B4">
        <f>COUNTIFS(appointments[age_group],A4)</f>
        <v>1356</v>
      </c>
      <c r="C4">
        <f>COUNTIFS(appointments[age_group],A4,appointments[no_show],"YES")</f>
        <v>279</v>
      </c>
      <c r="D4" s="7">
        <f>C4/B4</f>
        <v>0.20575221238938052</v>
      </c>
    </row>
    <row r="5" spans="1:4">
      <c r="A5" t="str">
        <v>13-17 Teen</v>
      </c>
      <c r="B5">
        <f>COUNTIFS(appointments[age_group],A5)</f>
        <v>399</v>
      </c>
      <c r="C5">
        <f>COUNTIFS(appointments[age_group],A5,appointments[no_show],"YES")</f>
        <v>104</v>
      </c>
      <c r="D5" s="7">
        <f t="shared" ref="D5:D10" si="0">C5/B5</f>
        <v>0.26065162907268169</v>
      </c>
    </row>
    <row r="6" spans="1:4">
      <c r="A6" t="str">
        <v>18-35 Young Adult</v>
      </c>
      <c r="B6">
        <f>COUNTIFS(appointments[age_group],A6)</f>
        <v>1613</v>
      </c>
      <c r="C6">
        <f>COUNTIFS(appointments[age_group],A6,appointments[no_show],"YES")</f>
        <v>379</v>
      </c>
      <c r="D6" s="7">
        <f t="shared" si="0"/>
        <v>0.23496590204587725</v>
      </c>
    </row>
    <row r="7" spans="1:4">
      <c r="A7" t="str">
        <v>36-50 Adult</v>
      </c>
      <c r="B7">
        <f>COUNTIFS(appointments[age_group],A7)</f>
        <v>1395</v>
      </c>
      <c r="C7">
        <f>COUNTIFS(appointments[age_group],A7,appointments[no_show],"YES")</f>
        <v>275</v>
      </c>
      <c r="D7" s="7">
        <f t="shared" si="0"/>
        <v>0.1971326164874552</v>
      </c>
    </row>
    <row r="8" spans="1:4">
      <c r="A8" t="str">
        <v>51-65 Mature</v>
      </c>
      <c r="B8">
        <f>COUNTIFS(appointments[age_group],A8)</f>
        <v>1417</v>
      </c>
      <c r="C8">
        <f>COUNTIFS(appointments[age_group],A8,appointments[no_show],"YES")</f>
        <v>228</v>
      </c>
      <c r="D8" s="7">
        <f t="shared" si="0"/>
        <v>0.16090331686661963</v>
      </c>
    </row>
    <row r="9" spans="1:4">
      <c r="A9" t="str">
        <v>66+ Senior</v>
      </c>
      <c r="B9">
        <f>COUNTIFS(appointments[age_group],A9)</f>
        <v>820</v>
      </c>
      <c r="C9">
        <f>COUNTIFS(appointments[age_group],A9,appointments[no_show],"YES")</f>
        <v>127</v>
      </c>
      <c r="D9" s="7">
        <f t="shared" si="0"/>
        <v>0.1548780487804878</v>
      </c>
    </row>
    <row r="10" spans="1:4">
      <c r="A10" t="s">
        <v>121</v>
      </c>
      <c r="B10">
        <f>SUM(B4:B9)</f>
        <v>7000</v>
      </c>
      <c r="C10">
        <f>SUM(C4:C9)</f>
        <v>1392</v>
      </c>
      <c r="D10" s="7">
        <f t="shared" si="0"/>
        <v>0.19885714285714284</v>
      </c>
    </row>
    <row r="15" spans="1:4">
      <c r="A15" t="s">
        <v>9</v>
      </c>
      <c r="B15" t="s">
        <v>118</v>
      </c>
      <c r="C15" t="s">
        <v>119</v>
      </c>
      <c r="D15" s="6" t="s">
        <v>122</v>
      </c>
    </row>
    <row r="16" spans="1:4">
      <c r="A16" t="s">
        <v>111</v>
      </c>
      <c r="B16">
        <f>COUNTIFS(appointments[wait_bucket],A16)</f>
        <v>2470</v>
      </c>
      <c r="C16">
        <f>COUNTIFS(appointments[wait_bucket],A16,appointments[no_show],"Yes")</f>
        <v>120</v>
      </c>
      <c r="D16" s="7">
        <f>C16/B16</f>
        <v>4.8582995951417005E-2</v>
      </c>
    </row>
    <row r="17" spans="1:12">
      <c r="A17" t="s">
        <v>109</v>
      </c>
      <c r="B17">
        <f>COUNTIFS(appointments[wait_bucket],A17)</f>
        <v>912</v>
      </c>
      <c r="C17">
        <f>COUNTIFS(appointments[wait_bucket],A17,appointments[no_show],"Yes")</f>
        <v>201</v>
      </c>
      <c r="D17" s="7">
        <f t="shared" ref="D17:D21" si="1">C17/B17</f>
        <v>0.22039473684210525</v>
      </c>
      <c r="L17" s="5"/>
    </row>
    <row r="18" spans="1:12">
      <c r="A18" t="s">
        <v>107</v>
      </c>
      <c r="B18">
        <f>COUNTIFS(appointments[wait_bucket],A18)</f>
        <v>1090</v>
      </c>
      <c r="C18">
        <f>COUNTIFS(appointments[wait_bucket],A18,appointments[no_show],"Yes")</f>
        <v>253</v>
      </c>
      <c r="D18" s="7">
        <f t="shared" si="1"/>
        <v>0.23211009174311928</v>
      </c>
    </row>
    <row r="19" spans="1:12">
      <c r="A19" t="s">
        <v>92</v>
      </c>
      <c r="B19">
        <f>COUNTIFS(appointments[wait_bucket],A19)</f>
        <v>753</v>
      </c>
      <c r="C19">
        <f>COUNTIFS(appointments[wait_bucket],A19,appointments[no_show],"Yes")</f>
        <v>234</v>
      </c>
      <c r="D19" s="7">
        <f t="shared" si="1"/>
        <v>0.31075697211155379</v>
      </c>
    </row>
    <row r="20" spans="1:12">
      <c r="A20" t="s">
        <v>77</v>
      </c>
      <c r="B20">
        <f>COUNTIFS(appointments[wait_bucket],A20)</f>
        <v>1106</v>
      </c>
      <c r="C20">
        <f>COUNTIFS(appointments[wait_bucket],A20,appointments[no_show],"Yes")</f>
        <v>378</v>
      </c>
      <c r="D20" s="7">
        <f t="shared" si="1"/>
        <v>0.34177215189873417</v>
      </c>
    </row>
    <row r="21" spans="1:12">
      <c r="A21" t="s">
        <v>22</v>
      </c>
      <c r="B21">
        <f>COUNTIFS(appointments[wait_bucket],A21)</f>
        <v>669</v>
      </c>
      <c r="C21">
        <f>COUNTIFS(appointments[wait_bucket],A21,appointments[no_show],"Yes")</f>
        <v>206</v>
      </c>
      <c r="D21" s="7">
        <f t="shared" si="1"/>
        <v>0.30792227204783257</v>
      </c>
    </row>
    <row r="22" spans="1:12">
      <c r="A22" t="s">
        <v>121</v>
      </c>
      <c r="B22">
        <f>SUM(B16:B21)</f>
        <v>7000</v>
      </c>
      <c r="C22">
        <f>SUM(C16:C21)</f>
        <v>1392</v>
      </c>
      <c r="D22" s="7">
        <f>C22/B22</f>
        <v>0.19885714285714284</v>
      </c>
    </row>
    <row r="26" spans="1:12">
      <c r="A26" t="s">
        <v>15</v>
      </c>
      <c r="B26" t="s">
        <v>118</v>
      </c>
      <c r="C26" t="s">
        <v>119</v>
      </c>
      <c r="D26" s="7" t="s">
        <v>122</v>
      </c>
    </row>
    <row r="27" spans="1:12">
      <c r="A27">
        <v>0</v>
      </c>
      <c r="B27">
        <f>COUNTIFS(appointments[sms_received],A27)</f>
        <v>4801</v>
      </c>
      <c r="C27">
        <f>COUNTIFS(appointments[sms_received],A27,appointments[no_show],"YES")</f>
        <v>801</v>
      </c>
      <c r="D27" s="7">
        <f>C27/B27</f>
        <v>0.16684024161632993</v>
      </c>
    </row>
    <row r="28" spans="1:12">
      <c r="A28">
        <v>1</v>
      </c>
      <c r="B28">
        <f>COUNTIFS(appointments[sms_received],A28)</f>
        <v>2199</v>
      </c>
      <c r="C28">
        <f>COUNTIFS(appointments[sms_received],A28,appointments[no_show],"YES")</f>
        <v>591</v>
      </c>
      <c r="D28" s="7">
        <f>C28/B28</f>
        <v>0.26875852660300137</v>
      </c>
    </row>
    <row r="29" spans="1:12">
      <c r="A29" t="s">
        <v>121</v>
      </c>
      <c r="B29">
        <f>SUM(B27:B28)</f>
        <v>7000</v>
      </c>
      <c r="C29">
        <f>SUM(C27:C28)</f>
        <v>1392</v>
      </c>
      <c r="D29" s="7">
        <f>C29/B29</f>
        <v>0.19885714285714284</v>
      </c>
    </row>
    <row r="33" spans="1:3">
      <c r="A33" t="s">
        <v>9</v>
      </c>
      <c r="B33" s="7" t="s">
        <v>123</v>
      </c>
      <c r="C33" s="7" t="s">
        <v>124</v>
      </c>
    </row>
    <row r="34" spans="1:3">
      <c r="A34" s="2" t="str">
        <f>A16</f>
        <v>Same day</v>
      </c>
      <c r="B34" s="7">
        <f>IFERROR(COUNTIFS(appointments[wait_bucket],$A34,appointments[sms_received],0,appointments[no_show],"Yes")/COUNTIFS(appointments[wait_bucket],$A34,appointments[sms_received],0),"n/a")</f>
        <v>4.8582995951417005E-2</v>
      </c>
      <c r="C34" s="7" t="str">
        <f>IFERROR(COUNTIFS(appointments[wait_bucket],$A34,appointments[sms_received],1,appointments[no_show],"Yes")/COUNTIFS(appointments[wait_bucket],$A34,appointments[sms_received],1),"n/a")</f>
        <v>n/a</v>
      </c>
    </row>
    <row r="35" spans="1:3">
      <c r="A35" s="2" t="str">
        <f t="shared" ref="A35:A39" si="2">A17</f>
        <v>1-3 days</v>
      </c>
      <c r="B35" s="7">
        <f>IFERROR(COUNTIFS(appointments[wait_bucket],$A35,appointments[sms_received],0,appointments[no_show],"Yes")/COUNTIFS(appointments[wait_bucket],$A35,appointments[sms_received],0),"n/a")</f>
        <v>0.2219626168224299</v>
      </c>
      <c r="C35" s="7">
        <f>IFERROR(COUNTIFS(appointments[wait_bucket],$A35,appointments[sms_received],1,appointments[no_show],"Yes")/COUNTIFS(appointments[wait_bucket],$A35,appointments[sms_received],1),"n/a")</f>
        <v>0.19642857142857142</v>
      </c>
    </row>
    <row r="36" spans="1:3">
      <c r="A36" s="2" t="str">
        <f t="shared" si="2"/>
        <v>4-7 days</v>
      </c>
      <c r="B36" s="7">
        <f>IFERROR(COUNTIFS(appointments[wait_bucket],$A36,appointments[sms_received],0,appointments[no_show],"Yes")/COUNTIFS(appointments[wait_bucket],$A36,appointments[sms_received],0),"n/a")</f>
        <v>0.25740318906605925</v>
      </c>
      <c r="C36" s="7">
        <f>IFERROR(COUNTIFS(appointments[wait_bucket],$A36,appointments[sms_received],1,appointments[no_show],"Yes")/COUNTIFS(appointments[wait_bucket],$A36,appointments[sms_received],1),"n/a")</f>
        <v>0.21505376344086022</v>
      </c>
    </row>
    <row r="37" spans="1:3">
      <c r="A37" s="2" t="str">
        <f t="shared" si="2"/>
        <v>8-14 days</v>
      </c>
      <c r="B37" s="7">
        <f>IFERROR(COUNTIFS(appointments[wait_bucket],$A37,appointments[sms_received],0,appointments[no_show],"Yes")/COUNTIFS(appointments[wait_bucket],$A37,appointments[sms_received],0),"n/a")</f>
        <v>0.34319526627218933</v>
      </c>
      <c r="C37" s="7">
        <f>IFERROR(COUNTIFS(appointments[wait_bucket],$A37,appointments[sms_received],1,appointments[no_show],"Yes")/COUNTIFS(appointments[wait_bucket],$A37,appointments[sms_received],1),"n/a")</f>
        <v>0.28433734939759037</v>
      </c>
    </row>
    <row r="38" spans="1:3">
      <c r="A38" s="2" t="str">
        <f t="shared" si="2"/>
        <v>15-30 days</v>
      </c>
      <c r="B38" s="7">
        <f>IFERROR(COUNTIFS(appointments[wait_bucket],$A38,appointments[sms_received],0,appointments[no_show],"Yes")/COUNTIFS(appointments[wait_bucket],$A38,appointments[sms_received],0),"n/a")</f>
        <v>0.39545454545454545</v>
      </c>
      <c r="C38" s="7">
        <f>IFERROR(COUNTIFS(appointments[wait_bucket],$A38,appointments[sms_received],1,appointments[no_show],"Yes")/COUNTIFS(appointments[wait_bucket],$A38,appointments[sms_received],1),"n/a")</f>
        <v>0.30630630630630629</v>
      </c>
    </row>
    <row r="39" spans="1:3">
      <c r="A39" s="2" t="str">
        <f t="shared" si="2"/>
        <v>30+ days</v>
      </c>
      <c r="B39" s="7">
        <f>IFERROR(COUNTIFS(appointments[wait_bucket],$A39,appointments[sms_received],0,appointments[no_show],"Yes")/COUNTIFS(appointments[wait_bucket],$A39,appointments[sms_received],0),"n/a")</f>
        <v>0.34108527131782945</v>
      </c>
      <c r="C39" s="7">
        <f>IFERROR(COUNTIFS(appointments[wait_bucket],$A39,appointments[sms_received],1,appointments[no_show],"Yes")/COUNTIFS(appointments[wait_bucket],$A39,appointments[sms_received],1),"n/a")</f>
        <v>0.28710462287104621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7253-5690-41ED-BD43-F6433B301C8F}">
  <dimension ref="A1:A2"/>
  <sheetViews>
    <sheetView workbookViewId="0">
      <selection activeCell="A3" sqref="A3"/>
    </sheetView>
  </sheetViews>
  <sheetFormatPr defaultRowHeight="14.4"/>
  <cols>
    <col min="1" max="1" width="65.88671875" customWidth="1"/>
  </cols>
  <sheetData>
    <row r="1" spans="1:1">
      <c r="A1">
        <f>ROWS(appointments[])</f>
        <v>7000</v>
      </c>
    </row>
    <row r="2" spans="1:1">
      <c r="A2" cm="1">
        <f t="array" ref="A2">SUMPRODUCT(--((appointments[appointment_date]-appointments[scheduled_date])&lt;&gt;appointments[wait_days]))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8862-6A2A-4A49-B5F9-D8054592FE29}">
  <dimension ref="A1:A10"/>
  <sheetViews>
    <sheetView workbookViewId="0">
      <selection activeCell="A21" sqref="A21"/>
    </sheetView>
  </sheetViews>
  <sheetFormatPr defaultRowHeight="14.4"/>
  <cols>
    <col min="1" max="1" width="124" customWidth="1"/>
  </cols>
  <sheetData>
    <row r="1" spans="1:1">
      <c r="A1" t="s">
        <v>144</v>
      </c>
    </row>
    <row r="3" spans="1:1">
      <c r="A3" t="s">
        <v>145</v>
      </c>
    </row>
    <row r="4" spans="1:1">
      <c r="A4" t="s">
        <v>146</v>
      </c>
    </row>
    <row r="5" spans="1:1">
      <c r="A5" t="s">
        <v>147</v>
      </c>
    </row>
    <row r="6" spans="1:1">
      <c r="A6" t="s">
        <v>148</v>
      </c>
    </row>
    <row r="7" spans="1:1">
      <c r="A7" t="s">
        <v>149</v>
      </c>
    </row>
    <row r="8" spans="1:1">
      <c r="A8" t="s">
        <v>150</v>
      </c>
    </row>
    <row r="9" spans="1:1">
      <c r="A9" t="s">
        <v>151</v>
      </c>
    </row>
    <row r="10" spans="1:1">
      <c r="A10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Detail1</vt:lpstr>
      <vt:lpstr>PIVOT</vt:lpstr>
      <vt:lpstr>Pivot_no_show</vt:lpstr>
      <vt:lpstr>appointments_analysis</vt:lpstr>
      <vt:lpstr>Summery</vt:lpstr>
      <vt:lpstr>Sheet1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Faham Falki</dc:creator>
  <cp:lastModifiedBy>Faham Falki</cp:lastModifiedBy>
  <dcterms:created xsi:type="dcterms:W3CDTF">2026-10-18T13:43:39Z</dcterms:created>
  <dcterms:modified xsi:type="dcterms:W3CDTF">2026-10-24T05:03:46Z</dcterms:modified>
</cp:coreProperties>
</file>